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MANDA" sheetId="1" state="visible" r:id="rId3"/>
    <sheet name="ESTACIONALIDAD" sheetId="2" state="visible" r:id="rId4"/>
    <sheet name="MANUALES" sheetId="3" state="visible" r:id="rId5"/>
    <sheet name="RODANTES" sheetId="4" state="visible" r:id="rId6"/>
    <sheet name="RECARGAS" sheetId="5" state="visible" r:id="rId7"/>
    <sheet name="REVENDIDOS" sheetId="6" state="visible" r:id="rId8"/>
    <sheet name="CONSOLIDADO" sheetId="7" state="visible" r:id="rId9"/>
    <sheet name="POLITICA_STOCK" sheetId="8" state="visible" r:id="rId10"/>
    <sheet name="PROY_INDEXADO" sheetId="9" state="visible" r:id="rId11"/>
    <sheet name="PROY_RESERVAS" sheetId="10" state="visible" r:id="rId12"/>
    <sheet name="PROY_USADOS" sheetId="11" state="visible" r:id="rId13"/>
  </sheets>
  <definedNames>
    <definedName function="false" hidden="false" localSheetId="6" name="_xlnm.Print_Titles" vbProcedure="false">CONSOLIDADO!$3:$3</definedName>
    <definedName function="false" hidden="true" localSheetId="6" name="_xlnm._FilterDatabase" vbProcedure="false">CONSOLIDADO!$A$3:$R$129</definedName>
    <definedName function="false" hidden="false" localSheetId="0" name="_xlnm.Print_Titles" vbProcedure="false">DEMANDA!$3:$3</definedName>
    <definedName function="false" hidden="false" localSheetId="1" name="_xlnm.Print_Titles" vbProcedure="false">ESTACIONALIDAD!$3:$3</definedName>
    <definedName function="false" hidden="false" localSheetId="2" name="_xlnm.Print_Titles" vbProcedure="false">MANUALES!$3:$3</definedName>
    <definedName function="false" hidden="false" localSheetId="7" name="_xlnm.Print_Titles" vbProcedure="false">POLITICA_STOCK!$3:$4</definedName>
    <definedName function="false" hidden="true" localSheetId="7" name="_xlnm._FilterDatabase" vbProcedure="false">POLITICA_STOCK!$A$4:$W$126</definedName>
    <definedName function="false" hidden="false" localSheetId="4" name="_xlnm.Print_Titles" vbProcedure="false">RECARGAS!$3:$3</definedName>
    <definedName function="false" hidden="false" localSheetId="5" name="_xlnm.Print_Titles" vbProcedure="false">REVENDIDOS!$3:$3</definedName>
    <definedName function="false" hidden="false" localSheetId="3" name="_xlnm.Print_Titles" vbProcedure="false">RODANTES!$3:$3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5" authorId="0">
      <text>
        <r>
          <rPr>
            <sz val="10"/>
            <rFont val="Arial"/>
            <family val="2"/>
          </rPr>
          <t xml:space="preserve">Aproximado: AcerosYa (Sarandí), caños estructurales en barras de 6 m: entrega dentro de los 7 días del pago = 5 hábiles (radio de 30 km). Otro link: https://www.acerosya.com/canos-estructurales/cano-redondo/</t>
        </r>
      </text>
    </comment>
    <comment ref="K18" authorId="0">
      <text>
        <r>
          <rPr>
            <sz val="10"/>
            <rFont val="Arial"/>
            <family val="2"/>
          </rPr>
          <t xml:space="preserve">Aproximado: web Importa Fácil: importar de China lleva 75 a 95 días corridos desde el pedido = 54 a 68 hábiles</t>
        </r>
      </text>
    </comment>
    <comment ref="K19" authorId="0">
      <text>
        <r>
          <rPr>
            <sz val="10"/>
            <rFont val="Arial"/>
            <family val="2"/>
          </rPr>
          <t xml:space="preserve">Aproximado: web Importa Fácil: importar de China lleva 75 a 95 días corridos desde el pedido = 54 a 68 hábiles</t>
        </r>
      </text>
    </comment>
    <comment ref="K20" authorId="0">
      <text>
        <r>
          <rPr>
            <sz val="10"/>
            <rFont val="Arial"/>
            <family val="2"/>
          </rPr>
          <t xml:space="preserve">Aproximado: web Importa Fácil: importar de China lleva 75 a 95 días corridos desde el pedido = 54 a 68 hábiles</t>
        </r>
      </text>
    </comment>
    <comment ref="K25" authorId="0">
      <text>
        <r>
          <rPr>
            <sz val="10"/>
            <rFont val="Arial"/>
            <family val="2"/>
          </rPr>
          <t xml:space="preserve">Aproximado: AcerosYa (Sarandí), caños estructurales en barras de 6 m: entrega dentro de los 7 días del pago = 5 hábiles (radio de 30 km). Otro link: https://www.acerosya.com/canos-estructurales/cano-redondo/</t>
        </r>
      </text>
    </comment>
    <comment ref="K26" authorId="0">
      <text>
        <r>
          <rPr>
            <sz val="10"/>
            <rFont val="Arial"/>
            <family val="2"/>
          </rPr>
          <t xml:space="preserve">Aproximado: AcerosYa (Sarandí), caños estructurales en barras de 6 m: entrega dentro de los 7 días del pago = 5 hábiles (radio de 30 km). Otro link: https://www.acerosya.com/canos-estructurales/cano-redondo/</t>
        </r>
      </text>
    </comment>
    <comment ref="K27" authorId="0">
      <text>
        <r>
          <rPr>
            <sz val="10"/>
            <rFont val="Arial"/>
            <family val="2"/>
          </rPr>
          <t xml:space="preserve">Aproximado: web Metapol (CABA), barras SAE 1045: entrega en 24 a 72 h en el AMBA (Vladimirsky no lo publica)</t>
        </r>
      </text>
    </comment>
    <comment ref="K28" authorId="0">
      <text>
        <r>
          <rPr>
            <sz val="10"/>
            <rFont val="Arial"/>
            <family val="2"/>
          </rPr>
          <t xml:space="preserve">Aproximado: web Metapol (CABA), barras SAE 1045: entrega en 24 a 72 h en el AMBA (Vladimirsky no lo publica)</t>
        </r>
      </text>
    </comment>
    <comment ref="K29" authorId="0">
      <text>
        <r>
          <rPr>
            <sz val="10"/>
            <rFont val="Arial"/>
            <family val="2"/>
          </rPr>
          <t xml:space="preserve">Web Würth Argentina: despacha al día hábil siguiente a la factura y entrega en hasta 5 días hábiles (unos 3 en CABA y AMBA). Otro link: https://www.wurth.com.ar/es/tienda/corte-y-taladro/discos-de-corte/disco-de-corte-premium-355x3-5x25-4.html</t>
        </r>
      </text>
    </comment>
    <comment ref="K30" authorId="0">
      <text>
        <r>
          <rPr>
            <sz val="10"/>
            <rFont val="Arial"/>
            <family val="2"/>
          </rPr>
          <t xml:space="preserve">Web Würth Argentina: despacha al día hábil siguiente a la factura y entrega en hasta 5 días hábiles (unos 3 en CABA y AMBA). Otro link: https://www.wurth.com.ar/es/tienda/corte-y-taladro/discos-de-corte/disco-de-corte-premium-355x3-5x25-4.html</t>
        </r>
      </text>
    </comment>
    <comment ref="K31" authorId="0">
      <text>
        <r>
          <rPr>
            <sz val="10"/>
            <rFont val="Arial"/>
            <family val="2"/>
          </rPr>
          <t xml:space="preserve">Aproximado: Morshop, ruedas industriales y de goma maciza para carros: despacha a las 24 a 72 h hábiles del pago y el correo entrega en 48 h en Buenos Aires. Otro link: https://www.morshop.com.ar/ruedas/ruedas-industriales-y-de-carga/</t>
        </r>
      </text>
    </comment>
    <comment ref="K32" authorId="0">
      <text>
        <r>
          <rPr>
            <sz val="10"/>
            <rFont val="Arial"/>
            <family val="2"/>
          </rPr>
          <t xml:space="preserve">Aproximado: Morshop, ruedas industriales y de goma maciza para carros: despacha a las 24 a 72 h hábiles del pago y el correo entrega en 48 h en Buenos Aires. Otro link: https://www.morshop.com.ar/ruedas/ruedas-industriales-y-de-carga/</t>
        </r>
      </text>
    </comment>
    <comment ref="K33" authorId="0">
      <text>
        <r>
          <rPr>
            <sz val="10"/>
            <rFont val="Arial"/>
            <family val="2"/>
          </rPr>
          <t xml:space="preserve">Aproximado: Morshop, ruedas industriales y de goma maciza para carros: despacha a las 24 a 72 h hábiles del pago y el correo entrega en 48 h en Buenos Aires. Otro link: https://www.morshop.com.ar/ruedas/ruedas-industriales-y-de-carga/</t>
        </r>
      </text>
    </comment>
    <comment ref="K34" authorId="0">
      <text>
        <r>
          <rPr>
            <sz val="10"/>
            <rFont val="Arial"/>
            <family val="2"/>
          </rPr>
          <t xml:space="preserve">Web Soldanet, alambre MIG ER70S-6 de 15 kg: 4 a 5 días hábiles después de acreditado el pago</t>
        </r>
      </text>
    </comment>
    <comment ref="K35" authorId="0">
      <text>
        <r>
          <rPr>
            <sz val="10"/>
            <rFont val="Arial"/>
            <family val="2"/>
          </rPr>
          <t xml:space="preserve">Web Soldanet, alambre MIG ER70S-6 de 15 kg: 4 a 5 días hábiles después de acreditado el pago</t>
        </r>
      </text>
    </comment>
    <comment ref="K37" authorId="0">
      <text>
        <r>
          <rPr>
            <sz val="10"/>
            <rFont val="Arial"/>
            <family val="2"/>
          </rPr>
          <t xml:space="preserve">Web Würth Argentina: despacha al día hábil siguiente a la factura y entrega en hasta 5 días hábiles (unos 3 en CABA y AMBA). Otro link: https://www.wurth.com.ar/es/tienda/corte-y-taladro/discos-de-corte/disco-de-corte-premium-355x3-5x25-4.html</t>
        </r>
      </text>
    </comment>
    <comment ref="K38" authorId="0">
      <text>
        <r>
          <rPr>
            <sz val="10"/>
            <rFont val="Arial"/>
            <family val="2"/>
          </rPr>
          <t xml:space="preserve">Web Espacio Industria (Munro), discos de corte y mechas: entrega en CABA y GBA en 24 h</t>
        </r>
      </text>
    </comment>
    <comment ref="K39" authorId="0">
      <text>
        <r>
          <rPr>
            <sz val="10"/>
            <rFont val="Arial"/>
            <family val="2"/>
          </rPr>
          <t xml:space="preserve">Web Würth Argentina: despacha al día hábil siguiente a la factura y entrega en hasta 5 días hábiles (unos 3 en CABA y AMBA). Otro link: https://www.wurth.com.ar/es/tienda/corte-y-taladro/discos-de-corte/disco-de-corte-premium-355x3-5x25-4.html</t>
        </r>
      </text>
    </comment>
    <comment ref="K40" authorId="0">
      <text>
        <r>
          <rPr>
            <sz val="10"/>
            <rFont val="Arial"/>
            <family val="2"/>
          </rPr>
          <t xml:space="preserve">Web Espacio Industria (Munro), discos de corte y mechas: entrega en CABA y GBA en 24 h</t>
        </r>
      </text>
    </comment>
    <comment ref="K41" authorId="0">
      <text>
        <r>
          <rPr>
            <sz val="10"/>
            <rFont val="Arial"/>
            <family val="2"/>
          </rPr>
          <t xml:space="preserve">Web Würth Argentina: despacha al día hábil siguiente a la factura y entrega en hasta 5 días hábiles (unos 3 en CABA y AMBA). Otro link: https://www.wurth.com.ar/es/tienda/corte-y-taladro/discos-de-corte/disco-de-corte-premium-355x3-5x25-4.html</t>
        </r>
      </text>
    </comment>
    <comment ref="K42" authorId="0">
      <text>
        <r>
          <rPr>
            <sz val="10"/>
            <rFont val="Arial"/>
            <family val="2"/>
          </rPr>
          <t xml:space="preserve">Aproximado: EGM Trader (Florida, PBA), importador de granalla de acero esférica en bolsa de 25 kg y big bag: su publicación sale con envío en el día en CABA y GBA. Otro link: https://www.egmtrader.com/empresa/</t>
        </r>
      </text>
    </comment>
    <comment ref="K43" authorId="0">
      <text>
        <r>
          <rPr>
            <sz val="10"/>
            <rFont val="Arial"/>
            <family val="2"/>
          </rPr>
          <t xml:space="preserve">Aproximado: Enamels (Lanús), distribuidora de pintura en polvo: entrega inmediata por stock en el GBA</t>
        </r>
      </text>
    </comment>
    <comment ref="K44" authorId="0">
      <text>
        <r>
          <rPr>
            <sz val="10"/>
            <rFont val="Arial"/>
            <family val="2"/>
          </rPr>
          <t xml:space="preserve">Aproximado: web Grupo Oxicas (Villa Constitución, Santa Fe), polvo ABC 60 de DEMSA en bolsa de 25 kg: despacha a las 24 a 48 h del pago por OCA, que entrega en 48 a 96 h hábiles = 3 a 6 hábiles (DEMSA no lo publica). Otro link: https://www6.oca.com.ar/PlataformaEnvios/PreguntasFrecuentes</t>
        </r>
      </text>
    </comment>
    <comment ref="K45" authorId="0">
      <text>
        <r>
          <rPr>
            <sz val="10"/>
            <rFont val="Arial"/>
            <family val="2"/>
          </rPr>
          <t xml:space="preserve">Aproximado con el polvo de DEMSA en Grupo Oxicas: despacho de 24 a 48 h + OCA en 48 a 96 h hábiles (nadie publica el plazo de este agente). Otro link: https://www6.oca.com.ar/PlataformaEnvios/PreguntasFrecuentes</t>
        </r>
      </text>
    </comment>
    <comment ref="K47" authorId="0">
      <text>
        <r>
          <rPr>
            <sz val="10"/>
            <rFont val="Arial"/>
            <family val="2"/>
          </rPr>
          <t xml:space="preserve">Aproximado con el polvo de DEMSA en Grupo Oxicas: despacho de 24 a 48 h + OCA en 48 a 96 h hábiles (nadie publica el plazo de este agente). Otro link: https://www6.oca.com.ar/PlataformaEnvios/PreguntasFrecuentes</t>
        </r>
      </text>
    </comment>
    <comment ref="K48" authorId="0">
      <text>
        <r>
          <rPr>
            <sz val="10"/>
            <rFont val="Arial"/>
            <family val="2"/>
          </rPr>
          <t xml:space="preserve">Aproximado con el polvo de DEMSA en Grupo Oxicas: despacho de 24 a 48 h + OCA en 48 a 96 h hábiles (nadie publica el plazo de este agente). Otro link: https://www6.oca.com.ar/PlataformaEnvios/PreguntasFrecuentes</t>
        </r>
      </text>
    </comment>
    <comment ref="K50" authorId="0">
      <text>
        <r>
          <rPr>
            <sz val="10"/>
            <rFont val="Arial"/>
            <family val="2"/>
          </rPr>
          <t xml:space="preserve">Aproximado con el polvo de DEMSA en Grupo Oxicas: despacho de 24 a 48 h + OCA en 48 a 96 h hábiles (nadie publica el plazo de este agente). Otro link: https://www6.oca.com.ar/PlataformaEnvios/PreguntasFrecuentes</t>
        </r>
      </text>
    </comment>
    <comment ref="K51" authorId="0">
      <text>
        <r>
          <rPr>
            <sz val="10"/>
            <rFont val="Arial"/>
            <family val="2"/>
          </rPr>
          <t xml:space="preserve">Aproximado: web Vernassa (CABA), concentrado AFFF de baja expansión al 1, 3 o 6 % en bidón de 20 L: plazo de entrega inmediato (Polvex no lo publica). Otro link: https://vernassa.com.ar/producto/concentrado-espumigeno-contra-incendio-afff-ar/</t>
        </r>
      </text>
    </comment>
    <comment ref="K52" authorId="0">
      <text>
        <r>
          <rPr>
            <sz val="10"/>
            <rFont val="Arial"/>
            <family val="2"/>
          </rPr>
          <t xml:space="preserve">Aproximado con el polvo de DEMSA en Grupo Oxicas: despacho de 24 a 48 h + OCA en 48 a 96 h hábiles (nadie publica el plazo de este agente). Otro link: https://www6.oca.com.ar/PlataformaEnvios/PreguntasFrecuentes</t>
        </r>
      </text>
    </comment>
    <comment ref="K53" authorId="0">
      <text>
        <r>
          <rPr>
            <sz val="10"/>
            <rFont val="Arial"/>
            <family val="2"/>
          </rPr>
          <t xml:space="preserve">Aproximado: El Galpón (Corrientes), válvulas de 1 kg y de 5 y 10 kg, manómetro de 1,4 MPa y manguera de 5 kg: prepara el pedido en 48 h y despacha por Correo Argentino (2 a 5 días hábiles). Otro link: https://www.correoargentino.com.ar/MiCorreo/public/infopaqarpymes</t>
        </r>
      </text>
    </comment>
    <comment ref="K54" authorId="0">
      <text>
        <r>
          <rPr>
            <sz val="10"/>
            <rFont val="Arial"/>
            <family val="2"/>
          </rPr>
          <t xml:space="preserve">Aproximado: El Galpón (Corrientes), válvulas de 1 kg y de 5 y 10 kg, manómetro de 1,4 MPa y manguera de 5 kg: prepara el pedido en 48 h y despacha por Correo Argentino (2 a 5 días hábiles). Otro link: https://www.correoargentino.com.ar/MiCorreo/public/infopaqarpymes</t>
        </r>
      </text>
    </comment>
    <comment ref="K55" authorId="0">
      <text>
        <r>
          <rPr>
            <sz val="10"/>
            <rFont val="Arial"/>
            <family val="2"/>
          </rPr>
          <t xml:space="preserve">Aproximado con los repuestos de matafuego de El Galpón (Corrientes): 48 h de preparación + Correo Argentino en 2 a 5 días hábiles (nadie publica el plazo de esta pieza). Otro link: https://www.correoargentino.com.ar/MiCorreo/public/infopaqarpymes</t>
        </r>
      </text>
    </comment>
    <comment ref="K56" authorId="0">
      <text>
        <r>
          <rPr>
            <sz val="10"/>
            <rFont val="Arial"/>
            <family val="2"/>
          </rPr>
          <t xml:space="preserve">Aproximado con los repuestos de matafuego de El Galpón (Corrientes): 48 h de preparación + Correo Argentino en 2 a 5 días hábiles (nadie publica el plazo de esta pieza). Otro link: https://www.correoargentino.com.ar/MiCorreo/public/infopaqarpymes</t>
        </r>
      </text>
    </comment>
    <comment ref="K57" authorId="0">
      <text>
        <r>
          <rPr>
            <sz val="10"/>
            <rFont val="Arial"/>
            <family val="2"/>
          </rPr>
          <t xml:space="preserve">Aproximado: El Galpón (Corrientes), válvulas de 1 kg y de 5 y 10 kg, manómetro de 1,4 MPa y manguera de 5 kg: prepara el pedido en 48 h y despacha por Correo Argentino (2 a 5 días hábiles). Otro link: https://www.correoargentino.com.ar/MiCorreo/public/infopaqarpymes</t>
        </r>
      </text>
    </comment>
    <comment ref="K58" authorId="0">
      <text>
        <r>
          <rPr>
            <sz val="10"/>
            <rFont val="Arial"/>
            <family val="2"/>
          </rPr>
          <t xml:space="preserve">Aproximado con los repuestos de matafuego de El Galpón (Corrientes): 48 h de preparación + Correo Argentino en 2 a 5 días hábiles (nadie publica el plazo de esta pieza). Otro link: https://www.correoargentino.com.ar/MiCorreo/public/infopaqarpymes</t>
        </r>
      </text>
    </comment>
    <comment ref="K59" authorId="0">
      <text>
        <r>
          <rPr>
            <sz val="10"/>
            <rFont val="Arial"/>
            <family val="2"/>
          </rPr>
          <t xml:space="preserve">Aproximado con los repuestos de matafuego de El Galpón (Corrientes): 48 h de preparación + Correo Argentino en 2 a 5 días hábiles (nadie publica el plazo de esta pieza). Otro link: https://www.correoargentino.com.ar/MiCorreo/public/infopaqarpymes</t>
        </r>
      </text>
    </comment>
    <comment ref="K60" authorId="0">
      <text>
        <r>
          <rPr>
            <sz val="10"/>
            <rFont val="Arial"/>
            <family val="2"/>
          </rPr>
          <t xml:space="preserve">Aproximado con los repuestos de matafuego de El Galpón (Corrientes): 48 h de preparación + Correo Argentino en 2 a 5 días hábiles (nadie publica el plazo de esta pieza). Otro link: https://www.correoargentino.com.ar/MiCorreo/public/infopaqarpymes</t>
        </r>
      </text>
    </comment>
    <comment ref="K61" authorId="0">
      <text>
        <r>
          <rPr>
            <sz val="10"/>
            <rFont val="Arial"/>
            <family val="2"/>
          </rPr>
          <t xml:space="preserve">Aproximado con los repuestos de matafuego de El Galpón (Corrientes): 48 h de preparación + Correo Argentino en 2 a 5 días hábiles (nadie publica el plazo de esta pieza). Otro link: https://www.correoargentino.com.ar/MiCorreo/public/infopaqarpymes</t>
        </r>
      </text>
    </comment>
    <comment ref="K62" authorId="0">
      <text>
        <r>
          <rPr>
            <sz val="10"/>
            <rFont val="Arial"/>
            <family val="2"/>
          </rPr>
          <t xml:space="preserve">Aproximado con los repuestos de matafuego de El Galpón (Corrientes): 48 h de preparación + Correo Argentino en 2 a 5 días hábiles (nadie publica el plazo de esta pieza). Otro link: https://www.correoargentino.com.ar/MiCorreo/public/infopaqarpymes</t>
        </r>
      </text>
    </comment>
    <comment ref="K63" authorId="0">
      <text>
        <r>
          <rPr>
            <sz val="10"/>
            <rFont val="Arial"/>
            <family val="2"/>
          </rPr>
          <t xml:space="preserve">Aproximado con los repuestos de matafuego de El Galpón (Corrientes): 48 h de preparación + Correo Argentino en 2 a 5 días hábiles (nadie publica el plazo de esta pieza). Otro link: https://www.correoargentino.com.ar/MiCorreo/public/infopaqarpymes</t>
        </r>
      </text>
    </comment>
    <comment ref="K64" authorId="0">
      <text>
        <r>
          <rPr>
            <sz val="10"/>
            <rFont val="Arial"/>
            <family val="2"/>
          </rPr>
          <t xml:space="preserve">Aproximado con los repuestos de matafuego de El Galpón (Corrientes): 48 h de preparación + Correo Argentino en 2 a 5 días hábiles (nadie publica el plazo de esta pieza). Otro link: https://www.correoargentino.com.ar/MiCorreo/public/infopaqarpymes</t>
        </r>
      </text>
    </comment>
    <comment ref="K65" authorId="0">
      <text>
        <r>
          <rPr>
            <sz val="10"/>
            <rFont val="Arial"/>
            <family val="2"/>
          </rPr>
          <t xml:space="preserve">Aproximado: El Galpón (Corrientes), válvulas de 1 kg y de 5 y 10 kg, manómetro de 1,4 MPa y manguera de 5 kg: prepara el pedido en 48 h y despacha por Correo Argentino (2 a 5 días hábiles). Otro link: https://www.correoargentino.com.ar/MiCorreo/public/infopaqarpymes</t>
        </r>
      </text>
    </comment>
    <comment ref="K66" authorId="0">
      <text>
        <r>
          <rPr>
            <sz val="10"/>
            <rFont val="Arial"/>
            <family val="2"/>
          </rPr>
          <t xml:space="preserve">Aproximado: El Galpón (Corrientes), válvulas de 1 kg y de 5 y 10 kg, manómetro de 1,4 MPa y manguera de 5 kg: prepara el pedido en 48 h y despacha por Correo Argentino (2 a 5 días hábiles). Otro link: https://www.correoargentino.com.ar/MiCorreo/public/infopaqarpymes</t>
        </r>
      </text>
    </comment>
    <comment ref="K67" authorId="0">
      <text>
        <r>
          <rPr>
            <sz val="10"/>
            <rFont val="Arial"/>
            <family val="2"/>
          </rPr>
          <t xml:space="preserve">Aproximado: El Galpón (Corrientes), válvulas de 1 kg y de 5 y 10 kg, manómetro de 1,4 MPa y manguera de 5 kg: prepara el pedido en 48 h y despacha por Correo Argentino (2 a 5 días hábiles). Otro link: https://www.correoargentino.com.ar/MiCorreo/public/infopaqarpymes</t>
        </r>
      </text>
    </comment>
    <comment ref="K68" authorId="0">
      <text>
        <r>
          <rPr>
            <sz val="10"/>
            <rFont val="Arial"/>
            <family val="2"/>
          </rPr>
          <t xml:space="preserve">Aproximado: El Galpón (Corrientes), válvulas de 1 kg y de 5 y 10 kg, manómetro de 1,4 MPa y manguera de 5 kg: prepara el pedido en 48 h y despacha por Correo Argentino (2 a 5 días hábiles). Otro link: https://www.correoargentino.com.ar/MiCorreo/public/infopaqarpymes</t>
        </r>
      </text>
    </comment>
    <comment ref="K69" authorId="0">
      <text>
        <r>
          <rPr>
            <sz val="10"/>
            <rFont val="Arial"/>
            <family val="2"/>
          </rPr>
          <t xml:space="preserve">Aproximado con los repuestos de matafuego de El Galpón (Corrientes): 48 h de preparación + Correo Argentino en 2 a 5 días hábiles (nadie publica el plazo de esta pieza). Otro link: https://www.correoargentino.com.ar/MiCorreo/public/infopaqarpymes</t>
        </r>
      </text>
    </comment>
    <comment ref="K70" authorId="0">
      <text>
        <r>
          <rPr>
            <sz val="10"/>
            <rFont val="Arial"/>
            <family val="2"/>
          </rPr>
          <t xml:space="preserve">Aproximado con los repuestos de matafuego de El Galpón (Corrientes): 48 h de preparación + Correo Argentino en 2 a 5 días hábiles (nadie publica el plazo de esta pieza). Otro link: https://www.correoargentino.com.ar/MiCorreo/public/infopaqarpymes</t>
        </r>
      </text>
    </comment>
    <comment ref="K71" authorId="0">
      <text>
        <r>
          <rPr>
            <sz val="10"/>
            <rFont val="Arial"/>
            <family val="2"/>
          </rPr>
          <t xml:space="preserve">Aproximado con los repuestos de matafuego de El Galpón (Corrientes): 48 h de preparación + Correo Argentino en 2 a 5 días hábiles (nadie publica el plazo de esta pieza). Otro link: https://www.correoargentino.com.ar/MiCorreo/public/infopaqarpymes</t>
        </r>
      </text>
    </comment>
    <comment ref="K72" authorId="0">
      <text>
        <r>
          <rPr>
            <sz val="10"/>
            <rFont val="Arial"/>
            <family val="2"/>
          </rPr>
          <t xml:space="preserve">Aproximado con los repuestos de matafuego de El Galpón (Corrientes): 48 h de preparación + Correo Argentino en 2 a 5 días hábiles (nadie publica el plazo de esta pieza). Otro link: https://www.correoargentino.com.ar/MiCorreo/public/infopaqarpymes</t>
        </r>
      </text>
    </comment>
    <comment ref="K73" authorId="0">
      <text>
        <r>
          <rPr>
            <sz val="10"/>
            <rFont val="Arial"/>
            <family val="2"/>
          </rPr>
          <t xml:space="preserve">Argensold (Lomas del Mirador): entrega en 72 h a todo el país (su Facebook); 24 h según un directorio antiguo. Otro link: https://editores.com.ar/empresa/argensold</t>
        </r>
      </text>
    </comment>
    <comment ref="K74" authorId="0">
      <text>
        <r>
          <rPr>
            <sz val="10"/>
            <rFont val="Arial"/>
            <family val="2"/>
          </rPr>
          <t xml:space="preserve">Argensold (Lomas del Mirador): entrega en 72 h a todo el país (su Facebook); 24 h según un directorio antiguo. Otro link: https://editores.com.ar/empresa/argensold</t>
        </r>
      </text>
    </comment>
    <comment ref="K75" authorId="0">
      <text>
        <r>
          <rPr>
            <sz val="10"/>
            <rFont val="Arial"/>
            <family val="2"/>
          </rPr>
          <t xml:space="preserve">Argensold (Lomas del Mirador): entrega en 72 h a todo el país (su Facebook); 24 h según un directorio antiguo. Otro link: https://editores.com.ar/empresa/argensold</t>
        </r>
      </text>
    </comment>
    <comment ref="K76" authorId="0">
      <text>
        <r>
          <rPr>
            <sz val="10"/>
            <rFont val="Arial"/>
            <family val="2"/>
          </rPr>
          <t xml:space="preserve">Web Würth Argentina: despacha al día hábil siguiente a la factura y entrega en hasta 5 días hábiles (unos 3 en CABA y AMBA). Otro link: https://www.wurth.com.ar/es/tienda/corte-y-taladro/discos-de-corte/disco-de-corte-premium-355x3-5x25-4.html</t>
        </r>
      </text>
    </comment>
    <comment ref="K77" authorId="0">
      <text>
        <r>
          <rPr>
            <sz val="10"/>
            <rFont val="Arial"/>
            <family val="2"/>
          </rPr>
          <t xml:space="preserve">Web Matafuegos Aconcagua (José C. Paz), soportes de pared de 2,5 a 10 kg y de vehículo de 1 kg: 3 a 7 días hábiles después de acreditado el pago. Otro link: https://www.matafuegosaconcagua.com/productos/soporte-pared-para-matafuego/</t>
        </r>
      </text>
    </comment>
    <comment ref="K78" authorId="0">
      <text>
        <r>
          <rPr>
            <sz val="10"/>
            <rFont val="Arial"/>
            <family val="2"/>
          </rPr>
          <t xml:space="preserve">Web Matafuegos Aconcagua (José C. Paz), soportes de pared de 2,5 a 10 kg y de vehículo de 1 kg: 3 a 7 días hábiles después de acreditado el pago. Otro link: https://www.matafuegosaconcagua.com/productos/soporte-pared-para-matafuego/</t>
        </r>
      </text>
    </comment>
    <comment ref="K79" authorId="0">
      <text>
        <r>
          <rPr>
            <sz val="10"/>
            <rFont val="Arial"/>
            <family val="2"/>
          </rPr>
          <t xml:space="preserve">Web Matafuegos Aconcagua (José C. Paz), soportes de pared de 2,5 a 10 kg y de vehículo de 1 kg: 3 a 7 días hábiles después de acreditado el pago. Otro link: https://www.matafuegosaconcagua.com/productos/soporte-pared-para-matafuego/</t>
        </r>
      </text>
    </comment>
    <comment ref="K80" authorId="0">
      <text>
        <r>
          <rPr>
            <sz val="10"/>
            <rFont val="Arial"/>
            <family val="2"/>
          </rPr>
          <t xml:space="preserve">Web Matafuegos Aconcagua (José C. Paz), soportes de pared de 2,5 a 10 kg y de vehículo de 1 kg: 3 a 7 días hábiles después de acreditado el pago. Otro link: https://www.matafuegosaconcagua.com/productos/soporte-pared-para-matafuego/</t>
        </r>
      </text>
    </comment>
    <comment ref="K81" authorId="0">
      <text>
        <r>
          <rPr>
            <sz val="10"/>
            <rFont val="Arial"/>
            <family val="2"/>
          </rPr>
          <t xml:space="preserve">Web Würth Argentina: despacha al día hábil siguiente a la factura y entrega en hasta 5 días hábiles (unos 3 en CABA y AMBA). Otro link: https://www.wurth.com.ar/es/tienda/corte-y-taladro/discos-de-corte/disco-de-corte-premium-355x3-5x25-4.html</t>
        </r>
      </text>
    </comment>
    <comment ref="K82" authorId="0">
      <text>
        <r>
          <rPr>
            <sz val="10"/>
            <rFont val="Arial"/>
            <family val="2"/>
          </rPr>
          <t xml:space="preserve">Aproximado con los repuestos de matafuego de El Galpón (Corrientes): 48 h de preparación + Correo Argentino en 2 a 5 días hábiles (nadie publica el plazo de esta pieza). Otro link: https://www.correoargentino.com.ar/MiCorreo/public/infopaqarpymes</t>
        </r>
      </text>
    </comment>
    <comment ref="K83" authorId="0">
      <text>
        <r>
          <rPr>
            <sz val="10"/>
            <rFont val="Arial"/>
            <family val="2"/>
          </rPr>
          <t xml:space="preserve">Web Rotolan (Lanús), etiquetas en rollo de 20 a 210 mm de ancho, desde 500 u: 3 a 7 días hábiles</t>
        </r>
      </text>
    </comment>
    <comment ref="K84" authorId="0">
      <text>
        <r>
          <rPr>
            <sz val="10"/>
            <rFont val="Arial"/>
            <family val="2"/>
          </rPr>
          <t xml:space="preserve">Web Rotolan (Lanús), etiquetas en rollo de 20 a 210 mm de ancho, desde 500 u: 3 a 7 días hábiles</t>
        </r>
      </text>
    </comment>
    <comment ref="K85" authorId="0">
      <text>
        <r>
          <rPr>
            <sz val="10"/>
            <rFont val="Arial"/>
            <family val="2"/>
          </rPr>
          <t xml:space="preserve">Web Rotolan (Lanús), etiquetas en rollo de 20 a 210 mm de ancho, desde 500 u: 3 a 7 días hábiles</t>
        </r>
      </text>
    </comment>
    <comment ref="K86" authorId="0">
      <text>
        <r>
          <rPr>
            <sz val="10"/>
            <rFont val="Arial"/>
            <family val="2"/>
          </rPr>
          <t xml:space="preserve">Web RotulArte (CABA), vinilo autoadhesivo full color con laminado, hasta 155 cm de ancho: 24 a 48 h hábiles desde que se aprueba el arte</t>
        </r>
      </text>
    </comment>
    <comment ref="K87" authorId="0">
      <text>
        <r>
          <rPr>
            <sz val="10"/>
            <rFont val="Arial"/>
            <family val="2"/>
          </rPr>
          <t xml:space="preserve">Web RotulArte (CABA), vinilo autoadhesivo full color con laminado, hasta 155 cm de ancho: 24 a 48 h hábiles desde que se aprueba el arte</t>
        </r>
      </text>
    </comment>
    <comment ref="K88" authorId="0">
      <text>
        <r>
          <rPr>
            <sz val="10"/>
            <rFont val="Arial"/>
            <family val="2"/>
          </rPr>
          <t xml:space="preserve">Web RotulArte (CABA), vinilo autoadhesivo full color con laminado, hasta 155 cm de ancho: 24 a 48 h hábiles desde que se aprueba el arte</t>
        </r>
      </text>
    </comment>
    <comment ref="K89" authorId="0">
      <text>
        <r>
          <rPr>
            <sz val="10"/>
            <rFont val="Arial"/>
            <family val="2"/>
          </rPr>
          <t xml:space="preserve">Web RotulArte (CABA), vinilo autoadhesivo full color con laminado, hasta 155 cm de ancho: 24 a 48 h hábiles desde que se aprueba el arte</t>
        </r>
      </text>
    </comment>
    <comment ref="K90" authorId="0">
      <text>
        <r>
          <rPr>
            <sz val="10"/>
            <rFont val="Arial"/>
            <family val="2"/>
          </rPr>
          <t xml:space="preserve">Web RotulArte (CABA), vinilo autoadhesivo full color con laminado, hasta 155 cm de ancho: 24 a 48 h hábiles desde que se aprueba el arte</t>
        </r>
      </text>
    </comment>
    <comment ref="K91" authorId="0">
      <text>
        <r>
          <rPr>
            <sz val="10"/>
            <rFont val="Arial"/>
            <family val="2"/>
          </rPr>
          <t xml:space="preserve">Trámite DPS (Res. 349/07): la Dirección Provincial las expide al representante de la firma inscripta al pagar el arancel (aproximado con el trámite de la AGC)</t>
        </r>
      </text>
    </comment>
    <comment ref="K92" authorId="0">
      <text>
        <r>
          <rPr>
            <sz val="10"/>
            <rFont val="Arial"/>
            <family val="2"/>
          </rPr>
          <t xml:space="preserve">IRAM, procedimiento DC-PG-129 de las marcas de conformidad (al que remite el Anexo R de extintores): las estampillas se piden con 30 días de anticipación = 21 hábiles. Otro link: https://sellos.iram.org.ar/manuales/Anexo_R-Proteccion_contra_Incendios.pdf</t>
        </r>
      </text>
    </comment>
    <comment ref="K93" authorId="0">
      <text>
        <r>
          <rPr>
            <sz val="10"/>
            <rFont val="Arial"/>
            <family val="2"/>
          </rPr>
          <t xml:space="preserve">Trámite AGC: FLAMA genera e imprime las tarjetas en el sistema de la AGC al pagar la boleta; no espera a un proveedor</t>
        </r>
      </text>
    </comment>
    <comment ref="K94" authorId="0">
      <text>
        <r>
          <rPr>
            <sz val="10"/>
            <rFont val="Arial"/>
            <family val="2"/>
          </rPr>
          <t xml:space="preserve">Web Rotolan (Lanús), etiquetas en rollo de 20 a 210 mm de ancho, desde 500 u: 3 a 7 días hábiles</t>
        </r>
      </text>
    </comment>
    <comment ref="K95" authorId="0">
      <text>
        <r>
          <rPr>
            <sz val="10"/>
            <rFont val="Arial"/>
            <family val="2"/>
          </rPr>
          <t xml:space="preserve">Web Rotolan (Lanús), etiquetas en rollo de 20 a 210 mm de ancho, desde 500 u: 3 a 7 días hábiles</t>
        </r>
      </text>
    </comment>
    <comment ref="K96" authorId="0">
      <text>
        <r>
          <rPr>
            <sz val="10"/>
            <rFont val="Arial"/>
            <family val="2"/>
          </rPr>
          <t xml:space="preserve">Web Papelera Damián, que vende los SonFuertes: localidades limítrofes de CABA, 3 a 5 días hábiles</t>
        </r>
      </text>
    </comment>
    <comment ref="K97" authorId="0">
      <text>
        <r>
          <rPr>
            <sz val="10"/>
            <rFont val="Arial"/>
            <family val="2"/>
          </rPr>
          <t xml:space="preserve">Web Rotolan (Lanús), etiquetas en rollo de 20 a 210 mm de ancho, desde 500 u: 3 a 7 días hábiles</t>
        </r>
      </text>
    </comment>
    <comment ref="K98" authorId="0">
      <text>
        <r>
          <rPr>
            <sz val="10"/>
            <rFont val="Arial"/>
            <family val="2"/>
          </rPr>
          <t xml:space="preserve">Aproximado: Martin Morris (Coronel Suárez, PBA), tapones plásticos de rosca macho y hembra (BSP y NPT, polipropileno, ½" a 3"): entrega en 3 a 10 días hábiles desde el despacho (ACPLIND no lo publica). Otro link: https://martinmorris.ar/products/tapa-o-tapon-rosca-hembra-de-1-arag-5344</t>
        </r>
      </text>
    </comment>
    <comment ref="K99" authorId="0">
      <text>
        <r>
          <rPr>
            <sz val="10"/>
            <rFont val="Arial"/>
            <family val="2"/>
          </rPr>
          <t xml:space="preserve">Aproximado: Martin Morris (Coronel Suárez, PBA), tapones plásticos de rosca macho y hembra (BSP y NPT, polipropileno, ½" a 3"): entrega en 3 a 10 días hábiles desde el despacho (ACPLIND no lo publica). Otro link: https://martinmorris.ar/products/tapa-o-tapon-rosca-hembra-de-1-arag-5344</t>
        </r>
      </text>
    </comment>
    <comment ref="K100" authorId="0">
      <text>
        <r>
          <rPr>
            <sz val="10"/>
            <rFont val="Arial"/>
            <family val="2"/>
          </rPr>
          <t xml:space="preserve">Aproximado: Martin Morris (Coronel Suárez, PBA), tapones plásticos de rosca macho y hembra (BSP y NPT, polipropileno, ½" a 3"): entrega en 3 a 10 días hábiles desde el despacho (ACPLIND no lo publica). Otro link: https://martinmorris.ar/products/tapa-o-tapon-rosca-hembra-de-1-arag-5344</t>
        </r>
      </text>
    </comment>
    <comment ref="K101" authorId="0">
      <text>
        <r>
          <rPr>
            <sz val="10"/>
            <rFont val="Arial"/>
            <family val="2"/>
          </rPr>
          <t xml:space="preserve">Guía Todo Lanús, Formas Visuales (Lanús Oeste), imprenta digital y offset: entrega en 24 a 72 h</t>
        </r>
      </text>
    </comment>
    <comment ref="K102" authorId="0">
      <text>
        <r>
          <rPr>
            <sz val="10"/>
            <rFont val="Arial"/>
            <family val="2"/>
          </rPr>
          <t xml:space="preserve">Web Rotolan (Lanús), etiquetas en rollo de 20 a 210 mm de ancho, desde 500 u: 3 a 7 días hábiles</t>
        </r>
      </text>
    </comment>
    <comment ref="K103" authorId="0">
      <text>
        <r>
          <rPr>
            <sz val="10"/>
            <rFont val="Arial"/>
            <family val="2"/>
          </rPr>
          <t xml:space="preserve">Web Papelera Damián, que vende los SonFuertes: localidades limítrofes de CABA, 3 a 5 días hábiles</t>
        </r>
      </text>
    </comment>
    <comment ref="K104" authorId="0">
      <text>
        <r>
          <rPr>
            <sz val="10"/>
            <rFont val="Arial"/>
            <family val="2"/>
          </rPr>
          <t xml:space="preserve">Web Rotolan (Lanús), etiquetas en rollo de 20 a 210 mm de ancho, desde 500 u: 3 a 7 días hábiles</t>
        </r>
      </text>
    </comment>
    <comment ref="K105" authorId="0">
      <text>
        <r>
          <rPr>
            <sz val="10"/>
            <rFont val="Arial"/>
            <family val="2"/>
          </rPr>
          <t xml:space="preserve">Trámite DPS (Res. 349/07): la Dirección Provincial las expide al representante de la firma inscripta al pagar el arancel (aproximado con el trámite de la AGC)</t>
        </r>
      </text>
    </comment>
    <comment ref="K106" authorId="0">
      <text>
        <r>
          <rPr>
            <sz val="10"/>
            <rFont val="Arial"/>
            <family val="2"/>
          </rPr>
          <t xml:space="preserve">Trámite DPS (Res. 349/07): la Dirección Provincial las expide al representante de la firma inscripta al pagar el arancel (aproximado con el trámite de la AGC)</t>
        </r>
      </text>
    </comment>
    <comment ref="K107" authorId="0">
      <text>
        <r>
          <rPr>
            <sz val="10"/>
            <rFont val="Arial"/>
            <family val="2"/>
          </rPr>
          <t xml:space="preserve">Web Rotolan (Lanús), etiquetas en rollo de 20 a 210 mm de ancho, desde 500 u: 3 a 7 días hábiles</t>
        </r>
      </text>
    </comment>
    <comment ref="K108" authorId="0">
      <text>
        <r>
          <rPr>
            <sz val="10"/>
            <rFont val="Arial"/>
            <family val="2"/>
          </rPr>
          <t xml:space="preserve">Trámite DPS (Res. 349/07): la Dirección Provincial las expide al representante de la firma inscripta al pagar el arancel (aproximado con el trámite de la AGC)</t>
        </r>
      </text>
    </comment>
    <comment ref="K109" authorId="0">
      <text>
        <r>
          <rPr>
            <sz val="10"/>
            <rFont val="Arial"/>
            <family val="2"/>
          </rPr>
          <t xml:space="preserve">Trámite AGC: FLAMA genera e imprime las tarjetas en el sistema de la AGC al pagar la boleta; no espera a un proveedor</t>
        </r>
      </text>
    </comment>
    <comment ref="K110" authorId="0">
      <text>
        <r>
          <rPr>
            <sz val="10"/>
            <rFont val="Arial"/>
            <family val="2"/>
          </rPr>
          <t xml:space="preserve">Aproximado: Pinturerías Mafer, que vende los esmaltes sintéticos de Sinteplast: 2 a 10 días hábiles en CABA y GBA. Otro link: https://www.pintureriasmafer.com.ar/hogar-y-obra/esmaltes-sinteticos/</t>
        </r>
      </text>
    </comment>
    <comment ref="K111" authorId="0">
      <text>
        <r>
          <rPr>
            <sz val="10"/>
            <rFont val="Arial"/>
            <family val="2"/>
          </rPr>
          <t xml:space="preserve">Web Sellerpack (Pompeya, CABA), cajas a medida: 10 a 15 días desde que se aprueba la prueba final (la primera vez, +5 a 10 si lleva troquel nuevo). Otro link: https://sellerpack.com.ar/cajas/exhibidor/</t>
        </r>
      </text>
    </comment>
    <comment ref="K112" authorId="0">
      <text>
        <r>
          <rPr>
            <sz val="10"/>
            <rFont val="Arial"/>
            <family val="2"/>
          </rPr>
          <t xml:space="preserve">Web Sellerpack (Pompeya, CABA), cajas a medida: 10 a 15 días desde que se aprueba la prueba final (la primera vez, +5 a 10 si lleva troquel nuevo). Otro link: https://sellerpack.com.ar/cajas/exhibidor/</t>
        </r>
      </text>
    </comment>
    <comment ref="K113" authorId="0">
      <text>
        <r>
          <rPr>
            <sz val="10"/>
            <rFont val="Arial"/>
            <family val="2"/>
          </rPr>
          <t xml:space="preserve">Web Sellerpack (Pompeya, CABA), cajas a medida: 10 a 15 días desde que se aprueba la prueba final (la primera vez, +5 a 10 si lleva troquel nuevo). Otro link: https://sellerpack.com.ar/cajas/exhibidor/</t>
        </r>
      </text>
    </comment>
    <comment ref="K114" authorId="0">
      <text>
        <r>
          <rPr>
            <sz val="10"/>
            <rFont val="Arial"/>
            <family val="2"/>
          </rPr>
          <t xml:space="preserve">Web Sellerpack (Pompeya, CABA), cajas a medida: 10 a 15 días desde que se aprueba la prueba final (la primera vez, +5 a 10 si lleva troquel nuevo). Otro link: https://sellerpack.com.ar/cajas/exhibidor/</t>
        </r>
      </text>
    </comment>
    <comment ref="K115" authorId="0">
      <text>
        <r>
          <rPr>
            <sz val="10"/>
            <rFont val="Arial"/>
            <family val="2"/>
          </rPr>
          <t xml:space="preserve">Web Rotolan (Lanús), etiquetas en rollo de 20 a 210 mm de ancho, desde 500 u: 3 a 7 días hábiles</t>
        </r>
      </text>
    </comment>
    <comment ref="K116" authorId="0">
      <text>
        <r>
          <rPr>
            <sz val="10"/>
            <rFont val="Arial"/>
            <family val="2"/>
          </rPr>
          <t xml:space="preserve">Aproximado: web Depallet, pallets: entrega en 24 a 72 h (IndusPallets no lo publica)</t>
        </r>
      </text>
    </comment>
    <comment ref="K117" authorId="0">
      <text>
        <r>
          <rPr>
            <sz val="10"/>
            <rFont val="Arial"/>
            <family val="2"/>
          </rPr>
          <t xml:space="preserve">Web Rotolan (Lanús), etiquetas en rollo de 20 a 210 mm de ancho, desde 500 u: 3 a 7 días hábiles</t>
        </r>
      </text>
    </comment>
    <comment ref="K118" authorId="0">
      <text>
        <r>
          <rPr>
            <sz val="10"/>
            <rFont val="Arial"/>
            <family val="2"/>
          </rPr>
          <t xml:space="preserve">Web Maxiseguridad (Munro): entrega a domicilio a las 48 h del pedido por la web (nota antigua); su catálogo tiene agua y AFFF 10 l, AFFF 50 l, BC 5 kg y CO₂ 2 kg. Otro link: https://catalogo.maxiseguridad.com.ar/index.php</t>
        </r>
      </text>
    </comment>
    <comment ref="K119" authorId="0">
      <text>
        <r>
          <rPr>
            <sz val="10"/>
            <rFont val="Arial"/>
            <family val="2"/>
          </rPr>
          <t xml:space="preserve">Web Maxiseguridad (Munro): entrega a domicilio a las 48 h del pedido por la web (nota antigua); su catálogo tiene agua y AFFF 10 l, AFFF 50 l, BC 5 kg y CO₂ 2 kg. Otro link: https://catalogo.maxiseguridad.com.ar/index.php</t>
        </r>
      </text>
    </comment>
    <comment ref="K120" authorId="0">
      <text>
        <r>
          <rPr>
            <sz val="10"/>
            <rFont val="Arial"/>
            <family val="2"/>
          </rPr>
          <t xml:space="preserve">Web Maxiseguridad (Munro): entrega a domicilio a las 48 h del pedido por la web (nota antigua); su catálogo tiene agua y AFFF 10 l, AFFF 50 l, BC 5 kg y CO₂ 2 kg. Otro link: https://catalogo.maxiseguridad.com.ar/index.php</t>
        </r>
      </text>
    </comment>
    <comment ref="K121" authorId="0">
      <text>
        <r>
          <rPr>
            <sz val="10"/>
            <rFont val="Arial"/>
            <family val="2"/>
          </rPr>
          <t xml:space="preserve">Web Maxiseguridad (Munro): entrega a domicilio a las 48 h del pedido por la web (nota antigua); su catálogo tiene agua y AFFF 10 l, AFFF 50 l, BC 5 kg y CO₂ 2 kg. Otro link: https://catalogo.maxiseguridad.com.ar/index.php</t>
        </r>
      </text>
    </comment>
    <comment ref="K122" authorId="0">
      <text>
        <r>
          <rPr>
            <sz val="10"/>
            <rFont val="Arial"/>
            <family val="2"/>
          </rPr>
          <t xml:space="preserve">Web Matafuegos Rodo: entrega en 24/48 h en CABA y GBA (ABC, CO₂ 3,5 y 5 kg, K 6 l y HCFC 5 kg)</t>
        </r>
      </text>
    </comment>
    <comment ref="K123" authorId="0">
      <text>
        <r>
          <rPr>
            <sz val="10"/>
            <rFont val="Arial"/>
            <family val="2"/>
          </rPr>
          <t xml:space="preserve">Web Maxiseguridad (Munro): entrega a domicilio a las 48 h del pedido por la web (nota antigua); su catálogo tiene agua y AFFF 10 l, AFFF 50 l, BC 5 kg y CO₂ 2 kg. Otro link: https://catalogo.maxiseguridad.com.ar/index.php</t>
        </r>
      </text>
    </comment>
    <comment ref="K124" authorId="0">
      <text>
        <r>
          <rPr>
            <sz val="10"/>
            <rFont val="Arial"/>
            <family val="2"/>
          </rPr>
          <t xml:space="preserve">Web Matafuegos Rodo: entrega en 24/48 h en CABA y GBA (ABC, CO₂ 3,5 y 5 kg, K 6 l y HCFC 5 kg)</t>
        </r>
      </text>
    </comment>
    <comment ref="K125" authorId="0">
      <text>
        <r>
          <rPr>
            <sz val="10"/>
            <rFont val="Arial"/>
            <family val="2"/>
          </rPr>
          <t xml:space="preserve">Web Matafuegos Rodo: entrega en 24/48 h en CABA y GBA (ABC, CO₂ 3,5 y 5 kg, K 6 l y HCFC 5 kg)</t>
        </r>
      </text>
    </comment>
    <comment ref="K126" authorId="0">
      <text>
        <r>
          <rPr>
            <sz val="10"/>
            <rFont val="Arial"/>
            <family val="2"/>
          </rPr>
          <t xml:space="preserve">Aproximado: Matafuegos Aconcagua vende el extintor clase D de 5 kg (se encarga indicando los metales): 3 a 7 días hábiles después de acreditado el pago. Otro link: https://www.matafuegosaconcagua.com/productos/soporte-pared-para-matafuego/</t>
        </r>
      </text>
    </comment>
  </commentList>
</comments>
</file>

<file path=xl/sharedStrings.xml><?xml version="1.0" encoding="utf-8"?>
<sst xmlns="http://schemas.openxmlformats.org/spreadsheetml/2006/main" count="2666" uniqueCount="1013">
  <si>
    <t xml:space="preserve">DEMANDA (unidades por año)</t>
  </si>
  <si>
    <t xml:space="preserve">Ref.</t>
  </si>
  <si>
    <t xml:space="preserve">Línea</t>
  </si>
  <si>
    <t xml:space="preserve">Producto</t>
  </si>
  <si>
    <t xml:space="preserve">D01</t>
  </si>
  <si>
    <t xml:space="preserve">RECARGAS</t>
  </si>
  <si>
    <t xml:space="preserve">Parte de la planta industrial</t>
  </si>
  <si>
    <t xml:space="preserve">D02</t>
  </si>
  <si>
    <t xml:space="preserve">% de unidades nuevas que van a CABA</t>
  </si>
  <si>
    <t xml:space="preserve">D03</t>
  </si>
  <si>
    <t xml:space="preserve">% de recargas de la planta industrial en CABA</t>
  </si>
  <si>
    <t xml:space="preserve">D04</t>
  </si>
  <si>
    <t xml:space="preserve">% de recargas de equipos usados</t>
  </si>
  <si>
    <t xml:space="preserve">D05</t>
  </si>
  <si>
    <t xml:space="preserve">MANUALES</t>
  </si>
  <si>
    <t xml:space="preserve">Matafuego ABC 1 kg</t>
  </si>
  <si>
    <t xml:space="preserve">D06</t>
  </si>
  <si>
    <t xml:space="preserve">Matafuego ABC 2,5 kg</t>
  </si>
  <si>
    <t xml:space="preserve">D07</t>
  </si>
  <si>
    <t xml:space="preserve">Matafuego ABC 5 kg</t>
  </si>
  <si>
    <t xml:space="preserve">D08</t>
  </si>
  <si>
    <t xml:space="preserve">Matafuego ABC 10 kg</t>
  </si>
  <si>
    <t xml:space="preserve">D09</t>
  </si>
  <si>
    <t xml:space="preserve">Cilindro ABC 1 kg vacío</t>
  </si>
  <si>
    <t xml:space="preserve">D10</t>
  </si>
  <si>
    <t xml:space="preserve">Cilindro ABC 2,5 kg vacío</t>
  </si>
  <si>
    <t xml:space="preserve">D11</t>
  </si>
  <si>
    <t xml:space="preserve">Cilindro ABC 5 kg vacío</t>
  </si>
  <si>
    <t xml:space="preserve">D12</t>
  </si>
  <si>
    <t xml:space="preserve">Cilindro ABC 10 kg vacío</t>
  </si>
  <si>
    <t xml:space="preserve">D13</t>
  </si>
  <si>
    <t xml:space="preserve">RODANTES</t>
  </si>
  <si>
    <t xml:space="preserve">Matafuego ABC 25 kg</t>
  </si>
  <si>
    <t xml:space="preserve">D14</t>
  </si>
  <si>
    <t xml:space="preserve">Matafuego ABC 50 kg</t>
  </si>
  <si>
    <t xml:space="preserve">D15</t>
  </si>
  <si>
    <t xml:space="preserve">Matafuego ABC 70 kg</t>
  </si>
  <si>
    <t xml:space="preserve">D16</t>
  </si>
  <si>
    <t xml:space="preserve">Matafuego ABC 100 kg</t>
  </si>
  <si>
    <t xml:space="preserve">D17</t>
  </si>
  <si>
    <t xml:space="preserve">Cilindro ABC 25 kg vacío</t>
  </si>
  <si>
    <t xml:space="preserve">D18</t>
  </si>
  <si>
    <t xml:space="preserve">Cilindro ABC 50 kg vacío</t>
  </si>
  <si>
    <t xml:space="preserve">D19</t>
  </si>
  <si>
    <t xml:space="preserve">Cilindro ABC 70 kg vacío</t>
  </si>
  <si>
    <t xml:space="preserve">D20</t>
  </si>
  <si>
    <t xml:space="preserve">Cilindro ABC 100 kg vacío</t>
  </si>
  <si>
    <t xml:space="preserve">D21</t>
  </si>
  <si>
    <t xml:space="preserve">Recarga ABC 1 kg</t>
  </si>
  <si>
    <t xml:space="preserve">D22</t>
  </si>
  <si>
    <t xml:space="preserve">Recarga ABC 2,5 kg</t>
  </si>
  <si>
    <t xml:space="preserve">D23</t>
  </si>
  <si>
    <t xml:space="preserve">Recarga ABC 5 kg</t>
  </si>
  <si>
    <t xml:space="preserve">D24</t>
  </si>
  <si>
    <t xml:space="preserve">Recarga ABC 10 kg</t>
  </si>
  <si>
    <t xml:space="preserve">D25</t>
  </si>
  <si>
    <t xml:space="preserve">Recarga Agua 10 l</t>
  </si>
  <si>
    <t xml:space="preserve">D26</t>
  </si>
  <si>
    <t xml:space="preserve">Recarga AFFF 10 l</t>
  </si>
  <si>
    <t xml:space="preserve">D27</t>
  </si>
  <si>
    <t xml:space="preserve">Recarga AFFF 50 l</t>
  </si>
  <si>
    <t xml:space="preserve">D28</t>
  </si>
  <si>
    <t xml:space="preserve">Recarga BC 5 kg</t>
  </si>
  <si>
    <t xml:space="preserve">D29</t>
  </si>
  <si>
    <t xml:space="preserve">Recarga Clase K 6 l</t>
  </si>
  <si>
    <t xml:space="preserve">D30</t>
  </si>
  <si>
    <t xml:space="preserve">Recarga CO₂ 2 kg</t>
  </si>
  <si>
    <t xml:space="preserve">D31</t>
  </si>
  <si>
    <t xml:space="preserve">Recarga CO₂ 5 kg</t>
  </si>
  <si>
    <t xml:space="preserve">D32</t>
  </si>
  <si>
    <t xml:space="preserve">Recarga HCFC 5 kg</t>
  </si>
  <si>
    <t xml:space="preserve">D33</t>
  </si>
  <si>
    <t xml:space="preserve">Recarga Clase D 9 l</t>
  </si>
  <si>
    <t xml:space="preserve">D34</t>
  </si>
  <si>
    <t xml:space="preserve">Recarga ABC 25 kg</t>
  </si>
  <si>
    <t xml:space="preserve">D35</t>
  </si>
  <si>
    <t xml:space="preserve">Recarga ABC 50 kg</t>
  </si>
  <si>
    <t xml:space="preserve">D36</t>
  </si>
  <si>
    <t xml:space="preserve">Recarga ABC 70 kg</t>
  </si>
  <si>
    <t xml:space="preserve">D37</t>
  </si>
  <si>
    <t xml:space="preserve">Recarga ABC 100 kg</t>
  </si>
  <si>
    <t xml:space="preserve">D38</t>
  </si>
  <si>
    <t xml:space="preserve">Sustitutos nuevos (kit)</t>
  </si>
  <si>
    <t xml:space="preserve">D39</t>
  </si>
  <si>
    <t xml:space="preserve">REVENDIDOS</t>
  </si>
  <si>
    <t xml:space="preserve">Matafuego Agua 10 l</t>
  </si>
  <si>
    <t xml:space="preserve">D40</t>
  </si>
  <si>
    <t xml:space="preserve">Matafuego AFFF 10 l</t>
  </si>
  <si>
    <t xml:space="preserve">D41</t>
  </si>
  <si>
    <t xml:space="preserve">Matafuego AFFF 50 l</t>
  </si>
  <si>
    <t xml:space="preserve">D42</t>
  </si>
  <si>
    <t xml:space="preserve">Matafuego BC 5 kg</t>
  </si>
  <si>
    <t xml:space="preserve">D43</t>
  </si>
  <si>
    <t xml:space="preserve">Matafuego Clase K 6 l</t>
  </si>
  <si>
    <t xml:space="preserve">D44</t>
  </si>
  <si>
    <t xml:space="preserve">Matafuego CO₂ 2 kg</t>
  </si>
  <si>
    <t xml:space="preserve">D45</t>
  </si>
  <si>
    <t xml:space="preserve">Matafuego CO₂ 5 kg</t>
  </si>
  <si>
    <t xml:space="preserve">D46</t>
  </si>
  <si>
    <t xml:space="preserve">Matafuego HCFC 5 kg</t>
  </si>
  <si>
    <t xml:space="preserve">D47</t>
  </si>
  <si>
    <t xml:space="preserve">Matafuego Clase D 9 l</t>
  </si>
  <si>
    <t xml:space="preserve">ESTACIONALIDAD: producción mensual del año 2035</t>
  </si>
  <si>
    <t xml:space="preserve">Perfil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</si>
  <si>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</si>
  <si>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</si>
  <si>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</si>
  <si>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</si>
  <si>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</si>
  <si>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</si>
  <si>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</si>
  <si>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</si>
  <si>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</si>
  <si>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</si>
  <si>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</si>
  <si>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</si>
  <si>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</t>
  </si>
  <si>
    <t xml:space="preserve">E01</t>
  </si>
  <si>
    <t xml:space="preserve">Automovilístico (1 kg)</t>
  </si>
  <si>
    <t xml:space="preserve">E02</t>
  </si>
  <si>
    <t xml:space="preserve">Manual comercial (2,5 / 5 / 10 kg)</t>
  </si>
  <si>
    <t xml:space="preserve">E03</t>
  </si>
  <si>
    <t xml:space="preserve">Industrial s/ruedas (25 – 100 kg)</t>
  </si>
  <si>
    <t xml:space="preserve">E04</t>
  </si>
  <si>
    <t xml:space="preserve">Recargas (sin estacionalidad)</t>
  </si>
  <si>
    <t xml:space="preserve">Mes pico del producto</t>
  </si>
  <si>
    <t xml:space="preserve">Total manuales</t>
  </si>
  <si>
    <t xml:space="preserve">Total rodantes</t>
  </si>
  <si>
    <t xml:space="preserve">Total recargas</t>
  </si>
  <si>
    <t xml:space="preserve">Total revendidos</t>
  </si>
  <si>
    <t xml:space="preserve">Mes pico</t>
  </si>
  <si>
    <t xml:space="preserve">N.º de mes</t>
  </si>
  <si>
    <t xml:space="preserve">Unidades del mes pico</t>
  </si>
  <si>
    <t xml:space="preserve">Promedio mensual</t>
  </si>
  <si>
    <t xml:space="preserve">Factor de pico</t>
  </si>
  <si>
    <t xml:space="preserve">E05</t>
  </si>
  <si>
    <t xml:space="preserve">E06</t>
  </si>
  <si>
    <t xml:space="preserve">E07</t>
  </si>
  <si>
    <t xml:space="preserve">E08</t>
  </si>
  <si>
    <t xml:space="preserve">MANUALES: consumo por unidad de producto y lo que hay que comprar</t>
  </si>
  <si>
    <t xml:space="preserve">Código</t>
  </si>
  <si>
    <t xml:space="preserve">Material</t>
  </si>
  <si>
    <t xml:space="preserve">UM</t>
  </si>
  <si>
    <t xml:space="preserve">Destino</t>
  </si>
  <si>
    <t xml:space="preserve">ABC 1 kg</t>
  </si>
  <si>
    <t xml:space="preserve">ABC 2,5 kg</t>
  </si>
  <si>
    <t xml:space="preserve">ABC 5 kg</t>
  </si>
  <si>
    <t xml:space="preserve">ABC 10 kg</t>
  </si>
  <si>
    <t xml:space="preserve">Cilindro ABC 1 kg</t>
  </si>
  <si>
    <t xml:space="preserve">Cilindro ABC 2,5 kg</t>
  </si>
  <si>
    <t xml:space="preserve">Cilindro ABC 5 kg</t>
  </si>
  <si>
    <t xml:space="preserve">Cilindro ABC 10 kg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</si>
  <si>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</si>
  <si>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</si>
  <si>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</si>
  <si>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</si>
  <si>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</si>
  <si>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</si>
  <si>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</si>
  <si>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</si>
  <si>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</si>
  <si>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</si>
  <si>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Mes pico 2035</t>
  </si>
  <si>
    <t xml:space="preserve">Demanda 2026</t>
  </si>
  <si>
    <t xml:space="preserve">Demanda 2027</t>
  </si>
  <si>
    <t xml:space="preserve">Demanda 2028</t>
  </si>
  <si>
    <t xml:space="preserve">Demanda 2029</t>
  </si>
  <si>
    <t xml:space="preserve">Demanda 2030</t>
  </si>
  <si>
    <t xml:space="preserve">Demanda 2031</t>
  </si>
  <si>
    <t xml:space="preserve">Demanda 2032</t>
  </si>
  <si>
    <t xml:space="preserve">Demanda 2033</t>
  </si>
  <si>
    <t xml:space="preserve">Demanda 2034</t>
  </si>
  <si>
    <t xml:space="preserve">Demanda 2035</t>
  </si>
  <si>
    <t xml:space="preserve">Producción del mes pico de cada producto, 2035</t>
  </si>
  <si>
    <t xml:space="preserve">CONSUMO POR UNIDAD (cantidad del material por cada producto)</t>
  </si>
  <si>
    <t xml:space="preserve">M01</t>
  </si>
  <si>
    <t xml:space="preserve">MP-01</t>
  </si>
  <si>
    <t xml:space="preserve">Caño c/costura Ø76,2 × 1,25 × 6 m (cuerpo 1 kg)</t>
  </si>
  <si>
    <t xml:space="preserve">barra</t>
  </si>
  <si>
    <t xml:space="preserve">M02</t>
  </si>
  <si>
    <t xml:space="preserve">MP-02</t>
  </si>
  <si>
    <t xml:space="preserve">Hoja LAF 1,25 × 1220 × 2440 mm</t>
  </si>
  <si>
    <t xml:space="preserve">hoja</t>
  </si>
  <si>
    <t xml:space="preserve">M03</t>
  </si>
  <si>
    <t xml:space="preserve">MP-03</t>
  </si>
  <si>
    <t xml:space="preserve">Hoja LAF 1,6 × 1000 × 2000 mm</t>
  </si>
  <si>
    <t xml:space="preserve">M04</t>
  </si>
  <si>
    <t xml:space="preserve">MP-04</t>
  </si>
  <si>
    <t xml:space="preserve">Hoja LAF 2,0 × 1500 × 3000 mm</t>
  </si>
  <si>
    <t xml:space="preserve">M05</t>
  </si>
  <si>
    <t xml:space="preserve">MP-05</t>
  </si>
  <si>
    <t xml:space="preserve">Fleje LAF 0,9 × 114 mm (cúpula 1 kg)</t>
  </si>
  <si>
    <t xml:space="preserve">kg</t>
  </si>
  <si>
    <t xml:space="preserve">M06</t>
  </si>
  <si>
    <t xml:space="preserve">MP-13</t>
  </si>
  <si>
    <t xml:space="preserve">Fleje LAF 1,25 × 135 mm (fondo 1 kg)</t>
  </si>
  <si>
    <t xml:space="preserve">M07</t>
  </si>
  <si>
    <t xml:space="preserve">MP-06</t>
  </si>
  <si>
    <t xml:space="preserve">Fleje LAF 1,25 × 200 mm (cúpula y fondo 2,5 kg)</t>
  </si>
  <si>
    <t xml:space="preserve">M08</t>
  </si>
  <si>
    <t xml:space="preserve">MP-07</t>
  </si>
  <si>
    <t xml:space="preserve">Fleje LAF 1,6 × 250 mm (cúpula 5 kg)</t>
  </si>
  <si>
    <t xml:space="preserve">M09</t>
  </si>
  <si>
    <t xml:space="preserve">MP-08</t>
  </si>
  <si>
    <t xml:space="preserve">Fleje LAF 1,6 × 200 mm (fondo 5 kg)</t>
  </si>
  <si>
    <t xml:space="preserve">M10</t>
  </si>
  <si>
    <t xml:space="preserve">MP-09</t>
  </si>
  <si>
    <t xml:space="preserve">Fleje LAF 1,6 × 300 mm (cúpula 10 kg)</t>
  </si>
  <si>
    <t xml:space="preserve">M11</t>
  </si>
  <si>
    <t xml:space="preserve">MP-10</t>
  </si>
  <si>
    <t xml:space="preserve">Fleje LAF 2,0 × 249 mm (fondo 10 kg)</t>
  </si>
  <si>
    <t xml:space="preserve">M12</t>
  </si>
  <si>
    <t xml:space="preserve">MP-18</t>
  </si>
  <si>
    <t xml:space="preserve">Asiento de válvula M22 × 1,5 (1 kg)</t>
  </si>
  <si>
    <t xml:space="preserve">u</t>
  </si>
  <si>
    <t xml:space="preserve">M13</t>
  </si>
  <si>
    <t xml:space="preserve">MP-19</t>
  </si>
  <si>
    <t xml:space="preserve">Asiento de válvula M30 × 1,5 (2,5 a 10 kg)</t>
  </si>
  <si>
    <t xml:space="preserve">M14</t>
  </si>
  <si>
    <t xml:space="preserve">MP-23</t>
  </si>
  <si>
    <t xml:space="preserve">Alambre MAG ER70S-6 Ø0,9 mm (manuales)</t>
  </si>
  <si>
    <t xml:space="preserve">M15</t>
  </si>
  <si>
    <t xml:space="preserve">MP-25</t>
  </si>
  <si>
    <t xml:space="preserve">Gas MAG Ar + 8 % CO₂ (Arcal 21)</t>
  </si>
  <si>
    <t xml:space="preserve">m³</t>
  </si>
  <si>
    <t xml:space="preserve">M16</t>
  </si>
  <si>
    <t xml:space="preserve">MP-28</t>
  </si>
  <si>
    <t xml:space="preserve">Granalla de acero S330 / S390</t>
  </si>
  <si>
    <t xml:space="preserve">M17</t>
  </si>
  <si>
    <t xml:space="preserve">MP-31</t>
  </si>
  <si>
    <t xml:space="preserve">Pintura en polvo poliéster rojo 03-1-050</t>
  </si>
  <si>
    <t xml:space="preserve">M18</t>
  </si>
  <si>
    <t xml:space="preserve">MP-33</t>
  </si>
  <si>
    <t xml:space="preserve">Polvo ABC 60 (manuales y sus recargas)</t>
  </si>
  <si>
    <t xml:space="preserve">M19</t>
  </si>
  <si>
    <t xml:space="preserve">MP-34</t>
  </si>
  <si>
    <t xml:space="preserve">Nitrógeno seco</t>
  </si>
  <si>
    <t xml:space="preserve">M20</t>
  </si>
  <si>
    <t xml:space="preserve">MP-42</t>
  </si>
  <si>
    <t xml:space="preserve">Válvula HZ M-22 con tubo de pesca (1 kg)</t>
  </si>
  <si>
    <t xml:space="preserve">M21</t>
  </si>
  <si>
    <t xml:space="preserve">MP-43</t>
  </si>
  <si>
    <t xml:space="preserve">Válvula HZ M-30 con resorte, sin tubo pescante (2,5 a 10 kg)</t>
  </si>
  <si>
    <t xml:space="preserve">M22</t>
  </si>
  <si>
    <t xml:space="preserve">MP-45</t>
  </si>
  <si>
    <t xml:space="preserve">Manómetro 1,4 MPa</t>
  </si>
  <si>
    <t xml:space="preserve">M23</t>
  </si>
  <si>
    <t xml:space="preserve">MP-46/ABC2.5</t>
  </si>
  <si>
    <t xml:space="preserve">Tubo pescante de PVC rígido, ABC 2,5 kg</t>
  </si>
  <si>
    <t xml:space="preserve">M24</t>
  </si>
  <si>
    <t xml:space="preserve">MP-46/ABC5</t>
  </si>
  <si>
    <t xml:space="preserve">Tubo pescante de PVC rígido, ABC 5 kg</t>
  </si>
  <si>
    <t xml:space="preserve">M25</t>
  </si>
  <si>
    <t xml:space="preserve">MP-46/ABC10</t>
  </si>
  <si>
    <t xml:space="preserve">Tubo pescante de PVC rígido, ABC 10 kg</t>
  </si>
  <si>
    <t xml:space="preserve">M26</t>
  </si>
  <si>
    <t xml:space="preserve">MP-48/ABC1</t>
  </si>
  <si>
    <t xml:space="preserve">Tobera ABC 1 kg</t>
  </si>
  <si>
    <t xml:space="preserve">M27</t>
  </si>
  <si>
    <t xml:space="preserve">MP-48/ABC2.5</t>
  </si>
  <si>
    <t xml:space="preserve">Manguera con tobera ABC 2,5 kg</t>
  </si>
  <si>
    <t xml:space="preserve">M28</t>
  </si>
  <si>
    <t xml:space="preserve">MP-48/ABC5</t>
  </si>
  <si>
    <t xml:space="preserve">Manguera con tobera ABC 5 kg</t>
  </si>
  <si>
    <t xml:space="preserve">M29</t>
  </si>
  <si>
    <t xml:space="preserve">MP-48/ABC10</t>
  </si>
  <si>
    <t xml:space="preserve">Manguera con tobera ABC 10 kg</t>
  </si>
  <si>
    <t xml:space="preserve">M30</t>
  </si>
  <si>
    <t xml:space="preserve">MP-50/M22</t>
  </si>
  <si>
    <t xml:space="preserve">Junta tórica del cuello M22</t>
  </si>
  <si>
    <t xml:space="preserve">M31</t>
  </si>
  <si>
    <t xml:space="preserve">MP-50/M30</t>
  </si>
  <si>
    <t xml:space="preserve">Junta tórica del cuello M30</t>
  </si>
  <si>
    <t xml:space="preserve">M32</t>
  </si>
  <si>
    <t xml:space="preserve">MP-52/ABC2.5</t>
  </si>
  <si>
    <t xml:space="preserve">Soporte de pared ABC 2,5 kg</t>
  </si>
  <si>
    <t xml:space="preserve">M33</t>
  </si>
  <si>
    <t xml:space="preserve">MP-52/ABC5</t>
  </si>
  <si>
    <t xml:space="preserve">Soporte de pared ABC 5 kg</t>
  </si>
  <si>
    <t xml:space="preserve">M34</t>
  </si>
  <si>
    <t xml:space="preserve">MP-52/ABC10</t>
  </si>
  <si>
    <t xml:space="preserve">Soporte de pared ABC 10 kg</t>
  </si>
  <si>
    <t xml:space="preserve">M35</t>
  </si>
  <si>
    <t xml:space="preserve">MP-87</t>
  </si>
  <si>
    <t xml:space="preserve">Soporte vehicular (1 kg)</t>
  </si>
  <si>
    <t xml:space="preserve">M36</t>
  </si>
  <si>
    <t xml:space="preserve">MP-86</t>
  </si>
  <si>
    <t xml:space="preserve">Tornillo y tarugo de fijación</t>
  </si>
  <si>
    <t xml:space="preserve">M37</t>
  </si>
  <si>
    <t xml:space="preserve">MP-56/ABC1</t>
  </si>
  <si>
    <t xml:space="preserve">Etiqueta de características ABC 1 kg</t>
  </si>
  <si>
    <t xml:space="preserve">M38</t>
  </si>
  <si>
    <t xml:space="preserve">MP-56/ABC2.5</t>
  </si>
  <si>
    <t xml:space="preserve">Etiqueta de características ABC 2,5 kg</t>
  </si>
  <si>
    <t xml:space="preserve">M39</t>
  </si>
  <si>
    <t xml:space="preserve">MP-56/ABC5</t>
  </si>
  <si>
    <t xml:space="preserve">Etiqueta de características ABC 5 kg</t>
  </si>
  <si>
    <t xml:space="preserve">M40</t>
  </si>
  <si>
    <t xml:space="preserve">MP-56/ABC10</t>
  </si>
  <si>
    <t xml:space="preserve">Etiqueta de características ABC 10 kg</t>
  </si>
  <si>
    <t xml:space="preserve">M41</t>
  </si>
  <si>
    <t xml:space="preserve">MP-78</t>
  </si>
  <si>
    <t xml:space="preserve">Oblea de fabricación (PBA)</t>
  </si>
  <si>
    <t xml:space="preserve">PBA</t>
  </si>
  <si>
    <t xml:space="preserve">M42</t>
  </si>
  <si>
    <t xml:space="preserve">MP-79</t>
  </si>
  <si>
    <t xml:space="preserve">Estampilla IRAM de conformidad</t>
  </si>
  <si>
    <t xml:space="preserve">M43</t>
  </si>
  <si>
    <t xml:space="preserve">MP-77</t>
  </si>
  <si>
    <t xml:space="preserve">Tarjeta de identificación AGC (CABA)</t>
  </si>
  <si>
    <t xml:space="preserve">CABA</t>
  </si>
  <si>
    <t xml:space="preserve">M44</t>
  </si>
  <si>
    <t xml:space="preserve">MP-80</t>
  </si>
  <si>
    <t xml:space="preserve">Etiqueta de n° de serie GS1</t>
  </si>
  <si>
    <t xml:space="preserve">M45</t>
  </si>
  <si>
    <t xml:space="preserve">MP-81</t>
  </si>
  <si>
    <t xml:space="preserve">Faja de garantía válvula-cuello</t>
  </si>
  <si>
    <t xml:space="preserve">M46</t>
  </si>
  <si>
    <t xml:space="preserve">MP-51</t>
  </si>
  <si>
    <t xml:space="preserve">Precinto de fábrica</t>
  </si>
  <si>
    <t xml:space="preserve">M47</t>
  </si>
  <si>
    <t xml:space="preserve">MP-88</t>
  </si>
  <si>
    <t xml:space="preserve">Etiqueta del cilindro suelto</t>
  </si>
  <si>
    <t xml:space="preserve">M48</t>
  </si>
  <si>
    <t xml:space="preserve">MP-62/M22</t>
  </si>
  <si>
    <t xml:space="preserve">Tapón protector de rosca M22</t>
  </si>
  <si>
    <t xml:space="preserve">M49</t>
  </si>
  <si>
    <t xml:space="preserve">MP-62/M30</t>
  </si>
  <si>
    <t xml:space="preserve">Tapón protector de rosca M30</t>
  </si>
  <si>
    <t xml:space="preserve">M50</t>
  </si>
  <si>
    <t xml:space="preserve">MP-85</t>
  </si>
  <si>
    <t xml:space="preserve">Impresos (protocolo de ensayo, remito de préstamo)</t>
  </si>
  <si>
    <t xml:space="preserve">M51</t>
  </si>
  <si>
    <t xml:space="preserve">MP-59/ABC1</t>
  </si>
  <si>
    <t xml:space="preserve">Caja de cartón simple ABC 1 kg</t>
  </si>
  <si>
    <t xml:space="preserve">M52</t>
  </si>
  <si>
    <t xml:space="preserve">MP-59/ABC2.5</t>
  </si>
  <si>
    <t xml:space="preserve">Caja de cartón simple ABC 2,5 kg</t>
  </si>
  <si>
    <t xml:space="preserve">M53</t>
  </si>
  <si>
    <t xml:space="preserve">MP-59/ABC5</t>
  </si>
  <si>
    <t xml:space="preserve">Caja de cartón simple ABC 5 kg</t>
  </si>
  <si>
    <t xml:space="preserve">M54</t>
  </si>
  <si>
    <t xml:space="preserve">MP-59/ABC10</t>
  </si>
  <si>
    <t xml:space="preserve">Caja de cartón doble ABC 10 kg</t>
  </si>
  <si>
    <t xml:space="preserve">M55</t>
  </si>
  <si>
    <t xml:space="preserve">MP-89</t>
  </si>
  <si>
    <t xml:space="preserve">Etiqueta de caja</t>
  </si>
  <si>
    <t xml:space="preserve">M56</t>
  </si>
  <si>
    <t xml:space="preserve">MP-60</t>
  </si>
  <si>
    <t xml:space="preserve">Pallet de madera 1200 × 1000</t>
  </si>
  <si>
    <t xml:space="preserve">M57</t>
  </si>
  <si>
    <t xml:space="preserve">MP-90</t>
  </si>
  <si>
    <t xml:space="preserve">Etiqueta de pallet</t>
  </si>
  <si>
    <t xml:space="preserve">RODANTES: consumo por unidad de producto y lo que hay que comprar</t>
  </si>
  <si>
    <t xml:space="preserve">ABC 25 kg</t>
  </si>
  <si>
    <t xml:space="preserve">ABC 50 kg</t>
  </si>
  <si>
    <t xml:space="preserve">ABC 70 kg</t>
  </si>
  <si>
    <t xml:space="preserve">ABC 100 kg</t>
  </si>
  <si>
    <t xml:space="preserve">Cilindro ABC 25 kg</t>
  </si>
  <si>
    <t xml:space="preserve">Cilindro ABC 50 kg</t>
  </si>
  <si>
    <t xml:space="preserve">Cilindro ABC 70 kg</t>
  </si>
  <si>
    <t xml:space="preserve">Cilindro ABC 100 kg</t>
  </si>
  <si>
    <t xml:space="preserve">R01</t>
  </si>
  <si>
    <t xml:space="preserve">MP-11</t>
  </si>
  <si>
    <t xml:space="preserve">Hoja LAC 3,2 × 1500 × 3000 mm</t>
  </si>
  <si>
    <t xml:space="preserve">R02</t>
  </si>
  <si>
    <t xml:space="preserve">MP-12</t>
  </si>
  <si>
    <t xml:space="preserve">Hoja LAC 4,75 × 1500 × 3000 mm</t>
  </si>
  <si>
    <t xml:space="preserve">R03</t>
  </si>
  <si>
    <t xml:space="preserve">MP-15</t>
  </si>
  <si>
    <t xml:space="preserve">Casquete 10" × 3,2 mm (carro 25 kg)</t>
  </si>
  <si>
    <t xml:space="preserve">R04</t>
  </si>
  <si>
    <t xml:space="preserve">MP-16</t>
  </si>
  <si>
    <t xml:space="preserve">Casquete 12" × 3,2 mm (carro 50 kg)</t>
  </si>
  <si>
    <t xml:space="preserve">R05</t>
  </si>
  <si>
    <t xml:space="preserve">MP-17</t>
  </si>
  <si>
    <t xml:space="preserve">Casquete 15" × 4,75 mm (carros 70 y 100 kg)</t>
  </si>
  <si>
    <t xml:space="preserve">R06</t>
  </si>
  <si>
    <t xml:space="preserve">MP-20</t>
  </si>
  <si>
    <t xml:space="preserve">Cupla M30 × 1,5 (carros 25 y 50 kg)</t>
  </si>
  <si>
    <t xml:space="preserve">R07</t>
  </si>
  <si>
    <t xml:space="preserve">MP-21</t>
  </si>
  <si>
    <t xml:space="preserve">Cupla 2½" BSP (carros 70 y 100 kg)</t>
  </si>
  <si>
    <t xml:space="preserve">R08</t>
  </si>
  <si>
    <t xml:space="preserve">MP-66</t>
  </si>
  <si>
    <t xml:space="preserve">Caño SAE 1010 1" × 2,0 × 6 m (manija; caño del eje 25 kg)</t>
  </si>
  <si>
    <t xml:space="preserve">R09</t>
  </si>
  <si>
    <t xml:space="preserve">MP-67</t>
  </si>
  <si>
    <t xml:space="preserve">Caño SAE 1010 1¼" × 2,0 × 6 m (caño del eje 50 a 100 kg)</t>
  </si>
  <si>
    <t xml:space="preserve">R10</t>
  </si>
  <si>
    <t xml:space="preserve">MP-68</t>
  </si>
  <si>
    <t xml:space="preserve">Barra trefilada SAE 1045 3/4" × 4 m (eje 25 kg)</t>
  </si>
  <si>
    <t xml:space="preserve">R11</t>
  </si>
  <si>
    <t xml:space="preserve">MP-69</t>
  </si>
  <si>
    <t xml:space="preserve">Barra trefilada SAE 1045 1" × 6 m (eje 50 a 100 kg)</t>
  </si>
  <si>
    <t xml:space="preserve">R12</t>
  </si>
  <si>
    <t xml:space="preserve">MP-24</t>
  </si>
  <si>
    <t xml:space="preserve">Alambre MAG ER70S-6 Ø1,0 mm (carros)</t>
  </si>
  <si>
    <t xml:space="preserve">R13</t>
  </si>
  <si>
    <t xml:space="preserve">R14</t>
  </si>
  <si>
    <t xml:space="preserve">MP-92</t>
  </si>
  <si>
    <t xml:space="preserve">Disco de sensitiva 355 mm</t>
  </si>
  <si>
    <t xml:space="preserve">R15</t>
  </si>
  <si>
    <t xml:space="preserve">MP-27</t>
  </si>
  <si>
    <t xml:space="preserve">Disco de corte 115 × 1,0 mm</t>
  </si>
  <si>
    <t xml:space="preserve">R16</t>
  </si>
  <si>
    <t xml:space="preserve">MP-93</t>
  </si>
  <si>
    <t xml:space="preserve">Disco flap 115 mm grano 60</t>
  </si>
  <si>
    <t xml:space="preserve">R17</t>
  </si>
  <si>
    <t xml:space="preserve">MP-94</t>
  </si>
  <si>
    <t xml:space="preserve">Mecha de acero rápido 4,5 mm</t>
  </si>
  <si>
    <t xml:space="preserve">R18</t>
  </si>
  <si>
    <t xml:space="preserve">MP-95</t>
  </si>
  <si>
    <t xml:space="preserve">Spray antiproyecciones 400 ml</t>
  </si>
  <si>
    <t xml:space="preserve">R19</t>
  </si>
  <si>
    <t xml:space="preserve">MP-96/ABC25</t>
  </si>
  <si>
    <t xml:space="preserve">Servicio de pintura, carro 25 kg (tercerizado)</t>
  </si>
  <si>
    <t xml:space="preserve">R20</t>
  </si>
  <si>
    <t xml:space="preserve">MP-96/ABC50</t>
  </si>
  <si>
    <t xml:space="preserve">Servicio de pintura, carro 50 kg (tercerizado)</t>
  </si>
  <si>
    <t xml:space="preserve">R21</t>
  </si>
  <si>
    <t xml:space="preserve">MP-96/ABC70</t>
  </si>
  <si>
    <t xml:space="preserve">Servicio de pintura, carro 70 kg (tercerizado)</t>
  </si>
  <si>
    <t xml:space="preserve">R22</t>
  </si>
  <si>
    <t xml:space="preserve">MP-96/ABC100</t>
  </si>
  <si>
    <t xml:space="preserve">Servicio de pintura, carro 100 kg (tercerizado)</t>
  </si>
  <si>
    <t xml:space="preserve">R23</t>
  </si>
  <si>
    <t xml:space="preserve">MP-33B</t>
  </si>
  <si>
    <t xml:space="preserve">Polvo ABC 90 (carros y sus recargas)</t>
  </si>
  <si>
    <t xml:space="preserve">R24</t>
  </si>
  <si>
    <t xml:space="preserve">R25</t>
  </si>
  <si>
    <t xml:space="preserve">MP-70</t>
  </si>
  <si>
    <t xml:space="preserve">Arandela de tope del eje</t>
  </si>
  <si>
    <t xml:space="preserve">R26</t>
  </si>
  <si>
    <t xml:space="preserve">MP-71</t>
  </si>
  <si>
    <t xml:space="preserve">Pasador partido del eje</t>
  </si>
  <si>
    <t xml:space="preserve">R27</t>
  </si>
  <si>
    <t xml:space="preserve">MP-54/300</t>
  </si>
  <si>
    <t xml:space="preserve">Rueda Ø300 × 50, buje 3/4" (carro 25 kg)</t>
  </si>
  <si>
    <t xml:space="preserve">R28</t>
  </si>
  <si>
    <t xml:space="preserve">MP-54/350</t>
  </si>
  <si>
    <t xml:space="preserve">Rueda Ø350 × 60, buje 1" (carro 50 kg)</t>
  </si>
  <si>
    <t xml:space="preserve">R29</t>
  </si>
  <si>
    <t xml:space="preserve">MP-54/400</t>
  </si>
  <si>
    <t xml:space="preserve">Rueda Ø400 × 60, buje 1" (carros 70 y 100 kg)</t>
  </si>
  <si>
    <t xml:space="preserve">R30</t>
  </si>
  <si>
    <t xml:space="preserve">MP-44/25</t>
  </si>
  <si>
    <t xml:space="preserve">Válvula HZ de carro 25 kg, sin tubo pescante</t>
  </si>
  <si>
    <t xml:space="preserve">R31</t>
  </si>
  <si>
    <t xml:space="preserve">MP-44/50</t>
  </si>
  <si>
    <t xml:space="preserve">Válvula HZ de carro 50-70-100 kg, sin tubo pescante</t>
  </si>
  <si>
    <t xml:space="preserve">R32</t>
  </si>
  <si>
    <t xml:space="preserve">R33</t>
  </si>
  <si>
    <t xml:space="preserve">MP-47/ABC25</t>
  </si>
  <si>
    <t xml:space="preserve">Tubo pescante de acero SAE 1010, carro 25 kg</t>
  </si>
  <si>
    <t xml:space="preserve">R34</t>
  </si>
  <si>
    <t xml:space="preserve">MP-47/ABC50</t>
  </si>
  <si>
    <t xml:space="preserve">Tubo pescante de acero SAE 1010, carro 50 kg</t>
  </si>
  <si>
    <t xml:space="preserve">R35</t>
  </si>
  <si>
    <t xml:space="preserve">MP-47/ABC70</t>
  </si>
  <si>
    <t xml:space="preserve">Tubo pescante de acero SAE 1010, carro 70 kg</t>
  </si>
  <si>
    <t xml:space="preserve">R36</t>
  </si>
  <si>
    <t xml:space="preserve">MP-47/ABC100</t>
  </si>
  <si>
    <t xml:space="preserve">Tubo pescante de acero SAE 1010, carro 100 kg</t>
  </si>
  <si>
    <t xml:space="preserve">R37</t>
  </si>
  <si>
    <t xml:space="preserve">MP-49/ABC25</t>
  </si>
  <si>
    <t xml:space="preserve">Manguera con válvula esférica y tobera, carro 25 kg</t>
  </si>
  <si>
    <t xml:space="preserve">R38</t>
  </si>
  <si>
    <t xml:space="preserve">MP-49/ABC50</t>
  </si>
  <si>
    <t xml:space="preserve">Manguera con válvula esférica y tobera, carro 50 kg</t>
  </si>
  <si>
    <t xml:space="preserve">R39</t>
  </si>
  <si>
    <t xml:space="preserve">MP-49/ABC70</t>
  </si>
  <si>
    <t xml:space="preserve">Manguera con válvula esférica y tobera, carro 70 kg</t>
  </si>
  <si>
    <t xml:space="preserve">R40</t>
  </si>
  <si>
    <t xml:space="preserve">MP-49/ABC100</t>
  </si>
  <si>
    <t xml:space="preserve">Manguera con válvula esférica y tobera, carro 100 kg</t>
  </si>
  <si>
    <t xml:space="preserve">R41</t>
  </si>
  <si>
    <t xml:space="preserve">R42</t>
  </si>
  <si>
    <t xml:space="preserve">MP-50/2½</t>
  </si>
  <si>
    <t xml:space="preserve">Junta tórica del cuello 2½"</t>
  </si>
  <si>
    <t xml:space="preserve">R43</t>
  </si>
  <si>
    <t xml:space="preserve">MP-56/ABC25</t>
  </si>
  <si>
    <t xml:space="preserve">Etiqueta de características ABC 25 kg</t>
  </si>
  <si>
    <t xml:space="preserve">R44</t>
  </si>
  <si>
    <t xml:space="preserve">MP-56/ABC50</t>
  </si>
  <si>
    <t xml:space="preserve">Etiqueta de características ABC 50 kg</t>
  </si>
  <si>
    <t xml:space="preserve">R45</t>
  </si>
  <si>
    <t xml:space="preserve">MP-56/ABC70</t>
  </si>
  <si>
    <t xml:space="preserve">Etiqueta de características ABC 70 kg</t>
  </si>
  <si>
    <t xml:space="preserve">R46</t>
  </si>
  <si>
    <t xml:space="preserve">MP-56/ABC100</t>
  </si>
  <si>
    <t xml:space="preserve">Etiqueta de características ABC 100 kg</t>
  </si>
  <si>
    <t xml:space="preserve">R47</t>
  </si>
  <si>
    <t xml:space="preserve">R48</t>
  </si>
  <si>
    <t xml:space="preserve">R49</t>
  </si>
  <si>
    <t xml:space="preserve">R50</t>
  </si>
  <si>
    <t xml:space="preserve">R51</t>
  </si>
  <si>
    <t xml:space="preserve">R52</t>
  </si>
  <si>
    <t xml:space="preserve">R53</t>
  </si>
  <si>
    <t xml:space="preserve">R54</t>
  </si>
  <si>
    <t xml:space="preserve">R55</t>
  </si>
  <si>
    <t xml:space="preserve">MP-62/2½</t>
  </si>
  <si>
    <t xml:space="preserve">Tapón protector de rosca 2½"</t>
  </si>
  <si>
    <t xml:space="preserve">R56</t>
  </si>
  <si>
    <t xml:space="preserve">R57</t>
  </si>
  <si>
    <t xml:space="preserve">RECARGAS: consumo por unidad de producto y lo que hay que comprar</t>
  </si>
  <si>
    <t xml:space="preserve">Sustituto nuevo (kit)</t>
  </si>
  <si>
    <t xml:space="preserve">K01</t>
  </si>
  <si>
    <t xml:space="preserve">K02</t>
  </si>
  <si>
    <t xml:space="preserve">K03</t>
  </si>
  <si>
    <t xml:space="preserve">MP-35</t>
  </si>
  <si>
    <t xml:space="preserve">Polvo BC (recargas)</t>
  </si>
  <si>
    <t xml:space="preserve">K04</t>
  </si>
  <si>
    <t xml:space="preserve">MP-36</t>
  </si>
  <si>
    <t xml:space="preserve">Polvo clase D (recargas)</t>
  </si>
  <si>
    <t xml:space="preserve">K05</t>
  </si>
  <si>
    <t xml:space="preserve">MP-37</t>
  </si>
  <si>
    <t xml:space="preserve">CO₂ líquido (recargas)</t>
  </si>
  <si>
    <t xml:space="preserve">K06</t>
  </si>
  <si>
    <t xml:space="preserve">MP-38</t>
  </si>
  <si>
    <t xml:space="preserve">Agente limpio HCFC-123 (recargas)</t>
  </si>
  <si>
    <t xml:space="preserve">K07</t>
  </si>
  <si>
    <t xml:space="preserve">MP-40</t>
  </si>
  <si>
    <t xml:space="preserve">Concentrado AFFF 3 % (recargas)</t>
  </si>
  <si>
    <t xml:space="preserve">L</t>
  </si>
  <si>
    <t xml:space="preserve">K08</t>
  </si>
  <si>
    <t xml:space="preserve">MP-41</t>
  </si>
  <si>
    <t xml:space="preserve">Acetato de potasio Gastro K (recargas)</t>
  </si>
  <si>
    <t xml:space="preserve">K09</t>
  </si>
  <si>
    <t xml:space="preserve">K10</t>
  </si>
  <si>
    <t xml:space="preserve">MP-50/OT</t>
  </si>
  <si>
    <t xml:space="preserve">Junta tórica del cuello (recargas, surtido por medida)</t>
  </si>
  <si>
    <t xml:space="preserve">K11</t>
  </si>
  <si>
    <t xml:space="preserve">MP-55</t>
  </si>
  <si>
    <t xml:space="preserve">Conjunto de seguridad de CO₂ (recargas)</t>
  </si>
  <si>
    <t xml:space="preserve">K12</t>
  </si>
  <si>
    <t xml:space="preserve">MP-57</t>
  </si>
  <si>
    <t xml:space="preserve">Marbete del año</t>
  </si>
  <si>
    <t xml:space="preserve">K13</t>
  </si>
  <si>
    <t xml:space="preserve">MP-97</t>
  </si>
  <si>
    <t xml:space="preserve">Precinto del recargador</t>
  </si>
  <si>
    <t xml:space="preserve">K14</t>
  </si>
  <si>
    <t xml:space="preserve">MP-72</t>
  </si>
  <si>
    <t xml:space="preserve">Etiqueta de servicio</t>
  </si>
  <si>
    <t xml:space="preserve">K15</t>
  </si>
  <si>
    <t xml:space="preserve">MP-75</t>
  </si>
  <si>
    <t xml:space="preserve">Estampilla y oblea de recarga (PBA)</t>
  </si>
  <si>
    <t xml:space="preserve">K16</t>
  </si>
  <si>
    <t xml:space="preserve">MP-76</t>
  </si>
  <si>
    <t xml:space="preserve">Tarjeta de identificación DPS (PBA)</t>
  </si>
  <si>
    <t xml:space="preserve">K17</t>
  </si>
  <si>
    <t xml:space="preserve">K18</t>
  </si>
  <si>
    <t xml:space="preserve">MP-65</t>
  </si>
  <si>
    <t xml:space="preserve">Esmalte sintético rojo RAL 3000 (recargas)</t>
  </si>
  <si>
    <t xml:space="preserve">K19</t>
  </si>
  <si>
    <t xml:space="preserve">MP-82</t>
  </si>
  <si>
    <t xml:space="preserve">Faja amarilla de sustituto</t>
  </si>
  <si>
    <t xml:space="preserve">K20</t>
  </si>
  <si>
    <t xml:space="preserve">MP-83</t>
  </si>
  <si>
    <t xml:space="preserve">Tarjeta DPS «sustituto habilitado»</t>
  </si>
  <si>
    <t xml:space="preserve">K21</t>
  </si>
  <si>
    <t xml:space="preserve">MP-84</t>
  </si>
  <si>
    <t xml:space="preserve">Tarjeta AGC «es sustituto»</t>
  </si>
  <si>
    <t xml:space="preserve">K22</t>
  </si>
  <si>
    <t xml:space="preserve">REVENDIDOS: consumo por unidad de producto y lo que hay que comprar</t>
  </si>
  <si>
    <t xml:space="preserve">Agua 10 l</t>
  </si>
  <si>
    <t xml:space="preserve">AFFF 10 l</t>
  </si>
  <si>
    <t xml:space="preserve">AFFF 50 l</t>
  </si>
  <si>
    <t xml:space="preserve">BC 5 kg</t>
  </si>
  <si>
    <t xml:space="preserve">Clase K 6 l</t>
  </si>
  <si>
    <t xml:space="preserve">CO₂ 2 kg</t>
  </si>
  <si>
    <t xml:space="preserve">CO₂ 5 kg</t>
  </si>
  <si>
    <t xml:space="preserve">HCFC 5 kg</t>
  </si>
  <si>
    <t xml:space="preserve">Clase D 9 l</t>
  </si>
  <si>
    <t xml:space="preserve">V01</t>
  </si>
  <si>
    <t xml:space="preserve">RV-AGUA_10l</t>
  </si>
  <si>
    <t xml:space="preserve">Matafuego Agua 10 l (reventa)</t>
  </si>
  <si>
    <t xml:space="preserve">V02</t>
  </si>
  <si>
    <t xml:space="preserve">RV-AFFF_10l</t>
  </si>
  <si>
    <t xml:space="preserve">Matafuego AFFF 10 l (reventa)</t>
  </si>
  <si>
    <t xml:space="preserve">V03</t>
  </si>
  <si>
    <t xml:space="preserve">RV-AFFF_50l</t>
  </si>
  <si>
    <t xml:space="preserve">Matafuego AFFF 50 l (reventa)</t>
  </si>
  <si>
    <t xml:space="preserve">V04</t>
  </si>
  <si>
    <t xml:space="preserve">RV-BC_5kg</t>
  </si>
  <si>
    <t xml:space="preserve">Matafuego BC 5 kg (reventa)</t>
  </si>
  <si>
    <t xml:space="preserve">V05</t>
  </si>
  <si>
    <t xml:space="preserve">RV-SALESK_6l</t>
  </si>
  <si>
    <t xml:space="preserve">Matafuego Clase K 6 l (reventa)</t>
  </si>
  <si>
    <t xml:space="preserve">V06</t>
  </si>
  <si>
    <t xml:space="preserve">RV-CO2_2kg</t>
  </si>
  <si>
    <t xml:space="preserve">Matafuego CO₂ 2 kg (reventa)</t>
  </si>
  <si>
    <t xml:space="preserve">V07</t>
  </si>
  <si>
    <t xml:space="preserve">RV-CO2_5kg</t>
  </si>
  <si>
    <t xml:space="preserve">Matafuego CO₂ 5 kg (reventa)</t>
  </si>
  <si>
    <t xml:space="preserve">V08</t>
  </si>
  <si>
    <t xml:space="preserve">RV-HCFC-HFC_5kg</t>
  </si>
  <si>
    <t xml:space="preserve">Matafuego HCFC 5 kg (reventa)</t>
  </si>
  <si>
    <t xml:space="preserve">V09</t>
  </si>
  <si>
    <t xml:space="preserve">RV-CLASED_9l</t>
  </si>
  <si>
    <t xml:space="preserve">Matafuego Clase D 9 l (reventa)</t>
  </si>
  <si>
    <t xml:space="preserve">V10</t>
  </si>
  <si>
    <t xml:space="preserve">CONSOLIDADO: lo que hay que comprar de cada material (las cuatro líneas)</t>
  </si>
  <si>
    <t xml:space="preserve">Manuales 2035</t>
  </si>
  <si>
    <t xml:space="preserve">Rodantes 2035</t>
  </si>
  <si>
    <t xml:space="preserve">Recargas 2035</t>
  </si>
  <si>
    <t xml:space="preserve">Revendidos 2035</t>
  </si>
  <si>
    <t xml:space="preserve">POLÍTICA DE STOCK DEL AÑO 2035</t>
  </si>
  <si>
    <t xml:space="preserve">CONSUMO 2035 (velocidad)</t>
  </si>
  <si>
    <t xml:space="preserve">PLAZO DE ENTREGA (días hábiles)</t>
  </si>
  <si>
    <t xml:space="preserve">CUÁNDO PEDIR (nivel de stock)</t>
  </si>
  <si>
    <t xml:space="preserve">CUÁNTO PEDIR</t>
  </si>
  <si>
    <t xml:space="preserve">LUGAR EN EL ALMACÉN</t>
  </si>
  <si>
    <t xml:space="preserve">Proveedor</t>
  </si>
  <si>
    <t xml:space="preserve">Consumo del año</t>
  </si>
  <si>
    <t xml:space="preserve">Consumo por día, promedio
(año / 240)</t>
  </si>
  <si>
    <t xml:space="preserve">Consumo por día, mes pico
(mes pico / 20)</t>
  </si>
  <si>
    <t xml:space="preserve">Mínimo</t>
  </si>
  <si>
    <t xml:space="preserve">Máximo</t>
  </si>
  <si>
    <t xml:space="preserve">De dónde sale el plazo</t>
  </si>
  <si>
    <t xml:space="preserve">Consumo mientras llega el pedido
(promedio × plazo medio)</t>
  </si>
  <si>
    <t xml:space="preserve">Stock de seguridad
(pico × plazo máximo − consumo mientras llega)</t>
  </si>
  <si>
    <t xml:space="preserve">Punto de pedido: cuando quedan esto, se pide
(consumo mientras llega + seguridad)</t>
  </si>
  <si>
    <t xml:space="preserve">Unidad de compra</t>
  </si>
  <si>
    <t xml:space="preserve">Contenido de la unidad de compra</t>
  </si>
  <si>
    <t xml:space="preserve">Cada cuántos días se pide
(planilla de MP)</t>
  </si>
  <si>
    <t xml:space="preserve">Cantidad por pedido (unidades de compra)</t>
  </si>
  <si>
    <t xml:space="preserve">Pedidos por año</t>
  </si>
  <si>
    <t xml:space="preserve">Stock máximo: lo que hay al llegar el pedido
(seguridad + pedido)</t>
  </si>
  <si>
    <t xml:space="preserve">Almacén</t>
  </si>
  <si>
    <t xml:space="preserve">Cuánto entra en un lugar (pallet, estante o cuna)</t>
  </si>
  <si>
    <t xml:space="preserve">Lugares que ocupa el stock máximo</t>
  </si>
  <si>
    <t xml:space="preserve">P01</t>
  </si>
  <si>
    <t xml:space="preserve">Metalpri / Prilux</t>
  </si>
  <si>
    <t xml:space="preserve">Aproximado: AcerosYa (Sarandí): https://www.acerosya.com/preguntas_frecuentes/</t>
  </si>
  <si>
    <t xml:space="preserve">Atado de 16 barras</t>
  </si>
  <si>
    <t xml:space="preserve">Cantilever de caños y barras</t>
  </si>
  <si>
    <t xml:space="preserve">P02</t>
  </si>
  <si>
    <t xml:space="preserve">Pradecon</t>
  </si>
  <si>
    <t xml:space="preserve">Aproximado: cotización Pradecon (plazo del fleje; para hojas no lo informa)</t>
  </si>
  <si>
    <t xml:space="preserve">Paquete de 50 hojas</t>
  </si>
  <si>
    <t xml:space="preserve">Chapa y fleje (manuales)</t>
  </si>
  <si>
    <t xml:space="preserve">P03</t>
  </si>
  <si>
    <t xml:space="preserve">Paquete de 80 hojas</t>
  </si>
  <si>
    <t xml:space="preserve">P04</t>
  </si>
  <si>
    <t xml:space="preserve">Paquete de 20 hojas</t>
  </si>
  <si>
    <t xml:space="preserve">P05</t>
  </si>
  <si>
    <t xml:space="preserve">Cotización Pradecon: 7 a 10 días</t>
  </si>
  <si>
    <t xml:space="preserve">Rollo de 1.900 kg</t>
  </si>
  <si>
    <t xml:space="preserve">P06</t>
  </si>
  <si>
    <t xml:space="preserve">P07</t>
  </si>
  <si>
    <t xml:space="preserve">Pacheco Chapas</t>
  </si>
  <si>
    <t xml:space="preserve">Aproximado: cotización Pradecon (Pacheco cotizó el mismo fleje sin plazo)</t>
  </si>
  <si>
    <t xml:space="preserve">Rollo de 492 kg</t>
  </si>
  <si>
    <t xml:space="preserve">P08</t>
  </si>
  <si>
    <t xml:space="preserve">Rollo de 615 kg</t>
  </si>
  <si>
    <t xml:space="preserve">P09</t>
  </si>
  <si>
    <t xml:space="preserve">P10</t>
  </si>
  <si>
    <t xml:space="preserve">Rollo de 590 kg</t>
  </si>
  <si>
    <t xml:space="preserve">P11</t>
  </si>
  <si>
    <t xml:space="preserve">Rollo de 498 kg</t>
  </si>
  <si>
    <t xml:space="preserve">P12</t>
  </si>
  <si>
    <t xml:space="preserve">Calle de chapa (carros)</t>
  </si>
  <si>
    <t xml:space="preserve">P13</t>
  </si>
  <si>
    <t xml:space="preserve">Paquete de 15 hojas</t>
  </si>
  <si>
    <t xml:space="preserve">P14</t>
  </si>
  <si>
    <t xml:space="preserve">Importado (China)</t>
  </si>
  <si>
    <t xml:space="preserve">Aproximado: Importa Fácil (China): https://importa-facil.com.ar/cuanto-cuesta-importar-de-china-argentina</t>
  </si>
  <si>
    <t xml:space="preserve">Pallet de 400 u</t>
  </si>
  <si>
    <t xml:space="preserve">Rack de casquetes y cuplas (carros)</t>
  </si>
  <si>
    <t xml:space="preserve">P15</t>
  </si>
  <si>
    <t xml:space="preserve">Pallet de 300 u</t>
  </si>
  <si>
    <t xml:space="preserve">P16</t>
  </si>
  <si>
    <t xml:space="preserve">Pallet de 150 u</t>
  </si>
  <si>
    <t xml:space="preserve">P17</t>
  </si>
  <si>
    <t xml:space="preserve">Eli-Met</t>
  </si>
  <si>
    <t xml:space="preserve">Cotización Eli-Met: 35 a 40 días corridos = 25 a 29 hábiles</t>
  </si>
  <si>
    <t xml:space="preserve">Caja de 1.000 u</t>
  </si>
  <si>
    <t xml:space="preserve">Insumos de montaje (manuales)</t>
  </si>
  <si>
    <t xml:space="preserve">P18</t>
  </si>
  <si>
    <t xml:space="preserve">P19</t>
  </si>
  <si>
    <t xml:space="preserve">Caja de 100 u</t>
  </si>
  <si>
    <t xml:space="preserve">P20</t>
  </si>
  <si>
    <t xml:space="preserve">Caja de 40 u</t>
  </si>
  <si>
    <t xml:space="preserve">P21</t>
  </si>
  <si>
    <t xml:space="preserve">Centrosider</t>
  </si>
  <si>
    <t xml:space="preserve">Barra de 6 m</t>
  </si>
  <si>
    <t xml:space="preserve">P22</t>
  </si>
  <si>
    <t xml:space="preserve">P23</t>
  </si>
  <si>
    <t xml:space="preserve">Vladimirsky</t>
  </si>
  <si>
    <t xml:space="preserve">Aproximado: Metapol (CABA): https://metapol.com.ar/productos/sae-1045.html</t>
  </si>
  <si>
    <t xml:space="preserve">Barra de 4 m</t>
  </si>
  <si>
    <t xml:space="preserve">P24</t>
  </si>
  <si>
    <t xml:space="preserve">P25</t>
  </si>
  <si>
    <t xml:space="preserve">Würth Argentina</t>
  </si>
  <si>
    <t xml:space="preserve">Würth Argentina: https://www.wurth.com.ar/contenidos/preguntas-frecuentes/tiempos-de-entrega.html</t>
  </si>
  <si>
    <t xml:space="preserve">Bolsa de 1.000 u</t>
  </si>
  <si>
    <t xml:space="preserve">Rack de insumos de montaje (carros)</t>
  </si>
  <si>
    <t xml:space="preserve">P26</t>
  </si>
  <si>
    <t xml:space="preserve">P27</t>
  </si>
  <si>
    <t xml:space="preserve">Ruedar</t>
  </si>
  <si>
    <t xml:space="preserve">Aproximado: Morshop: https://www.morshop.com.ar/envios-y-retiros/</t>
  </si>
  <si>
    <t xml:space="preserve">Pallet de 72 u</t>
  </si>
  <si>
    <t xml:space="preserve">P28</t>
  </si>
  <si>
    <t xml:space="preserve">P29</t>
  </si>
  <si>
    <t xml:space="preserve">Escanort</t>
  </si>
  <si>
    <t xml:space="preserve">P30</t>
  </si>
  <si>
    <t xml:space="preserve">Soldanet</t>
  </si>
  <si>
    <t xml:space="preserve">Soldanet: https://soldanet.com/preguntasfrecuentes</t>
  </si>
  <si>
    <t xml:space="preserve">Pallet de 900 kg</t>
  </si>
  <si>
    <t xml:space="preserve">Insumos de soldadura y superficie</t>
  </si>
  <si>
    <t xml:space="preserve">P31</t>
  </si>
  <si>
    <t xml:space="preserve">P32</t>
  </si>
  <si>
    <t xml:space="preserve">Air Liquide</t>
  </si>
  <si>
    <t xml:space="preserve">Cotización Air Liquide: día + 1</t>
  </si>
  <si>
    <t xml:space="preserve">Batería de 11 cilindros</t>
  </si>
  <si>
    <t xml:space="preserve">Jaula de gases</t>
  </si>
  <si>
    <t xml:space="preserve">P33</t>
  </si>
  <si>
    <t xml:space="preserve">Caja de 25 u</t>
  </si>
  <si>
    <t xml:space="preserve">P34</t>
  </si>
  <si>
    <t xml:space="preserve">Espacio Industria</t>
  </si>
  <si>
    <t xml:space="preserve">Espacio Industria (Munro): https://espacio-industria.com/</t>
  </si>
  <si>
    <t xml:space="preserve">P35</t>
  </si>
  <si>
    <t xml:space="preserve">P36</t>
  </si>
  <si>
    <t xml:space="preserve">P37</t>
  </si>
  <si>
    <t xml:space="preserve">P38</t>
  </si>
  <si>
    <t xml:space="preserve">CyM Materiales</t>
  </si>
  <si>
    <t xml:space="preserve">Aproximado: EGM Trader (Florida): https://egmtrader.mercadoshops.com.ar/MLA-907638018-granalla-de-acero-al-carbono-esferica-varias-medidas-x-25-kg-_JM</t>
  </si>
  <si>
    <t xml:space="preserve">Pallet de 1.000 kg</t>
  </si>
  <si>
    <t xml:space="preserve">P39</t>
  </si>
  <si>
    <t xml:space="preserve">Sinteplast</t>
  </si>
  <si>
    <t xml:space="preserve">Aproximado: Enamels (Lanús): https://www.enamels.com.ar/la-empresa/</t>
  </si>
  <si>
    <t xml:space="preserve">Pallet de 600 kg</t>
  </si>
  <si>
    <t xml:space="preserve">Depósito de polvo químico</t>
  </si>
  <si>
    <t xml:space="preserve">P40</t>
  </si>
  <si>
    <t xml:space="preserve">DEMSA</t>
  </si>
  <si>
    <t xml:space="preserve">Aproximado: Grupo Oxicas (Santa Fe): https://www.grupooxicas.com/content/9-envios</t>
  </si>
  <si>
    <t xml:space="preserve">Big bag de 1.000 kg</t>
  </si>
  <si>
    <t xml:space="preserve">P41</t>
  </si>
  <si>
    <t xml:space="preserve">P42</t>
  </si>
  <si>
    <t xml:space="preserve">Pack de 12 cilindros</t>
  </si>
  <si>
    <t xml:space="preserve">P43</t>
  </si>
  <si>
    <t xml:space="preserve">Polvex</t>
  </si>
  <si>
    <t xml:space="preserve">Bolsa de 25 kg</t>
  </si>
  <si>
    <t xml:space="preserve">P44</t>
  </si>
  <si>
    <t xml:space="preserve">P45</t>
  </si>
  <si>
    <t xml:space="preserve">Cilindro de 25 kg</t>
  </si>
  <si>
    <t xml:space="preserve">P46</t>
  </si>
  <si>
    <t xml:space="preserve">Polvex / DEMSA</t>
  </si>
  <si>
    <t xml:space="preserve">Cilindro de 50 kg</t>
  </si>
  <si>
    <t xml:space="preserve">Insumos de recargas</t>
  </si>
  <si>
    <t xml:space="preserve">P47</t>
  </si>
  <si>
    <t xml:space="preserve">Aproximado: Vernassa (CABA): https://vernassa.com.ar/pt/producto/concentrado-espumigeno-de-baja-expansion-afff/</t>
  </si>
  <si>
    <t xml:space="preserve">Bidón de 20 L</t>
  </si>
  <si>
    <t xml:space="preserve">P48</t>
  </si>
  <si>
    <t xml:space="preserve">P49</t>
  </si>
  <si>
    <t xml:space="preserve">Polvex (HZ)</t>
  </si>
  <si>
    <t xml:space="preserve">Aproximado: El Galpón (Corrientes): https://seguridad.elgalponcorrientes.com.ar/informacion/</t>
  </si>
  <si>
    <t xml:space="preserve">Pallet de 3.000 u</t>
  </si>
  <si>
    <t xml:space="preserve">P50</t>
  </si>
  <si>
    <t xml:space="preserve">Pallet de 1.500 u</t>
  </si>
  <si>
    <t xml:space="preserve">P51</t>
  </si>
  <si>
    <t xml:space="preserve">Caja de 10 u</t>
  </si>
  <si>
    <t xml:space="preserve">P52</t>
  </si>
  <si>
    <t xml:space="preserve">P53</t>
  </si>
  <si>
    <t xml:space="preserve">Yukon</t>
  </si>
  <si>
    <t xml:space="preserve">P54</t>
  </si>
  <si>
    <t xml:space="preserve">Alt. 1 Esinex (Billinghurst) / Alt. 2 Securitá</t>
  </si>
  <si>
    <t xml:space="preserve">Caja de 200 u</t>
  </si>
  <si>
    <t xml:space="preserve">P55</t>
  </si>
  <si>
    <t xml:space="preserve">P56</t>
  </si>
  <si>
    <t xml:space="preserve">P57</t>
  </si>
  <si>
    <t xml:space="preserve">Alt. 1 Mozart (V. Alsina) / Alt. 2 Georgia (CABA)</t>
  </si>
  <si>
    <t xml:space="preserve">Caja de 20 u</t>
  </si>
  <si>
    <t xml:space="preserve">P58</t>
  </si>
  <si>
    <t xml:space="preserve">P59</t>
  </si>
  <si>
    <t xml:space="preserve">P60</t>
  </si>
  <si>
    <t xml:space="preserve">P61</t>
  </si>
  <si>
    <t xml:space="preserve">Caja de 50 u</t>
  </si>
  <si>
    <t xml:space="preserve">P62</t>
  </si>
  <si>
    <t xml:space="preserve">P63</t>
  </si>
  <si>
    <t xml:space="preserve">P64</t>
  </si>
  <si>
    <t xml:space="preserve">P65</t>
  </si>
  <si>
    <t xml:space="preserve">P66</t>
  </si>
  <si>
    <t xml:space="preserve">P67</t>
  </si>
  <si>
    <t xml:space="preserve">P68</t>
  </si>
  <si>
    <t xml:space="preserve">P69</t>
  </si>
  <si>
    <t xml:space="preserve">Argensold</t>
  </si>
  <si>
    <t xml:space="preserve">Argensold (Lomas del Mirador): https://www.facebook.com/people/Argensold-el-nombre-del-Oring/100091676384453/</t>
  </si>
  <si>
    <t xml:space="preserve">P70</t>
  </si>
  <si>
    <t xml:space="preserve">P71</t>
  </si>
  <si>
    <t xml:space="preserve">P72</t>
  </si>
  <si>
    <t xml:space="preserve">P73</t>
  </si>
  <si>
    <t xml:space="preserve">Matafuegos Aconcagua (J. C. Paz)</t>
  </si>
  <si>
    <t xml:space="preserve">Matafuegos Aconcagua (J. C. Paz): https://www.matafuegosaconcagua.com/preguntas-frecuentes/</t>
  </si>
  <si>
    <t xml:space="preserve">P74</t>
  </si>
  <si>
    <t xml:space="preserve">P75</t>
  </si>
  <si>
    <t xml:space="preserve">P76</t>
  </si>
  <si>
    <t xml:space="preserve">P77</t>
  </si>
  <si>
    <t xml:space="preserve">P78</t>
  </si>
  <si>
    <t xml:space="preserve">Georgia</t>
  </si>
  <si>
    <t xml:space="preserve">Bolsa de 100 u</t>
  </si>
  <si>
    <t xml:space="preserve">P79</t>
  </si>
  <si>
    <t xml:space="preserve">Rotolan (Lanús)</t>
  </si>
  <si>
    <t xml:space="preserve">Rotolan (Lanús): https://rotolan.com.ar/etiquetas-en-rollo.html</t>
  </si>
  <si>
    <t xml:space="preserve">Rollo de 1.000 u</t>
  </si>
  <si>
    <t xml:space="preserve">Identificación</t>
  </si>
  <si>
    <t xml:space="preserve">P80</t>
  </si>
  <si>
    <t xml:space="preserve">P81</t>
  </si>
  <si>
    <t xml:space="preserve">P82</t>
  </si>
  <si>
    <t xml:space="preserve">RotulArte (CABA)</t>
  </si>
  <si>
    <t xml:space="preserve">RotulArte (CABA): https://rotularte.com.ar/impresion-vinilo-autoadhesivo/</t>
  </si>
  <si>
    <t xml:space="preserve">P83</t>
  </si>
  <si>
    <t xml:space="preserve">P84</t>
  </si>
  <si>
    <t xml:space="preserve">P85</t>
  </si>
  <si>
    <t xml:space="preserve">P86</t>
  </si>
  <si>
    <t xml:space="preserve">P87</t>
  </si>
  <si>
    <t xml:space="preserve">DPS (PBA)</t>
  </si>
  <si>
    <t xml:space="preserve">Trámite DPS (Res. 349/07): https://www.ambiente.gba.gob.ar/sites/default/files/RESOLUCION%20349%2007.pdf</t>
  </si>
  <si>
    <t xml:space="preserve">Paquete de 500 u</t>
  </si>
  <si>
    <t xml:space="preserve">P88</t>
  </si>
  <si>
    <t xml:space="preserve">IRAM</t>
  </si>
  <si>
    <t xml:space="preserve">IRAM (DC-PG-129): https://quesosespeciales.com/resources/img/quality/DC-PG_129_IRAM.pdf</t>
  </si>
  <si>
    <t xml:space="preserve">P89</t>
  </si>
  <si>
    <t xml:space="preserve">AGC (CABA)</t>
  </si>
  <si>
    <t xml:space="preserve">Trámite AGC: https://www.buenosaires.gob.ar/tramites/registro-de-fabricacion-reparacion-recarga-instalacion-y-control-de-extintores-matafuegos-y</t>
  </si>
  <si>
    <t xml:space="preserve">P90</t>
  </si>
  <si>
    <t xml:space="preserve">P91</t>
  </si>
  <si>
    <t xml:space="preserve">P92</t>
  </si>
  <si>
    <t xml:space="preserve">SonFuertes</t>
  </si>
  <si>
    <t xml:space="preserve">Papelera Damián: https://papeleradamian.com/presta/content/delivery.html</t>
  </si>
  <si>
    <t xml:space="preserve">P93</t>
  </si>
  <si>
    <t xml:space="preserve">P94</t>
  </si>
  <si>
    <t xml:space="preserve">ACPLIND (CABA)</t>
  </si>
  <si>
    <t xml:space="preserve">Aproximado: Martin Morris (Coronel Suárez): https://www.martinmorris.ar/shipping-policies</t>
  </si>
  <si>
    <t xml:space="preserve">Caja de 5.000 u</t>
  </si>
  <si>
    <t xml:space="preserve">Embalaje</t>
  </si>
  <si>
    <t xml:space="preserve">P95</t>
  </si>
  <si>
    <t xml:space="preserve">P96</t>
  </si>
  <si>
    <t xml:space="preserve">P97</t>
  </si>
  <si>
    <t xml:space="preserve">Formas Visuales (Lanús)</t>
  </si>
  <si>
    <t xml:space="preserve">Formas Visuales (Lanús): https://www.todolanus.com.ar/rubro/imprentas-talleres-graficos</t>
  </si>
  <si>
    <t xml:space="preserve">P98</t>
  </si>
  <si>
    <t xml:space="preserve">Paquete de 1.000 u</t>
  </si>
  <si>
    <t xml:space="preserve">P99</t>
  </si>
  <si>
    <t xml:space="preserve">P100</t>
  </si>
  <si>
    <t xml:space="preserve">P101</t>
  </si>
  <si>
    <t xml:space="preserve">P102</t>
  </si>
  <si>
    <t xml:space="preserve">P103</t>
  </si>
  <si>
    <t xml:space="preserve">P104</t>
  </si>
  <si>
    <t xml:space="preserve">P105</t>
  </si>
  <si>
    <t xml:space="preserve">P106</t>
  </si>
  <si>
    <t xml:space="preserve">Aproximado: Pinturerías Mafer: https://www.pintureriasmafer.com.ar/terminos-y-condiciones/</t>
  </si>
  <si>
    <t xml:space="preserve">Lata de 4 L</t>
  </si>
  <si>
    <t xml:space="preserve">P107</t>
  </si>
  <si>
    <t xml:space="preserve">Sellerpack (Pompeya)</t>
  </si>
  <si>
    <t xml:space="preserve">Sellerpack (Pompeya): https://sellerpack.com.ar/industrias/construccion-industria/</t>
  </si>
  <si>
    <t xml:space="preserve">Pallet de 600 cajas</t>
  </si>
  <si>
    <t xml:space="preserve">P108</t>
  </si>
  <si>
    <t xml:space="preserve">P109</t>
  </si>
  <si>
    <t xml:space="preserve">P110</t>
  </si>
  <si>
    <t xml:space="preserve">P111</t>
  </si>
  <si>
    <t xml:space="preserve">P112</t>
  </si>
  <si>
    <t xml:space="preserve">IndusPallets</t>
  </si>
  <si>
    <t xml:space="preserve">Aproximado: Depallet: https://depallet.com.ar/logistica/</t>
  </si>
  <si>
    <t xml:space="preserve">Pila de 15 u</t>
  </si>
  <si>
    <t xml:space="preserve">P113</t>
  </si>
  <si>
    <t xml:space="preserve">P114</t>
  </si>
  <si>
    <t xml:space="preserve">Maxiseguridad (Munro)</t>
  </si>
  <si>
    <t xml:space="preserve">Maxiseguridad (Munro): https://www.maxiseguridad.com.ar/detalle-noticias-maxiseguridad/169/Venta-y-Recarga-de-Matafuegos-en-Forma-Online</t>
  </si>
  <si>
    <t xml:space="preserve">Unidad</t>
  </si>
  <si>
    <t xml:space="preserve">Almacén de producto terminado</t>
  </si>
  <si>
    <t xml:space="preserve">P115</t>
  </si>
  <si>
    <t xml:space="preserve">P116</t>
  </si>
  <si>
    <t xml:space="preserve">P117</t>
  </si>
  <si>
    <t xml:space="preserve">P118</t>
  </si>
  <si>
    <t xml:space="preserve">Matafuegos Rodo</t>
  </si>
  <si>
    <t xml:space="preserve">Matafuegos Rodo: https://www.matafuegosrodo.com/</t>
  </si>
  <si>
    <t xml:space="preserve">P119</t>
  </si>
  <si>
    <t xml:space="preserve">P120</t>
  </si>
  <si>
    <t xml:space="preserve">P121</t>
  </si>
  <si>
    <t xml:space="preserve">P122</t>
  </si>
  <si>
    <t xml:space="preserve">Fabricante nacional</t>
  </si>
  <si>
    <t xml:space="preserve">Aproximado: Matafuegos Aconcagua (J. C. Paz): https://www.matafuegosaconcagua.com/preguntas-frecuentes/</t>
  </si>
  <si>
    <t xml:space="preserve">Lugares que previó el proceso</t>
  </si>
  <si>
    <t xml:space="preserve">¿Alcanza?</t>
  </si>
  <si>
    <t xml:space="preserve">PRODUCCION DE MATAFUEGOS TERMINADOS </t>
  </si>
  <si>
    <t xml:space="preserve">Demanda</t>
  </si>
  <si>
    <t xml:space="preserve">%</t>
  </si>
  <si>
    <t xml:space="preserve">ABC 25 kg s/ruedas</t>
  </si>
  <si>
    <t xml:space="preserve">ABC 50 kg s/ruedas</t>
  </si>
  <si>
    <t xml:space="preserve">ABC 70 kg s/ruedas</t>
  </si>
  <si>
    <t xml:space="preserve">ABC 100 kg s/ruedas</t>
  </si>
  <si>
    <t xml:space="preserve">TOTAL</t>
  </si>
  <si>
    <t xml:space="preserve">PRODUCCION DE CILINDROS</t>
  </si>
  <si>
    <t xml:space="preserve">Cilindros ABC 1 kg</t>
  </si>
  <si>
    <t xml:space="preserve">Cilindros ABC 2,5 kg</t>
  </si>
  <si>
    <t xml:space="preserve">Cilindros ABC 5 kg</t>
  </si>
  <si>
    <t xml:space="preserve">Cilindros ABC 10 kg</t>
  </si>
  <si>
    <t xml:space="preserve">Cilindros ABC 25 kg</t>
  </si>
  <si>
    <t xml:space="preserve">Cilindros ABC 50 kg</t>
  </si>
  <si>
    <t xml:space="preserve">Cilindros ABC 70 kg</t>
  </si>
  <si>
    <t xml:space="preserve">Cilindros ABC 100 kg</t>
  </si>
  <si>
    <t xml:space="preserve">Cilindros Total</t>
  </si>
  <si>
    <t xml:space="preserve">AFFF 50 l s/ruedas</t>
  </si>
  <si>
    <t xml:space="preserve">Sales K 6 l</t>
  </si>
  <si>
    <t xml:space="preserve">HCFC/HFC 5 kg</t>
  </si>
  <si>
    <t xml:space="preserve">Recargas Total</t>
  </si>
  <si>
    <t xml:space="preserve">MATAFUEGOS TERCIARIZADOS VENDIDOS</t>
  </si>
  <si>
    <t xml:space="preserve">Revendidos Total</t>
  </si>
  <si>
    <t xml:space="preserve">DISTRIBUCIÓN DE RECARGAS POR ZONA</t>
  </si>
  <si>
    <t xml:space="preserve">ZONA</t>
  </si>
  <si>
    <t xml:space="preserve">% ZONAL AÑO 2026</t>
  </si>
  <si>
    <t xml:space="preserve">% ZONAL AÑO 2027</t>
  </si>
  <si>
    <t xml:space="preserve">% ZONAL AÑO 2028</t>
  </si>
  <si>
    <t xml:space="preserve">% ZONAL AÑO 2029</t>
  </si>
  <si>
    <t xml:space="preserve">% ZONAL AÑO 2030</t>
  </si>
  <si>
    <t xml:space="preserve">% ZONAL AÑO 2031</t>
  </si>
  <si>
    <t xml:space="preserve">% ZONAL AÑO 2032</t>
  </si>
  <si>
    <t xml:space="preserve">% ZONAL AÑO 2033</t>
  </si>
  <si>
    <t xml:space="preserve">% ZONAL AÑO 2034</t>
  </si>
  <si>
    <t xml:space="preserve">% ZONAL AÑO 2035</t>
  </si>
  <si>
    <t xml:space="preserve">Ratio de cobertura año 10 planta comercial</t>
  </si>
  <si>
    <t xml:space="preserve">CABA Norte</t>
  </si>
  <si>
    <t xml:space="preserve">CABA Este</t>
  </si>
  <si>
    <t xml:space="preserve">Ratio de cobertura año 10 planta industrial</t>
  </si>
  <si>
    <t xml:space="preserve">CABA Sur</t>
  </si>
  <si>
    <t xml:space="preserve">CABA Oeste</t>
  </si>
  <si>
    <t xml:space="preserve">PBA Sur 1er (Avellaneda)</t>
  </si>
  <si>
    <t xml:space="preserve">PBA Sur 2do cordón</t>
  </si>
  <si>
    <t xml:space="preserve">PBA Sur 3er cordón</t>
  </si>
  <si>
    <t xml:space="preserve">PBA Norte 1er cordón</t>
  </si>
  <si>
    <t xml:space="preserve">PBA Norte 2do cordón</t>
  </si>
  <si>
    <t xml:space="preserve">PBA Norte 3er cordón</t>
  </si>
  <si>
    <t xml:space="preserve">PBA Oeste 1er cordón</t>
  </si>
  <si>
    <t xml:space="preserve">PBA Oeste 2do cordón</t>
  </si>
  <si>
    <t xml:space="preserve">PBA Oeste 3er cordón</t>
  </si>
  <si>
    <t xml:space="preserve">PBA Interior</t>
  </si>
  <si>
    <t xml:space="preserve">SUBTOTAL CABA + PBA</t>
  </si>
  <si>
    <t xml:space="preserve">DISTRIBUCIÓN DE UNIDADES NUEVAS REVENDIDAS POR ZONA – TODOS LOS AÑOS</t>
  </si>
  <si>
    <t xml:space="preserve">Reserva del cliente (IRAM 3517-2:2020 5.3) y extintores sustitutos (9.4.5) — FLAMA</t>
  </si>
  <si>
    <t xml:space="preserve">5.3: «Esta dotación no debe ser menor al 10% de la dotación mínima requerida» · «Si fuera heterogénea, la de reserva debe ser de extintores tipo ABC de 5 kg» · «Las propiedades que tengan menos de 5 extintores pueden no tener dotación de reserva».</t>
  </si>
  <si>
    <t xml:space="preserve">9.4.5: «Los extintores fuera de servicio por mantenimiento o recarga deben ser sustituidos por equipos sustitutos que tengan igual clasificación y por lo menos igual capacidad» · se cubre «con extintores de reserva (ver 5.3) o requiriendo al prestador responsable del servicio su provisión temporaria».</t>
  </si>
  <si>
    <t xml:space="preserve">PARÁMETROS (celdas amarillas: completar con datos de planta)</t>
  </si>
  <si>
    <t xml:space="preserve">Días hábiles por año (DH)</t>
  </si>
  <si>
    <t xml:space="preserve">menor a 5 matafuegos sin reserva obligatoria</t>
  </si>
  <si>
    <t xml:space="preserve">Dato de planta</t>
  </si>
  <si>
    <t xml:space="preserve">Ciclo de recarga en planta (días: retiro + recarga + devolución)</t>
  </si>
  <si>
    <t xml:space="preserve">Dato de planta (dimensionamiento técnico de la línea de recarga)</t>
  </si>
  <si>
    <t xml:space="preserve">Reserva mínima de la norma</t>
  </si>
  <si>
    <t xml:space="preserve">IRAM 3517-2:2020 5.3 (10 %)</t>
  </si>
  <si>
    <t xml:space="preserve">Vida útil extintor (años)</t>
  </si>
  <si>
    <t xml:space="preserve">Res. 349/07 PBA art. 26</t>
  </si>
  <si>
    <t xml:space="preserve">Vida útil CO₂ (años)</t>
  </si>
  <si>
    <t xml:space="preserve">Año</t>
  </si>
  <si>
    <t xml:space="preserve">A. PARQUE INSTALADO POR SEGMENTO</t>
  </si>
  <si>
    <t xml:space="preserve">Supermercados</t>
  </si>
  <si>
    <t xml:space="preserve">Salud</t>
  </si>
  <si>
    <t xml:space="preserve">Educación</t>
  </si>
  <si>
    <t xml:space="preserve">Automotor</t>
  </si>
  <si>
    <t xml:space="preserve">Industrias / almacenes</t>
  </si>
  <si>
    <t xml:space="preserve">Edificios</t>
  </si>
  <si>
    <t xml:space="preserve">Hoteles</t>
  </si>
  <si>
    <t xml:space="preserve">Parque total</t>
  </si>
  <si>
    <t xml:space="preserve">Parque con reserva obligatoria (sin Automotor)</t>
  </si>
  <si>
    <t xml:space="preserve">% del parque con reserva obligatoria</t>
  </si>
  <si>
    <t xml:space="preserve">5.3: propiedades con &lt; 5 extintores exentas; en el Excel el único segmento así es Automotor</t>
  </si>
  <si>
    <t xml:space="preserve">B. RESERVA DEL CLIENTE (5.3)</t>
  </si>
  <si>
    <t xml:space="preserve">Recargas del año (mantenimiento anual)</t>
  </si>
  <si>
    <t xml:space="preserve">Indexado Dim Técnico fila 44</t>
  </si>
  <si>
    <t xml:space="preserve">Parque de reserva obligatoria</t>
  </si>
  <si>
    <t xml:space="preserve">Reserva requerida en clientes</t>
  </si>
  <si>
    <t xml:space="preserve">5.3: ≥ 10 % de la dotación</t>
  </si>
  <si>
    <t xml:space="preserve">VENTA de reserva</t>
  </si>
  <si>
    <t xml:space="preserve">C. EXTINTORES SUSTITUTOS (9.4.5) — STOCK</t>
  </si>
  <si>
    <t xml:space="preserve">Fracción de retiros cubierta por la reserva del cliente</t>
  </si>
  <si>
    <t xml:space="preserve">La reserva (10 %) cubre como máximo esa fracción de lo que se retira</t>
  </si>
  <si>
    <t xml:space="preserve">Necesidad por tipo = recargas / DH × ciclo × (1 − cobertura)</t>
  </si>
  <si>
    <t xml:space="preserve">STOCK DE SUSTITUTOS  (siempre igual capacidad de extinción o mayor para sustituir)</t>
  </si>
  <si>
    <t xml:space="preserve">ABC 5 kg (cubre ABC 1; 2,5 y 5 kg)</t>
  </si>
  <si>
    <t xml:space="preserve">CO₂ 5 kg (cubre CO₂ 2 y 5 kg)</t>
  </si>
  <si>
    <t xml:space="preserve">ABC 50 kg s/ruedas (cubre 25 y 50 kg)</t>
  </si>
  <si>
    <t xml:space="preserve">ABC 100 kg s/ruedas (cubre 70 y 100 kg)</t>
  </si>
  <si>
    <t xml:space="preserve">Total stock de sustitutos</t>
  </si>
  <si>
    <t xml:space="preserve">ALTA ANUAL DE SUSTITUTOS</t>
  </si>
  <si>
    <t xml:space="preserve">Total alta anual de sustitutos</t>
  </si>
  <si>
    <t xml:space="preserve">Recargas de los sustitutos (= stock: se mantienen cada año, 9.4.5)</t>
  </si>
  <si>
    <t xml:space="preserve">PROYECCIONES: equipos usados y recargas por rubro</t>
  </si>
  <si>
    <t xml:space="preserve">Suma por año de «Mat Usados» y «RECARGAS TOT» de los rubros que separan los usados; supermercados, automotor y edificios no tienen esa columna (sólo nuevos y recargas): el % de usados se mide en los cuatro primeros y se aplica a todas las recargas. Debajo, las filas copiadas; 2025 es el año 0 de las Proyecciones (sin usados ni recargas, «—») y no se copia.</t>
  </si>
  <si>
    <t xml:space="preserve">Salud: usados</t>
  </si>
  <si>
    <t xml:space="preserve">Salud: recargas</t>
  </si>
  <si>
    <t xml:space="preserve">Educación: usados</t>
  </si>
  <si>
    <t xml:space="preserve">Educación: recargas</t>
  </si>
  <si>
    <t xml:space="preserve">Industrias y almacenes: usados</t>
  </si>
  <si>
    <t xml:space="preserve">Industrias y almacenes: recargas</t>
  </si>
  <si>
    <t xml:space="preserve">Hoteles: usados</t>
  </si>
  <si>
    <t xml:space="preserve">Hoteles: recargas</t>
  </si>
  <si>
    <t xml:space="preserve">Total usados</t>
  </si>
  <si>
    <t xml:space="preserve">% usados</t>
  </si>
  <si>
    <t xml:space="preserve">Supermercados: recargas (no separa usados)</t>
  </si>
  <si>
    <t xml:space="preserve">Automotor: recargas (no separa usados)</t>
  </si>
  <si>
    <t xml:space="preserve">Edificios: recargas (no separa usados)</t>
  </si>
  <si>
    <t xml:space="preserve">Recargas de los 7 rubros</t>
  </si>
  <si>
    <t xml:space="preserve">Parte de las recargas con usados medidos</t>
  </si>
  <si>
    <t xml:space="preserve">PROYECCION SALUD</t>
  </si>
  <si>
    <t xml:space="preserve">PROYECCION EDUCACION</t>
  </si>
  <si>
    <t xml:space="preserve">PROYECCION INDUSTRIASALM</t>
  </si>
  <si>
    <t xml:space="preserve">PROYECCION HOTELES</t>
  </si>
  <si>
    <t xml:space="preserve">PROYECCION SUPERMERCADOS</t>
  </si>
  <si>
    <t xml:space="preserve">PROYECCION AUTOMOTOR</t>
  </si>
  <si>
    <t xml:space="preserve">PROYECCION EDIFICIOS</t>
  </si>
  <si>
    <t xml:space="preserve">Mat Usados</t>
  </si>
  <si>
    <t xml:space="preserve">RECARGAS TOT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</si>
</sst>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0.00%"/>
    <numFmt numFmtId="167" formatCode="#,##0"/>
    <numFmt numFmtId="168" formatCode="0%"/>
    <numFmt numFmtId="169" formatCode="0.000"/>
    <numFmt numFmtId="170" formatCode="0.0000"/>
    <numFmt numFmtId="171" formatCode="#,##0.0"/>
    <numFmt numFmtId="172" formatCode="#,##0.00"/>
    <numFmt numFmtId="173" formatCode="#,##0.##"/>
    <numFmt numFmtId="174" formatCode="0.0"/>
    <numFmt numFmtId="175" formatCode="\$#,##0"/>
    <numFmt numFmtId="17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E7E6E6"/>
        <bgColor rgb="FFFFFFFF"/>
      </patternFill>
    </fill>
    <fill>
      <patternFill patternType="solid">
        <fgColor rgb="FF59595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hyperlink" Target="https://www.acerosya.com/preguntas_frecuentes/" TargetMode="External"/><Relationship Id="rId3" Type="http://schemas.openxmlformats.org/officeDocument/2006/relationships/hyperlink" Target="https://importa-facil.com.ar/cuanto-cuesta-importar-de-china-argentina" TargetMode="External"/><Relationship Id="rId4" Type="http://schemas.openxmlformats.org/officeDocument/2006/relationships/hyperlink" Target="https://importa-facil.com.ar/cuanto-cuesta-importar-de-china-argentina" TargetMode="External"/><Relationship Id="rId5" Type="http://schemas.openxmlformats.org/officeDocument/2006/relationships/hyperlink" Target="https://importa-facil.com.ar/cuanto-cuesta-importar-de-china-argentina" TargetMode="External"/><Relationship Id="rId6" Type="http://schemas.openxmlformats.org/officeDocument/2006/relationships/hyperlink" Target="https://www.acerosya.com/preguntas_frecuentes/" TargetMode="External"/><Relationship Id="rId7" Type="http://schemas.openxmlformats.org/officeDocument/2006/relationships/hyperlink" Target="https://www.acerosya.com/preguntas_frecuentes/" TargetMode="External"/><Relationship Id="rId8" Type="http://schemas.openxmlformats.org/officeDocument/2006/relationships/hyperlink" Target="https://metapol.com.ar/productos/sae-1045.html" TargetMode="External"/><Relationship Id="rId9" Type="http://schemas.openxmlformats.org/officeDocument/2006/relationships/hyperlink" Target="https://metapol.com.ar/productos/sae-1045.html" TargetMode="External"/><Relationship Id="rId10" Type="http://schemas.openxmlformats.org/officeDocument/2006/relationships/hyperlink" Target="https://www.wurth.com.ar/contenidos/preguntas-frecuentes/tiempos-de-entrega.html" TargetMode="External"/><Relationship Id="rId11" Type="http://schemas.openxmlformats.org/officeDocument/2006/relationships/hyperlink" Target="https://www.wurth.com.ar/contenidos/preguntas-frecuentes/tiempos-de-entrega.html" TargetMode="External"/><Relationship Id="rId12" Type="http://schemas.openxmlformats.org/officeDocument/2006/relationships/hyperlink" Target="https://www.morshop.com.ar/envios-y-retiros/" TargetMode="External"/><Relationship Id="rId13" Type="http://schemas.openxmlformats.org/officeDocument/2006/relationships/hyperlink" Target="https://www.morshop.com.ar/envios-y-retiros/" TargetMode="External"/><Relationship Id="rId14" Type="http://schemas.openxmlformats.org/officeDocument/2006/relationships/hyperlink" Target="https://www.morshop.com.ar/envios-y-retiros/" TargetMode="External"/><Relationship Id="rId15" Type="http://schemas.openxmlformats.org/officeDocument/2006/relationships/hyperlink" Target="https://soldanet.com/preguntasfrecuentes" TargetMode="External"/><Relationship Id="rId16" Type="http://schemas.openxmlformats.org/officeDocument/2006/relationships/hyperlink" Target="https://soldanet.com/preguntasfrecuentes" TargetMode="External"/><Relationship Id="rId17" Type="http://schemas.openxmlformats.org/officeDocument/2006/relationships/hyperlink" Target="https://www.wurth.com.ar/contenidos/preguntas-frecuentes/tiempos-de-entrega.html" TargetMode="External"/><Relationship Id="rId18" Type="http://schemas.openxmlformats.org/officeDocument/2006/relationships/hyperlink" Target="https://espacio-industria.com/" TargetMode="External"/><Relationship Id="rId19" Type="http://schemas.openxmlformats.org/officeDocument/2006/relationships/hyperlink" Target="https://www.wurth.com.ar/contenidos/preguntas-frecuentes/tiempos-de-entrega.html" TargetMode="External"/><Relationship Id="rId20" Type="http://schemas.openxmlformats.org/officeDocument/2006/relationships/hyperlink" Target="https://espacio-industria.com/" TargetMode="External"/><Relationship Id="rId21" Type="http://schemas.openxmlformats.org/officeDocument/2006/relationships/hyperlink" Target="https://www.wurth.com.ar/contenidos/preguntas-frecuentes/tiempos-de-entrega.html" TargetMode="External"/><Relationship Id="rId22" Type="http://schemas.openxmlformats.org/officeDocument/2006/relationships/hyperlink" Target="https://egmtrader.mercadoshops.com.ar/MLA-907638018-granalla-de-acero-al-carbono-esferica-varias-medidas-x-25-kg-_JM" TargetMode="External"/><Relationship Id="rId23" Type="http://schemas.openxmlformats.org/officeDocument/2006/relationships/hyperlink" Target="https://www.enamels.com.ar/la-empresa/" TargetMode="External"/><Relationship Id="rId24" Type="http://schemas.openxmlformats.org/officeDocument/2006/relationships/hyperlink" Target="https://www.grupooxicas.com/content/9-envios" TargetMode="External"/><Relationship Id="rId25" Type="http://schemas.openxmlformats.org/officeDocument/2006/relationships/hyperlink" Target="https://www.grupooxicas.com/content/9-envios" TargetMode="External"/><Relationship Id="rId26" Type="http://schemas.openxmlformats.org/officeDocument/2006/relationships/hyperlink" Target="https://www.grupooxicas.com/content/9-envios" TargetMode="External"/><Relationship Id="rId27" Type="http://schemas.openxmlformats.org/officeDocument/2006/relationships/hyperlink" Target="https://www.grupooxicas.com/content/9-envios" TargetMode="External"/><Relationship Id="rId28" Type="http://schemas.openxmlformats.org/officeDocument/2006/relationships/hyperlink" Target="https://www.grupooxicas.com/content/9-envios" TargetMode="External"/><Relationship Id="rId29" Type="http://schemas.openxmlformats.org/officeDocument/2006/relationships/hyperlink" Target="https://vernassa.com.ar/pt/producto/concentrado-espumigeno-de-baja-expansion-afff/" TargetMode="External"/><Relationship Id="rId30" Type="http://schemas.openxmlformats.org/officeDocument/2006/relationships/hyperlink" Target="https://www.grupooxicas.com/content/9-envios" TargetMode="External"/><Relationship Id="rId31" Type="http://schemas.openxmlformats.org/officeDocument/2006/relationships/hyperlink" Target="https://seguridad.elgalponcorrientes.com.ar/informacion/" TargetMode="External"/><Relationship Id="rId32" Type="http://schemas.openxmlformats.org/officeDocument/2006/relationships/hyperlink" Target="https://seguridad.elgalponcorrientes.com.ar/informacion/" TargetMode="External"/><Relationship Id="rId33" Type="http://schemas.openxmlformats.org/officeDocument/2006/relationships/hyperlink" Target="https://seguridad.elgalponcorrientes.com.ar/informacion/" TargetMode="External"/><Relationship Id="rId34" Type="http://schemas.openxmlformats.org/officeDocument/2006/relationships/hyperlink" Target="https://seguridad.elgalponcorrientes.com.ar/informacion/" TargetMode="External"/><Relationship Id="rId35" Type="http://schemas.openxmlformats.org/officeDocument/2006/relationships/hyperlink" Target="https://seguridad.elgalponcorrientes.com.ar/informacion/" TargetMode="External"/><Relationship Id="rId36" Type="http://schemas.openxmlformats.org/officeDocument/2006/relationships/hyperlink" Target="https://seguridad.elgalponcorrientes.com.ar/informacion/" TargetMode="External"/><Relationship Id="rId37" Type="http://schemas.openxmlformats.org/officeDocument/2006/relationships/hyperlink" Target="https://seguridad.elgalponcorrientes.com.ar/informacion/" TargetMode="External"/><Relationship Id="rId38" Type="http://schemas.openxmlformats.org/officeDocument/2006/relationships/hyperlink" Target="https://seguridad.elgalponcorrientes.com.ar/informacion/" TargetMode="External"/><Relationship Id="rId39" Type="http://schemas.openxmlformats.org/officeDocument/2006/relationships/hyperlink" Target="https://seguridad.elgalponcorrientes.com.ar/informacion/" TargetMode="External"/><Relationship Id="rId40" Type="http://schemas.openxmlformats.org/officeDocument/2006/relationships/hyperlink" Target="https://seguridad.elgalponcorrientes.com.ar/informacion/" TargetMode="External"/><Relationship Id="rId41" Type="http://schemas.openxmlformats.org/officeDocument/2006/relationships/hyperlink" Target="https://seguridad.elgalponcorrientes.com.ar/informacion/" TargetMode="External"/><Relationship Id="rId42" Type="http://schemas.openxmlformats.org/officeDocument/2006/relationships/hyperlink" Target="https://seguridad.elgalponcorrientes.com.ar/informacion/" TargetMode="External"/><Relationship Id="rId43" Type="http://schemas.openxmlformats.org/officeDocument/2006/relationships/hyperlink" Target="https://seguridad.elgalponcorrientes.com.ar/informacion/" TargetMode="External"/><Relationship Id="rId44" Type="http://schemas.openxmlformats.org/officeDocument/2006/relationships/hyperlink" Target="https://seguridad.elgalponcorrientes.com.ar/informacion/" TargetMode="External"/><Relationship Id="rId45" Type="http://schemas.openxmlformats.org/officeDocument/2006/relationships/hyperlink" Target="https://seguridad.elgalponcorrientes.com.ar/informacion/" TargetMode="External"/><Relationship Id="rId46" Type="http://schemas.openxmlformats.org/officeDocument/2006/relationships/hyperlink" Target="https://seguridad.elgalponcorrientes.com.ar/informacion/" TargetMode="External"/><Relationship Id="rId47" Type="http://schemas.openxmlformats.org/officeDocument/2006/relationships/hyperlink" Target="https://seguridad.elgalponcorrientes.com.ar/informacion/" TargetMode="External"/><Relationship Id="rId48" Type="http://schemas.openxmlformats.org/officeDocument/2006/relationships/hyperlink" Target="https://seguridad.elgalponcorrientes.com.ar/informacion/" TargetMode="External"/><Relationship Id="rId49" Type="http://schemas.openxmlformats.org/officeDocument/2006/relationships/hyperlink" Target="https://seguridad.elgalponcorrientes.com.ar/informacion/" TargetMode="External"/><Relationship Id="rId50" Type="http://schemas.openxmlformats.org/officeDocument/2006/relationships/hyperlink" Target="https://seguridad.elgalponcorrientes.com.ar/informacion/" TargetMode="External"/><Relationship Id="rId51" Type="http://schemas.openxmlformats.org/officeDocument/2006/relationships/hyperlink" Target="https://www.facebook.com/people/Argensold-el-nombre-del-Oring/100091676384453/" TargetMode="External"/><Relationship Id="rId52" Type="http://schemas.openxmlformats.org/officeDocument/2006/relationships/hyperlink" Target="https://www.facebook.com/people/Argensold-el-nombre-del-Oring/100091676384453/" TargetMode="External"/><Relationship Id="rId53" Type="http://schemas.openxmlformats.org/officeDocument/2006/relationships/hyperlink" Target="https://www.facebook.com/people/Argensold-el-nombre-del-Oring/100091676384453/" TargetMode="External"/><Relationship Id="rId54" Type="http://schemas.openxmlformats.org/officeDocument/2006/relationships/hyperlink" Target="https://www.wurth.com.ar/contenidos/preguntas-frecuentes/tiempos-de-entrega.html" TargetMode="External"/><Relationship Id="rId55" Type="http://schemas.openxmlformats.org/officeDocument/2006/relationships/hyperlink" Target="https://www.matafuegosaconcagua.com/preguntas-frecuentes/" TargetMode="External"/><Relationship Id="rId56" Type="http://schemas.openxmlformats.org/officeDocument/2006/relationships/hyperlink" Target="https://www.matafuegosaconcagua.com/preguntas-frecuentes/" TargetMode="External"/><Relationship Id="rId57" Type="http://schemas.openxmlformats.org/officeDocument/2006/relationships/hyperlink" Target="https://www.matafuegosaconcagua.com/preguntas-frecuentes/" TargetMode="External"/><Relationship Id="rId58" Type="http://schemas.openxmlformats.org/officeDocument/2006/relationships/hyperlink" Target="https://www.matafuegosaconcagua.com/preguntas-frecuentes/" TargetMode="External"/><Relationship Id="rId59" Type="http://schemas.openxmlformats.org/officeDocument/2006/relationships/hyperlink" Target="https://www.wurth.com.ar/contenidos/preguntas-frecuentes/tiempos-de-entrega.html" TargetMode="External"/><Relationship Id="rId60" Type="http://schemas.openxmlformats.org/officeDocument/2006/relationships/hyperlink" Target="https://seguridad.elgalponcorrientes.com.ar/informacion/" TargetMode="External"/><Relationship Id="rId61" Type="http://schemas.openxmlformats.org/officeDocument/2006/relationships/hyperlink" Target="https://rotolan.com.ar/etiquetas-en-rollo.html" TargetMode="External"/><Relationship Id="rId62" Type="http://schemas.openxmlformats.org/officeDocument/2006/relationships/hyperlink" Target="https://rotolan.com.ar/etiquetas-en-rollo.html" TargetMode="External"/><Relationship Id="rId63" Type="http://schemas.openxmlformats.org/officeDocument/2006/relationships/hyperlink" Target="https://rotolan.com.ar/etiquetas-en-rollo.html" TargetMode="External"/><Relationship Id="rId64" Type="http://schemas.openxmlformats.org/officeDocument/2006/relationships/hyperlink" Target="https://rotularte.com.ar/impresion-vinilo-autoadhesivo/" TargetMode="External"/><Relationship Id="rId65" Type="http://schemas.openxmlformats.org/officeDocument/2006/relationships/hyperlink" Target="https://rotularte.com.ar/impresion-vinilo-autoadhesivo/" TargetMode="External"/><Relationship Id="rId66" Type="http://schemas.openxmlformats.org/officeDocument/2006/relationships/hyperlink" Target="https://rotularte.com.ar/impresion-vinilo-autoadhesivo/" TargetMode="External"/><Relationship Id="rId67" Type="http://schemas.openxmlformats.org/officeDocument/2006/relationships/hyperlink" Target="https://rotularte.com.ar/impresion-vinilo-autoadhesivo/" TargetMode="External"/><Relationship Id="rId68" Type="http://schemas.openxmlformats.org/officeDocument/2006/relationships/hyperlink" Target="https://rotularte.com.ar/impresion-vinilo-autoadhesivo/" TargetMode="External"/><Relationship Id="rId69" Type="http://schemas.openxmlformats.org/officeDocument/2006/relationships/hyperlink" Target="https://www.ambiente.gba.gob.ar/sites/default/files/RESOLUCION%20349%2007.pdf" TargetMode="External"/><Relationship Id="rId70" Type="http://schemas.openxmlformats.org/officeDocument/2006/relationships/hyperlink" Target="https://quesosespeciales.com/resources/img/quality/DC-PG_129_IRAM.pdf" TargetMode="External"/><Relationship Id="rId71" Type="http://schemas.openxmlformats.org/officeDocument/2006/relationships/hyperlink" Target="https://www.buenosaires.gob.ar/tramites/registro-de-fabricacion-reparacion-recarga-instalacion-y-control-de-extintores-matafuegos-y" TargetMode="External"/><Relationship Id="rId72" Type="http://schemas.openxmlformats.org/officeDocument/2006/relationships/hyperlink" Target="https://rotolan.com.ar/etiquetas-en-rollo.html" TargetMode="External"/><Relationship Id="rId73" Type="http://schemas.openxmlformats.org/officeDocument/2006/relationships/hyperlink" Target="https://rotolan.com.ar/etiquetas-en-rollo.html" TargetMode="External"/><Relationship Id="rId74" Type="http://schemas.openxmlformats.org/officeDocument/2006/relationships/hyperlink" Target="https://papeleradamian.com/presta/content/delivery.html" TargetMode="External"/><Relationship Id="rId75" Type="http://schemas.openxmlformats.org/officeDocument/2006/relationships/hyperlink" Target="https://rotolan.com.ar/etiquetas-en-rollo.html" TargetMode="External"/><Relationship Id="rId76" Type="http://schemas.openxmlformats.org/officeDocument/2006/relationships/hyperlink" Target="https://www.martinmorris.ar/shipping-policies" TargetMode="External"/><Relationship Id="rId77" Type="http://schemas.openxmlformats.org/officeDocument/2006/relationships/hyperlink" Target="https://www.martinmorris.ar/shipping-policies" TargetMode="External"/><Relationship Id="rId78" Type="http://schemas.openxmlformats.org/officeDocument/2006/relationships/hyperlink" Target="https://www.martinmorris.ar/shipping-policies" TargetMode="External"/><Relationship Id="rId79" Type="http://schemas.openxmlformats.org/officeDocument/2006/relationships/hyperlink" Target="https://www.todolanus.com.ar/rubro/imprentas-talleres-graficos" TargetMode="External"/><Relationship Id="rId80" Type="http://schemas.openxmlformats.org/officeDocument/2006/relationships/hyperlink" Target="https://rotolan.com.ar/etiquetas-en-rollo.html" TargetMode="External"/><Relationship Id="rId81" Type="http://schemas.openxmlformats.org/officeDocument/2006/relationships/hyperlink" Target="https://papeleradamian.com/presta/content/delivery.html" TargetMode="External"/><Relationship Id="rId82" Type="http://schemas.openxmlformats.org/officeDocument/2006/relationships/hyperlink" Target="https://rotolan.com.ar/etiquetas-en-rollo.html" TargetMode="External"/><Relationship Id="rId83" Type="http://schemas.openxmlformats.org/officeDocument/2006/relationships/hyperlink" Target="https://www.ambiente.gba.gob.ar/sites/default/files/RESOLUCION%20349%2007.pdf" TargetMode="External"/><Relationship Id="rId84" Type="http://schemas.openxmlformats.org/officeDocument/2006/relationships/hyperlink" Target="https://www.ambiente.gba.gob.ar/sites/default/files/RESOLUCION%20349%2007.pdf" TargetMode="External"/><Relationship Id="rId85" Type="http://schemas.openxmlformats.org/officeDocument/2006/relationships/hyperlink" Target="https://rotolan.com.ar/etiquetas-en-rollo.html" TargetMode="External"/><Relationship Id="rId86" Type="http://schemas.openxmlformats.org/officeDocument/2006/relationships/hyperlink" Target="https://www.ambiente.gba.gob.ar/sites/default/files/RESOLUCION%20349%2007.pdf" TargetMode="External"/><Relationship Id="rId87" Type="http://schemas.openxmlformats.org/officeDocument/2006/relationships/hyperlink" Target="https://www.buenosaires.gob.ar/tramites/registro-de-fabricacion-reparacion-recarga-instalacion-y-control-de-extintores-matafuegos-y" TargetMode="External"/><Relationship Id="rId88" Type="http://schemas.openxmlformats.org/officeDocument/2006/relationships/hyperlink" Target="https://www.pintureriasmafer.com.ar/terminos-y-condiciones/" TargetMode="External"/><Relationship Id="rId89" Type="http://schemas.openxmlformats.org/officeDocument/2006/relationships/hyperlink" Target="https://sellerpack.com.ar/industrias/construccion-industria/" TargetMode="External"/><Relationship Id="rId90" Type="http://schemas.openxmlformats.org/officeDocument/2006/relationships/hyperlink" Target="https://sellerpack.com.ar/industrias/construccion-industria/" TargetMode="External"/><Relationship Id="rId91" Type="http://schemas.openxmlformats.org/officeDocument/2006/relationships/hyperlink" Target="https://sellerpack.com.ar/industrias/construccion-industria/" TargetMode="External"/><Relationship Id="rId92" Type="http://schemas.openxmlformats.org/officeDocument/2006/relationships/hyperlink" Target="https://sellerpack.com.ar/industrias/construccion-industria/" TargetMode="External"/><Relationship Id="rId93" Type="http://schemas.openxmlformats.org/officeDocument/2006/relationships/hyperlink" Target="https://rotolan.com.ar/etiquetas-en-rollo.html" TargetMode="External"/><Relationship Id="rId94" Type="http://schemas.openxmlformats.org/officeDocument/2006/relationships/hyperlink" Target="https://depallet.com.ar/logistica/" TargetMode="External"/><Relationship Id="rId95" Type="http://schemas.openxmlformats.org/officeDocument/2006/relationships/hyperlink" Target="https://rotolan.com.ar/etiquetas-en-rollo.html" TargetMode="External"/><Relationship Id="rId96" Type="http://schemas.openxmlformats.org/officeDocument/2006/relationships/hyperlink" Target="https://www.maxiseguridad.com.ar/detalle-noticias-maxiseguridad/169/Venta-y-Recarga-de-Matafuegos-en-Forma-Online" TargetMode="External"/><Relationship Id="rId97" Type="http://schemas.openxmlformats.org/officeDocument/2006/relationships/hyperlink" Target="https://www.maxiseguridad.com.ar/detalle-noticias-maxiseguridad/169/Venta-y-Recarga-de-Matafuegos-en-Forma-Online" TargetMode="External"/><Relationship Id="rId98" Type="http://schemas.openxmlformats.org/officeDocument/2006/relationships/hyperlink" Target="https://www.maxiseguridad.com.ar/detalle-noticias-maxiseguridad/169/Venta-y-Recarga-de-Matafuegos-en-Forma-Online" TargetMode="External"/><Relationship Id="rId99" Type="http://schemas.openxmlformats.org/officeDocument/2006/relationships/hyperlink" Target="https://www.maxiseguridad.com.ar/detalle-noticias-maxiseguridad/169/Venta-y-Recarga-de-Matafuegos-en-Forma-Online" TargetMode="External"/><Relationship Id="rId100" Type="http://schemas.openxmlformats.org/officeDocument/2006/relationships/hyperlink" Target="https://www.matafuegosrodo.com/" TargetMode="External"/><Relationship Id="rId101" Type="http://schemas.openxmlformats.org/officeDocument/2006/relationships/hyperlink" Target="https://www.maxiseguridad.com.ar/detalle-noticias-maxiseguridad/169/Venta-y-Recarga-de-Matafuegos-en-Forma-Online" TargetMode="External"/><Relationship Id="rId102" Type="http://schemas.openxmlformats.org/officeDocument/2006/relationships/hyperlink" Target="https://www.matafuegosrodo.com/" TargetMode="External"/><Relationship Id="rId103" Type="http://schemas.openxmlformats.org/officeDocument/2006/relationships/hyperlink" Target="https://www.matafuegosrodo.com/" TargetMode="External"/><Relationship Id="rId104" Type="http://schemas.openxmlformats.org/officeDocument/2006/relationships/hyperlink" Target="https://www.matafuegosaconcagua.com/preguntas-frecuentes/" TargetMode="External"/><Relationship Id="rId105" Type="http://schemas.openxmlformats.org/officeDocument/2006/relationships/drawing" Target="../drawings/drawing2.xml"/><Relationship Id="rId106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0"/>
    <pageSetUpPr fitToPage="true"/>
  </sheetPr>
  <dimension ref="A1:M5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13" min="4" style="0" width="10"/>
  </cols>
  <sheetData>
    <row r="1" customFormat="false" ht="1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n">
        <v>2026</v>
      </c>
      <c r="E3" s="2" t="n">
        <v>2027</v>
      </c>
      <c r="F3" s="2" t="n">
        <v>2028</v>
      </c>
      <c r="G3" s="2" t="n">
        <v>2029</v>
      </c>
      <c r="H3" s="2" t="n">
        <v>2030</v>
      </c>
      <c r="I3" s="2" t="n">
        <v>2031</v>
      </c>
      <c r="J3" s="2" t="n">
        <v>2032</v>
      </c>
      <c r="K3" s="2" t="n">
        <v>2033</v>
      </c>
      <c r="L3" s="2" t="n">
        <v>2034</v>
      </c>
      <c r="M3" s="2" t="n">
        <v>2035</v>
      </c>
    </row>
    <row r="4" customFormat="false" ht="15" hidden="false" customHeight="false" outlineLevel="0" collapsed="false">
      <c r="A4" s="3" t="s">
        <v>4</v>
      </c>
      <c r="B4" s="3" t="s">
        <v>5</v>
      </c>
      <c r="C4" s="3" t="s">
        <v>6</v>
      </c>
      <c r="D4" s="4" t="n">
        <f aca="false">(PROY_INDEXADO!B63+PROY_INDEXADO!B65+PROY_INDEXADO!B66+PROY_INDEXADO!B67)/PROY_INDEXADO!B75</f>
        <v>0.287786410920057</v>
      </c>
      <c r="E4" s="4" t="n">
        <f aca="false">(PROY_INDEXADO!C63+PROY_INDEXADO!C65+PROY_INDEXADO!C66+PROY_INDEXADO!C67)/PROY_INDEXADO!C75</f>
        <v>0.287839373142405</v>
      </c>
      <c r="F4" s="4" t="n">
        <f aca="false">(PROY_INDEXADO!D63+PROY_INDEXADO!D65+PROY_INDEXADO!D66+PROY_INDEXADO!D67)/PROY_INDEXADO!D75</f>
        <v>0.287891542252176</v>
      </c>
      <c r="G4" s="4" t="n">
        <f aca="false">(PROY_INDEXADO!E63+PROY_INDEXADO!E65+PROY_INDEXADO!E66+PROY_INDEXADO!E67)/PROY_INDEXADO!E75</f>
        <v>0.287943045866737</v>
      </c>
      <c r="H4" s="4" t="n">
        <f aca="false">(PROY_INDEXADO!F63+PROY_INDEXADO!F65+PROY_INDEXADO!F66+PROY_INDEXADO!F67)/PROY_INDEXADO!F75</f>
        <v>0.28799319796445</v>
      </c>
      <c r="I4" s="4" t="n">
        <f aca="false">(PROY_INDEXADO!G63+PROY_INDEXADO!G65+PROY_INDEXADO!G66+PROY_INDEXADO!G67)/PROY_INDEXADO!G75</f>
        <v>0.288042752473099</v>
      </c>
      <c r="J4" s="4" t="n">
        <f aca="false">(PROY_INDEXADO!H63+PROY_INDEXADO!H65+PROY_INDEXADO!H66+PROY_INDEXADO!H67)/PROY_INDEXADO!H75</f>
        <v>0.288090876512633</v>
      </c>
      <c r="K4" s="4" t="n">
        <f aca="false">(PROY_INDEXADO!I63+PROY_INDEXADO!I65+PROY_INDEXADO!I66+PROY_INDEXADO!I67)/PROY_INDEXADO!I75</f>
        <v>0.288140116657236</v>
      </c>
      <c r="L4" s="4" t="n">
        <f aca="false">(PROY_INDEXADO!J63+PROY_INDEXADO!J65+PROY_INDEXADO!J66+PROY_INDEXADO!J67)/PROY_INDEXADO!J75</f>
        <v>0.288188309960618</v>
      </c>
      <c r="M4" s="4" t="n">
        <f aca="false">(PROY_INDEXADO!K63+PROY_INDEXADO!K65+PROY_INDEXADO!K66+PROY_INDEXADO!K67)/PROY_INDEXADO!K75</f>
        <v>0.288236505556781</v>
      </c>
    </row>
    <row r="5" customFormat="false" ht="15" hidden="false" customHeight="false" outlineLevel="0" collapsed="false">
      <c r="A5" s="3" t="s">
        <v>7</v>
      </c>
      <c r="B5" s="3"/>
      <c r="C5" s="3" t="s">
        <v>8</v>
      </c>
      <c r="D5" s="4" t="n">
        <f aca="false">(PROY_INDEXADO!B79+PROY_INDEXADO!B80+PROY_INDEXADO!B81+PROY_INDEXADO!B82)/PROY_INDEXADO!B93</f>
        <v>0.233152989787015</v>
      </c>
      <c r="E5" s="4" t="n">
        <f aca="false">(PROY_INDEXADO!C79+PROY_INDEXADO!C80+PROY_INDEXADO!C81+PROY_INDEXADO!C82)/PROY_INDEXADO!C93</f>
        <v>0.233064757025375</v>
      </c>
      <c r="F5" s="4" t="n">
        <f aca="false">(PROY_INDEXADO!D79+PROY_INDEXADO!D80+PROY_INDEXADO!D81+PROY_INDEXADO!D82)/PROY_INDEXADO!D93</f>
        <v>0.233059716513857</v>
      </c>
      <c r="G5" s="4" t="n">
        <f aca="false">(PROY_INDEXADO!E79+PROY_INDEXADO!E80+PROY_INDEXADO!E81+PROY_INDEXADO!E82)/PROY_INDEXADO!E93</f>
        <v>0.233125194449726</v>
      </c>
      <c r="H5" s="4" t="n">
        <f aca="false">(PROY_INDEXADO!F79+PROY_INDEXADO!F80+PROY_INDEXADO!F81+PROY_INDEXADO!F82)/PROY_INDEXADO!F93</f>
        <v>0.233289483857775</v>
      </c>
      <c r="I5" s="4" t="n">
        <f aca="false">(PROY_INDEXADO!G79+PROY_INDEXADO!G80+PROY_INDEXADO!G81+PROY_INDEXADO!G82)/PROY_INDEXADO!G93</f>
        <v>0.233568531672242</v>
      </c>
      <c r="J5" s="4" t="n">
        <f aca="false">(PROY_INDEXADO!H79+PROY_INDEXADO!H80+PROY_INDEXADO!H81+PROY_INDEXADO!H82)/PROY_INDEXADO!H93</f>
        <v>0.233980575645323</v>
      </c>
      <c r="K5" s="4" t="n">
        <f aca="false">(PROY_INDEXADO!I79+PROY_INDEXADO!I80+PROY_INDEXADO!I81+PROY_INDEXADO!I82)/PROY_INDEXADO!I93</f>
        <v>0.234541859730553</v>
      </c>
      <c r="L5" s="4" t="n">
        <f aca="false">(PROY_INDEXADO!J79+PROY_INDEXADO!J80+PROY_INDEXADO!J81+PROY_INDEXADO!J82)/PROY_INDEXADO!J93</f>
        <v>0.235274813271159</v>
      </c>
      <c r="M5" s="4" t="n">
        <f aca="false">(PROY_INDEXADO!K79+PROY_INDEXADO!K80+PROY_INDEXADO!K81+PROY_INDEXADO!K82)/PROY_INDEXADO!K93</f>
        <v>0.236215167137701</v>
      </c>
    </row>
    <row r="6" customFormat="false" ht="15" hidden="false" customHeight="false" outlineLevel="0" collapsed="false">
      <c r="A6" s="3" t="s">
        <v>9</v>
      </c>
      <c r="B6" s="3" t="s">
        <v>5</v>
      </c>
      <c r="C6" s="3" t="s">
        <v>10</v>
      </c>
      <c r="D6" s="4" t="n">
        <f aca="false">PROY_INDEXADO!B63/(PROY_INDEXADO!B63+PROY_INDEXADO!B65+PROY_INDEXADO!B66+PROY_INDEXADO!B67)</f>
        <v>0.211544905791709</v>
      </c>
      <c r="E6" s="4" t="n">
        <f aca="false">PROY_INDEXADO!C63/(PROY_INDEXADO!C63+PROY_INDEXADO!C65+PROY_INDEXADO!C66+PROY_INDEXADO!C67)</f>
        <v>0.21080895652091</v>
      </c>
      <c r="F6" s="4" t="n">
        <f aca="false">PROY_INDEXADO!D63/(PROY_INDEXADO!D63+PROY_INDEXADO!D65+PROY_INDEXADO!D66+PROY_INDEXADO!D67)</f>
        <v>0.210123520520935</v>
      </c>
      <c r="G6" s="4" t="n">
        <f aca="false">PROY_INDEXADO!E63/(PROY_INDEXADO!E63+PROY_INDEXADO!E65+PROY_INDEXADO!E66+PROY_INDEXADO!E67)</f>
        <v>0.209493739501544</v>
      </c>
      <c r="H6" s="4" t="n">
        <f aca="false">PROY_INDEXADO!F63/(PROY_INDEXADO!F63+PROY_INDEXADO!F65+PROY_INDEXADO!F66+PROY_INDEXADO!F67)</f>
        <v>0.208931711059439</v>
      </c>
      <c r="I6" s="4" t="n">
        <f aca="false">PROY_INDEXADO!G63/(PROY_INDEXADO!G63+PROY_INDEXADO!G65+PROY_INDEXADO!G66+PROY_INDEXADO!G67)</f>
        <v>0.208443996786069</v>
      </c>
      <c r="J6" s="4" t="n">
        <f aca="false">PROY_INDEXADO!H63/(PROY_INDEXADO!H63+PROY_INDEXADO!H65+PROY_INDEXADO!H66+PROY_INDEXADO!H67)</f>
        <v>0.208045431706113</v>
      </c>
      <c r="K6" s="4" t="n">
        <f aca="false">PROY_INDEXADO!I63/(PROY_INDEXADO!I63+PROY_INDEXADO!I65+PROY_INDEXADO!I66+PROY_INDEXADO!I67)</f>
        <v>0.207748159679842</v>
      </c>
      <c r="L6" s="4" t="n">
        <f aca="false">PROY_INDEXADO!J63/(PROY_INDEXADO!J63+PROY_INDEXADO!J65+PROY_INDEXADO!J66+PROY_INDEXADO!J67)</f>
        <v>0.207569340511898</v>
      </c>
      <c r="M6" s="4" t="n">
        <f aca="false">PROY_INDEXADO!K63/(PROY_INDEXADO!K63+PROY_INDEXADO!K65+PROY_INDEXADO!K66+PROY_INDEXADO!K67)</f>
        <v>0.207528487318477</v>
      </c>
    </row>
    <row r="7" customFormat="false" ht="15" hidden="false" customHeight="false" outlineLevel="0" collapsed="false">
      <c r="A7" s="3" t="s">
        <v>11</v>
      </c>
      <c r="B7" s="3" t="s">
        <v>5</v>
      </c>
      <c r="C7" s="3" t="s">
        <v>12</v>
      </c>
      <c r="D7" s="5" t="n">
        <f aca="false">PROY_USADOS!$L$5</f>
        <v>0.047640138748839</v>
      </c>
      <c r="E7" s="5" t="n">
        <f aca="false">PROY_USADOS!$L$6</f>
        <v>0.0476358831442114</v>
      </c>
      <c r="F7" s="5" t="n">
        <f aca="false">PROY_USADOS!$L$7</f>
        <v>0.0476365412081658</v>
      </c>
      <c r="G7" s="5" t="n">
        <f aca="false">PROY_USADOS!$L$8</f>
        <v>0.0476386272686655</v>
      </c>
      <c r="H7" s="5" t="n">
        <f aca="false">PROY_USADOS!$L$9</f>
        <v>0.0476355008703424</v>
      </c>
      <c r="I7" s="5" t="n">
        <f aca="false">PROY_USADOS!$L$10</f>
        <v>0.0476371473200326</v>
      </c>
      <c r="J7" s="5" t="n">
        <f aca="false">PROY_USADOS!$L$11</f>
        <v>0.0476362456865221</v>
      </c>
      <c r="K7" s="5" t="n">
        <f aca="false">PROY_USADOS!$L$12</f>
        <v>0.0476375246482242</v>
      </c>
      <c r="L7" s="5" t="n">
        <f aca="false">PROY_USADOS!$L$13</f>
        <v>0.0476358170259356</v>
      </c>
      <c r="M7" s="5" t="n">
        <f aca="false">PROY_USADOS!$L$14</f>
        <v>0.0476332605821902</v>
      </c>
    </row>
    <row r="8" customFormat="false" ht="15" hidden="false" customHeight="false" outlineLevel="0" collapsed="false">
      <c r="A8" s="3" t="s">
        <v>13</v>
      </c>
      <c r="B8" s="3" t="s">
        <v>14</v>
      </c>
      <c r="C8" s="3" t="s">
        <v>15</v>
      </c>
      <c r="D8" s="6" t="n">
        <f aca="false">PROY_INDEXADO!B3</f>
        <v>4178.736543</v>
      </c>
      <c r="E8" s="6" t="n">
        <f aca="false">PROY_INDEXADO!C3</f>
        <v>5997.303977</v>
      </c>
      <c r="F8" s="6" t="n">
        <f aca="false">PROY_INDEXADO!D3</f>
        <v>6851.747758</v>
      </c>
      <c r="G8" s="6" t="n">
        <f aca="false">PROY_INDEXADO!E3</f>
        <v>8467.135549</v>
      </c>
      <c r="H8" s="6" t="n">
        <f aca="false">PROY_INDEXADO!F3</f>
        <v>12680.63271</v>
      </c>
      <c r="I8" s="6" t="n">
        <f aca="false">PROY_INDEXADO!G3</f>
        <v>15620.25307</v>
      </c>
      <c r="J8" s="6" t="n">
        <f aca="false">PROY_INDEXADO!H3</f>
        <v>20332.55326</v>
      </c>
      <c r="K8" s="6" t="n">
        <f aca="false">PROY_INDEXADO!I3</f>
        <v>25132.07848</v>
      </c>
      <c r="L8" s="6" t="n">
        <f aca="false">PROY_INDEXADO!J3</f>
        <v>28573.33614</v>
      </c>
      <c r="M8" s="6" t="n">
        <f aca="false">PROY_INDEXADO!K3</f>
        <v>32072.63913</v>
      </c>
    </row>
    <row r="9" customFormat="false" ht="15" hidden="false" customHeight="false" outlineLevel="0" collapsed="false">
      <c r="A9" s="3" t="s">
        <v>16</v>
      </c>
      <c r="B9" s="3" t="s">
        <v>14</v>
      </c>
      <c r="C9" s="3" t="s">
        <v>17</v>
      </c>
      <c r="D9" s="6" t="n">
        <f aca="false">PROY_INDEXADO!B4</f>
        <v>295.0303572</v>
      </c>
      <c r="E9" s="6" t="n">
        <f aca="false">PROY_INDEXADO!C4</f>
        <v>709.7274503</v>
      </c>
      <c r="F9" s="6" t="n">
        <f aca="false">PROY_INDEXADO!D4</f>
        <v>986.8680576</v>
      </c>
      <c r="G9" s="6" t="n">
        <f aca="false">PROY_INDEXADO!E4</f>
        <v>1500.638174</v>
      </c>
      <c r="H9" s="6" t="n">
        <f aca="false">PROY_INDEXADO!F4</f>
        <v>2312.627726</v>
      </c>
      <c r="I9" s="6" t="n">
        <f aca="false">PROY_INDEXADO!G4</f>
        <v>3252.869887</v>
      </c>
      <c r="J9" s="6" t="n">
        <f aca="false">PROY_INDEXADO!H4</f>
        <v>4102.315524</v>
      </c>
      <c r="K9" s="6" t="n">
        <f aca="false">PROY_INDEXADO!I4</f>
        <v>5104.306587</v>
      </c>
      <c r="L9" s="6" t="n">
        <f aca="false">PROY_INDEXADO!J4</f>
        <v>6195.186243</v>
      </c>
      <c r="M9" s="6" t="n">
        <f aca="false">PROY_INDEXADO!K4</f>
        <v>7424.858444</v>
      </c>
    </row>
    <row r="10" customFormat="false" ht="15" hidden="false" customHeight="false" outlineLevel="0" collapsed="false">
      <c r="A10" s="3" t="s">
        <v>18</v>
      </c>
      <c r="B10" s="3" t="s">
        <v>14</v>
      </c>
      <c r="C10" s="3" t="s">
        <v>19</v>
      </c>
      <c r="D10" s="6" t="n">
        <f aca="false">PROY_INDEXADO!B5+PROY_RESERVAS!B30+PROY_RESERVAS!B69*$D$4</f>
        <v>2727.90356888796</v>
      </c>
      <c r="E10" s="6" t="n">
        <f aca="false">PROY_INDEXADO!C5+PROY_RESERVAS!C30+PROY_RESERVAS!C69*$D$4</f>
        <v>5488.91063218589</v>
      </c>
      <c r="F10" s="6" t="n">
        <f aca="false">PROY_INDEXADO!D5+PROY_RESERVAS!D30+PROY_RESERVAS!D69*$D$4</f>
        <v>7206.58549675331</v>
      </c>
      <c r="G10" s="6" t="n">
        <f aca="false">PROY_INDEXADO!E5+PROY_RESERVAS!E30+PROY_RESERVAS!E69*$D$4</f>
        <v>10420.9077932162</v>
      </c>
      <c r="H10" s="6" t="n">
        <f aca="false">PROY_INDEXADO!F5+PROY_RESERVAS!F30+PROY_RESERVAS!F69*$D$4</f>
        <v>14495.0713349105</v>
      </c>
      <c r="I10" s="6" t="n">
        <f aca="false">PROY_INDEXADO!G5+PROY_RESERVAS!G30+PROY_RESERVAS!G69*$D$4</f>
        <v>18737.0609615097</v>
      </c>
      <c r="J10" s="6" t="n">
        <f aca="false">PROY_INDEXADO!H5+PROY_RESERVAS!H30+PROY_RESERVAS!H69*$D$4</f>
        <v>22634.4822225078</v>
      </c>
      <c r="K10" s="6" t="n">
        <f aca="false">PROY_INDEXADO!I5+PROY_RESERVAS!I30+PROY_RESERVAS!I69*$D$4</f>
        <v>26002.338467674</v>
      </c>
      <c r="L10" s="6" t="n">
        <f aca="false">PROY_INDEXADO!J5+PROY_RESERVAS!J30+PROY_RESERVAS!J69*$D$4</f>
        <v>28613.3997200898</v>
      </c>
      <c r="M10" s="6" t="n">
        <f aca="false">PROY_INDEXADO!K5+PROY_RESERVAS!K30+PROY_RESERVAS!K69*$D$4</f>
        <v>32428.7706862536</v>
      </c>
    </row>
    <row r="11" customFormat="false" ht="15" hidden="false" customHeight="false" outlineLevel="0" collapsed="false">
      <c r="A11" s="3" t="s">
        <v>20</v>
      </c>
      <c r="B11" s="3" t="s">
        <v>14</v>
      </c>
      <c r="C11" s="3" t="s">
        <v>21</v>
      </c>
      <c r="D11" s="6" t="n">
        <f aca="false">PROY_INDEXADO!B6+PROY_RESERVAS!B70*$D$4</f>
        <v>92.4087543518401</v>
      </c>
      <c r="E11" s="6" t="n">
        <f aca="false">PROY_INDEXADO!C6+PROY_RESERVAS!C70*$D$4</f>
        <v>178.139434573852</v>
      </c>
      <c r="F11" s="6" t="n">
        <f aca="false">PROY_INDEXADO!D6+PROY_RESERVAS!D70*$D$4</f>
        <v>255.06523127917</v>
      </c>
      <c r="G11" s="6" t="n">
        <f aca="false">PROY_INDEXADO!E6+PROY_RESERVAS!E70*$D$4</f>
        <v>361.071030055753</v>
      </c>
      <c r="H11" s="6" t="n">
        <f aca="false">PROY_INDEXADO!F6+PROY_RESERVAS!F70*$D$4</f>
        <v>605.624794650293</v>
      </c>
      <c r="I11" s="6" t="n">
        <f aca="false">PROY_INDEXADO!G6+PROY_RESERVAS!G70*$D$4</f>
        <v>876.216751457047</v>
      </c>
      <c r="J11" s="6" t="n">
        <f aca="false">PROY_INDEXADO!H6+PROY_RESERVAS!H70*$D$4</f>
        <v>1130.35497416121</v>
      </c>
      <c r="K11" s="6" t="n">
        <f aca="false">PROY_INDEXADO!I6+PROY_RESERVAS!I70*$D$4</f>
        <v>1397.61759940245</v>
      </c>
      <c r="L11" s="6" t="n">
        <f aca="false">PROY_INDEXADO!J6+PROY_RESERVAS!J70*$D$4</f>
        <v>1614.59478800518</v>
      </c>
      <c r="M11" s="6" t="n">
        <f aca="false">PROY_INDEXADO!K6+PROY_RESERVAS!K70*$D$4</f>
        <v>1842.87697319699</v>
      </c>
    </row>
    <row r="12" customFormat="false" ht="15" hidden="false" customHeight="false" outlineLevel="0" collapsed="false">
      <c r="A12" s="3" t="s">
        <v>22</v>
      </c>
      <c r="B12" s="3" t="s">
        <v>14</v>
      </c>
      <c r="C12" s="3" t="s">
        <v>23</v>
      </c>
      <c r="D12" s="6" t="n">
        <f aca="false">PROY_INDEXADO!B15</f>
        <v>0</v>
      </c>
      <c r="E12" s="6" t="n">
        <f aca="false">PROY_INDEXADO!C15</f>
        <v>0</v>
      </c>
      <c r="F12" s="6" t="n">
        <f aca="false">PROY_INDEXADO!D15</f>
        <v>7662.4</v>
      </c>
      <c r="G12" s="6" t="n">
        <f aca="false">PROY_INDEXADO!E15</f>
        <v>26694.8</v>
      </c>
      <c r="H12" s="6" t="n">
        <f aca="false">PROY_INDEXADO!F15</f>
        <v>49434.8</v>
      </c>
      <c r="I12" s="6" t="n">
        <f aca="false">PROY_INDEXADO!G15</f>
        <v>71680.2</v>
      </c>
      <c r="J12" s="6" t="n">
        <f aca="false">PROY_INDEXADO!H15</f>
        <v>101340.6</v>
      </c>
      <c r="K12" s="6" t="n">
        <f aca="false">PROY_INDEXADO!I15</f>
        <v>131001</v>
      </c>
      <c r="L12" s="6" t="n">
        <f aca="false">PROY_INDEXADO!J15</f>
        <v>146819.8</v>
      </c>
      <c r="M12" s="6" t="n">
        <f aca="false">PROY_INDEXADO!K15</f>
        <v>170548</v>
      </c>
    </row>
    <row r="13" customFormat="false" ht="15" hidden="false" customHeight="false" outlineLevel="0" collapsed="false">
      <c r="A13" s="3" t="s">
        <v>24</v>
      </c>
      <c r="B13" s="3" t="s">
        <v>14</v>
      </c>
      <c r="C13" s="3" t="s">
        <v>25</v>
      </c>
      <c r="D13" s="6" t="n">
        <f aca="false">PROY_INDEXADO!B16</f>
        <v>0</v>
      </c>
      <c r="E13" s="6" t="n">
        <f aca="false">PROY_INDEXADO!C16</f>
        <v>0</v>
      </c>
      <c r="F13" s="6" t="n">
        <f aca="false">PROY_INDEXADO!D16</f>
        <v>299.6</v>
      </c>
      <c r="G13" s="6" t="n">
        <f aca="false">PROY_INDEXADO!E16</f>
        <v>1043.8</v>
      </c>
      <c r="H13" s="6" t="n">
        <f aca="false">PROY_INDEXADO!F16</f>
        <v>1933</v>
      </c>
      <c r="I13" s="6" t="n">
        <f aca="false">PROY_INDEXADO!G16</f>
        <v>2803</v>
      </c>
      <c r="J13" s="6" t="n">
        <f aca="false">PROY_INDEXADO!H16</f>
        <v>3963</v>
      </c>
      <c r="K13" s="6" t="n">
        <f aca="false">PROY_INDEXADO!I16</f>
        <v>5123</v>
      </c>
      <c r="L13" s="6" t="n">
        <f aca="false">PROY_INDEXADO!J16</f>
        <v>5741.4</v>
      </c>
      <c r="M13" s="6" t="n">
        <f aca="false">PROY_INDEXADO!K16</f>
        <v>6669</v>
      </c>
    </row>
    <row r="14" customFormat="false" ht="15" hidden="false" customHeight="false" outlineLevel="0" collapsed="false">
      <c r="A14" s="3" t="s">
        <v>26</v>
      </c>
      <c r="B14" s="3" t="s">
        <v>14</v>
      </c>
      <c r="C14" s="3" t="s">
        <v>27</v>
      </c>
      <c r="D14" s="6" t="n">
        <f aca="false">PROY_INDEXADO!B17</f>
        <v>0</v>
      </c>
      <c r="E14" s="6" t="n">
        <f aca="false">PROY_INDEXADO!C17</f>
        <v>0</v>
      </c>
      <c r="F14" s="6" t="n">
        <f aca="false">PROY_INDEXADO!D17</f>
        <v>1478.8</v>
      </c>
      <c r="G14" s="6" t="n">
        <f aca="false">PROY_INDEXADO!E17</f>
        <v>5152</v>
      </c>
      <c r="H14" s="6" t="n">
        <f aca="false">PROY_INDEXADO!F17</f>
        <v>9540.8</v>
      </c>
      <c r="I14" s="6" t="n">
        <f aca="false">PROY_INDEXADO!G17</f>
        <v>13834.2</v>
      </c>
      <c r="J14" s="6" t="n">
        <f aca="false">PROY_INDEXADO!H17</f>
        <v>19558.6</v>
      </c>
      <c r="K14" s="6" t="n">
        <f aca="false">PROY_INDEXADO!I17</f>
        <v>25283</v>
      </c>
      <c r="L14" s="6" t="n">
        <f aca="false">PROY_INDEXADO!J17</f>
        <v>28335.8</v>
      </c>
      <c r="M14" s="6" t="n">
        <f aca="false">PROY_INDEXADO!K17</f>
        <v>32915</v>
      </c>
    </row>
    <row r="15" customFormat="false" ht="15" hidden="false" customHeight="false" outlineLevel="0" collapsed="false">
      <c r="A15" s="3" t="s">
        <v>28</v>
      </c>
      <c r="B15" s="3" t="s">
        <v>14</v>
      </c>
      <c r="C15" s="3" t="s">
        <v>29</v>
      </c>
      <c r="D15" s="6" t="n">
        <f aca="false">PROY_INDEXADO!B18</f>
        <v>0</v>
      </c>
      <c r="E15" s="6" t="n">
        <f aca="false">PROY_INDEXADO!C18</f>
        <v>0</v>
      </c>
      <c r="F15" s="6" t="n">
        <f aca="false">PROY_INDEXADO!D18</f>
        <v>90.4</v>
      </c>
      <c r="G15" s="6" t="n">
        <f aca="false">PROY_INDEXADO!E18</f>
        <v>315</v>
      </c>
      <c r="H15" s="6" t="n">
        <f aca="false">PROY_INDEXADO!F18</f>
        <v>583.4</v>
      </c>
      <c r="I15" s="6" t="n">
        <f aca="false">PROY_INDEXADO!G18</f>
        <v>845.8</v>
      </c>
      <c r="J15" s="6" t="n">
        <f aca="false">PROY_INDEXADO!H18</f>
        <v>1195.4</v>
      </c>
      <c r="K15" s="6" t="n">
        <f aca="false">PROY_INDEXADO!I18</f>
        <v>1545</v>
      </c>
      <c r="L15" s="6" t="n">
        <f aca="false">PROY_INDEXADO!J18</f>
        <v>1731.4</v>
      </c>
      <c r="M15" s="6" t="n">
        <f aca="false">PROY_INDEXADO!K18</f>
        <v>2011</v>
      </c>
    </row>
    <row r="16" customFormat="false" ht="15" hidden="false" customHeight="false" outlineLevel="0" collapsed="false">
      <c r="A16" s="3" t="s">
        <v>30</v>
      </c>
      <c r="B16" s="3" t="s">
        <v>31</v>
      </c>
      <c r="C16" s="3" t="s">
        <v>32</v>
      </c>
      <c r="D16" s="6" t="n">
        <f aca="false">PROY_INDEXADO!B7</f>
        <v>34.05179136</v>
      </c>
      <c r="E16" s="6" t="n">
        <f aca="false">PROY_INDEXADO!C7</f>
        <v>58.46214745</v>
      </c>
      <c r="F16" s="6" t="n">
        <f aca="false">PROY_INDEXADO!D7</f>
        <v>75.20853998</v>
      </c>
      <c r="G16" s="6" t="n">
        <f aca="false">PROY_INDEXADO!E7</f>
        <v>100.5298529</v>
      </c>
      <c r="H16" s="6" t="n">
        <f aca="false">PROY_INDEXADO!F7</f>
        <v>155.8760035</v>
      </c>
      <c r="I16" s="6" t="n">
        <f aca="false">PROY_INDEXADO!G7</f>
        <v>211.9344827</v>
      </c>
      <c r="J16" s="6" t="n">
        <f aca="false">PROY_INDEXADO!H7</f>
        <v>272.6682332</v>
      </c>
      <c r="K16" s="6" t="n">
        <f aca="false">PROY_INDEXADO!I7</f>
        <v>337.8486707</v>
      </c>
      <c r="L16" s="6" t="n">
        <f aca="false">PROY_INDEXADO!J7</f>
        <v>393.6274156</v>
      </c>
      <c r="M16" s="6" t="n">
        <f aca="false">PROY_INDEXADO!K7</f>
        <v>453.2705332</v>
      </c>
    </row>
    <row r="17" customFormat="false" ht="15" hidden="false" customHeight="false" outlineLevel="0" collapsed="false">
      <c r="A17" s="3" t="s">
        <v>33</v>
      </c>
      <c r="B17" s="3" t="s">
        <v>31</v>
      </c>
      <c r="C17" s="3" t="s">
        <v>34</v>
      </c>
      <c r="D17" s="6" t="n">
        <f aca="false">PROY_INDEXADO!B8+PROY_RESERVAS!B79*$D$4</f>
        <v>75.2017274109201</v>
      </c>
      <c r="E17" s="6" t="n">
        <f aca="false">PROY_INDEXADO!C8+PROY_RESERVAS!C79*$D$4</f>
        <v>129.206686542386</v>
      </c>
      <c r="F17" s="6" t="n">
        <f aca="false">PROY_INDEXADO!D8+PROY_RESERVAS!D79*$D$4</f>
        <v>166.653101605318</v>
      </c>
      <c r="G17" s="6" t="n">
        <f aca="false">PROY_INDEXADO!E8+PROY_RESERVAS!E79*$D$4</f>
        <v>222.705333798422</v>
      </c>
      <c r="H17" s="6" t="n">
        <f aca="false">PROY_INDEXADO!F8+PROY_RESERVAS!F79*$D$4</f>
        <v>344.538811601152</v>
      </c>
      <c r="I17" s="6" t="n">
        <f aca="false">PROY_INDEXADO!G8+PROY_RESERVAS!G79*$D$4</f>
        <v>468.227198914802</v>
      </c>
      <c r="J17" s="6" t="n">
        <f aca="false">PROY_INDEXADO!H8+PROY_RESERVAS!H79*$D$4</f>
        <v>601.639999327158</v>
      </c>
      <c r="K17" s="6" t="n">
        <f aca="false">PROY_INDEXADO!I8+PROY_RESERVAS!I79*$D$4</f>
        <v>744.533335808048</v>
      </c>
      <c r="L17" s="6" t="n">
        <f aca="false">PROY_INDEXADO!J8+PROY_RESERVAS!J79*$D$4</f>
        <v>867.289742469686</v>
      </c>
      <c r="M17" s="6" t="n">
        <f aca="false">PROY_INDEXADO!K8+PROY_RESERVAS!K79*$D$4</f>
        <v>998.259982820404</v>
      </c>
    </row>
    <row r="18" customFormat="false" ht="15" hidden="false" customHeight="false" outlineLevel="0" collapsed="false">
      <c r="A18" s="3" t="s">
        <v>35</v>
      </c>
      <c r="B18" s="3" t="s">
        <v>31</v>
      </c>
      <c r="C18" s="3" t="s">
        <v>36</v>
      </c>
      <c r="D18" s="6" t="n">
        <f aca="false">PROY_INDEXADO!B9</f>
        <v>16.34485985</v>
      </c>
      <c r="E18" s="6" t="n">
        <f aca="false">PROY_INDEXADO!C9</f>
        <v>28.06183078</v>
      </c>
      <c r="F18" s="6" t="n">
        <f aca="false">PROY_INDEXADO!D9</f>
        <v>36.10009919</v>
      </c>
      <c r="G18" s="6" t="n">
        <f aca="false">PROY_INDEXADO!E9</f>
        <v>48.25432941</v>
      </c>
      <c r="H18" s="6" t="n">
        <f aca="false">PROY_INDEXADO!F9</f>
        <v>74.82048167</v>
      </c>
      <c r="I18" s="6" t="n">
        <f aca="false">PROY_INDEXADO!G9</f>
        <v>101.7285517</v>
      </c>
      <c r="J18" s="6" t="n">
        <f aca="false">PROY_INDEXADO!H9</f>
        <v>130.8807519</v>
      </c>
      <c r="K18" s="6" t="n">
        <f aca="false">PROY_INDEXADO!I9</f>
        <v>162.1673619</v>
      </c>
      <c r="L18" s="6" t="n">
        <f aca="false">PROY_INDEXADO!J9</f>
        <v>188.9411595</v>
      </c>
      <c r="M18" s="6" t="n">
        <f aca="false">PROY_INDEXADO!K9</f>
        <v>217.569856</v>
      </c>
    </row>
    <row r="19" customFormat="false" ht="15" hidden="false" customHeight="false" outlineLevel="0" collapsed="false">
      <c r="A19" s="3" t="s">
        <v>37</v>
      </c>
      <c r="B19" s="3" t="s">
        <v>31</v>
      </c>
      <c r="C19" s="3" t="s">
        <v>38</v>
      </c>
      <c r="D19" s="6" t="n">
        <f aca="false">PROY_INDEXADO!B10+PROY_RESERVAS!B80*$D$4</f>
        <v>11.1843596509201</v>
      </c>
      <c r="E19" s="6" t="n">
        <f aca="false">PROY_INDEXADO!C10+PROY_RESERVAS!C80*$D$4</f>
        <v>18.722276510546</v>
      </c>
      <c r="F19" s="6" t="n">
        <f aca="false">PROY_INDEXADO!D10+PROY_RESERVAS!D80*$D$4</f>
        <v>24.3689085214661</v>
      </c>
      <c r="G19" s="6" t="n">
        <f aca="false">PROY_INDEXADO!E10+PROY_RESERVAS!E80*$D$4</f>
        <v>32.4861179920121</v>
      </c>
      <c r="H19" s="6" t="n">
        <f aca="false">PROY_INDEXADO!F10+PROY_RESERVAS!F80*$D$4</f>
        <v>50.4990619034781</v>
      </c>
      <c r="I19" s="6" t="n">
        <f aca="false">PROY_INDEXADO!G10+PROY_RESERVAS!G80*$D$4</f>
        <v>68.1787674836501</v>
      </c>
      <c r="J19" s="6" t="n">
        <f aca="false">PROY_INDEXADO!H10+PROY_RESERVAS!H80*$D$4</f>
        <v>87.6279569441961</v>
      </c>
      <c r="K19" s="6" t="n">
        <f aca="false">PROY_INDEXADO!I10+PROY_RESERVAS!I80*$D$4</f>
        <v>108.500086254742</v>
      </c>
      <c r="L19" s="6" t="n">
        <f aca="false">PROY_INDEXADO!J10+PROY_RESERVAS!J80*$D$4</f>
        <v>126.363673975288</v>
      </c>
      <c r="M19" s="6" t="n">
        <f aca="false">PROY_INDEXADO!K10+PROY_RESERVAS!K80*$D$4</f>
        <v>145.176074484914</v>
      </c>
    </row>
    <row r="20" customFormat="false" ht="15" hidden="false" customHeight="false" outlineLevel="0" collapsed="false">
      <c r="A20" s="3" t="s">
        <v>39</v>
      </c>
      <c r="B20" s="3" t="s">
        <v>31</v>
      </c>
      <c r="C20" s="3" t="s">
        <v>40</v>
      </c>
      <c r="D20" s="6" t="n">
        <f aca="false">PROY_INDEXADO!B19</f>
        <v>0</v>
      </c>
      <c r="E20" s="6" t="n">
        <f aca="false">PROY_INDEXADO!C19</f>
        <v>0</v>
      </c>
      <c r="F20" s="6" t="n">
        <f aca="false">PROY_INDEXADO!D19</f>
        <v>14.4</v>
      </c>
      <c r="G20" s="6" t="n">
        <f aca="false">PROY_INDEXADO!E19</f>
        <v>50.2</v>
      </c>
      <c r="H20" s="6" t="n">
        <f aca="false">PROY_INDEXADO!F19</f>
        <v>93</v>
      </c>
      <c r="I20" s="6" t="n">
        <f aca="false">PROY_INDEXADO!G19</f>
        <v>135</v>
      </c>
      <c r="J20" s="6" t="n">
        <f aca="false">PROY_INDEXADO!H19</f>
        <v>191</v>
      </c>
      <c r="K20" s="6" t="n">
        <f aca="false">PROY_INDEXADO!I19</f>
        <v>247</v>
      </c>
      <c r="L20" s="6" t="n">
        <f aca="false">PROY_INDEXADO!J19</f>
        <v>277</v>
      </c>
      <c r="M20" s="6" t="n">
        <f aca="false">PROY_INDEXADO!K19</f>
        <v>322</v>
      </c>
    </row>
    <row r="21" customFormat="false" ht="15" hidden="false" customHeight="false" outlineLevel="0" collapsed="false">
      <c r="A21" s="3" t="s">
        <v>41</v>
      </c>
      <c r="B21" s="3" t="s">
        <v>31</v>
      </c>
      <c r="C21" s="3" t="s">
        <v>42</v>
      </c>
      <c r="D21" s="6" t="n">
        <f aca="false">PROY_INDEXADO!B20</f>
        <v>0</v>
      </c>
      <c r="E21" s="6" t="n">
        <f aca="false">PROY_INDEXADO!C20</f>
        <v>0</v>
      </c>
      <c r="F21" s="6" t="n">
        <f aca="false">PROY_INDEXADO!D20</f>
        <v>31.8</v>
      </c>
      <c r="G21" s="6" t="n">
        <f aca="false">PROY_INDEXADO!E20</f>
        <v>110.8</v>
      </c>
      <c r="H21" s="6" t="n">
        <f aca="false">PROY_INDEXADO!F20</f>
        <v>205.2</v>
      </c>
      <c r="I21" s="6" t="n">
        <f aca="false">PROY_INDEXADO!G20</f>
        <v>297.6</v>
      </c>
      <c r="J21" s="6" t="n">
        <f aca="false">PROY_INDEXADO!H20</f>
        <v>420.8</v>
      </c>
      <c r="K21" s="6" t="n">
        <f aca="false">PROY_INDEXADO!I20</f>
        <v>544</v>
      </c>
      <c r="L21" s="6" t="n">
        <f aca="false">PROY_INDEXADO!J20</f>
        <v>609.6</v>
      </c>
      <c r="M21" s="6" t="n">
        <f aca="false">PROY_INDEXADO!K20</f>
        <v>708</v>
      </c>
    </row>
    <row r="22" customFormat="false" ht="15" hidden="false" customHeight="false" outlineLevel="0" collapsed="false">
      <c r="A22" s="3" t="s">
        <v>43</v>
      </c>
      <c r="B22" s="3" t="s">
        <v>31</v>
      </c>
      <c r="C22" s="3" t="s">
        <v>44</v>
      </c>
      <c r="D22" s="6" t="n">
        <f aca="false">PROY_INDEXADO!B21</f>
        <v>0</v>
      </c>
      <c r="E22" s="6" t="n">
        <f aca="false">PROY_INDEXADO!C21</f>
        <v>0</v>
      </c>
      <c r="F22" s="6" t="n">
        <f aca="false">PROY_INDEXADO!D21</f>
        <v>7</v>
      </c>
      <c r="G22" s="6" t="n">
        <f aca="false">PROY_INDEXADO!E21</f>
        <v>24.4</v>
      </c>
      <c r="H22" s="6" t="n">
        <f aca="false">PROY_INDEXADO!F21</f>
        <v>45.2</v>
      </c>
      <c r="I22" s="6" t="n">
        <f aca="false">PROY_INDEXADO!G21</f>
        <v>65.4</v>
      </c>
      <c r="J22" s="6" t="n">
        <f aca="false">PROY_INDEXADO!H21</f>
        <v>92.2</v>
      </c>
      <c r="K22" s="6" t="n">
        <f aca="false">PROY_INDEXADO!I21</f>
        <v>119</v>
      </c>
      <c r="L22" s="6" t="n">
        <f aca="false">PROY_INDEXADO!J21</f>
        <v>133.4</v>
      </c>
      <c r="M22" s="6" t="n">
        <f aca="false">PROY_INDEXADO!K21</f>
        <v>155</v>
      </c>
    </row>
    <row r="23" customFormat="false" ht="15" hidden="false" customHeight="false" outlineLevel="0" collapsed="false">
      <c r="A23" s="3" t="s">
        <v>45</v>
      </c>
      <c r="B23" s="3" t="s">
        <v>31</v>
      </c>
      <c r="C23" s="3" t="s">
        <v>46</v>
      </c>
      <c r="D23" s="6" t="n">
        <f aca="false">PROY_INDEXADO!B22</f>
        <v>0</v>
      </c>
      <c r="E23" s="6" t="n">
        <f aca="false">PROY_INDEXADO!C22</f>
        <v>0</v>
      </c>
      <c r="F23" s="6" t="n">
        <f aca="false">PROY_INDEXADO!D22</f>
        <v>4.6</v>
      </c>
      <c r="G23" s="6" t="n">
        <f aca="false">PROY_INDEXADO!E22</f>
        <v>16</v>
      </c>
      <c r="H23" s="6" t="n">
        <f aca="false">PROY_INDEXADO!F22</f>
        <v>29.6</v>
      </c>
      <c r="I23" s="6" t="n">
        <f aca="false">PROY_INDEXADO!G22</f>
        <v>42.8</v>
      </c>
      <c r="J23" s="6" t="n">
        <f aca="false">PROY_INDEXADO!H22</f>
        <v>60.4</v>
      </c>
      <c r="K23" s="6" t="n">
        <f aca="false">PROY_INDEXADO!I22</f>
        <v>78</v>
      </c>
      <c r="L23" s="6" t="n">
        <f aca="false">PROY_INDEXADO!J22</f>
        <v>87.6</v>
      </c>
      <c r="M23" s="6" t="n">
        <f aca="false">PROY_INDEXADO!K22</f>
        <v>102</v>
      </c>
    </row>
    <row r="24" customFormat="false" ht="15" hidden="false" customHeight="false" outlineLevel="0" collapsed="false">
      <c r="A24" s="3" t="s">
        <v>47</v>
      </c>
      <c r="B24" s="3" t="s">
        <v>5</v>
      </c>
      <c r="C24" s="3" t="s">
        <v>48</v>
      </c>
      <c r="D24" s="6" t="n">
        <f aca="false">(PROY_INDEXADO!B27)*$D$4</f>
        <v>1000.77209950462</v>
      </c>
      <c r="E24" s="6" t="n">
        <f aca="false">(PROY_INDEXADO!C27)*$D$4</f>
        <v>4883.90393254707</v>
      </c>
      <c r="F24" s="6" t="n">
        <f aca="false">(PROY_INDEXADO!D27)*$D$4</f>
        <v>8790.74946772572</v>
      </c>
      <c r="G24" s="6" t="n">
        <f aca="false">(PROY_INDEXADO!E27)*$D$4</f>
        <v>16129.9422780884</v>
      </c>
      <c r="H24" s="6" t="n">
        <f aca="false">(PROY_INDEXADO!F27)*$D$4</f>
        <v>24251.8259253743</v>
      </c>
      <c r="I24" s="6" t="n">
        <f aca="false">(PROY_INDEXADO!G27)*$D$4</f>
        <v>33788.376023886</v>
      </c>
      <c r="J24" s="6" t="n">
        <f aca="false">(PROY_INDEXADO!H27)*$D$4</f>
        <v>42480.3350329525</v>
      </c>
      <c r="K24" s="6" t="n">
        <f aca="false">(PROY_INDEXADO!I27)*$D$4</f>
        <v>49327.8457818999</v>
      </c>
      <c r="L24" s="6" t="n">
        <f aca="false">(PROY_INDEXADO!J27)*$D$4</f>
        <v>52863.6487090139</v>
      </c>
      <c r="M24" s="6" t="n">
        <f aca="false">(PROY_INDEXADO!K27)*$D$4</f>
        <v>56487.4910822847</v>
      </c>
    </row>
    <row r="25" customFormat="false" ht="15" hidden="false" customHeight="false" outlineLevel="0" collapsed="false">
      <c r="A25" s="3" t="s">
        <v>49</v>
      </c>
      <c r="B25" s="3" t="s">
        <v>5</v>
      </c>
      <c r="C25" s="3" t="s">
        <v>50</v>
      </c>
      <c r="D25" s="6" t="n">
        <f aca="false">(PROY_INDEXADO!B28)*$D$4</f>
        <v>94.9685565554046</v>
      </c>
      <c r="E25" s="6" t="n">
        <f aca="false">(PROY_INDEXADO!C28)*$D$4</f>
        <v>370.500261335109</v>
      </c>
      <c r="F25" s="6" t="n">
        <f aca="false">(PROY_INDEXADO!D28)*$D$4</f>
        <v>848.155251046719</v>
      </c>
      <c r="G25" s="6" t="n">
        <f aca="false">(PROY_INDEXADO!E28)*$D$4</f>
        <v>1561.54151788245</v>
      </c>
      <c r="H25" s="6" t="n">
        <f aca="false">(PROY_INDEXADO!F28)*$D$4</f>
        <v>2259.37537078785</v>
      </c>
      <c r="I25" s="6" t="n">
        <f aca="false">(PROY_INDEXADO!G28)*$D$4</f>
        <v>2999.86933066642</v>
      </c>
      <c r="J25" s="6" t="n">
        <f aca="false">(PROY_INDEXADO!H28)*$D$4</f>
        <v>3686.51391064114</v>
      </c>
      <c r="K25" s="6" t="n">
        <f aca="false">(PROY_INDEXADO!I28)*$D$4</f>
        <v>4104.71723764251</v>
      </c>
      <c r="L25" s="6" t="n">
        <f aca="false">(PROY_INDEXADO!J28)*$D$4</f>
        <v>4441.37021857214</v>
      </c>
      <c r="M25" s="6" t="n">
        <f aca="false">(PROY_INDEXADO!K28)*$D$4</f>
        <v>4783.22920387376</v>
      </c>
    </row>
    <row r="26" customFormat="false" ht="15" hidden="false" customHeight="false" outlineLevel="0" collapsed="false">
      <c r="A26" s="3" t="s">
        <v>51</v>
      </c>
      <c r="B26" s="3" t="s">
        <v>5</v>
      </c>
      <c r="C26" s="3" t="s">
        <v>52</v>
      </c>
      <c r="D26" s="6" t="n">
        <f aca="false">(PROY_INDEXADO!B29+PROY_RESERVAS!B54)*$D$4</f>
        <v>579.42746094326</v>
      </c>
      <c r="E26" s="6" t="n">
        <f aca="false">(PROY_INDEXADO!C29+PROY_RESERVAS!C54)*$D$4</f>
        <v>2341.03266807463</v>
      </c>
      <c r="F26" s="6" t="n">
        <f aca="false">(PROY_INDEXADO!D29+PROY_RESERVAS!D54)*$D$4</f>
        <v>5274.79597517484</v>
      </c>
      <c r="G26" s="6" t="n">
        <f aca="false">(PROY_INDEXADO!E29+PROY_RESERVAS!E54)*$D$4</f>
        <v>9966.20697356823</v>
      </c>
      <c r="H26" s="6" t="n">
        <f aca="false">(PROY_INDEXADO!F29+PROY_RESERVAS!F54)*$D$4</f>
        <v>14367.0377881216</v>
      </c>
      <c r="I26" s="6" t="n">
        <f aca="false">(PROY_INDEXADO!G29+PROY_RESERVAS!G54)*$D$4</f>
        <v>19107.5910587841</v>
      </c>
      <c r="J26" s="6" t="n">
        <f aca="false">(PROY_INDEXADO!H29+PROY_RESERVAS!H54)*$D$4</f>
        <v>23397.0640986785</v>
      </c>
      <c r="K26" s="6" t="n">
        <f aca="false">(PROY_INDEXADO!I29+PROY_RESERVAS!I54)*$D$4</f>
        <v>25952.9274490154</v>
      </c>
      <c r="L26" s="6" t="n">
        <f aca="false">(PROY_INDEXADO!J29+PROY_RESERVAS!J54)*$D$4</f>
        <v>27992.312960047</v>
      </c>
      <c r="M26" s="6" t="n">
        <f aca="false">(PROY_INDEXADO!K29+PROY_RESERVAS!K54)*$D$4</f>
        <v>30068.838280126</v>
      </c>
    </row>
    <row r="27" customFormat="false" ht="15" hidden="false" customHeight="false" outlineLevel="0" collapsed="false">
      <c r="A27" s="3" t="s">
        <v>53</v>
      </c>
      <c r="B27" s="3" t="s">
        <v>5</v>
      </c>
      <c r="C27" s="3" t="s">
        <v>54</v>
      </c>
      <c r="D27" s="6" t="n">
        <f aca="false">(PROY_INDEXADO!B30+PROY_RESERVAS!B55)*$D$4</f>
        <v>34.6332620742574</v>
      </c>
      <c r="E27" s="6" t="n">
        <f aca="false">(PROY_INDEXADO!C30+PROY_RESERVAS!C55)*$D$4</f>
        <v>127.407815008651</v>
      </c>
      <c r="F27" s="6" t="n">
        <f aca="false">(PROY_INDEXADO!D30+PROY_RESERVAS!D55)*$D$4</f>
        <v>298.427261950059</v>
      </c>
      <c r="G27" s="6" t="n">
        <f aca="false">(PROY_INDEXADO!E30+PROY_RESERVAS!E55)*$D$4</f>
        <v>570.510619157506</v>
      </c>
      <c r="H27" s="6" t="n">
        <f aca="false">(PROY_INDEXADO!F30+PROY_RESERVAS!F55)*$D$4</f>
        <v>827.667054399527</v>
      </c>
      <c r="I27" s="6" t="n">
        <f aca="false">(PROY_INDEXADO!G30+PROY_RESERVAS!G55)*$D$4</f>
        <v>1108.66567056747</v>
      </c>
      <c r="J27" s="6" t="n">
        <f aca="false">(PROY_INDEXADO!H30+PROY_RESERVAS!H55)*$D$4</f>
        <v>1356.8202804088</v>
      </c>
      <c r="K27" s="6" t="n">
        <f aca="false">(PROY_INDEXADO!I30+PROY_RESERVAS!I55)*$D$4</f>
        <v>1502.39315528518</v>
      </c>
      <c r="L27" s="6" t="n">
        <f aca="false">(PROY_INDEXADO!J30+PROY_RESERVAS!J55)*$D$4</f>
        <v>1620.96971650325</v>
      </c>
      <c r="M27" s="6" t="n">
        <f aca="false">(PROY_INDEXADO!K30+PROY_RESERVAS!K55)*$D$4</f>
        <v>1741.3814292141</v>
      </c>
    </row>
    <row r="28" customFormat="false" ht="15" hidden="false" customHeight="false" outlineLevel="0" collapsed="false">
      <c r="A28" s="3" t="s">
        <v>55</v>
      </c>
      <c r="B28" s="3" t="s">
        <v>5</v>
      </c>
      <c r="C28" s="3" t="s">
        <v>56</v>
      </c>
      <c r="D28" s="6" t="n">
        <f aca="false">(PROY_INDEXADO!B31+PROY_RESERVAS!B56)*$D$4</f>
        <v>46.4224621834911</v>
      </c>
      <c r="E28" s="6" t="n">
        <f aca="false">(PROY_INDEXADO!C31+PROY_RESERVAS!C56)*$D$4</f>
        <v>187.183056672534</v>
      </c>
      <c r="F28" s="6" t="n">
        <f aca="false">(PROY_INDEXADO!D31+PROY_RESERVAS!D56)*$D$4</f>
        <v>428.906144201369</v>
      </c>
      <c r="G28" s="6" t="n">
        <f aca="false">(PROY_INDEXADO!E31+PROY_RESERVAS!E56)*$D$4</f>
        <v>804.78065560002</v>
      </c>
      <c r="H28" s="6" t="n">
        <f aca="false">(PROY_INDEXADO!F31+PROY_RESERVAS!F56)*$D$4</f>
        <v>1161.35205234431</v>
      </c>
      <c r="I28" s="6" t="n">
        <f aca="false">(PROY_INDEXADO!G31+PROY_RESERVAS!G56)*$D$4</f>
        <v>1552.24961730552</v>
      </c>
      <c r="J28" s="6" t="n">
        <f aca="false">(PROY_INDEXADO!H31+PROY_RESERVAS!H56)*$D$4</f>
        <v>1902.25634441887</v>
      </c>
      <c r="K28" s="6" t="n">
        <f aca="false">(PROY_INDEXADO!I31+PROY_RESERVAS!I56)*$D$4</f>
        <v>2114.89044049367</v>
      </c>
      <c r="L28" s="6" t="n">
        <f aca="false">(PROY_INDEXADO!J31+PROY_RESERVAS!J56)*$D$4</f>
        <v>2285.15112874917</v>
      </c>
      <c r="M28" s="6" t="n">
        <f aca="false">(PROY_INDEXADO!K31+PROY_RESERVAS!K56)*$D$4</f>
        <v>2458.50580352832</v>
      </c>
    </row>
    <row r="29" customFormat="false" ht="15" hidden="false" customHeight="false" outlineLevel="0" collapsed="false">
      <c r="A29" s="3" t="s">
        <v>57</v>
      </c>
      <c r="B29" s="3" t="s">
        <v>5</v>
      </c>
      <c r="C29" s="3" t="s">
        <v>58</v>
      </c>
      <c r="D29" s="6" t="n">
        <f aca="false">(PROY_INDEXADO!B32+PROY_RESERVAS!B57)*$D$4</f>
        <v>6.8373420348353</v>
      </c>
      <c r="E29" s="6" t="n">
        <f aca="false">(PROY_INDEXADO!C32+PROY_RESERVAS!C57)*$D$4</f>
        <v>47.0000538270038</v>
      </c>
      <c r="F29" s="6" t="n">
        <f aca="false">(PROY_INDEXADO!D32+PROY_RESERVAS!D57)*$D$4</f>
        <v>92.2664173036749</v>
      </c>
      <c r="G29" s="6" t="n">
        <f aca="false">(PROY_INDEXADO!E32+PROY_RESERVAS!E57)*$D$4</f>
        <v>153.503723265089</v>
      </c>
      <c r="H29" s="6" t="n">
        <f aca="false">(PROY_INDEXADO!F32+PROY_RESERVAS!F57)*$D$4</f>
        <v>216.642429035969</v>
      </c>
      <c r="I29" s="6" t="n">
        <f aca="false">(PROY_INDEXADO!G32+PROY_RESERVAS!G57)*$D$4</f>
        <v>280.267799614365</v>
      </c>
      <c r="J29" s="6" t="n">
        <f aca="false">(PROY_INDEXADO!H32+PROY_RESERVAS!H57)*$D$4</f>
        <v>347.629352351383</v>
      </c>
      <c r="K29" s="6" t="n">
        <f aca="false">(PROY_INDEXADO!I32+PROY_RESERVAS!I57)*$D$4</f>
        <v>393.293854197249</v>
      </c>
      <c r="L29" s="6" t="n">
        <f aca="false">(PROY_INDEXADO!J32+PROY_RESERVAS!J57)*$D$4</f>
        <v>429.823065953143</v>
      </c>
      <c r="M29" s="6" t="n">
        <f aca="false">(PROY_INDEXADO!K32+PROY_RESERVAS!K57)*$D$4</f>
        <v>466.916593765414</v>
      </c>
    </row>
    <row r="30" customFormat="false" ht="15" hidden="false" customHeight="false" outlineLevel="0" collapsed="false">
      <c r="A30" s="3" t="s">
        <v>59</v>
      </c>
      <c r="B30" s="3" t="s">
        <v>5</v>
      </c>
      <c r="C30" s="3" t="s">
        <v>60</v>
      </c>
      <c r="D30" s="6" t="n">
        <f aca="false">(PROY_INDEXADO!B33+PROY_RESERVAS!B58)*$D$4</f>
        <v>3.56256422287768</v>
      </c>
      <c r="E30" s="6" t="n">
        <f aca="false">(PROY_INDEXADO!C33+PROY_RESERVAS!C58)*$D$4</f>
        <v>24.2383844322506</v>
      </c>
      <c r="F30" s="6" t="n">
        <f aca="false">(PROY_INDEXADO!D33+PROY_RESERVAS!D58)*$D$4</f>
        <v>47.9060292485163</v>
      </c>
      <c r="G30" s="6" t="n">
        <f aca="false">(PROY_INDEXADO!E33+PROY_RESERVAS!E58)*$D$4</f>
        <v>82.1173040937056</v>
      </c>
      <c r="H30" s="6" t="n">
        <f aca="false">(PROY_INDEXADO!F33+PROY_RESERVAS!F58)*$D$4</f>
        <v>116.237653455495</v>
      </c>
      <c r="I30" s="6" t="n">
        <f aca="false">(PROY_INDEXADO!G33+PROY_RESERVAS!G58)*$D$4</f>
        <v>149.80067896344</v>
      </c>
      <c r="J30" s="6" t="n">
        <f aca="false">(PROY_INDEXADO!H33+PROY_RESERVAS!H58)*$D$4</f>
        <v>183.051008822782</v>
      </c>
      <c r="K30" s="6" t="n">
        <f aca="false">(PROY_INDEXADO!I33+PROY_RESERVAS!I58)*$D$4</f>
        <v>206.969662253203</v>
      </c>
      <c r="L30" s="6" t="n">
        <f aca="false">(PROY_INDEXADO!J33+PROY_RESERVAS!J58)*$D$4</f>
        <v>225.167247741088</v>
      </c>
      <c r="M30" s="6" t="n">
        <f aca="false">(PROY_INDEXADO!K33+PROY_RESERVAS!K58)*$D$4</f>
        <v>243.56826057903</v>
      </c>
    </row>
    <row r="31" customFormat="false" ht="15" hidden="false" customHeight="false" outlineLevel="0" collapsed="false">
      <c r="A31" s="3" t="s">
        <v>61</v>
      </c>
      <c r="B31" s="3" t="s">
        <v>5</v>
      </c>
      <c r="C31" s="3" t="s">
        <v>62</v>
      </c>
      <c r="D31" s="6" t="n">
        <f aca="false">(PROY_INDEXADO!B34+PROY_RESERVAS!B59)*$D$4</f>
        <v>2.25265309838242</v>
      </c>
      <c r="E31" s="6" t="n">
        <f aca="false">(PROY_INDEXADO!C34+PROY_RESERVAS!C59)*$D$4</f>
        <v>13.8347883901387</v>
      </c>
      <c r="F31" s="6" t="n">
        <f aca="false">(PROY_INDEXADO!D34+PROY_RESERVAS!D59)*$D$4</f>
        <v>25.8690273009977</v>
      </c>
      <c r="G31" s="6" t="n">
        <f aca="false">(PROY_INDEXADO!E34+PROY_RESERVAS!E59)*$D$4</f>
        <v>46.4782223258748</v>
      </c>
      <c r="H31" s="6" t="n">
        <f aca="false">(PROY_INDEXADO!F34+PROY_RESERVAS!F59)*$D$4</f>
        <v>64.1177193114215</v>
      </c>
      <c r="I31" s="6" t="n">
        <f aca="false">(PROY_INDEXADO!G34+PROY_RESERVAS!G59)*$D$4</f>
        <v>85.1473231230936</v>
      </c>
      <c r="J31" s="6" t="n">
        <f aca="false">(PROY_INDEXADO!H34+PROY_RESERVAS!H59)*$D$4</f>
        <v>107.299485286539</v>
      </c>
      <c r="K31" s="6" t="n">
        <f aca="false">(PROY_INDEXADO!I34+PROY_RESERVAS!I59)*$D$4</f>
        <v>118.973478854867</v>
      </c>
      <c r="L31" s="6" t="n">
        <f aca="false">(PROY_INDEXADO!J34+PROY_RESERVAS!J59)*$D$4</f>
        <v>129.728917857662</v>
      </c>
      <c r="M31" s="6" t="n">
        <f aca="false">(PROY_INDEXADO!K34+PROY_RESERVAS!K59)*$D$4</f>
        <v>140.865463166495</v>
      </c>
    </row>
    <row r="32" customFormat="false" ht="15" hidden="false" customHeight="false" outlineLevel="0" collapsed="false">
      <c r="A32" s="3" t="s">
        <v>63</v>
      </c>
      <c r="B32" s="3" t="s">
        <v>5</v>
      </c>
      <c r="C32" s="3" t="s">
        <v>64</v>
      </c>
      <c r="D32" s="6" t="n">
        <f aca="false">(PROY_INDEXADO!B35+PROY_RESERVAS!B60)*$D$4</f>
        <v>23.8661866610439</v>
      </c>
      <c r="E32" s="6" t="n">
        <f aca="false">(PROY_INDEXADO!C35+PROY_RESERVAS!C60)*$D$4</f>
        <v>97.6743784371629</v>
      </c>
      <c r="F32" s="6" t="n">
        <f aca="false">(PROY_INDEXADO!D35+PROY_RESERVAS!D60)*$D$4</f>
        <v>217.450937847969</v>
      </c>
      <c r="G32" s="6" t="n">
        <f aca="false">(PROY_INDEXADO!E35+PROY_RESERVAS!E60)*$D$4</f>
        <v>395.389703053882</v>
      </c>
      <c r="H32" s="6" t="n">
        <f aca="false">(PROY_INDEXADO!F35+PROY_RESERVAS!F60)*$D$4</f>
        <v>570.716576380345</v>
      </c>
      <c r="I32" s="6" t="n">
        <f aca="false">(PROY_INDEXADO!G35+PROY_RESERVAS!G60)*$D$4</f>
        <v>756.1707125033</v>
      </c>
      <c r="J32" s="6" t="n">
        <f aca="false">(PROY_INDEXADO!H35+PROY_RESERVAS!H60)*$D$4</f>
        <v>930.201505193816</v>
      </c>
      <c r="K32" s="6" t="n">
        <f aca="false">(PROY_INDEXADO!I35+PROY_RESERVAS!I60)*$D$4</f>
        <v>1041.07869525279</v>
      </c>
      <c r="L32" s="6" t="n">
        <f aca="false">(PROY_INDEXADO!J35+PROY_RESERVAS!J60)*$D$4</f>
        <v>1126.03570289127</v>
      </c>
      <c r="M32" s="6" t="n">
        <f aca="false">(PROY_INDEXADO!K35+PROY_RESERVAS!K60)*$D$4</f>
        <v>1212.31741440213</v>
      </c>
    </row>
    <row r="33" customFormat="false" ht="15" hidden="false" customHeight="false" outlineLevel="0" collapsed="false">
      <c r="A33" s="3" t="s">
        <v>65</v>
      </c>
      <c r="B33" s="3" t="s">
        <v>5</v>
      </c>
      <c r="C33" s="3" t="s">
        <v>66</v>
      </c>
      <c r="D33" s="6" t="n">
        <f aca="false">(PROY_INDEXADO!B36)*$D$4</f>
        <v>129.681201374242</v>
      </c>
      <c r="E33" s="6" t="n">
        <f aca="false">(PROY_INDEXADO!C36)*$D$4</f>
        <v>488.425769687055</v>
      </c>
      <c r="F33" s="6" t="n">
        <f aca="false">(PROY_INDEXADO!D36)*$D$4</f>
        <v>1138.25190824611</v>
      </c>
      <c r="G33" s="6" t="n">
        <f aca="false">(PROY_INDEXADO!E36)*$D$4</f>
        <v>2176.02797240291</v>
      </c>
      <c r="H33" s="6" t="n">
        <f aca="false">(PROY_INDEXADO!F36)*$D$4</f>
        <v>3142.66928159719</v>
      </c>
      <c r="I33" s="6" t="n">
        <f aca="false">(PROY_INDEXADO!G36)*$D$4</f>
        <v>4177.18672238039</v>
      </c>
      <c r="J33" s="6" t="n">
        <f aca="false">(PROY_INDEXADO!H36)*$D$4</f>
        <v>5107.20133130872</v>
      </c>
      <c r="K33" s="6" t="n">
        <f aca="false">(PROY_INDEXADO!I36)*$D$4</f>
        <v>5645.56515161475</v>
      </c>
      <c r="L33" s="6" t="n">
        <f aca="false">(PROY_INDEXADO!J36)*$D$4</f>
        <v>6090.08026927314</v>
      </c>
      <c r="M33" s="6" t="n">
        <f aca="false">(PROY_INDEXADO!K36)*$D$4</f>
        <v>6542.68065117681</v>
      </c>
    </row>
    <row r="34" customFormat="false" ht="15" hidden="false" customHeight="false" outlineLevel="0" collapsed="false">
      <c r="A34" s="3" t="s">
        <v>67</v>
      </c>
      <c r="B34" s="3" t="s">
        <v>5</v>
      </c>
      <c r="C34" s="3" t="s">
        <v>68</v>
      </c>
      <c r="D34" s="6" t="n">
        <f aca="false">(PROY_INDEXADO!B37+PROY_RESERVAS!B61)*$D$4</f>
        <v>38.0370607993406</v>
      </c>
      <c r="E34" s="6" t="n">
        <f aca="false">(PROY_INDEXADO!C37+PROY_RESERVAS!C61)*$D$4</f>
        <v>192.710521055599</v>
      </c>
      <c r="F34" s="6" t="n">
        <f aca="false">(PROY_INDEXADO!D37+PROY_RESERVAS!D61)*$D$4</f>
        <v>412.578288060108</v>
      </c>
      <c r="G34" s="6" t="n">
        <f aca="false">(PROY_INDEXADO!E37+PROY_RESERVAS!E61)*$D$4</f>
        <v>739.405097257728</v>
      </c>
      <c r="H34" s="6" t="n">
        <f aca="false">(PROY_INDEXADO!F37+PROY_RESERVAS!F61)*$D$4</f>
        <v>1065.17166448086</v>
      </c>
      <c r="I34" s="6" t="n">
        <f aca="false">(PROY_INDEXADO!G37+PROY_RESERVAS!G61)*$D$4</f>
        <v>1419.20768740678</v>
      </c>
      <c r="J34" s="6" t="n">
        <f aca="false">(PROY_INDEXADO!H37+PROY_RESERVAS!H61)*$D$4</f>
        <v>1758.05989582757</v>
      </c>
      <c r="K34" s="6" t="n">
        <f aca="false">(PROY_INDEXADO!I37+PROY_RESERVAS!I61)*$D$4</f>
        <v>1983.26851321058</v>
      </c>
      <c r="L34" s="6" t="n">
        <f aca="false">(PROY_INDEXADO!J37+PROY_RESERVAS!J61)*$D$4</f>
        <v>2156.01187123229</v>
      </c>
      <c r="M34" s="6" t="n">
        <f aca="false">(PROY_INDEXADO!K37+PROY_RESERVAS!K61)*$D$4</f>
        <v>2330.94823134952</v>
      </c>
    </row>
    <row r="35" customFormat="false" ht="15" hidden="false" customHeight="false" outlineLevel="0" collapsed="false">
      <c r="A35" s="3" t="s">
        <v>69</v>
      </c>
      <c r="B35" s="3" t="s">
        <v>5</v>
      </c>
      <c r="C35" s="3" t="s">
        <v>70</v>
      </c>
      <c r="D35" s="6" t="n">
        <f aca="false">(PROY_INDEXADO!B38+PROY_RESERVAS!B62)*$D$4</f>
        <v>5.52743091062782</v>
      </c>
      <c r="E35" s="6" t="n">
        <f aca="false">(PROY_INDEXADO!C38+PROY_RESERVAS!C62)*$D$4</f>
        <v>32.829269906869</v>
      </c>
      <c r="F35" s="6" t="n">
        <f aca="false">(PROY_INDEXADO!D38+PROY_RESERVAS!D62)*$D$4</f>
        <v>67.3000151960992</v>
      </c>
      <c r="G35" s="6" t="n">
        <f aca="false">(PROY_INDEXADO!E38+PROY_RESERVAS!E62)*$D$4</f>
        <v>116.759359970986</v>
      </c>
      <c r="H35" s="6" t="n">
        <f aca="false">(PROY_INDEXADO!F38+PROY_RESERVAS!F62)*$D$4</f>
        <v>167.350039662261</v>
      </c>
      <c r="I35" s="6" t="n">
        <f aca="false">(PROY_INDEXADO!G38+PROY_RESERVAS!G62)*$D$4</f>
        <v>219.680497077148</v>
      </c>
      <c r="J35" s="6" t="n">
        <f aca="false">(PROY_INDEXADO!H38+PROY_RESERVAS!H62)*$D$4</f>
        <v>275.080307160815</v>
      </c>
      <c r="K35" s="6" t="n">
        <f aca="false">(PROY_INDEXADO!I38+PROY_RESERVAS!I62)*$D$4</f>
        <v>312.028004562179</v>
      </c>
      <c r="L35" s="6" t="n">
        <f aca="false">(PROY_INDEXADO!J38+PROY_RESERVAS!J62)*$D$4</f>
        <v>340.939338788105</v>
      </c>
      <c r="M35" s="6" t="n">
        <f aca="false">(PROY_INDEXADO!K38+PROY_RESERVAS!K62)*$D$4</f>
        <v>370.076373535804</v>
      </c>
    </row>
    <row r="36" customFormat="false" ht="15" hidden="false" customHeight="false" outlineLevel="0" collapsed="false">
      <c r="A36" s="3" t="s">
        <v>71</v>
      </c>
      <c r="B36" s="3" t="s">
        <v>5</v>
      </c>
      <c r="C36" s="3" t="s">
        <v>72</v>
      </c>
      <c r="D36" s="6" t="n">
        <f aca="false">(PROY_INDEXADO!B39+PROY_RESERVAS!B63)*$D$4</f>
        <v>2.25265309838242</v>
      </c>
      <c r="E36" s="6" t="n">
        <f aca="false">(PROY_INDEXADO!C39+PROY_RESERVAS!C63)*$D$4</f>
        <v>13.8347883901387</v>
      </c>
      <c r="F36" s="6" t="n">
        <f aca="false">(PROY_INDEXADO!D39+PROY_RESERVAS!D63)*$D$4</f>
        <v>25.8690273009977</v>
      </c>
      <c r="G36" s="6" t="n">
        <f aca="false">(PROY_INDEXADO!E39+PROY_RESERVAS!E63)*$D$4</f>
        <v>43.2483065388967</v>
      </c>
      <c r="H36" s="6" t="n">
        <f aca="false">(PROY_INDEXADO!F39+PROY_RESERVAS!F63)*$D$4</f>
        <v>59.9246285104769</v>
      </c>
      <c r="I36" s="6" t="n">
        <f aca="false">(PROY_INDEXADO!G39+PROY_RESERVAS!G63)*$D$4</f>
        <v>74.4690923507582</v>
      </c>
      <c r="J36" s="6" t="n">
        <f aca="false">(PROY_INDEXADO!H39+PROY_RESERVAS!H63)*$D$4</f>
        <v>95.6653548845981</v>
      </c>
      <c r="K36" s="6" t="n">
        <f aca="false">(PROY_INDEXADO!I39+PROY_RESERVAS!I63)*$D$4</f>
        <v>106.742302620708</v>
      </c>
      <c r="L36" s="6" t="n">
        <f aca="false">(PROY_INDEXADO!J39+PROY_RESERVAS!J63)*$D$4</f>
        <v>117.037468873151</v>
      </c>
      <c r="M36" s="6" t="n">
        <f aca="false">(PROY_INDEXADO!K39+PROY_RESERVAS!K63)*$D$4</f>
        <v>127.111453828946</v>
      </c>
    </row>
    <row r="37" customFormat="false" ht="15" hidden="false" customHeight="false" outlineLevel="0" collapsed="false">
      <c r="A37" s="3" t="s">
        <v>73</v>
      </c>
      <c r="B37" s="3" t="s">
        <v>5</v>
      </c>
      <c r="C37" s="3" t="s">
        <v>74</v>
      </c>
      <c r="D37" s="6" t="n">
        <f aca="false">(PROY_INDEXADO!B40)*$D$4</f>
        <v>5.07590560954156</v>
      </c>
      <c r="E37" s="6" t="n">
        <f aca="false">(PROY_INDEXADO!C40)*$D$4</f>
        <v>24.7461259279681</v>
      </c>
      <c r="F37" s="6" t="n">
        <f aca="false">(PROY_INDEXADO!D40)*$D$4</f>
        <v>53.7785220834511</v>
      </c>
      <c r="G37" s="6" t="n">
        <f aca="false">(PROY_INDEXADO!E40)*$D$4</f>
        <v>96.8641922045096</v>
      </c>
      <c r="H37" s="6" t="n">
        <f aca="false">(PROY_INDEXADO!F40)*$D$4</f>
        <v>139.326782701487</v>
      </c>
      <c r="I37" s="6" t="n">
        <f aca="false">(PROY_INDEXADO!G40)*$D$4</f>
        <v>185.110086144882</v>
      </c>
      <c r="J37" s="6" t="n">
        <f aca="false">(PROY_INDEXADO!H40)*$D$4</f>
        <v>228.051087015645</v>
      </c>
      <c r="K37" s="6" t="n">
        <f aca="false">(PROY_INDEXADO!I40)*$D$4</f>
        <v>256.037154173116</v>
      </c>
      <c r="L37" s="6" t="n">
        <f aca="false">(PROY_INDEXADO!J40)*$D$4</f>
        <v>277.803419624264</v>
      </c>
      <c r="M37" s="6" t="n">
        <f aca="false">(PROY_INDEXADO!K40)*$D$4</f>
        <v>299.856087233694</v>
      </c>
    </row>
    <row r="38" customFormat="false" ht="15" hidden="false" customHeight="false" outlineLevel="0" collapsed="false">
      <c r="A38" s="3" t="s">
        <v>75</v>
      </c>
      <c r="B38" s="3" t="s">
        <v>5</v>
      </c>
      <c r="C38" s="3" t="s">
        <v>76</v>
      </c>
      <c r="D38" s="6" t="n">
        <f aca="false">(PROY_INDEXADO!B41+PROY_RESERVAS!B64)*$D$4</f>
        <v>11.4547787507604</v>
      </c>
      <c r="E38" s="6" t="n">
        <f aca="false">(PROY_INDEXADO!C41+PROY_RESERVAS!C64)*$D$4</f>
        <v>55.3048362800457</v>
      </c>
      <c r="F38" s="6" t="n">
        <f aca="false">(PROY_INDEXADO!D41+PROY_RESERVAS!D64)*$D$4</f>
        <v>120.327253442766</v>
      </c>
      <c r="G38" s="6" t="n">
        <f aca="false">(PROY_INDEXADO!E41+PROY_RESERVAS!E64)*$D$4</f>
        <v>216.554659763695</v>
      </c>
      <c r="H38" s="6" t="n">
        <f aca="false">(PROY_INDEXADO!F41+PROY_RESERVAS!F64)*$D$4</f>
        <v>311.41129094618</v>
      </c>
      <c r="I38" s="6" t="n">
        <f aca="false">(PROY_INDEXADO!G41+PROY_RESERVAS!G64)*$D$4</f>
        <v>413.861277004436</v>
      </c>
      <c r="J38" s="6" t="n">
        <f aca="false">(PROY_INDEXADO!H41+PROY_RESERVAS!H64)*$D$4</f>
        <v>509.770410922913</v>
      </c>
      <c r="K38" s="6" t="n">
        <f aca="false">(PROY_INDEXADO!I41+PROY_RESERVAS!I64)*$D$4</f>
        <v>572.203117804263</v>
      </c>
      <c r="L38" s="6" t="n">
        <f aca="false">(PROY_INDEXADO!J41+PROY_RESERVAS!J64)*$D$4</f>
        <v>620.95226117344</v>
      </c>
      <c r="M38" s="6" t="n">
        <f aca="false">(PROY_INDEXADO!K41+PROY_RESERVAS!K64)*$D$4</f>
        <v>670.043702304348</v>
      </c>
    </row>
    <row r="39" customFormat="false" ht="15" hidden="false" customHeight="false" outlineLevel="0" collapsed="false">
      <c r="A39" s="3" t="s">
        <v>77</v>
      </c>
      <c r="B39" s="3" t="s">
        <v>5</v>
      </c>
      <c r="C39" s="3" t="s">
        <v>78</v>
      </c>
      <c r="D39" s="6" t="n">
        <f aca="false">(PROY_INDEXADO!B42)*$D$4</f>
        <v>2.43643469240728</v>
      </c>
      <c r="E39" s="6" t="n">
        <f aca="false">(PROY_INDEXADO!C42)*$D$4</f>
        <v>11.8781404448491</v>
      </c>
      <c r="F39" s="6" t="n">
        <f aca="false">(PROY_INDEXADO!D42)*$D$4</f>
        <v>25.8136905960275</v>
      </c>
      <c r="G39" s="6" t="n">
        <f aca="false">(PROY_INDEXADO!E42)*$D$4</f>
        <v>46.4948122627692</v>
      </c>
      <c r="H39" s="6" t="n">
        <f aca="false">(PROY_INDEXADO!F42)*$D$4</f>
        <v>66.8768556978649</v>
      </c>
      <c r="I39" s="6" t="n">
        <f aca="false">(PROY_INDEXADO!G42)*$D$4</f>
        <v>88.8528413518457</v>
      </c>
      <c r="J39" s="6" t="n">
        <f aca="false">(PROY_INDEXADO!H42)*$D$4</f>
        <v>109.464521766358</v>
      </c>
      <c r="K39" s="6" t="n">
        <f aca="false">(PROY_INDEXADO!I42)*$D$4</f>
        <v>122.897833985829</v>
      </c>
      <c r="L39" s="6" t="n">
        <f aca="false">(PROY_INDEXADO!J42)*$D$4</f>
        <v>133.345641431158</v>
      </c>
      <c r="M39" s="6" t="n">
        <f aca="false">(PROY_INDEXADO!K42)*$D$4</f>
        <v>143.930921797349</v>
      </c>
    </row>
    <row r="40" customFormat="false" ht="15" hidden="false" customHeight="false" outlineLevel="0" collapsed="false">
      <c r="A40" s="3" t="s">
        <v>79</v>
      </c>
      <c r="B40" s="3" t="s">
        <v>5</v>
      </c>
      <c r="C40" s="3" t="s">
        <v>80</v>
      </c>
      <c r="D40" s="6" t="n">
        <f aca="false">(PROY_INDEXADO!B43+PROY_RESERVAS!B65)*$D$4</f>
        <v>1.91207620585824</v>
      </c>
      <c r="E40" s="6" t="n">
        <f aca="false">(PROY_INDEXADO!C43+PROY_RESERVAS!C65)*$D$4</f>
        <v>8.20654670844542</v>
      </c>
      <c r="F40" s="6" t="n">
        <f aca="false">(PROY_INDEXADO!D43+PROY_RESERVAS!D65)*$D$4</f>
        <v>17.7846998868178</v>
      </c>
      <c r="G40" s="6" t="n">
        <f aca="false">(PROY_INDEXADO!E43+PROY_RESERVAS!E65)*$D$4</f>
        <v>31.8599007220872</v>
      </c>
      <c r="H40" s="6" t="n">
        <f aca="false">(PROY_INDEXADO!F43+PROY_RESERVAS!F65)*$D$4</f>
        <v>46.0235025294365</v>
      </c>
      <c r="I40" s="6" t="n">
        <f aca="false">(PROY_INDEXADO!G43+PROY_RESERVAS!G65)*$D$4</f>
        <v>60.9619460238246</v>
      </c>
      <c r="J40" s="6" t="n">
        <f aca="false">(PROY_INDEXADO!H43+PROY_RESERVAS!H65)*$D$4</f>
        <v>74.9908527110864</v>
      </c>
      <c r="K40" s="6" t="n">
        <f aca="false">(PROY_INDEXADO!I43+PROY_RESERVAS!I65)*$D$4</f>
        <v>84.2341806112463</v>
      </c>
      <c r="L40" s="6" t="n">
        <f aca="false">(PROY_INDEXADO!J43+PROY_RESERVAS!J65)*$D$4</f>
        <v>91.4871719665334</v>
      </c>
      <c r="M40" s="6" t="n">
        <f aca="false">(PROY_INDEXADO!K43+PROY_RESERVAS!K65)*$D$4</f>
        <v>98.5440255727726</v>
      </c>
    </row>
    <row r="41" customFormat="false" ht="15" hidden="false" customHeight="false" outlineLevel="0" collapsed="false">
      <c r="A41" s="3" t="s">
        <v>81</v>
      </c>
      <c r="B41" s="3" t="s">
        <v>5</v>
      </c>
      <c r="C41" s="3" t="s">
        <v>82</v>
      </c>
      <c r="D41" s="6" t="n">
        <f aca="false">PROY_RESERVAS!B81*$D$4</f>
        <v>23.5984856954447</v>
      </c>
      <c r="E41" s="6" t="n">
        <f aca="false">PROY_RESERVAS!C81*$D$4</f>
        <v>73.9563111566799</v>
      </c>
      <c r="F41" s="6" t="n">
        <f aca="false">PROY_RESERVAS!D81*$D$4</f>
        <v>100.528589784151</v>
      </c>
      <c r="G41" s="6" t="n">
        <f aca="false">PROY_RESERVAS!E81*$D$4</f>
        <v>172.508767576254</v>
      </c>
      <c r="H41" s="6" t="n">
        <f aca="false">PROY_RESERVAS!F81*$D$4</f>
        <v>184.739690040356</v>
      </c>
      <c r="I41" s="6" t="n">
        <f aca="false">PROY_RESERVAS!G81*$D$4</f>
        <v>213.609463505413</v>
      </c>
      <c r="J41" s="6" t="n">
        <f aca="false">PROY_RESERVAS!H81*$D$4</f>
        <v>205.503479588238</v>
      </c>
      <c r="K41" s="6" t="n">
        <f aca="false">PROY_RESERVAS!I81*$D$4</f>
        <v>163.462681402593</v>
      </c>
      <c r="L41" s="6" t="n">
        <f aca="false">PROY_RESERVAS!J81*$D$4</f>
        <v>125.03839909499</v>
      </c>
      <c r="M41" s="6" t="n">
        <f aca="false">PROY_RESERVAS!K81*$D$4</f>
        <v>129.892396568768</v>
      </c>
    </row>
    <row r="42" customFormat="false" ht="15" hidden="false" customHeight="false" outlineLevel="0" collapsed="false">
      <c r="A42" s="3" t="s">
        <v>83</v>
      </c>
      <c r="B42" s="3" t="s">
        <v>84</v>
      </c>
      <c r="C42" s="3" t="s">
        <v>85</v>
      </c>
      <c r="D42" s="6" t="n">
        <f aca="false">PROY_INDEXADO!B48+PROY_RESERVAS!B71*$D$4</f>
        <v>176.18353212184</v>
      </c>
      <c r="E42" s="6" t="n">
        <f aca="false">PROY_INDEXADO!C48+PROY_RESERVAS!C71*$D$4</f>
        <v>321.858322195692</v>
      </c>
      <c r="F42" s="6" t="n">
        <f aca="false">PROY_INDEXADO!D48+PROY_RESERVAS!D71*$D$4</f>
        <v>439.279583642103</v>
      </c>
      <c r="G42" s="6" t="n">
        <f aca="false">PROY_INDEXADO!E48+PROY_RESERVAS!E71*$D$4</f>
        <v>606.545814581617</v>
      </c>
      <c r="H42" s="6" t="n">
        <f aca="false">PROY_INDEXADO!F48+PROY_RESERVAS!F71*$D$4</f>
        <v>979.220064769261</v>
      </c>
      <c r="I42" s="6" t="n">
        <f aca="false">PROY_INDEXADO!G48+PROY_RESERVAS!G71*$D$4</f>
        <v>1374.74346785691</v>
      </c>
      <c r="J42" s="6" t="n">
        <f aca="false">PROY_INDEXADO!H48+PROY_RESERVAS!H71*$D$4</f>
        <v>1771.75917393363</v>
      </c>
      <c r="K42" s="6" t="n">
        <f aca="false">PROY_INDEXADO!I48+PROY_RESERVAS!I71*$D$4</f>
        <v>2191.79065104613</v>
      </c>
      <c r="L42" s="6" t="n">
        <f aca="false">PROY_INDEXADO!J48+PROY_RESERVAS!J71*$D$4</f>
        <v>2539.20672878865</v>
      </c>
      <c r="M42" s="6" t="n">
        <f aca="false">PROY_INDEXADO!K48+PROY_RESERVAS!K71*$D$4</f>
        <v>2908.13500312285</v>
      </c>
    </row>
    <row r="43" customFormat="false" ht="15" hidden="false" customHeight="false" outlineLevel="0" collapsed="false">
      <c r="A43" s="3" t="s">
        <v>86</v>
      </c>
      <c r="B43" s="3" t="s">
        <v>84</v>
      </c>
      <c r="C43" s="3" t="s">
        <v>87</v>
      </c>
      <c r="D43" s="6" t="n">
        <f aca="false">PROY_INDEXADO!B49+PROY_RESERVAS!B72*$D$4</f>
        <v>99.7895717409201</v>
      </c>
      <c r="E43" s="6" t="n">
        <f aca="false">PROY_INDEXADO!C49+PROY_RESERVAS!C72*$D$4</f>
        <v>160.189018131466</v>
      </c>
      <c r="F43" s="6" t="n">
        <f aca="false">PROY_INDEXADO!D49+PROY_RESERVAS!D72*$D$4</f>
        <v>194.019501262932</v>
      </c>
      <c r="G43" s="6" t="n">
        <f aca="false">PROY_INDEXADO!E49+PROY_RESERVAS!E72*$D$4</f>
        <v>248.515363004024</v>
      </c>
      <c r="H43" s="6" t="n">
        <f aca="false">PROY_INDEXADO!F49+PROY_RESERVAS!F72*$D$4</f>
        <v>361.217338356036</v>
      </c>
      <c r="I43" s="6" t="n">
        <f aca="false">PROY_INDEXADO!G49+PROY_RESERVAS!G72*$D$4</f>
        <v>448.574690006754</v>
      </c>
      <c r="J43" s="6" t="n">
        <f aca="false">PROY_INDEXADO!H49+PROY_RESERVAS!H72*$D$4</f>
        <v>574.679834647846</v>
      </c>
      <c r="K43" s="6" t="n">
        <f aca="false">PROY_INDEXADO!I49+PROY_RESERVAS!I72*$D$4</f>
        <v>712.493978988938</v>
      </c>
      <c r="L43" s="6" t="n">
        <f aca="false">PROY_INDEXADO!J49+PROY_RESERVAS!J72*$D$4</f>
        <v>836.54818721911</v>
      </c>
      <c r="M43" s="6" t="n">
        <f aca="false">PROY_INDEXADO!K49+PROY_RESERVAS!K72*$D$4</f>
        <v>971.509933050576</v>
      </c>
    </row>
    <row r="44" customFormat="false" ht="15" hidden="false" customHeight="false" outlineLevel="0" collapsed="false">
      <c r="A44" s="3" t="s">
        <v>88</v>
      </c>
      <c r="B44" s="3" t="s">
        <v>84</v>
      </c>
      <c r="C44" s="3" t="s">
        <v>89</v>
      </c>
      <c r="D44" s="6" t="n">
        <f aca="false">PROY_INDEXADO!B50+PROY_RESERVAS!B73*$D$4</f>
        <v>42.9314087009201</v>
      </c>
      <c r="E44" s="6" t="n">
        <f aca="false">PROY_INDEXADO!C50+PROY_RESERVAS!C73*$D$4</f>
        <v>68.537321790546</v>
      </c>
      <c r="F44" s="6" t="n">
        <f aca="false">PROY_INDEXADO!D50+PROY_RESERVAS!D73*$D$4</f>
        <v>83.1943828014661</v>
      </c>
      <c r="G44" s="6" t="n">
        <f aca="false">PROY_INDEXADO!E50+PROY_RESERVAS!E73*$D$4</f>
        <v>106.839594162932</v>
      </c>
      <c r="H44" s="6" t="n">
        <f aca="false">PROY_INDEXADO!F50+PROY_RESERVAS!F73*$D$4</f>
        <v>154.745762193104</v>
      </c>
      <c r="I44" s="6" t="n">
        <f aca="false">PROY_INDEXADO!G50+PROY_RESERVAS!G73*$D$4</f>
        <v>192.30385301365</v>
      </c>
      <c r="J44" s="6" t="n">
        <f aca="false">PROY_INDEXADO!H50+PROY_RESERVAS!H73*$D$4</f>
        <v>246.350970634196</v>
      </c>
      <c r="K44" s="6" t="n">
        <f aca="false">PROY_INDEXADO!I50+PROY_RESERVAS!I73*$D$4</f>
        <v>305.416230954742</v>
      </c>
      <c r="L44" s="6" t="n">
        <f aca="false">PROY_INDEXADO!J50+PROY_RESERVAS!J73*$D$4</f>
        <v>358.707712875288</v>
      </c>
      <c r="M44" s="6" t="n">
        <f aca="false">PROY_INDEXADO!K50+PROY_RESERVAS!K73*$D$4</f>
        <v>416.433346495834</v>
      </c>
    </row>
    <row r="45" customFormat="false" ht="15" hidden="false" customHeight="false" outlineLevel="0" collapsed="false">
      <c r="A45" s="3" t="s">
        <v>90</v>
      </c>
      <c r="B45" s="3" t="s">
        <v>84</v>
      </c>
      <c r="C45" s="3" t="s">
        <v>91</v>
      </c>
      <c r="D45" s="6" t="n">
        <f aca="false">PROY_INDEXADO!B51+PROY_RESERVAS!B74*$D$4</f>
        <v>28.7168679309201</v>
      </c>
      <c r="E45" s="6" t="n">
        <f aca="false">PROY_INDEXADO!C51+PROY_RESERVAS!C74*$D$4</f>
        <v>45.696344300546</v>
      </c>
      <c r="F45" s="6" t="n">
        <f aca="false">PROY_INDEXADO!D51+PROY_RESERVAS!D74*$D$4</f>
        <v>55.275860700546</v>
      </c>
      <c r="G45" s="6" t="n">
        <f aca="false">PROY_INDEXADO!E51+PROY_RESERVAS!E74*$D$4</f>
        <v>71.1256708514661</v>
      </c>
      <c r="H45" s="6" t="n">
        <f aca="false">PROY_INDEXADO!F51+PROY_RESERVAS!F74*$D$4</f>
        <v>103.250177352012</v>
      </c>
      <c r="I45" s="6" t="n">
        <f aca="false">PROY_INDEXADO!G51+PROY_RESERVAS!G74*$D$4</f>
        <v>128.293701072558</v>
      </c>
      <c r="J45" s="6" t="n">
        <f aca="false">PROY_INDEXADO!H51+PROY_RESERVAS!H74*$D$4</f>
        <v>164.042122782184</v>
      </c>
      <c r="K45" s="6" t="n">
        <f aca="false">PROY_INDEXADO!I51+PROY_RESERVAS!I74*$D$4</f>
        <v>203.697156593104</v>
      </c>
      <c r="L45" s="6" t="n">
        <f aca="false">PROY_INDEXADO!J51+PROY_RESERVAS!J74*$D$4</f>
        <v>238.94182120273</v>
      </c>
      <c r="M45" s="6" t="n">
        <f aca="false">PROY_INDEXADO!K51+PROY_RESERVAS!K74*$D$4</f>
        <v>277.70377041365</v>
      </c>
    </row>
    <row r="46" customFormat="false" ht="15" hidden="false" customHeight="false" outlineLevel="0" collapsed="false">
      <c r="A46" s="3" t="s">
        <v>92</v>
      </c>
      <c r="B46" s="3" t="s">
        <v>84</v>
      </c>
      <c r="C46" s="3" t="s">
        <v>93</v>
      </c>
      <c r="D46" s="6" t="n">
        <f aca="false">PROY_INDEXADO!B52+PROY_RESERVAS!B75*$D$4</f>
        <v>100.89892011092</v>
      </c>
      <c r="E46" s="6" t="n">
        <f aca="false">PROY_INDEXADO!C52+PROY_RESERVAS!C75*$D$4</f>
        <v>189.774975653306</v>
      </c>
      <c r="F46" s="6" t="n">
        <f aca="false">PROY_INDEXADO!D52+PROY_RESERVAS!D75*$D$4</f>
        <v>250.485672536784</v>
      </c>
      <c r="G46" s="6" t="n">
        <f aca="false">PROY_INDEXADO!E52+PROY_RESERVAS!E75*$D$4</f>
        <v>350.269968350434</v>
      </c>
      <c r="H46" s="6" t="n">
        <f aca="false">PROY_INDEXADO!F52+PROY_RESERVAS!F75*$D$4</f>
        <v>548.407028784631</v>
      </c>
      <c r="I46" s="6" t="n">
        <f aca="false">PROY_INDEXADO!G52+PROY_RESERVAS!G75*$D$4</f>
        <v>754.189149828453</v>
      </c>
      <c r="J46" s="6" t="n">
        <f aca="false">PROY_INDEXADO!H52+PROY_RESERVAS!H75*$D$4</f>
        <v>962.191134061354</v>
      </c>
      <c r="K46" s="6" t="n">
        <f aca="false">PROY_INDEXADO!I52+PROY_RESERVAS!I75*$D$4</f>
        <v>1193.07387486279</v>
      </c>
      <c r="L46" s="6" t="n">
        <f aca="false">PROY_INDEXADO!J52+PROY_RESERVAS!J75*$D$4</f>
        <v>1411.35491673405</v>
      </c>
      <c r="M46" s="6" t="n">
        <f aca="false">PROY_INDEXADO!K52+PROY_RESERVAS!K75*$D$4</f>
        <v>1650.60330969569</v>
      </c>
    </row>
    <row r="47" customFormat="false" ht="15" hidden="false" customHeight="false" outlineLevel="0" collapsed="false">
      <c r="A47" s="3" t="s">
        <v>94</v>
      </c>
      <c r="B47" s="3" t="s">
        <v>84</v>
      </c>
      <c r="C47" s="3" t="s">
        <v>95</v>
      </c>
      <c r="D47" s="6" t="n">
        <f aca="false">PROY_INDEXADO!B53</f>
        <v>421.9843726</v>
      </c>
      <c r="E47" s="6" t="n">
        <f aca="false">PROY_INDEXADO!C53</f>
        <v>772.3206222</v>
      </c>
      <c r="F47" s="6" t="n">
        <f aca="false">PROY_INDEXADO!D53</f>
        <v>1066.363722</v>
      </c>
      <c r="G47" s="6" t="n">
        <f aca="false">PROY_INDEXADO!E53</f>
        <v>1474.963344</v>
      </c>
      <c r="H47" s="6" t="n">
        <f aca="false">PROY_INDEXADO!F53</f>
        <v>2394.644883</v>
      </c>
      <c r="I47" s="6" t="n">
        <f aca="false">PROY_INDEXADO!G53</f>
        <v>3311.547454</v>
      </c>
      <c r="J47" s="6" t="n">
        <f aca="false">PROY_INDEXADO!H53</f>
        <v>4274.187843</v>
      </c>
      <c r="K47" s="6" t="n">
        <f aca="false">PROY_INDEXADO!I53</f>
        <v>5292.394724</v>
      </c>
      <c r="L47" s="6" t="n">
        <f aca="false">PROY_INDEXADO!J53</f>
        <v>6125.204809</v>
      </c>
      <c r="M47" s="6" t="n">
        <f aca="false">PROY_INDEXADO!K53</f>
        <v>7005.27737</v>
      </c>
    </row>
    <row r="48" customFormat="false" ht="15" hidden="false" customHeight="false" outlineLevel="0" collapsed="false">
      <c r="A48" s="3" t="s">
        <v>96</v>
      </c>
      <c r="B48" s="3" t="s">
        <v>84</v>
      </c>
      <c r="C48" s="3" t="s">
        <v>97</v>
      </c>
      <c r="D48" s="6" t="n">
        <f aca="false">PROY_INDEXADO!B54+PROY_RESERVAS!B76*$D$4</f>
        <v>286.05400997644</v>
      </c>
      <c r="E48" s="6" t="n">
        <f aca="false">PROY_INDEXADO!C54+PROY_RESERVAS!C76*$D$4</f>
        <v>494.98806526907</v>
      </c>
      <c r="F48" s="6" t="n">
        <f aca="false">PROY_INDEXADO!D54+PROY_RESERVAS!D76*$D$4</f>
        <v>634.889191439865</v>
      </c>
      <c r="G48" s="6" t="n">
        <f aca="false">PROY_INDEXADO!E54+PROY_RESERVAS!E76*$D$4</f>
        <v>852.185361517076</v>
      </c>
      <c r="H48" s="6" t="n">
        <f aca="false">PROY_INDEXADO!F54+PROY_RESERVAS!F76*$D$4</f>
        <v>1303.71490027196</v>
      </c>
      <c r="I48" s="6" t="n">
        <f aca="false">PROY_INDEXADO!G54+PROY_RESERVAS!G76*$D$4</f>
        <v>1768.19709770463</v>
      </c>
      <c r="J48" s="6" t="n">
        <f aca="false">PROY_INDEXADO!H54+PROY_RESERVAS!H76*$D$4</f>
        <v>2265.768348428</v>
      </c>
      <c r="K48" s="6" t="n">
        <f aca="false">PROY_INDEXADO!I54+PROY_RESERVAS!I76*$D$4</f>
        <v>2799.56359799858</v>
      </c>
      <c r="L48" s="6" t="n">
        <f aca="false">PROY_INDEXADO!J54+PROY_RESERVAS!J76*$D$4</f>
        <v>3269.30867659321</v>
      </c>
      <c r="M48" s="6" t="n">
        <f aca="false">PROY_INDEXADO!K54+PROY_RESERVAS!K76*$D$4</f>
        <v>3776.01776725347</v>
      </c>
    </row>
    <row r="49" customFormat="false" ht="15" hidden="false" customHeight="false" outlineLevel="0" collapsed="false">
      <c r="A49" s="3" t="s">
        <v>98</v>
      </c>
      <c r="B49" s="3" t="s">
        <v>84</v>
      </c>
      <c r="C49" s="3" t="s">
        <v>99</v>
      </c>
      <c r="D49" s="6" t="n">
        <f aca="false">PROY_INDEXADO!B55+PROY_RESERVAS!B77*$D$4</f>
        <v>59.1473904809201</v>
      </c>
      <c r="E49" s="6" t="n">
        <f aca="false">PROY_INDEXADO!C55+PROY_RESERVAS!C77*$D$4</f>
        <v>100.564071531466</v>
      </c>
      <c r="F49" s="6" t="n">
        <f aca="false">PROY_INDEXADO!D55+PROY_RESERVAS!D77*$D$4</f>
        <v>126.846226852012</v>
      </c>
      <c r="G49" s="6" t="n">
        <f aca="false">PROY_INDEXADO!E55+PROY_RESERVAS!E77*$D$4</f>
        <v>168.436733083478</v>
      </c>
      <c r="H49" s="6" t="n">
        <f aca="false">PROY_INDEXADO!F55+PROY_RESERVAS!F77*$D$4</f>
        <v>257.23765972457</v>
      </c>
      <c r="I49" s="6" t="n">
        <f aca="false">PROY_INDEXADO!G55+PROY_RESERVAS!G77*$D$4</f>
        <v>346.790874665662</v>
      </c>
      <c r="J49" s="6" t="n">
        <f aca="false">PROY_INDEXADO!H55+PROY_RESERVAS!H77*$D$4</f>
        <v>445.403985406754</v>
      </c>
      <c r="K49" s="6" t="n">
        <f aca="false">PROY_INDEXADO!I55+PROY_RESERVAS!I77*$D$4</f>
        <v>551.603913436926</v>
      </c>
      <c r="L49" s="6" t="n">
        <f aca="false">PROY_INDEXADO!J55+PROY_RESERVAS!J77*$D$4</f>
        <v>644.417874757472</v>
      </c>
      <c r="M49" s="6" t="n">
        <f aca="false">PROY_INDEXADO!K55+PROY_RESERVAS!K77*$D$4</f>
        <v>744.120454978018</v>
      </c>
    </row>
    <row r="50" customFormat="false" ht="15" hidden="false" customHeight="false" outlineLevel="0" collapsed="false">
      <c r="A50" s="3" t="s">
        <v>100</v>
      </c>
      <c r="B50" s="3" t="s">
        <v>84</v>
      </c>
      <c r="C50" s="3" t="s">
        <v>101</v>
      </c>
      <c r="D50" s="6" t="n">
        <f aca="false">PROY_INDEXADO!B56+PROY_RESERVAS!B78*$D$4</f>
        <v>28.7168679309201</v>
      </c>
      <c r="E50" s="6" t="n">
        <f aca="false">PROY_INDEXADO!C56+PROY_RESERVAS!C78*$D$4</f>
        <v>45.696344300546</v>
      </c>
      <c r="F50" s="6" t="n">
        <f aca="false">PROY_INDEXADO!D56+PROY_RESERVAS!D78*$D$4</f>
        <v>55.275860700546</v>
      </c>
      <c r="G50" s="6" t="n">
        <f aca="false">PROY_INDEXADO!E56+PROY_RESERVAS!E78*$D$4</f>
        <v>71.1256708514661</v>
      </c>
      <c r="H50" s="6" t="n">
        <f aca="false">PROY_INDEXADO!F56+PROY_RESERVAS!F78*$D$4</f>
        <v>103.250177352012</v>
      </c>
      <c r="I50" s="6" t="n">
        <f aca="false">PROY_INDEXADO!G56+PROY_RESERVAS!G78*$D$4</f>
        <v>128.005914661638</v>
      </c>
      <c r="J50" s="6" t="n">
        <f aca="false">PROY_INDEXADO!H56+PROY_RESERVAS!H78*$D$4</f>
        <v>164.315519872558</v>
      </c>
      <c r="K50" s="6" t="n">
        <f aca="false">PROY_INDEXADO!I56+PROY_RESERVAS!I78*$D$4</f>
        <v>203.409370182184</v>
      </c>
      <c r="L50" s="6" t="n">
        <f aca="false">PROY_INDEXADO!J56+PROY_RESERVAS!J78*$D$4</f>
        <v>239.215218293104</v>
      </c>
      <c r="M50" s="6" t="n">
        <f aca="false">PROY_INDEXADO!K56+PROY_RESERVAS!K78*$D$4</f>
        <v>277.41598400273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0"/>
    <pageSetUpPr fitToPage="true"/>
  </sheetPr>
  <dimension ref="A1:P6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14" min="3" style="0" width="8"/>
    <col collapsed="false" customWidth="true" hidden="false" outlineLevel="0" max="15" min="15" style="0" width="9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1" t="s">
        <v>102</v>
      </c>
    </row>
    <row r="3" customFormat="false" ht="30" hidden="false" customHeight="true" outlineLevel="0" collapsed="false">
      <c r="A3" s="2" t="s">
        <v>1</v>
      </c>
      <c r="B3" s="2" t="s">
        <v>103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 t="s">
        <v>111</v>
      </c>
      <c r="K3" s="2" t="s">
        <v>112</v>
      </c>
      <c r="L3" s="2" t="s">
        <v>113</v>
      </c>
      <c r="M3" s="2" t="s">
        <v>114</v>
      </c>
      <c r="N3" s="2" t="s">
        <v>115</v>
      </c>
      <c r="O3" s="2" t="s">
        <v>116</v>
      </c>
    </row>
    <row r="4" customFormat="false" ht="15" hidden="false" customHeight="false" outlineLevel="0" collapsed="false">
      <c r="A4" s="3" t="s">
        <v>117</v>
      </c>
      <c r="B4" s="3" t="s">
        <v>118</v>
      </c>
      <c r="C4" s="4" t="n">
        <v>0.12</v>
      </c>
      <c r="D4" s="4" t="n">
        <v>0.09</v>
      </c>
      <c r="E4" s="4" t="n">
        <v>0.08</v>
      </c>
      <c r="F4" s="4" t="n">
        <v>0.075</v>
      </c>
      <c r="G4" s="4" t="n">
        <v>0.07</v>
      </c>
      <c r="H4" s="4" t="n">
        <v>0.07</v>
      </c>
      <c r="I4" s="4" t="n">
        <v>0.075</v>
      </c>
      <c r="J4" s="4" t="n">
        <v>0.075</v>
      </c>
      <c r="K4" s="4" t="n">
        <v>0.075</v>
      </c>
      <c r="L4" s="4" t="n">
        <v>0.075</v>
      </c>
      <c r="M4" s="4" t="n">
        <v>0.075</v>
      </c>
      <c r="N4" s="4" t="n">
        <v>0.12</v>
      </c>
      <c r="O4" s="7" t="n">
        <f aca="false">SUM(C4:N4)</f>
        <v>1</v>
      </c>
    </row>
    <row r="5" customFormat="false" ht="15" hidden="false" customHeight="false" outlineLevel="0" collapsed="false">
      <c r="A5" s="3" t="s">
        <v>119</v>
      </c>
      <c r="B5" s="3" t="s">
        <v>120</v>
      </c>
      <c r="C5" s="4" t="n">
        <v>0.1</v>
      </c>
      <c r="D5" s="4" t="n">
        <v>0.08</v>
      </c>
      <c r="E5" s="4" t="n">
        <v>0.085</v>
      </c>
      <c r="F5" s="4" t="n">
        <v>0.085</v>
      </c>
      <c r="G5" s="4" t="n">
        <v>0.08</v>
      </c>
      <c r="H5" s="4" t="n">
        <v>0.075</v>
      </c>
      <c r="I5" s="4" t="n">
        <v>0.08</v>
      </c>
      <c r="J5" s="4" t="n">
        <v>0.08</v>
      </c>
      <c r="K5" s="4" t="n">
        <v>0.08</v>
      </c>
      <c r="L5" s="4" t="n">
        <v>0.075</v>
      </c>
      <c r="M5" s="4" t="n">
        <v>0.07</v>
      </c>
      <c r="N5" s="4" t="n">
        <v>0.11</v>
      </c>
      <c r="O5" s="7" t="n">
        <f aca="false">SUM(C5:N5)</f>
        <v>1</v>
      </c>
    </row>
    <row r="6" customFormat="false" ht="15" hidden="false" customHeight="false" outlineLevel="0" collapsed="false">
      <c r="A6" s="3" t="s">
        <v>121</v>
      </c>
      <c r="B6" s="3" t="s">
        <v>122</v>
      </c>
      <c r="C6" s="4" t="n">
        <v>0.085</v>
      </c>
      <c r="D6" s="4" t="n">
        <v>0.075</v>
      </c>
      <c r="E6" s="4" t="n">
        <v>0.09</v>
      </c>
      <c r="F6" s="4" t="n">
        <v>0.09</v>
      </c>
      <c r="G6" s="4" t="n">
        <v>0.09</v>
      </c>
      <c r="H6" s="4" t="n">
        <v>0.08</v>
      </c>
      <c r="I6" s="4" t="n">
        <v>0.09</v>
      </c>
      <c r="J6" s="4" t="n">
        <v>0.09</v>
      </c>
      <c r="K6" s="4" t="n">
        <v>0.085</v>
      </c>
      <c r="L6" s="4" t="n">
        <v>0.075</v>
      </c>
      <c r="M6" s="4" t="n">
        <v>0.07</v>
      </c>
      <c r="N6" s="4" t="n">
        <v>0.08</v>
      </c>
      <c r="O6" s="7" t="n">
        <f aca="false">SUM(C6:N6)</f>
        <v>1</v>
      </c>
    </row>
    <row r="7" customFormat="false" ht="15" hidden="false" customHeight="false" outlineLevel="0" collapsed="false">
      <c r="A7" s="3" t="s">
        <v>123</v>
      </c>
      <c r="B7" s="3" t="s">
        <v>124</v>
      </c>
      <c r="C7" s="4" t="n">
        <v>0.0833333333333333</v>
      </c>
      <c r="D7" s="4" t="n">
        <v>0.0833333333333333</v>
      </c>
      <c r="E7" s="4" t="n">
        <v>0.0833333333333333</v>
      </c>
      <c r="F7" s="4" t="n">
        <v>0.0833333333333333</v>
      </c>
      <c r="G7" s="4" t="n">
        <v>0.0833333333333333</v>
      </c>
      <c r="H7" s="4" t="n">
        <v>0.0833333333333333</v>
      </c>
      <c r="I7" s="4" t="n">
        <v>0.0833333333333333</v>
      </c>
      <c r="J7" s="4" t="n">
        <v>0.0833333333333333</v>
      </c>
      <c r="K7" s="4" t="n">
        <v>0.0833333333333333</v>
      </c>
      <c r="L7" s="4" t="n">
        <v>0.0833333333333333</v>
      </c>
      <c r="M7" s="4" t="n">
        <v>0.0833333333333333</v>
      </c>
      <c r="N7" s="4" t="n">
        <v>0.0833333333333333</v>
      </c>
      <c r="O7" s="7" t="n">
        <f aca="false">SUM(C7:N7)</f>
        <v>1</v>
      </c>
    </row>
    <row r="9" customFormat="false" ht="30" hidden="false" customHeight="true" outlineLevel="0" collapsed="false">
      <c r="A9" s="2" t="s">
        <v>2</v>
      </c>
      <c r="B9" s="2" t="s">
        <v>3</v>
      </c>
      <c r="C9" s="2" t="s">
        <v>104</v>
      </c>
      <c r="D9" s="2" t="s">
        <v>105</v>
      </c>
      <c r="E9" s="2" t="s">
        <v>106</v>
      </c>
      <c r="F9" s="2" t="s">
        <v>107</v>
      </c>
      <c r="G9" s="2" t="s">
        <v>108</v>
      </c>
      <c r="H9" s="2" t="s">
        <v>109</v>
      </c>
      <c r="I9" s="2" t="s">
        <v>110</v>
      </c>
      <c r="J9" s="2" t="s">
        <v>111</v>
      </c>
      <c r="K9" s="2" t="s">
        <v>112</v>
      </c>
      <c r="L9" s="2" t="s">
        <v>113</v>
      </c>
      <c r="M9" s="2" t="s">
        <v>114</v>
      </c>
      <c r="N9" s="2" t="s">
        <v>115</v>
      </c>
      <c r="O9" s="2" t="s">
        <v>116</v>
      </c>
      <c r="P9" s="2" t="s">
        <v>125</v>
      </c>
    </row>
    <row r="10" customFormat="false" ht="15" hidden="false" customHeight="false" outlineLevel="0" collapsed="false">
      <c r="A10" s="3" t="s">
        <v>14</v>
      </c>
      <c r="B10" s="3" t="str">
        <f aca="false">DEMANDA!C8</f>
        <v>Matafuego ABC 1 kg</v>
      </c>
      <c r="C10" s="6" t="n">
        <f aca="false">DEMANDA!$M$8*C$4</f>
        <v>3848.7166956</v>
      </c>
      <c r="D10" s="6" t="n">
        <f aca="false">DEMANDA!$M$8*D$4</f>
        <v>2886.5375217</v>
      </c>
      <c r="E10" s="6" t="n">
        <f aca="false">DEMANDA!$M$8*E$4</f>
        <v>2565.8111304</v>
      </c>
      <c r="F10" s="6" t="n">
        <f aca="false">DEMANDA!$M$8*F$4</f>
        <v>2405.44793475</v>
      </c>
      <c r="G10" s="6" t="n">
        <f aca="false">DEMANDA!$M$8*G$4</f>
        <v>2245.0847391</v>
      </c>
      <c r="H10" s="6" t="n">
        <f aca="false">DEMANDA!$M$8*H$4</f>
        <v>2245.0847391</v>
      </c>
      <c r="I10" s="6" t="n">
        <f aca="false">DEMANDA!$M$8*I$4</f>
        <v>2405.44793475</v>
      </c>
      <c r="J10" s="6" t="n">
        <f aca="false">DEMANDA!$M$8*J$4</f>
        <v>2405.44793475</v>
      </c>
      <c r="K10" s="6" t="n">
        <f aca="false">DEMANDA!$M$8*K$4</f>
        <v>2405.44793475</v>
      </c>
      <c r="L10" s="6" t="n">
        <f aca="false">DEMANDA!$M$8*L$4</f>
        <v>2405.44793475</v>
      </c>
      <c r="M10" s="6" t="n">
        <f aca="false">DEMANDA!$M$8*M$4</f>
        <v>2405.44793475</v>
      </c>
      <c r="N10" s="6" t="n">
        <f aca="false">DEMANDA!$M$8*N$4</f>
        <v>3848.7166956</v>
      </c>
      <c r="O10" s="6" t="n">
        <f aca="false">SUM(C10:N10)</f>
        <v>32072.63913</v>
      </c>
      <c r="P10" s="6" t="n">
        <f aca="false">MAX(C10:N10)</f>
        <v>3848.7166956</v>
      </c>
    </row>
    <row r="11" customFormat="false" ht="15" hidden="false" customHeight="false" outlineLevel="0" collapsed="false">
      <c r="A11" s="3" t="s">
        <v>14</v>
      </c>
      <c r="B11" s="3" t="str">
        <f aca="false">DEMANDA!C9</f>
        <v>Matafuego ABC 2,5 kg</v>
      </c>
      <c r="C11" s="6" t="n">
        <f aca="false">DEMANDA!$M$9*C$5</f>
        <v>742.4858444</v>
      </c>
      <c r="D11" s="6" t="n">
        <f aca="false">DEMANDA!$M$9*D$5</f>
        <v>593.98867552</v>
      </c>
      <c r="E11" s="6" t="n">
        <f aca="false">DEMANDA!$M$9*E$5</f>
        <v>631.11296774</v>
      </c>
      <c r="F11" s="6" t="n">
        <f aca="false">DEMANDA!$M$9*F$5</f>
        <v>631.11296774</v>
      </c>
      <c r="G11" s="6" t="n">
        <f aca="false">DEMANDA!$M$9*G$5</f>
        <v>593.98867552</v>
      </c>
      <c r="H11" s="6" t="n">
        <f aca="false">DEMANDA!$M$9*H$5</f>
        <v>556.8643833</v>
      </c>
      <c r="I11" s="6" t="n">
        <f aca="false">DEMANDA!$M$9*I$5</f>
        <v>593.98867552</v>
      </c>
      <c r="J11" s="6" t="n">
        <f aca="false">DEMANDA!$M$9*J$5</f>
        <v>593.98867552</v>
      </c>
      <c r="K11" s="6" t="n">
        <f aca="false">DEMANDA!$M$9*K$5</f>
        <v>593.98867552</v>
      </c>
      <c r="L11" s="6" t="n">
        <f aca="false">DEMANDA!$M$9*L$5</f>
        <v>556.8643833</v>
      </c>
      <c r="M11" s="6" t="n">
        <f aca="false">DEMANDA!$M$9*M$5</f>
        <v>519.74009108</v>
      </c>
      <c r="N11" s="6" t="n">
        <f aca="false">DEMANDA!$M$9*N$5</f>
        <v>816.73442884</v>
      </c>
      <c r="O11" s="6" t="n">
        <f aca="false">SUM(C11:N11)</f>
        <v>7424.858444</v>
      </c>
      <c r="P11" s="6" t="n">
        <f aca="false">MAX(C11:N11)</f>
        <v>816.73442884</v>
      </c>
    </row>
    <row r="12" customFormat="false" ht="15" hidden="false" customHeight="false" outlineLevel="0" collapsed="false">
      <c r="A12" s="3" t="s">
        <v>14</v>
      </c>
      <c r="B12" s="3" t="str">
        <f aca="false">DEMANDA!C10</f>
        <v>Matafuego ABC 5 kg</v>
      </c>
      <c r="C12" s="6" t="n">
        <f aca="false">DEMANDA!$M$10*C$5</f>
        <v>3242.87706862536</v>
      </c>
      <c r="D12" s="6" t="n">
        <f aca="false">DEMANDA!$M$10*D$5</f>
        <v>2594.30165490029</v>
      </c>
      <c r="E12" s="6" t="n">
        <f aca="false">DEMANDA!$M$10*E$5</f>
        <v>2756.44550833156</v>
      </c>
      <c r="F12" s="6" t="n">
        <f aca="false">DEMANDA!$M$10*F$5</f>
        <v>2756.44550833156</v>
      </c>
      <c r="G12" s="6" t="n">
        <f aca="false">DEMANDA!$M$10*G$5</f>
        <v>2594.30165490029</v>
      </c>
      <c r="H12" s="6" t="n">
        <f aca="false">DEMANDA!$M$10*H$5</f>
        <v>2432.15780146902</v>
      </c>
      <c r="I12" s="6" t="n">
        <f aca="false">DEMANDA!$M$10*I$5</f>
        <v>2594.30165490029</v>
      </c>
      <c r="J12" s="6" t="n">
        <f aca="false">DEMANDA!$M$10*J$5</f>
        <v>2594.30165490029</v>
      </c>
      <c r="K12" s="6" t="n">
        <f aca="false">DEMANDA!$M$10*K$5</f>
        <v>2594.30165490029</v>
      </c>
      <c r="L12" s="6" t="n">
        <f aca="false">DEMANDA!$M$10*L$5</f>
        <v>2432.15780146902</v>
      </c>
      <c r="M12" s="6" t="n">
        <f aca="false">DEMANDA!$M$10*M$5</f>
        <v>2270.01394803776</v>
      </c>
      <c r="N12" s="6" t="n">
        <f aca="false">DEMANDA!$M$10*N$5</f>
        <v>3567.1647754879</v>
      </c>
      <c r="O12" s="6" t="n">
        <f aca="false">SUM(C12:N12)</f>
        <v>32428.7706862536</v>
      </c>
      <c r="P12" s="6" t="n">
        <f aca="false">MAX(C12:N12)</f>
        <v>3567.1647754879</v>
      </c>
    </row>
    <row r="13" customFormat="false" ht="15" hidden="false" customHeight="false" outlineLevel="0" collapsed="false">
      <c r="A13" s="3" t="s">
        <v>14</v>
      </c>
      <c r="B13" s="3" t="str">
        <f aca="false">DEMANDA!C11</f>
        <v>Matafuego ABC 10 kg</v>
      </c>
      <c r="C13" s="6" t="n">
        <f aca="false">DEMANDA!$M$11*C$5</f>
        <v>184.287697319699</v>
      </c>
      <c r="D13" s="6" t="n">
        <f aca="false">DEMANDA!$M$11*D$5</f>
        <v>147.430157855759</v>
      </c>
      <c r="E13" s="6" t="n">
        <f aca="false">DEMANDA!$M$11*E$5</f>
        <v>156.644542721744</v>
      </c>
      <c r="F13" s="6" t="n">
        <f aca="false">DEMANDA!$M$11*F$5</f>
        <v>156.644542721744</v>
      </c>
      <c r="G13" s="6" t="n">
        <f aca="false">DEMANDA!$M$11*G$5</f>
        <v>147.430157855759</v>
      </c>
      <c r="H13" s="6" t="n">
        <f aca="false">DEMANDA!$M$11*H$5</f>
        <v>138.215772989774</v>
      </c>
      <c r="I13" s="6" t="n">
        <f aca="false">DEMANDA!$M$11*I$5</f>
        <v>147.430157855759</v>
      </c>
      <c r="J13" s="6" t="n">
        <f aca="false">DEMANDA!$M$11*J$5</f>
        <v>147.430157855759</v>
      </c>
      <c r="K13" s="6" t="n">
        <f aca="false">DEMANDA!$M$11*K$5</f>
        <v>147.430157855759</v>
      </c>
      <c r="L13" s="6" t="n">
        <f aca="false">DEMANDA!$M$11*L$5</f>
        <v>138.215772989774</v>
      </c>
      <c r="M13" s="6" t="n">
        <f aca="false">DEMANDA!$M$11*M$5</f>
        <v>129.001388123789</v>
      </c>
      <c r="N13" s="6" t="n">
        <f aca="false">DEMANDA!$M$11*N$5</f>
        <v>202.716467051669</v>
      </c>
      <c r="O13" s="6" t="n">
        <f aca="false">SUM(C13:N13)</f>
        <v>1842.87697319699</v>
      </c>
      <c r="P13" s="6" t="n">
        <f aca="false">MAX(C13:N13)</f>
        <v>202.716467051669</v>
      </c>
    </row>
    <row r="14" customFormat="false" ht="15" hidden="false" customHeight="false" outlineLevel="0" collapsed="false">
      <c r="A14" s="3" t="s">
        <v>14</v>
      </c>
      <c r="B14" s="3" t="str">
        <f aca="false">DEMANDA!C12</f>
        <v>Cilindro ABC 1 kg vacío</v>
      </c>
      <c r="C14" s="6" t="n">
        <f aca="false">DEMANDA!$M$12*C$4</f>
        <v>20465.76</v>
      </c>
      <c r="D14" s="6" t="n">
        <f aca="false">DEMANDA!$M$12*D$4</f>
        <v>15349.32</v>
      </c>
      <c r="E14" s="6" t="n">
        <f aca="false">DEMANDA!$M$12*E$4</f>
        <v>13643.84</v>
      </c>
      <c r="F14" s="6" t="n">
        <f aca="false">DEMANDA!$M$12*F$4</f>
        <v>12791.1</v>
      </c>
      <c r="G14" s="6" t="n">
        <f aca="false">DEMANDA!$M$12*G$4</f>
        <v>11938.36</v>
      </c>
      <c r="H14" s="6" t="n">
        <f aca="false">DEMANDA!$M$12*H$4</f>
        <v>11938.36</v>
      </c>
      <c r="I14" s="6" t="n">
        <f aca="false">DEMANDA!$M$12*I$4</f>
        <v>12791.1</v>
      </c>
      <c r="J14" s="6" t="n">
        <f aca="false">DEMANDA!$M$12*J$4</f>
        <v>12791.1</v>
      </c>
      <c r="K14" s="6" t="n">
        <f aca="false">DEMANDA!$M$12*K$4</f>
        <v>12791.1</v>
      </c>
      <c r="L14" s="6" t="n">
        <f aca="false">DEMANDA!$M$12*L$4</f>
        <v>12791.1</v>
      </c>
      <c r="M14" s="6" t="n">
        <f aca="false">DEMANDA!$M$12*M$4</f>
        <v>12791.1</v>
      </c>
      <c r="N14" s="6" t="n">
        <f aca="false">DEMANDA!$M$12*N$4</f>
        <v>20465.76</v>
      </c>
      <c r="O14" s="6" t="n">
        <f aca="false">SUM(C14:N14)</f>
        <v>170548</v>
      </c>
      <c r="P14" s="6" t="n">
        <f aca="false">MAX(C14:N14)</f>
        <v>20465.76</v>
      </c>
    </row>
    <row r="15" customFormat="false" ht="15" hidden="false" customHeight="false" outlineLevel="0" collapsed="false">
      <c r="A15" s="3" t="s">
        <v>14</v>
      </c>
      <c r="B15" s="3" t="str">
        <f aca="false">DEMANDA!C13</f>
        <v>Cilindro ABC 2,5 kg vacío</v>
      </c>
      <c r="C15" s="6" t="n">
        <f aca="false">DEMANDA!$M$13*C$5</f>
        <v>666.9</v>
      </c>
      <c r="D15" s="6" t="n">
        <f aca="false">DEMANDA!$M$13*D$5</f>
        <v>533.52</v>
      </c>
      <c r="E15" s="6" t="n">
        <f aca="false">DEMANDA!$M$13*E$5</f>
        <v>566.865</v>
      </c>
      <c r="F15" s="6" t="n">
        <f aca="false">DEMANDA!$M$13*F$5</f>
        <v>566.865</v>
      </c>
      <c r="G15" s="6" t="n">
        <f aca="false">DEMANDA!$M$13*G$5</f>
        <v>533.52</v>
      </c>
      <c r="H15" s="6" t="n">
        <f aca="false">DEMANDA!$M$13*H$5</f>
        <v>500.175</v>
      </c>
      <c r="I15" s="6" t="n">
        <f aca="false">DEMANDA!$M$13*I$5</f>
        <v>533.52</v>
      </c>
      <c r="J15" s="6" t="n">
        <f aca="false">DEMANDA!$M$13*J$5</f>
        <v>533.52</v>
      </c>
      <c r="K15" s="6" t="n">
        <f aca="false">DEMANDA!$M$13*K$5</f>
        <v>533.52</v>
      </c>
      <c r="L15" s="6" t="n">
        <f aca="false">DEMANDA!$M$13*L$5</f>
        <v>500.175</v>
      </c>
      <c r="M15" s="6" t="n">
        <f aca="false">DEMANDA!$M$13*M$5</f>
        <v>466.83</v>
      </c>
      <c r="N15" s="6" t="n">
        <f aca="false">DEMANDA!$M$13*N$5</f>
        <v>733.59</v>
      </c>
      <c r="O15" s="6" t="n">
        <f aca="false">SUM(C15:N15)</f>
        <v>6669</v>
      </c>
      <c r="P15" s="6" t="n">
        <f aca="false">MAX(C15:N15)</f>
        <v>733.59</v>
      </c>
    </row>
    <row r="16" customFormat="false" ht="15" hidden="false" customHeight="false" outlineLevel="0" collapsed="false">
      <c r="A16" s="3" t="s">
        <v>14</v>
      </c>
      <c r="B16" s="3" t="str">
        <f aca="false">DEMANDA!C14</f>
        <v>Cilindro ABC 5 kg vacío</v>
      </c>
      <c r="C16" s="6" t="n">
        <f aca="false">DEMANDA!$M$14*C$5</f>
        <v>3291.5</v>
      </c>
      <c r="D16" s="6" t="n">
        <f aca="false">DEMANDA!$M$14*D$5</f>
        <v>2633.2</v>
      </c>
      <c r="E16" s="6" t="n">
        <f aca="false">DEMANDA!$M$14*E$5</f>
        <v>2797.775</v>
      </c>
      <c r="F16" s="6" t="n">
        <f aca="false">DEMANDA!$M$14*F$5</f>
        <v>2797.775</v>
      </c>
      <c r="G16" s="6" t="n">
        <f aca="false">DEMANDA!$M$14*G$5</f>
        <v>2633.2</v>
      </c>
      <c r="H16" s="6" t="n">
        <f aca="false">DEMANDA!$M$14*H$5</f>
        <v>2468.625</v>
      </c>
      <c r="I16" s="6" t="n">
        <f aca="false">DEMANDA!$M$14*I$5</f>
        <v>2633.2</v>
      </c>
      <c r="J16" s="6" t="n">
        <f aca="false">DEMANDA!$M$14*J$5</f>
        <v>2633.2</v>
      </c>
      <c r="K16" s="6" t="n">
        <f aca="false">DEMANDA!$M$14*K$5</f>
        <v>2633.2</v>
      </c>
      <c r="L16" s="6" t="n">
        <f aca="false">DEMANDA!$M$14*L$5</f>
        <v>2468.625</v>
      </c>
      <c r="M16" s="6" t="n">
        <f aca="false">DEMANDA!$M$14*M$5</f>
        <v>2304.05</v>
      </c>
      <c r="N16" s="6" t="n">
        <f aca="false">DEMANDA!$M$14*N$5</f>
        <v>3620.65</v>
      </c>
      <c r="O16" s="6" t="n">
        <f aca="false">SUM(C16:N16)</f>
        <v>32915</v>
      </c>
      <c r="P16" s="6" t="n">
        <f aca="false">MAX(C16:N16)</f>
        <v>3620.65</v>
      </c>
    </row>
    <row r="17" customFormat="false" ht="15" hidden="false" customHeight="false" outlineLevel="0" collapsed="false">
      <c r="A17" s="3" t="s">
        <v>14</v>
      </c>
      <c r="B17" s="3" t="str">
        <f aca="false">DEMANDA!C15</f>
        <v>Cilindro ABC 10 kg vacío</v>
      </c>
      <c r="C17" s="6" t="n">
        <f aca="false">DEMANDA!$M$15*C$5</f>
        <v>201.1</v>
      </c>
      <c r="D17" s="6" t="n">
        <f aca="false">DEMANDA!$M$15*D$5</f>
        <v>160.88</v>
      </c>
      <c r="E17" s="6" t="n">
        <f aca="false">DEMANDA!$M$15*E$5</f>
        <v>170.935</v>
      </c>
      <c r="F17" s="6" t="n">
        <f aca="false">DEMANDA!$M$15*F$5</f>
        <v>170.935</v>
      </c>
      <c r="G17" s="6" t="n">
        <f aca="false">DEMANDA!$M$15*G$5</f>
        <v>160.88</v>
      </c>
      <c r="H17" s="6" t="n">
        <f aca="false">DEMANDA!$M$15*H$5</f>
        <v>150.825</v>
      </c>
      <c r="I17" s="6" t="n">
        <f aca="false">DEMANDA!$M$15*I$5</f>
        <v>160.88</v>
      </c>
      <c r="J17" s="6" t="n">
        <f aca="false">DEMANDA!$M$15*J$5</f>
        <v>160.88</v>
      </c>
      <c r="K17" s="6" t="n">
        <f aca="false">DEMANDA!$M$15*K$5</f>
        <v>160.88</v>
      </c>
      <c r="L17" s="6" t="n">
        <f aca="false">DEMANDA!$M$15*L$5</f>
        <v>150.825</v>
      </c>
      <c r="M17" s="6" t="n">
        <f aca="false">DEMANDA!$M$15*M$5</f>
        <v>140.77</v>
      </c>
      <c r="N17" s="6" t="n">
        <f aca="false">DEMANDA!$M$15*N$5</f>
        <v>221.21</v>
      </c>
      <c r="O17" s="6" t="n">
        <f aca="false">SUM(C17:N17)</f>
        <v>2011</v>
      </c>
      <c r="P17" s="6" t="n">
        <f aca="false">MAX(C17:N17)</f>
        <v>221.21</v>
      </c>
    </row>
    <row r="18" customFormat="false" ht="15" hidden="false" customHeight="false" outlineLevel="0" collapsed="false">
      <c r="A18" s="8" t="s">
        <v>14</v>
      </c>
      <c r="B18" s="8" t="s">
        <v>126</v>
      </c>
      <c r="C18" s="9" t="n">
        <f aca="false">SUM(C10:C17)</f>
        <v>32643.6273059451</v>
      </c>
      <c r="D18" s="9" t="n">
        <f aca="false">SUM(D10:D17)</f>
        <v>24899.1780099761</v>
      </c>
      <c r="E18" s="9" t="n">
        <f aca="false">SUM(E10:E17)</f>
        <v>23289.4291491933</v>
      </c>
      <c r="F18" s="9" t="n">
        <f aca="false">SUM(F10:F17)</f>
        <v>22276.3259535433</v>
      </c>
      <c r="G18" s="9" t="n">
        <f aca="false">SUM(G10:G17)</f>
        <v>20846.7652273761</v>
      </c>
      <c r="H18" s="9" t="n">
        <f aca="false">SUM(H10:H17)</f>
        <v>20430.3076968588</v>
      </c>
      <c r="I18" s="9" t="n">
        <f aca="false">SUM(I10:I17)</f>
        <v>21859.8684230261</v>
      </c>
      <c r="J18" s="9" t="n">
        <f aca="false">SUM(J10:J17)</f>
        <v>21859.8684230261</v>
      </c>
      <c r="K18" s="9" t="n">
        <f aca="false">SUM(K10:K17)</f>
        <v>21859.8684230261</v>
      </c>
      <c r="L18" s="9" t="n">
        <f aca="false">SUM(L10:L17)</f>
        <v>21443.4108925088</v>
      </c>
      <c r="M18" s="9" t="n">
        <f aca="false">SUM(M10:M17)</f>
        <v>21026.9533619915</v>
      </c>
      <c r="N18" s="9" t="n">
        <f aca="false">SUM(N10:N17)</f>
        <v>33476.5423669796</v>
      </c>
      <c r="O18" s="9" t="n">
        <f aca="false">SUM(O10:O17)</f>
        <v>285912.145233451</v>
      </c>
      <c r="P18" s="8"/>
    </row>
    <row r="19" customFormat="false" ht="15" hidden="false" customHeight="false" outlineLevel="0" collapsed="false">
      <c r="A19" s="3" t="s">
        <v>31</v>
      </c>
      <c r="B19" s="3" t="str">
        <f aca="false">DEMANDA!C16</f>
        <v>Matafuego ABC 25 kg</v>
      </c>
      <c r="C19" s="6" t="n">
        <f aca="false">DEMANDA!$M$16*C$6</f>
        <v>38.527995322</v>
      </c>
      <c r="D19" s="6" t="n">
        <f aca="false">DEMANDA!$M$16*D$6</f>
        <v>33.99528999</v>
      </c>
      <c r="E19" s="6" t="n">
        <f aca="false">DEMANDA!$M$16*E$6</f>
        <v>40.794347988</v>
      </c>
      <c r="F19" s="6" t="n">
        <f aca="false">DEMANDA!$M$16*F$6</f>
        <v>40.794347988</v>
      </c>
      <c r="G19" s="6" t="n">
        <f aca="false">DEMANDA!$M$16*G$6</f>
        <v>40.794347988</v>
      </c>
      <c r="H19" s="6" t="n">
        <f aca="false">DEMANDA!$M$16*H$6</f>
        <v>36.261642656</v>
      </c>
      <c r="I19" s="6" t="n">
        <f aca="false">DEMANDA!$M$16*I$6</f>
        <v>40.794347988</v>
      </c>
      <c r="J19" s="6" t="n">
        <f aca="false">DEMANDA!$M$16*J$6</f>
        <v>40.794347988</v>
      </c>
      <c r="K19" s="6" t="n">
        <f aca="false">DEMANDA!$M$16*K$6</f>
        <v>38.527995322</v>
      </c>
      <c r="L19" s="6" t="n">
        <f aca="false">DEMANDA!$M$16*L$6</f>
        <v>33.99528999</v>
      </c>
      <c r="M19" s="6" t="n">
        <f aca="false">DEMANDA!$M$16*M$6</f>
        <v>31.728937324</v>
      </c>
      <c r="N19" s="6" t="n">
        <f aca="false">DEMANDA!$M$16*N$6</f>
        <v>36.261642656</v>
      </c>
      <c r="O19" s="6" t="n">
        <f aca="false">SUM(C19:N19)</f>
        <v>453.2705332</v>
      </c>
      <c r="P19" s="6" t="n">
        <f aca="false">MAX(C19:N19)</f>
        <v>40.794347988</v>
      </c>
    </row>
    <row r="20" customFormat="false" ht="15" hidden="false" customHeight="false" outlineLevel="0" collapsed="false">
      <c r="A20" s="3" t="s">
        <v>31</v>
      </c>
      <c r="B20" s="3" t="str">
        <f aca="false">DEMANDA!C17</f>
        <v>Matafuego ABC 50 kg</v>
      </c>
      <c r="C20" s="6" t="n">
        <f aca="false">DEMANDA!$M$17*C$6</f>
        <v>84.8520985397344</v>
      </c>
      <c r="D20" s="6" t="n">
        <f aca="false">DEMANDA!$M$17*D$6</f>
        <v>74.8694987115303</v>
      </c>
      <c r="E20" s="6" t="n">
        <f aca="false">DEMANDA!$M$17*E$6</f>
        <v>89.8433984538364</v>
      </c>
      <c r="F20" s="6" t="n">
        <f aca="false">DEMANDA!$M$17*F$6</f>
        <v>89.8433984538364</v>
      </c>
      <c r="G20" s="6" t="n">
        <f aca="false">DEMANDA!$M$17*G$6</f>
        <v>89.8433984538364</v>
      </c>
      <c r="H20" s="6" t="n">
        <f aca="false">DEMANDA!$M$17*H$6</f>
        <v>79.8607986256323</v>
      </c>
      <c r="I20" s="6" t="n">
        <f aca="false">DEMANDA!$M$17*I$6</f>
        <v>89.8433984538364</v>
      </c>
      <c r="J20" s="6" t="n">
        <f aca="false">DEMANDA!$M$17*J$6</f>
        <v>89.8433984538364</v>
      </c>
      <c r="K20" s="6" t="n">
        <f aca="false">DEMANDA!$M$17*K$6</f>
        <v>84.8520985397344</v>
      </c>
      <c r="L20" s="6" t="n">
        <f aca="false">DEMANDA!$M$17*L$6</f>
        <v>74.8694987115303</v>
      </c>
      <c r="M20" s="6" t="n">
        <f aca="false">DEMANDA!$M$17*M$6</f>
        <v>69.8781987974283</v>
      </c>
      <c r="N20" s="6" t="n">
        <f aca="false">DEMANDA!$M$17*N$6</f>
        <v>79.8607986256323</v>
      </c>
      <c r="O20" s="6" t="n">
        <f aca="false">SUM(C20:N20)</f>
        <v>998.259982820404</v>
      </c>
      <c r="P20" s="6" t="n">
        <f aca="false">MAX(C20:N20)</f>
        <v>89.8433984538364</v>
      </c>
    </row>
    <row r="21" customFormat="false" ht="15" hidden="false" customHeight="false" outlineLevel="0" collapsed="false">
      <c r="A21" s="3" t="s">
        <v>31</v>
      </c>
      <c r="B21" s="3" t="str">
        <f aca="false">DEMANDA!C18</f>
        <v>Matafuego ABC 70 kg</v>
      </c>
      <c r="C21" s="6" t="n">
        <f aca="false">DEMANDA!$M$18*C$6</f>
        <v>18.49343776</v>
      </c>
      <c r="D21" s="6" t="n">
        <f aca="false">DEMANDA!$M$18*D$6</f>
        <v>16.3177392</v>
      </c>
      <c r="E21" s="6" t="n">
        <f aca="false">DEMANDA!$M$18*E$6</f>
        <v>19.58128704</v>
      </c>
      <c r="F21" s="6" t="n">
        <f aca="false">DEMANDA!$M$18*F$6</f>
        <v>19.58128704</v>
      </c>
      <c r="G21" s="6" t="n">
        <f aca="false">DEMANDA!$M$18*G$6</f>
        <v>19.58128704</v>
      </c>
      <c r="H21" s="6" t="n">
        <f aca="false">DEMANDA!$M$18*H$6</f>
        <v>17.40558848</v>
      </c>
      <c r="I21" s="6" t="n">
        <f aca="false">DEMANDA!$M$18*I$6</f>
        <v>19.58128704</v>
      </c>
      <c r="J21" s="6" t="n">
        <f aca="false">DEMANDA!$M$18*J$6</f>
        <v>19.58128704</v>
      </c>
      <c r="K21" s="6" t="n">
        <f aca="false">DEMANDA!$M$18*K$6</f>
        <v>18.49343776</v>
      </c>
      <c r="L21" s="6" t="n">
        <f aca="false">DEMANDA!$M$18*L$6</f>
        <v>16.3177392</v>
      </c>
      <c r="M21" s="6" t="n">
        <f aca="false">DEMANDA!$M$18*M$6</f>
        <v>15.22988992</v>
      </c>
      <c r="N21" s="6" t="n">
        <f aca="false">DEMANDA!$M$18*N$6</f>
        <v>17.40558848</v>
      </c>
      <c r="O21" s="6" t="n">
        <f aca="false">SUM(C21:N21)</f>
        <v>217.569856</v>
      </c>
      <c r="P21" s="6" t="n">
        <f aca="false">MAX(C21:N21)</f>
        <v>19.58128704</v>
      </c>
    </row>
    <row r="22" customFormat="false" ht="15" hidden="false" customHeight="false" outlineLevel="0" collapsed="false">
      <c r="A22" s="3" t="s">
        <v>31</v>
      </c>
      <c r="B22" s="3" t="str">
        <f aca="false">DEMANDA!C19</f>
        <v>Matafuego ABC 100 kg</v>
      </c>
      <c r="C22" s="6" t="n">
        <f aca="false">DEMANDA!$M$19*C$6</f>
        <v>12.3399663312177</v>
      </c>
      <c r="D22" s="6" t="n">
        <f aca="false">DEMANDA!$M$19*D$6</f>
        <v>10.8882055863686</v>
      </c>
      <c r="E22" s="6" t="n">
        <f aca="false">DEMANDA!$M$19*E$6</f>
        <v>13.0658467036423</v>
      </c>
      <c r="F22" s="6" t="n">
        <f aca="false">DEMANDA!$M$19*F$6</f>
        <v>13.0658467036423</v>
      </c>
      <c r="G22" s="6" t="n">
        <f aca="false">DEMANDA!$M$19*G$6</f>
        <v>13.0658467036423</v>
      </c>
      <c r="H22" s="6" t="n">
        <f aca="false">DEMANDA!$M$19*H$6</f>
        <v>11.6140859587931</v>
      </c>
      <c r="I22" s="6" t="n">
        <f aca="false">DEMANDA!$M$19*I$6</f>
        <v>13.0658467036423</v>
      </c>
      <c r="J22" s="6" t="n">
        <f aca="false">DEMANDA!$M$19*J$6</f>
        <v>13.0658467036423</v>
      </c>
      <c r="K22" s="6" t="n">
        <f aca="false">DEMANDA!$M$19*K$6</f>
        <v>12.3399663312177</v>
      </c>
      <c r="L22" s="6" t="n">
        <f aca="false">DEMANDA!$M$19*L$6</f>
        <v>10.8882055863686</v>
      </c>
      <c r="M22" s="6" t="n">
        <f aca="false">DEMANDA!$M$19*M$6</f>
        <v>10.162325213944</v>
      </c>
      <c r="N22" s="6" t="n">
        <f aca="false">DEMANDA!$M$19*N$6</f>
        <v>11.6140859587931</v>
      </c>
      <c r="O22" s="6" t="n">
        <f aca="false">SUM(C22:N22)</f>
        <v>145.176074484914</v>
      </c>
      <c r="P22" s="6" t="n">
        <f aca="false">MAX(C22:N22)</f>
        <v>13.0658467036423</v>
      </c>
    </row>
    <row r="23" customFormat="false" ht="15" hidden="false" customHeight="false" outlineLevel="0" collapsed="false">
      <c r="A23" s="3" t="s">
        <v>31</v>
      </c>
      <c r="B23" s="3" t="str">
        <f aca="false">DEMANDA!C20</f>
        <v>Cilindro ABC 25 kg vacío</v>
      </c>
      <c r="C23" s="6" t="n">
        <f aca="false">DEMANDA!$M$20*C$6</f>
        <v>27.37</v>
      </c>
      <c r="D23" s="6" t="n">
        <f aca="false">DEMANDA!$M$20*D$6</f>
        <v>24.15</v>
      </c>
      <c r="E23" s="6" t="n">
        <f aca="false">DEMANDA!$M$20*E$6</f>
        <v>28.98</v>
      </c>
      <c r="F23" s="6" t="n">
        <f aca="false">DEMANDA!$M$20*F$6</f>
        <v>28.98</v>
      </c>
      <c r="G23" s="6" t="n">
        <f aca="false">DEMANDA!$M$20*G$6</f>
        <v>28.98</v>
      </c>
      <c r="H23" s="6" t="n">
        <f aca="false">DEMANDA!$M$20*H$6</f>
        <v>25.76</v>
      </c>
      <c r="I23" s="6" t="n">
        <f aca="false">DEMANDA!$M$20*I$6</f>
        <v>28.98</v>
      </c>
      <c r="J23" s="6" t="n">
        <f aca="false">DEMANDA!$M$20*J$6</f>
        <v>28.98</v>
      </c>
      <c r="K23" s="6" t="n">
        <f aca="false">DEMANDA!$M$20*K$6</f>
        <v>27.37</v>
      </c>
      <c r="L23" s="6" t="n">
        <f aca="false">DEMANDA!$M$20*L$6</f>
        <v>24.15</v>
      </c>
      <c r="M23" s="6" t="n">
        <f aca="false">DEMANDA!$M$20*M$6</f>
        <v>22.54</v>
      </c>
      <c r="N23" s="6" t="n">
        <f aca="false">DEMANDA!$M$20*N$6</f>
        <v>25.76</v>
      </c>
      <c r="O23" s="6" t="n">
        <f aca="false">SUM(C23:N23)</f>
        <v>322</v>
      </c>
      <c r="P23" s="6" t="n">
        <f aca="false">MAX(C23:N23)</f>
        <v>28.98</v>
      </c>
    </row>
    <row r="24" customFormat="false" ht="15" hidden="false" customHeight="false" outlineLevel="0" collapsed="false">
      <c r="A24" s="3" t="s">
        <v>31</v>
      </c>
      <c r="B24" s="3" t="str">
        <f aca="false">DEMANDA!C21</f>
        <v>Cilindro ABC 50 kg vacío</v>
      </c>
      <c r="C24" s="6" t="n">
        <f aca="false">DEMANDA!$M$21*C$6</f>
        <v>60.18</v>
      </c>
      <c r="D24" s="6" t="n">
        <f aca="false">DEMANDA!$M$21*D$6</f>
        <v>53.1</v>
      </c>
      <c r="E24" s="6" t="n">
        <f aca="false">DEMANDA!$M$21*E$6</f>
        <v>63.72</v>
      </c>
      <c r="F24" s="6" t="n">
        <f aca="false">DEMANDA!$M$21*F$6</f>
        <v>63.72</v>
      </c>
      <c r="G24" s="6" t="n">
        <f aca="false">DEMANDA!$M$21*G$6</f>
        <v>63.72</v>
      </c>
      <c r="H24" s="6" t="n">
        <f aca="false">DEMANDA!$M$21*H$6</f>
        <v>56.64</v>
      </c>
      <c r="I24" s="6" t="n">
        <f aca="false">DEMANDA!$M$21*I$6</f>
        <v>63.72</v>
      </c>
      <c r="J24" s="6" t="n">
        <f aca="false">DEMANDA!$M$21*J$6</f>
        <v>63.72</v>
      </c>
      <c r="K24" s="6" t="n">
        <f aca="false">DEMANDA!$M$21*K$6</f>
        <v>60.18</v>
      </c>
      <c r="L24" s="6" t="n">
        <f aca="false">DEMANDA!$M$21*L$6</f>
        <v>53.1</v>
      </c>
      <c r="M24" s="6" t="n">
        <f aca="false">DEMANDA!$M$21*M$6</f>
        <v>49.56</v>
      </c>
      <c r="N24" s="6" t="n">
        <f aca="false">DEMANDA!$M$21*N$6</f>
        <v>56.64</v>
      </c>
      <c r="O24" s="6" t="n">
        <f aca="false">SUM(C24:N24)</f>
        <v>708</v>
      </c>
      <c r="P24" s="6" t="n">
        <f aca="false">MAX(C24:N24)</f>
        <v>63.72</v>
      </c>
    </row>
    <row r="25" customFormat="false" ht="15" hidden="false" customHeight="false" outlineLevel="0" collapsed="false">
      <c r="A25" s="3" t="s">
        <v>31</v>
      </c>
      <c r="B25" s="3" t="str">
        <f aca="false">DEMANDA!C22</f>
        <v>Cilindro ABC 70 kg vacío</v>
      </c>
      <c r="C25" s="6" t="n">
        <f aca="false">DEMANDA!$M$22*C$6</f>
        <v>13.175</v>
      </c>
      <c r="D25" s="6" t="n">
        <f aca="false">DEMANDA!$M$22*D$6</f>
        <v>11.625</v>
      </c>
      <c r="E25" s="6" t="n">
        <f aca="false">DEMANDA!$M$22*E$6</f>
        <v>13.95</v>
      </c>
      <c r="F25" s="6" t="n">
        <f aca="false">DEMANDA!$M$22*F$6</f>
        <v>13.95</v>
      </c>
      <c r="G25" s="6" t="n">
        <f aca="false">DEMANDA!$M$22*G$6</f>
        <v>13.95</v>
      </c>
      <c r="H25" s="6" t="n">
        <f aca="false">DEMANDA!$M$22*H$6</f>
        <v>12.4</v>
      </c>
      <c r="I25" s="6" t="n">
        <f aca="false">DEMANDA!$M$22*I$6</f>
        <v>13.95</v>
      </c>
      <c r="J25" s="6" t="n">
        <f aca="false">DEMANDA!$M$22*J$6</f>
        <v>13.95</v>
      </c>
      <c r="K25" s="6" t="n">
        <f aca="false">DEMANDA!$M$22*K$6</f>
        <v>13.175</v>
      </c>
      <c r="L25" s="6" t="n">
        <f aca="false">DEMANDA!$M$22*L$6</f>
        <v>11.625</v>
      </c>
      <c r="M25" s="6" t="n">
        <f aca="false">DEMANDA!$M$22*M$6</f>
        <v>10.85</v>
      </c>
      <c r="N25" s="6" t="n">
        <f aca="false">DEMANDA!$M$22*N$6</f>
        <v>12.4</v>
      </c>
      <c r="O25" s="6" t="n">
        <f aca="false">SUM(C25:N25)</f>
        <v>155</v>
      </c>
      <c r="P25" s="6" t="n">
        <f aca="false">MAX(C25:N25)</f>
        <v>13.95</v>
      </c>
    </row>
    <row r="26" customFormat="false" ht="15" hidden="false" customHeight="false" outlineLevel="0" collapsed="false">
      <c r="A26" s="3" t="s">
        <v>31</v>
      </c>
      <c r="B26" s="3" t="str">
        <f aca="false">DEMANDA!C23</f>
        <v>Cilindro ABC 100 kg vacío</v>
      </c>
      <c r="C26" s="6" t="n">
        <f aca="false">DEMANDA!$M$23*C$6</f>
        <v>8.67</v>
      </c>
      <c r="D26" s="6" t="n">
        <f aca="false">DEMANDA!$M$23*D$6</f>
        <v>7.65</v>
      </c>
      <c r="E26" s="6" t="n">
        <f aca="false">DEMANDA!$M$23*E$6</f>
        <v>9.18</v>
      </c>
      <c r="F26" s="6" t="n">
        <f aca="false">DEMANDA!$M$23*F$6</f>
        <v>9.18</v>
      </c>
      <c r="G26" s="6" t="n">
        <f aca="false">DEMANDA!$M$23*G$6</f>
        <v>9.18</v>
      </c>
      <c r="H26" s="6" t="n">
        <f aca="false">DEMANDA!$M$23*H$6</f>
        <v>8.16</v>
      </c>
      <c r="I26" s="6" t="n">
        <f aca="false">DEMANDA!$M$23*I$6</f>
        <v>9.18</v>
      </c>
      <c r="J26" s="6" t="n">
        <f aca="false">DEMANDA!$M$23*J$6</f>
        <v>9.18</v>
      </c>
      <c r="K26" s="6" t="n">
        <f aca="false">DEMANDA!$M$23*K$6</f>
        <v>8.67</v>
      </c>
      <c r="L26" s="6" t="n">
        <f aca="false">DEMANDA!$M$23*L$6</f>
        <v>7.65</v>
      </c>
      <c r="M26" s="6" t="n">
        <f aca="false">DEMANDA!$M$23*M$6</f>
        <v>7.14</v>
      </c>
      <c r="N26" s="6" t="n">
        <f aca="false">DEMANDA!$M$23*N$6</f>
        <v>8.16</v>
      </c>
      <c r="O26" s="6" t="n">
        <f aca="false">SUM(C26:N26)</f>
        <v>102</v>
      </c>
      <c r="P26" s="6" t="n">
        <f aca="false">MAX(C26:N26)</f>
        <v>9.18</v>
      </c>
    </row>
    <row r="27" customFormat="false" ht="15" hidden="false" customHeight="false" outlineLevel="0" collapsed="false">
      <c r="A27" s="8" t="s">
        <v>31</v>
      </c>
      <c r="B27" s="8" t="s">
        <v>127</v>
      </c>
      <c r="C27" s="9" t="n">
        <f aca="false">SUM(C19:C26)</f>
        <v>263.608497952952</v>
      </c>
      <c r="D27" s="9" t="n">
        <f aca="false">SUM(D19:D26)</f>
        <v>232.595733487899</v>
      </c>
      <c r="E27" s="9" t="n">
        <f aca="false">SUM(E19:E26)</f>
        <v>279.114880185479</v>
      </c>
      <c r="F27" s="9" t="n">
        <f aca="false">SUM(F19:F26)</f>
        <v>279.114880185479</v>
      </c>
      <c r="G27" s="9" t="n">
        <f aca="false">SUM(G19:G26)</f>
        <v>279.114880185479</v>
      </c>
      <c r="H27" s="9" t="n">
        <f aca="false">SUM(H19:H26)</f>
        <v>248.102115720425</v>
      </c>
      <c r="I27" s="9" t="n">
        <f aca="false">SUM(I19:I26)</f>
        <v>279.114880185479</v>
      </c>
      <c r="J27" s="9" t="n">
        <f aca="false">SUM(J19:J26)</f>
        <v>279.114880185479</v>
      </c>
      <c r="K27" s="9" t="n">
        <f aca="false">SUM(K19:K26)</f>
        <v>263.608497952952</v>
      </c>
      <c r="L27" s="9" t="n">
        <f aca="false">SUM(L19:L26)</f>
        <v>232.595733487899</v>
      </c>
      <c r="M27" s="9" t="n">
        <f aca="false">SUM(M19:M26)</f>
        <v>217.089351255372</v>
      </c>
      <c r="N27" s="9" t="n">
        <f aca="false">SUM(N19:N26)</f>
        <v>248.102115720425</v>
      </c>
      <c r="O27" s="9" t="n">
        <f aca="false">SUM(O19:O26)</f>
        <v>3101.27644650532</v>
      </c>
      <c r="P27" s="8"/>
    </row>
    <row r="28" customFormat="false" ht="15" hidden="false" customHeight="false" outlineLevel="0" collapsed="false">
      <c r="A28" s="3" t="s">
        <v>5</v>
      </c>
      <c r="B28" s="3" t="str">
        <f aca="false">DEMANDA!C24</f>
        <v>Recarga ABC 1 kg</v>
      </c>
      <c r="C28" s="6" t="n">
        <f aca="false">DEMANDA!$M$24*C$7</f>
        <v>4707.29092352373</v>
      </c>
      <c r="D28" s="6" t="n">
        <f aca="false">DEMANDA!$M$24*D$7</f>
        <v>4707.29092352373</v>
      </c>
      <c r="E28" s="6" t="n">
        <f aca="false">DEMANDA!$M$24*E$7</f>
        <v>4707.29092352373</v>
      </c>
      <c r="F28" s="6" t="n">
        <f aca="false">DEMANDA!$M$24*F$7</f>
        <v>4707.29092352373</v>
      </c>
      <c r="G28" s="6" t="n">
        <f aca="false">DEMANDA!$M$24*G$7</f>
        <v>4707.29092352373</v>
      </c>
      <c r="H28" s="6" t="n">
        <f aca="false">DEMANDA!$M$24*H$7</f>
        <v>4707.29092352373</v>
      </c>
      <c r="I28" s="6" t="n">
        <f aca="false">DEMANDA!$M$24*I$7</f>
        <v>4707.29092352373</v>
      </c>
      <c r="J28" s="6" t="n">
        <f aca="false">DEMANDA!$M$24*J$7</f>
        <v>4707.29092352373</v>
      </c>
      <c r="K28" s="6" t="n">
        <f aca="false">DEMANDA!$M$24*K$7</f>
        <v>4707.29092352373</v>
      </c>
      <c r="L28" s="6" t="n">
        <f aca="false">DEMANDA!$M$24*L$7</f>
        <v>4707.29092352373</v>
      </c>
      <c r="M28" s="6" t="n">
        <f aca="false">DEMANDA!$M$24*M$7</f>
        <v>4707.29092352373</v>
      </c>
      <c r="N28" s="6" t="n">
        <f aca="false">DEMANDA!$M$24*N$7</f>
        <v>4707.29092352373</v>
      </c>
      <c r="O28" s="6" t="n">
        <f aca="false">SUM(C28:N28)</f>
        <v>56487.4910822847</v>
      </c>
      <c r="P28" s="6" t="n">
        <f aca="false">MAX(C28:N28)</f>
        <v>4707.29092352373</v>
      </c>
    </row>
    <row r="29" customFormat="false" ht="15" hidden="false" customHeight="false" outlineLevel="0" collapsed="false">
      <c r="A29" s="3" t="s">
        <v>5</v>
      </c>
      <c r="B29" s="3" t="str">
        <f aca="false">DEMANDA!C25</f>
        <v>Recarga ABC 2,5 kg</v>
      </c>
      <c r="C29" s="6" t="n">
        <f aca="false">DEMANDA!$M$25*C$7</f>
        <v>398.602433656146</v>
      </c>
      <c r="D29" s="6" t="n">
        <f aca="false">DEMANDA!$M$25*D$7</f>
        <v>398.602433656146</v>
      </c>
      <c r="E29" s="6" t="n">
        <f aca="false">DEMANDA!$M$25*E$7</f>
        <v>398.602433656146</v>
      </c>
      <c r="F29" s="6" t="n">
        <f aca="false">DEMANDA!$M$25*F$7</f>
        <v>398.602433656146</v>
      </c>
      <c r="G29" s="6" t="n">
        <f aca="false">DEMANDA!$M$25*G$7</f>
        <v>398.602433656146</v>
      </c>
      <c r="H29" s="6" t="n">
        <f aca="false">DEMANDA!$M$25*H$7</f>
        <v>398.602433656146</v>
      </c>
      <c r="I29" s="6" t="n">
        <f aca="false">DEMANDA!$M$25*I$7</f>
        <v>398.602433656146</v>
      </c>
      <c r="J29" s="6" t="n">
        <f aca="false">DEMANDA!$M$25*J$7</f>
        <v>398.602433656146</v>
      </c>
      <c r="K29" s="6" t="n">
        <f aca="false">DEMANDA!$M$25*K$7</f>
        <v>398.602433656146</v>
      </c>
      <c r="L29" s="6" t="n">
        <f aca="false">DEMANDA!$M$25*L$7</f>
        <v>398.602433656146</v>
      </c>
      <c r="M29" s="6" t="n">
        <f aca="false">DEMANDA!$M$25*M$7</f>
        <v>398.602433656146</v>
      </c>
      <c r="N29" s="6" t="n">
        <f aca="false">DEMANDA!$M$25*N$7</f>
        <v>398.602433656146</v>
      </c>
      <c r="O29" s="6" t="n">
        <f aca="false">SUM(C29:N29)</f>
        <v>4783.22920387375</v>
      </c>
      <c r="P29" s="6" t="n">
        <f aca="false">MAX(C29:N29)</f>
        <v>398.602433656146</v>
      </c>
    </row>
    <row r="30" customFormat="false" ht="15" hidden="false" customHeight="false" outlineLevel="0" collapsed="false">
      <c r="A30" s="3" t="s">
        <v>5</v>
      </c>
      <c r="B30" s="3" t="str">
        <f aca="false">DEMANDA!C26</f>
        <v>Recarga ABC 5 kg</v>
      </c>
      <c r="C30" s="6" t="n">
        <f aca="false">DEMANDA!$M$26*C$7</f>
        <v>2505.73652334383</v>
      </c>
      <c r="D30" s="6" t="n">
        <f aca="false">DEMANDA!$M$26*D$7</f>
        <v>2505.73652334383</v>
      </c>
      <c r="E30" s="6" t="n">
        <f aca="false">DEMANDA!$M$26*E$7</f>
        <v>2505.73652334383</v>
      </c>
      <c r="F30" s="6" t="n">
        <f aca="false">DEMANDA!$M$26*F$7</f>
        <v>2505.73652334383</v>
      </c>
      <c r="G30" s="6" t="n">
        <f aca="false">DEMANDA!$M$26*G$7</f>
        <v>2505.73652334383</v>
      </c>
      <c r="H30" s="6" t="n">
        <f aca="false">DEMANDA!$M$26*H$7</f>
        <v>2505.73652334383</v>
      </c>
      <c r="I30" s="6" t="n">
        <f aca="false">DEMANDA!$M$26*I$7</f>
        <v>2505.73652334383</v>
      </c>
      <c r="J30" s="6" t="n">
        <f aca="false">DEMANDA!$M$26*J$7</f>
        <v>2505.73652334383</v>
      </c>
      <c r="K30" s="6" t="n">
        <f aca="false">DEMANDA!$M$26*K$7</f>
        <v>2505.73652334383</v>
      </c>
      <c r="L30" s="6" t="n">
        <f aca="false">DEMANDA!$M$26*L$7</f>
        <v>2505.73652334383</v>
      </c>
      <c r="M30" s="6" t="n">
        <f aca="false">DEMANDA!$M$26*M$7</f>
        <v>2505.73652334383</v>
      </c>
      <c r="N30" s="6" t="n">
        <f aca="false">DEMANDA!$M$26*N$7</f>
        <v>2505.73652334383</v>
      </c>
      <c r="O30" s="6" t="n">
        <f aca="false">SUM(C30:N30)</f>
        <v>30068.838280126</v>
      </c>
      <c r="P30" s="6" t="n">
        <f aca="false">MAX(C30:N30)</f>
        <v>2505.73652334383</v>
      </c>
    </row>
    <row r="31" customFormat="false" ht="15" hidden="false" customHeight="false" outlineLevel="0" collapsed="false">
      <c r="A31" s="3" t="s">
        <v>5</v>
      </c>
      <c r="B31" s="3" t="str">
        <f aca="false">DEMANDA!C27</f>
        <v>Recarga ABC 10 kg</v>
      </c>
      <c r="C31" s="6" t="n">
        <f aca="false">DEMANDA!$M$27*C$7</f>
        <v>145.115119101175</v>
      </c>
      <c r="D31" s="6" t="n">
        <f aca="false">DEMANDA!$M$27*D$7</f>
        <v>145.115119101175</v>
      </c>
      <c r="E31" s="6" t="n">
        <f aca="false">DEMANDA!$M$27*E$7</f>
        <v>145.115119101175</v>
      </c>
      <c r="F31" s="6" t="n">
        <f aca="false">DEMANDA!$M$27*F$7</f>
        <v>145.115119101175</v>
      </c>
      <c r="G31" s="6" t="n">
        <f aca="false">DEMANDA!$M$27*G$7</f>
        <v>145.115119101175</v>
      </c>
      <c r="H31" s="6" t="n">
        <f aca="false">DEMANDA!$M$27*H$7</f>
        <v>145.115119101175</v>
      </c>
      <c r="I31" s="6" t="n">
        <f aca="false">DEMANDA!$M$27*I$7</f>
        <v>145.115119101175</v>
      </c>
      <c r="J31" s="6" t="n">
        <f aca="false">DEMANDA!$M$27*J$7</f>
        <v>145.115119101175</v>
      </c>
      <c r="K31" s="6" t="n">
        <f aca="false">DEMANDA!$M$27*K$7</f>
        <v>145.115119101175</v>
      </c>
      <c r="L31" s="6" t="n">
        <f aca="false">DEMANDA!$M$27*L$7</f>
        <v>145.115119101175</v>
      </c>
      <c r="M31" s="6" t="n">
        <f aca="false">DEMANDA!$M$27*M$7</f>
        <v>145.115119101175</v>
      </c>
      <c r="N31" s="6" t="n">
        <f aca="false">DEMANDA!$M$27*N$7</f>
        <v>145.115119101175</v>
      </c>
      <c r="O31" s="6" t="n">
        <f aca="false">SUM(C31:N31)</f>
        <v>1741.3814292141</v>
      </c>
      <c r="P31" s="6" t="n">
        <f aca="false">MAX(C31:N31)</f>
        <v>145.115119101175</v>
      </c>
    </row>
    <row r="32" customFormat="false" ht="15" hidden="false" customHeight="false" outlineLevel="0" collapsed="false">
      <c r="A32" s="3" t="s">
        <v>5</v>
      </c>
      <c r="B32" s="3" t="str">
        <f aca="false">DEMANDA!C28</f>
        <v>Recarga Agua 10 l</v>
      </c>
      <c r="C32" s="6" t="n">
        <f aca="false">DEMANDA!$M$28*C$7</f>
        <v>204.87548362736</v>
      </c>
      <c r="D32" s="6" t="n">
        <f aca="false">DEMANDA!$M$28*D$7</f>
        <v>204.87548362736</v>
      </c>
      <c r="E32" s="6" t="n">
        <f aca="false">DEMANDA!$M$28*E$7</f>
        <v>204.87548362736</v>
      </c>
      <c r="F32" s="6" t="n">
        <f aca="false">DEMANDA!$M$28*F$7</f>
        <v>204.87548362736</v>
      </c>
      <c r="G32" s="6" t="n">
        <f aca="false">DEMANDA!$M$28*G$7</f>
        <v>204.87548362736</v>
      </c>
      <c r="H32" s="6" t="n">
        <f aca="false">DEMANDA!$M$28*H$7</f>
        <v>204.87548362736</v>
      </c>
      <c r="I32" s="6" t="n">
        <f aca="false">DEMANDA!$M$28*I$7</f>
        <v>204.87548362736</v>
      </c>
      <c r="J32" s="6" t="n">
        <f aca="false">DEMANDA!$M$28*J$7</f>
        <v>204.87548362736</v>
      </c>
      <c r="K32" s="6" t="n">
        <f aca="false">DEMANDA!$M$28*K$7</f>
        <v>204.87548362736</v>
      </c>
      <c r="L32" s="6" t="n">
        <f aca="false">DEMANDA!$M$28*L$7</f>
        <v>204.87548362736</v>
      </c>
      <c r="M32" s="6" t="n">
        <f aca="false">DEMANDA!$M$28*M$7</f>
        <v>204.87548362736</v>
      </c>
      <c r="N32" s="6" t="n">
        <f aca="false">DEMANDA!$M$28*N$7</f>
        <v>204.87548362736</v>
      </c>
      <c r="O32" s="6" t="n">
        <f aca="false">SUM(C32:N32)</f>
        <v>2458.50580352832</v>
      </c>
      <c r="P32" s="6" t="n">
        <f aca="false">MAX(C32:N32)</f>
        <v>204.87548362736</v>
      </c>
    </row>
    <row r="33" customFormat="false" ht="15" hidden="false" customHeight="false" outlineLevel="0" collapsed="false">
      <c r="A33" s="3" t="s">
        <v>5</v>
      </c>
      <c r="B33" s="3" t="str">
        <f aca="false">DEMANDA!C29</f>
        <v>Recarga AFFF 10 l</v>
      </c>
      <c r="C33" s="6" t="n">
        <f aca="false">DEMANDA!$M$29*C$7</f>
        <v>38.9097161471179</v>
      </c>
      <c r="D33" s="6" t="n">
        <f aca="false">DEMANDA!$M$29*D$7</f>
        <v>38.9097161471179</v>
      </c>
      <c r="E33" s="6" t="n">
        <f aca="false">DEMANDA!$M$29*E$7</f>
        <v>38.9097161471179</v>
      </c>
      <c r="F33" s="6" t="n">
        <f aca="false">DEMANDA!$M$29*F$7</f>
        <v>38.9097161471179</v>
      </c>
      <c r="G33" s="6" t="n">
        <f aca="false">DEMANDA!$M$29*G$7</f>
        <v>38.9097161471179</v>
      </c>
      <c r="H33" s="6" t="n">
        <f aca="false">DEMANDA!$M$29*H$7</f>
        <v>38.9097161471179</v>
      </c>
      <c r="I33" s="6" t="n">
        <f aca="false">DEMANDA!$M$29*I$7</f>
        <v>38.9097161471179</v>
      </c>
      <c r="J33" s="6" t="n">
        <f aca="false">DEMANDA!$M$29*J$7</f>
        <v>38.9097161471179</v>
      </c>
      <c r="K33" s="6" t="n">
        <f aca="false">DEMANDA!$M$29*K$7</f>
        <v>38.9097161471179</v>
      </c>
      <c r="L33" s="6" t="n">
        <f aca="false">DEMANDA!$M$29*L$7</f>
        <v>38.9097161471179</v>
      </c>
      <c r="M33" s="6" t="n">
        <f aca="false">DEMANDA!$M$29*M$7</f>
        <v>38.9097161471179</v>
      </c>
      <c r="N33" s="6" t="n">
        <f aca="false">DEMANDA!$M$29*N$7</f>
        <v>38.9097161471179</v>
      </c>
      <c r="O33" s="6" t="n">
        <f aca="false">SUM(C33:N33)</f>
        <v>466.916593765414</v>
      </c>
      <c r="P33" s="6" t="n">
        <f aca="false">MAX(C33:N33)</f>
        <v>38.9097161471179</v>
      </c>
    </row>
    <row r="34" customFormat="false" ht="15" hidden="false" customHeight="false" outlineLevel="0" collapsed="false">
      <c r="A34" s="3" t="s">
        <v>5</v>
      </c>
      <c r="B34" s="3" t="str">
        <f aca="false">DEMANDA!C30</f>
        <v>Recarga AFFF 50 l</v>
      </c>
      <c r="C34" s="6" t="n">
        <f aca="false">DEMANDA!$M$30*C$7</f>
        <v>20.2973550482525</v>
      </c>
      <c r="D34" s="6" t="n">
        <f aca="false">DEMANDA!$M$30*D$7</f>
        <v>20.2973550482525</v>
      </c>
      <c r="E34" s="6" t="n">
        <f aca="false">DEMANDA!$M$30*E$7</f>
        <v>20.2973550482525</v>
      </c>
      <c r="F34" s="6" t="n">
        <f aca="false">DEMANDA!$M$30*F$7</f>
        <v>20.2973550482525</v>
      </c>
      <c r="G34" s="6" t="n">
        <f aca="false">DEMANDA!$M$30*G$7</f>
        <v>20.2973550482525</v>
      </c>
      <c r="H34" s="6" t="n">
        <f aca="false">DEMANDA!$M$30*H$7</f>
        <v>20.2973550482525</v>
      </c>
      <c r="I34" s="6" t="n">
        <f aca="false">DEMANDA!$M$30*I$7</f>
        <v>20.2973550482525</v>
      </c>
      <c r="J34" s="6" t="n">
        <f aca="false">DEMANDA!$M$30*J$7</f>
        <v>20.2973550482525</v>
      </c>
      <c r="K34" s="6" t="n">
        <f aca="false">DEMANDA!$M$30*K$7</f>
        <v>20.2973550482525</v>
      </c>
      <c r="L34" s="6" t="n">
        <f aca="false">DEMANDA!$M$30*L$7</f>
        <v>20.2973550482525</v>
      </c>
      <c r="M34" s="6" t="n">
        <f aca="false">DEMANDA!$M$30*M$7</f>
        <v>20.2973550482525</v>
      </c>
      <c r="N34" s="6" t="n">
        <f aca="false">DEMANDA!$M$30*N$7</f>
        <v>20.2973550482525</v>
      </c>
      <c r="O34" s="6" t="n">
        <f aca="false">SUM(C34:N34)</f>
        <v>243.56826057903</v>
      </c>
      <c r="P34" s="6" t="n">
        <f aca="false">MAX(C34:N34)</f>
        <v>20.2973550482525</v>
      </c>
    </row>
    <row r="35" customFormat="false" ht="15" hidden="false" customHeight="false" outlineLevel="0" collapsed="false">
      <c r="A35" s="3" t="s">
        <v>5</v>
      </c>
      <c r="B35" s="3" t="str">
        <f aca="false">DEMANDA!C31</f>
        <v>Recarga BC 5 kg</v>
      </c>
      <c r="C35" s="6" t="n">
        <f aca="false">DEMANDA!$M$31*C$7</f>
        <v>11.7387885972079</v>
      </c>
      <c r="D35" s="6" t="n">
        <f aca="false">DEMANDA!$M$31*D$7</f>
        <v>11.7387885972079</v>
      </c>
      <c r="E35" s="6" t="n">
        <f aca="false">DEMANDA!$M$31*E$7</f>
        <v>11.7387885972079</v>
      </c>
      <c r="F35" s="6" t="n">
        <f aca="false">DEMANDA!$M$31*F$7</f>
        <v>11.7387885972079</v>
      </c>
      <c r="G35" s="6" t="n">
        <f aca="false">DEMANDA!$M$31*G$7</f>
        <v>11.7387885972079</v>
      </c>
      <c r="H35" s="6" t="n">
        <f aca="false">DEMANDA!$M$31*H$7</f>
        <v>11.7387885972079</v>
      </c>
      <c r="I35" s="6" t="n">
        <f aca="false">DEMANDA!$M$31*I$7</f>
        <v>11.7387885972079</v>
      </c>
      <c r="J35" s="6" t="n">
        <f aca="false">DEMANDA!$M$31*J$7</f>
        <v>11.7387885972079</v>
      </c>
      <c r="K35" s="6" t="n">
        <f aca="false">DEMANDA!$M$31*K$7</f>
        <v>11.7387885972079</v>
      </c>
      <c r="L35" s="6" t="n">
        <f aca="false">DEMANDA!$M$31*L$7</f>
        <v>11.7387885972079</v>
      </c>
      <c r="M35" s="6" t="n">
        <f aca="false">DEMANDA!$M$31*M$7</f>
        <v>11.7387885972079</v>
      </c>
      <c r="N35" s="6" t="n">
        <f aca="false">DEMANDA!$M$31*N$7</f>
        <v>11.7387885972079</v>
      </c>
      <c r="O35" s="6" t="n">
        <f aca="false">SUM(C35:N35)</f>
        <v>140.865463166495</v>
      </c>
      <c r="P35" s="6" t="n">
        <f aca="false">MAX(C35:N35)</f>
        <v>11.7387885972079</v>
      </c>
    </row>
    <row r="36" customFormat="false" ht="15" hidden="false" customHeight="false" outlineLevel="0" collapsed="false">
      <c r="A36" s="3" t="s">
        <v>5</v>
      </c>
      <c r="B36" s="3" t="str">
        <f aca="false">DEMANDA!C32</f>
        <v>Recarga Clase K 6 l</v>
      </c>
      <c r="C36" s="6" t="n">
        <f aca="false">DEMANDA!$M$32*C$7</f>
        <v>101.026451200178</v>
      </c>
      <c r="D36" s="6" t="n">
        <f aca="false">DEMANDA!$M$32*D$7</f>
        <v>101.026451200178</v>
      </c>
      <c r="E36" s="6" t="n">
        <f aca="false">DEMANDA!$M$32*E$7</f>
        <v>101.026451200178</v>
      </c>
      <c r="F36" s="6" t="n">
        <f aca="false">DEMANDA!$M$32*F$7</f>
        <v>101.026451200178</v>
      </c>
      <c r="G36" s="6" t="n">
        <f aca="false">DEMANDA!$M$32*G$7</f>
        <v>101.026451200178</v>
      </c>
      <c r="H36" s="6" t="n">
        <f aca="false">DEMANDA!$M$32*H$7</f>
        <v>101.026451200178</v>
      </c>
      <c r="I36" s="6" t="n">
        <f aca="false">DEMANDA!$M$32*I$7</f>
        <v>101.026451200178</v>
      </c>
      <c r="J36" s="6" t="n">
        <f aca="false">DEMANDA!$M$32*J$7</f>
        <v>101.026451200178</v>
      </c>
      <c r="K36" s="6" t="n">
        <f aca="false">DEMANDA!$M$32*K$7</f>
        <v>101.026451200178</v>
      </c>
      <c r="L36" s="6" t="n">
        <f aca="false">DEMANDA!$M$32*L$7</f>
        <v>101.026451200178</v>
      </c>
      <c r="M36" s="6" t="n">
        <f aca="false">DEMANDA!$M$32*M$7</f>
        <v>101.026451200178</v>
      </c>
      <c r="N36" s="6" t="n">
        <f aca="false">DEMANDA!$M$32*N$7</f>
        <v>101.026451200178</v>
      </c>
      <c r="O36" s="6" t="n">
        <f aca="false">SUM(C36:N36)</f>
        <v>1212.31741440213</v>
      </c>
      <c r="P36" s="6" t="n">
        <f aca="false">MAX(C36:N36)</f>
        <v>101.026451200178</v>
      </c>
    </row>
    <row r="37" customFormat="false" ht="15" hidden="false" customHeight="false" outlineLevel="0" collapsed="false">
      <c r="A37" s="3" t="s">
        <v>5</v>
      </c>
      <c r="B37" s="3" t="str">
        <f aca="false">DEMANDA!C33</f>
        <v>Recarga CO₂ 2 kg</v>
      </c>
      <c r="C37" s="6" t="n">
        <f aca="false">DEMANDA!$M$33*C$7</f>
        <v>545.223387598067</v>
      </c>
      <c r="D37" s="6" t="n">
        <f aca="false">DEMANDA!$M$33*D$7</f>
        <v>545.223387598067</v>
      </c>
      <c r="E37" s="6" t="n">
        <f aca="false">DEMANDA!$M$33*E$7</f>
        <v>545.223387598067</v>
      </c>
      <c r="F37" s="6" t="n">
        <f aca="false">DEMANDA!$M$33*F$7</f>
        <v>545.223387598067</v>
      </c>
      <c r="G37" s="6" t="n">
        <f aca="false">DEMANDA!$M$33*G$7</f>
        <v>545.223387598067</v>
      </c>
      <c r="H37" s="6" t="n">
        <f aca="false">DEMANDA!$M$33*H$7</f>
        <v>545.223387598067</v>
      </c>
      <c r="I37" s="6" t="n">
        <f aca="false">DEMANDA!$M$33*I$7</f>
        <v>545.223387598067</v>
      </c>
      <c r="J37" s="6" t="n">
        <f aca="false">DEMANDA!$M$33*J$7</f>
        <v>545.223387598067</v>
      </c>
      <c r="K37" s="6" t="n">
        <f aca="false">DEMANDA!$M$33*K$7</f>
        <v>545.223387598067</v>
      </c>
      <c r="L37" s="6" t="n">
        <f aca="false">DEMANDA!$M$33*L$7</f>
        <v>545.223387598067</v>
      </c>
      <c r="M37" s="6" t="n">
        <f aca="false">DEMANDA!$M$33*M$7</f>
        <v>545.223387598067</v>
      </c>
      <c r="N37" s="6" t="n">
        <f aca="false">DEMANDA!$M$33*N$7</f>
        <v>545.223387598067</v>
      </c>
      <c r="O37" s="6" t="n">
        <f aca="false">SUM(C37:N37)</f>
        <v>6542.68065117681</v>
      </c>
      <c r="P37" s="6" t="n">
        <f aca="false">MAX(C37:N37)</f>
        <v>545.223387598067</v>
      </c>
    </row>
    <row r="38" customFormat="false" ht="15" hidden="false" customHeight="false" outlineLevel="0" collapsed="false">
      <c r="A38" s="3" t="s">
        <v>5</v>
      </c>
      <c r="B38" s="3" t="str">
        <f aca="false">DEMANDA!C34</f>
        <v>Recarga CO₂ 5 kg</v>
      </c>
      <c r="C38" s="6" t="n">
        <f aca="false">DEMANDA!$M$34*C$7</f>
        <v>194.245685945793</v>
      </c>
      <c r="D38" s="6" t="n">
        <f aca="false">DEMANDA!$M$34*D$7</f>
        <v>194.245685945793</v>
      </c>
      <c r="E38" s="6" t="n">
        <f aca="false">DEMANDA!$M$34*E$7</f>
        <v>194.245685945793</v>
      </c>
      <c r="F38" s="6" t="n">
        <f aca="false">DEMANDA!$M$34*F$7</f>
        <v>194.245685945793</v>
      </c>
      <c r="G38" s="6" t="n">
        <f aca="false">DEMANDA!$M$34*G$7</f>
        <v>194.245685945793</v>
      </c>
      <c r="H38" s="6" t="n">
        <f aca="false">DEMANDA!$M$34*H$7</f>
        <v>194.245685945793</v>
      </c>
      <c r="I38" s="6" t="n">
        <f aca="false">DEMANDA!$M$34*I$7</f>
        <v>194.245685945793</v>
      </c>
      <c r="J38" s="6" t="n">
        <f aca="false">DEMANDA!$M$34*J$7</f>
        <v>194.245685945793</v>
      </c>
      <c r="K38" s="6" t="n">
        <f aca="false">DEMANDA!$M$34*K$7</f>
        <v>194.245685945793</v>
      </c>
      <c r="L38" s="6" t="n">
        <f aca="false">DEMANDA!$M$34*L$7</f>
        <v>194.245685945793</v>
      </c>
      <c r="M38" s="6" t="n">
        <f aca="false">DEMANDA!$M$34*M$7</f>
        <v>194.245685945793</v>
      </c>
      <c r="N38" s="6" t="n">
        <f aca="false">DEMANDA!$M$34*N$7</f>
        <v>194.245685945793</v>
      </c>
      <c r="O38" s="6" t="n">
        <f aca="false">SUM(C38:N38)</f>
        <v>2330.94823134952</v>
      </c>
      <c r="P38" s="6" t="n">
        <f aca="false">MAX(C38:N38)</f>
        <v>194.245685945793</v>
      </c>
    </row>
    <row r="39" customFormat="false" ht="15" hidden="false" customHeight="false" outlineLevel="0" collapsed="false">
      <c r="A39" s="3" t="s">
        <v>5</v>
      </c>
      <c r="B39" s="3" t="str">
        <f aca="false">DEMANDA!C35</f>
        <v>Recarga HCFC 5 kg</v>
      </c>
      <c r="C39" s="6" t="n">
        <f aca="false">DEMANDA!$M$35*C$7</f>
        <v>30.8396977946504</v>
      </c>
      <c r="D39" s="6" t="n">
        <f aca="false">DEMANDA!$M$35*D$7</f>
        <v>30.8396977946504</v>
      </c>
      <c r="E39" s="6" t="n">
        <f aca="false">DEMANDA!$M$35*E$7</f>
        <v>30.8396977946504</v>
      </c>
      <c r="F39" s="6" t="n">
        <f aca="false">DEMANDA!$M$35*F$7</f>
        <v>30.8396977946504</v>
      </c>
      <c r="G39" s="6" t="n">
        <f aca="false">DEMANDA!$M$35*G$7</f>
        <v>30.8396977946504</v>
      </c>
      <c r="H39" s="6" t="n">
        <f aca="false">DEMANDA!$M$35*H$7</f>
        <v>30.8396977946504</v>
      </c>
      <c r="I39" s="6" t="n">
        <f aca="false">DEMANDA!$M$35*I$7</f>
        <v>30.8396977946504</v>
      </c>
      <c r="J39" s="6" t="n">
        <f aca="false">DEMANDA!$M$35*J$7</f>
        <v>30.8396977946504</v>
      </c>
      <c r="K39" s="6" t="n">
        <f aca="false">DEMANDA!$M$35*K$7</f>
        <v>30.8396977946504</v>
      </c>
      <c r="L39" s="6" t="n">
        <f aca="false">DEMANDA!$M$35*L$7</f>
        <v>30.8396977946504</v>
      </c>
      <c r="M39" s="6" t="n">
        <f aca="false">DEMANDA!$M$35*M$7</f>
        <v>30.8396977946504</v>
      </c>
      <c r="N39" s="6" t="n">
        <f aca="false">DEMANDA!$M$35*N$7</f>
        <v>30.8396977946504</v>
      </c>
      <c r="O39" s="6" t="n">
        <f aca="false">SUM(C39:N39)</f>
        <v>370.076373535804</v>
      </c>
      <c r="P39" s="6" t="n">
        <f aca="false">MAX(C39:N39)</f>
        <v>30.8396977946504</v>
      </c>
    </row>
    <row r="40" customFormat="false" ht="15" hidden="false" customHeight="false" outlineLevel="0" collapsed="false">
      <c r="A40" s="3" t="s">
        <v>5</v>
      </c>
      <c r="B40" s="3" t="str">
        <f aca="false">DEMANDA!C36</f>
        <v>Recarga Clase D 9 l</v>
      </c>
      <c r="C40" s="6" t="n">
        <f aca="false">DEMANDA!$M$36*C$7</f>
        <v>10.5926211524121</v>
      </c>
      <c r="D40" s="6" t="n">
        <f aca="false">DEMANDA!$M$36*D$7</f>
        <v>10.5926211524121</v>
      </c>
      <c r="E40" s="6" t="n">
        <f aca="false">DEMANDA!$M$36*E$7</f>
        <v>10.5926211524121</v>
      </c>
      <c r="F40" s="6" t="n">
        <f aca="false">DEMANDA!$M$36*F$7</f>
        <v>10.5926211524121</v>
      </c>
      <c r="G40" s="6" t="n">
        <f aca="false">DEMANDA!$M$36*G$7</f>
        <v>10.5926211524121</v>
      </c>
      <c r="H40" s="6" t="n">
        <f aca="false">DEMANDA!$M$36*H$7</f>
        <v>10.5926211524121</v>
      </c>
      <c r="I40" s="6" t="n">
        <f aca="false">DEMANDA!$M$36*I$7</f>
        <v>10.5926211524121</v>
      </c>
      <c r="J40" s="6" t="n">
        <f aca="false">DEMANDA!$M$36*J$7</f>
        <v>10.5926211524121</v>
      </c>
      <c r="K40" s="6" t="n">
        <f aca="false">DEMANDA!$M$36*K$7</f>
        <v>10.5926211524121</v>
      </c>
      <c r="L40" s="6" t="n">
        <f aca="false">DEMANDA!$M$36*L$7</f>
        <v>10.5926211524121</v>
      </c>
      <c r="M40" s="6" t="n">
        <f aca="false">DEMANDA!$M$36*M$7</f>
        <v>10.5926211524121</v>
      </c>
      <c r="N40" s="6" t="n">
        <f aca="false">DEMANDA!$M$36*N$7</f>
        <v>10.5926211524121</v>
      </c>
      <c r="O40" s="6" t="n">
        <f aca="false">SUM(C40:N40)</f>
        <v>127.111453828946</v>
      </c>
      <c r="P40" s="6" t="n">
        <f aca="false">MAX(C40:N40)</f>
        <v>10.5926211524121</v>
      </c>
    </row>
    <row r="41" customFormat="false" ht="15" hidden="false" customHeight="false" outlineLevel="0" collapsed="false">
      <c r="A41" s="3" t="s">
        <v>5</v>
      </c>
      <c r="B41" s="3" t="str">
        <f aca="false">DEMANDA!C37</f>
        <v>Recarga ABC 25 kg</v>
      </c>
      <c r="C41" s="6" t="n">
        <f aca="false">DEMANDA!$M$37*C$7</f>
        <v>24.9880072694745</v>
      </c>
      <c r="D41" s="6" t="n">
        <f aca="false">DEMANDA!$M$37*D$7</f>
        <v>24.9880072694745</v>
      </c>
      <c r="E41" s="6" t="n">
        <f aca="false">DEMANDA!$M$37*E$7</f>
        <v>24.9880072694745</v>
      </c>
      <c r="F41" s="6" t="n">
        <f aca="false">DEMANDA!$M$37*F$7</f>
        <v>24.9880072694745</v>
      </c>
      <c r="G41" s="6" t="n">
        <f aca="false">DEMANDA!$M$37*G$7</f>
        <v>24.9880072694745</v>
      </c>
      <c r="H41" s="6" t="n">
        <f aca="false">DEMANDA!$M$37*H$7</f>
        <v>24.9880072694745</v>
      </c>
      <c r="I41" s="6" t="n">
        <f aca="false">DEMANDA!$M$37*I$7</f>
        <v>24.9880072694745</v>
      </c>
      <c r="J41" s="6" t="n">
        <f aca="false">DEMANDA!$M$37*J$7</f>
        <v>24.9880072694745</v>
      </c>
      <c r="K41" s="6" t="n">
        <f aca="false">DEMANDA!$M$37*K$7</f>
        <v>24.9880072694745</v>
      </c>
      <c r="L41" s="6" t="n">
        <f aca="false">DEMANDA!$M$37*L$7</f>
        <v>24.9880072694745</v>
      </c>
      <c r="M41" s="6" t="n">
        <f aca="false">DEMANDA!$M$37*M$7</f>
        <v>24.9880072694745</v>
      </c>
      <c r="N41" s="6" t="n">
        <f aca="false">DEMANDA!$M$37*N$7</f>
        <v>24.9880072694745</v>
      </c>
      <c r="O41" s="6" t="n">
        <f aca="false">SUM(C41:N41)</f>
        <v>299.856087233694</v>
      </c>
      <c r="P41" s="6" t="n">
        <f aca="false">MAX(C41:N41)</f>
        <v>24.9880072694745</v>
      </c>
    </row>
    <row r="42" customFormat="false" ht="15" hidden="false" customHeight="false" outlineLevel="0" collapsed="false">
      <c r="A42" s="3" t="s">
        <v>5</v>
      </c>
      <c r="B42" s="3" t="str">
        <f aca="false">DEMANDA!C38</f>
        <v>Recarga ABC 50 kg</v>
      </c>
      <c r="C42" s="6" t="n">
        <f aca="false">DEMANDA!$M$38*C$7</f>
        <v>55.836975192029</v>
      </c>
      <c r="D42" s="6" t="n">
        <f aca="false">DEMANDA!$M$38*D$7</f>
        <v>55.836975192029</v>
      </c>
      <c r="E42" s="6" t="n">
        <f aca="false">DEMANDA!$M$38*E$7</f>
        <v>55.836975192029</v>
      </c>
      <c r="F42" s="6" t="n">
        <f aca="false">DEMANDA!$M$38*F$7</f>
        <v>55.836975192029</v>
      </c>
      <c r="G42" s="6" t="n">
        <f aca="false">DEMANDA!$M$38*G$7</f>
        <v>55.836975192029</v>
      </c>
      <c r="H42" s="6" t="n">
        <f aca="false">DEMANDA!$M$38*H$7</f>
        <v>55.836975192029</v>
      </c>
      <c r="I42" s="6" t="n">
        <f aca="false">DEMANDA!$M$38*I$7</f>
        <v>55.836975192029</v>
      </c>
      <c r="J42" s="6" t="n">
        <f aca="false">DEMANDA!$M$38*J$7</f>
        <v>55.836975192029</v>
      </c>
      <c r="K42" s="6" t="n">
        <f aca="false">DEMANDA!$M$38*K$7</f>
        <v>55.836975192029</v>
      </c>
      <c r="L42" s="6" t="n">
        <f aca="false">DEMANDA!$M$38*L$7</f>
        <v>55.836975192029</v>
      </c>
      <c r="M42" s="6" t="n">
        <f aca="false">DEMANDA!$M$38*M$7</f>
        <v>55.836975192029</v>
      </c>
      <c r="N42" s="6" t="n">
        <f aca="false">DEMANDA!$M$38*N$7</f>
        <v>55.836975192029</v>
      </c>
      <c r="O42" s="6" t="n">
        <f aca="false">SUM(C42:N42)</f>
        <v>670.043702304348</v>
      </c>
      <c r="P42" s="6" t="n">
        <f aca="false">MAX(C42:N42)</f>
        <v>55.836975192029</v>
      </c>
    </row>
    <row r="43" customFormat="false" ht="15" hidden="false" customHeight="false" outlineLevel="0" collapsed="false">
      <c r="A43" s="3" t="s">
        <v>5</v>
      </c>
      <c r="B43" s="3" t="str">
        <f aca="false">DEMANDA!C39</f>
        <v>Recarga ABC 70 kg</v>
      </c>
      <c r="C43" s="6" t="n">
        <f aca="false">DEMANDA!$M$39*C$7</f>
        <v>11.9942434831124</v>
      </c>
      <c r="D43" s="6" t="n">
        <f aca="false">DEMANDA!$M$39*D$7</f>
        <v>11.9942434831124</v>
      </c>
      <c r="E43" s="6" t="n">
        <f aca="false">DEMANDA!$M$39*E$7</f>
        <v>11.9942434831124</v>
      </c>
      <c r="F43" s="6" t="n">
        <f aca="false">DEMANDA!$M$39*F$7</f>
        <v>11.9942434831124</v>
      </c>
      <c r="G43" s="6" t="n">
        <f aca="false">DEMANDA!$M$39*G$7</f>
        <v>11.9942434831124</v>
      </c>
      <c r="H43" s="6" t="n">
        <f aca="false">DEMANDA!$M$39*H$7</f>
        <v>11.9942434831124</v>
      </c>
      <c r="I43" s="6" t="n">
        <f aca="false">DEMANDA!$M$39*I$7</f>
        <v>11.9942434831124</v>
      </c>
      <c r="J43" s="6" t="n">
        <f aca="false">DEMANDA!$M$39*J$7</f>
        <v>11.9942434831124</v>
      </c>
      <c r="K43" s="6" t="n">
        <f aca="false">DEMANDA!$M$39*K$7</f>
        <v>11.9942434831124</v>
      </c>
      <c r="L43" s="6" t="n">
        <f aca="false">DEMANDA!$M$39*L$7</f>
        <v>11.9942434831124</v>
      </c>
      <c r="M43" s="6" t="n">
        <f aca="false">DEMANDA!$M$39*M$7</f>
        <v>11.9942434831124</v>
      </c>
      <c r="N43" s="6" t="n">
        <f aca="false">DEMANDA!$M$39*N$7</f>
        <v>11.9942434831124</v>
      </c>
      <c r="O43" s="6" t="n">
        <f aca="false">SUM(C43:N43)</f>
        <v>143.930921797349</v>
      </c>
      <c r="P43" s="6" t="n">
        <f aca="false">MAX(C43:N43)</f>
        <v>11.9942434831124</v>
      </c>
    </row>
    <row r="44" customFormat="false" ht="15" hidden="false" customHeight="false" outlineLevel="0" collapsed="false">
      <c r="A44" s="3" t="s">
        <v>5</v>
      </c>
      <c r="B44" s="3" t="str">
        <f aca="false">DEMANDA!C40</f>
        <v>Recarga ABC 100 kg</v>
      </c>
      <c r="C44" s="6" t="n">
        <f aca="false">DEMANDA!$M$40*C$7</f>
        <v>8.21200213106438</v>
      </c>
      <c r="D44" s="6" t="n">
        <f aca="false">DEMANDA!$M$40*D$7</f>
        <v>8.21200213106438</v>
      </c>
      <c r="E44" s="6" t="n">
        <f aca="false">DEMANDA!$M$40*E$7</f>
        <v>8.21200213106438</v>
      </c>
      <c r="F44" s="6" t="n">
        <f aca="false">DEMANDA!$M$40*F$7</f>
        <v>8.21200213106438</v>
      </c>
      <c r="G44" s="6" t="n">
        <f aca="false">DEMANDA!$M$40*G$7</f>
        <v>8.21200213106438</v>
      </c>
      <c r="H44" s="6" t="n">
        <f aca="false">DEMANDA!$M$40*H$7</f>
        <v>8.21200213106438</v>
      </c>
      <c r="I44" s="6" t="n">
        <f aca="false">DEMANDA!$M$40*I$7</f>
        <v>8.21200213106438</v>
      </c>
      <c r="J44" s="6" t="n">
        <f aca="false">DEMANDA!$M$40*J$7</f>
        <v>8.21200213106438</v>
      </c>
      <c r="K44" s="6" t="n">
        <f aca="false">DEMANDA!$M$40*K$7</f>
        <v>8.21200213106438</v>
      </c>
      <c r="L44" s="6" t="n">
        <f aca="false">DEMANDA!$M$40*L$7</f>
        <v>8.21200213106438</v>
      </c>
      <c r="M44" s="6" t="n">
        <f aca="false">DEMANDA!$M$40*M$7</f>
        <v>8.21200213106438</v>
      </c>
      <c r="N44" s="6" t="n">
        <f aca="false">DEMANDA!$M$40*N$7</f>
        <v>8.21200213106438</v>
      </c>
      <c r="O44" s="6" t="n">
        <f aca="false">SUM(C44:N44)</f>
        <v>98.5440255727726</v>
      </c>
      <c r="P44" s="6" t="n">
        <f aca="false">MAX(C44:N44)</f>
        <v>8.21200213106438</v>
      </c>
    </row>
    <row r="45" customFormat="false" ht="15" hidden="false" customHeight="false" outlineLevel="0" collapsed="false">
      <c r="A45" s="8" t="s">
        <v>5</v>
      </c>
      <c r="B45" s="8" t="s">
        <v>128</v>
      </c>
      <c r="C45" s="9" t="n">
        <f aca="false">SUM(C28:C44)</f>
        <v>9015.5254148116</v>
      </c>
      <c r="D45" s="9" t="n">
        <f aca="false">SUM(D28:D44)</f>
        <v>9015.5254148116</v>
      </c>
      <c r="E45" s="9" t="n">
        <f aca="false">SUM(E28:E44)</f>
        <v>9015.5254148116</v>
      </c>
      <c r="F45" s="9" t="n">
        <f aca="false">SUM(F28:F44)</f>
        <v>9015.5254148116</v>
      </c>
      <c r="G45" s="9" t="n">
        <f aca="false">SUM(G28:G44)</f>
        <v>9015.5254148116</v>
      </c>
      <c r="H45" s="9" t="n">
        <f aca="false">SUM(H28:H44)</f>
        <v>9015.5254148116</v>
      </c>
      <c r="I45" s="9" t="n">
        <f aca="false">SUM(I28:I44)</f>
        <v>9015.5254148116</v>
      </c>
      <c r="J45" s="9" t="n">
        <f aca="false">SUM(J28:J44)</f>
        <v>9015.5254148116</v>
      </c>
      <c r="K45" s="9" t="n">
        <f aca="false">SUM(K28:K44)</f>
        <v>9015.5254148116</v>
      </c>
      <c r="L45" s="9" t="n">
        <f aca="false">SUM(L28:L44)</f>
        <v>9015.5254148116</v>
      </c>
      <c r="M45" s="9" t="n">
        <f aca="false">SUM(M28:M44)</f>
        <v>9015.5254148116</v>
      </c>
      <c r="N45" s="9" t="n">
        <f aca="false">SUM(N28:N44)</f>
        <v>9015.5254148116</v>
      </c>
      <c r="O45" s="9" t="n">
        <f aca="false">SUM(O28:O44)</f>
        <v>108186.304977739</v>
      </c>
      <c r="P45" s="8"/>
    </row>
    <row r="46" customFormat="false" ht="15" hidden="false" customHeight="false" outlineLevel="0" collapsed="false">
      <c r="A46" s="3" t="s">
        <v>84</v>
      </c>
      <c r="B46" s="3" t="str">
        <f aca="false">DEMANDA!C42</f>
        <v>Matafuego Agua 10 l</v>
      </c>
      <c r="C46" s="6" t="n">
        <f aca="false">DEMANDA!$M$42*C$5</f>
        <v>290.813500312285</v>
      </c>
      <c r="D46" s="6" t="n">
        <f aca="false">DEMANDA!$M$42*D$5</f>
        <v>232.650800249828</v>
      </c>
      <c r="E46" s="6" t="n">
        <f aca="false">DEMANDA!$M$42*E$5</f>
        <v>247.191475265442</v>
      </c>
      <c r="F46" s="6" t="n">
        <f aca="false">DEMANDA!$M$42*F$5</f>
        <v>247.191475265442</v>
      </c>
      <c r="G46" s="6" t="n">
        <f aca="false">DEMANDA!$M$42*G$5</f>
        <v>232.650800249828</v>
      </c>
      <c r="H46" s="6" t="n">
        <f aca="false">DEMANDA!$M$42*H$5</f>
        <v>218.110125234214</v>
      </c>
      <c r="I46" s="6" t="n">
        <f aca="false">DEMANDA!$M$42*I$5</f>
        <v>232.650800249828</v>
      </c>
      <c r="J46" s="6" t="n">
        <f aca="false">DEMANDA!$M$42*J$5</f>
        <v>232.650800249828</v>
      </c>
      <c r="K46" s="6" t="n">
        <f aca="false">DEMANDA!$M$42*K$5</f>
        <v>232.650800249828</v>
      </c>
      <c r="L46" s="6" t="n">
        <f aca="false">DEMANDA!$M$42*L$5</f>
        <v>218.110125234214</v>
      </c>
      <c r="M46" s="6" t="n">
        <f aca="false">DEMANDA!$M$42*M$5</f>
        <v>203.5694502186</v>
      </c>
      <c r="N46" s="6" t="n">
        <f aca="false">DEMANDA!$M$42*N$5</f>
        <v>319.894850343514</v>
      </c>
      <c r="O46" s="6" t="n">
        <f aca="false">SUM(C46:N46)</f>
        <v>2908.13500312285</v>
      </c>
      <c r="P46" s="6" t="n">
        <f aca="false">MAX(C46:N46)</f>
        <v>319.894850343514</v>
      </c>
    </row>
    <row r="47" customFormat="false" ht="15" hidden="false" customHeight="false" outlineLevel="0" collapsed="false">
      <c r="A47" s="3" t="s">
        <v>84</v>
      </c>
      <c r="B47" s="3" t="str">
        <f aca="false">DEMANDA!C43</f>
        <v>Matafuego AFFF 10 l</v>
      </c>
      <c r="C47" s="6" t="n">
        <f aca="false">DEMANDA!$M$43*C$5</f>
        <v>97.1509933050576</v>
      </c>
      <c r="D47" s="6" t="n">
        <f aca="false">DEMANDA!$M$43*D$5</f>
        <v>77.7207946440461</v>
      </c>
      <c r="E47" s="6" t="n">
        <f aca="false">DEMANDA!$M$43*E$5</f>
        <v>82.578344309299</v>
      </c>
      <c r="F47" s="6" t="n">
        <f aca="false">DEMANDA!$M$43*F$5</f>
        <v>82.578344309299</v>
      </c>
      <c r="G47" s="6" t="n">
        <f aca="false">DEMANDA!$M$43*G$5</f>
        <v>77.7207946440461</v>
      </c>
      <c r="H47" s="6" t="n">
        <f aca="false">DEMANDA!$M$43*H$5</f>
        <v>72.8632449787932</v>
      </c>
      <c r="I47" s="6" t="n">
        <f aca="false">DEMANDA!$M$43*I$5</f>
        <v>77.7207946440461</v>
      </c>
      <c r="J47" s="6" t="n">
        <f aca="false">DEMANDA!$M$43*J$5</f>
        <v>77.7207946440461</v>
      </c>
      <c r="K47" s="6" t="n">
        <f aca="false">DEMANDA!$M$43*K$5</f>
        <v>77.7207946440461</v>
      </c>
      <c r="L47" s="6" t="n">
        <f aca="false">DEMANDA!$M$43*L$5</f>
        <v>72.8632449787932</v>
      </c>
      <c r="M47" s="6" t="n">
        <f aca="false">DEMANDA!$M$43*M$5</f>
        <v>68.0056953135403</v>
      </c>
      <c r="N47" s="6" t="n">
        <f aca="false">DEMANDA!$M$43*N$5</f>
        <v>106.866092635563</v>
      </c>
      <c r="O47" s="6" t="n">
        <f aca="false">SUM(C47:N47)</f>
        <v>971.509933050576</v>
      </c>
      <c r="P47" s="6" t="n">
        <f aca="false">MAX(C47:N47)</f>
        <v>106.866092635563</v>
      </c>
    </row>
    <row r="48" customFormat="false" ht="15" hidden="false" customHeight="false" outlineLevel="0" collapsed="false">
      <c r="A48" s="3" t="s">
        <v>84</v>
      </c>
      <c r="B48" s="3" t="str">
        <f aca="false">DEMANDA!C44</f>
        <v>Matafuego AFFF 50 l</v>
      </c>
      <c r="C48" s="6" t="n">
        <f aca="false">DEMANDA!$M$44*C$6</f>
        <v>35.3968344521459</v>
      </c>
      <c r="D48" s="6" t="n">
        <f aca="false">DEMANDA!$M$44*D$6</f>
        <v>31.2325009871876</v>
      </c>
      <c r="E48" s="6" t="n">
        <f aca="false">DEMANDA!$M$44*E$6</f>
        <v>37.4790011846251</v>
      </c>
      <c r="F48" s="6" t="n">
        <f aca="false">DEMANDA!$M$44*F$6</f>
        <v>37.4790011846251</v>
      </c>
      <c r="G48" s="6" t="n">
        <f aca="false">DEMANDA!$M$44*G$6</f>
        <v>37.4790011846251</v>
      </c>
      <c r="H48" s="6" t="n">
        <f aca="false">DEMANDA!$M$44*H$6</f>
        <v>33.3146677196667</v>
      </c>
      <c r="I48" s="6" t="n">
        <f aca="false">DEMANDA!$M$44*I$6</f>
        <v>37.4790011846251</v>
      </c>
      <c r="J48" s="6" t="n">
        <f aca="false">DEMANDA!$M$44*J$6</f>
        <v>37.4790011846251</v>
      </c>
      <c r="K48" s="6" t="n">
        <f aca="false">DEMANDA!$M$44*K$6</f>
        <v>35.3968344521459</v>
      </c>
      <c r="L48" s="6" t="n">
        <f aca="false">DEMANDA!$M$44*L$6</f>
        <v>31.2325009871876</v>
      </c>
      <c r="M48" s="6" t="n">
        <f aca="false">DEMANDA!$M$44*M$6</f>
        <v>29.1503342547084</v>
      </c>
      <c r="N48" s="6" t="n">
        <f aca="false">DEMANDA!$M$44*N$6</f>
        <v>33.3146677196667</v>
      </c>
      <c r="O48" s="6" t="n">
        <f aca="false">SUM(C48:N48)</f>
        <v>416.433346495834</v>
      </c>
      <c r="P48" s="6" t="n">
        <f aca="false">MAX(C48:N48)</f>
        <v>37.4790011846251</v>
      </c>
    </row>
    <row r="49" customFormat="false" ht="15" hidden="false" customHeight="false" outlineLevel="0" collapsed="false">
      <c r="A49" s="3" t="s">
        <v>84</v>
      </c>
      <c r="B49" s="3" t="str">
        <f aca="false">DEMANDA!C45</f>
        <v>Matafuego BC 5 kg</v>
      </c>
      <c r="C49" s="6" t="n">
        <f aca="false">DEMANDA!$M$45*C$5</f>
        <v>27.770377041365</v>
      </c>
      <c r="D49" s="6" t="n">
        <f aca="false">DEMANDA!$M$45*D$5</f>
        <v>22.216301633092</v>
      </c>
      <c r="E49" s="6" t="n">
        <f aca="false">DEMANDA!$M$45*E$5</f>
        <v>23.6048204851603</v>
      </c>
      <c r="F49" s="6" t="n">
        <f aca="false">DEMANDA!$M$45*F$5</f>
        <v>23.6048204851603</v>
      </c>
      <c r="G49" s="6" t="n">
        <f aca="false">DEMANDA!$M$45*G$5</f>
        <v>22.216301633092</v>
      </c>
      <c r="H49" s="6" t="n">
        <f aca="false">DEMANDA!$M$45*H$5</f>
        <v>20.8277827810238</v>
      </c>
      <c r="I49" s="6" t="n">
        <f aca="false">DEMANDA!$M$45*I$5</f>
        <v>22.216301633092</v>
      </c>
      <c r="J49" s="6" t="n">
        <f aca="false">DEMANDA!$M$45*J$5</f>
        <v>22.216301633092</v>
      </c>
      <c r="K49" s="6" t="n">
        <f aca="false">DEMANDA!$M$45*K$5</f>
        <v>22.216301633092</v>
      </c>
      <c r="L49" s="6" t="n">
        <f aca="false">DEMANDA!$M$45*L$5</f>
        <v>20.8277827810238</v>
      </c>
      <c r="M49" s="6" t="n">
        <f aca="false">DEMANDA!$M$45*M$5</f>
        <v>19.4392639289555</v>
      </c>
      <c r="N49" s="6" t="n">
        <f aca="false">DEMANDA!$M$45*N$5</f>
        <v>30.5474147455015</v>
      </c>
      <c r="O49" s="6" t="n">
        <f aca="false">SUM(C49:N49)</f>
        <v>277.70377041365</v>
      </c>
      <c r="P49" s="6" t="n">
        <f aca="false">MAX(C49:N49)</f>
        <v>30.5474147455015</v>
      </c>
    </row>
    <row r="50" customFormat="false" ht="15" hidden="false" customHeight="false" outlineLevel="0" collapsed="false">
      <c r="A50" s="3" t="s">
        <v>84</v>
      </c>
      <c r="B50" s="3" t="str">
        <f aca="false">DEMANDA!C46</f>
        <v>Matafuego Clase K 6 l</v>
      </c>
      <c r="C50" s="6" t="n">
        <f aca="false">DEMANDA!$M$46*C$5</f>
        <v>165.060330969569</v>
      </c>
      <c r="D50" s="6" t="n">
        <f aca="false">DEMANDA!$M$46*D$5</f>
        <v>132.048264775655</v>
      </c>
      <c r="E50" s="6" t="n">
        <f aca="false">DEMANDA!$M$46*E$5</f>
        <v>140.301281324134</v>
      </c>
      <c r="F50" s="6" t="n">
        <f aca="false">DEMANDA!$M$46*F$5</f>
        <v>140.301281324134</v>
      </c>
      <c r="G50" s="6" t="n">
        <f aca="false">DEMANDA!$M$46*G$5</f>
        <v>132.048264775655</v>
      </c>
      <c r="H50" s="6" t="n">
        <f aca="false">DEMANDA!$M$46*H$5</f>
        <v>123.795248227177</v>
      </c>
      <c r="I50" s="6" t="n">
        <f aca="false">DEMANDA!$M$46*I$5</f>
        <v>132.048264775655</v>
      </c>
      <c r="J50" s="6" t="n">
        <f aca="false">DEMANDA!$M$46*J$5</f>
        <v>132.048264775655</v>
      </c>
      <c r="K50" s="6" t="n">
        <f aca="false">DEMANDA!$M$46*K$5</f>
        <v>132.048264775655</v>
      </c>
      <c r="L50" s="6" t="n">
        <f aca="false">DEMANDA!$M$46*L$5</f>
        <v>123.795248227177</v>
      </c>
      <c r="M50" s="6" t="n">
        <f aca="false">DEMANDA!$M$46*M$5</f>
        <v>115.542231678698</v>
      </c>
      <c r="N50" s="6" t="n">
        <f aca="false">DEMANDA!$M$46*N$5</f>
        <v>181.566364066526</v>
      </c>
      <c r="O50" s="6" t="n">
        <f aca="false">SUM(C50:N50)</f>
        <v>1650.60330969569</v>
      </c>
      <c r="P50" s="6" t="n">
        <f aca="false">MAX(C50:N50)</f>
        <v>181.566364066526</v>
      </c>
    </row>
    <row r="51" customFormat="false" ht="15" hidden="false" customHeight="false" outlineLevel="0" collapsed="false">
      <c r="A51" s="3" t="s">
        <v>84</v>
      </c>
      <c r="B51" s="3" t="str">
        <f aca="false">DEMANDA!C47</f>
        <v>Matafuego CO₂ 2 kg</v>
      </c>
      <c r="C51" s="6" t="n">
        <f aca="false">DEMANDA!$M$47*C$5</f>
        <v>700.527737</v>
      </c>
      <c r="D51" s="6" t="n">
        <f aca="false">DEMANDA!$M$47*D$5</f>
        <v>560.4221896</v>
      </c>
      <c r="E51" s="6" t="n">
        <f aca="false">DEMANDA!$M$47*E$5</f>
        <v>595.44857645</v>
      </c>
      <c r="F51" s="6" t="n">
        <f aca="false">DEMANDA!$M$47*F$5</f>
        <v>595.44857645</v>
      </c>
      <c r="G51" s="6" t="n">
        <f aca="false">DEMANDA!$M$47*G$5</f>
        <v>560.4221896</v>
      </c>
      <c r="H51" s="6" t="n">
        <f aca="false">DEMANDA!$M$47*H$5</f>
        <v>525.39580275</v>
      </c>
      <c r="I51" s="6" t="n">
        <f aca="false">DEMANDA!$M$47*I$5</f>
        <v>560.4221896</v>
      </c>
      <c r="J51" s="6" t="n">
        <f aca="false">DEMANDA!$M$47*J$5</f>
        <v>560.4221896</v>
      </c>
      <c r="K51" s="6" t="n">
        <f aca="false">DEMANDA!$M$47*K$5</f>
        <v>560.4221896</v>
      </c>
      <c r="L51" s="6" t="n">
        <f aca="false">DEMANDA!$M$47*L$5</f>
        <v>525.39580275</v>
      </c>
      <c r="M51" s="6" t="n">
        <f aca="false">DEMANDA!$M$47*M$5</f>
        <v>490.3694159</v>
      </c>
      <c r="N51" s="6" t="n">
        <f aca="false">DEMANDA!$M$47*N$5</f>
        <v>770.5805107</v>
      </c>
      <c r="O51" s="6" t="n">
        <f aca="false">SUM(C51:N51)</f>
        <v>7005.27737</v>
      </c>
      <c r="P51" s="6" t="n">
        <f aca="false">MAX(C51:N51)</f>
        <v>770.5805107</v>
      </c>
    </row>
    <row r="52" customFormat="false" ht="15" hidden="false" customHeight="false" outlineLevel="0" collapsed="false">
      <c r="A52" s="3" t="s">
        <v>84</v>
      </c>
      <c r="B52" s="3" t="str">
        <f aca="false">DEMANDA!C48</f>
        <v>Matafuego CO₂ 5 kg</v>
      </c>
      <c r="C52" s="6" t="n">
        <f aca="false">DEMANDA!$M$48*C$5</f>
        <v>377.601776725347</v>
      </c>
      <c r="D52" s="6" t="n">
        <f aca="false">DEMANDA!$M$48*D$5</f>
        <v>302.081421380277</v>
      </c>
      <c r="E52" s="6" t="n">
        <f aca="false">DEMANDA!$M$48*E$5</f>
        <v>320.961510216545</v>
      </c>
      <c r="F52" s="6" t="n">
        <f aca="false">DEMANDA!$M$48*F$5</f>
        <v>320.961510216545</v>
      </c>
      <c r="G52" s="6" t="n">
        <f aca="false">DEMANDA!$M$48*G$5</f>
        <v>302.081421380277</v>
      </c>
      <c r="H52" s="6" t="n">
        <f aca="false">DEMANDA!$M$48*H$5</f>
        <v>283.20133254401</v>
      </c>
      <c r="I52" s="6" t="n">
        <f aca="false">DEMANDA!$M$48*I$5</f>
        <v>302.081421380277</v>
      </c>
      <c r="J52" s="6" t="n">
        <f aca="false">DEMANDA!$M$48*J$5</f>
        <v>302.081421380277</v>
      </c>
      <c r="K52" s="6" t="n">
        <f aca="false">DEMANDA!$M$48*K$5</f>
        <v>302.081421380277</v>
      </c>
      <c r="L52" s="6" t="n">
        <f aca="false">DEMANDA!$M$48*L$5</f>
        <v>283.20133254401</v>
      </c>
      <c r="M52" s="6" t="n">
        <f aca="false">DEMANDA!$M$48*M$5</f>
        <v>264.321243707743</v>
      </c>
      <c r="N52" s="6" t="n">
        <f aca="false">DEMANDA!$M$48*N$5</f>
        <v>415.361954397881</v>
      </c>
      <c r="O52" s="6" t="n">
        <f aca="false">SUM(C52:N52)</f>
        <v>3776.01776725347</v>
      </c>
      <c r="P52" s="6" t="n">
        <f aca="false">MAX(C52:N52)</f>
        <v>415.361954397881</v>
      </c>
    </row>
    <row r="53" customFormat="false" ht="15" hidden="false" customHeight="false" outlineLevel="0" collapsed="false">
      <c r="A53" s="3" t="s">
        <v>84</v>
      </c>
      <c r="B53" s="3" t="str">
        <f aca="false">DEMANDA!C49</f>
        <v>Matafuego HCFC 5 kg</v>
      </c>
      <c r="C53" s="6" t="n">
        <f aca="false">DEMANDA!$M$49*C$5</f>
        <v>74.4120454978018</v>
      </c>
      <c r="D53" s="6" t="n">
        <f aca="false">DEMANDA!$M$49*D$5</f>
        <v>59.5296363982415</v>
      </c>
      <c r="E53" s="6" t="n">
        <f aca="false">DEMANDA!$M$49*E$5</f>
        <v>63.2502386731315</v>
      </c>
      <c r="F53" s="6" t="n">
        <f aca="false">DEMANDA!$M$49*F$5</f>
        <v>63.2502386731315</v>
      </c>
      <c r="G53" s="6" t="n">
        <f aca="false">DEMANDA!$M$49*G$5</f>
        <v>59.5296363982415</v>
      </c>
      <c r="H53" s="6" t="n">
        <f aca="false">DEMANDA!$M$49*H$5</f>
        <v>55.8090341233514</v>
      </c>
      <c r="I53" s="6" t="n">
        <f aca="false">DEMANDA!$M$49*I$5</f>
        <v>59.5296363982415</v>
      </c>
      <c r="J53" s="6" t="n">
        <f aca="false">DEMANDA!$M$49*J$5</f>
        <v>59.5296363982415</v>
      </c>
      <c r="K53" s="6" t="n">
        <f aca="false">DEMANDA!$M$49*K$5</f>
        <v>59.5296363982415</v>
      </c>
      <c r="L53" s="6" t="n">
        <f aca="false">DEMANDA!$M$49*L$5</f>
        <v>55.8090341233514</v>
      </c>
      <c r="M53" s="6" t="n">
        <f aca="false">DEMANDA!$M$49*M$5</f>
        <v>52.0884318484613</v>
      </c>
      <c r="N53" s="6" t="n">
        <f aca="false">DEMANDA!$M$49*N$5</f>
        <v>81.853250047582</v>
      </c>
      <c r="O53" s="6" t="n">
        <f aca="false">SUM(C53:N53)</f>
        <v>744.120454978018</v>
      </c>
      <c r="P53" s="6" t="n">
        <f aca="false">MAX(C53:N53)</f>
        <v>81.853250047582</v>
      </c>
    </row>
    <row r="54" customFormat="false" ht="15" hidden="false" customHeight="false" outlineLevel="0" collapsed="false">
      <c r="A54" s="3" t="s">
        <v>84</v>
      </c>
      <c r="B54" s="3" t="str">
        <f aca="false">DEMANDA!C50</f>
        <v>Matafuego Clase D 9 l</v>
      </c>
      <c r="C54" s="6" t="n">
        <f aca="false">DEMANDA!$M$50*C$5</f>
        <v>27.741598400273</v>
      </c>
      <c r="D54" s="6" t="n">
        <f aca="false">DEMANDA!$M$50*D$5</f>
        <v>22.1932787202184</v>
      </c>
      <c r="E54" s="6" t="n">
        <f aca="false">DEMANDA!$M$50*E$5</f>
        <v>23.5803586402321</v>
      </c>
      <c r="F54" s="6" t="n">
        <f aca="false">DEMANDA!$M$50*F$5</f>
        <v>23.5803586402321</v>
      </c>
      <c r="G54" s="6" t="n">
        <f aca="false">DEMANDA!$M$50*G$5</f>
        <v>22.1932787202184</v>
      </c>
      <c r="H54" s="6" t="n">
        <f aca="false">DEMANDA!$M$50*H$5</f>
        <v>20.8061988002048</v>
      </c>
      <c r="I54" s="6" t="n">
        <f aca="false">DEMANDA!$M$50*I$5</f>
        <v>22.1932787202184</v>
      </c>
      <c r="J54" s="6" t="n">
        <f aca="false">DEMANDA!$M$50*J$5</f>
        <v>22.1932787202184</v>
      </c>
      <c r="K54" s="6" t="n">
        <f aca="false">DEMANDA!$M$50*K$5</f>
        <v>22.1932787202184</v>
      </c>
      <c r="L54" s="6" t="n">
        <f aca="false">DEMANDA!$M$50*L$5</f>
        <v>20.8061988002048</v>
      </c>
      <c r="M54" s="6" t="n">
        <f aca="false">DEMANDA!$M$50*M$5</f>
        <v>19.4191188801911</v>
      </c>
      <c r="N54" s="6" t="n">
        <f aca="false">DEMANDA!$M$50*N$5</f>
        <v>30.5157582403003</v>
      </c>
      <c r="O54" s="6" t="n">
        <f aca="false">SUM(C54:N54)</f>
        <v>277.41598400273</v>
      </c>
      <c r="P54" s="6" t="n">
        <f aca="false">MAX(C54:N54)</f>
        <v>30.5157582403003</v>
      </c>
    </row>
    <row r="55" customFormat="false" ht="15" hidden="false" customHeight="false" outlineLevel="0" collapsed="false">
      <c r="A55" s="8" t="s">
        <v>84</v>
      </c>
      <c r="B55" s="8" t="s">
        <v>129</v>
      </c>
      <c r="C55" s="9" t="n">
        <f aca="false">SUM(C46:C54)</f>
        <v>1796.47519370384</v>
      </c>
      <c r="D55" s="9" t="n">
        <f aca="false">SUM(D46:D54)</f>
        <v>1440.09518838855</v>
      </c>
      <c r="E55" s="9" t="n">
        <f aca="false">SUM(E46:E54)</f>
        <v>1534.39560654857</v>
      </c>
      <c r="F55" s="9" t="n">
        <f aca="false">SUM(F46:F54)</f>
        <v>1534.39560654857</v>
      </c>
      <c r="G55" s="9" t="n">
        <f aca="false">SUM(G46:G54)</f>
        <v>1446.34168858598</v>
      </c>
      <c r="H55" s="9" t="n">
        <f aca="false">SUM(H46:H54)</f>
        <v>1354.12343715844</v>
      </c>
      <c r="I55" s="9" t="n">
        <f aca="false">SUM(I46:I54)</f>
        <v>1446.34168858598</v>
      </c>
      <c r="J55" s="9" t="n">
        <f aca="false">SUM(J46:J54)</f>
        <v>1446.34168858598</v>
      </c>
      <c r="K55" s="9" t="n">
        <f aca="false">SUM(K46:K54)</f>
        <v>1444.2595218535</v>
      </c>
      <c r="L55" s="9" t="n">
        <f aca="false">SUM(L46:L54)</f>
        <v>1352.04127042596</v>
      </c>
      <c r="M55" s="9" t="n">
        <f aca="false">SUM(M46:M54)</f>
        <v>1261.9051857309</v>
      </c>
      <c r="N55" s="9" t="n">
        <f aca="false">SUM(N46:N54)</f>
        <v>1970.50086289654</v>
      </c>
      <c r="O55" s="9" t="n">
        <f aca="false">SUM(O46:O54)</f>
        <v>18027.2169390128</v>
      </c>
      <c r="P55" s="8"/>
    </row>
    <row r="57" customFormat="false" ht="30" hidden="false" customHeight="true" outlineLevel="0" collapsed="false">
      <c r="A57" s="2" t="s">
        <v>1</v>
      </c>
      <c r="B57" s="2" t="s">
        <v>2</v>
      </c>
      <c r="C57" s="2" t="s">
        <v>130</v>
      </c>
      <c r="D57" s="2" t="s">
        <v>131</v>
      </c>
      <c r="E57" s="2" t="s">
        <v>132</v>
      </c>
      <c r="F57" s="2" t="s">
        <v>133</v>
      </c>
      <c r="G57" s="2" t="s">
        <v>134</v>
      </c>
    </row>
    <row r="58" customFormat="false" ht="15" hidden="false" customHeight="false" outlineLevel="0" collapsed="false">
      <c r="A58" s="3" t="s">
        <v>135</v>
      </c>
      <c r="B58" s="3" t="s">
        <v>14</v>
      </c>
      <c r="C58" s="3" t="str">
        <f aca="false">INDEX($C$9:$N$9,D58)</f>
        <v>Dic</v>
      </c>
      <c r="D58" s="3" t="n">
        <f aca="false">MATCH(MAX(C18:N18),C18:N18,0)</f>
        <v>12</v>
      </c>
      <c r="E58" s="6" t="n">
        <f aca="false">INDEX(C18:N18,D58)</f>
        <v>33476.5423669796</v>
      </c>
      <c r="F58" s="6" t="n">
        <f aca="false">O18/12</f>
        <v>23826.0121027876</v>
      </c>
      <c r="G58" s="10" t="n">
        <f aca="false">E58/F58</f>
        <v>1.40504177629722</v>
      </c>
    </row>
    <row r="59" customFormat="false" ht="15" hidden="false" customHeight="false" outlineLevel="0" collapsed="false">
      <c r="A59" s="3" t="s">
        <v>136</v>
      </c>
      <c r="B59" s="3" t="s">
        <v>31</v>
      </c>
      <c r="C59" s="3" t="str">
        <f aca="false">INDEX($C$9:$N$9,D59)</f>
        <v>Mar</v>
      </c>
      <c r="D59" s="3" t="n">
        <f aca="false">MATCH(MAX(C27:N27),C27:N27,0)</f>
        <v>3</v>
      </c>
      <c r="E59" s="6" t="n">
        <f aca="false">INDEX(C27:N27,D59)</f>
        <v>279.114880185479</v>
      </c>
      <c r="F59" s="6" t="n">
        <f aca="false">O27/12</f>
        <v>258.439703875443</v>
      </c>
      <c r="G59" s="10" t="n">
        <f aca="false">E59/F59</f>
        <v>1.08</v>
      </c>
    </row>
    <row r="60" customFormat="false" ht="15" hidden="false" customHeight="false" outlineLevel="0" collapsed="false">
      <c r="A60" s="3" t="s">
        <v>137</v>
      </c>
      <c r="B60" s="3" t="s">
        <v>5</v>
      </c>
      <c r="C60" s="3" t="str">
        <f aca="false">INDEX($C$9:$N$9,D60)</f>
        <v>Ene</v>
      </c>
      <c r="D60" s="3" t="n">
        <f aca="false">MATCH(MAX(C45:N45),C45:N45,0)</f>
        <v>1</v>
      </c>
      <c r="E60" s="6" t="n">
        <f aca="false">INDEX(C45:N45,D60)</f>
        <v>9015.5254148116</v>
      </c>
      <c r="F60" s="6" t="n">
        <f aca="false">O45/12</f>
        <v>9015.5254148116</v>
      </c>
      <c r="G60" s="10" t="n">
        <f aca="false">E60/F60</f>
        <v>1</v>
      </c>
    </row>
    <row r="61" customFormat="false" ht="15" hidden="false" customHeight="false" outlineLevel="0" collapsed="false">
      <c r="A61" s="3" t="s">
        <v>138</v>
      </c>
      <c r="B61" s="3" t="s">
        <v>84</v>
      </c>
      <c r="C61" s="3" t="str">
        <f aca="false">INDEX($C$9:$N$9,D61)</f>
        <v>Dic</v>
      </c>
      <c r="D61" s="3" t="n">
        <f aca="false">MATCH(MAX(C55:N55),C55:N55,0)</f>
        <v>12</v>
      </c>
      <c r="E61" s="6" t="n">
        <f aca="false">INDEX(C55:N55,D61)</f>
        <v>1970.50086289654</v>
      </c>
      <c r="F61" s="6" t="n">
        <f aca="false">O55/12</f>
        <v>1502.26807825107</v>
      </c>
      <c r="G61" s="10" t="n">
        <f aca="false">E61/F61</f>
        <v>1.31168390743587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0"/>
    <pageSetUpPr fitToPage="true"/>
  </sheetPr>
  <dimension ref="A1:X7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15" topLeftCell="F16" activePane="bottomRight" state="frozen"/>
      <selection pane="topLeft" activeCell="A1" activeCellId="0" sqref="A1"/>
      <selection pane="topRight" activeCell="F1" activeCellId="0" sqref="F1"/>
      <selection pane="bottomLeft" activeCell="A16" activeCellId="0" sqref="A1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24" min="6" style="0" width="10"/>
  </cols>
  <sheetData>
    <row r="1" customFormat="false" ht="15" hidden="false" customHeight="false" outlineLevel="0" collapsed="false">
      <c r="A1" s="1" t="s">
        <v>139</v>
      </c>
    </row>
    <row r="3" customFormat="false" ht="30" hidden="false" customHeight="true" outlineLevel="0" collapsed="false">
      <c r="A3" s="2" t="s">
        <v>1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144</v>
      </c>
      <c r="G3" s="2" t="s">
        <v>145</v>
      </c>
      <c r="H3" s="2" t="s">
        <v>146</v>
      </c>
      <c r="I3" s="2" t="s">
        <v>147</v>
      </c>
      <c r="J3" s="2" t="s">
        <v>148</v>
      </c>
      <c r="K3" s="2" t="s">
        <v>149</v>
      </c>
      <c r="L3" s="2" t="s">
        <v>150</v>
      </c>
      <c r="M3" s="2" t="s">
        <v>151</v>
      </c>
      <c r="N3" s="2" t="s">
        <v>152</v>
      </c>
      <c r="O3" s="2" t="s">
        <v>153</v>
      </c>
      <c r="P3" s="2" t="s">
        <v>154</v>
      </c>
      <c r="Q3" s="2" t="s">
        <v>155</v>
      </c>
      <c r="R3" s="2" t="s">
        <v>156</v>
      </c>
      <c r="S3" s="2" t="s">
        <v>157</v>
      </c>
      <c r="T3" s="2" t="s">
        <v>158</v>
      </c>
      <c r="U3" s="2" t="s">
        <v>159</v>
      </c>
      <c r="V3" s="2" t="s">
        <v>160</v>
      </c>
      <c r="W3" s="2" t="s">
        <v>161</v>
      </c>
      <c r="X3" s="2" t="s">
        <v>162</v>
      </c>
    </row>
    <row r="4" customFormat="false" ht="15" hidden="false" customHeight="false" outlineLevel="0" collapsed="false">
      <c r="A4" s="8"/>
      <c r="B4" s="8"/>
      <c r="C4" s="8" t="s">
        <v>163</v>
      </c>
      <c r="D4" s="8"/>
      <c r="E4" s="8"/>
      <c r="F4" s="9" t="n">
        <f aca="false">DEMANDA!D8</f>
        <v>4178.736543</v>
      </c>
      <c r="G4" s="9" t="n">
        <f aca="false">DEMANDA!D9</f>
        <v>295.0303572</v>
      </c>
      <c r="H4" s="9" t="n">
        <f aca="false">DEMANDA!D10</f>
        <v>2727.90356888796</v>
      </c>
      <c r="I4" s="9" t="n">
        <f aca="false">DEMANDA!D11</f>
        <v>92.4087543518401</v>
      </c>
      <c r="J4" s="9" t="n">
        <f aca="false">DEMANDA!D12</f>
        <v>0</v>
      </c>
      <c r="K4" s="9" t="n">
        <f aca="false">DEMANDA!D13</f>
        <v>0</v>
      </c>
      <c r="L4" s="9" t="n">
        <f aca="false">DEMANDA!D14</f>
        <v>0</v>
      </c>
      <c r="M4" s="9" t="n">
        <f aca="false">DEMANDA!D15</f>
        <v>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customFormat="false" ht="15" hidden="false" customHeight="false" outlineLevel="0" collapsed="false">
      <c r="A5" s="8"/>
      <c r="B5" s="8"/>
      <c r="C5" s="8" t="s">
        <v>164</v>
      </c>
      <c r="D5" s="8"/>
      <c r="E5" s="8"/>
      <c r="F5" s="9" t="n">
        <f aca="false">DEMANDA!E8</f>
        <v>5997.303977</v>
      </c>
      <c r="G5" s="9" t="n">
        <f aca="false">DEMANDA!E9</f>
        <v>709.7274503</v>
      </c>
      <c r="H5" s="9" t="n">
        <f aca="false">DEMANDA!E10</f>
        <v>5488.91063218589</v>
      </c>
      <c r="I5" s="9" t="n">
        <f aca="false">DEMANDA!E11</f>
        <v>178.139434573852</v>
      </c>
      <c r="J5" s="9" t="n">
        <f aca="false">DEMANDA!E12</f>
        <v>0</v>
      </c>
      <c r="K5" s="9" t="n">
        <f aca="false">DEMANDA!E13</f>
        <v>0</v>
      </c>
      <c r="L5" s="9" t="n">
        <f aca="false">DEMANDA!E14</f>
        <v>0</v>
      </c>
      <c r="M5" s="9" t="n">
        <f aca="false">DEMANDA!E15</f>
        <v>0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customFormat="false" ht="15" hidden="false" customHeight="false" outlineLevel="0" collapsed="false">
      <c r="A6" s="8"/>
      <c r="B6" s="8"/>
      <c r="C6" s="8" t="s">
        <v>165</v>
      </c>
      <c r="D6" s="8"/>
      <c r="E6" s="8"/>
      <c r="F6" s="9" t="n">
        <f aca="false">DEMANDA!F8</f>
        <v>6851.747758</v>
      </c>
      <c r="G6" s="9" t="n">
        <f aca="false">DEMANDA!F9</f>
        <v>986.8680576</v>
      </c>
      <c r="H6" s="9" t="n">
        <f aca="false">DEMANDA!F10</f>
        <v>7206.58549675331</v>
      </c>
      <c r="I6" s="9" t="n">
        <f aca="false">DEMANDA!F11</f>
        <v>255.06523127917</v>
      </c>
      <c r="J6" s="9" t="n">
        <f aca="false">DEMANDA!F12</f>
        <v>7662.4</v>
      </c>
      <c r="K6" s="9" t="n">
        <f aca="false">DEMANDA!F13</f>
        <v>299.6</v>
      </c>
      <c r="L6" s="9" t="n">
        <f aca="false">DEMANDA!F14</f>
        <v>1478.8</v>
      </c>
      <c r="M6" s="9" t="n">
        <f aca="false">DEMANDA!F15</f>
        <v>90.4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customFormat="false" ht="15" hidden="false" customHeight="false" outlineLevel="0" collapsed="false">
      <c r="A7" s="8"/>
      <c r="B7" s="8"/>
      <c r="C7" s="8" t="s">
        <v>166</v>
      </c>
      <c r="D7" s="8"/>
      <c r="E7" s="8"/>
      <c r="F7" s="9" t="n">
        <f aca="false">DEMANDA!G8</f>
        <v>8467.135549</v>
      </c>
      <c r="G7" s="9" t="n">
        <f aca="false">DEMANDA!G9</f>
        <v>1500.638174</v>
      </c>
      <c r="H7" s="9" t="n">
        <f aca="false">DEMANDA!G10</f>
        <v>10420.9077932162</v>
      </c>
      <c r="I7" s="9" t="n">
        <f aca="false">DEMANDA!G11</f>
        <v>361.071030055753</v>
      </c>
      <c r="J7" s="9" t="n">
        <f aca="false">DEMANDA!G12</f>
        <v>26694.8</v>
      </c>
      <c r="K7" s="9" t="n">
        <f aca="false">DEMANDA!G13</f>
        <v>1043.8</v>
      </c>
      <c r="L7" s="9" t="n">
        <f aca="false">DEMANDA!G14</f>
        <v>5152</v>
      </c>
      <c r="M7" s="9" t="n">
        <f aca="false">DEMANDA!G15</f>
        <v>315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customFormat="false" ht="15" hidden="false" customHeight="false" outlineLevel="0" collapsed="false">
      <c r="A8" s="8"/>
      <c r="B8" s="8"/>
      <c r="C8" s="8" t="s">
        <v>167</v>
      </c>
      <c r="D8" s="8"/>
      <c r="E8" s="8"/>
      <c r="F8" s="9" t="n">
        <f aca="false">DEMANDA!H8</f>
        <v>12680.63271</v>
      </c>
      <c r="G8" s="9" t="n">
        <f aca="false">DEMANDA!H9</f>
        <v>2312.627726</v>
      </c>
      <c r="H8" s="9" t="n">
        <f aca="false">DEMANDA!H10</f>
        <v>14495.0713349105</v>
      </c>
      <c r="I8" s="9" t="n">
        <f aca="false">DEMANDA!H11</f>
        <v>605.624794650293</v>
      </c>
      <c r="J8" s="9" t="n">
        <f aca="false">DEMANDA!H12</f>
        <v>49434.8</v>
      </c>
      <c r="K8" s="9" t="n">
        <f aca="false">DEMANDA!H13</f>
        <v>1933</v>
      </c>
      <c r="L8" s="9" t="n">
        <f aca="false">DEMANDA!H14</f>
        <v>9540.8</v>
      </c>
      <c r="M8" s="9" t="n">
        <f aca="false">DEMANDA!H15</f>
        <v>583.4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customFormat="false" ht="15" hidden="false" customHeight="false" outlineLevel="0" collapsed="false">
      <c r="A9" s="8"/>
      <c r="B9" s="8"/>
      <c r="C9" s="8" t="s">
        <v>168</v>
      </c>
      <c r="D9" s="8"/>
      <c r="E9" s="8"/>
      <c r="F9" s="9" t="n">
        <f aca="false">DEMANDA!I8</f>
        <v>15620.25307</v>
      </c>
      <c r="G9" s="9" t="n">
        <f aca="false">DEMANDA!I9</f>
        <v>3252.869887</v>
      </c>
      <c r="H9" s="9" t="n">
        <f aca="false">DEMANDA!I10</f>
        <v>18737.0609615097</v>
      </c>
      <c r="I9" s="9" t="n">
        <f aca="false">DEMANDA!I11</f>
        <v>876.216751457047</v>
      </c>
      <c r="J9" s="9" t="n">
        <f aca="false">DEMANDA!I12</f>
        <v>71680.2</v>
      </c>
      <c r="K9" s="9" t="n">
        <f aca="false">DEMANDA!I13</f>
        <v>2803</v>
      </c>
      <c r="L9" s="9" t="n">
        <f aca="false">DEMANDA!I14</f>
        <v>13834.2</v>
      </c>
      <c r="M9" s="9" t="n">
        <f aca="false">DEMANDA!I15</f>
        <v>845.8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customFormat="false" ht="15" hidden="false" customHeight="false" outlineLevel="0" collapsed="false">
      <c r="A10" s="8"/>
      <c r="B10" s="8"/>
      <c r="C10" s="8" t="s">
        <v>169</v>
      </c>
      <c r="D10" s="8"/>
      <c r="E10" s="8"/>
      <c r="F10" s="9" t="n">
        <f aca="false">DEMANDA!J8</f>
        <v>20332.55326</v>
      </c>
      <c r="G10" s="9" t="n">
        <f aca="false">DEMANDA!J9</f>
        <v>4102.315524</v>
      </c>
      <c r="H10" s="9" t="n">
        <f aca="false">DEMANDA!J10</f>
        <v>22634.4822225078</v>
      </c>
      <c r="I10" s="9" t="n">
        <f aca="false">DEMANDA!J11</f>
        <v>1130.35497416121</v>
      </c>
      <c r="J10" s="9" t="n">
        <f aca="false">DEMANDA!J12</f>
        <v>101340.6</v>
      </c>
      <c r="K10" s="9" t="n">
        <f aca="false">DEMANDA!J13</f>
        <v>3963</v>
      </c>
      <c r="L10" s="9" t="n">
        <f aca="false">DEMANDA!J14</f>
        <v>19558.6</v>
      </c>
      <c r="M10" s="9" t="n">
        <f aca="false">DEMANDA!J15</f>
        <v>1195.4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customFormat="false" ht="15" hidden="false" customHeight="false" outlineLevel="0" collapsed="false">
      <c r="A11" s="8"/>
      <c r="B11" s="8"/>
      <c r="C11" s="8" t="s">
        <v>170</v>
      </c>
      <c r="D11" s="8"/>
      <c r="E11" s="8"/>
      <c r="F11" s="9" t="n">
        <f aca="false">DEMANDA!K8</f>
        <v>25132.07848</v>
      </c>
      <c r="G11" s="9" t="n">
        <f aca="false">DEMANDA!K9</f>
        <v>5104.306587</v>
      </c>
      <c r="H11" s="9" t="n">
        <f aca="false">DEMANDA!K10</f>
        <v>26002.338467674</v>
      </c>
      <c r="I11" s="9" t="n">
        <f aca="false">DEMANDA!K11</f>
        <v>1397.61759940245</v>
      </c>
      <c r="J11" s="9" t="n">
        <f aca="false">DEMANDA!K12</f>
        <v>131001</v>
      </c>
      <c r="K11" s="9" t="n">
        <f aca="false">DEMANDA!K13</f>
        <v>5123</v>
      </c>
      <c r="L11" s="9" t="n">
        <f aca="false">DEMANDA!K14</f>
        <v>25283</v>
      </c>
      <c r="M11" s="9" t="n">
        <f aca="false">DEMANDA!K15</f>
        <v>1545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customFormat="false" ht="15" hidden="false" customHeight="false" outlineLevel="0" collapsed="false">
      <c r="A12" s="8"/>
      <c r="B12" s="8"/>
      <c r="C12" s="8" t="s">
        <v>171</v>
      </c>
      <c r="D12" s="8"/>
      <c r="E12" s="8"/>
      <c r="F12" s="9" t="n">
        <f aca="false">DEMANDA!L8</f>
        <v>28573.33614</v>
      </c>
      <c r="G12" s="9" t="n">
        <f aca="false">DEMANDA!L9</f>
        <v>6195.186243</v>
      </c>
      <c r="H12" s="9" t="n">
        <f aca="false">DEMANDA!L10</f>
        <v>28613.3997200898</v>
      </c>
      <c r="I12" s="9" t="n">
        <f aca="false">DEMANDA!L11</f>
        <v>1614.59478800518</v>
      </c>
      <c r="J12" s="9" t="n">
        <f aca="false">DEMANDA!L12</f>
        <v>146819.8</v>
      </c>
      <c r="K12" s="9" t="n">
        <f aca="false">DEMANDA!L13</f>
        <v>5741.4</v>
      </c>
      <c r="L12" s="9" t="n">
        <f aca="false">DEMANDA!L14</f>
        <v>28335.8</v>
      </c>
      <c r="M12" s="9" t="n">
        <f aca="false">DEMANDA!L15</f>
        <v>1731.4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customFormat="false" ht="15" hidden="false" customHeight="false" outlineLevel="0" collapsed="false">
      <c r="A13" s="8"/>
      <c r="B13" s="8"/>
      <c r="C13" s="8" t="s">
        <v>172</v>
      </c>
      <c r="D13" s="8"/>
      <c r="E13" s="8"/>
      <c r="F13" s="9" t="n">
        <f aca="false">DEMANDA!M8</f>
        <v>32072.63913</v>
      </c>
      <c r="G13" s="9" t="n">
        <f aca="false">DEMANDA!M9</f>
        <v>7424.858444</v>
      </c>
      <c r="H13" s="9" t="n">
        <f aca="false">DEMANDA!M10</f>
        <v>32428.7706862536</v>
      </c>
      <c r="I13" s="9" t="n">
        <f aca="false">DEMANDA!M11</f>
        <v>1842.87697319699</v>
      </c>
      <c r="J13" s="9" t="n">
        <f aca="false">DEMANDA!M12</f>
        <v>170548</v>
      </c>
      <c r="K13" s="9" t="n">
        <f aca="false">DEMANDA!M13</f>
        <v>6669</v>
      </c>
      <c r="L13" s="9" t="n">
        <f aca="false">DEMANDA!M14</f>
        <v>32915</v>
      </c>
      <c r="M13" s="9" t="n">
        <f aca="false">DEMANDA!M15</f>
        <v>2011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customFormat="false" ht="15" hidden="false" customHeight="false" outlineLevel="0" collapsed="false">
      <c r="A14" s="8"/>
      <c r="B14" s="8"/>
      <c r="C14" s="8" t="s">
        <v>173</v>
      </c>
      <c r="D14" s="8"/>
      <c r="E14" s="8"/>
      <c r="F14" s="9" t="n">
        <f aca="false">ESTACIONALIDAD!P10</f>
        <v>3848.7166956</v>
      </c>
      <c r="G14" s="9" t="n">
        <f aca="false">ESTACIONALIDAD!P11</f>
        <v>816.73442884</v>
      </c>
      <c r="H14" s="9" t="n">
        <f aca="false">ESTACIONALIDAD!P12</f>
        <v>3567.1647754879</v>
      </c>
      <c r="I14" s="9" t="n">
        <f aca="false">ESTACIONALIDAD!P13</f>
        <v>202.716467051669</v>
      </c>
      <c r="J14" s="9" t="n">
        <f aca="false">ESTACIONALIDAD!P14</f>
        <v>20465.76</v>
      </c>
      <c r="K14" s="9" t="n">
        <f aca="false">ESTACIONALIDAD!P15</f>
        <v>733.59</v>
      </c>
      <c r="L14" s="9" t="n">
        <f aca="false">ESTACIONALIDAD!P16</f>
        <v>3620.65</v>
      </c>
      <c r="M14" s="9" t="n">
        <f aca="false">ESTACIONALIDAD!P17</f>
        <v>221.21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customFormat="false" ht="15" hidden="false" customHeight="false" outlineLevel="0" collapsed="false">
      <c r="A15" s="11"/>
      <c r="B15" s="11"/>
      <c r="C15" s="11" t="s">
        <v>174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customFormat="false" ht="15" hidden="false" customHeight="false" outlineLevel="0" collapsed="false">
      <c r="A16" s="3" t="s">
        <v>175</v>
      </c>
      <c r="B16" s="3" t="s">
        <v>176</v>
      </c>
      <c r="C16" s="3" t="s">
        <v>177</v>
      </c>
      <c r="D16" s="3" t="s">
        <v>178</v>
      </c>
      <c r="E16" s="3"/>
      <c r="F16" s="12" t="n">
        <f aca="false">1/23</f>
        <v>0.0434782608695652</v>
      </c>
      <c r="G16" s="3"/>
      <c r="H16" s="3"/>
      <c r="I16" s="3"/>
      <c r="J16" s="12" t="n">
        <f aca="false">1/23</f>
        <v>0.0434782608695652</v>
      </c>
      <c r="K16" s="3"/>
      <c r="L16" s="3"/>
      <c r="M16" s="3"/>
      <c r="N16" s="13" t="n">
        <f aca="false">SUMPRODUCT($F16:$M16,$F$4:$M$4)</f>
        <v>181.684197521739</v>
      </c>
      <c r="O16" s="13" t="n">
        <f aca="false">SUMPRODUCT($F16:$M16,$F$5:$M$5)</f>
        <v>260.752346826087</v>
      </c>
      <c r="P16" s="13" t="n">
        <f aca="false">SUMPRODUCT($F16:$M16,$F$6:$M$6)</f>
        <v>631.049902521739</v>
      </c>
      <c r="Q16" s="13" t="n">
        <f aca="false">SUMPRODUCT($F16:$M16,$F$7:$M$7)</f>
        <v>1528.77980647826</v>
      </c>
      <c r="R16" s="13" t="n">
        <f aca="false">SUMPRODUCT($F16:$M16,$F$8:$M$8)</f>
        <v>2700.6709873913</v>
      </c>
      <c r="S16" s="13" t="n">
        <f aca="false">SUMPRODUCT($F16:$M16,$F$9:$M$9)</f>
        <v>3795.6718726087</v>
      </c>
      <c r="T16" s="13" t="n">
        <f aca="false">SUMPRODUCT($F16:$M16,$F$10:$M$10)</f>
        <v>5290.13709826087</v>
      </c>
      <c r="U16" s="13" t="n">
        <f aca="false">SUMPRODUCT($F16:$M16,$F$11:$M$11)</f>
        <v>6788.39471652174</v>
      </c>
      <c r="V16" s="13" t="n">
        <f aca="false">SUMPRODUCT($F16:$M16,$F$12:$M$12)</f>
        <v>7625.78852782609</v>
      </c>
      <c r="W16" s="13" t="n">
        <f aca="false">SUMPRODUCT($F16:$M16,$F$13:$M$13)</f>
        <v>8809.59300565217</v>
      </c>
      <c r="X16" s="13" t="n">
        <f aca="false">SUMPRODUCT($F16:$M16,$F$14:$M$14)</f>
        <v>1057.15116067826</v>
      </c>
    </row>
    <row r="17" customFormat="false" ht="15" hidden="false" customHeight="false" outlineLevel="0" collapsed="false">
      <c r="A17" s="3" t="s">
        <v>179</v>
      </c>
      <c r="B17" s="3" t="s">
        <v>180</v>
      </c>
      <c r="C17" s="3" t="s">
        <v>181</v>
      </c>
      <c r="D17" s="3" t="s">
        <v>182</v>
      </c>
      <c r="E17" s="3"/>
      <c r="F17" s="3"/>
      <c r="G17" s="12" t="n">
        <f aca="false">1/27</f>
        <v>0.037037037037037</v>
      </c>
      <c r="H17" s="3"/>
      <c r="I17" s="3"/>
      <c r="J17" s="3"/>
      <c r="K17" s="12" t="n">
        <f aca="false">1/27</f>
        <v>0.037037037037037</v>
      </c>
      <c r="L17" s="3"/>
      <c r="M17" s="3"/>
      <c r="N17" s="13" t="n">
        <f aca="false">SUMPRODUCT($F17:$M17,$F$4:$M$4)</f>
        <v>10.9270502666667</v>
      </c>
      <c r="O17" s="13" t="n">
        <f aca="false">SUMPRODUCT($F17:$M17,$F$5:$M$5)</f>
        <v>26.286201862963</v>
      </c>
      <c r="P17" s="13" t="n">
        <f aca="false">SUMPRODUCT($F17:$M17,$F$6:$M$6)</f>
        <v>47.6469650962963</v>
      </c>
      <c r="Q17" s="13" t="n">
        <f aca="false">SUMPRODUCT($F17:$M17,$F$7:$M$7)</f>
        <v>94.2384508888889</v>
      </c>
      <c r="R17" s="13" t="n">
        <f aca="false">SUMPRODUCT($F17:$M17,$F$8:$M$8)</f>
        <v>157.245471333333</v>
      </c>
      <c r="S17" s="13" t="n">
        <f aca="false">SUMPRODUCT($F17:$M17,$F$9:$M$9)</f>
        <v>224.291477296296</v>
      </c>
      <c r="T17" s="13" t="n">
        <f aca="false">SUMPRODUCT($F17:$M17,$F$10:$M$10)</f>
        <v>298.715389777778</v>
      </c>
      <c r="U17" s="13" t="n">
        <f aca="false">SUMPRODUCT($F17:$M17,$F$11:$M$11)</f>
        <v>378.789132851852</v>
      </c>
      <c r="V17" s="13" t="n">
        <f aca="false">SUMPRODUCT($F17:$M17,$F$12:$M$12)</f>
        <v>442.095786777778</v>
      </c>
      <c r="W17" s="13" t="n">
        <f aca="false">SUMPRODUCT($F17:$M17,$F$13:$M$13)</f>
        <v>521.994757185185</v>
      </c>
      <c r="X17" s="13" t="n">
        <f aca="false">SUMPRODUCT($F17:$M17,$F$14:$M$14)</f>
        <v>57.4194232903704</v>
      </c>
    </row>
    <row r="18" customFormat="false" ht="15" hidden="false" customHeight="false" outlineLevel="0" collapsed="false">
      <c r="A18" s="3" t="s">
        <v>183</v>
      </c>
      <c r="B18" s="3" t="s">
        <v>184</v>
      </c>
      <c r="C18" s="3" t="s">
        <v>185</v>
      </c>
      <c r="D18" s="3" t="s">
        <v>182</v>
      </c>
      <c r="E18" s="3"/>
      <c r="F18" s="3"/>
      <c r="G18" s="3"/>
      <c r="H18" s="12" t="n">
        <f aca="false">1/12</f>
        <v>0.0833333333333333</v>
      </c>
      <c r="I18" s="3"/>
      <c r="J18" s="3"/>
      <c r="K18" s="3"/>
      <c r="L18" s="12" t="n">
        <f aca="false">1/12</f>
        <v>0.0833333333333333</v>
      </c>
      <c r="M18" s="3"/>
      <c r="N18" s="13" t="n">
        <f aca="false">SUMPRODUCT($F18:$M18,$F$4:$M$4)</f>
        <v>227.32529740733</v>
      </c>
      <c r="O18" s="13" t="n">
        <f aca="false">SUMPRODUCT($F18:$M18,$F$5:$M$5)</f>
        <v>457.409219348824</v>
      </c>
      <c r="P18" s="13" t="n">
        <f aca="false">SUMPRODUCT($F18:$M18,$F$6:$M$6)</f>
        <v>723.782124729442</v>
      </c>
      <c r="Q18" s="13" t="n">
        <f aca="false">SUMPRODUCT($F18:$M18,$F$7:$M$7)</f>
        <v>1297.74231610135</v>
      </c>
      <c r="R18" s="13" t="n">
        <f aca="false">SUMPRODUCT($F18:$M18,$F$8:$M$8)</f>
        <v>2002.98927790921</v>
      </c>
      <c r="S18" s="13" t="n">
        <f aca="false">SUMPRODUCT($F18:$M18,$F$9:$M$9)</f>
        <v>2714.27174679247</v>
      </c>
      <c r="T18" s="13" t="n">
        <f aca="false">SUMPRODUCT($F18:$M18,$F$10:$M$10)</f>
        <v>3516.09018520898</v>
      </c>
      <c r="U18" s="13" t="n">
        <f aca="false">SUMPRODUCT($F18:$M18,$F$11:$M$11)</f>
        <v>4273.7782056395</v>
      </c>
      <c r="V18" s="13" t="n">
        <f aca="false">SUMPRODUCT($F18:$M18,$F$12:$M$12)</f>
        <v>4745.76664334082</v>
      </c>
      <c r="W18" s="13" t="n">
        <f aca="false">SUMPRODUCT($F18:$M18,$F$13:$M$13)</f>
        <v>5445.31422385447</v>
      </c>
      <c r="X18" s="13" t="n">
        <f aca="false">SUMPRODUCT($F18:$M18,$F$14:$M$14)</f>
        <v>598.984564623992</v>
      </c>
    </row>
    <row r="19" customFormat="false" ht="15" hidden="false" customHeight="false" outlineLevel="0" collapsed="false">
      <c r="A19" s="3" t="s">
        <v>186</v>
      </c>
      <c r="B19" s="3" t="s">
        <v>187</v>
      </c>
      <c r="C19" s="3" t="s">
        <v>188</v>
      </c>
      <c r="D19" s="3" t="s">
        <v>182</v>
      </c>
      <c r="E19" s="3"/>
      <c r="F19" s="3"/>
      <c r="G19" s="3"/>
      <c r="H19" s="3"/>
      <c r="I19" s="12" t="n">
        <f aca="false">1/15</f>
        <v>0.0666666666666667</v>
      </c>
      <c r="J19" s="3"/>
      <c r="K19" s="3"/>
      <c r="L19" s="3"/>
      <c r="M19" s="12" t="n">
        <f aca="false">1/15</f>
        <v>0.0666666666666667</v>
      </c>
      <c r="N19" s="13" t="n">
        <f aca="false">SUMPRODUCT($F19:$M19,$F$4:$M$4)</f>
        <v>6.16058362345601</v>
      </c>
      <c r="O19" s="13" t="n">
        <f aca="false">SUMPRODUCT($F19:$M19,$F$5:$M$5)</f>
        <v>11.8759623049235</v>
      </c>
      <c r="P19" s="13" t="n">
        <f aca="false">SUMPRODUCT($F19:$M19,$F$6:$M$6)</f>
        <v>23.0310154186114</v>
      </c>
      <c r="Q19" s="13" t="n">
        <f aca="false">SUMPRODUCT($F19:$M19,$F$7:$M$7)</f>
        <v>45.0714020037168</v>
      </c>
      <c r="R19" s="13" t="n">
        <f aca="false">SUMPRODUCT($F19:$M19,$F$8:$M$8)</f>
        <v>79.2683196433528</v>
      </c>
      <c r="S19" s="13" t="n">
        <f aca="false">SUMPRODUCT($F19:$M19,$F$9:$M$9)</f>
        <v>114.801116763803</v>
      </c>
      <c r="T19" s="13" t="n">
        <f aca="false">SUMPRODUCT($F19:$M19,$F$10:$M$10)</f>
        <v>155.050331610748</v>
      </c>
      <c r="U19" s="13" t="n">
        <f aca="false">SUMPRODUCT($F19:$M19,$F$11:$M$11)</f>
        <v>196.17450662683</v>
      </c>
      <c r="V19" s="13" t="n">
        <f aca="false">SUMPRODUCT($F19:$M19,$F$12:$M$12)</f>
        <v>223.066319200345</v>
      </c>
      <c r="W19" s="13" t="n">
        <f aca="false">SUMPRODUCT($F19:$M19,$F$13:$M$13)</f>
        <v>256.925131546466</v>
      </c>
      <c r="X19" s="13" t="n">
        <f aca="false">SUMPRODUCT($F19:$M19,$F$14:$M$14)</f>
        <v>28.2617644701112</v>
      </c>
    </row>
    <row r="20" customFormat="false" ht="15" hidden="false" customHeight="false" outlineLevel="0" collapsed="false">
      <c r="A20" s="3" t="s">
        <v>189</v>
      </c>
      <c r="B20" s="3" t="s">
        <v>190</v>
      </c>
      <c r="C20" s="3" t="s">
        <v>191</v>
      </c>
      <c r="D20" s="3" t="s">
        <v>192</v>
      </c>
      <c r="E20" s="3"/>
      <c r="F20" s="12" t="n">
        <f aca="false">114*(95+3)*0.9*7.85/1000000</f>
        <v>0.07893018</v>
      </c>
      <c r="G20" s="3"/>
      <c r="H20" s="3"/>
      <c r="I20" s="3"/>
      <c r="J20" s="12" t="n">
        <f aca="false">114*(95+3)*0.9*7.85/1000000</f>
        <v>0.07893018</v>
      </c>
      <c r="K20" s="3"/>
      <c r="L20" s="3"/>
      <c r="M20" s="3"/>
      <c r="N20" s="13" t="n">
        <f aca="false">SUMPRODUCT($F20:$M20,$F$4:$M$4)</f>
        <v>329.828427511568</v>
      </c>
      <c r="O20" s="13" t="n">
        <f aca="false">SUMPRODUCT($F20:$M20,$F$5:$M$5)</f>
        <v>473.368282419326</v>
      </c>
      <c r="P20" s="13" t="n">
        <f aca="false">SUMPRODUCT($F20:$M20,$F$6:$M$6)</f>
        <v>1145.60429508554</v>
      </c>
      <c r="Q20" s="13" t="n">
        <f aca="false">SUMPRODUCT($F20:$M20,$F$7:$M$7)</f>
        <v>2775.33790203097</v>
      </c>
      <c r="R20" s="13" t="n">
        <f aca="false">SUMPRODUCT($F20:$M20,$F$8:$M$8)</f>
        <v>4902.78228457819</v>
      </c>
      <c r="S20" s="13" t="n">
        <f aca="false">SUMPRODUCT($F20:$M20,$F$9:$M$9)</f>
        <v>6890.64047489665</v>
      </c>
      <c r="T20" s="13" t="n">
        <f aca="false">SUMPRODUCT($F20:$M20,$F$10:$M$10)</f>
        <v>9603.68388797939</v>
      </c>
      <c r="U20" s="13" t="n">
        <f aca="false">SUMPRODUCT($F20:$M20,$F$11:$M$11)</f>
        <v>12323.6119883805</v>
      </c>
      <c r="V20" s="13" t="n">
        <f aca="false">SUMPRODUCT($F20:$M20,$F$12:$M$12)</f>
        <v>13843.8118062947</v>
      </c>
      <c r="W20" s="13" t="n">
        <f aca="false">SUMPRODUCT($F20:$M20,$F$13:$M$13)</f>
        <v>15992.8835182459</v>
      </c>
      <c r="X20" s="13" t="n">
        <f aca="false">SUMPRODUCT($F20:$M20,$F$14:$M$14)</f>
        <v>1919.14602218951</v>
      </c>
    </row>
    <row r="21" customFormat="false" ht="15" hidden="false" customHeight="false" outlineLevel="0" collapsed="false">
      <c r="A21" s="3" t="s">
        <v>193</v>
      </c>
      <c r="B21" s="3" t="s">
        <v>194</v>
      </c>
      <c r="C21" s="3" t="s">
        <v>195</v>
      </c>
      <c r="D21" s="3" t="s">
        <v>192</v>
      </c>
      <c r="E21" s="3"/>
      <c r="F21" s="12" t="n">
        <f aca="false">135*(112+3)*1.25*7.85/1000000</f>
        <v>0.1523390625</v>
      </c>
      <c r="G21" s="3"/>
      <c r="H21" s="3"/>
      <c r="I21" s="3"/>
      <c r="J21" s="12" t="n">
        <f aca="false">135*(112+3)*1.25*7.85/1000000</f>
        <v>0.1523390625</v>
      </c>
      <c r="K21" s="3"/>
      <c r="L21" s="3"/>
      <c r="M21" s="3"/>
      <c r="N21" s="13" t="n">
        <f aca="false">SUMPRODUCT($F21:$M21,$F$4:$M$4)</f>
        <v>636.584807395111</v>
      </c>
      <c r="O21" s="13" t="n">
        <f aca="false">SUMPRODUCT($F21:$M21,$F$5:$M$5)</f>
        <v>913.623665383702</v>
      </c>
      <c r="P21" s="13" t="n">
        <f aca="false">SUMPRODUCT($F21:$M21,$F$6:$M$6)</f>
        <v>2211.0716624402</v>
      </c>
      <c r="Q21" s="13" t="n">
        <f aca="false">SUMPRODUCT($F21:$M21,$F$7:$M$7)</f>
        <v>5356.53629722008</v>
      </c>
      <c r="R21" s="13" t="n">
        <f aca="false">SUMPRODUCT($F21:$M21,$F$8:$M$8)</f>
        <v>9462.60678582324</v>
      </c>
      <c r="S21" s="13" t="n">
        <f aca="false">SUMPRODUCT($F21:$M21,$F$9:$M$9)</f>
        <v>13299.269176509</v>
      </c>
      <c r="T21" s="13" t="n">
        <f aca="false">SUMPRODUCT($F21:$M21,$F$10:$M$10)</f>
        <v>18535.5740990472</v>
      </c>
      <c r="U21" s="13" t="n">
        <f aca="false">SUMPRODUCT($F21:$M21,$F$11:$M$11)</f>
        <v>23785.1668008821</v>
      </c>
      <c r="V21" s="13" t="n">
        <f aca="false">SUMPRODUCT($F21:$M21,$F$12:$M$12)</f>
        <v>26719.2259285025</v>
      </c>
      <c r="W21" s="13" t="n">
        <f aca="false">SUMPRODUCT($F21:$M21,$F$13:$M$13)</f>
        <v>30867.038208215</v>
      </c>
      <c r="X21" s="13" t="n">
        <f aca="false">SUMPRODUCT($F21:$M21,$F$14:$M$14)</f>
        <v>3704.0445849858</v>
      </c>
    </row>
    <row r="22" customFormat="false" ht="15" hidden="false" customHeight="false" outlineLevel="0" collapsed="false">
      <c r="A22" s="3" t="s">
        <v>196</v>
      </c>
      <c r="B22" s="3" t="s">
        <v>197</v>
      </c>
      <c r="C22" s="3" t="s">
        <v>198</v>
      </c>
      <c r="D22" s="3" t="s">
        <v>192</v>
      </c>
      <c r="E22" s="3"/>
      <c r="F22" s="3"/>
      <c r="G22" s="12" t="n">
        <f aca="false">200*(179+3)*1.25*7.85/1000000+200*(148+3)*1.25*7.85/1000000</f>
        <v>0.6535125</v>
      </c>
      <c r="H22" s="3"/>
      <c r="I22" s="3"/>
      <c r="J22" s="3"/>
      <c r="K22" s="12" t="n">
        <f aca="false">200*(179+3)*1.25*7.85/1000000+200*(148+3)*1.25*7.85/1000000</f>
        <v>0.6535125</v>
      </c>
      <c r="L22" s="3"/>
      <c r="M22" s="3"/>
      <c r="N22" s="13" t="n">
        <f aca="false">SUMPRODUCT($F22:$M22,$F$4:$M$4)</f>
        <v>192.806026309665</v>
      </c>
      <c r="O22" s="13" t="n">
        <f aca="false">SUMPRODUCT($F22:$M22,$F$5:$M$5)</f>
        <v>463.815760364179</v>
      </c>
      <c r="P22" s="13" t="n">
        <f aca="false">SUMPRODUCT($F22:$M22,$F$6:$M$6)</f>
        <v>840.72295649232</v>
      </c>
      <c r="Q22" s="13" t="n">
        <f aca="false">SUMPRODUCT($F22:$M22,$F$7:$M$7)</f>
        <v>1662.82215218617</v>
      </c>
      <c r="R22" s="13" t="n">
        <f aca="false">SUMPRODUCT($F22:$M22,$F$8:$M$8)</f>
        <v>2774.57078928758</v>
      </c>
      <c r="S22" s="13" t="n">
        <f aca="false">SUMPRODUCT($F22:$M22,$F$9:$M$9)</f>
        <v>3957.58666952809</v>
      </c>
      <c r="T22" s="13" t="n">
        <f aca="false">SUMPRODUCT($F22:$M22,$F$10:$M$10)</f>
        <v>5270.78451137805</v>
      </c>
      <c r="U22" s="13" t="n">
        <f aca="false">SUMPRODUCT($F22:$M22,$F$11:$M$11)</f>
        <v>6683.67269593684</v>
      </c>
      <c r="V22" s="13" t="n">
        <f aca="false">SUMPRODUCT($F22:$M22,$F$12:$M$12)</f>
        <v>7800.70831712854</v>
      </c>
      <c r="W22" s="13" t="n">
        <f aca="false">SUMPRODUCT($F22:$M22,$F$13:$M$13)</f>
        <v>9210.51266638455</v>
      </c>
      <c r="X22" s="13" t="n">
        <f aca="false">SUMPRODUCT($F22:$M22,$F$14:$M$14)</f>
        <v>1013.1563933023</v>
      </c>
    </row>
    <row r="23" customFormat="false" ht="15" hidden="false" customHeight="false" outlineLevel="0" collapsed="false">
      <c r="A23" s="3" t="s">
        <v>199</v>
      </c>
      <c r="B23" s="3" t="s">
        <v>200</v>
      </c>
      <c r="C23" s="3" t="s">
        <v>201</v>
      </c>
      <c r="D23" s="3" t="s">
        <v>192</v>
      </c>
      <c r="E23" s="3"/>
      <c r="F23" s="3"/>
      <c r="G23" s="3"/>
      <c r="H23" s="12" t="n">
        <f aca="false">250*(221+3)*1.6*7.85/1000000</f>
        <v>0.70336</v>
      </c>
      <c r="I23" s="3"/>
      <c r="J23" s="3"/>
      <c r="K23" s="3"/>
      <c r="L23" s="12" t="n">
        <f aca="false">250*(221+3)*1.6*7.85/1000000</f>
        <v>0.70336</v>
      </c>
      <c r="M23" s="3"/>
      <c r="N23" s="13" t="n">
        <f aca="false">SUMPRODUCT($F23:$M23,$F$4:$M$4)</f>
        <v>1918.69825421304</v>
      </c>
      <c r="O23" s="13" t="n">
        <f aca="false">SUMPRODUCT($F23:$M23,$F$5:$M$5)</f>
        <v>3860.68018225427</v>
      </c>
      <c r="P23" s="13" t="n">
        <f aca="false">SUMPRODUCT($F23:$M23,$F$6:$M$6)</f>
        <v>6108.95274299641</v>
      </c>
      <c r="Q23" s="13" t="n">
        <f aca="false">SUMPRODUCT($F23:$M23,$F$7:$M$7)</f>
        <v>10953.3604254366</v>
      </c>
      <c r="R23" s="13" t="n">
        <f aca="false">SUMPRODUCT($F23:$M23,$F$8:$M$8)</f>
        <v>16905.8704621226</v>
      </c>
      <c r="S23" s="13" t="n">
        <f aca="false">SUMPRODUCT($F23:$M23,$F$9:$M$9)</f>
        <v>22909.3221098874</v>
      </c>
      <c r="T23" s="13" t="n">
        <f aca="false">SUMPRODUCT($F23:$M23,$F$10:$M$10)</f>
        <v>29676.9263120231</v>
      </c>
      <c r="U23" s="13" t="n">
        <f aca="false">SUMPRODUCT($F23:$M23,$F$11:$M$11)</f>
        <v>36072.0556646232</v>
      </c>
      <c r="V23" s="13" t="n">
        <f aca="false">SUMPRODUCT($F23:$M23,$F$12:$M$12)</f>
        <v>40055.7891151224</v>
      </c>
      <c r="W23" s="13" t="n">
        <f aca="false">SUMPRODUCT($F23:$M23,$F$13:$M$13)</f>
        <v>45960.1945498834</v>
      </c>
      <c r="X23" s="13" t="n">
        <f aca="false">SUMPRODUCT($F23:$M23,$F$14:$M$14)</f>
        <v>5055.62140048717</v>
      </c>
    </row>
    <row r="24" customFormat="false" ht="15" hidden="false" customHeight="false" outlineLevel="0" collapsed="false">
      <c r="A24" s="3" t="s">
        <v>202</v>
      </c>
      <c r="B24" s="3" t="s">
        <v>203</v>
      </c>
      <c r="C24" s="3" t="s">
        <v>204</v>
      </c>
      <c r="D24" s="3" t="s">
        <v>192</v>
      </c>
      <c r="E24" s="3"/>
      <c r="F24" s="3"/>
      <c r="G24" s="3"/>
      <c r="H24" s="12" t="n">
        <f aca="false">200*(177+3)*1.6*7.85/1000000</f>
        <v>0.45216</v>
      </c>
      <c r="I24" s="3"/>
      <c r="J24" s="3"/>
      <c r="K24" s="3"/>
      <c r="L24" s="12" t="n">
        <f aca="false">200*(177+3)*1.6*7.85/1000000</f>
        <v>0.45216</v>
      </c>
      <c r="M24" s="3"/>
      <c r="N24" s="13" t="n">
        <f aca="false">SUMPRODUCT($F24:$M24,$F$4:$M$4)</f>
        <v>1233.44887770838</v>
      </c>
      <c r="O24" s="13" t="n">
        <f aca="false">SUMPRODUCT($F24:$M24,$F$5:$M$5)</f>
        <v>2481.86583144917</v>
      </c>
      <c r="P24" s="13" t="n">
        <f aca="false">SUMPRODUCT($F24:$M24,$F$6:$M$6)</f>
        <v>3927.18390621198</v>
      </c>
      <c r="Q24" s="13" t="n">
        <f aca="false">SUMPRODUCT($F24:$M24,$F$7:$M$7)</f>
        <v>7041.44598778064</v>
      </c>
      <c r="R24" s="13" t="n">
        <f aca="false">SUMPRODUCT($F24:$M24,$F$8:$M$8)</f>
        <v>10868.0595827931</v>
      </c>
      <c r="S24" s="13" t="n">
        <f aca="false">SUMPRODUCT($F24:$M24,$F$9:$M$9)</f>
        <v>14727.4213563562</v>
      </c>
      <c r="T24" s="13" t="n">
        <f aca="false">SUMPRODUCT($F24:$M24,$F$10:$M$10)</f>
        <v>19078.0240577291</v>
      </c>
      <c r="U24" s="13" t="n">
        <f aca="false">SUMPRODUCT($F24:$M24,$F$11:$M$11)</f>
        <v>23189.1786415435</v>
      </c>
      <c r="V24" s="13" t="n">
        <f aca="false">SUMPRODUCT($F24:$M24,$F$12:$M$12)</f>
        <v>25750.1501454358</v>
      </c>
      <c r="W24" s="13" t="n">
        <f aca="false">SUMPRODUCT($F24:$M24,$F$13:$M$13)</f>
        <v>29545.8393534965</v>
      </c>
      <c r="X24" s="13" t="n">
        <f aca="false">SUMPRODUCT($F24:$M24,$F$14:$M$14)</f>
        <v>3250.04232888461</v>
      </c>
    </row>
    <row r="25" customFormat="false" ht="15" hidden="false" customHeight="false" outlineLevel="0" collapsed="false">
      <c r="A25" s="3" t="s">
        <v>205</v>
      </c>
      <c r="B25" s="3" t="s">
        <v>206</v>
      </c>
      <c r="C25" s="3" t="s">
        <v>207</v>
      </c>
      <c r="D25" s="3" t="s">
        <v>192</v>
      </c>
      <c r="E25" s="3"/>
      <c r="F25" s="3"/>
      <c r="G25" s="3"/>
      <c r="H25" s="3"/>
      <c r="I25" s="12" t="n">
        <f aca="false">300*(258+3)*1.6*7.85/1000000</f>
        <v>0.983448</v>
      </c>
      <c r="J25" s="3"/>
      <c r="K25" s="3"/>
      <c r="L25" s="3"/>
      <c r="M25" s="12" t="n">
        <f aca="false">300*(258+3)*1.6*7.85/1000000</f>
        <v>0.983448</v>
      </c>
      <c r="N25" s="13" t="n">
        <f aca="false">SUMPRODUCT($F25:$M25,$F$4:$M$4)</f>
        <v>90.8792046498085</v>
      </c>
      <c r="O25" s="13" t="n">
        <f aca="false">SUMPRODUCT($F25:$M25,$F$5:$M$5)</f>
        <v>175.190870652786</v>
      </c>
      <c r="P25" s="13" t="n">
        <f aca="false">SUMPRODUCT($F25:$M25,$F$6:$M$6)</f>
        <v>339.747090771038</v>
      </c>
      <c r="Q25" s="13" t="n">
        <f aca="false">SUMPRODUCT($F25:$M25,$F$7:$M$7)</f>
        <v>664.88070236627</v>
      </c>
      <c r="R25" s="13" t="n">
        <f aca="false">SUMPRODUCT($F25:$M25,$F$8:$M$8)</f>
        <v>1169.34405624924</v>
      </c>
      <c r="S25" s="13" t="n">
        <f aca="false">SUMPRODUCT($F25:$M25,$F$9:$M$9)</f>
        <v>1693.51393018693</v>
      </c>
      <c r="T25" s="13" t="n">
        <f aca="false">SUMPRODUCT($F25:$M25,$F$10:$M$10)</f>
        <v>2287.2590778289</v>
      </c>
      <c r="U25" s="13" t="n">
        <f aca="false">SUMPRODUCT($F25:$M25,$F$11:$M$11)</f>
        <v>2893.91139289714</v>
      </c>
      <c r="V25" s="13" t="n">
        <f aca="false">SUMPRODUCT($F25:$M25,$F$12:$M$12)</f>
        <v>3290.61188227411</v>
      </c>
      <c r="W25" s="13" t="n">
        <f aca="false">SUMPRODUCT($F25:$M25,$F$13:$M$13)</f>
        <v>3790.08760153663</v>
      </c>
      <c r="X25" s="13" t="n">
        <f aca="false">SUMPRODUCT($F25:$M25,$F$14:$M$14)</f>
        <v>416.909636169029</v>
      </c>
    </row>
    <row r="26" customFormat="false" ht="15" hidden="false" customHeight="false" outlineLevel="0" collapsed="false">
      <c r="A26" s="3" t="s">
        <v>208</v>
      </c>
      <c r="B26" s="3" t="s">
        <v>209</v>
      </c>
      <c r="C26" s="3" t="s">
        <v>210</v>
      </c>
      <c r="D26" s="3" t="s">
        <v>192</v>
      </c>
      <c r="E26" s="3"/>
      <c r="F26" s="3"/>
      <c r="G26" s="3"/>
      <c r="H26" s="3"/>
      <c r="I26" s="12" t="n">
        <f aca="false">249*(205+3)*2*7.85/1000000</f>
        <v>0.8131344</v>
      </c>
      <c r="J26" s="3"/>
      <c r="K26" s="3"/>
      <c r="L26" s="3"/>
      <c r="M26" s="12" t="n">
        <f aca="false">249*(205+3)*2*7.85/1000000</f>
        <v>0.8131344</v>
      </c>
      <c r="N26" s="13" t="n">
        <f aca="false">SUMPRODUCT($F26:$M26,$F$4:$M$4)</f>
        <v>75.1407370246309</v>
      </c>
      <c r="O26" s="13" t="n">
        <f aca="false">SUMPRODUCT($F26:$M26,$F$5:$M$5)</f>
        <v>144.851302248549</v>
      </c>
      <c r="P26" s="13" t="n">
        <f aca="false">SUMPRODUCT($F26:$M26,$F$6:$M$6)</f>
        <v>280.909663557049</v>
      </c>
      <c r="Q26" s="13" t="n">
        <f aca="false">SUMPRODUCT($F26:$M26,$F$7:$M$7)</f>
        <v>549.736611381766</v>
      </c>
      <c r="R26" s="13" t="n">
        <f aca="false">SUMPRODUCT($F26:$M26,$F$8:$M$8)</f>
        <v>966.836962983089</v>
      </c>
      <c r="S26" s="13" t="n">
        <f aca="false">SUMPRODUCT($F26:$M26,$F$9:$M$9)</f>
        <v>1400.23105798597</v>
      </c>
      <c r="T26" s="13" t="n">
        <f aca="false">SUMPRODUCT($F26:$M26,$F$10:$M$10)</f>
        <v>1891.15137546159</v>
      </c>
      <c r="U26" s="13" t="n">
        <f aca="false">SUMPRODUCT($F26:$M26,$F$11:$M$11)</f>
        <v>2392.74359611955</v>
      </c>
      <c r="V26" s="13" t="n">
        <f aca="false">SUMPRODUCT($F26:$M26,$F$12:$M$12)</f>
        <v>2720.74346434772</v>
      </c>
      <c r="W26" s="13" t="n">
        <f aca="false">SUMPRODUCT($F26:$M26,$F$13:$M$13)</f>
        <v>3133.71994027435</v>
      </c>
      <c r="X26" s="13" t="n">
        <f aca="false">SUMPRODUCT($F26:$M26,$F$14:$M$14)</f>
        <v>344.709193430178</v>
      </c>
    </row>
    <row r="27" customFormat="false" ht="15" hidden="false" customHeight="false" outlineLevel="0" collapsed="false">
      <c r="A27" s="3" t="s">
        <v>211</v>
      </c>
      <c r="B27" s="3" t="s">
        <v>212</v>
      </c>
      <c r="C27" s="3" t="s">
        <v>213</v>
      </c>
      <c r="D27" s="3" t="s">
        <v>214</v>
      </c>
      <c r="E27" s="3"/>
      <c r="F27" s="12" t="n">
        <v>1</v>
      </c>
      <c r="G27" s="3"/>
      <c r="H27" s="3"/>
      <c r="I27" s="3"/>
      <c r="J27" s="12" t="n">
        <v>1</v>
      </c>
      <c r="K27" s="3"/>
      <c r="L27" s="3"/>
      <c r="M27" s="3"/>
      <c r="N27" s="13" t="n">
        <f aca="false">SUMPRODUCT($F27:$M27,$F$4:$M$4)</f>
        <v>4178.736543</v>
      </c>
      <c r="O27" s="13" t="n">
        <f aca="false">SUMPRODUCT($F27:$M27,$F$5:$M$5)</f>
        <v>5997.303977</v>
      </c>
      <c r="P27" s="13" t="n">
        <f aca="false">SUMPRODUCT($F27:$M27,$F$6:$M$6)</f>
        <v>14514.147758</v>
      </c>
      <c r="Q27" s="13" t="n">
        <f aca="false">SUMPRODUCT($F27:$M27,$F$7:$M$7)</f>
        <v>35161.935549</v>
      </c>
      <c r="R27" s="13" t="n">
        <f aca="false">SUMPRODUCT($F27:$M27,$F$8:$M$8)</f>
        <v>62115.43271</v>
      </c>
      <c r="S27" s="13" t="n">
        <f aca="false">SUMPRODUCT($F27:$M27,$F$9:$M$9)</f>
        <v>87300.45307</v>
      </c>
      <c r="T27" s="13" t="n">
        <f aca="false">SUMPRODUCT($F27:$M27,$F$10:$M$10)</f>
        <v>121673.15326</v>
      </c>
      <c r="U27" s="13" t="n">
        <f aca="false">SUMPRODUCT($F27:$M27,$F$11:$M$11)</f>
        <v>156133.07848</v>
      </c>
      <c r="V27" s="13" t="n">
        <f aca="false">SUMPRODUCT($F27:$M27,$F$12:$M$12)</f>
        <v>175393.13614</v>
      </c>
      <c r="W27" s="13" t="n">
        <f aca="false">SUMPRODUCT($F27:$M27,$F$13:$M$13)</f>
        <v>202620.63913</v>
      </c>
      <c r="X27" s="13" t="n">
        <f aca="false">SUMPRODUCT($F27:$M27,$F$14:$M$14)</f>
        <v>24314.4766956</v>
      </c>
    </row>
    <row r="28" customFormat="false" ht="15" hidden="false" customHeight="false" outlineLevel="0" collapsed="false">
      <c r="A28" s="3" t="s">
        <v>215</v>
      </c>
      <c r="B28" s="3" t="s">
        <v>216</v>
      </c>
      <c r="C28" s="3" t="s">
        <v>217</v>
      </c>
      <c r="D28" s="3" t="s">
        <v>214</v>
      </c>
      <c r="E28" s="3"/>
      <c r="F28" s="3"/>
      <c r="G28" s="12" t="n">
        <v>1</v>
      </c>
      <c r="H28" s="12" t="n">
        <v>1</v>
      </c>
      <c r="I28" s="12" t="n">
        <v>1</v>
      </c>
      <c r="J28" s="3"/>
      <c r="K28" s="12" t="n">
        <v>1</v>
      </c>
      <c r="L28" s="12" t="n">
        <v>1</v>
      </c>
      <c r="M28" s="12" t="n">
        <v>1</v>
      </c>
      <c r="N28" s="13" t="n">
        <f aca="false">SUMPRODUCT($F28:$M28,$F$4:$M$4)</f>
        <v>3115.3426804398</v>
      </c>
      <c r="O28" s="13" t="n">
        <f aca="false">SUMPRODUCT($F28:$M28,$F$5:$M$5)</f>
        <v>6376.77751705974</v>
      </c>
      <c r="P28" s="13" t="n">
        <f aca="false">SUMPRODUCT($F28:$M28,$F$6:$M$6)</f>
        <v>10317.3187856325</v>
      </c>
      <c r="Q28" s="13" t="n">
        <f aca="false">SUMPRODUCT($F28:$M28,$F$7:$M$7)</f>
        <v>18793.416997272</v>
      </c>
      <c r="R28" s="13" t="n">
        <f aca="false">SUMPRODUCT($F28:$M28,$F$8:$M$8)</f>
        <v>29470.5238555608</v>
      </c>
      <c r="S28" s="13" t="n">
        <f aca="false">SUMPRODUCT($F28:$M28,$F$9:$M$9)</f>
        <v>40349.1475999667</v>
      </c>
      <c r="T28" s="13" t="n">
        <f aca="false">SUMPRODUCT($F28:$M28,$F$10:$M$10)</f>
        <v>52584.152720669</v>
      </c>
      <c r="U28" s="13" t="n">
        <f aca="false">SUMPRODUCT($F28:$M28,$F$11:$M$11)</f>
        <v>64455.2626540764</v>
      </c>
      <c r="V28" s="13" t="n">
        <f aca="false">SUMPRODUCT($F28:$M28,$F$12:$M$12)</f>
        <v>72231.780751095</v>
      </c>
      <c r="W28" s="13" t="n">
        <f aca="false">SUMPRODUCT($F28:$M28,$F$13:$M$13)</f>
        <v>83291.5061034506</v>
      </c>
      <c r="X28" s="13" t="n">
        <f aca="false">SUMPRODUCT($F28:$M28,$F$14:$M$14)</f>
        <v>9162.06567137957</v>
      </c>
    </row>
    <row r="29" customFormat="false" ht="15" hidden="false" customHeight="false" outlineLevel="0" collapsed="false">
      <c r="A29" s="3" t="s">
        <v>218</v>
      </c>
      <c r="B29" s="3" t="s">
        <v>219</v>
      </c>
      <c r="C29" s="3" t="s">
        <v>220</v>
      </c>
      <c r="D29" s="3" t="s">
        <v>192</v>
      </c>
      <c r="E29" s="3"/>
      <c r="F29" s="12" t="n">
        <v>0.01499</v>
      </c>
      <c r="G29" s="12" t="n">
        <v>0.0304</v>
      </c>
      <c r="H29" s="12" t="n">
        <v>0.03675</v>
      </c>
      <c r="I29" s="12" t="n">
        <v>0.04575</v>
      </c>
      <c r="J29" s="12" t="n">
        <v>0.01499</v>
      </c>
      <c r="K29" s="12" t="n">
        <v>0.0304</v>
      </c>
      <c r="L29" s="12" t="n">
        <v>0.03675</v>
      </c>
      <c r="M29" s="12" t="n">
        <v>0.04575</v>
      </c>
      <c r="N29" s="13" t="n">
        <f aca="false">SUMPRODUCT($F29:$M29,$F$4:$M$4)</f>
        <v>176.086340306679</v>
      </c>
      <c r="O29" s="13" t="n">
        <f aca="false">SUMPRODUCT($F29:$M29,$F$5:$M$5)</f>
        <v>321.342645968935</v>
      </c>
      <c r="P29" s="13" t="n">
        <f aca="false">SUMPRODUCT($F29:$M29,$F$6:$M$6)</f>
        <v>591.668655180166</v>
      </c>
      <c r="Q29" s="13" t="n">
        <f aca="false">SUMPRODUCT($F29:$M29,$F$7:$M$7)</f>
        <v>1207.66294539486</v>
      </c>
      <c r="R29" s="13" t="n">
        <f aca="false">SUMPRODUCT($F29:$M29,$F$8:$M$8)</f>
        <v>1997.89357510651</v>
      </c>
      <c r="S29" s="13" t="n">
        <f aca="false">SUMPRODUCT($F29:$M29,$F$9:$M$9)</f>
        <v>2768.50834279874</v>
      </c>
      <c r="T29" s="13" t="n">
        <f aca="false">SUMPRODUCT($F29:$M29,$F$10:$M$10)</f>
        <v>3726.06522104204</v>
      </c>
      <c r="U29" s="13" t="n">
        <f aca="false">SUMPRODUCT($F29:$M29,$F$11:$M$11)</f>
        <v>4670.70591051968</v>
      </c>
      <c r="V29" s="13" t="n">
        <f aca="false">SUMPRODUCT($F29:$M29,$F$12:$M$12)</f>
        <v>5237.97768379034</v>
      </c>
      <c r="W29" s="13" t="n">
        <f aca="false">SUMPRODUCT($F29:$M29,$F$13:$M$13)</f>
        <v>6043.43512149988</v>
      </c>
      <c r="X29" s="13" t="n">
        <f aca="false">SUMPRODUCT($F29:$M29,$F$14:$M$14)</f>
        <v>695.150697170574</v>
      </c>
    </row>
    <row r="30" customFormat="false" ht="15" hidden="false" customHeight="false" outlineLevel="0" collapsed="false">
      <c r="A30" s="3" t="s">
        <v>221</v>
      </c>
      <c r="B30" s="3" t="s">
        <v>222</v>
      </c>
      <c r="C30" s="3" t="s">
        <v>223</v>
      </c>
      <c r="D30" s="3" t="s">
        <v>224</v>
      </c>
      <c r="E30" s="3"/>
      <c r="F30" s="12" t="n">
        <f aca="false">0.01671*48/(1216*0.01671+99*0.03388+446*0.04096+27*0.051)</f>
        <v>0.0185158167477095</v>
      </c>
      <c r="G30" s="12" t="n">
        <f aca="false">0.03388*48/(1216*0.01671+99*0.03388+446*0.04096+27*0.051)</f>
        <v>0.0375413447882944</v>
      </c>
      <c r="H30" s="12" t="n">
        <f aca="false">0.04096*48/(1216*0.01671+99*0.03388+446*0.04096+27*0.051)</f>
        <v>0.0453864664264621</v>
      </c>
      <c r="I30" s="12" t="n">
        <f aca="false">0.051*48/(1216*0.01671+99*0.03388+446*0.04096+27*0.051)</f>
        <v>0.0565114694274797</v>
      </c>
      <c r="J30" s="12" t="n">
        <f aca="false">0.01671*48/(1216*0.01671+99*0.03388+446*0.04096+27*0.051)</f>
        <v>0.0185158167477095</v>
      </c>
      <c r="K30" s="12" t="n">
        <f aca="false">0.03388*48/(1216*0.01671+99*0.03388+446*0.04096+27*0.051)</f>
        <v>0.0375413447882944</v>
      </c>
      <c r="L30" s="12" t="n">
        <f aca="false">0.04096*48/(1216*0.01671+99*0.03388+446*0.04096+27*0.051)</f>
        <v>0.0453864664264621</v>
      </c>
      <c r="M30" s="12" t="n">
        <f aca="false">0.051*48/(1216*0.01671+99*0.03388+446*0.04096+27*0.051)</f>
        <v>0.0565114694274797</v>
      </c>
      <c r="N30" s="13" t="n">
        <f aca="false">SUMPRODUCT($F30:$M30,$F$4:$M$4)</f>
        <v>217.480614670149</v>
      </c>
      <c r="O30" s="13" t="n">
        <f aca="false">SUMPRODUCT($F30:$M30,$F$5:$M$5)</f>
        <v>396.878283672176</v>
      </c>
      <c r="P30" s="13" t="n">
        <f aca="false">SUMPRODUCT($F30:$M30,$F$6:$M$6)</f>
        <v>730.758746150761</v>
      </c>
      <c r="Q30" s="13" t="n">
        <f aca="false">SUMPRODUCT($F30:$M30,$F$7:$M$7)</f>
        <v>1491.57860996769</v>
      </c>
      <c r="R30" s="13" t="n">
        <f aca="false">SUMPRODUCT($F30:$M30,$F$8:$M$8)</f>
        <v>2467.60134927162</v>
      </c>
      <c r="S30" s="13" t="n">
        <f aca="false">SUMPRODUCT($F30:$M30,$F$9:$M$9)</f>
        <v>3419.39282955772</v>
      </c>
      <c r="T30" s="13" t="n">
        <f aca="false">SUMPRODUCT($F30:$M30,$F$10:$M$10)</f>
        <v>4602.08734062993</v>
      </c>
      <c r="U30" s="13" t="n">
        <f aca="false">SUMPRODUCT($F30:$M30,$F$11:$M$11)</f>
        <v>5768.83024926782</v>
      </c>
      <c r="V30" s="13" t="n">
        <f aca="false">SUMPRODUCT($F30:$M30,$F$12:$M$12)</f>
        <v>6469.47269059459</v>
      </c>
      <c r="W30" s="13" t="n">
        <f aca="false">SUMPRODUCT($F30:$M30,$F$13:$M$13)</f>
        <v>7464.30012785666</v>
      </c>
      <c r="X30" s="13" t="n">
        <f aca="false">SUMPRODUCT($F30:$M30,$F$14:$M$14)</f>
        <v>858.589880298581</v>
      </c>
    </row>
    <row r="31" customFormat="false" ht="15" hidden="false" customHeight="false" outlineLevel="0" collapsed="false">
      <c r="A31" s="3" t="s">
        <v>225</v>
      </c>
      <c r="B31" s="3" t="s">
        <v>226</v>
      </c>
      <c r="C31" s="3" t="s">
        <v>227</v>
      </c>
      <c r="D31" s="3" t="s">
        <v>192</v>
      </c>
      <c r="E31" s="3"/>
      <c r="F31" s="12" t="n">
        <v>0.08</v>
      </c>
      <c r="G31" s="12" t="n">
        <v>0.08</v>
      </c>
      <c r="H31" s="12" t="n">
        <v>0.08</v>
      </c>
      <c r="I31" s="12" t="n">
        <v>0.08</v>
      </c>
      <c r="J31" s="12" t="n">
        <v>0.08</v>
      </c>
      <c r="K31" s="12" t="n">
        <v>0.08</v>
      </c>
      <c r="L31" s="12" t="n">
        <v>0.08</v>
      </c>
      <c r="M31" s="12" t="n">
        <v>0.08</v>
      </c>
      <c r="N31" s="13" t="n">
        <f aca="false">SUMPRODUCT($F31:$M31,$F$4:$M$4)</f>
        <v>583.526337875184</v>
      </c>
      <c r="O31" s="13" t="n">
        <f aca="false">SUMPRODUCT($F31:$M31,$F$5:$M$5)</f>
        <v>989.92651952478</v>
      </c>
      <c r="P31" s="13" t="n">
        <f aca="false">SUMPRODUCT($F31:$M31,$F$6:$M$6)</f>
        <v>1986.5173234906</v>
      </c>
      <c r="Q31" s="13" t="n">
        <f aca="false">SUMPRODUCT($F31:$M31,$F$7:$M$7)</f>
        <v>4316.42820370176</v>
      </c>
      <c r="R31" s="13" t="n">
        <f aca="false">SUMPRODUCT($F31:$M31,$F$8:$M$8)</f>
        <v>7326.87652524486</v>
      </c>
      <c r="S31" s="13" t="n">
        <f aca="false">SUMPRODUCT($F31:$M31,$F$9:$M$9)</f>
        <v>10211.9680535973</v>
      </c>
      <c r="T31" s="13" t="n">
        <f aca="false">SUMPRODUCT($F31:$M31,$F$10:$M$10)</f>
        <v>13940.5844784535</v>
      </c>
      <c r="U31" s="13" t="n">
        <f aca="false">SUMPRODUCT($F31:$M31,$F$11:$M$11)</f>
        <v>17647.0672907261</v>
      </c>
      <c r="V31" s="13" t="n">
        <f aca="false">SUMPRODUCT($F31:$M31,$F$12:$M$12)</f>
        <v>19809.9933512876</v>
      </c>
      <c r="W31" s="13" t="n">
        <f aca="false">SUMPRODUCT($F31:$M31,$F$13:$M$13)</f>
        <v>22872.9716186761</v>
      </c>
      <c r="X31" s="13" t="n">
        <f aca="false">SUMPRODUCT($F31:$M31,$F$14:$M$14)</f>
        <v>2678.12338935837</v>
      </c>
    </row>
    <row r="32" customFormat="false" ht="15" hidden="false" customHeight="false" outlineLevel="0" collapsed="false">
      <c r="A32" s="3" t="s">
        <v>228</v>
      </c>
      <c r="B32" s="3" t="s">
        <v>229</v>
      </c>
      <c r="C32" s="3" t="s">
        <v>230</v>
      </c>
      <c r="D32" s="3" t="s">
        <v>192</v>
      </c>
      <c r="E32" s="3"/>
      <c r="F32" s="12" t="n">
        <f aca="false">0.0764/9.46/0.95</f>
        <v>0.00850116835428953</v>
      </c>
      <c r="G32" s="12" t="n">
        <f aca="false">0.1375/9.46/0.95</f>
        <v>0.0152998776009792</v>
      </c>
      <c r="H32" s="12" t="n">
        <f aca="false">0.2091/9.46/0.95</f>
        <v>0.0232669411371982</v>
      </c>
      <c r="I32" s="12" t="n">
        <f aca="false">0.351/9.46/0.95</f>
        <v>0.0390564148214087</v>
      </c>
      <c r="J32" s="12" t="n">
        <f aca="false">0.0764/9.46/0.95</f>
        <v>0.00850116835428953</v>
      </c>
      <c r="K32" s="12" t="n">
        <f aca="false">0.1375/9.46/0.95</f>
        <v>0.0152998776009792</v>
      </c>
      <c r="L32" s="12" t="n">
        <f aca="false">0.2091/9.46/0.95</f>
        <v>0.0232669411371982</v>
      </c>
      <c r="M32" s="12" t="n">
        <f aca="false">0.351/9.46/0.95</f>
        <v>0.0390564148214087</v>
      </c>
      <c r="N32" s="13" t="n">
        <f aca="false">SUMPRODUCT($F32:$M32,$F$4:$M$4)</f>
        <v>107.117197622362</v>
      </c>
      <c r="O32" s="13" t="n">
        <f aca="false">SUMPRODUCT($F32:$M32,$F$5:$M$5)</f>
        <v>196.51048213915</v>
      </c>
      <c r="P32" s="13" t="n">
        <f aca="false">SUMPRODUCT($F32:$M32,$F$6:$M$6)</f>
        <v>358.645003914689</v>
      </c>
      <c r="Q32" s="13" t="n">
        <f aca="false">SUMPRODUCT($F32:$M32,$F$7:$M$7)</f>
        <v>726.585965948557</v>
      </c>
      <c r="R32" s="13" t="n">
        <f aca="false">SUMPRODUCT($F32:$M32,$F$8:$M$8)</f>
        <v>1198.69158455781</v>
      </c>
      <c r="S32" s="13" t="n">
        <f aca="false">SUMPRODUCT($F32:$M32,$F$9:$M$9)</f>
        <v>1659.89932912247</v>
      </c>
      <c r="T32" s="13" t="n">
        <f aca="false">SUMPRODUCT($F32:$M32,$F$10:$M$10)</f>
        <v>2230.30191190286</v>
      </c>
      <c r="U32" s="13" t="n">
        <f aca="false">SUMPRODUCT($F32:$M32,$F$11:$M$11)</f>
        <v>2791.97116975246</v>
      </c>
      <c r="V32" s="13" t="n">
        <f aca="false">SUMPRODUCT($F32:$M32,$F$12:$M$12)</f>
        <v>3129.39112513287</v>
      </c>
      <c r="W32" s="13" t="n">
        <f aca="false">SUMPRODUCT($F32:$M32,$F$13:$M$13)</f>
        <v>3609.0147583921</v>
      </c>
      <c r="X32" s="13" t="n">
        <f aca="false">SUMPRODUCT($F32:$M32,$F$14:$M$14)</f>
        <v>414.216745076109</v>
      </c>
    </row>
    <row r="33" customFormat="false" ht="15" hidden="false" customHeight="false" outlineLevel="0" collapsed="false">
      <c r="A33" s="3" t="s">
        <v>231</v>
      </c>
      <c r="B33" s="3" t="s">
        <v>232</v>
      </c>
      <c r="C33" s="3" t="s">
        <v>233</v>
      </c>
      <c r="D33" s="3" t="s">
        <v>192</v>
      </c>
      <c r="E33" s="3"/>
      <c r="F33" s="12" t="n">
        <v>1.05</v>
      </c>
      <c r="G33" s="12" t="n">
        <v>2.55</v>
      </c>
      <c r="H33" s="12" t="n">
        <v>5.15</v>
      </c>
      <c r="I33" s="12" t="n">
        <v>10.15</v>
      </c>
      <c r="J33" s="3"/>
      <c r="K33" s="3"/>
      <c r="L33" s="3"/>
      <c r="M33" s="3"/>
      <c r="N33" s="13" t="n">
        <f aca="false">SUMPRODUCT($F33:$M33,$F$4:$M$4)</f>
        <v>20126.6530174542</v>
      </c>
      <c r="O33" s="13" t="n">
        <f aca="false">SUMPRODUCT($F33:$M33,$F$5:$M$5)</f>
        <v>38182.9791907969</v>
      </c>
      <c r="P33" s="13" t="n">
        <f aca="false">SUMPRODUCT($F33:$M33,$F$6:$M$6)</f>
        <v>49413.6760985431</v>
      </c>
      <c r="Q33" s="13" t="n">
        <f aca="false">SUMPRODUCT($F33:$M33,$F$7:$M$7)</f>
        <v>70049.6657602794</v>
      </c>
      <c r="R33" s="13" t="n">
        <f aca="false">SUMPRODUCT($F33:$M33,$F$8:$M$8)</f>
        <v>100008.574087289</v>
      </c>
      <c r="S33" s="13" t="n">
        <f aca="false">SUMPRODUCT($F33:$M33,$F$9:$M$9)</f>
        <v>130085.547914414</v>
      </c>
      <c r="T33" s="13" t="n">
        <f aca="false">SUMPRODUCT($F33:$M33,$F$10:$M$10)</f>
        <v>159850.771942851</v>
      </c>
      <c r="U33" s="13" t="n">
        <f aca="false">SUMPRODUCT($F33:$M33,$F$11:$M$11)</f>
        <v>187502.525943306</v>
      </c>
      <c r="V33" s="13" t="n">
        <f aca="false">SUMPRODUCT($F33:$M33,$F$12:$M$12)</f>
        <v>209546.873523365</v>
      </c>
      <c r="W33" s="13" t="n">
        <f aca="false">SUMPRODUCT($F33:$M33,$F$13:$M$13)</f>
        <v>238323.030430856</v>
      </c>
      <c r="X33" s="13" t="n">
        <f aca="false">SUMPRODUCT($F33:$M33,$F$14:$M$14)</f>
        <v>26552.2960582591</v>
      </c>
    </row>
    <row r="34" customFormat="false" ht="15" hidden="false" customHeight="false" outlineLevel="0" collapsed="false">
      <c r="A34" s="3" t="s">
        <v>234</v>
      </c>
      <c r="B34" s="3" t="s">
        <v>235</v>
      </c>
      <c r="C34" s="3" t="s">
        <v>236</v>
      </c>
      <c r="D34" s="3" t="s">
        <v>224</v>
      </c>
      <c r="E34" s="3"/>
      <c r="F34" s="12" t="n">
        <f aca="false">1.18/3*14/1000</f>
        <v>0.00550666666666667</v>
      </c>
      <c r="G34" s="12" t="n">
        <f aca="false">3.5/3*14/1000</f>
        <v>0.0163333333333333</v>
      </c>
      <c r="H34" s="12" t="n">
        <f aca="false">6/3*14/1000</f>
        <v>0.028</v>
      </c>
      <c r="I34" s="12" t="n">
        <f aca="false">12.5/3*14/1000</f>
        <v>0.0583333333333333</v>
      </c>
      <c r="J34" s="3"/>
      <c r="K34" s="3"/>
      <c r="L34" s="3"/>
      <c r="M34" s="3"/>
      <c r="N34" s="13" t="n">
        <f aca="false">SUMPRODUCT($F34:$M34,$F$4:$M$4)</f>
        <v>109.601548997107</v>
      </c>
      <c r="O34" s="13" t="n">
        <f aca="false">SUMPRODUCT($F34:$M34,$F$5:$M$5)</f>
        <v>208.698333639593</v>
      </c>
      <c r="P34" s="13" t="n">
        <f aca="false">SUMPRODUCT($F34:$M34,$F$6:$M$6)</f>
        <v>270.512334995231</v>
      </c>
      <c r="Q34" s="13" t="n">
        <f aca="false">SUMPRODUCT($F34:$M34,$F$7:$M$7)</f>
        <v>383.984011561799</v>
      </c>
      <c r="R34" s="13" t="n">
        <f aca="false">SUMPRODUCT($F34:$M34,$F$8:$M$8)</f>
        <v>548.791047379827</v>
      </c>
      <c r="S34" s="13" t="n">
        <f aca="false">SUMPRODUCT($F34:$M34,$F$9:$M$9)</f>
        <v>714.896085817065</v>
      </c>
      <c r="T34" s="13" t="n">
        <f aca="false">SUMPRODUCT($F34:$M34,$F$10:$M$10)</f>
        <v>878.671955900022</v>
      </c>
      <c r="U34" s="13" t="n">
        <f aca="false">SUMPRODUCT($F34:$M34,$F$11:$M$11)</f>
        <v>1031.35749014421</v>
      </c>
      <c r="V34" s="13" t="n">
        <f aca="false">SUMPRODUCT($F34:$M34,$F$12:$M$12)</f>
        <v>1153.89176777608</v>
      </c>
      <c r="W34" s="13" t="n">
        <f aca="false">SUMPRODUCT($F34:$M34,$F$13:$M$13)</f>
        <v>1313.39275671279</v>
      </c>
      <c r="X34" s="13" t="n">
        <f aca="false">SUMPRODUCT($F34:$M34,$F$14:$M$14)</f>
        <v>146.239336566499</v>
      </c>
    </row>
    <row r="35" customFormat="false" ht="15" hidden="false" customHeight="false" outlineLevel="0" collapsed="false">
      <c r="A35" s="3" t="s">
        <v>237</v>
      </c>
      <c r="B35" s="3" t="s">
        <v>238</v>
      </c>
      <c r="C35" s="3" t="s">
        <v>239</v>
      </c>
      <c r="D35" s="3" t="s">
        <v>214</v>
      </c>
      <c r="E35" s="3"/>
      <c r="F35" s="12" t="n">
        <v>1</v>
      </c>
      <c r="G35" s="3"/>
      <c r="H35" s="3"/>
      <c r="I35" s="3"/>
      <c r="J35" s="3"/>
      <c r="K35" s="3"/>
      <c r="L35" s="3"/>
      <c r="M35" s="3"/>
      <c r="N35" s="13" t="n">
        <f aca="false">SUMPRODUCT($F35:$M35,$F$4:$M$4)</f>
        <v>4178.736543</v>
      </c>
      <c r="O35" s="13" t="n">
        <f aca="false">SUMPRODUCT($F35:$M35,$F$5:$M$5)</f>
        <v>5997.303977</v>
      </c>
      <c r="P35" s="13" t="n">
        <f aca="false">SUMPRODUCT($F35:$M35,$F$6:$M$6)</f>
        <v>6851.747758</v>
      </c>
      <c r="Q35" s="13" t="n">
        <f aca="false">SUMPRODUCT($F35:$M35,$F$7:$M$7)</f>
        <v>8467.135549</v>
      </c>
      <c r="R35" s="13" t="n">
        <f aca="false">SUMPRODUCT($F35:$M35,$F$8:$M$8)</f>
        <v>12680.63271</v>
      </c>
      <c r="S35" s="13" t="n">
        <f aca="false">SUMPRODUCT($F35:$M35,$F$9:$M$9)</f>
        <v>15620.25307</v>
      </c>
      <c r="T35" s="13" t="n">
        <f aca="false">SUMPRODUCT($F35:$M35,$F$10:$M$10)</f>
        <v>20332.55326</v>
      </c>
      <c r="U35" s="13" t="n">
        <f aca="false">SUMPRODUCT($F35:$M35,$F$11:$M$11)</f>
        <v>25132.07848</v>
      </c>
      <c r="V35" s="13" t="n">
        <f aca="false">SUMPRODUCT($F35:$M35,$F$12:$M$12)</f>
        <v>28573.33614</v>
      </c>
      <c r="W35" s="13" t="n">
        <f aca="false">SUMPRODUCT($F35:$M35,$F$13:$M$13)</f>
        <v>32072.63913</v>
      </c>
      <c r="X35" s="13" t="n">
        <f aca="false">SUMPRODUCT($F35:$M35,$F$14:$M$14)</f>
        <v>3848.7166956</v>
      </c>
    </row>
    <row r="36" customFormat="false" ht="15" hidden="false" customHeight="false" outlineLevel="0" collapsed="false">
      <c r="A36" s="3" t="s">
        <v>240</v>
      </c>
      <c r="B36" s="3" t="s">
        <v>241</v>
      </c>
      <c r="C36" s="3" t="s">
        <v>242</v>
      </c>
      <c r="D36" s="3" t="s">
        <v>214</v>
      </c>
      <c r="E36" s="3"/>
      <c r="F36" s="3"/>
      <c r="G36" s="12" t="n">
        <v>1</v>
      </c>
      <c r="H36" s="12" t="n">
        <v>1</v>
      </c>
      <c r="I36" s="12" t="n">
        <v>1</v>
      </c>
      <c r="J36" s="3"/>
      <c r="K36" s="3"/>
      <c r="L36" s="3"/>
      <c r="M36" s="3"/>
      <c r="N36" s="13" t="n">
        <f aca="false">SUMPRODUCT($F36:$M36,$F$4:$M$4)</f>
        <v>3115.3426804398</v>
      </c>
      <c r="O36" s="13" t="n">
        <f aca="false">SUMPRODUCT($F36:$M36,$F$5:$M$5)</f>
        <v>6376.77751705974</v>
      </c>
      <c r="P36" s="13" t="n">
        <f aca="false">SUMPRODUCT($F36:$M36,$F$6:$M$6)</f>
        <v>8448.51878563248</v>
      </c>
      <c r="Q36" s="13" t="n">
        <f aca="false">SUMPRODUCT($F36:$M36,$F$7:$M$7)</f>
        <v>12282.616997272</v>
      </c>
      <c r="R36" s="13" t="n">
        <f aca="false">SUMPRODUCT($F36:$M36,$F$8:$M$8)</f>
        <v>17413.3238555608</v>
      </c>
      <c r="S36" s="13" t="n">
        <f aca="false">SUMPRODUCT($F36:$M36,$F$9:$M$9)</f>
        <v>22866.1475999667</v>
      </c>
      <c r="T36" s="13" t="n">
        <f aca="false">SUMPRODUCT($F36:$M36,$F$10:$M$10)</f>
        <v>27867.152720669</v>
      </c>
      <c r="U36" s="13" t="n">
        <f aca="false">SUMPRODUCT($F36:$M36,$F$11:$M$11)</f>
        <v>32504.2626540764</v>
      </c>
      <c r="V36" s="13" t="n">
        <f aca="false">SUMPRODUCT($F36:$M36,$F$12:$M$12)</f>
        <v>36423.180751095</v>
      </c>
      <c r="W36" s="13" t="n">
        <f aca="false">SUMPRODUCT($F36:$M36,$F$13:$M$13)</f>
        <v>41696.5061034506</v>
      </c>
      <c r="X36" s="13" t="n">
        <f aca="false">SUMPRODUCT($F36:$M36,$F$14:$M$14)</f>
        <v>4586.61567137957</v>
      </c>
    </row>
    <row r="37" customFormat="false" ht="15" hidden="false" customHeight="false" outlineLevel="0" collapsed="false">
      <c r="A37" s="3" t="s">
        <v>243</v>
      </c>
      <c r="B37" s="3" t="s">
        <v>244</v>
      </c>
      <c r="C37" s="3" t="s">
        <v>245</v>
      </c>
      <c r="D37" s="3" t="s">
        <v>214</v>
      </c>
      <c r="E37" s="3"/>
      <c r="F37" s="12" t="n">
        <v>1</v>
      </c>
      <c r="G37" s="12" t="n">
        <v>1</v>
      </c>
      <c r="H37" s="12" t="n">
        <v>1</v>
      </c>
      <c r="I37" s="12" t="n">
        <v>1</v>
      </c>
      <c r="J37" s="3"/>
      <c r="K37" s="3"/>
      <c r="L37" s="3"/>
      <c r="M37" s="3"/>
      <c r="N37" s="13" t="n">
        <f aca="false">SUMPRODUCT($F37:$M37,$F$4:$M$4)</f>
        <v>7294.0792234398</v>
      </c>
      <c r="O37" s="13" t="n">
        <f aca="false">SUMPRODUCT($F37:$M37,$F$5:$M$5)</f>
        <v>12374.0814940597</v>
      </c>
      <c r="P37" s="13" t="n">
        <f aca="false">SUMPRODUCT($F37:$M37,$F$6:$M$6)</f>
        <v>15300.2665436325</v>
      </c>
      <c r="Q37" s="13" t="n">
        <f aca="false">SUMPRODUCT($F37:$M37,$F$7:$M$7)</f>
        <v>20749.752546272</v>
      </c>
      <c r="R37" s="13" t="n">
        <f aca="false">SUMPRODUCT($F37:$M37,$F$8:$M$8)</f>
        <v>30093.9565655608</v>
      </c>
      <c r="S37" s="13" t="n">
        <f aca="false">SUMPRODUCT($F37:$M37,$F$9:$M$9)</f>
        <v>38486.4006699667</v>
      </c>
      <c r="T37" s="13" t="n">
        <f aca="false">SUMPRODUCT($F37:$M37,$F$10:$M$10)</f>
        <v>48199.705980669</v>
      </c>
      <c r="U37" s="13" t="n">
        <f aca="false">SUMPRODUCT($F37:$M37,$F$11:$M$11)</f>
        <v>57636.3411340764</v>
      </c>
      <c r="V37" s="13" t="n">
        <f aca="false">SUMPRODUCT($F37:$M37,$F$12:$M$12)</f>
        <v>64996.516891095</v>
      </c>
      <c r="W37" s="13" t="n">
        <f aca="false">SUMPRODUCT($F37:$M37,$F$13:$M$13)</f>
        <v>73769.1452334506</v>
      </c>
      <c r="X37" s="13" t="n">
        <f aca="false">SUMPRODUCT($F37:$M37,$F$14:$M$14)</f>
        <v>8435.33236697957</v>
      </c>
    </row>
    <row r="38" customFormat="false" ht="15" hidden="false" customHeight="false" outlineLevel="0" collapsed="false">
      <c r="A38" s="3" t="s">
        <v>246</v>
      </c>
      <c r="B38" s="3" t="s">
        <v>247</v>
      </c>
      <c r="C38" s="3" t="s">
        <v>248</v>
      </c>
      <c r="D38" s="3" t="s">
        <v>214</v>
      </c>
      <c r="E38" s="3"/>
      <c r="F38" s="3"/>
      <c r="G38" s="12" t="n">
        <v>1</v>
      </c>
      <c r="H38" s="3"/>
      <c r="I38" s="3"/>
      <c r="J38" s="3"/>
      <c r="K38" s="3"/>
      <c r="L38" s="3"/>
      <c r="M38" s="3"/>
      <c r="N38" s="13" t="n">
        <f aca="false">SUMPRODUCT($F38:$M38,$F$4:$M$4)</f>
        <v>295.0303572</v>
      </c>
      <c r="O38" s="13" t="n">
        <f aca="false">SUMPRODUCT($F38:$M38,$F$5:$M$5)</f>
        <v>709.7274503</v>
      </c>
      <c r="P38" s="13" t="n">
        <f aca="false">SUMPRODUCT($F38:$M38,$F$6:$M$6)</f>
        <v>986.8680576</v>
      </c>
      <c r="Q38" s="13" t="n">
        <f aca="false">SUMPRODUCT($F38:$M38,$F$7:$M$7)</f>
        <v>1500.638174</v>
      </c>
      <c r="R38" s="13" t="n">
        <f aca="false">SUMPRODUCT($F38:$M38,$F$8:$M$8)</f>
        <v>2312.627726</v>
      </c>
      <c r="S38" s="13" t="n">
        <f aca="false">SUMPRODUCT($F38:$M38,$F$9:$M$9)</f>
        <v>3252.869887</v>
      </c>
      <c r="T38" s="13" t="n">
        <f aca="false">SUMPRODUCT($F38:$M38,$F$10:$M$10)</f>
        <v>4102.315524</v>
      </c>
      <c r="U38" s="13" t="n">
        <f aca="false">SUMPRODUCT($F38:$M38,$F$11:$M$11)</f>
        <v>5104.306587</v>
      </c>
      <c r="V38" s="13" t="n">
        <f aca="false">SUMPRODUCT($F38:$M38,$F$12:$M$12)</f>
        <v>6195.186243</v>
      </c>
      <c r="W38" s="13" t="n">
        <f aca="false">SUMPRODUCT($F38:$M38,$F$13:$M$13)</f>
        <v>7424.858444</v>
      </c>
      <c r="X38" s="13" t="n">
        <f aca="false">SUMPRODUCT($F38:$M38,$F$14:$M$14)</f>
        <v>816.73442884</v>
      </c>
    </row>
    <row r="39" customFormat="false" ht="15" hidden="false" customHeight="false" outlineLevel="0" collapsed="false">
      <c r="A39" s="3" t="s">
        <v>249</v>
      </c>
      <c r="B39" s="3" t="s">
        <v>250</v>
      </c>
      <c r="C39" s="3" t="s">
        <v>251</v>
      </c>
      <c r="D39" s="3" t="s">
        <v>214</v>
      </c>
      <c r="E39" s="3"/>
      <c r="F39" s="3"/>
      <c r="G39" s="3"/>
      <c r="H39" s="12" t="n">
        <v>1</v>
      </c>
      <c r="I39" s="3"/>
      <c r="J39" s="3"/>
      <c r="K39" s="3"/>
      <c r="L39" s="3"/>
      <c r="M39" s="3"/>
      <c r="N39" s="13" t="n">
        <f aca="false">SUMPRODUCT($F39:$M39,$F$4:$M$4)</f>
        <v>2727.90356888796</v>
      </c>
      <c r="O39" s="13" t="n">
        <f aca="false">SUMPRODUCT($F39:$M39,$F$5:$M$5)</f>
        <v>5488.91063218589</v>
      </c>
      <c r="P39" s="13" t="n">
        <f aca="false">SUMPRODUCT($F39:$M39,$F$6:$M$6)</f>
        <v>7206.58549675331</v>
      </c>
      <c r="Q39" s="13" t="n">
        <f aca="false">SUMPRODUCT($F39:$M39,$F$7:$M$7)</f>
        <v>10420.9077932162</v>
      </c>
      <c r="R39" s="13" t="n">
        <f aca="false">SUMPRODUCT($F39:$M39,$F$8:$M$8)</f>
        <v>14495.0713349105</v>
      </c>
      <c r="S39" s="13" t="n">
        <f aca="false">SUMPRODUCT($F39:$M39,$F$9:$M$9)</f>
        <v>18737.0609615097</v>
      </c>
      <c r="T39" s="13" t="n">
        <f aca="false">SUMPRODUCT($F39:$M39,$F$10:$M$10)</f>
        <v>22634.4822225078</v>
      </c>
      <c r="U39" s="13" t="n">
        <f aca="false">SUMPRODUCT($F39:$M39,$F$11:$M$11)</f>
        <v>26002.338467674</v>
      </c>
      <c r="V39" s="13" t="n">
        <f aca="false">SUMPRODUCT($F39:$M39,$F$12:$M$12)</f>
        <v>28613.3997200898</v>
      </c>
      <c r="W39" s="13" t="n">
        <f aca="false">SUMPRODUCT($F39:$M39,$F$13:$M$13)</f>
        <v>32428.7706862536</v>
      </c>
      <c r="X39" s="13" t="n">
        <f aca="false">SUMPRODUCT($F39:$M39,$F$14:$M$14)</f>
        <v>3567.1647754879</v>
      </c>
    </row>
    <row r="40" customFormat="false" ht="15" hidden="false" customHeight="false" outlineLevel="0" collapsed="false">
      <c r="A40" s="3" t="s">
        <v>252</v>
      </c>
      <c r="B40" s="3" t="s">
        <v>253</v>
      </c>
      <c r="C40" s="3" t="s">
        <v>254</v>
      </c>
      <c r="D40" s="3" t="s">
        <v>214</v>
      </c>
      <c r="E40" s="3"/>
      <c r="F40" s="3"/>
      <c r="G40" s="3"/>
      <c r="H40" s="3"/>
      <c r="I40" s="12" t="n">
        <v>1</v>
      </c>
      <c r="J40" s="3"/>
      <c r="K40" s="3"/>
      <c r="L40" s="3"/>
      <c r="M40" s="3"/>
      <c r="N40" s="13" t="n">
        <f aca="false">SUMPRODUCT($F40:$M40,$F$4:$M$4)</f>
        <v>92.4087543518401</v>
      </c>
      <c r="O40" s="13" t="n">
        <f aca="false">SUMPRODUCT($F40:$M40,$F$5:$M$5)</f>
        <v>178.139434573852</v>
      </c>
      <c r="P40" s="13" t="n">
        <f aca="false">SUMPRODUCT($F40:$M40,$F$6:$M$6)</f>
        <v>255.06523127917</v>
      </c>
      <c r="Q40" s="13" t="n">
        <f aca="false">SUMPRODUCT($F40:$M40,$F$7:$M$7)</f>
        <v>361.071030055753</v>
      </c>
      <c r="R40" s="13" t="n">
        <f aca="false">SUMPRODUCT($F40:$M40,$F$8:$M$8)</f>
        <v>605.624794650293</v>
      </c>
      <c r="S40" s="13" t="n">
        <f aca="false">SUMPRODUCT($F40:$M40,$F$9:$M$9)</f>
        <v>876.216751457047</v>
      </c>
      <c r="T40" s="13" t="n">
        <f aca="false">SUMPRODUCT($F40:$M40,$F$10:$M$10)</f>
        <v>1130.35497416121</v>
      </c>
      <c r="U40" s="13" t="n">
        <f aca="false">SUMPRODUCT($F40:$M40,$F$11:$M$11)</f>
        <v>1397.61759940245</v>
      </c>
      <c r="V40" s="13" t="n">
        <f aca="false">SUMPRODUCT($F40:$M40,$F$12:$M$12)</f>
        <v>1614.59478800518</v>
      </c>
      <c r="W40" s="13" t="n">
        <f aca="false">SUMPRODUCT($F40:$M40,$F$13:$M$13)</f>
        <v>1842.87697319699</v>
      </c>
      <c r="X40" s="13" t="n">
        <f aca="false">SUMPRODUCT($F40:$M40,$F$14:$M$14)</f>
        <v>202.716467051669</v>
      </c>
    </row>
    <row r="41" customFormat="false" ht="15" hidden="false" customHeight="false" outlineLevel="0" collapsed="false">
      <c r="A41" s="3" t="s">
        <v>255</v>
      </c>
      <c r="B41" s="3" t="s">
        <v>256</v>
      </c>
      <c r="C41" s="3" t="s">
        <v>257</v>
      </c>
      <c r="D41" s="3" t="s">
        <v>214</v>
      </c>
      <c r="E41" s="3"/>
      <c r="F41" s="12" t="n">
        <v>1</v>
      </c>
      <c r="G41" s="3"/>
      <c r="H41" s="3"/>
      <c r="I41" s="3"/>
      <c r="J41" s="3"/>
      <c r="K41" s="3"/>
      <c r="L41" s="3"/>
      <c r="M41" s="3"/>
      <c r="N41" s="13" t="n">
        <f aca="false">SUMPRODUCT($F41:$M41,$F$4:$M$4)</f>
        <v>4178.736543</v>
      </c>
      <c r="O41" s="13" t="n">
        <f aca="false">SUMPRODUCT($F41:$M41,$F$5:$M$5)</f>
        <v>5997.303977</v>
      </c>
      <c r="P41" s="13" t="n">
        <f aca="false">SUMPRODUCT($F41:$M41,$F$6:$M$6)</f>
        <v>6851.747758</v>
      </c>
      <c r="Q41" s="13" t="n">
        <f aca="false">SUMPRODUCT($F41:$M41,$F$7:$M$7)</f>
        <v>8467.135549</v>
      </c>
      <c r="R41" s="13" t="n">
        <f aca="false">SUMPRODUCT($F41:$M41,$F$8:$M$8)</f>
        <v>12680.63271</v>
      </c>
      <c r="S41" s="13" t="n">
        <f aca="false">SUMPRODUCT($F41:$M41,$F$9:$M$9)</f>
        <v>15620.25307</v>
      </c>
      <c r="T41" s="13" t="n">
        <f aca="false">SUMPRODUCT($F41:$M41,$F$10:$M$10)</f>
        <v>20332.55326</v>
      </c>
      <c r="U41" s="13" t="n">
        <f aca="false">SUMPRODUCT($F41:$M41,$F$11:$M$11)</f>
        <v>25132.07848</v>
      </c>
      <c r="V41" s="13" t="n">
        <f aca="false">SUMPRODUCT($F41:$M41,$F$12:$M$12)</f>
        <v>28573.33614</v>
      </c>
      <c r="W41" s="13" t="n">
        <f aca="false">SUMPRODUCT($F41:$M41,$F$13:$M$13)</f>
        <v>32072.63913</v>
      </c>
      <c r="X41" s="13" t="n">
        <f aca="false">SUMPRODUCT($F41:$M41,$F$14:$M$14)</f>
        <v>3848.7166956</v>
      </c>
    </row>
    <row r="42" customFormat="false" ht="15" hidden="false" customHeight="false" outlineLevel="0" collapsed="false">
      <c r="A42" s="3" t="s">
        <v>258</v>
      </c>
      <c r="B42" s="3" t="s">
        <v>259</v>
      </c>
      <c r="C42" s="3" t="s">
        <v>260</v>
      </c>
      <c r="D42" s="3" t="s">
        <v>214</v>
      </c>
      <c r="E42" s="3"/>
      <c r="F42" s="3"/>
      <c r="G42" s="12" t="n">
        <v>1</v>
      </c>
      <c r="H42" s="3"/>
      <c r="I42" s="3"/>
      <c r="J42" s="3"/>
      <c r="K42" s="3"/>
      <c r="L42" s="3"/>
      <c r="M42" s="3"/>
      <c r="N42" s="13" t="n">
        <f aca="false">SUMPRODUCT($F42:$M42,$F$4:$M$4)</f>
        <v>295.0303572</v>
      </c>
      <c r="O42" s="13" t="n">
        <f aca="false">SUMPRODUCT($F42:$M42,$F$5:$M$5)</f>
        <v>709.7274503</v>
      </c>
      <c r="P42" s="13" t="n">
        <f aca="false">SUMPRODUCT($F42:$M42,$F$6:$M$6)</f>
        <v>986.8680576</v>
      </c>
      <c r="Q42" s="13" t="n">
        <f aca="false">SUMPRODUCT($F42:$M42,$F$7:$M$7)</f>
        <v>1500.638174</v>
      </c>
      <c r="R42" s="13" t="n">
        <f aca="false">SUMPRODUCT($F42:$M42,$F$8:$M$8)</f>
        <v>2312.627726</v>
      </c>
      <c r="S42" s="13" t="n">
        <f aca="false">SUMPRODUCT($F42:$M42,$F$9:$M$9)</f>
        <v>3252.869887</v>
      </c>
      <c r="T42" s="13" t="n">
        <f aca="false">SUMPRODUCT($F42:$M42,$F$10:$M$10)</f>
        <v>4102.315524</v>
      </c>
      <c r="U42" s="13" t="n">
        <f aca="false">SUMPRODUCT($F42:$M42,$F$11:$M$11)</f>
        <v>5104.306587</v>
      </c>
      <c r="V42" s="13" t="n">
        <f aca="false">SUMPRODUCT($F42:$M42,$F$12:$M$12)</f>
        <v>6195.186243</v>
      </c>
      <c r="W42" s="13" t="n">
        <f aca="false">SUMPRODUCT($F42:$M42,$F$13:$M$13)</f>
        <v>7424.858444</v>
      </c>
      <c r="X42" s="13" t="n">
        <f aca="false">SUMPRODUCT($F42:$M42,$F$14:$M$14)</f>
        <v>816.73442884</v>
      </c>
    </row>
    <row r="43" customFormat="false" ht="15" hidden="false" customHeight="false" outlineLevel="0" collapsed="false">
      <c r="A43" s="3" t="s">
        <v>261</v>
      </c>
      <c r="B43" s="3" t="s">
        <v>262</v>
      </c>
      <c r="C43" s="3" t="s">
        <v>263</v>
      </c>
      <c r="D43" s="3" t="s">
        <v>214</v>
      </c>
      <c r="E43" s="3"/>
      <c r="F43" s="3"/>
      <c r="G43" s="3"/>
      <c r="H43" s="12" t="n">
        <v>1</v>
      </c>
      <c r="I43" s="3"/>
      <c r="J43" s="3"/>
      <c r="K43" s="3"/>
      <c r="L43" s="3"/>
      <c r="M43" s="3"/>
      <c r="N43" s="13" t="n">
        <f aca="false">SUMPRODUCT($F43:$M43,$F$4:$M$4)</f>
        <v>2727.90356888796</v>
      </c>
      <c r="O43" s="13" t="n">
        <f aca="false">SUMPRODUCT($F43:$M43,$F$5:$M$5)</f>
        <v>5488.91063218589</v>
      </c>
      <c r="P43" s="13" t="n">
        <f aca="false">SUMPRODUCT($F43:$M43,$F$6:$M$6)</f>
        <v>7206.58549675331</v>
      </c>
      <c r="Q43" s="13" t="n">
        <f aca="false">SUMPRODUCT($F43:$M43,$F$7:$M$7)</f>
        <v>10420.9077932162</v>
      </c>
      <c r="R43" s="13" t="n">
        <f aca="false">SUMPRODUCT($F43:$M43,$F$8:$M$8)</f>
        <v>14495.0713349105</v>
      </c>
      <c r="S43" s="13" t="n">
        <f aca="false">SUMPRODUCT($F43:$M43,$F$9:$M$9)</f>
        <v>18737.0609615097</v>
      </c>
      <c r="T43" s="13" t="n">
        <f aca="false">SUMPRODUCT($F43:$M43,$F$10:$M$10)</f>
        <v>22634.4822225078</v>
      </c>
      <c r="U43" s="13" t="n">
        <f aca="false">SUMPRODUCT($F43:$M43,$F$11:$M$11)</f>
        <v>26002.338467674</v>
      </c>
      <c r="V43" s="13" t="n">
        <f aca="false">SUMPRODUCT($F43:$M43,$F$12:$M$12)</f>
        <v>28613.3997200898</v>
      </c>
      <c r="W43" s="13" t="n">
        <f aca="false">SUMPRODUCT($F43:$M43,$F$13:$M$13)</f>
        <v>32428.7706862536</v>
      </c>
      <c r="X43" s="13" t="n">
        <f aca="false">SUMPRODUCT($F43:$M43,$F$14:$M$14)</f>
        <v>3567.1647754879</v>
      </c>
    </row>
    <row r="44" customFormat="false" ht="15" hidden="false" customHeight="false" outlineLevel="0" collapsed="false">
      <c r="A44" s="3" t="s">
        <v>264</v>
      </c>
      <c r="B44" s="3" t="s">
        <v>265</v>
      </c>
      <c r="C44" s="3" t="s">
        <v>266</v>
      </c>
      <c r="D44" s="3" t="s">
        <v>214</v>
      </c>
      <c r="E44" s="3"/>
      <c r="F44" s="3"/>
      <c r="G44" s="3"/>
      <c r="H44" s="3"/>
      <c r="I44" s="12" t="n">
        <v>1</v>
      </c>
      <c r="J44" s="3"/>
      <c r="K44" s="3"/>
      <c r="L44" s="3"/>
      <c r="M44" s="3"/>
      <c r="N44" s="13" t="n">
        <f aca="false">SUMPRODUCT($F44:$M44,$F$4:$M$4)</f>
        <v>92.4087543518401</v>
      </c>
      <c r="O44" s="13" t="n">
        <f aca="false">SUMPRODUCT($F44:$M44,$F$5:$M$5)</f>
        <v>178.139434573852</v>
      </c>
      <c r="P44" s="13" t="n">
        <f aca="false">SUMPRODUCT($F44:$M44,$F$6:$M$6)</f>
        <v>255.06523127917</v>
      </c>
      <c r="Q44" s="13" t="n">
        <f aca="false">SUMPRODUCT($F44:$M44,$F$7:$M$7)</f>
        <v>361.071030055753</v>
      </c>
      <c r="R44" s="13" t="n">
        <f aca="false">SUMPRODUCT($F44:$M44,$F$8:$M$8)</f>
        <v>605.624794650293</v>
      </c>
      <c r="S44" s="13" t="n">
        <f aca="false">SUMPRODUCT($F44:$M44,$F$9:$M$9)</f>
        <v>876.216751457047</v>
      </c>
      <c r="T44" s="13" t="n">
        <f aca="false">SUMPRODUCT($F44:$M44,$F$10:$M$10)</f>
        <v>1130.35497416121</v>
      </c>
      <c r="U44" s="13" t="n">
        <f aca="false">SUMPRODUCT($F44:$M44,$F$11:$M$11)</f>
        <v>1397.61759940245</v>
      </c>
      <c r="V44" s="13" t="n">
        <f aca="false">SUMPRODUCT($F44:$M44,$F$12:$M$12)</f>
        <v>1614.59478800518</v>
      </c>
      <c r="W44" s="13" t="n">
        <f aca="false">SUMPRODUCT($F44:$M44,$F$13:$M$13)</f>
        <v>1842.87697319699</v>
      </c>
      <c r="X44" s="13" t="n">
        <f aca="false">SUMPRODUCT($F44:$M44,$F$14:$M$14)</f>
        <v>202.716467051669</v>
      </c>
    </row>
    <row r="45" customFormat="false" ht="15" hidden="false" customHeight="false" outlineLevel="0" collapsed="false">
      <c r="A45" s="3" t="s">
        <v>267</v>
      </c>
      <c r="B45" s="3" t="s">
        <v>268</v>
      </c>
      <c r="C45" s="3" t="s">
        <v>269</v>
      </c>
      <c r="D45" s="3" t="s">
        <v>214</v>
      </c>
      <c r="E45" s="3"/>
      <c r="F45" s="12" t="n">
        <v>1</v>
      </c>
      <c r="G45" s="3"/>
      <c r="H45" s="3"/>
      <c r="I45" s="3"/>
      <c r="J45" s="3"/>
      <c r="K45" s="3"/>
      <c r="L45" s="3"/>
      <c r="M45" s="3"/>
      <c r="N45" s="13" t="n">
        <f aca="false">SUMPRODUCT($F45:$M45,$F$4:$M$4)</f>
        <v>4178.736543</v>
      </c>
      <c r="O45" s="13" t="n">
        <f aca="false">SUMPRODUCT($F45:$M45,$F$5:$M$5)</f>
        <v>5997.303977</v>
      </c>
      <c r="P45" s="13" t="n">
        <f aca="false">SUMPRODUCT($F45:$M45,$F$6:$M$6)</f>
        <v>6851.747758</v>
      </c>
      <c r="Q45" s="13" t="n">
        <f aca="false">SUMPRODUCT($F45:$M45,$F$7:$M$7)</f>
        <v>8467.135549</v>
      </c>
      <c r="R45" s="13" t="n">
        <f aca="false">SUMPRODUCT($F45:$M45,$F$8:$M$8)</f>
        <v>12680.63271</v>
      </c>
      <c r="S45" s="13" t="n">
        <f aca="false">SUMPRODUCT($F45:$M45,$F$9:$M$9)</f>
        <v>15620.25307</v>
      </c>
      <c r="T45" s="13" t="n">
        <f aca="false">SUMPRODUCT($F45:$M45,$F$10:$M$10)</f>
        <v>20332.55326</v>
      </c>
      <c r="U45" s="13" t="n">
        <f aca="false">SUMPRODUCT($F45:$M45,$F$11:$M$11)</f>
        <v>25132.07848</v>
      </c>
      <c r="V45" s="13" t="n">
        <f aca="false">SUMPRODUCT($F45:$M45,$F$12:$M$12)</f>
        <v>28573.33614</v>
      </c>
      <c r="W45" s="13" t="n">
        <f aca="false">SUMPRODUCT($F45:$M45,$F$13:$M$13)</f>
        <v>32072.63913</v>
      </c>
      <c r="X45" s="13" t="n">
        <f aca="false">SUMPRODUCT($F45:$M45,$F$14:$M$14)</f>
        <v>3848.7166956</v>
      </c>
    </row>
    <row r="46" customFormat="false" ht="15" hidden="false" customHeight="false" outlineLevel="0" collapsed="false">
      <c r="A46" s="3" t="s">
        <v>270</v>
      </c>
      <c r="B46" s="3" t="s">
        <v>271</v>
      </c>
      <c r="C46" s="3" t="s">
        <v>272</v>
      </c>
      <c r="D46" s="3" t="s">
        <v>214</v>
      </c>
      <c r="E46" s="3"/>
      <c r="F46" s="3"/>
      <c r="G46" s="12" t="n">
        <v>1</v>
      </c>
      <c r="H46" s="12" t="n">
        <v>1</v>
      </c>
      <c r="I46" s="12" t="n">
        <v>1</v>
      </c>
      <c r="J46" s="3"/>
      <c r="K46" s="3"/>
      <c r="L46" s="3"/>
      <c r="M46" s="3"/>
      <c r="N46" s="13" t="n">
        <f aca="false">SUMPRODUCT($F46:$M46,$F$4:$M$4)</f>
        <v>3115.3426804398</v>
      </c>
      <c r="O46" s="13" t="n">
        <f aca="false">SUMPRODUCT($F46:$M46,$F$5:$M$5)</f>
        <v>6376.77751705974</v>
      </c>
      <c r="P46" s="13" t="n">
        <f aca="false">SUMPRODUCT($F46:$M46,$F$6:$M$6)</f>
        <v>8448.51878563248</v>
      </c>
      <c r="Q46" s="13" t="n">
        <f aca="false">SUMPRODUCT($F46:$M46,$F$7:$M$7)</f>
        <v>12282.616997272</v>
      </c>
      <c r="R46" s="13" t="n">
        <f aca="false">SUMPRODUCT($F46:$M46,$F$8:$M$8)</f>
        <v>17413.3238555608</v>
      </c>
      <c r="S46" s="13" t="n">
        <f aca="false">SUMPRODUCT($F46:$M46,$F$9:$M$9)</f>
        <v>22866.1475999667</v>
      </c>
      <c r="T46" s="13" t="n">
        <f aca="false">SUMPRODUCT($F46:$M46,$F$10:$M$10)</f>
        <v>27867.152720669</v>
      </c>
      <c r="U46" s="13" t="n">
        <f aca="false">SUMPRODUCT($F46:$M46,$F$11:$M$11)</f>
        <v>32504.2626540764</v>
      </c>
      <c r="V46" s="13" t="n">
        <f aca="false">SUMPRODUCT($F46:$M46,$F$12:$M$12)</f>
        <v>36423.180751095</v>
      </c>
      <c r="W46" s="13" t="n">
        <f aca="false">SUMPRODUCT($F46:$M46,$F$13:$M$13)</f>
        <v>41696.5061034506</v>
      </c>
      <c r="X46" s="13" t="n">
        <f aca="false">SUMPRODUCT($F46:$M46,$F$14:$M$14)</f>
        <v>4586.61567137957</v>
      </c>
    </row>
    <row r="47" customFormat="false" ht="15" hidden="false" customHeight="false" outlineLevel="0" collapsed="false">
      <c r="A47" s="3" t="s">
        <v>273</v>
      </c>
      <c r="B47" s="3" t="s">
        <v>274</v>
      </c>
      <c r="C47" s="3" t="s">
        <v>275</v>
      </c>
      <c r="D47" s="3" t="s">
        <v>214</v>
      </c>
      <c r="E47" s="3"/>
      <c r="F47" s="3"/>
      <c r="G47" s="12" t="n">
        <v>1</v>
      </c>
      <c r="H47" s="3"/>
      <c r="I47" s="3"/>
      <c r="J47" s="3"/>
      <c r="K47" s="3"/>
      <c r="L47" s="3"/>
      <c r="M47" s="3"/>
      <c r="N47" s="13" t="n">
        <f aca="false">SUMPRODUCT($F47:$M47,$F$4:$M$4)</f>
        <v>295.0303572</v>
      </c>
      <c r="O47" s="13" t="n">
        <f aca="false">SUMPRODUCT($F47:$M47,$F$5:$M$5)</f>
        <v>709.7274503</v>
      </c>
      <c r="P47" s="13" t="n">
        <f aca="false">SUMPRODUCT($F47:$M47,$F$6:$M$6)</f>
        <v>986.8680576</v>
      </c>
      <c r="Q47" s="13" t="n">
        <f aca="false">SUMPRODUCT($F47:$M47,$F$7:$M$7)</f>
        <v>1500.638174</v>
      </c>
      <c r="R47" s="13" t="n">
        <f aca="false">SUMPRODUCT($F47:$M47,$F$8:$M$8)</f>
        <v>2312.627726</v>
      </c>
      <c r="S47" s="13" t="n">
        <f aca="false">SUMPRODUCT($F47:$M47,$F$9:$M$9)</f>
        <v>3252.869887</v>
      </c>
      <c r="T47" s="13" t="n">
        <f aca="false">SUMPRODUCT($F47:$M47,$F$10:$M$10)</f>
        <v>4102.315524</v>
      </c>
      <c r="U47" s="13" t="n">
        <f aca="false">SUMPRODUCT($F47:$M47,$F$11:$M$11)</f>
        <v>5104.306587</v>
      </c>
      <c r="V47" s="13" t="n">
        <f aca="false">SUMPRODUCT($F47:$M47,$F$12:$M$12)</f>
        <v>6195.186243</v>
      </c>
      <c r="W47" s="13" t="n">
        <f aca="false">SUMPRODUCT($F47:$M47,$F$13:$M$13)</f>
        <v>7424.858444</v>
      </c>
      <c r="X47" s="13" t="n">
        <f aca="false">SUMPRODUCT($F47:$M47,$F$14:$M$14)</f>
        <v>816.73442884</v>
      </c>
    </row>
    <row r="48" customFormat="false" ht="15" hidden="false" customHeight="false" outlineLevel="0" collapsed="false">
      <c r="A48" s="3" t="s">
        <v>276</v>
      </c>
      <c r="B48" s="3" t="s">
        <v>277</v>
      </c>
      <c r="C48" s="3" t="s">
        <v>278</v>
      </c>
      <c r="D48" s="3" t="s">
        <v>214</v>
      </c>
      <c r="E48" s="3"/>
      <c r="F48" s="3"/>
      <c r="G48" s="3"/>
      <c r="H48" s="12" t="n">
        <v>1</v>
      </c>
      <c r="I48" s="3"/>
      <c r="J48" s="3"/>
      <c r="K48" s="3"/>
      <c r="L48" s="3"/>
      <c r="M48" s="3"/>
      <c r="N48" s="13" t="n">
        <f aca="false">SUMPRODUCT($F48:$M48,$F$4:$M$4)</f>
        <v>2727.90356888796</v>
      </c>
      <c r="O48" s="13" t="n">
        <f aca="false">SUMPRODUCT($F48:$M48,$F$5:$M$5)</f>
        <v>5488.91063218589</v>
      </c>
      <c r="P48" s="13" t="n">
        <f aca="false">SUMPRODUCT($F48:$M48,$F$6:$M$6)</f>
        <v>7206.58549675331</v>
      </c>
      <c r="Q48" s="13" t="n">
        <f aca="false">SUMPRODUCT($F48:$M48,$F$7:$M$7)</f>
        <v>10420.9077932162</v>
      </c>
      <c r="R48" s="13" t="n">
        <f aca="false">SUMPRODUCT($F48:$M48,$F$8:$M$8)</f>
        <v>14495.0713349105</v>
      </c>
      <c r="S48" s="13" t="n">
        <f aca="false">SUMPRODUCT($F48:$M48,$F$9:$M$9)</f>
        <v>18737.0609615097</v>
      </c>
      <c r="T48" s="13" t="n">
        <f aca="false">SUMPRODUCT($F48:$M48,$F$10:$M$10)</f>
        <v>22634.4822225078</v>
      </c>
      <c r="U48" s="13" t="n">
        <f aca="false">SUMPRODUCT($F48:$M48,$F$11:$M$11)</f>
        <v>26002.338467674</v>
      </c>
      <c r="V48" s="13" t="n">
        <f aca="false">SUMPRODUCT($F48:$M48,$F$12:$M$12)</f>
        <v>28613.3997200898</v>
      </c>
      <c r="W48" s="13" t="n">
        <f aca="false">SUMPRODUCT($F48:$M48,$F$13:$M$13)</f>
        <v>32428.7706862536</v>
      </c>
      <c r="X48" s="13" t="n">
        <f aca="false">SUMPRODUCT($F48:$M48,$F$14:$M$14)</f>
        <v>3567.1647754879</v>
      </c>
    </row>
    <row r="49" customFormat="false" ht="15" hidden="false" customHeight="false" outlineLevel="0" collapsed="false">
      <c r="A49" s="3" t="s">
        <v>279</v>
      </c>
      <c r="B49" s="3" t="s">
        <v>280</v>
      </c>
      <c r="C49" s="3" t="s">
        <v>281</v>
      </c>
      <c r="D49" s="3" t="s">
        <v>214</v>
      </c>
      <c r="E49" s="3"/>
      <c r="F49" s="3"/>
      <c r="G49" s="3"/>
      <c r="H49" s="3"/>
      <c r="I49" s="12" t="n">
        <v>1</v>
      </c>
      <c r="J49" s="3"/>
      <c r="K49" s="3"/>
      <c r="L49" s="3"/>
      <c r="M49" s="3"/>
      <c r="N49" s="13" t="n">
        <f aca="false">SUMPRODUCT($F49:$M49,$F$4:$M$4)</f>
        <v>92.4087543518401</v>
      </c>
      <c r="O49" s="13" t="n">
        <f aca="false">SUMPRODUCT($F49:$M49,$F$5:$M$5)</f>
        <v>178.139434573852</v>
      </c>
      <c r="P49" s="13" t="n">
        <f aca="false">SUMPRODUCT($F49:$M49,$F$6:$M$6)</f>
        <v>255.06523127917</v>
      </c>
      <c r="Q49" s="13" t="n">
        <f aca="false">SUMPRODUCT($F49:$M49,$F$7:$M$7)</f>
        <v>361.071030055753</v>
      </c>
      <c r="R49" s="13" t="n">
        <f aca="false">SUMPRODUCT($F49:$M49,$F$8:$M$8)</f>
        <v>605.624794650293</v>
      </c>
      <c r="S49" s="13" t="n">
        <f aca="false">SUMPRODUCT($F49:$M49,$F$9:$M$9)</f>
        <v>876.216751457047</v>
      </c>
      <c r="T49" s="13" t="n">
        <f aca="false">SUMPRODUCT($F49:$M49,$F$10:$M$10)</f>
        <v>1130.35497416121</v>
      </c>
      <c r="U49" s="13" t="n">
        <f aca="false">SUMPRODUCT($F49:$M49,$F$11:$M$11)</f>
        <v>1397.61759940245</v>
      </c>
      <c r="V49" s="13" t="n">
        <f aca="false">SUMPRODUCT($F49:$M49,$F$12:$M$12)</f>
        <v>1614.59478800518</v>
      </c>
      <c r="W49" s="13" t="n">
        <f aca="false">SUMPRODUCT($F49:$M49,$F$13:$M$13)</f>
        <v>1842.87697319699</v>
      </c>
      <c r="X49" s="13" t="n">
        <f aca="false">SUMPRODUCT($F49:$M49,$F$14:$M$14)</f>
        <v>202.716467051669</v>
      </c>
    </row>
    <row r="50" customFormat="false" ht="15" hidden="false" customHeight="false" outlineLevel="0" collapsed="false">
      <c r="A50" s="3" t="s">
        <v>282</v>
      </c>
      <c r="B50" s="3" t="s">
        <v>283</v>
      </c>
      <c r="C50" s="3" t="s">
        <v>284</v>
      </c>
      <c r="D50" s="3" t="s">
        <v>214</v>
      </c>
      <c r="E50" s="3"/>
      <c r="F50" s="12" t="n">
        <v>1</v>
      </c>
      <c r="G50" s="3"/>
      <c r="H50" s="3"/>
      <c r="I50" s="3"/>
      <c r="J50" s="3"/>
      <c r="K50" s="3"/>
      <c r="L50" s="3"/>
      <c r="M50" s="3"/>
      <c r="N50" s="13" t="n">
        <f aca="false">SUMPRODUCT($F50:$M50,$F$4:$M$4)</f>
        <v>4178.736543</v>
      </c>
      <c r="O50" s="13" t="n">
        <f aca="false">SUMPRODUCT($F50:$M50,$F$5:$M$5)</f>
        <v>5997.303977</v>
      </c>
      <c r="P50" s="13" t="n">
        <f aca="false">SUMPRODUCT($F50:$M50,$F$6:$M$6)</f>
        <v>6851.747758</v>
      </c>
      <c r="Q50" s="13" t="n">
        <f aca="false">SUMPRODUCT($F50:$M50,$F$7:$M$7)</f>
        <v>8467.135549</v>
      </c>
      <c r="R50" s="13" t="n">
        <f aca="false">SUMPRODUCT($F50:$M50,$F$8:$M$8)</f>
        <v>12680.63271</v>
      </c>
      <c r="S50" s="13" t="n">
        <f aca="false">SUMPRODUCT($F50:$M50,$F$9:$M$9)</f>
        <v>15620.25307</v>
      </c>
      <c r="T50" s="13" t="n">
        <f aca="false">SUMPRODUCT($F50:$M50,$F$10:$M$10)</f>
        <v>20332.55326</v>
      </c>
      <c r="U50" s="13" t="n">
        <f aca="false">SUMPRODUCT($F50:$M50,$F$11:$M$11)</f>
        <v>25132.07848</v>
      </c>
      <c r="V50" s="13" t="n">
        <f aca="false">SUMPRODUCT($F50:$M50,$F$12:$M$12)</f>
        <v>28573.33614</v>
      </c>
      <c r="W50" s="13" t="n">
        <f aca="false">SUMPRODUCT($F50:$M50,$F$13:$M$13)</f>
        <v>32072.63913</v>
      </c>
      <c r="X50" s="13" t="n">
        <f aca="false">SUMPRODUCT($F50:$M50,$F$14:$M$14)</f>
        <v>3848.7166956</v>
      </c>
    </row>
    <row r="51" customFormat="false" ht="15" hidden="false" customHeight="false" outlineLevel="0" collapsed="false">
      <c r="A51" s="3" t="s">
        <v>285</v>
      </c>
      <c r="B51" s="3" t="s">
        <v>286</v>
      </c>
      <c r="C51" s="3" t="s">
        <v>287</v>
      </c>
      <c r="D51" s="3" t="s">
        <v>214</v>
      </c>
      <c r="E51" s="3"/>
      <c r="F51" s="3"/>
      <c r="G51" s="12" t="n">
        <v>2</v>
      </c>
      <c r="H51" s="12" t="n">
        <v>2</v>
      </c>
      <c r="I51" s="12" t="n">
        <v>2</v>
      </c>
      <c r="J51" s="3"/>
      <c r="K51" s="3"/>
      <c r="L51" s="3"/>
      <c r="M51" s="3"/>
      <c r="N51" s="13" t="n">
        <f aca="false">SUMPRODUCT($F51:$M51,$F$4:$M$4)</f>
        <v>6230.68536087961</v>
      </c>
      <c r="O51" s="13" t="n">
        <f aca="false">SUMPRODUCT($F51:$M51,$F$5:$M$5)</f>
        <v>12753.5550341195</v>
      </c>
      <c r="P51" s="13" t="n">
        <f aca="false">SUMPRODUCT($F51:$M51,$F$6:$M$6)</f>
        <v>16897.037571265</v>
      </c>
      <c r="Q51" s="13" t="n">
        <f aca="false">SUMPRODUCT($F51:$M51,$F$7:$M$7)</f>
        <v>24565.2339945439</v>
      </c>
      <c r="R51" s="13" t="n">
        <f aca="false">SUMPRODUCT($F51:$M51,$F$8:$M$8)</f>
        <v>34826.6477111216</v>
      </c>
      <c r="S51" s="13" t="n">
        <f aca="false">SUMPRODUCT($F51:$M51,$F$9:$M$9)</f>
        <v>45732.2951999334</v>
      </c>
      <c r="T51" s="13" t="n">
        <f aca="false">SUMPRODUCT($F51:$M51,$F$10:$M$10)</f>
        <v>55734.305441338</v>
      </c>
      <c r="U51" s="13" t="n">
        <f aca="false">SUMPRODUCT($F51:$M51,$F$11:$M$11)</f>
        <v>65008.5253081528</v>
      </c>
      <c r="V51" s="13" t="n">
        <f aca="false">SUMPRODUCT($F51:$M51,$F$12:$M$12)</f>
        <v>72846.3615021901</v>
      </c>
      <c r="W51" s="13" t="n">
        <f aca="false">SUMPRODUCT($F51:$M51,$F$13:$M$13)</f>
        <v>83393.0122069013</v>
      </c>
      <c r="X51" s="13" t="n">
        <f aca="false">SUMPRODUCT($F51:$M51,$F$14:$M$14)</f>
        <v>9173.23134275914</v>
      </c>
    </row>
    <row r="52" customFormat="false" ht="15" hidden="false" customHeight="false" outlineLevel="0" collapsed="false">
      <c r="A52" s="3" t="s">
        <v>288</v>
      </c>
      <c r="B52" s="3" t="s">
        <v>289</v>
      </c>
      <c r="C52" s="3" t="s">
        <v>290</v>
      </c>
      <c r="D52" s="3" t="s">
        <v>214</v>
      </c>
      <c r="E52" s="3"/>
      <c r="F52" s="12" t="n">
        <v>1</v>
      </c>
      <c r="G52" s="3"/>
      <c r="H52" s="3"/>
      <c r="I52" s="3"/>
      <c r="J52" s="3"/>
      <c r="K52" s="3"/>
      <c r="L52" s="3"/>
      <c r="M52" s="3"/>
      <c r="N52" s="13" t="n">
        <f aca="false">SUMPRODUCT($F52:$M52,$F$4:$M$4)</f>
        <v>4178.736543</v>
      </c>
      <c r="O52" s="13" t="n">
        <f aca="false">SUMPRODUCT($F52:$M52,$F$5:$M$5)</f>
        <v>5997.303977</v>
      </c>
      <c r="P52" s="13" t="n">
        <f aca="false">SUMPRODUCT($F52:$M52,$F$6:$M$6)</f>
        <v>6851.747758</v>
      </c>
      <c r="Q52" s="13" t="n">
        <f aca="false">SUMPRODUCT($F52:$M52,$F$7:$M$7)</f>
        <v>8467.135549</v>
      </c>
      <c r="R52" s="13" t="n">
        <f aca="false">SUMPRODUCT($F52:$M52,$F$8:$M$8)</f>
        <v>12680.63271</v>
      </c>
      <c r="S52" s="13" t="n">
        <f aca="false">SUMPRODUCT($F52:$M52,$F$9:$M$9)</f>
        <v>15620.25307</v>
      </c>
      <c r="T52" s="13" t="n">
        <f aca="false">SUMPRODUCT($F52:$M52,$F$10:$M$10)</f>
        <v>20332.55326</v>
      </c>
      <c r="U52" s="13" t="n">
        <f aca="false">SUMPRODUCT($F52:$M52,$F$11:$M$11)</f>
        <v>25132.07848</v>
      </c>
      <c r="V52" s="13" t="n">
        <f aca="false">SUMPRODUCT($F52:$M52,$F$12:$M$12)</f>
        <v>28573.33614</v>
      </c>
      <c r="W52" s="13" t="n">
        <f aca="false">SUMPRODUCT($F52:$M52,$F$13:$M$13)</f>
        <v>32072.63913</v>
      </c>
      <c r="X52" s="13" t="n">
        <f aca="false">SUMPRODUCT($F52:$M52,$F$14:$M$14)</f>
        <v>3848.7166956</v>
      </c>
    </row>
    <row r="53" customFormat="false" ht="15" hidden="false" customHeight="false" outlineLevel="0" collapsed="false">
      <c r="A53" s="3" t="s">
        <v>291</v>
      </c>
      <c r="B53" s="3" t="s">
        <v>292</v>
      </c>
      <c r="C53" s="3" t="s">
        <v>293</v>
      </c>
      <c r="D53" s="3" t="s">
        <v>214</v>
      </c>
      <c r="E53" s="3"/>
      <c r="F53" s="3"/>
      <c r="G53" s="12" t="n">
        <v>1</v>
      </c>
      <c r="H53" s="3"/>
      <c r="I53" s="3"/>
      <c r="J53" s="3"/>
      <c r="K53" s="3"/>
      <c r="L53" s="3"/>
      <c r="M53" s="3"/>
      <c r="N53" s="13" t="n">
        <f aca="false">SUMPRODUCT($F53:$M53,$F$4:$M$4)</f>
        <v>295.0303572</v>
      </c>
      <c r="O53" s="13" t="n">
        <f aca="false">SUMPRODUCT($F53:$M53,$F$5:$M$5)</f>
        <v>709.7274503</v>
      </c>
      <c r="P53" s="13" t="n">
        <f aca="false">SUMPRODUCT($F53:$M53,$F$6:$M$6)</f>
        <v>986.8680576</v>
      </c>
      <c r="Q53" s="13" t="n">
        <f aca="false">SUMPRODUCT($F53:$M53,$F$7:$M$7)</f>
        <v>1500.638174</v>
      </c>
      <c r="R53" s="13" t="n">
        <f aca="false">SUMPRODUCT($F53:$M53,$F$8:$M$8)</f>
        <v>2312.627726</v>
      </c>
      <c r="S53" s="13" t="n">
        <f aca="false">SUMPRODUCT($F53:$M53,$F$9:$M$9)</f>
        <v>3252.869887</v>
      </c>
      <c r="T53" s="13" t="n">
        <f aca="false">SUMPRODUCT($F53:$M53,$F$10:$M$10)</f>
        <v>4102.315524</v>
      </c>
      <c r="U53" s="13" t="n">
        <f aca="false">SUMPRODUCT($F53:$M53,$F$11:$M$11)</f>
        <v>5104.306587</v>
      </c>
      <c r="V53" s="13" t="n">
        <f aca="false">SUMPRODUCT($F53:$M53,$F$12:$M$12)</f>
        <v>6195.186243</v>
      </c>
      <c r="W53" s="13" t="n">
        <f aca="false">SUMPRODUCT($F53:$M53,$F$13:$M$13)</f>
        <v>7424.858444</v>
      </c>
      <c r="X53" s="13" t="n">
        <f aca="false">SUMPRODUCT($F53:$M53,$F$14:$M$14)</f>
        <v>816.73442884</v>
      </c>
    </row>
    <row r="54" customFormat="false" ht="15" hidden="false" customHeight="false" outlineLevel="0" collapsed="false">
      <c r="A54" s="3" t="s">
        <v>294</v>
      </c>
      <c r="B54" s="3" t="s">
        <v>295</v>
      </c>
      <c r="C54" s="3" t="s">
        <v>296</v>
      </c>
      <c r="D54" s="3" t="s">
        <v>214</v>
      </c>
      <c r="E54" s="3"/>
      <c r="F54" s="3"/>
      <c r="G54" s="3"/>
      <c r="H54" s="12" t="n">
        <v>1</v>
      </c>
      <c r="I54" s="3"/>
      <c r="J54" s="3"/>
      <c r="K54" s="3"/>
      <c r="L54" s="3"/>
      <c r="M54" s="3"/>
      <c r="N54" s="13" t="n">
        <f aca="false">SUMPRODUCT($F54:$M54,$F$4:$M$4)</f>
        <v>2727.90356888796</v>
      </c>
      <c r="O54" s="13" t="n">
        <f aca="false">SUMPRODUCT($F54:$M54,$F$5:$M$5)</f>
        <v>5488.91063218589</v>
      </c>
      <c r="P54" s="13" t="n">
        <f aca="false">SUMPRODUCT($F54:$M54,$F$6:$M$6)</f>
        <v>7206.58549675331</v>
      </c>
      <c r="Q54" s="13" t="n">
        <f aca="false">SUMPRODUCT($F54:$M54,$F$7:$M$7)</f>
        <v>10420.9077932162</v>
      </c>
      <c r="R54" s="13" t="n">
        <f aca="false">SUMPRODUCT($F54:$M54,$F$8:$M$8)</f>
        <v>14495.0713349105</v>
      </c>
      <c r="S54" s="13" t="n">
        <f aca="false">SUMPRODUCT($F54:$M54,$F$9:$M$9)</f>
        <v>18737.0609615097</v>
      </c>
      <c r="T54" s="13" t="n">
        <f aca="false">SUMPRODUCT($F54:$M54,$F$10:$M$10)</f>
        <v>22634.4822225078</v>
      </c>
      <c r="U54" s="13" t="n">
        <f aca="false">SUMPRODUCT($F54:$M54,$F$11:$M$11)</f>
        <v>26002.338467674</v>
      </c>
      <c r="V54" s="13" t="n">
        <f aca="false">SUMPRODUCT($F54:$M54,$F$12:$M$12)</f>
        <v>28613.3997200898</v>
      </c>
      <c r="W54" s="13" t="n">
        <f aca="false">SUMPRODUCT($F54:$M54,$F$13:$M$13)</f>
        <v>32428.7706862536</v>
      </c>
      <c r="X54" s="13" t="n">
        <f aca="false">SUMPRODUCT($F54:$M54,$F$14:$M$14)</f>
        <v>3567.1647754879</v>
      </c>
    </row>
    <row r="55" customFormat="false" ht="15" hidden="false" customHeight="false" outlineLevel="0" collapsed="false">
      <c r="A55" s="3" t="s">
        <v>297</v>
      </c>
      <c r="B55" s="3" t="s">
        <v>298</v>
      </c>
      <c r="C55" s="3" t="s">
        <v>299</v>
      </c>
      <c r="D55" s="3" t="s">
        <v>214</v>
      </c>
      <c r="E55" s="3"/>
      <c r="F55" s="3"/>
      <c r="G55" s="3"/>
      <c r="H55" s="3"/>
      <c r="I55" s="12" t="n">
        <v>1</v>
      </c>
      <c r="J55" s="3"/>
      <c r="K55" s="3"/>
      <c r="L55" s="3"/>
      <c r="M55" s="3"/>
      <c r="N55" s="13" t="n">
        <f aca="false">SUMPRODUCT($F55:$M55,$F$4:$M$4)</f>
        <v>92.4087543518401</v>
      </c>
      <c r="O55" s="13" t="n">
        <f aca="false">SUMPRODUCT($F55:$M55,$F$5:$M$5)</f>
        <v>178.139434573852</v>
      </c>
      <c r="P55" s="13" t="n">
        <f aca="false">SUMPRODUCT($F55:$M55,$F$6:$M$6)</f>
        <v>255.06523127917</v>
      </c>
      <c r="Q55" s="13" t="n">
        <f aca="false">SUMPRODUCT($F55:$M55,$F$7:$M$7)</f>
        <v>361.071030055753</v>
      </c>
      <c r="R55" s="13" t="n">
        <f aca="false">SUMPRODUCT($F55:$M55,$F$8:$M$8)</f>
        <v>605.624794650293</v>
      </c>
      <c r="S55" s="13" t="n">
        <f aca="false">SUMPRODUCT($F55:$M55,$F$9:$M$9)</f>
        <v>876.216751457047</v>
      </c>
      <c r="T55" s="13" t="n">
        <f aca="false">SUMPRODUCT($F55:$M55,$F$10:$M$10)</f>
        <v>1130.35497416121</v>
      </c>
      <c r="U55" s="13" t="n">
        <f aca="false">SUMPRODUCT($F55:$M55,$F$11:$M$11)</f>
        <v>1397.61759940245</v>
      </c>
      <c r="V55" s="13" t="n">
        <f aca="false">SUMPRODUCT($F55:$M55,$F$12:$M$12)</f>
        <v>1614.59478800518</v>
      </c>
      <c r="W55" s="13" t="n">
        <f aca="false">SUMPRODUCT($F55:$M55,$F$13:$M$13)</f>
        <v>1842.87697319699</v>
      </c>
      <c r="X55" s="13" t="n">
        <f aca="false">SUMPRODUCT($F55:$M55,$F$14:$M$14)</f>
        <v>202.716467051669</v>
      </c>
    </row>
    <row r="56" customFormat="false" ht="15" hidden="false" customHeight="false" outlineLevel="0" collapsed="false">
      <c r="A56" s="3" t="s">
        <v>300</v>
      </c>
      <c r="B56" s="3" t="s">
        <v>301</v>
      </c>
      <c r="C56" s="3" t="s">
        <v>302</v>
      </c>
      <c r="D56" s="3" t="s">
        <v>214</v>
      </c>
      <c r="E56" s="3" t="s">
        <v>303</v>
      </c>
      <c r="F56" s="12" t="n">
        <v>1</v>
      </c>
      <c r="G56" s="12" t="n">
        <v>1</v>
      </c>
      <c r="H56" s="12" t="n">
        <v>1</v>
      </c>
      <c r="I56" s="12" t="n">
        <v>1</v>
      </c>
      <c r="J56" s="3"/>
      <c r="K56" s="3"/>
      <c r="L56" s="3"/>
      <c r="M56" s="3"/>
      <c r="N56" s="13" t="n">
        <f aca="false">SUMPRODUCT($F56:$M56,$F$4:$M$4)*(1-DEMANDA!D$5)</f>
        <v>5593.44284475146</v>
      </c>
      <c r="O56" s="13" t="n">
        <f aca="false">SUMPRODUCT($F56:$M56,$F$5:$M$5)*(1-DEMANDA!E$5)</f>
        <v>9490.11919723452</v>
      </c>
      <c r="P56" s="13" t="n">
        <f aca="false">SUMPRODUCT($F56:$M56,$F$6:$M$6)*(1-DEMANDA!F$5)</f>
        <v>11734.3907603871</v>
      </c>
      <c r="Q56" s="13" t="n">
        <f aca="false">SUMPRODUCT($F56:$M56,$F$7:$M$7)*(1-DEMANDA!G$5)</f>
        <v>15912.4624491386</v>
      </c>
      <c r="R56" s="13" t="n">
        <f aca="false">SUMPRODUCT($F56:$M56,$F$8:$M$8)*(1-DEMANDA!H$5)</f>
        <v>23073.3529711428</v>
      </c>
      <c r="S56" s="13" t="n">
        <f aca="false">SUMPRODUCT($F56:$M56,$F$9:$M$9)*(1-DEMANDA!I$5)</f>
        <v>29497.188576133</v>
      </c>
      <c r="T56" s="13" t="n">
        <f aca="false">SUMPRODUCT($F56:$M56,$F$10:$M$10)*(1-DEMANDA!J$5)</f>
        <v>36921.9110293768</v>
      </c>
      <c r="U56" s="13" t="n">
        <f aca="false">SUMPRODUCT($F56:$M56,$F$11:$M$11)*(1-DEMANDA!K$5)</f>
        <v>44118.2064964255</v>
      </c>
      <c r="V56" s="13" t="n">
        <f aca="false">SUMPRODUCT($F56:$M56,$F$12:$M$12)*(1-DEMANDA!L$5)</f>
        <v>49704.4735162669</v>
      </c>
      <c r="W56" s="13" t="n">
        <f aca="false">SUMPRODUCT($F56:$M56,$F$13:$M$13)*(1-DEMANDA!M$5)</f>
        <v>56343.7542625258</v>
      </c>
      <c r="X56" s="13" t="n">
        <f aca="false">SUMPRODUCT($F56:$M56,$F$14:$M$14)*(1-DEMANDA!M$5)</f>
        <v>6442.77892205143</v>
      </c>
    </row>
    <row r="57" customFormat="false" ht="15" hidden="false" customHeight="false" outlineLevel="0" collapsed="false">
      <c r="A57" s="3" t="s">
        <v>304</v>
      </c>
      <c r="B57" s="3" t="s">
        <v>305</v>
      </c>
      <c r="C57" s="3" t="s">
        <v>306</v>
      </c>
      <c r="D57" s="3" t="s">
        <v>214</v>
      </c>
      <c r="E57" s="3"/>
      <c r="F57" s="12" t="n">
        <v>1</v>
      </c>
      <c r="G57" s="12" t="n">
        <v>1</v>
      </c>
      <c r="H57" s="12" t="n">
        <v>1</v>
      </c>
      <c r="I57" s="12" t="n">
        <v>1</v>
      </c>
      <c r="J57" s="3"/>
      <c r="K57" s="3"/>
      <c r="L57" s="3"/>
      <c r="M57" s="3"/>
      <c r="N57" s="13" t="n">
        <f aca="false">SUMPRODUCT($F57:$M57,$F$4:$M$4)</f>
        <v>7294.0792234398</v>
      </c>
      <c r="O57" s="13" t="n">
        <f aca="false">SUMPRODUCT($F57:$M57,$F$5:$M$5)</f>
        <v>12374.0814940597</v>
      </c>
      <c r="P57" s="13" t="n">
        <f aca="false">SUMPRODUCT($F57:$M57,$F$6:$M$6)</f>
        <v>15300.2665436325</v>
      </c>
      <c r="Q57" s="13" t="n">
        <f aca="false">SUMPRODUCT($F57:$M57,$F$7:$M$7)</f>
        <v>20749.752546272</v>
      </c>
      <c r="R57" s="13" t="n">
        <f aca="false">SUMPRODUCT($F57:$M57,$F$8:$M$8)</f>
        <v>30093.9565655608</v>
      </c>
      <c r="S57" s="13" t="n">
        <f aca="false">SUMPRODUCT($F57:$M57,$F$9:$M$9)</f>
        <v>38486.4006699667</v>
      </c>
      <c r="T57" s="13" t="n">
        <f aca="false">SUMPRODUCT($F57:$M57,$F$10:$M$10)</f>
        <v>48199.705980669</v>
      </c>
      <c r="U57" s="13" t="n">
        <f aca="false">SUMPRODUCT($F57:$M57,$F$11:$M$11)</f>
        <v>57636.3411340764</v>
      </c>
      <c r="V57" s="13" t="n">
        <f aca="false">SUMPRODUCT($F57:$M57,$F$12:$M$12)</f>
        <v>64996.516891095</v>
      </c>
      <c r="W57" s="13" t="n">
        <f aca="false">SUMPRODUCT($F57:$M57,$F$13:$M$13)</f>
        <v>73769.1452334506</v>
      </c>
      <c r="X57" s="13" t="n">
        <f aca="false">SUMPRODUCT($F57:$M57,$F$14:$M$14)</f>
        <v>8435.33236697957</v>
      </c>
    </row>
    <row r="58" customFormat="false" ht="15" hidden="false" customHeight="false" outlineLevel="0" collapsed="false">
      <c r="A58" s="3" t="s">
        <v>307</v>
      </c>
      <c r="B58" s="3" t="s">
        <v>308</v>
      </c>
      <c r="C58" s="3" t="s">
        <v>309</v>
      </c>
      <c r="D58" s="3" t="s">
        <v>214</v>
      </c>
      <c r="E58" s="3" t="s">
        <v>310</v>
      </c>
      <c r="F58" s="3"/>
      <c r="G58" s="12" t="n">
        <v>1</v>
      </c>
      <c r="H58" s="12" t="n">
        <v>1</v>
      </c>
      <c r="I58" s="12" t="n">
        <v>1</v>
      </c>
      <c r="J58" s="3"/>
      <c r="K58" s="3"/>
      <c r="L58" s="3"/>
      <c r="M58" s="3"/>
      <c r="N58" s="13" t="n">
        <f aca="false">SUMPRODUCT($F58:$M58,$F$4:$M$4)*DEMANDA!D$5</f>
        <v>726.351460155634</v>
      </c>
      <c r="O58" s="13" t="n">
        <f aca="false">SUMPRODUCT($F58:$M58,$F$5:$M$5)*DEMANDA!E$5</f>
        <v>1486.20210261841</v>
      </c>
      <c r="P58" s="13" t="n">
        <f aca="false">SUMPRODUCT($F58:$M58,$F$6:$M$6)*DEMANDA!F$5</f>
        <v>1969.0093931415</v>
      </c>
      <c r="Q58" s="13" t="n">
        <f aca="false">SUMPRODUCT($F58:$M58,$F$7:$M$7)*DEMANDA!G$5</f>
        <v>2863.38747584054</v>
      </c>
      <c r="R58" s="13" t="n">
        <f aca="false">SUMPRODUCT($F58:$M58,$F$8:$M$8)*DEMANDA!H$5</f>
        <v>4062.34533451206</v>
      </c>
      <c r="S58" s="13" t="n">
        <f aca="false">SUMPRODUCT($F58:$M58,$F$9:$M$9)*DEMANDA!I$5</f>
        <v>5340.81251992498</v>
      </c>
      <c r="T58" s="13" t="n">
        <f aca="false">SUMPRODUCT($F58:$M58,$F$10:$M$10)*DEMANDA!J$5</f>
        <v>6520.37243517825</v>
      </c>
      <c r="U58" s="13" t="n">
        <f aca="false">SUMPRODUCT($F58:$M58,$F$11:$M$11)*DEMANDA!K$5</f>
        <v>7623.61021205745</v>
      </c>
      <c r="V58" s="13" t="n">
        <f aca="false">SUMPRODUCT($F58:$M58,$F$12:$M$12)*DEMANDA!L$5</f>
        <v>8569.45704995555</v>
      </c>
      <c r="W58" s="13" t="n">
        <f aca="false">SUMPRODUCT($F58:$M58,$F$13:$M$13)*DEMANDA!M$5</f>
        <v>9849.34715828475</v>
      </c>
      <c r="X58" s="13" t="n">
        <f aca="false">SUMPRODUCT($F58:$M58,$F$14:$M$14)*DEMANDA!M$5</f>
        <v>1083.42818741132</v>
      </c>
    </row>
    <row r="59" customFormat="false" ht="15" hidden="false" customHeight="false" outlineLevel="0" collapsed="false">
      <c r="A59" s="3" t="s">
        <v>311</v>
      </c>
      <c r="B59" s="3" t="s">
        <v>312</v>
      </c>
      <c r="C59" s="3" t="s">
        <v>313</v>
      </c>
      <c r="D59" s="3" t="s">
        <v>214</v>
      </c>
      <c r="E59" s="3"/>
      <c r="F59" s="12" t="n">
        <v>1</v>
      </c>
      <c r="G59" s="12" t="n">
        <v>1</v>
      </c>
      <c r="H59" s="12" t="n">
        <v>1</v>
      </c>
      <c r="I59" s="12" t="n">
        <v>1</v>
      </c>
      <c r="J59" s="3"/>
      <c r="K59" s="3"/>
      <c r="L59" s="3"/>
      <c r="M59" s="3"/>
      <c r="N59" s="13" t="n">
        <f aca="false">SUMPRODUCT($F59:$M59,$F$4:$M$4)</f>
        <v>7294.0792234398</v>
      </c>
      <c r="O59" s="13" t="n">
        <f aca="false">SUMPRODUCT($F59:$M59,$F$5:$M$5)</f>
        <v>12374.0814940597</v>
      </c>
      <c r="P59" s="13" t="n">
        <f aca="false">SUMPRODUCT($F59:$M59,$F$6:$M$6)</f>
        <v>15300.2665436325</v>
      </c>
      <c r="Q59" s="13" t="n">
        <f aca="false">SUMPRODUCT($F59:$M59,$F$7:$M$7)</f>
        <v>20749.752546272</v>
      </c>
      <c r="R59" s="13" t="n">
        <f aca="false">SUMPRODUCT($F59:$M59,$F$8:$M$8)</f>
        <v>30093.9565655608</v>
      </c>
      <c r="S59" s="13" t="n">
        <f aca="false">SUMPRODUCT($F59:$M59,$F$9:$M$9)</f>
        <v>38486.4006699667</v>
      </c>
      <c r="T59" s="13" t="n">
        <f aca="false">SUMPRODUCT($F59:$M59,$F$10:$M$10)</f>
        <v>48199.705980669</v>
      </c>
      <c r="U59" s="13" t="n">
        <f aca="false">SUMPRODUCT($F59:$M59,$F$11:$M$11)</f>
        <v>57636.3411340764</v>
      </c>
      <c r="V59" s="13" t="n">
        <f aca="false">SUMPRODUCT($F59:$M59,$F$12:$M$12)</f>
        <v>64996.516891095</v>
      </c>
      <c r="W59" s="13" t="n">
        <f aca="false">SUMPRODUCT($F59:$M59,$F$13:$M$13)</f>
        <v>73769.1452334506</v>
      </c>
      <c r="X59" s="13" t="n">
        <f aca="false">SUMPRODUCT($F59:$M59,$F$14:$M$14)</f>
        <v>8435.33236697957</v>
      </c>
    </row>
    <row r="60" customFormat="false" ht="15" hidden="false" customHeight="false" outlineLevel="0" collapsed="false">
      <c r="A60" s="3" t="s">
        <v>314</v>
      </c>
      <c r="B60" s="3" t="s">
        <v>315</v>
      </c>
      <c r="C60" s="3" t="s">
        <v>316</v>
      </c>
      <c r="D60" s="3" t="s">
        <v>214</v>
      </c>
      <c r="E60" s="3"/>
      <c r="F60" s="12" t="n">
        <v>1</v>
      </c>
      <c r="G60" s="12" t="n">
        <v>1</v>
      </c>
      <c r="H60" s="12" t="n">
        <v>1</v>
      </c>
      <c r="I60" s="12" t="n">
        <v>1</v>
      </c>
      <c r="J60" s="3"/>
      <c r="K60" s="3"/>
      <c r="L60" s="3"/>
      <c r="M60" s="3"/>
      <c r="N60" s="13" t="n">
        <f aca="false">SUMPRODUCT($F60:$M60,$F$4:$M$4)</f>
        <v>7294.0792234398</v>
      </c>
      <c r="O60" s="13" t="n">
        <f aca="false">SUMPRODUCT($F60:$M60,$F$5:$M$5)</f>
        <v>12374.0814940597</v>
      </c>
      <c r="P60" s="13" t="n">
        <f aca="false">SUMPRODUCT($F60:$M60,$F$6:$M$6)</f>
        <v>15300.2665436325</v>
      </c>
      <c r="Q60" s="13" t="n">
        <f aca="false">SUMPRODUCT($F60:$M60,$F$7:$M$7)</f>
        <v>20749.752546272</v>
      </c>
      <c r="R60" s="13" t="n">
        <f aca="false">SUMPRODUCT($F60:$M60,$F$8:$M$8)</f>
        <v>30093.9565655608</v>
      </c>
      <c r="S60" s="13" t="n">
        <f aca="false">SUMPRODUCT($F60:$M60,$F$9:$M$9)</f>
        <v>38486.4006699667</v>
      </c>
      <c r="T60" s="13" t="n">
        <f aca="false">SUMPRODUCT($F60:$M60,$F$10:$M$10)</f>
        <v>48199.705980669</v>
      </c>
      <c r="U60" s="13" t="n">
        <f aca="false">SUMPRODUCT($F60:$M60,$F$11:$M$11)</f>
        <v>57636.3411340764</v>
      </c>
      <c r="V60" s="13" t="n">
        <f aca="false">SUMPRODUCT($F60:$M60,$F$12:$M$12)</f>
        <v>64996.516891095</v>
      </c>
      <c r="W60" s="13" t="n">
        <f aca="false">SUMPRODUCT($F60:$M60,$F$13:$M$13)</f>
        <v>73769.1452334506</v>
      </c>
      <c r="X60" s="13" t="n">
        <f aca="false">SUMPRODUCT($F60:$M60,$F$14:$M$14)</f>
        <v>8435.33236697957</v>
      </c>
    </row>
    <row r="61" customFormat="false" ht="15" hidden="false" customHeight="false" outlineLevel="0" collapsed="false">
      <c r="A61" s="3" t="s">
        <v>317</v>
      </c>
      <c r="B61" s="3" t="s">
        <v>318</v>
      </c>
      <c r="C61" s="3" t="s">
        <v>319</v>
      </c>
      <c r="D61" s="3" t="s">
        <v>214</v>
      </c>
      <c r="E61" s="3"/>
      <c r="F61" s="12" t="n">
        <v>1</v>
      </c>
      <c r="G61" s="12" t="n">
        <v>1</v>
      </c>
      <c r="H61" s="12" t="n">
        <v>1</v>
      </c>
      <c r="I61" s="12" t="n">
        <v>1</v>
      </c>
      <c r="J61" s="3"/>
      <c r="K61" s="3"/>
      <c r="L61" s="3"/>
      <c r="M61" s="3"/>
      <c r="N61" s="13" t="n">
        <f aca="false">SUMPRODUCT($F61:$M61,$F$4:$M$4)</f>
        <v>7294.0792234398</v>
      </c>
      <c r="O61" s="13" t="n">
        <f aca="false">SUMPRODUCT($F61:$M61,$F$5:$M$5)</f>
        <v>12374.0814940597</v>
      </c>
      <c r="P61" s="13" t="n">
        <f aca="false">SUMPRODUCT($F61:$M61,$F$6:$M$6)</f>
        <v>15300.2665436325</v>
      </c>
      <c r="Q61" s="13" t="n">
        <f aca="false">SUMPRODUCT($F61:$M61,$F$7:$M$7)</f>
        <v>20749.752546272</v>
      </c>
      <c r="R61" s="13" t="n">
        <f aca="false">SUMPRODUCT($F61:$M61,$F$8:$M$8)</f>
        <v>30093.9565655608</v>
      </c>
      <c r="S61" s="13" t="n">
        <f aca="false">SUMPRODUCT($F61:$M61,$F$9:$M$9)</f>
        <v>38486.4006699667</v>
      </c>
      <c r="T61" s="13" t="n">
        <f aca="false">SUMPRODUCT($F61:$M61,$F$10:$M$10)</f>
        <v>48199.705980669</v>
      </c>
      <c r="U61" s="13" t="n">
        <f aca="false">SUMPRODUCT($F61:$M61,$F$11:$M$11)</f>
        <v>57636.3411340764</v>
      </c>
      <c r="V61" s="13" t="n">
        <f aca="false">SUMPRODUCT($F61:$M61,$F$12:$M$12)</f>
        <v>64996.516891095</v>
      </c>
      <c r="W61" s="13" t="n">
        <f aca="false">SUMPRODUCT($F61:$M61,$F$13:$M$13)</f>
        <v>73769.1452334506</v>
      </c>
      <c r="X61" s="13" t="n">
        <f aca="false">SUMPRODUCT($F61:$M61,$F$14:$M$14)</f>
        <v>8435.33236697957</v>
      </c>
    </row>
    <row r="62" customFormat="false" ht="15" hidden="false" customHeight="false" outlineLevel="0" collapsed="false">
      <c r="A62" s="3" t="s">
        <v>320</v>
      </c>
      <c r="B62" s="3" t="s">
        <v>321</v>
      </c>
      <c r="C62" s="3" t="s">
        <v>322</v>
      </c>
      <c r="D62" s="3" t="s">
        <v>214</v>
      </c>
      <c r="E62" s="3"/>
      <c r="F62" s="3"/>
      <c r="G62" s="3"/>
      <c r="H62" s="3"/>
      <c r="I62" s="3"/>
      <c r="J62" s="12" t="n">
        <v>1</v>
      </c>
      <c r="K62" s="12" t="n">
        <v>1</v>
      </c>
      <c r="L62" s="12" t="n">
        <v>1</v>
      </c>
      <c r="M62" s="12" t="n">
        <v>1</v>
      </c>
      <c r="N62" s="13" t="n">
        <f aca="false">SUMPRODUCT($F62:$M62,$F$4:$M$4)</f>
        <v>0</v>
      </c>
      <c r="O62" s="13" t="n">
        <f aca="false">SUMPRODUCT($F62:$M62,$F$5:$M$5)</f>
        <v>0</v>
      </c>
      <c r="P62" s="13" t="n">
        <f aca="false">SUMPRODUCT($F62:$M62,$F$6:$M$6)</f>
        <v>9531.2</v>
      </c>
      <c r="Q62" s="13" t="n">
        <f aca="false">SUMPRODUCT($F62:$M62,$F$7:$M$7)</f>
        <v>33205.6</v>
      </c>
      <c r="R62" s="13" t="n">
        <f aca="false">SUMPRODUCT($F62:$M62,$F$8:$M$8)</f>
        <v>61492</v>
      </c>
      <c r="S62" s="13" t="n">
        <f aca="false">SUMPRODUCT($F62:$M62,$F$9:$M$9)</f>
        <v>89163.2</v>
      </c>
      <c r="T62" s="13" t="n">
        <f aca="false">SUMPRODUCT($F62:$M62,$F$10:$M$10)</f>
        <v>126057.6</v>
      </c>
      <c r="U62" s="13" t="n">
        <f aca="false">SUMPRODUCT($F62:$M62,$F$11:$M$11)</f>
        <v>162952</v>
      </c>
      <c r="V62" s="13" t="n">
        <f aca="false">SUMPRODUCT($F62:$M62,$F$12:$M$12)</f>
        <v>182628.4</v>
      </c>
      <c r="W62" s="13" t="n">
        <f aca="false">SUMPRODUCT($F62:$M62,$F$13:$M$13)</f>
        <v>212143</v>
      </c>
      <c r="X62" s="13" t="n">
        <f aca="false">SUMPRODUCT($F62:$M62,$F$14:$M$14)</f>
        <v>25041.21</v>
      </c>
    </row>
    <row r="63" customFormat="false" ht="15" hidden="false" customHeight="false" outlineLevel="0" collapsed="false">
      <c r="A63" s="3" t="s">
        <v>323</v>
      </c>
      <c r="B63" s="3" t="s">
        <v>324</v>
      </c>
      <c r="C63" s="3" t="s">
        <v>325</v>
      </c>
      <c r="D63" s="3" t="s">
        <v>214</v>
      </c>
      <c r="E63" s="3"/>
      <c r="F63" s="3"/>
      <c r="G63" s="3"/>
      <c r="H63" s="3"/>
      <c r="I63" s="3"/>
      <c r="J63" s="12" t="n">
        <v>1</v>
      </c>
      <c r="K63" s="3"/>
      <c r="L63" s="3"/>
      <c r="M63" s="3"/>
      <c r="N63" s="13" t="n">
        <f aca="false">SUMPRODUCT($F63:$M63,$F$4:$M$4)</f>
        <v>0</v>
      </c>
      <c r="O63" s="13" t="n">
        <f aca="false">SUMPRODUCT($F63:$M63,$F$5:$M$5)</f>
        <v>0</v>
      </c>
      <c r="P63" s="13" t="n">
        <f aca="false">SUMPRODUCT($F63:$M63,$F$6:$M$6)</f>
        <v>7662.4</v>
      </c>
      <c r="Q63" s="13" t="n">
        <f aca="false">SUMPRODUCT($F63:$M63,$F$7:$M$7)</f>
        <v>26694.8</v>
      </c>
      <c r="R63" s="13" t="n">
        <f aca="false">SUMPRODUCT($F63:$M63,$F$8:$M$8)</f>
        <v>49434.8</v>
      </c>
      <c r="S63" s="13" t="n">
        <f aca="false">SUMPRODUCT($F63:$M63,$F$9:$M$9)</f>
        <v>71680.2</v>
      </c>
      <c r="T63" s="13" t="n">
        <f aca="false">SUMPRODUCT($F63:$M63,$F$10:$M$10)</f>
        <v>101340.6</v>
      </c>
      <c r="U63" s="13" t="n">
        <f aca="false">SUMPRODUCT($F63:$M63,$F$11:$M$11)</f>
        <v>131001</v>
      </c>
      <c r="V63" s="13" t="n">
        <f aca="false">SUMPRODUCT($F63:$M63,$F$12:$M$12)</f>
        <v>146819.8</v>
      </c>
      <c r="W63" s="13" t="n">
        <f aca="false">SUMPRODUCT($F63:$M63,$F$13:$M$13)</f>
        <v>170548</v>
      </c>
      <c r="X63" s="13" t="n">
        <f aca="false">SUMPRODUCT($F63:$M63,$F$14:$M$14)</f>
        <v>20465.76</v>
      </c>
    </row>
    <row r="64" customFormat="false" ht="15" hidden="false" customHeight="false" outlineLevel="0" collapsed="false">
      <c r="A64" s="3" t="s">
        <v>326</v>
      </c>
      <c r="B64" s="3" t="s">
        <v>327</v>
      </c>
      <c r="C64" s="3" t="s">
        <v>328</v>
      </c>
      <c r="D64" s="3" t="s">
        <v>214</v>
      </c>
      <c r="E64" s="3"/>
      <c r="F64" s="3"/>
      <c r="G64" s="3"/>
      <c r="H64" s="3"/>
      <c r="I64" s="3"/>
      <c r="J64" s="3"/>
      <c r="K64" s="12" t="n">
        <v>1</v>
      </c>
      <c r="L64" s="12" t="n">
        <v>1</v>
      </c>
      <c r="M64" s="12" t="n">
        <v>1</v>
      </c>
      <c r="N64" s="13" t="n">
        <f aca="false">SUMPRODUCT($F64:$M64,$F$4:$M$4)</f>
        <v>0</v>
      </c>
      <c r="O64" s="13" t="n">
        <f aca="false">SUMPRODUCT($F64:$M64,$F$5:$M$5)</f>
        <v>0</v>
      </c>
      <c r="P64" s="13" t="n">
        <f aca="false">SUMPRODUCT($F64:$M64,$F$6:$M$6)</f>
        <v>1868.8</v>
      </c>
      <c r="Q64" s="13" t="n">
        <f aca="false">SUMPRODUCT($F64:$M64,$F$7:$M$7)</f>
        <v>6510.8</v>
      </c>
      <c r="R64" s="13" t="n">
        <f aca="false">SUMPRODUCT($F64:$M64,$F$8:$M$8)</f>
        <v>12057.2</v>
      </c>
      <c r="S64" s="13" t="n">
        <f aca="false">SUMPRODUCT($F64:$M64,$F$9:$M$9)</f>
        <v>17483</v>
      </c>
      <c r="T64" s="13" t="n">
        <f aca="false">SUMPRODUCT($F64:$M64,$F$10:$M$10)</f>
        <v>24717</v>
      </c>
      <c r="U64" s="13" t="n">
        <f aca="false">SUMPRODUCT($F64:$M64,$F$11:$M$11)</f>
        <v>31951</v>
      </c>
      <c r="V64" s="13" t="n">
        <f aca="false">SUMPRODUCT($F64:$M64,$F$12:$M$12)</f>
        <v>35808.6</v>
      </c>
      <c r="W64" s="13" t="n">
        <f aca="false">SUMPRODUCT($F64:$M64,$F$13:$M$13)</f>
        <v>41595</v>
      </c>
      <c r="X64" s="13" t="n">
        <f aca="false">SUMPRODUCT($F64:$M64,$F$14:$M$14)</f>
        <v>4575.45</v>
      </c>
    </row>
    <row r="65" customFormat="false" ht="15" hidden="false" customHeight="false" outlineLevel="0" collapsed="false">
      <c r="A65" s="3" t="s">
        <v>329</v>
      </c>
      <c r="B65" s="3" t="s">
        <v>330</v>
      </c>
      <c r="C65" s="3" t="s">
        <v>331</v>
      </c>
      <c r="D65" s="3" t="s">
        <v>214</v>
      </c>
      <c r="E65" s="3"/>
      <c r="F65" s="3"/>
      <c r="G65" s="3"/>
      <c r="H65" s="3"/>
      <c r="I65" s="3"/>
      <c r="J65" s="12" t="n">
        <v>1</v>
      </c>
      <c r="K65" s="12" t="n">
        <v>1</v>
      </c>
      <c r="L65" s="12" t="n">
        <v>1</v>
      </c>
      <c r="M65" s="12" t="n">
        <v>1</v>
      </c>
      <c r="N65" s="13" t="n">
        <f aca="false">SUMPRODUCT($F65:$M65,$F$4:$M$4)</f>
        <v>0</v>
      </c>
      <c r="O65" s="13" t="n">
        <f aca="false">SUMPRODUCT($F65:$M65,$F$5:$M$5)</f>
        <v>0</v>
      </c>
      <c r="P65" s="13" t="n">
        <f aca="false">SUMPRODUCT($F65:$M65,$F$6:$M$6)</f>
        <v>9531.2</v>
      </c>
      <c r="Q65" s="13" t="n">
        <f aca="false">SUMPRODUCT($F65:$M65,$F$7:$M$7)</f>
        <v>33205.6</v>
      </c>
      <c r="R65" s="13" t="n">
        <f aca="false">SUMPRODUCT($F65:$M65,$F$8:$M$8)</f>
        <v>61492</v>
      </c>
      <c r="S65" s="13" t="n">
        <f aca="false">SUMPRODUCT($F65:$M65,$F$9:$M$9)</f>
        <v>89163.2</v>
      </c>
      <c r="T65" s="13" t="n">
        <f aca="false">SUMPRODUCT($F65:$M65,$F$10:$M$10)</f>
        <v>126057.6</v>
      </c>
      <c r="U65" s="13" t="n">
        <f aca="false">SUMPRODUCT($F65:$M65,$F$11:$M$11)</f>
        <v>162952</v>
      </c>
      <c r="V65" s="13" t="n">
        <f aca="false">SUMPRODUCT($F65:$M65,$F$12:$M$12)</f>
        <v>182628.4</v>
      </c>
      <c r="W65" s="13" t="n">
        <f aca="false">SUMPRODUCT($F65:$M65,$F$13:$M$13)</f>
        <v>212143</v>
      </c>
      <c r="X65" s="13" t="n">
        <f aca="false">SUMPRODUCT($F65:$M65,$F$14:$M$14)</f>
        <v>25041.21</v>
      </c>
    </row>
    <row r="66" customFormat="false" ht="15" hidden="false" customHeight="false" outlineLevel="0" collapsed="false">
      <c r="A66" s="3" t="s">
        <v>332</v>
      </c>
      <c r="B66" s="3" t="s">
        <v>333</v>
      </c>
      <c r="C66" s="3" t="s">
        <v>334</v>
      </c>
      <c r="D66" s="3" t="s">
        <v>214</v>
      </c>
      <c r="E66" s="3"/>
      <c r="F66" s="12" t="n">
        <v>1</v>
      </c>
      <c r="G66" s="3"/>
      <c r="H66" s="3"/>
      <c r="I66" s="3"/>
      <c r="J66" s="12" t="n">
        <v>1</v>
      </c>
      <c r="K66" s="3"/>
      <c r="L66" s="3"/>
      <c r="M66" s="3"/>
      <c r="N66" s="13" t="n">
        <f aca="false">SUMPRODUCT($F66:$M66,$F$4:$M$4)</f>
        <v>4178.736543</v>
      </c>
      <c r="O66" s="13" t="n">
        <f aca="false">SUMPRODUCT($F66:$M66,$F$5:$M$5)</f>
        <v>5997.303977</v>
      </c>
      <c r="P66" s="13" t="n">
        <f aca="false">SUMPRODUCT($F66:$M66,$F$6:$M$6)</f>
        <v>14514.147758</v>
      </c>
      <c r="Q66" s="13" t="n">
        <f aca="false">SUMPRODUCT($F66:$M66,$F$7:$M$7)</f>
        <v>35161.935549</v>
      </c>
      <c r="R66" s="13" t="n">
        <f aca="false">SUMPRODUCT($F66:$M66,$F$8:$M$8)</f>
        <v>62115.43271</v>
      </c>
      <c r="S66" s="13" t="n">
        <f aca="false">SUMPRODUCT($F66:$M66,$F$9:$M$9)</f>
        <v>87300.45307</v>
      </c>
      <c r="T66" s="13" t="n">
        <f aca="false">SUMPRODUCT($F66:$M66,$F$10:$M$10)</f>
        <v>121673.15326</v>
      </c>
      <c r="U66" s="13" t="n">
        <f aca="false">SUMPRODUCT($F66:$M66,$F$11:$M$11)</f>
        <v>156133.07848</v>
      </c>
      <c r="V66" s="13" t="n">
        <f aca="false">SUMPRODUCT($F66:$M66,$F$12:$M$12)</f>
        <v>175393.13614</v>
      </c>
      <c r="W66" s="13" t="n">
        <f aca="false">SUMPRODUCT($F66:$M66,$F$13:$M$13)</f>
        <v>202620.63913</v>
      </c>
      <c r="X66" s="13" t="n">
        <f aca="false">SUMPRODUCT($F66:$M66,$F$14:$M$14)</f>
        <v>24314.4766956</v>
      </c>
    </row>
    <row r="67" customFormat="false" ht="15" hidden="false" customHeight="false" outlineLevel="0" collapsed="false">
      <c r="A67" s="3" t="s">
        <v>335</v>
      </c>
      <c r="B67" s="3" t="s">
        <v>336</v>
      </c>
      <c r="C67" s="3" t="s">
        <v>337</v>
      </c>
      <c r="D67" s="3" t="s">
        <v>214</v>
      </c>
      <c r="E67" s="3"/>
      <c r="F67" s="3"/>
      <c r="G67" s="12" t="n">
        <v>1</v>
      </c>
      <c r="H67" s="3"/>
      <c r="I67" s="3"/>
      <c r="J67" s="3"/>
      <c r="K67" s="12" t="n">
        <v>1</v>
      </c>
      <c r="L67" s="3"/>
      <c r="M67" s="3"/>
      <c r="N67" s="13" t="n">
        <f aca="false">SUMPRODUCT($F67:$M67,$F$4:$M$4)</f>
        <v>295.0303572</v>
      </c>
      <c r="O67" s="13" t="n">
        <f aca="false">SUMPRODUCT($F67:$M67,$F$5:$M$5)</f>
        <v>709.7274503</v>
      </c>
      <c r="P67" s="13" t="n">
        <f aca="false">SUMPRODUCT($F67:$M67,$F$6:$M$6)</f>
        <v>1286.4680576</v>
      </c>
      <c r="Q67" s="13" t="n">
        <f aca="false">SUMPRODUCT($F67:$M67,$F$7:$M$7)</f>
        <v>2544.438174</v>
      </c>
      <c r="R67" s="13" t="n">
        <f aca="false">SUMPRODUCT($F67:$M67,$F$8:$M$8)</f>
        <v>4245.627726</v>
      </c>
      <c r="S67" s="13" t="n">
        <f aca="false">SUMPRODUCT($F67:$M67,$F$9:$M$9)</f>
        <v>6055.869887</v>
      </c>
      <c r="T67" s="13" t="n">
        <f aca="false">SUMPRODUCT($F67:$M67,$F$10:$M$10)</f>
        <v>8065.315524</v>
      </c>
      <c r="U67" s="13" t="n">
        <f aca="false">SUMPRODUCT($F67:$M67,$F$11:$M$11)</f>
        <v>10227.306587</v>
      </c>
      <c r="V67" s="13" t="n">
        <f aca="false">SUMPRODUCT($F67:$M67,$F$12:$M$12)</f>
        <v>11936.586243</v>
      </c>
      <c r="W67" s="13" t="n">
        <f aca="false">SUMPRODUCT($F67:$M67,$F$13:$M$13)</f>
        <v>14093.858444</v>
      </c>
      <c r="X67" s="13" t="n">
        <f aca="false">SUMPRODUCT($F67:$M67,$F$14:$M$14)</f>
        <v>1550.32442884</v>
      </c>
    </row>
    <row r="68" customFormat="false" ht="15" hidden="false" customHeight="false" outlineLevel="0" collapsed="false">
      <c r="A68" s="3" t="s">
        <v>338</v>
      </c>
      <c r="B68" s="3" t="s">
        <v>339</v>
      </c>
      <c r="C68" s="3" t="s">
        <v>340</v>
      </c>
      <c r="D68" s="3" t="s">
        <v>214</v>
      </c>
      <c r="E68" s="3"/>
      <c r="F68" s="3"/>
      <c r="G68" s="3"/>
      <c r="H68" s="12" t="n">
        <v>1</v>
      </c>
      <c r="I68" s="3"/>
      <c r="J68" s="3"/>
      <c r="K68" s="3"/>
      <c r="L68" s="12" t="n">
        <v>1</v>
      </c>
      <c r="M68" s="3"/>
      <c r="N68" s="13" t="n">
        <f aca="false">SUMPRODUCT($F68:$M68,$F$4:$M$4)</f>
        <v>2727.90356888796</v>
      </c>
      <c r="O68" s="13" t="n">
        <f aca="false">SUMPRODUCT($F68:$M68,$F$5:$M$5)</f>
        <v>5488.91063218589</v>
      </c>
      <c r="P68" s="13" t="n">
        <f aca="false">SUMPRODUCT($F68:$M68,$F$6:$M$6)</f>
        <v>8685.38549675331</v>
      </c>
      <c r="Q68" s="13" t="n">
        <f aca="false">SUMPRODUCT($F68:$M68,$F$7:$M$7)</f>
        <v>15572.9077932162</v>
      </c>
      <c r="R68" s="13" t="n">
        <f aca="false">SUMPRODUCT($F68:$M68,$F$8:$M$8)</f>
        <v>24035.8713349105</v>
      </c>
      <c r="S68" s="13" t="n">
        <f aca="false">SUMPRODUCT($F68:$M68,$F$9:$M$9)</f>
        <v>32571.2609615097</v>
      </c>
      <c r="T68" s="13" t="n">
        <f aca="false">SUMPRODUCT($F68:$M68,$F$10:$M$10)</f>
        <v>42193.0822225078</v>
      </c>
      <c r="U68" s="13" t="n">
        <f aca="false">SUMPRODUCT($F68:$M68,$F$11:$M$11)</f>
        <v>51285.338467674</v>
      </c>
      <c r="V68" s="13" t="n">
        <f aca="false">SUMPRODUCT($F68:$M68,$F$12:$M$12)</f>
        <v>56949.1997200899</v>
      </c>
      <c r="W68" s="13" t="n">
        <f aca="false">SUMPRODUCT($F68:$M68,$F$13:$M$13)</f>
        <v>65343.7706862536</v>
      </c>
      <c r="X68" s="13" t="n">
        <f aca="false">SUMPRODUCT($F68:$M68,$F$14:$M$14)</f>
        <v>7187.8147754879</v>
      </c>
    </row>
    <row r="69" customFormat="false" ht="15" hidden="false" customHeight="false" outlineLevel="0" collapsed="false">
      <c r="A69" s="3" t="s">
        <v>341</v>
      </c>
      <c r="B69" s="3" t="s">
        <v>342</v>
      </c>
      <c r="C69" s="3" t="s">
        <v>343</v>
      </c>
      <c r="D69" s="3" t="s">
        <v>214</v>
      </c>
      <c r="E69" s="3"/>
      <c r="F69" s="3"/>
      <c r="G69" s="3"/>
      <c r="H69" s="3"/>
      <c r="I69" s="12" t="n">
        <v>1</v>
      </c>
      <c r="J69" s="3"/>
      <c r="K69" s="3"/>
      <c r="L69" s="3"/>
      <c r="M69" s="12" t="n">
        <v>1</v>
      </c>
      <c r="N69" s="13" t="n">
        <f aca="false">SUMPRODUCT($F69:$M69,$F$4:$M$4)</f>
        <v>92.4087543518401</v>
      </c>
      <c r="O69" s="13" t="n">
        <f aca="false">SUMPRODUCT($F69:$M69,$F$5:$M$5)</f>
        <v>178.139434573852</v>
      </c>
      <c r="P69" s="13" t="n">
        <f aca="false">SUMPRODUCT($F69:$M69,$F$6:$M$6)</f>
        <v>345.46523127917</v>
      </c>
      <c r="Q69" s="13" t="n">
        <f aca="false">SUMPRODUCT($F69:$M69,$F$7:$M$7)</f>
        <v>676.071030055753</v>
      </c>
      <c r="R69" s="13" t="n">
        <f aca="false">SUMPRODUCT($F69:$M69,$F$8:$M$8)</f>
        <v>1189.02479465029</v>
      </c>
      <c r="S69" s="13" t="n">
        <f aca="false">SUMPRODUCT($F69:$M69,$F$9:$M$9)</f>
        <v>1722.01675145705</v>
      </c>
      <c r="T69" s="13" t="n">
        <f aca="false">SUMPRODUCT($F69:$M69,$F$10:$M$10)</f>
        <v>2325.75497416121</v>
      </c>
      <c r="U69" s="13" t="n">
        <f aca="false">SUMPRODUCT($F69:$M69,$F$11:$M$11)</f>
        <v>2942.61759940245</v>
      </c>
      <c r="V69" s="13" t="n">
        <f aca="false">SUMPRODUCT($F69:$M69,$F$12:$M$12)</f>
        <v>3345.99478800518</v>
      </c>
      <c r="W69" s="13" t="n">
        <f aca="false">SUMPRODUCT($F69:$M69,$F$13:$M$13)</f>
        <v>3853.87697319699</v>
      </c>
      <c r="X69" s="13" t="n">
        <f aca="false">SUMPRODUCT($F69:$M69,$F$14:$M$14)</f>
        <v>423.926467051669</v>
      </c>
    </row>
    <row r="70" customFormat="false" ht="15" hidden="false" customHeight="false" outlineLevel="0" collapsed="false">
      <c r="A70" s="3" t="s">
        <v>344</v>
      </c>
      <c r="B70" s="3" t="s">
        <v>345</v>
      </c>
      <c r="C70" s="3" t="s">
        <v>346</v>
      </c>
      <c r="D70" s="3" t="s">
        <v>214</v>
      </c>
      <c r="E70" s="3"/>
      <c r="F70" s="12" t="n">
        <v>1</v>
      </c>
      <c r="G70" s="12" t="n">
        <v>1</v>
      </c>
      <c r="H70" s="12" t="n">
        <v>1</v>
      </c>
      <c r="I70" s="12" t="n">
        <v>1</v>
      </c>
      <c r="J70" s="12" t="n">
        <v>1</v>
      </c>
      <c r="K70" s="12" t="n">
        <v>1</v>
      </c>
      <c r="L70" s="12" t="n">
        <v>1</v>
      </c>
      <c r="M70" s="12" t="n">
        <v>1</v>
      </c>
      <c r="N70" s="13" t="n">
        <f aca="false">SUMPRODUCT($F70:$M70,$F$4:$M$4)</f>
        <v>7294.0792234398</v>
      </c>
      <c r="O70" s="13" t="n">
        <f aca="false">SUMPRODUCT($F70:$M70,$F$5:$M$5)</f>
        <v>12374.0814940597</v>
      </c>
      <c r="P70" s="13" t="n">
        <f aca="false">SUMPRODUCT($F70:$M70,$F$6:$M$6)</f>
        <v>24831.4665436325</v>
      </c>
      <c r="Q70" s="13" t="n">
        <f aca="false">SUMPRODUCT($F70:$M70,$F$7:$M$7)</f>
        <v>53955.352546272</v>
      </c>
      <c r="R70" s="13" t="n">
        <f aca="false">SUMPRODUCT($F70:$M70,$F$8:$M$8)</f>
        <v>91585.9565655608</v>
      </c>
      <c r="S70" s="13" t="n">
        <f aca="false">SUMPRODUCT($F70:$M70,$F$9:$M$9)</f>
        <v>127649.600669967</v>
      </c>
      <c r="T70" s="13" t="n">
        <f aca="false">SUMPRODUCT($F70:$M70,$F$10:$M$10)</f>
        <v>174257.305980669</v>
      </c>
      <c r="U70" s="13" t="n">
        <f aca="false">SUMPRODUCT($F70:$M70,$F$11:$M$11)</f>
        <v>220588.341134076</v>
      </c>
      <c r="V70" s="13" t="n">
        <f aca="false">SUMPRODUCT($F70:$M70,$F$12:$M$12)</f>
        <v>247624.916891095</v>
      </c>
      <c r="W70" s="13" t="n">
        <f aca="false">SUMPRODUCT($F70:$M70,$F$13:$M$13)</f>
        <v>285912.145233451</v>
      </c>
      <c r="X70" s="13" t="n">
        <f aca="false">SUMPRODUCT($F70:$M70,$F$14:$M$14)</f>
        <v>33476.5423669796</v>
      </c>
    </row>
    <row r="71" customFormat="false" ht="15" hidden="false" customHeight="false" outlineLevel="0" collapsed="false">
      <c r="A71" s="3" t="s">
        <v>347</v>
      </c>
      <c r="B71" s="3" t="s">
        <v>348</v>
      </c>
      <c r="C71" s="3" t="s">
        <v>349</v>
      </c>
      <c r="D71" s="3" t="s">
        <v>214</v>
      </c>
      <c r="E71" s="3"/>
      <c r="F71" s="12" t="n">
        <f aca="false">1/400</f>
        <v>0.0025</v>
      </c>
      <c r="G71" s="12" t="n">
        <f aca="false">1/167</f>
        <v>0.00598802395209581</v>
      </c>
      <c r="H71" s="12" t="n">
        <f aca="false">1/90</f>
        <v>0.0111111111111111</v>
      </c>
      <c r="I71" s="12" t="n">
        <f aca="false">1/40</f>
        <v>0.025</v>
      </c>
      <c r="J71" s="12" t="n">
        <f aca="false">1/400</f>
        <v>0.0025</v>
      </c>
      <c r="K71" s="12" t="n">
        <f aca="false">1/167</f>
        <v>0.00598802395209581</v>
      </c>
      <c r="L71" s="12" t="n">
        <f aca="false">1/90</f>
        <v>0.0111111111111111</v>
      </c>
      <c r="M71" s="12" t="n">
        <f aca="false">1/40</f>
        <v>0.025</v>
      </c>
      <c r="N71" s="13" t="n">
        <f aca="false">SUMPRODUCT($F71:$M71,$F$4:$M$4)</f>
        <v>44.8337487161157</v>
      </c>
      <c r="O71" s="13" t="n">
        <f aca="false">SUMPRODUCT($F71:$M71,$F$5:$M$5)</f>
        <v>84.6845066918792</v>
      </c>
      <c r="P71" s="13" t="n">
        <f aca="false">SUMPRODUCT($F71:$M71,$F$6:$M$6)</f>
        <v>149.129685016753</v>
      </c>
      <c r="Q71" s="13" t="n">
        <f aca="false">SUMPRODUCT($F71:$M71,$F$7:$M$7)</f>
        <v>293.075080167946</v>
      </c>
      <c r="R71" s="13" t="n">
        <f aca="false">SUMPRODUCT($F71:$M71,$F$8:$M$8)</f>
        <v>477.502359210788</v>
      </c>
      <c r="S71" s="13" t="n">
        <f aca="false">SUMPRODUCT($F71:$M71,$F$9:$M$9)</f>
        <v>659.467144967888</v>
      </c>
      <c r="T71" s="13" t="n">
        <f aca="false">SUMPRODUCT($F71:$M71,$F$10:$M$10)</f>
        <v>879.434084737483</v>
      </c>
      <c r="U71" s="13" t="n">
        <f aca="false">SUMPRODUCT($F71:$M71,$F$11:$M$11)</f>
        <v>1094.97658707871</v>
      </c>
      <c r="V71" s="13" t="n">
        <f aca="false">SUMPRODUCT($F71:$M71,$F$12:$M$12)</f>
        <v>1226.37816015825</v>
      </c>
      <c r="W71" s="13" t="n">
        <f aca="false">SUMPRODUCT($F71:$M71,$F$13:$M$13)</f>
        <v>1413.33478060897</v>
      </c>
      <c r="X71" s="13" t="n">
        <f aca="false">SUMPRODUCT($F71:$M71,$F$14:$M$14)</f>
        <v>160.532341845237</v>
      </c>
    </row>
    <row r="72" customFormat="false" ht="15" hidden="false" customHeight="false" outlineLevel="0" collapsed="false">
      <c r="A72" s="3" t="s">
        <v>350</v>
      </c>
      <c r="B72" s="3" t="s">
        <v>351</v>
      </c>
      <c r="C72" s="3" t="s">
        <v>352</v>
      </c>
      <c r="D72" s="3" t="s">
        <v>214</v>
      </c>
      <c r="E72" s="3"/>
      <c r="F72" s="12" t="n">
        <f aca="false">1/400</f>
        <v>0.0025</v>
      </c>
      <c r="G72" s="12" t="n">
        <f aca="false">1/167</f>
        <v>0.00598802395209581</v>
      </c>
      <c r="H72" s="12" t="n">
        <f aca="false">1/90</f>
        <v>0.0111111111111111</v>
      </c>
      <c r="I72" s="12" t="n">
        <f aca="false">1/40</f>
        <v>0.025</v>
      </c>
      <c r="J72" s="12" t="n">
        <f aca="false">1/400</f>
        <v>0.0025</v>
      </c>
      <c r="K72" s="12" t="n">
        <f aca="false">1/167</f>
        <v>0.00598802395209581</v>
      </c>
      <c r="L72" s="12" t="n">
        <f aca="false">1/90</f>
        <v>0.0111111111111111</v>
      </c>
      <c r="M72" s="12" t="n">
        <f aca="false">1/40</f>
        <v>0.025</v>
      </c>
      <c r="N72" s="13" t="n">
        <f aca="false">SUMPRODUCT($F72:$M72,$F$4:$M$4)</f>
        <v>44.8337487161157</v>
      </c>
      <c r="O72" s="13" t="n">
        <f aca="false">SUMPRODUCT($F72:$M72,$F$5:$M$5)</f>
        <v>84.6845066918792</v>
      </c>
      <c r="P72" s="13" t="n">
        <f aca="false">SUMPRODUCT($F72:$M72,$F$6:$M$6)</f>
        <v>149.129685016753</v>
      </c>
      <c r="Q72" s="13" t="n">
        <f aca="false">SUMPRODUCT($F72:$M72,$F$7:$M$7)</f>
        <v>293.075080167946</v>
      </c>
      <c r="R72" s="13" t="n">
        <f aca="false">SUMPRODUCT($F72:$M72,$F$8:$M$8)</f>
        <v>477.502359210788</v>
      </c>
      <c r="S72" s="13" t="n">
        <f aca="false">SUMPRODUCT($F72:$M72,$F$9:$M$9)</f>
        <v>659.467144967888</v>
      </c>
      <c r="T72" s="13" t="n">
        <f aca="false">SUMPRODUCT($F72:$M72,$F$10:$M$10)</f>
        <v>879.434084737483</v>
      </c>
      <c r="U72" s="13" t="n">
        <f aca="false">SUMPRODUCT($F72:$M72,$F$11:$M$11)</f>
        <v>1094.97658707871</v>
      </c>
      <c r="V72" s="13" t="n">
        <f aca="false">SUMPRODUCT($F72:$M72,$F$12:$M$12)</f>
        <v>1226.37816015825</v>
      </c>
      <c r="W72" s="13" t="n">
        <f aca="false">SUMPRODUCT($F72:$M72,$F$13:$M$13)</f>
        <v>1413.33478060897</v>
      </c>
      <c r="X72" s="13" t="n">
        <f aca="false">SUMPRODUCT($F72:$M72,$F$14:$M$14)</f>
        <v>160.532341845237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0"/>
    <pageSetUpPr fitToPage="true"/>
  </sheetPr>
  <dimension ref="A1:X7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15" topLeftCell="F16" activePane="bottomRight" state="frozen"/>
      <selection pane="topLeft" activeCell="A1" activeCellId="0" sqref="A1"/>
      <selection pane="topRight" activeCell="F1" activeCellId="0" sqref="F1"/>
      <selection pane="bottomLeft" activeCell="A16" activeCellId="0" sqref="A1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24" min="6" style="0" width="10"/>
  </cols>
  <sheetData>
    <row r="1" customFormat="false" ht="15" hidden="false" customHeight="false" outlineLevel="0" collapsed="false">
      <c r="A1" s="1" t="s">
        <v>353</v>
      </c>
    </row>
    <row r="3" customFormat="false" ht="30" hidden="false" customHeight="true" outlineLevel="0" collapsed="false">
      <c r="A3" s="2" t="s">
        <v>1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354</v>
      </c>
      <c r="G3" s="2" t="s">
        <v>355</v>
      </c>
      <c r="H3" s="2" t="s">
        <v>356</v>
      </c>
      <c r="I3" s="2" t="s">
        <v>357</v>
      </c>
      <c r="J3" s="2" t="s">
        <v>358</v>
      </c>
      <c r="K3" s="2" t="s">
        <v>359</v>
      </c>
      <c r="L3" s="2" t="s">
        <v>360</v>
      </c>
      <c r="M3" s="2" t="s">
        <v>361</v>
      </c>
      <c r="N3" s="2" t="s">
        <v>152</v>
      </c>
      <c r="O3" s="2" t="s">
        <v>153</v>
      </c>
      <c r="P3" s="2" t="s">
        <v>154</v>
      </c>
      <c r="Q3" s="2" t="s">
        <v>155</v>
      </c>
      <c r="R3" s="2" t="s">
        <v>156</v>
      </c>
      <c r="S3" s="2" t="s">
        <v>157</v>
      </c>
      <c r="T3" s="2" t="s">
        <v>158</v>
      </c>
      <c r="U3" s="2" t="s">
        <v>159</v>
      </c>
      <c r="V3" s="2" t="s">
        <v>160</v>
      </c>
      <c r="W3" s="2" t="s">
        <v>161</v>
      </c>
      <c r="X3" s="2" t="s">
        <v>162</v>
      </c>
    </row>
    <row r="4" customFormat="false" ht="15" hidden="false" customHeight="false" outlineLevel="0" collapsed="false">
      <c r="A4" s="8"/>
      <c r="B4" s="8"/>
      <c r="C4" s="8" t="s">
        <v>163</v>
      </c>
      <c r="D4" s="8"/>
      <c r="E4" s="8"/>
      <c r="F4" s="9" t="n">
        <f aca="false">DEMANDA!D16</f>
        <v>34.05179136</v>
      </c>
      <c r="G4" s="9" t="n">
        <f aca="false">DEMANDA!D17</f>
        <v>75.2017274109201</v>
      </c>
      <c r="H4" s="9" t="n">
        <f aca="false">DEMANDA!D18</f>
        <v>16.34485985</v>
      </c>
      <c r="I4" s="9" t="n">
        <f aca="false">DEMANDA!D19</f>
        <v>11.1843596509201</v>
      </c>
      <c r="J4" s="9" t="n">
        <f aca="false">DEMANDA!D20</f>
        <v>0</v>
      </c>
      <c r="K4" s="9" t="n">
        <f aca="false">DEMANDA!D21</f>
        <v>0</v>
      </c>
      <c r="L4" s="9" t="n">
        <f aca="false">DEMANDA!D22</f>
        <v>0</v>
      </c>
      <c r="M4" s="9" t="n">
        <f aca="false">DEMANDA!D23</f>
        <v>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customFormat="false" ht="15" hidden="false" customHeight="false" outlineLevel="0" collapsed="false">
      <c r="A5" s="8"/>
      <c r="B5" s="8"/>
      <c r="C5" s="8" t="s">
        <v>164</v>
      </c>
      <c r="D5" s="8"/>
      <c r="E5" s="8"/>
      <c r="F5" s="9" t="n">
        <f aca="false">DEMANDA!E16</f>
        <v>58.46214745</v>
      </c>
      <c r="G5" s="9" t="n">
        <f aca="false">DEMANDA!E17</f>
        <v>129.206686542386</v>
      </c>
      <c r="H5" s="9" t="n">
        <f aca="false">DEMANDA!E18</f>
        <v>28.06183078</v>
      </c>
      <c r="I5" s="9" t="n">
        <f aca="false">DEMANDA!E19</f>
        <v>18.722276510546</v>
      </c>
      <c r="J5" s="9" t="n">
        <f aca="false">DEMANDA!E20</f>
        <v>0</v>
      </c>
      <c r="K5" s="9" t="n">
        <f aca="false">DEMANDA!E21</f>
        <v>0</v>
      </c>
      <c r="L5" s="9" t="n">
        <f aca="false">DEMANDA!E22</f>
        <v>0</v>
      </c>
      <c r="M5" s="9" t="n">
        <f aca="false">DEMANDA!E23</f>
        <v>0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customFormat="false" ht="15" hidden="false" customHeight="false" outlineLevel="0" collapsed="false">
      <c r="A6" s="8"/>
      <c r="B6" s="8"/>
      <c r="C6" s="8" t="s">
        <v>165</v>
      </c>
      <c r="D6" s="8"/>
      <c r="E6" s="8"/>
      <c r="F6" s="9" t="n">
        <f aca="false">DEMANDA!F16</f>
        <v>75.20853998</v>
      </c>
      <c r="G6" s="9" t="n">
        <f aca="false">DEMANDA!F17</f>
        <v>166.653101605318</v>
      </c>
      <c r="H6" s="9" t="n">
        <f aca="false">DEMANDA!F18</f>
        <v>36.10009919</v>
      </c>
      <c r="I6" s="9" t="n">
        <f aca="false">DEMANDA!F19</f>
        <v>24.3689085214661</v>
      </c>
      <c r="J6" s="9" t="n">
        <f aca="false">DEMANDA!F20</f>
        <v>14.4</v>
      </c>
      <c r="K6" s="9" t="n">
        <f aca="false">DEMANDA!F21</f>
        <v>31.8</v>
      </c>
      <c r="L6" s="9" t="n">
        <f aca="false">DEMANDA!F22</f>
        <v>7</v>
      </c>
      <c r="M6" s="9" t="n">
        <f aca="false">DEMANDA!F23</f>
        <v>4.6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customFormat="false" ht="15" hidden="false" customHeight="false" outlineLevel="0" collapsed="false">
      <c r="A7" s="8"/>
      <c r="B7" s="8"/>
      <c r="C7" s="8" t="s">
        <v>166</v>
      </c>
      <c r="D7" s="8"/>
      <c r="E7" s="8"/>
      <c r="F7" s="9" t="n">
        <f aca="false">DEMANDA!G16</f>
        <v>100.5298529</v>
      </c>
      <c r="G7" s="9" t="n">
        <f aca="false">DEMANDA!G17</f>
        <v>222.705333798422</v>
      </c>
      <c r="H7" s="9" t="n">
        <f aca="false">DEMANDA!G18</f>
        <v>48.25432941</v>
      </c>
      <c r="I7" s="9" t="n">
        <f aca="false">DEMANDA!G19</f>
        <v>32.4861179920121</v>
      </c>
      <c r="J7" s="9" t="n">
        <f aca="false">DEMANDA!G20</f>
        <v>50.2</v>
      </c>
      <c r="K7" s="9" t="n">
        <f aca="false">DEMANDA!G21</f>
        <v>110.8</v>
      </c>
      <c r="L7" s="9" t="n">
        <f aca="false">DEMANDA!G22</f>
        <v>24.4</v>
      </c>
      <c r="M7" s="9" t="n">
        <f aca="false">DEMANDA!G23</f>
        <v>16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customFormat="false" ht="15" hidden="false" customHeight="false" outlineLevel="0" collapsed="false">
      <c r="A8" s="8"/>
      <c r="B8" s="8"/>
      <c r="C8" s="8" t="s">
        <v>167</v>
      </c>
      <c r="D8" s="8"/>
      <c r="E8" s="8"/>
      <c r="F8" s="9" t="n">
        <f aca="false">DEMANDA!H16</f>
        <v>155.8760035</v>
      </c>
      <c r="G8" s="9" t="n">
        <f aca="false">DEMANDA!H17</f>
        <v>344.538811601152</v>
      </c>
      <c r="H8" s="9" t="n">
        <f aca="false">DEMANDA!H18</f>
        <v>74.82048167</v>
      </c>
      <c r="I8" s="9" t="n">
        <f aca="false">DEMANDA!H19</f>
        <v>50.4990619034781</v>
      </c>
      <c r="J8" s="9" t="n">
        <f aca="false">DEMANDA!H20</f>
        <v>93</v>
      </c>
      <c r="K8" s="9" t="n">
        <f aca="false">DEMANDA!H21</f>
        <v>205.2</v>
      </c>
      <c r="L8" s="9" t="n">
        <f aca="false">DEMANDA!H22</f>
        <v>45.2</v>
      </c>
      <c r="M8" s="9" t="n">
        <f aca="false">DEMANDA!H23</f>
        <v>29.6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customFormat="false" ht="15" hidden="false" customHeight="false" outlineLevel="0" collapsed="false">
      <c r="A9" s="8"/>
      <c r="B9" s="8"/>
      <c r="C9" s="8" t="s">
        <v>168</v>
      </c>
      <c r="D9" s="8"/>
      <c r="E9" s="8"/>
      <c r="F9" s="9" t="n">
        <f aca="false">DEMANDA!I16</f>
        <v>211.9344827</v>
      </c>
      <c r="G9" s="9" t="n">
        <f aca="false">DEMANDA!I17</f>
        <v>468.227198914802</v>
      </c>
      <c r="H9" s="9" t="n">
        <f aca="false">DEMANDA!I18</f>
        <v>101.7285517</v>
      </c>
      <c r="I9" s="9" t="n">
        <f aca="false">DEMANDA!I19</f>
        <v>68.1787674836501</v>
      </c>
      <c r="J9" s="9" t="n">
        <f aca="false">DEMANDA!I20</f>
        <v>135</v>
      </c>
      <c r="K9" s="9" t="n">
        <f aca="false">DEMANDA!I21</f>
        <v>297.6</v>
      </c>
      <c r="L9" s="9" t="n">
        <f aca="false">DEMANDA!I22</f>
        <v>65.4</v>
      </c>
      <c r="M9" s="9" t="n">
        <f aca="false">DEMANDA!I23</f>
        <v>42.8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customFormat="false" ht="15" hidden="false" customHeight="false" outlineLevel="0" collapsed="false">
      <c r="A10" s="8"/>
      <c r="B10" s="8"/>
      <c r="C10" s="8" t="s">
        <v>169</v>
      </c>
      <c r="D10" s="8"/>
      <c r="E10" s="8"/>
      <c r="F10" s="9" t="n">
        <f aca="false">DEMANDA!J16</f>
        <v>272.6682332</v>
      </c>
      <c r="G10" s="9" t="n">
        <f aca="false">DEMANDA!J17</f>
        <v>601.639999327158</v>
      </c>
      <c r="H10" s="9" t="n">
        <f aca="false">DEMANDA!J18</f>
        <v>130.8807519</v>
      </c>
      <c r="I10" s="9" t="n">
        <f aca="false">DEMANDA!J19</f>
        <v>87.6279569441961</v>
      </c>
      <c r="J10" s="9" t="n">
        <f aca="false">DEMANDA!J20</f>
        <v>191</v>
      </c>
      <c r="K10" s="9" t="n">
        <f aca="false">DEMANDA!J21</f>
        <v>420.8</v>
      </c>
      <c r="L10" s="9" t="n">
        <f aca="false">DEMANDA!J22</f>
        <v>92.2</v>
      </c>
      <c r="M10" s="9" t="n">
        <f aca="false">DEMANDA!J23</f>
        <v>60.4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customFormat="false" ht="15" hidden="false" customHeight="false" outlineLevel="0" collapsed="false">
      <c r="A11" s="8"/>
      <c r="B11" s="8"/>
      <c r="C11" s="8" t="s">
        <v>170</v>
      </c>
      <c r="D11" s="8"/>
      <c r="E11" s="8"/>
      <c r="F11" s="9" t="n">
        <f aca="false">DEMANDA!K16</f>
        <v>337.8486707</v>
      </c>
      <c r="G11" s="9" t="n">
        <f aca="false">DEMANDA!K17</f>
        <v>744.533335808048</v>
      </c>
      <c r="H11" s="9" t="n">
        <f aca="false">DEMANDA!K18</f>
        <v>162.1673619</v>
      </c>
      <c r="I11" s="9" t="n">
        <f aca="false">DEMANDA!K19</f>
        <v>108.500086254742</v>
      </c>
      <c r="J11" s="9" t="n">
        <f aca="false">DEMANDA!K20</f>
        <v>247</v>
      </c>
      <c r="K11" s="9" t="n">
        <f aca="false">DEMANDA!K21</f>
        <v>544</v>
      </c>
      <c r="L11" s="9" t="n">
        <f aca="false">DEMANDA!K22</f>
        <v>119</v>
      </c>
      <c r="M11" s="9" t="n">
        <f aca="false">DEMANDA!K23</f>
        <v>78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customFormat="false" ht="15" hidden="false" customHeight="false" outlineLevel="0" collapsed="false">
      <c r="A12" s="8"/>
      <c r="B12" s="8"/>
      <c r="C12" s="8" t="s">
        <v>171</v>
      </c>
      <c r="D12" s="8"/>
      <c r="E12" s="8"/>
      <c r="F12" s="9" t="n">
        <f aca="false">DEMANDA!L16</f>
        <v>393.6274156</v>
      </c>
      <c r="G12" s="9" t="n">
        <f aca="false">DEMANDA!L17</f>
        <v>867.289742469686</v>
      </c>
      <c r="H12" s="9" t="n">
        <f aca="false">DEMANDA!L18</f>
        <v>188.9411595</v>
      </c>
      <c r="I12" s="9" t="n">
        <f aca="false">DEMANDA!L19</f>
        <v>126.363673975288</v>
      </c>
      <c r="J12" s="9" t="n">
        <f aca="false">DEMANDA!L20</f>
        <v>277</v>
      </c>
      <c r="K12" s="9" t="n">
        <f aca="false">DEMANDA!L21</f>
        <v>609.6</v>
      </c>
      <c r="L12" s="9" t="n">
        <f aca="false">DEMANDA!L22</f>
        <v>133.4</v>
      </c>
      <c r="M12" s="9" t="n">
        <f aca="false">DEMANDA!L23</f>
        <v>87.6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customFormat="false" ht="15" hidden="false" customHeight="false" outlineLevel="0" collapsed="false">
      <c r="A13" s="8"/>
      <c r="B13" s="8"/>
      <c r="C13" s="8" t="s">
        <v>172</v>
      </c>
      <c r="D13" s="8"/>
      <c r="E13" s="8"/>
      <c r="F13" s="9" t="n">
        <f aca="false">DEMANDA!M16</f>
        <v>453.2705332</v>
      </c>
      <c r="G13" s="9" t="n">
        <f aca="false">DEMANDA!M17</f>
        <v>998.259982820404</v>
      </c>
      <c r="H13" s="9" t="n">
        <f aca="false">DEMANDA!M18</f>
        <v>217.569856</v>
      </c>
      <c r="I13" s="9" t="n">
        <f aca="false">DEMANDA!M19</f>
        <v>145.176074484914</v>
      </c>
      <c r="J13" s="9" t="n">
        <f aca="false">DEMANDA!M20</f>
        <v>322</v>
      </c>
      <c r="K13" s="9" t="n">
        <f aca="false">DEMANDA!M21</f>
        <v>708</v>
      </c>
      <c r="L13" s="9" t="n">
        <f aca="false">DEMANDA!M22</f>
        <v>155</v>
      </c>
      <c r="M13" s="9" t="n">
        <f aca="false">DEMANDA!M23</f>
        <v>102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customFormat="false" ht="15" hidden="false" customHeight="false" outlineLevel="0" collapsed="false">
      <c r="A14" s="8"/>
      <c r="B14" s="8"/>
      <c r="C14" s="8" t="s">
        <v>173</v>
      </c>
      <c r="D14" s="8"/>
      <c r="E14" s="8"/>
      <c r="F14" s="9" t="n">
        <f aca="false">ESTACIONALIDAD!P19</f>
        <v>40.794347988</v>
      </c>
      <c r="G14" s="9" t="n">
        <f aca="false">ESTACIONALIDAD!P20</f>
        <v>89.8433984538364</v>
      </c>
      <c r="H14" s="9" t="n">
        <f aca="false">ESTACIONALIDAD!P21</f>
        <v>19.58128704</v>
      </c>
      <c r="I14" s="9" t="n">
        <f aca="false">ESTACIONALIDAD!P22</f>
        <v>13.0658467036423</v>
      </c>
      <c r="J14" s="9" t="n">
        <f aca="false">ESTACIONALIDAD!P23</f>
        <v>28.98</v>
      </c>
      <c r="K14" s="9" t="n">
        <f aca="false">ESTACIONALIDAD!P24</f>
        <v>63.72</v>
      </c>
      <c r="L14" s="9" t="n">
        <f aca="false">ESTACIONALIDAD!P25</f>
        <v>13.95</v>
      </c>
      <c r="M14" s="9" t="n">
        <f aca="false">ESTACIONALIDAD!P26</f>
        <v>9.18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customFormat="false" ht="15" hidden="false" customHeight="false" outlineLevel="0" collapsed="false">
      <c r="A15" s="11"/>
      <c r="B15" s="11"/>
      <c r="C15" s="11" t="s">
        <v>174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customFormat="false" ht="15" hidden="false" customHeight="false" outlineLevel="0" collapsed="false">
      <c r="A16" s="3" t="s">
        <v>362</v>
      </c>
      <c r="B16" s="3" t="s">
        <v>363</v>
      </c>
      <c r="C16" s="3" t="s">
        <v>364</v>
      </c>
      <c r="D16" s="3" t="s">
        <v>182</v>
      </c>
      <c r="E16" s="3"/>
      <c r="F16" s="12" t="n">
        <f aca="false">1/9</f>
        <v>0.111111111111111</v>
      </c>
      <c r="G16" s="12" t="n">
        <f aca="false">1/6</f>
        <v>0.166666666666667</v>
      </c>
      <c r="H16" s="3"/>
      <c r="I16" s="3"/>
      <c r="J16" s="12" t="n">
        <f aca="false">1/9</f>
        <v>0.111111111111111</v>
      </c>
      <c r="K16" s="12" t="n">
        <f aca="false">1/6</f>
        <v>0.166666666666667</v>
      </c>
      <c r="L16" s="3"/>
      <c r="M16" s="3"/>
      <c r="N16" s="13" t="n">
        <f aca="false">SUMPRODUCT($F16:$M16,$F$4:$M$4)</f>
        <v>16.3171536084867</v>
      </c>
      <c r="O16" s="13" t="n">
        <f aca="false">SUMPRODUCT($F16:$M16,$F$5:$M$5)</f>
        <v>28.0302419181755</v>
      </c>
      <c r="P16" s="13" t="n">
        <f aca="false">SUMPRODUCT($F16:$M16,$F$6:$M$6)</f>
        <v>43.0320213764419</v>
      </c>
      <c r="Q16" s="13" t="n">
        <f aca="false">SUMPRODUCT($F16:$M16,$F$7:$M$7)</f>
        <v>72.3319837330704</v>
      </c>
      <c r="R16" s="13" t="n">
        <f aca="false">SUMPRODUCT($F16:$M16,$F$8:$M$8)</f>
        <v>119.276024544636</v>
      </c>
      <c r="S16" s="13" t="n">
        <f aca="false">SUMPRODUCT($F16:$M16,$F$9:$M$9)</f>
        <v>166.186142341356</v>
      </c>
      <c r="T16" s="13" t="n">
        <f aca="false">SUMPRODUCT($F16:$M16,$F$10:$M$10)</f>
        <v>221.925359132304</v>
      </c>
      <c r="U16" s="13" t="n">
        <f aca="false">SUMPRODUCT($F16:$M16,$F$11:$M$11)</f>
        <v>279.738741601341</v>
      </c>
      <c r="V16" s="13" t="n">
        <f aca="false">SUMPRODUCT($F16:$M16,$F$12:$M$12)</f>
        <v>320.662447700503</v>
      </c>
      <c r="W16" s="13" t="n">
        <f aca="false">SUMPRODUCT($F16:$M16,$F$13:$M$13)</f>
        <v>370.517834158956</v>
      </c>
      <c r="X16" s="13" t="n">
        <f aca="false">SUMPRODUCT($F16:$M16,$F$14:$M$14)</f>
        <v>33.3466050743061</v>
      </c>
    </row>
    <row r="17" customFormat="false" ht="15" hidden="false" customHeight="false" outlineLevel="0" collapsed="false">
      <c r="A17" s="3" t="s">
        <v>365</v>
      </c>
      <c r="B17" s="3" t="s">
        <v>366</v>
      </c>
      <c r="C17" s="3" t="s">
        <v>367</v>
      </c>
      <c r="D17" s="3" t="s">
        <v>182</v>
      </c>
      <c r="E17" s="3"/>
      <c r="F17" s="3"/>
      <c r="G17" s="3"/>
      <c r="H17" s="12" t="n">
        <f aca="false">2/9</f>
        <v>0.222222222222222</v>
      </c>
      <c r="I17" s="12" t="n">
        <f aca="false">1/3</f>
        <v>0.333333333333333</v>
      </c>
      <c r="J17" s="3"/>
      <c r="K17" s="3"/>
      <c r="L17" s="12" t="n">
        <f aca="false">2/9</f>
        <v>0.222222222222222</v>
      </c>
      <c r="M17" s="12" t="n">
        <f aca="false">1/3</f>
        <v>0.333333333333333</v>
      </c>
      <c r="N17" s="13" t="n">
        <f aca="false">SUMPRODUCT($F17:$M17,$F$4:$M$4)</f>
        <v>7.3603109614178</v>
      </c>
      <c r="O17" s="13" t="n">
        <f aca="false">SUMPRODUCT($F17:$M17,$F$5:$M$5)</f>
        <v>12.4767212324042</v>
      </c>
      <c r="P17" s="13" t="n">
        <f aca="false">SUMPRODUCT($F17:$M17,$F$6:$M$6)</f>
        <v>19.2341026604887</v>
      </c>
      <c r="Q17" s="13" t="n">
        <f aca="false">SUMPRODUCT($F17:$M17,$F$7:$M$7)</f>
        <v>32.3074458662262</v>
      </c>
      <c r="R17" s="13" t="n">
        <f aca="false">SUMPRODUCT($F17:$M17,$F$8:$M$8)</f>
        <v>53.3709054500483</v>
      </c>
      <c r="S17" s="13" t="n">
        <f aca="false">SUMPRODUCT($F17:$M17,$F$9:$M$9)</f>
        <v>74.1326006501056</v>
      </c>
      <c r="T17" s="13" t="n">
        <f aca="false">SUMPRODUCT($F17:$M17,$F$10:$M$10)</f>
        <v>98.9161527369543</v>
      </c>
      <c r="U17" s="13" t="n">
        <f aca="false">SUMPRODUCT($F17:$M17,$F$11:$M$11)</f>
        <v>124.648331396025</v>
      </c>
      <c r="V17" s="13" t="n">
        <f aca="false">SUMPRODUCT($F17:$M17,$F$12:$M$12)</f>
        <v>142.952593436207</v>
      </c>
      <c r="W17" s="13" t="n">
        <f aca="false">SUMPRODUCT($F17:$M17,$F$13:$M$13)</f>
        <v>165.185326161638</v>
      </c>
      <c r="X17" s="13" t="n">
        <f aca="false">SUMPRODUCT($F17:$M17,$F$14:$M$14)</f>
        <v>14.8666793545474</v>
      </c>
    </row>
    <row r="18" customFormat="false" ht="15" hidden="false" customHeight="false" outlineLevel="0" collapsed="false">
      <c r="A18" s="3" t="s">
        <v>368</v>
      </c>
      <c r="B18" s="3" t="s">
        <v>369</v>
      </c>
      <c r="C18" s="3" t="s">
        <v>370</v>
      </c>
      <c r="D18" s="3" t="s">
        <v>214</v>
      </c>
      <c r="E18" s="3"/>
      <c r="F18" s="12" t="n">
        <v>2</v>
      </c>
      <c r="G18" s="3"/>
      <c r="H18" s="3"/>
      <c r="I18" s="3"/>
      <c r="J18" s="12" t="n">
        <v>2</v>
      </c>
      <c r="K18" s="3"/>
      <c r="L18" s="3"/>
      <c r="M18" s="3"/>
      <c r="N18" s="13" t="n">
        <f aca="false">SUMPRODUCT($F18:$M18,$F$4:$M$4)</f>
        <v>68.10358272</v>
      </c>
      <c r="O18" s="13" t="n">
        <f aca="false">SUMPRODUCT($F18:$M18,$F$5:$M$5)</f>
        <v>116.9242949</v>
      </c>
      <c r="P18" s="13" t="n">
        <f aca="false">SUMPRODUCT($F18:$M18,$F$6:$M$6)</f>
        <v>179.21707996</v>
      </c>
      <c r="Q18" s="13" t="n">
        <f aca="false">SUMPRODUCT($F18:$M18,$F$7:$M$7)</f>
        <v>301.4597058</v>
      </c>
      <c r="R18" s="13" t="n">
        <f aca="false">SUMPRODUCT($F18:$M18,$F$8:$M$8)</f>
        <v>497.752007</v>
      </c>
      <c r="S18" s="13" t="n">
        <f aca="false">SUMPRODUCT($F18:$M18,$F$9:$M$9)</f>
        <v>693.8689654</v>
      </c>
      <c r="T18" s="13" t="n">
        <f aca="false">SUMPRODUCT($F18:$M18,$F$10:$M$10)</f>
        <v>927.3364664</v>
      </c>
      <c r="U18" s="13" t="n">
        <f aca="false">SUMPRODUCT($F18:$M18,$F$11:$M$11)</f>
        <v>1169.6973414</v>
      </c>
      <c r="V18" s="13" t="n">
        <f aca="false">SUMPRODUCT($F18:$M18,$F$12:$M$12)</f>
        <v>1341.2548312</v>
      </c>
      <c r="W18" s="13" t="n">
        <f aca="false">SUMPRODUCT($F18:$M18,$F$13:$M$13)</f>
        <v>1550.5410664</v>
      </c>
      <c r="X18" s="13" t="n">
        <f aca="false">SUMPRODUCT($F18:$M18,$F$14:$M$14)</f>
        <v>139.548695976</v>
      </c>
    </row>
    <row r="19" customFormat="false" ht="15" hidden="false" customHeight="false" outlineLevel="0" collapsed="false">
      <c r="A19" s="3" t="s">
        <v>371</v>
      </c>
      <c r="B19" s="3" t="s">
        <v>372</v>
      </c>
      <c r="C19" s="3" t="s">
        <v>373</v>
      </c>
      <c r="D19" s="3" t="s">
        <v>214</v>
      </c>
      <c r="E19" s="3"/>
      <c r="F19" s="3"/>
      <c r="G19" s="12" t="n">
        <v>2</v>
      </c>
      <c r="H19" s="3"/>
      <c r="I19" s="3"/>
      <c r="J19" s="3"/>
      <c r="K19" s="12" t="n">
        <v>2</v>
      </c>
      <c r="L19" s="3"/>
      <c r="M19" s="3"/>
      <c r="N19" s="13" t="n">
        <f aca="false">SUMPRODUCT($F19:$M19,$F$4:$M$4)</f>
        <v>150.40345482184</v>
      </c>
      <c r="O19" s="13" t="n">
        <f aca="false">SUMPRODUCT($F19:$M19,$F$5:$M$5)</f>
        <v>258.413373084772</v>
      </c>
      <c r="P19" s="13" t="n">
        <f aca="false">SUMPRODUCT($F19:$M19,$F$6:$M$6)</f>
        <v>396.906203210637</v>
      </c>
      <c r="Q19" s="13" t="n">
        <f aca="false">SUMPRODUCT($F19:$M19,$F$7:$M$7)</f>
        <v>667.010667596845</v>
      </c>
      <c r="R19" s="13" t="n">
        <f aca="false">SUMPRODUCT($F19:$M19,$F$8:$M$8)</f>
        <v>1099.4776232023</v>
      </c>
      <c r="S19" s="13" t="n">
        <f aca="false">SUMPRODUCT($F19:$M19,$F$9:$M$9)</f>
        <v>1531.65439782961</v>
      </c>
      <c r="T19" s="13" t="n">
        <f aca="false">SUMPRODUCT($F19:$M19,$F$10:$M$10)</f>
        <v>2044.87999865432</v>
      </c>
      <c r="U19" s="13" t="n">
        <f aca="false">SUMPRODUCT($F19:$M19,$F$11:$M$11)</f>
        <v>2577.0666716161</v>
      </c>
      <c r="V19" s="13" t="n">
        <f aca="false">SUMPRODUCT($F19:$M19,$F$12:$M$12)</f>
        <v>2953.77948493937</v>
      </c>
      <c r="W19" s="13" t="n">
        <f aca="false">SUMPRODUCT($F19:$M19,$F$13:$M$13)</f>
        <v>3412.51996564081</v>
      </c>
      <c r="X19" s="13" t="n">
        <f aca="false">SUMPRODUCT($F19:$M19,$F$14:$M$14)</f>
        <v>307.126796907673</v>
      </c>
    </row>
    <row r="20" customFormat="false" ht="15" hidden="false" customHeight="false" outlineLevel="0" collapsed="false">
      <c r="A20" s="3" t="s">
        <v>374</v>
      </c>
      <c r="B20" s="3" t="s">
        <v>375</v>
      </c>
      <c r="C20" s="3" t="s">
        <v>376</v>
      </c>
      <c r="D20" s="3" t="s">
        <v>214</v>
      </c>
      <c r="E20" s="3"/>
      <c r="F20" s="3"/>
      <c r="G20" s="3"/>
      <c r="H20" s="12" t="n">
        <v>2</v>
      </c>
      <c r="I20" s="12" t="n">
        <v>2</v>
      </c>
      <c r="J20" s="3"/>
      <c r="K20" s="3"/>
      <c r="L20" s="12" t="n">
        <v>2</v>
      </c>
      <c r="M20" s="12" t="n">
        <v>2</v>
      </c>
      <c r="N20" s="13" t="n">
        <f aca="false">SUMPRODUCT($F20:$M20,$F$4:$M$4)</f>
        <v>55.0584390018401</v>
      </c>
      <c r="O20" s="13" t="n">
        <f aca="false">SUMPRODUCT($F20:$M20,$F$5:$M$5)</f>
        <v>93.568214581092</v>
      </c>
      <c r="P20" s="13" t="n">
        <f aca="false">SUMPRODUCT($F20:$M20,$F$6:$M$6)</f>
        <v>144.138015422932</v>
      </c>
      <c r="Q20" s="13" t="n">
        <f aca="false">SUMPRODUCT($F20:$M20,$F$7:$M$7)</f>
        <v>242.280894804024</v>
      </c>
      <c r="R20" s="13" t="n">
        <f aca="false">SUMPRODUCT($F20:$M20,$F$8:$M$8)</f>
        <v>400.239087146956</v>
      </c>
      <c r="S20" s="13" t="n">
        <f aca="false">SUMPRODUCT($F20:$M20,$F$9:$M$9)</f>
        <v>556.2146383673</v>
      </c>
      <c r="T20" s="13" t="n">
        <f aca="false">SUMPRODUCT($F20:$M20,$F$10:$M$10)</f>
        <v>742.217417688392</v>
      </c>
      <c r="U20" s="13" t="n">
        <f aca="false">SUMPRODUCT($F20:$M20,$F$11:$M$11)</f>
        <v>935.334896309484</v>
      </c>
      <c r="V20" s="13" t="n">
        <f aca="false">SUMPRODUCT($F20:$M20,$F$12:$M$12)</f>
        <v>1072.60966695058</v>
      </c>
      <c r="W20" s="13" t="n">
        <f aca="false">SUMPRODUCT($F20:$M20,$F$13:$M$13)</f>
        <v>1239.49186096983</v>
      </c>
      <c r="X20" s="13" t="n">
        <f aca="false">SUMPRODUCT($F20:$M20,$F$14:$M$14)</f>
        <v>111.554267487285</v>
      </c>
    </row>
    <row r="21" customFormat="false" ht="15" hidden="false" customHeight="false" outlineLevel="0" collapsed="false">
      <c r="A21" s="3" t="s">
        <v>377</v>
      </c>
      <c r="B21" s="3" t="s">
        <v>378</v>
      </c>
      <c r="C21" s="3" t="s">
        <v>379</v>
      </c>
      <c r="D21" s="3" t="s">
        <v>214</v>
      </c>
      <c r="E21" s="3"/>
      <c r="F21" s="12" t="n">
        <v>1</v>
      </c>
      <c r="G21" s="12" t="n">
        <v>1</v>
      </c>
      <c r="H21" s="3"/>
      <c r="I21" s="3"/>
      <c r="J21" s="12" t="n">
        <v>1</v>
      </c>
      <c r="K21" s="12" t="n">
        <v>1</v>
      </c>
      <c r="L21" s="3"/>
      <c r="M21" s="3"/>
      <c r="N21" s="13" t="n">
        <f aca="false">SUMPRODUCT($F21:$M21,$F$4:$M$4)</f>
        <v>109.25351877092</v>
      </c>
      <c r="O21" s="13" t="n">
        <f aca="false">SUMPRODUCT($F21:$M21,$F$5:$M$5)</f>
        <v>187.668833992386</v>
      </c>
      <c r="P21" s="13" t="n">
        <f aca="false">SUMPRODUCT($F21:$M21,$F$6:$M$6)</f>
        <v>288.061641585318</v>
      </c>
      <c r="Q21" s="13" t="n">
        <f aca="false">SUMPRODUCT($F21:$M21,$F$7:$M$7)</f>
        <v>484.235186698422</v>
      </c>
      <c r="R21" s="13" t="n">
        <f aca="false">SUMPRODUCT($F21:$M21,$F$8:$M$8)</f>
        <v>798.614815101152</v>
      </c>
      <c r="S21" s="13" t="n">
        <f aca="false">SUMPRODUCT($F21:$M21,$F$9:$M$9)</f>
        <v>1112.7616816148</v>
      </c>
      <c r="T21" s="13" t="n">
        <f aca="false">SUMPRODUCT($F21:$M21,$F$10:$M$10)</f>
        <v>1486.10823252716</v>
      </c>
      <c r="U21" s="13" t="n">
        <f aca="false">SUMPRODUCT($F21:$M21,$F$11:$M$11)</f>
        <v>1873.38200650805</v>
      </c>
      <c r="V21" s="13" t="n">
        <f aca="false">SUMPRODUCT($F21:$M21,$F$12:$M$12)</f>
        <v>2147.51715806969</v>
      </c>
      <c r="W21" s="13" t="n">
        <f aca="false">SUMPRODUCT($F21:$M21,$F$13:$M$13)</f>
        <v>2481.5305160204</v>
      </c>
      <c r="X21" s="13" t="n">
        <f aca="false">SUMPRODUCT($F21:$M21,$F$14:$M$14)</f>
        <v>223.337746441836</v>
      </c>
    </row>
    <row r="22" customFormat="false" ht="15" hidden="false" customHeight="false" outlineLevel="0" collapsed="false">
      <c r="A22" s="3" t="s">
        <v>380</v>
      </c>
      <c r="B22" s="3" t="s">
        <v>381</v>
      </c>
      <c r="C22" s="3" t="s">
        <v>382</v>
      </c>
      <c r="D22" s="3" t="s">
        <v>214</v>
      </c>
      <c r="E22" s="3"/>
      <c r="F22" s="3"/>
      <c r="G22" s="3"/>
      <c r="H22" s="12" t="n">
        <v>1</v>
      </c>
      <c r="I22" s="12" t="n">
        <v>1</v>
      </c>
      <c r="J22" s="3"/>
      <c r="K22" s="3"/>
      <c r="L22" s="12" t="n">
        <v>1</v>
      </c>
      <c r="M22" s="12" t="n">
        <v>1</v>
      </c>
      <c r="N22" s="13" t="n">
        <f aca="false">SUMPRODUCT($F22:$M22,$F$4:$M$4)</f>
        <v>27.5292195009201</v>
      </c>
      <c r="O22" s="13" t="n">
        <f aca="false">SUMPRODUCT($F22:$M22,$F$5:$M$5)</f>
        <v>46.784107290546</v>
      </c>
      <c r="P22" s="13" t="n">
        <f aca="false">SUMPRODUCT($F22:$M22,$F$6:$M$6)</f>
        <v>72.0690077114661</v>
      </c>
      <c r="Q22" s="13" t="n">
        <f aca="false">SUMPRODUCT($F22:$M22,$F$7:$M$7)</f>
        <v>121.140447402012</v>
      </c>
      <c r="R22" s="13" t="n">
        <f aca="false">SUMPRODUCT($F22:$M22,$F$8:$M$8)</f>
        <v>200.119543573478</v>
      </c>
      <c r="S22" s="13" t="n">
        <f aca="false">SUMPRODUCT($F22:$M22,$F$9:$M$9)</f>
        <v>278.10731918365</v>
      </c>
      <c r="T22" s="13" t="n">
        <f aca="false">SUMPRODUCT($F22:$M22,$F$10:$M$10)</f>
        <v>371.108708844196</v>
      </c>
      <c r="U22" s="13" t="n">
        <f aca="false">SUMPRODUCT($F22:$M22,$F$11:$M$11)</f>
        <v>467.667448154742</v>
      </c>
      <c r="V22" s="13" t="n">
        <f aca="false">SUMPRODUCT($F22:$M22,$F$12:$M$12)</f>
        <v>536.304833475288</v>
      </c>
      <c r="W22" s="13" t="n">
        <f aca="false">SUMPRODUCT($F22:$M22,$F$13:$M$13)</f>
        <v>619.745930484914</v>
      </c>
      <c r="X22" s="13" t="n">
        <f aca="false">SUMPRODUCT($F22:$M22,$F$14:$M$14)</f>
        <v>55.7771337436423</v>
      </c>
    </row>
    <row r="23" customFormat="false" ht="15" hidden="false" customHeight="false" outlineLevel="0" collapsed="false">
      <c r="A23" s="3" t="s">
        <v>383</v>
      </c>
      <c r="B23" s="3" t="s">
        <v>384</v>
      </c>
      <c r="C23" s="3" t="s">
        <v>385</v>
      </c>
      <c r="D23" s="3" t="s">
        <v>178</v>
      </c>
      <c r="E23" s="3"/>
      <c r="F23" s="12" t="n">
        <f aca="false">1440/6000/0.95+354/6000/0.95</f>
        <v>0.314736842105263</v>
      </c>
      <c r="G23" s="12" t="n">
        <f aca="false">1520/6000/0.95</f>
        <v>0.266666666666667</v>
      </c>
      <c r="H23" s="12" t="n">
        <f aca="false">1590/6000/0.95</f>
        <v>0.278947368421053</v>
      </c>
      <c r="I23" s="12" t="n">
        <f aca="false">1590/6000/0.95</f>
        <v>0.278947368421053</v>
      </c>
      <c r="J23" s="3"/>
      <c r="K23" s="3"/>
      <c r="L23" s="3"/>
      <c r="M23" s="3"/>
      <c r="N23" s="13" t="n">
        <f aca="false">SUMPRODUCT($F23:$M23,$F$4:$M$4)</f>
        <v>38.4503505913862</v>
      </c>
      <c r="O23" s="13" t="n">
        <f aca="false">SUMPRODUCT($F23:$M23,$F$5:$M$5)</f>
        <v>65.9056116950342</v>
      </c>
      <c r="P23" s="13" t="n">
        <f aca="false">SUMPRODUCT($F23:$M23,$F$6:$M$6)</f>
        <v>84.97939603955</v>
      </c>
      <c r="Q23" s="13" t="n">
        <f aca="false">SUMPRODUCT($F23:$M23,$F$7:$M$7)</f>
        <v>113.550872779895</v>
      </c>
      <c r="R23" s="13" t="n">
        <f aca="false">SUMPRODUCT($F23:$M23,$F$8:$M$8)</f>
        <v>175.894494420102</v>
      </c>
      <c r="S23" s="13" t="n">
        <f aca="false">SUMPRODUCT($F23:$M23,$F$9:$M$9)</f>
        <v>238.959375757246</v>
      </c>
      <c r="T23" s="13" t="n">
        <f aca="false">SUMPRODUCT($F23:$M23,$F$10:$M$10)</f>
        <v>307.208501122869</v>
      </c>
      <c r="U23" s="13" t="n">
        <f aca="false">SUMPRODUCT($F23:$M23,$F$11:$M$11)</f>
        <v>380.377618987732</v>
      </c>
      <c r="V23" s="13" t="n">
        <f aca="false">SUMPRODUCT($F23:$M23,$F$12:$M$12)</f>
        <v>443.119767958953</v>
      </c>
      <c r="W23" s="13" t="n">
        <f aca="false">SUMPRODUCT($F23:$M23,$F$13:$M$13)</f>
        <v>510.050621038391</v>
      </c>
      <c r="X23" s="13" t="n">
        <f aca="false">SUMPRODUCT($F23:$M23,$F$14:$M$14)</f>
        <v>45.9045558934552</v>
      </c>
    </row>
    <row r="24" customFormat="false" ht="15" hidden="false" customHeight="false" outlineLevel="0" collapsed="false">
      <c r="A24" s="3" t="s">
        <v>386</v>
      </c>
      <c r="B24" s="3" t="s">
        <v>387</v>
      </c>
      <c r="C24" s="3" t="s">
        <v>388</v>
      </c>
      <c r="D24" s="3" t="s">
        <v>178</v>
      </c>
      <c r="E24" s="3"/>
      <c r="F24" s="3"/>
      <c r="G24" s="12" t="n">
        <f aca="false">354/6000/0.95</f>
        <v>0.0621052631578947</v>
      </c>
      <c r="H24" s="12" t="n">
        <f aca="false">434/6000/0.95</f>
        <v>0.076140350877193</v>
      </c>
      <c r="I24" s="12" t="n">
        <f aca="false">434/6000/0.95</f>
        <v>0.076140350877193</v>
      </c>
      <c r="J24" s="3"/>
      <c r="K24" s="3"/>
      <c r="L24" s="3"/>
      <c r="M24" s="3"/>
      <c r="N24" s="13" t="n">
        <f aca="false">SUMPRODUCT($F24:$M24,$F$4:$M$4)</f>
        <v>6.76650750295877</v>
      </c>
      <c r="O24" s="13" t="n">
        <f aca="false">SUMPRODUCT($F24:$M24,$F$5:$M$5)</f>
        <v>11.5865736140529</v>
      </c>
      <c r="P24" s="13" t="n">
        <f aca="false">SUMPRODUCT($F24:$M24,$F$6:$M$6)</f>
        <v>14.9541661956244</v>
      </c>
      <c r="Q24" s="13" t="n">
        <f aca="false">SUMPRODUCT($F24:$M24,$F$7:$M$7)</f>
        <v>19.9787793573886</v>
      </c>
      <c r="R24" s="13" t="n">
        <f aca="false">SUMPRODUCT($F24:$M24,$F$8:$M$8)</f>
        <v>30.9395475820522</v>
      </c>
      <c r="S24" s="13" t="n">
        <f aca="false">SUMPRODUCT($F24:$M24,$F$9:$M$9)</f>
        <v>42.0161763055341</v>
      </c>
      <c r="T24" s="13" t="n">
        <f aca="false">SUMPRODUCT($F24:$M24,$F$10:$M$10)</f>
        <v>54.0023402456483</v>
      </c>
      <c r="U24" s="13" t="n">
        <f aca="false">SUMPRODUCT($F24:$M24,$F$11:$M$11)</f>
        <v>66.8481532237205</v>
      </c>
      <c r="V24" s="13" t="n">
        <f aca="false">SUMPRODUCT($F24:$M24,$F$12:$M$12)</f>
        <v>77.870678344306</v>
      </c>
      <c r="W24" s="13" t="n">
        <f aca="false">SUMPRODUCT($F24:$M24,$F$13:$M$13)</f>
        <v>89.6168013594519</v>
      </c>
      <c r="X24" s="13" t="n">
        <f aca="false">SUMPRODUCT($F24:$M24,$F$14:$M$14)</f>
        <v>8.06551212235067</v>
      </c>
    </row>
    <row r="25" customFormat="false" ht="15" hidden="false" customHeight="false" outlineLevel="0" collapsed="false">
      <c r="A25" s="3" t="s">
        <v>389</v>
      </c>
      <c r="B25" s="3" t="s">
        <v>390</v>
      </c>
      <c r="C25" s="3" t="s">
        <v>391</v>
      </c>
      <c r="D25" s="3" t="s">
        <v>178</v>
      </c>
      <c r="E25" s="3"/>
      <c r="F25" s="12" t="n">
        <f aca="false">1/INT(4000/490)</f>
        <v>0.125</v>
      </c>
      <c r="G25" s="3"/>
      <c r="H25" s="3"/>
      <c r="I25" s="3"/>
      <c r="J25" s="3"/>
      <c r="K25" s="3"/>
      <c r="L25" s="3"/>
      <c r="M25" s="3"/>
      <c r="N25" s="13" t="n">
        <f aca="false">SUMPRODUCT($F25:$M25,$F$4:$M$4)</f>
        <v>4.25647392</v>
      </c>
      <c r="O25" s="13" t="n">
        <f aca="false">SUMPRODUCT($F25:$M25,$F$5:$M$5)</f>
        <v>7.30776843125</v>
      </c>
      <c r="P25" s="13" t="n">
        <f aca="false">SUMPRODUCT($F25:$M25,$F$6:$M$6)</f>
        <v>9.4010674975</v>
      </c>
      <c r="Q25" s="13" t="n">
        <f aca="false">SUMPRODUCT($F25:$M25,$F$7:$M$7)</f>
        <v>12.5662316125</v>
      </c>
      <c r="R25" s="13" t="n">
        <f aca="false">SUMPRODUCT($F25:$M25,$F$8:$M$8)</f>
        <v>19.4845004375</v>
      </c>
      <c r="S25" s="13" t="n">
        <f aca="false">SUMPRODUCT($F25:$M25,$F$9:$M$9)</f>
        <v>26.4918103375</v>
      </c>
      <c r="T25" s="13" t="n">
        <f aca="false">SUMPRODUCT($F25:$M25,$F$10:$M$10)</f>
        <v>34.08352915</v>
      </c>
      <c r="U25" s="13" t="n">
        <f aca="false">SUMPRODUCT($F25:$M25,$F$11:$M$11)</f>
        <v>42.2310838375</v>
      </c>
      <c r="V25" s="13" t="n">
        <f aca="false">SUMPRODUCT($F25:$M25,$F$12:$M$12)</f>
        <v>49.20342695</v>
      </c>
      <c r="W25" s="13" t="n">
        <f aca="false">SUMPRODUCT($F25:$M25,$F$13:$M$13)</f>
        <v>56.65881665</v>
      </c>
      <c r="X25" s="13" t="n">
        <f aca="false">SUMPRODUCT($F25:$M25,$F$14:$M$14)</f>
        <v>5.0992934985</v>
      </c>
    </row>
    <row r="26" customFormat="false" ht="15" hidden="false" customHeight="false" outlineLevel="0" collapsed="false">
      <c r="A26" s="3" t="s">
        <v>392</v>
      </c>
      <c r="B26" s="3" t="s">
        <v>393</v>
      </c>
      <c r="C26" s="3" t="s">
        <v>394</v>
      </c>
      <c r="D26" s="3" t="s">
        <v>178</v>
      </c>
      <c r="E26" s="3"/>
      <c r="F26" s="3"/>
      <c r="G26" s="12" t="n">
        <f aca="false">1/INT(6000/510)</f>
        <v>0.0909090909090909</v>
      </c>
      <c r="H26" s="12" t="n">
        <f aca="false">1/INT(6000/590)</f>
        <v>0.1</v>
      </c>
      <c r="I26" s="12" t="n">
        <f aca="false">1/INT(6000/590)</f>
        <v>0.1</v>
      </c>
      <c r="J26" s="3"/>
      <c r="K26" s="3"/>
      <c r="L26" s="3"/>
      <c r="M26" s="3"/>
      <c r="N26" s="13" t="n">
        <f aca="false">SUMPRODUCT($F26:$M26,$F$4:$M$4)</f>
        <v>9.58944262381201</v>
      </c>
      <c r="O26" s="13" t="n">
        <f aca="false">SUMPRODUCT($F26:$M26,$F$5:$M$5)</f>
        <v>16.4244731419988</v>
      </c>
      <c r="P26" s="13" t="n">
        <f aca="false">SUMPRODUCT($F26:$M26,$F$6:$M$6)</f>
        <v>21.1971827352664</v>
      </c>
      <c r="Q26" s="13" t="n">
        <f aca="false">SUMPRODUCT($F26:$M26,$F$7:$M$7)</f>
        <v>28.3199841764214</v>
      </c>
      <c r="R26" s="13" t="n">
        <f aca="false">SUMPRODUCT($F26:$M26,$F$8:$M$8)</f>
        <v>43.8536645029071</v>
      </c>
      <c r="S26" s="13" t="n">
        <f aca="false">SUMPRODUCT($F26:$M26,$F$9:$M$9)</f>
        <v>59.5568409106198</v>
      </c>
      <c r="T26" s="13" t="n">
        <f aca="false">SUMPRODUCT($F26:$M26,$F$10:$M$10)</f>
        <v>76.5454162777976</v>
      </c>
      <c r="U26" s="13" t="n">
        <f aca="false">SUMPRODUCT($F26:$M26,$F$11:$M$11)</f>
        <v>94.7515935252968</v>
      </c>
      <c r="V26" s="13" t="n">
        <f aca="false">SUMPRODUCT($F26:$M26,$F$12:$M$12)</f>
        <v>110.375005390228</v>
      </c>
      <c r="W26" s="13" t="n">
        <f aca="false">SUMPRODUCT($F26:$M26,$F$13:$M$13)</f>
        <v>127.025500577619</v>
      </c>
      <c r="X26" s="13" t="n">
        <f aca="false">SUMPRODUCT($F26:$M26,$F$14:$M$14)</f>
        <v>11.4322950519857</v>
      </c>
    </row>
    <row r="27" customFormat="false" ht="15" hidden="false" customHeight="false" outlineLevel="0" collapsed="false">
      <c r="A27" s="3" t="s">
        <v>395</v>
      </c>
      <c r="B27" s="3" t="s">
        <v>396</v>
      </c>
      <c r="C27" s="3" t="s">
        <v>397</v>
      </c>
      <c r="D27" s="3" t="s">
        <v>192</v>
      </c>
      <c r="E27" s="3"/>
      <c r="F27" s="12" t="n">
        <f aca="false">(6+48+10.5+190+141)/1000</f>
        <v>0.3955</v>
      </c>
      <c r="G27" s="12" t="n">
        <f aca="false">(7.2+63+10.5+218+146)/1000</f>
        <v>0.4447</v>
      </c>
      <c r="H27" s="12" t="n">
        <f aca="false">(16.8+120+29+463+199)/1000</f>
        <v>0.8278</v>
      </c>
      <c r="I27" s="12" t="n">
        <f aca="false">(18+158+29+463+199)/1000</f>
        <v>0.867</v>
      </c>
      <c r="J27" s="12" t="n">
        <f aca="false">(6+48+10.5+190)/1000</f>
        <v>0.2545</v>
      </c>
      <c r="K27" s="12" t="n">
        <f aca="false">(7.2+63+10.5+218)/1000</f>
        <v>0.2987</v>
      </c>
      <c r="L27" s="12" t="n">
        <f aca="false">(16.8+120+29+463)/1000</f>
        <v>0.6288</v>
      </c>
      <c r="M27" s="12" t="n">
        <f aca="false">(18+158+29+463)/1000</f>
        <v>0.668</v>
      </c>
      <c r="N27" s="13" t="n">
        <f aca="false">SUMPRODUCT($F27:$M27,$F$4:$M$4)</f>
        <v>70.1368064636938</v>
      </c>
      <c r="O27" s="13" t="n">
        <f aca="false">SUMPRODUCT($F27:$M27,$F$5:$M$5)</f>
        <v>120.041790076202</v>
      </c>
      <c r="P27" s="13" t="n">
        <f aca="false">SUMPRODUCT($F27:$M27,$F$6:$M$6)</f>
        <v>175.504977643568</v>
      </c>
      <c r="Q27" s="13" t="n">
        <f aca="false">SUMPRODUCT($F27:$M27,$F$7:$M$7)</f>
        <v>278.809596946781</v>
      </c>
      <c r="R27" s="13" t="n">
        <f aca="false">SUMPRODUCT($F27:$M27,$F$8:$M$8)</f>
        <v>453.740750300024</v>
      </c>
      <c r="S27" s="13" t="n">
        <f aca="false">SUMPRODUCT($F27:$M27,$F$9:$M$9)</f>
        <v>628.327149770847</v>
      </c>
      <c r="T27" s="13" t="n">
        <f aca="false">SUMPRODUCT($F27:$M27,$F$10:$M$10)</f>
        <v>832.331139024825</v>
      </c>
      <c r="U27" s="13" t="n">
        <f aca="false">SUMPRODUCT($F27:$M27,$F$11:$M$11)</f>
        <v>1045.31034065937</v>
      </c>
      <c r="V27" s="13" t="n">
        <f aca="false">SUMPRODUCT($F27:$M27,$F$12:$M$12)</f>
        <v>1202.30892851674</v>
      </c>
      <c r="W27" s="13" t="n">
        <f aca="false">SUMPRODUCT($F27:$M27,$F$13:$M$13)</f>
        <v>1388.19529361605</v>
      </c>
      <c r="X27" s="13" t="n">
        <f aca="false">SUMPRODUCT($F27:$M27,$F$14:$M$14)</f>
        <v>124.937576425445</v>
      </c>
    </row>
    <row r="28" customFormat="false" ht="15" hidden="false" customHeight="false" outlineLevel="0" collapsed="false">
      <c r="A28" s="3" t="s">
        <v>398</v>
      </c>
      <c r="B28" s="3" t="s">
        <v>222</v>
      </c>
      <c r="C28" s="3" t="s">
        <v>223</v>
      </c>
      <c r="D28" s="3" t="s">
        <v>224</v>
      </c>
      <c r="E28" s="3"/>
      <c r="F28" s="12" t="n">
        <f aca="false">(3.4+18+10+66+96)/1000</f>
        <v>0.1934</v>
      </c>
      <c r="G28" s="12" t="n">
        <f aca="false">(4.1+22+10+75+98)/1000</f>
        <v>0.2091</v>
      </c>
      <c r="H28" s="12" t="n">
        <f aca="false">(9.5+32+17+122+109)/1000</f>
        <v>0.2895</v>
      </c>
      <c r="I28" s="12" t="n">
        <f aca="false">(10.2+42+17+122+109)/1000</f>
        <v>0.3002</v>
      </c>
      <c r="J28" s="12" t="n">
        <f aca="false">(3.4+18+10+66)/1000</f>
        <v>0.0974</v>
      </c>
      <c r="K28" s="12" t="n">
        <f aca="false">(4.1+22+10+75)/1000</f>
        <v>0.1111</v>
      </c>
      <c r="L28" s="12" t="n">
        <f aca="false">(9.5+32+17+122)/1000</f>
        <v>0.1805</v>
      </c>
      <c r="M28" s="12" t="n">
        <f aca="false">(10.2+42+17+122)/1000</f>
        <v>0.1912</v>
      </c>
      <c r="N28" s="13" t="n">
        <f aca="false">SUMPRODUCT($F28:$M28,$F$4:$M$4)</f>
        <v>30.3996793444286</v>
      </c>
      <c r="O28" s="13" t="n">
        <f aca="false">SUMPRODUCT($F28:$M28,$F$5:$M$5)</f>
        <v>52.0680248921189</v>
      </c>
      <c r="P28" s="13" t="n">
        <f aca="false">SUMPRODUCT($F28:$M28,$F$6:$M$6)</f>
        <v>74.2375802314532</v>
      </c>
      <c r="Q28" s="13" t="n">
        <f aca="false">SUMPRODUCT($F28:$M28,$F$7:$M$7)</f>
        <v>114.394879833507</v>
      </c>
      <c r="R28" s="13" t="n">
        <f aca="false">SUMPRODUCT($F28:$M28,$F$8:$M$8)</f>
        <v>184.68387240959</v>
      </c>
      <c r="S28" s="13" t="n">
        <f aca="false">SUMPRODUCT($F28:$M28,$F$9:$M$9)</f>
        <v>255.012537963007</v>
      </c>
      <c r="T28" s="13" t="n">
        <f aca="false">SUMPRODUCT($F28:$M28,$F$10:$M$10)</f>
        <v>336.277710509886</v>
      </c>
      <c r="U28" s="13" t="n">
        <f aca="false">SUMPRODUCT($F28:$M28,$F$11:$M$11)</f>
        <v>421.430330594566</v>
      </c>
      <c r="V28" s="13" t="n">
        <f aca="false">SUMPRODUCT($F28:$M28,$F$12:$M$12)</f>
        <v>485.644847930083</v>
      </c>
      <c r="W28" s="13" t="n">
        <f aca="false">SUMPRODUCT($F28:$M28,$F$13:$M$13)</f>
        <v>560.468514400998</v>
      </c>
      <c r="X28" s="13" t="n">
        <f aca="false">SUMPRODUCT($F28:$M28,$F$14:$M$14)</f>
        <v>50.4421662960898</v>
      </c>
    </row>
    <row r="29" customFormat="false" ht="15" hidden="false" customHeight="false" outlineLevel="0" collapsed="false">
      <c r="A29" s="3" t="s">
        <v>399</v>
      </c>
      <c r="B29" s="3" t="s">
        <v>400</v>
      </c>
      <c r="C29" s="3" t="s">
        <v>401</v>
      </c>
      <c r="D29" s="3" t="s">
        <v>214</v>
      </c>
      <c r="E29" s="3"/>
      <c r="F29" s="12" t="n">
        <f aca="false">3/200</f>
        <v>0.015</v>
      </c>
      <c r="G29" s="12" t="n">
        <f aca="false">3/200</f>
        <v>0.015</v>
      </c>
      <c r="H29" s="12" t="n">
        <f aca="false">3/200</f>
        <v>0.015</v>
      </c>
      <c r="I29" s="12" t="n">
        <f aca="false">3/200</f>
        <v>0.015</v>
      </c>
      <c r="J29" s="3"/>
      <c r="K29" s="3"/>
      <c r="L29" s="3"/>
      <c r="M29" s="3"/>
      <c r="N29" s="13" t="n">
        <f aca="false">SUMPRODUCT($F29:$M29,$F$4:$M$4)</f>
        <v>2.0517410740776</v>
      </c>
      <c r="O29" s="13" t="n">
        <f aca="false">SUMPRODUCT($F29:$M29,$F$5:$M$5)</f>
        <v>3.51679411924398</v>
      </c>
      <c r="P29" s="13" t="n">
        <f aca="false">SUMPRODUCT($F29:$M29,$F$6:$M$6)</f>
        <v>4.53495973945176</v>
      </c>
      <c r="Q29" s="13" t="n">
        <f aca="false">SUMPRODUCT($F29:$M29,$F$7:$M$7)</f>
        <v>6.05963451150652</v>
      </c>
      <c r="R29" s="13" t="n">
        <f aca="false">SUMPRODUCT($F29:$M29,$F$8:$M$8)</f>
        <v>9.38601538011946</v>
      </c>
      <c r="S29" s="13" t="n">
        <f aca="false">SUMPRODUCT($F29:$M29,$F$9:$M$9)</f>
        <v>12.7510350119768</v>
      </c>
      <c r="T29" s="13" t="n">
        <f aca="false">SUMPRODUCT($F29:$M29,$F$10:$M$10)</f>
        <v>16.3922541205703</v>
      </c>
      <c r="U29" s="13" t="n">
        <f aca="false">SUMPRODUCT($F29:$M29,$F$11:$M$11)</f>
        <v>20.2957418199419</v>
      </c>
      <c r="V29" s="13" t="n">
        <f aca="false">SUMPRODUCT($F29:$M29,$F$12:$M$12)</f>
        <v>23.6433298731746</v>
      </c>
      <c r="W29" s="13" t="n">
        <f aca="false">SUMPRODUCT($F29:$M29,$F$13:$M$13)</f>
        <v>27.2141466975798</v>
      </c>
      <c r="X29" s="13" t="n">
        <f aca="false">SUMPRODUCT($F29:$M29,$F$14:$M$14)</f>
        <v>2.44927320278218</v>
      </c>
    </row>
    <row r="30" customFormat="false" ht="15" hidden="false" customHeight="false" outlineLevel="0" collapsed="false">
      <c r="A30" s="3" t="s">
        <v>402</v>
      </c>
      <c r="B30" s="3" t="s">
        <v>403</v>
      </c>
      <c r="C30" s="3" t="s">
        <v>404</v>
      </c>
      <c r="D30" s="3" t="s">
        <v>214</v>
      </c>
      <c r="E30" s="3"/>
      <c r="F30" s="12" t="n">
        <f aca="false">1/40</f>
        <v>0.025</v>
      </c>
      <c r="G30" s="12" t="n">
        <f aca="false">1/40</f>
        <v>0.025</v>
      </c>
      <c r="H30" s="12" t="n">
        <f aca="false">1/40+7/80</f>
        <v>0.1125</v>
      </c>
      <c r="I30" s="12" t="n">
        <f aca="false">1/40+7/80</f>
        <v>0.1125</v>
      </c>
      <c r="J30" s="3"/>
      <c r="K30" s="3"/>
      <c r="L30" s="12" t="n">
        <f aca="false">7/80</f>
        <v>0.0875</v>
      </c>
      <c r="M30" s="12" t="n">
        <f aca="false">7/80</f>
        <v>0.0875</v>
      </c>
      <c r="N30" s="13" t="n">
        <f aca="false">SUMPRODUCT($F30:$M30,$F$4:$M$4)</f>
        <v>5.82837516312651</v>
      </c>
      <c r="O30" s="13" t="n">
        <f aca="false">SUMPRODUCT($F30:$M30,$F$5:$M$5)</f>
        <v>9.95493291999608</v>
      </c>
      <c r="P30" s="13" t="n">
        <f aca="false">SUMPRODUCT($F30:$M30,$F$6:$M$6)</f>
        <v>13.8643044071729</v>
      </c>
      <c r="Q30" s="13" t="n">
        <f aca="false">SUMPRODUCT($F30:$M30,$F$7:$M$7)</f>
        <v>20.6991800001869</v>
      </c>
      <c r="R30" s="13" t="n">
        <f aca="false">SUMPRODUCT($F30:$M30,$F$8:$M$8)</f>
        <v>33.1538190295451</v>
      </c>
      <c r="S30" s="13" t="n">
        <f aca="false">SUMPRODUCT($F30:$M30,$F$9:$M$9)</f>
        <v>45.5861154485307</v>
      </c>
      <c r="T30" s="13" t="n">
        <f aca="false">SUMPRODUCT($F30:$M30,$F$10:$M$10)</f>
        <v>59.792435558151</v>
      </c>
      <c r="U30" s="13" t="n">
        <f aca="false">SUMPRODUCT($F30:$M30,$F$11:$M$11)</f>
        <v>74.7471380801097</v>
      </c>
      <c r="V30" s="13" t="n">
        <f aca="false">SUMPRODUCT($F30:$M30,$F$12:$M$12)</f>
        <v>86.3322227177121</v>
      </c>
      <c r="W30" s="13" t="n">
        <f aca="false">SUMPRODUCT($F30:$M30,$F$13:$M$13)</f>
        <v>99.5846800800629</v>
      </c>
      <c r="X30" s="13" t="n">
        <f aca="false">SUMPRODUCT($F30:$M30,$F$14:$M$14)</f>
        <v>8.96262120720566</v>
      </c>
    </row>
    <row r="31" customFormat="false" ht="15" hidden="false" customHeight="false" outlineLevel="0" collapsed="false">
      <c r="A31" s="3" t="s">
        <v>405</v>
      </c>
      <c r="B31" s="3" t="s">
        <v>406</v>
      </c>
      <c r="C31" s="3" t="s">
        <v>407</v>
      </c>
      <c r="D31" s="3" t="s">
        <v>214</v>
      </c>
      <c r="E31" s="3"/>
      <c r="F31" s="12" t="n">
        <f aca="false">2/400</f>
        <v>0.005</v>
      </c>
      <c r="G31" s="12" t="n">
        <f aca="false">2/400</f>
        <v>0.005</v>
      </c>
      <c r="H31" s="12" t="n">
        <f aca="false">2/400+7/4/80</f>
        <v>0.026875</v>
      </c>
      <c r="I31" s="12" t="n">
        <f aca="false">2/400+7/4/80</f>
        <v>0.026875</v>
      </c>
      <c r="J31" s="3"/>
      <c r="K31" s="3"/>
      <c r="L31" s="12" t="n">
        <f aca="false">7/4/80</f>
        <v>0.021875</v>
      </c>
      <c r="M31" s="12" t="n">
        <f aca="false">7/4/80</f>
        <v>0.021875</v>
      </c>
      <c r="N31" s="13" t="n">
        <f aca="false">SUMPRODUCT($F31:$M31,$F$4:$M$4)</f>
        <v>1.28611536794183</v>
      </c>
      <c r="O31" s="13" t="n">
        <f aca="false">SUMPRODUCT($F31:$M31,$F$5:$M$5)</f>
        <v>2.19566705339535</v>
      </c>
      <c r="P31" s="13" t="n">
        <f aca="false">SUMPRODUCT($F31:$M31,$F$6:$M$6)</f>
        <v>3.08816279017224</v>
      </c>
      <c r="Q31" s="13" t="n">
        <f aca="false">SUMPRODUCT($F31:$M31,$F$7:$M$7)</f>
        <v>4.66982545742119</v>
      </c>
      <c r="R31" s="13" t="n">
        <f aca="false">SUMPRODUCT($F31:$M31,$F$8:$M$8)</f>
        <v>7.50628680904299</v>
      </c>
      <c r="S31" s="13" t="n">
        <f aca="false">SUMPRODUCT($F31:$M31,$F$9:$M$9)</f>
        <v>10.3339426111346</v>
      </c>
      <c r="T31" s="13" t="n">
        <f aca="false">SUMPRODUCT($F31:$M31,$F$10:$M$10)</f>
        <v>13.5820877128236</v>
      </c>
      <c r="U31" s="13" t="n">
        <f aca="false">SUMPRODUCT($F31:$M31,$F$11:$M$11)</f>
        <v>16.9954727016989</v>
      </c>
      <c r="V31" s="13" t="n">
        <f aca="false">SUMPRODUCT($F31:$M31,$F$12:$M$12)</f>
        <v>19.6127781899968</v>
      </c>
      <c r="W31" s="13" t="n">
        <f aca="false">SUMPRODUCT($F31:$M31,$F$13:$M$13)</f>
        <v>22.6283244618841</v>
      </c>
      <c r="X31" s="13" t="n">
        <f aca="false">SUMPRODUCT($F31:$M31,$F$14:$M$14)</f>
        <v>2.03654920156957</v>
      </c>
    </row>
    <row r="32" customFormat="false" ht="15" hidden="false" customHeight="false" outlineLevel="0" collapsed="false">
      <c r="A32" s="3" t="s">
        <v>408</v>
      </c>
      <c r="B32" s="3" t="s">
        <v>409</v>
      </c>
      <c r="C32" s="3" t="s">
        <v>410</v>
      </c>
      <c r="D32" s="3" t="s">
        <v>214</v>
      </c>
      <c r="E32" s="3"/>
      <c r="F32" s="12" t="n">
        <f aca="false">2/200</f>
        <v>0.01</v>
      </c>
      <c r="G32" s="12" t="n">
        <f aca="false">2/200</f>
        <v>0.01</v>
      </c>
      <c r="H32" s="12" t="n">
        <f aca="false">2/200</f>
        <v>0.01</v>
      </c>
      <c r="I32" s="12" t="n">
        <f aca="false">2/200</f>
        <v>0.01</v>
      </c>
      <c r="J32" s="3"/>
      <c r="K32" s="3"/>
      <c r="L32" s="3"/>
      <c r="M32" s="3"/>
      <c r="N32" s="13" t="n">
        <f aca="false">SUMPRODUCT($F32:$M32,$F$4:$M$4)</f>
        <v>1.3678273827184</v>
      </c>
      <c r="O32" s="13" t="n">
        <f aca="false">SUMPRODUCT($F32:$M32,$F$5:$M$5)</f>
        <v>2.34452941282932</v>
      </c>
      <c r="P32" s="13" t="n">
        <f aca="false">SUMPRODUCT($F32:$M32,$F$6:$M$6)</f>
        <v>3.02330649296784</v>
      </c>
      <c r="Q32" s="13" t="n">
        <f aca="false">SUMPRODUCT($F32:$M32,$F$7:$M$7)</f>
        <v>4.03975634100434</v>
      </c>
      <c r="R32" s="13" t="n">
        <f aca="false">SUMPRODUCT($F32:$M32,$F$8:$M$8)</f>
        <v>6.2573435867463</v>
      </c>
      <c r="S32" s="13" t="n">
        <f aca="false">SUMPRODUCT($F32:$M32,$F$9:$M$9)</f>
        <v>8.50069000798452</v>
      </c>
      <c r="T32" s="13" t="n">
        <f aca="false">SUMPRODUCT($F32:$M32,$F$10:$M$10)</f>
        <v>10.9281694137135</v>
      </c>
      <c r="U32" s="13" t="n">
        <f aca="false">SUMPRODUCT($F32:$M32,$F$11:$M$11)</f>
        <v>13.5304945466279</v>
      </c>
      <c r="V32" s="13" t="n">
        <f aca="false">SUMPRODUCT($F32:$M32,$F$12:$M$12)</f>
        <v>15.7622199154497</v>
      </c>
      <c r="W32" s="13" t="n">
        <f aca="false">SUMPRODUCT($F32:$M32,$F$13:$M$13)</f>
        <v>18.1427644650532</v>
      </c>
      <c r="X32" s="13" t="n">
        <f aca="false">SUMPRODUCT($F32:$M32,$F$14:$M$14)</f>
        <v>1.63284880185479</v>
      </c>
    </row>
    <row r="33" customFormat="false" ht="15" hidden="false" customHeight="false" outlineLevel="0" collapsed="false">
      <c r="A33" s="3" t="s">
        <v>411</v>
      </c>
      <c r="B33" s="3" t="s">
        <v>412</v>
      </c>
      <c r="C33" s="3" t="s">
        <v>413</v>
      </c>
      <c r="D33" s="3" t="s">
        <v>214</v>
      </c>
      <c r="E33" s="3"/>
      <c r="F33" s="12" t="n">
        <f aca="false">1/400</f>
        <v>0.0025</v>
      </c>
      <c r="G33" s="12" t="n">
        <f aca="false">1/400</f>
        <v>0.0025</v>
      </c>
      <c r="H33" s="12" t="n">
        <f aca="false">1/400</f>
        <v>0.0025</v>
      </c>
      <c r="I33" s="12" t="n">
        <f aca="false">1/400</f>
        <v>0.0025</v>
      </c>
      <c r="J33" s="12" t="n">
        <f aca="false">1/400</f>
        <v>0.0025</v>
      </c>
      <c r="K33" s="12" t="n">
        <f aca="false">1/400</f>
        <v>0.0025</v>
      </c>
      <c r="L33" s="12" t="n">
        <f aca="false">1/400</f>
        <v>0.0025</v>
      </c>
      <c r="M33" s="12" t="n">
        <f aca="false">1/400</f>
        <v>0.0025</v>
      </c>
      <c r="N33" s="13" t="n">
        <f aca="false">SUMPRODUCT($F33:$M33,$F$4:$M$4)</f>
        <v>0.3419568456796</v>
      </c>
      <c r="O33" s="13" t="n">
        <f aca="false">SUMPRODUCT($F33:$M33,$F$5:$M$5)</f>
        <v>0.58613235320733</v>
      </c>
      <c r="P33" s="13" t="n">
        <f aca="false">SUMPRODUCT($F33:$M33,$F$6:$M$6)</f>
        <v>0.900326623241961</v>
      </c>
      <c r="Q33" s="13" t="n">
        <f aca="false">SUMPRODUCT($F33:$M33,$F$7:$M$7)</f>
        <v>1.51343908525109</v>
      </c>
      <c r="R33" s="13" t="n">
        <f aca="false">SUMPRODUCT($F33:$M33,$F$8:$M$8)</f>
        <v>2.49683589668658</v>
      </c>
      <c r="S33" s="13" t="n">
        <f aca="false">SUMPRODUCT($F33:$M33,$F$9:$M$9)</f>
        <v>3.47717250199613</v>
      </c>
      <c r="T33" s="13" t="n">
        <f aca="false">SUMPRODUCT($F33:$M33,$F$10:$M$10)</f>
        <v>4.64304235342839</v>
      </c>
      <c r="U33" s="13" t="n">
        <f aca="false">SUMPRODUCT($F33:$M33,$F$11:$M$11)</f>
        <v>5.85262363665698</v>
      </c>
      <c r="V33" s="13" t="n">
        <f aca="false">SUMPRODUCT($F33:$M33,$F$12:$M$12)</f>
        <v>6.70955497886244</v>
      </c>
      <c r="W33" s="13" t="n">
        <f aca="false">SUMPRODUCT($F33:$M33,$F$13:$M$13)</f>
        <v>7.7531911162633</v>
      </c>
      <c r="X33" s="13" t="n">
        <f aca="false">SUMPRODUCT($F33:$M33,$F$14:$M$14)</f>
        <v>0.697787200463697</v>
      </c>
    </row>
    <row r="34" customFormat="false" ht="15" hidden="false" customHeight="false" outlineLevel="0" collapsed="false">
      <c r="A34" s="3" t="s">
        <v>414</v>
      </c>
      <c r="B34" s="3" t="s">
        <v>415</v>
      </c>
      <c r="C34" s="3" t="s">
        <v>416</v>
      </c>
      <c r="D34" s="3" t="s">
        <v>214</v>
      </c>
      <c r="E34" s="3"/>
      <c r="F34" s="12" t="n">
        <v>1</v>
      </c>
      <c r="G34" s="3"/>
      <c r="H34" s="3"/>
      <c r="I34" s="3"/>
      <c r="J34" s="12" t="n">
        <v>1</v>
      </c>
      <c r="K34" s="3"/>
      <c r="L34" s="3"/>
      <c r="M34" s="3"/>
      <c r="N34" s="13" t="n">
        <f aca="false">SUMPRODUCT($F34:$M34,$F$4:$M$4)</f>
        <v>34.05179136</v>
      </c>
      <c r="O34" s="13" t="n">
        <f aca="false">SUMPRODUCT($F34:$M34,$F$5:$M$5)</f>
        <v>58.46214745</v>
      </c>
      <c r="P34" s="13" t="n">
        <f aca="false">SUMPRODUCT($F34:$M34,$F$6:$M$6)</f>
        <v>89.60853998</v>
      </c>
      <c r="Q34" s="13" t="n">
        <f aca="false">SUMPRODUCT($F34:$M34,$F$7:$M$7)</f>
        <v>150.7298529</v>
      </c>
      <c r="R34" s="13" t="n">
        <f aca="false">SUMPRODUCT($F34:$M34,$F$8:$M$8)</f>
        <v>248.8760035</v>
      </c>
      <c r="S34" s="13" t="n">
        <f aca="false">SUMPRODUCT($F34:$M34,$F$9:$M$9)</f>
        <v>346.9344827</v>
      </c>
      <c r="T34" s="13" t="n">
        <f aca="false">SUMPRODUCT($F34:$M34,$F$10:$M$10)</f>
        <v>463.6682332</v>
      </c>
      <c r="U34" s="13" t="n">
        <f aca="false">SUMPRODUCT($F34:$M34,$F$11:$M$11)</f>
        <v>584.8486707</v>
      </c>
      <c r="V34" s="13" t="n">
        <f aca="false">SUMPRODUCT($F34:$M34,$F$12:$M$12)</f>
        <v>670.6274156</v>
      </c>
      <c r="W34" s="13" t="n">
        <f aca="false">SUMPRODUCT($F34:$M34,$F$13:$M$13)</f>
        <v>775.2705332</v>
      </c>
      <c r="X34" s="13" t="n">
        <f aca="false">SUMPRODUCT($F34:$M34,$F$14:$M$14)</f>
        <v>69.774347988</v>
      </c>
    </row>
    <row r="35" customFormat="false" ht="15" hidden="false" customHeight="false" outlineLevel="0" collapsed="false">
      <c r="A35" s="3" t="s">
        <v>417</v>
      </c>
      <c r="B35" s="3" t="s">
        <v>418</v>
      </c>
      <c r="C35" s="3" t="s">
        <v>419</v>
      </c>
      <c r="D35" s="3" t="s">
        <v>214</v>
      </c>
      <c r="E35" s="3"/>
      <c r="F35" s="3"/>
      <c r="G35" s="12" t="n">
        <v>1</v>
      </c>
      <c r="H35" s="3"/>
      <c r="I35" s="3"/>
      <c r="J35" s="3"/>
      <c r="K35" s="12" t="n">
        <v>1</v>
      </c>
      <c r="L35" s="3"/>
      <c r="M35" s="3"/>
      <c r="N35" s="13" t="n">
        <f aca="false">SUMPRODUCT($F35:$M35,$F$4:$M$4)</f>
        <v>75.2017274109201</v>
      </c>
      <c r="O35" s="13" t="n">
        <f aca="false">SUMPRODUCT($F35:$M35,$F$5:$M$5)</f>
        <v>129.206686542386</v>
      </c>
      <c r="P35" s="13" t="n">
        <f aca="false">SUMPRODUCT($F35:$M35,$F$6:$M$6)</f>
        <v>198.453101605318</v>
      </c>
      <c r="Q35" s="13" t="n">
        <f aca="false">SUMPRODUCT($F35:$M35,$F$7:$M$7)</f>
        <v>333.505333798422</v>
      </c>
      <c r="R35" s="13" t="n">
        <f aca="false">SUMPRODUCT($F35:$M35,$F$8:$M$8)</f>
        <v>549.738811601152</v>
      </c>
      <c r="S35" s="13" t="n">
        <f aca="false">SUMPRODUCT($F35:$M35,$F$9:$M$9)</f>
        <v>765.827198914803</v>
      </c>
      <c r="T35" s="13" t="n">
        <f aca="false">SUMPRODUCT($F35:$M35,$F$10:$M$10)</f>
        <v>1022.43999932716</v>
      </c>
      <c r="U35" s="13" t="n">
        <f aca="false">SUMPRODUCT($F35:$M35,$F$11:$M$11)</f>
        <v>1288.53333580805</v>
      </c>
      <c r="V35" s="13" t="n">
        <f aca="false">SUMPRODUCT($F35:$M35,$F$12:$M$12)</f>
        <v>1476.88974246969</v>
      </c>
      <c r="W35" s="13" t="n">
        <f aca="false">SUMPRODUCT($F35:$M35,$F$13:$M$13)</f>
        <v>1706.2599828204</v>
      </c>
      <c r="X35" s="13" t="n">
        <f aca="false">SUMPRODUCT($F35:$M35,$F$14:$M$14)</f>
        <v>153.563398453836</v>
      </c>
    </row>
    <row r="36" customFormat="false" ht="15" hidden="false" customHeight="false" outlineLevel="0" collapsed="false">
      <c r="A36" s="3" t="s">
        <v>420</v>
      </c>
      <c r="B36" s="3" t="s">
        <v>421</v>
      </c>
      <c r="C36" s="3" t="s">
        <v>422</v>
      </c>
      <c r="D36" s="3" t="s">
        <v>214</v>
      </c>
      <c r="E36" s="3"/>
      <c r="F36" s="3"/>
      <c r="G36" s="3"/>
      <c r="H36" s="12" t="n">
        <v>1</v>
      </c>
      <c r="I36" s="3"/>
      <c r="J36" s="3"/>
      <c r="K36" s="3"/>
      <c r="L36" s="12" t="n">
        <v>1</v>
      </c>
      <c r="M36" s="3"/>
      <c r="N36" s="13" t="n">
        <f aca="false">SUMPRODUCT($F36:$M36,$F$4:$M$4)</f>
        <v>16.34485985</v>
      </c>
      <c r="O36" s="13" t="n">
        <f aca="false">SUMPRODUCT($F36:$M36,$F$5:$M$5)</f>
        <v>28.06183078</v>
      </c>
      <c r="P36" s="13" t="n">
        <f aca="false">SUMPRODUCT($F36:$M36,$F$6:$M$6)</f>
        <v>43.10009919</v>
      </c>
      <c r="Q36" s="13" t="n">
        <f aca="false">SUMPRODUCT($F36:$M36,$F$7:$M$7)</f>
        <v>72.65432941</v>
      </c>
      <c r="R36" s="13" t="n">
        <f aca="false">SUMPRODUCT($F36:$M36,$F$8:$M$8)</f>
        <v>120.02048167</v>
      </c>
      <c r="S36" s="13" t="n">
        <f aca="false">SUMPRODUCT($F36:$M36,$F$9:$M$9)</f>
        <v>167.1285517</v>
      </c>
      <c r="T36" s="13" t="n">
        <f aca="false">SUMPRODUCT($F36:$M36,$F$10:$M$10)</f>
        <v>223.0807519</v>
      </c>
      <c r="U36" s="13" t="n">
        <f aca="false">SUMPRODUCT($F36:$M36,$F$11:$M$11)</f>
        <v>281.1673619</v>
      </c>
      <c r="V36" s="13" t="n">
        <f aca="false">SUMPRODUCT($F36:$M36,$F$12:$M$12)</f>
        <v>322.3411595</v>
      </c>
      <c r="W36" s="13" t="n">
        <f aca="false">SUMPRODUCT($F36:$M36,$F$13:$M$13)</f>
        <v>372.569856</v>
      </c>
      <c r="X36" s="13" t="n">
        <f aca="false">SUMPRODUCT($F36:$M36,$F$14:$M$14)</f>
        <v>33.53128704</v>
      </c>
    </row>
    <row r="37" customFormat="false" ht="15" hidden="false" customHeight="false" outlineLevel="0" collapsed="false">
      <c r="A37" s="3" t="s">
        <v>423</v>
      </c>
      <c r="B37" s="3" t="s">
        <v>424</v>
      </c>
      <c r="C37" s="3" t="s">
        <v>425</v>
      </c>
      <c r="D37" s="3" t="s">
        <v>214</v>
      </c>
      <c r="E37" s="3"/>
      <c r="F37" s="3"/>
      <c r="G37" s="3"/>
      <c r="H37" s="3"/>
      <c r="I37" s="12" t="n">
        <v>1</v>
      </c>
      <c r="J37" s="3"/>
      <c r="K37" s="3"/>
      <c r="L37" s="3"/>
      <c r="M37" s="12" t="n">
        <v>1</v>
      </c>
      <c r="N37" s="13" t="n">
        <f aca="false">SUMPRODUCT($F37:$M37,$F$4:$M$4)</f>
        <v>11.1843596509201</v>
      </c>
      <c r="O37" s="13" t="n">
        <f aca="false">SUMPRODUCT($F37:$M37,$F$5:$M$5)</f>
        <v>18.722276510546</v>
      </c>
      <c r="P37" s="13" t="n">
        <f aca="false">SUMPRODUCT($F37:$M37,$F$6:$M$6)</f>
        <v>28.9689085214661</v>
      </c>
      <c r="Q37" s="13" t="n">
        <f aca="false">SUMPRODUCT($F37:$M37,$F$7:$M$7)</f>
        <v>48.4861179920121</v>
      </c>
      <c r="R37" s="13" t="n">
        <f aca="false">SUMPRODUCT($F37:$M37,$F$8:$M$8)</f>
        <v>80.0990619034781</v>
      </c>
      <c r="S37" s="13" t="n">
        <f aca="false">SUMPRODUCT($F37:$M37,$F$9:$M$9)</f>
        <v>110.97876748365</v>
      </c>
      <c r="T37" s="13" t="n">
        <f aca="false">SUMPRODUCT($F37:$M37,$F$10:$M$10)</f>
        <v>148.027956944196</v>
      </c>
      <c r="U37" s="13" t="n">
        <f aca="false">SUMPRODUCT($F37:$M37,$F$11:$M$11)</f>
        <v>186.500086254742</v>
      </c>
      <c r="V37" s="13" t="n">
        <f aca="false">SUMPRODUCT($F37:$M37,$F$12:$M$12)</f>
        <v>213.963673975288</v>
      </c>
      <c r="W37" s="13" t="n">
        <f aca="false">SUMPRODUCT($F37:$M37,$F$13:$M$13)</f>
        <v>247.176074484914</v>
      </c>
      <c r="X37" s="13" t="n">
        <f aca="false">SUMPRODUCT($F37:$M37,$F$14:$M$14)</f>
        <v>22.2458467036423</v>
      </c>
    </row>
    <row r="38" customFormat="false" ht="15" hidden="false" customHeight="false" outlineLevel="0" collapsed="false">
      <c r="A38" s="3" t="s">
        <v>426</v>
      </c>
      <c r="B38" s="3" t="s">
        <v>427</v>
      </c>
      <c r="C38" s="3" t="s">
        <v>428</v>
      </c>
      <c r="D38" s="3" t="s">
        <v>192</v>
      </c>
      <c r="E38" s="3"/>
      <c r="F38" s="12" t="n">
        <f aca="false">25*1.01</f>
        <v>25.25</v>
      </c>
      <c r="G38" s="12" t="n">
        <f aca="false">50*1.01</f>
        <v>50.5</v>
      </c>
      <c r="H38" s="12" t="n">
        <f aca="false">70*1.01</f>
        <v>70.7</v>
      </c>
      <c r="I38" s="12" t="n">
        <f aca="false">100*1.01</f>
        <v>101</v>
      </c>
      <c r="J38" s="3"/>
      <c r="K38" s="3"/>
      <c r="L38" s="3"/>
      <c r="M38" s="3"/>
      <c r="N38" s="13" t="n">
        <f aca="false">SUMPRODUCT($F38:$M38,$F$4:$M$4)</f>
        <v>6942.69688222939</v>
      </c>
      <c r="O38" s="13" t="n">
        <f aca="false">SUMPRODUCT($F38:$M38,$F$5:$M$5)</f>
        <v>11876.0282572141</v>
      </c>
      <c r="P38" s="13" t="n">
        <f aca="false">SUMPRODUCT($F38:$M38,$F$6:$M$6)</f>
        <v>15328.5340389646</v>
      </c>
      <c r="Q38" s="13" t="n">
        <f aca="false">SUMPRODUCT($F38:$M38,$F$7:$M$7)</f>
        <v>20477.6771490255</v>
      </c>
      <c r="R38" s="13" t="n">
        <f aca="false">SUMPRODUCT($F38:$M38,$F$8:$M$8)</f>
        <v>31725.2923805535</v>
      </c>
      <c r="S38" s="13" t="n">
        <f aca="false">SUMPRODUCT($F38:$M38,$F$9:$M$9)</f>
        <v>43075.0833544112</v>
      </c>
      <c r="T38" s="13" t="n">
        <f aca="false">SUMPRODUCT($F38:$M38,$F$10:$M$10)</f>
        <v>55371.3856650153</v>
      </c>
      <c r="U38" s="13" t="n">
        <f aca="false">SUMPRODUCT($F38:$M38,$F$11:$M$11)</f>
        <v>68553.3535915404</v>
      </c>
      <c r="V38" s="13" t="n">
        <f aca="false">SUMPRODUCT($F38:$M38,$F$12:$M$12)</f>
        <v>79858.0952867733</v>
      </c>
      <c r="W38" s="13" t="n">
        <f aca="false">SUMPRODUCT($F38:$M38,$F$13:$M$13)</f>
        <v>91902.1824379067</v>
      </c>
      <c r="X38" s="13" t="n">
        <f aca="false">SUMPRODUCT($F38:$M38,$F$14:$M$14)</f>
        <v>8271.19641941161</v>
      </c>
    </row>
    <row r="39" customFormat="false" ht="15" hidden="false" customHeight="false" outlineLevel="0" collapsed="false">
      <c r="A39" s="3" t="s">
        <v>429</v>
      </c>
      <c r="B39" s="3" t="s">
        <v>235</v>
      </c>
      <c r="C39" s="3" t="s">
        <v>236</v>
      </c>
      <c r="D39" s="3" t="s">
        <v>224</v>
      </c>
      <c r="E39" s="3"/>
      <c r="F39" s="12" t="n">
        <f aca="false">34.4/3*14/1000</f>
        <v>0.160533333333333</v>
      </c>
      <c r="G39" s="12" t="n">
        <f aca="false">61.8/3*14/1000</f>
        <v>0.2884</v>
      </c>
      <c r="H39" s="12" t="n">
        <f aca="false">96/3*14/1000</f>
        <v>0.448</v>
      </c>
      <c r="I39" s="12" t="n">
        <f aca="false">121/3*14/1000</f>
        <v>0.564666666666667</v>
      </c>
      <c r="J39" s="3"/>
      <c r="K39" s="3"/>
      <c r="L39" s="3"/>
      <c r="M39" s="3"/>
      <c r="N39" s="13" t="n">
        <f aca="false">SUMPRODUCT($F39:$M39,$F$4:$M$4)</f>
        <v>40.7925580539875</v>
      </c>
      <c r="O39" s="13" t="n">
        <f aca="false">SUMPRODUCT($F39:$M39,$F$5:$M$5)</f>
        <v>69.7918774618591</v>
      </c>
      <c r="P39" s="13" t="n">
        <f aca="false">SUMPRODUCT($F39:$M39,$F$6:$M$6)</f>
        <v>90.0693869033376</v>
      </c>
      <c r="Q39" s="13" t="n">
        <f aca="false">SUMPRODUCT($F39:$M39,$F$7:$M$7)</f>
        <v>120.328378188181</v>
      </c>
      <c r="R39" s="13" t="n">
        <f aca="false">SUMPRODUCT($F39:$M39,$F$8:$M$8)</f>
        <v>186.423000437296</v>
      </c>
      <c r="S39" s="13" t="n">
        <f aca="false">SUMPRODUCT($F39:$M39,$F$9:$M$9)</f>
        <v>253.13194165717</v>
      </c>
      <c r="T39" s="13" t="n">
        <f aca="false">SUMPRODUCT($F39:$M39,$F$10:$M$10)</f>
        <v>325.400479381349</v>
      </c>
      <c r="U39" s="13" t="n">
        <f aca="false">SUMPRODUCT($F39:$M39,$F$11:$M$11)</f>
        <v>402.876747486459</v>
      </c>
      <c r="V39" s="13" t="n">
        <f aca="false">SUMPRODUCT($F39:$M39,$F$12:$M$12)</f>
        <v>469.31567687329</v>
      </c>
      <c r="W39" s="13" t="n">
        <f aca="false">SUMPRODUCT($F39:$M39,$F$13:$M$13)</f>
        <v>540.110594188926</v>
      </c>
      <c r="X39" s="13" t="n">
        <f aca="false">SUMPRODUCT($F39:$M39,$F$14:$M$14)</f>
        <v>48.6099534770033</v>
      </c>
    </row>
    <row r="40" customFormat="false" ht="15" hidden="false" customHeight="false" outlineLevel="0" collapsed="false">
      <c r="A40" s="3" t="s">
        <v>430</v>
      </c>
      <c r="B40" s="3" t="s">
        <v>431</v>
      </c>
      <c r="C40" s="3" t="s">
        <v>432</v>
      </c>
      <c r="D40" s="3" t="s">
        <v>214</v>
      </c>
      <c r="E40" s="3"/>
      <c r="F40" s="12" t="n">
        <v>4</v>
      </c>
      <c r="G40" s="12" t="n">
        <v>4</v>
      </c>
      <c r="H40" s="12" t="n">
        <v>4</v>
      </c>
      <c r="I40" s="12" t="n">
        <v>4</v>
      </c>
      <c r="J40" s="3"/>
      <c r="K40" s="3"/>
      <c r="L40" s="3"/>
      <c r="M40" s="3"/>
      <c r="N40" s="13" t="n">
        <f aca="false">SUMPRODUCT($F40:$M40,$F$4:$M$4)</f>
        <v>547.130953087361</v>
      </c>
      <c r="O40" s="13" t="n">
        <f aca="false">SUMPRODUCT($F40:$M40,$F$5:$M$5)</f>
        <v>937.811765131729</v>
      </c>
      <c r="P40" s="13" t="n">
        <f aca="false">SUMPRODUCT($F40:$M40,$F$6:$M$6)</f>
        <v>1209.32259718714</v>
      </c>
      <c r="Q40" s="13" t="n">
        <f aca="false">SUMPRODUCT($F40:$M40,$F$7:$M$7)</f>
        <v>1615.90253640174</v>
      </c>
      <c r="R40" s="13" t="n">
        <f aca="false">SUMPRODUCT($F40:$M40,$F$8:$M$8)</f>
        <v>2502.93743469852</v>
      </c>
      <c r="S40" s="13" t="n">
        <f aca="false">SUMPRODUCT($F40:$M40,$F$9:$M$9)</f>
        <v>3400.27600319381</v>
      </c>
      <c r="T40" s="13" t="n">
        <f aca="false">SUMPRODUCT($F40:$M40,$F$10:$M$10)</f>
        <v>4371.26776548542</v>
      </c>
      <c r="U40" s="13" t="n">
        <f aca="false">SUMPRODUCT($F40:$M40,$F$11:$M$11)</f>
        <v>5412.19781865116</v>
      </c>
      <c r="V40" s="13" t="n">
        <f aca="false">SUMPRODUCT($F40:$M40,$F$12:$M$12)</f>
        <v>6304.8879661799</v>
      </c>
      <c r="W40" s="13" t="n">
        <f aca="false">SUMPRODUCT($F40:$M40,$F$13:$M$13)</f>
        <v>7257.10578602127</v>
      </c>
      <c r="X40" s="13" t="n">
        <f aca="false">SUMPRODUCT($F40:$M40,$F$14:$M$14)</f>
        <v>653.139520741915</v>
      </c>
    </row>
    <row r="41" customFormat="false" ht="15" hidden="false" customHeight="false" outlineLevel="0" collapsed="false">
      <c r="A41" s="3" t="s">
        <v>433</v>
      </c>
      <c r="B41" s="3" t="s">
        <v>434</v>
      </c>
      <c r="C41" s="3" t="s">
        <v>435</v>
      </c>
      <c r="D41" s="3" t="s">
        <v>214</v>
      </c>
      <c r="E41" s="3"/>
      <c r="F41" s="12" t="n">
        <v>2</v>
      </c>
      <c r="G41" s="12" t="n">
        <v>2</v>
      </c>
      <c r="H41" s="12" t="n">
        <v>2</v>
      </c>
      <c r="I41" s="12" t="n">
        <v>2</v>
      </c>
      <c r="J41" s="3"/>
      <c r="K41" s="3"/>
      <c r="L41" s="3"/>
      <c r="M41" s="3"/>
      <c r="N41" s="13" t="n">
        <f aca="false">SUMPRODUCT($F41:$M41,$F$4:$M$4)</f>
        <v>273.56547654368</v>
      </c>
      <c r="O41" s="13" t="n">
        <f aca="false">SUMPRODUCT($F41:$M41,$F$5:$M$5)</f>
        <v>468.905882565864</v>
      </c>
      <c r="P41" s="13" t="n">
        <f aca="false">SUMPRODUCT($F41:$M41,$F$6:$M$6)</f>
        <v>604.661298593569</v>
      </c>
      <c r="Q41" s="13" t="n">
        <f aca="false">SUMPRODUCT($F41:$M41,$F$7:$M$7)</f>
        <v>807.951268200869</v>
      </c>
      <c r="R41" s="13" t="n">
        <f aca="false">SUMPRODUCT($F41:$M41,$F$8:$M$8)</f>
        <v>1251.46871734926</v>
      </c>
      <c r="S41" s="13" t="n">
        <f aca="false">SUMPRODUCT($F41:$M41,$F$9:$M$9)</f>
        <v>1700.1380015969</v>
      </c>
      <c r="T41" s="13" t="n">
        <f aca="false">SUMPRODUCT($F41:$M41,$F$10:$M$10)</f>
        <v>2185.63388274271</v>
      </c>
      <c r="U41" s="13" t="n">
        <f aca="false">SUMPRODUCT($F41:$M41,$F$11:$M$11)</f>
        <v>2706.09890932558</v>
      </c>
      <c r="V41" s="13" t="n">
        <f aca="false">SUMPRODUCT($F41:$M41,$F$12:$M$12)</f>
        <v>3152.44398308995</v>
      </c>
      <c r="W41" s="13" t="n">
        <f aca="false">SUMPRODUCT($F41:$M41,$F$13:$M$13)</f>
        <v>3628.55289301064</v>
      </c>
      <c r="X41" s="13" t="n">
        <f aca="false">SUMPRODUCT($F41:$M41,$F$14:$M$14)</f>
        <v>326.569760370957</v>
      </c>
    </row>
    <row r="42" customFormat="false" ht="15" hidden="false" customHeight="false" outlineLevel="0" collapsed="false">
      <c r="A42" s="3" t="s">
        <v>436</v>
      </c>
      <c r="B42" s="3" t="s">
        <v>437</v>
      </c>
      <c r="C42" s="3" t="s">
        <v>438</v>
      </c>
      <c r="D42" s="3" t="s">
        <v>214</v>
      </c>
      <c r="E42" s="3"/>
      <c r="F42" s="12" t="n">
        <v>2</v>
      </c>
      <c r="G42" s="3"/>
      <c r="H42" s="3"/>
      <c r="I42" s="3"/>
      <c r="J42" s="3"/>
      <c r="K42" s="3"/>
      <c r="L42" s="3"/>
      <c r="M42" s="3"/>
      <c r="N42" s="13" t="n">
        <f aca="false">SUMPRODUCT($F42:$M42,$F$4:$M$4)</f>
        <v>68.10358272</v>
      </c>
      <c r="O42" s="13" t="n">
        <f aca="false">SUMPRODUCT($F42:$M42,$F$5:$M$5)</f>
        <v>116.9242949</v>
      </c>
      <c r="P42" s="13" t="n">
        <f aca="false">SUMPRODUCT($F42:$M42,$F$6:$M$6)</f>
        <v>150.41707996</v>
      </c>
      <c r="Q42" s="13" t="n">
        <f aca="false">SUMPRODUCT($F42:$M42,$F$7:$M$7)</f>
        <v>201.0597058</v>
      </c>
      <c r="R42" s="13" t="n">
        <f aca="false">SUMPRODUCT($F42:$M42,$F$8:$M$8)</f>
        <v>311.752007</v>
      </c>
      <c r="S42" s="13" t="n">
        <f aca="false">SUMPRODUCT($F42:$M42,$F$9:$M$9)</f>
        <v>423.8689654</v>
      </c>
      <c r="T42" s="13" t="n">
        <f aca="false">SUMPRODUCT($F42:$M42,$F$10:$M$10)</f>
        <v>545.3364664</v>
      </c>
      <c r="U42" s="13" t="n">
        <f aca="false">SUMPRODUCT($F42:$M42,$F$11:$M$11)</f>
        <v>675.6973414</v>
      </c>
      <c r="V42" s="13" t="n">
        <f aca="false">SUMPRODUCT($F42:$M42,$F$12:$M$12)</f>
        <v>787.2548312</v>
      </c>
      <c r="W42" s="13" t="n">
        <f aca="false">SUMPRODUCT($F42:$M42,$F$13:$M$13)</f>
        <v>906.5410664</v>
      </c>
      <c r="X42" s="13" t="n">
        <f aca="false">SUMPRODUCT($F42:$M42,$F$14:$M$14)</f>
        <v>81.588695976</v>
      </c>
    </row>
    <row r="43" customFormat="false" ht="15" hidden="false" customHeight="false" outlineLevel="0" collapsed="false">
      <c r="A43" s="3" t="s">
        <v>439</v>
      </c>
      <c r="B43" s="3" t="s">
        <v>440</v>
      </c>
      <c r="C43" s="3" t="s">
        <v>441</v>
      </c>
      <c r="D43" s="3" t="s">
        <v>214</v>
      </c>
      <c r="E43" s="3"/>
      <c r="F43" s="3"/>
      <c r="G43" s="12" t="n">
        <v>2</v>
      </c>
      <c r="H43" s="3"/>
      <c r="I43" s="3"/>
      <c r="J43" s="3"/>
      <c r="K43" s="3"/>
      <c r="L43" s="3"/>
      <c r="M43" s="3"/>
      <c r="N43" s="13" t="n">
        <f aca="false">SUMPRODUCT($F43:$M43,$F$4:$M$4)</f>
        <v>150.40345482184</v>
      </c>
      <c r="O43" s="13" t="n">
        <f aca="false">SUMPRODUCT($F43:$M43,$F$5:$M$5)</f>
        <v>258.413373084772</v>
      </c>
      <c r="P43" s="13" t="n">
        <f aca="false">SUMPRODUCT($F43:$M43,$F$6:$M$6)</f>
        <v>333.306203210636</v>
      </c>
      <c r="Q43" s="13" t="n">
        <f aca="false">SUMPRODUCT($F43:$M43,$F$7:$M$7)</f>
        <v>445.410667596845</v>
      </c>
      <c r="R43" s="13" t="n">
        <f aca="false">SUMPRODUCT($F43:$M43,$F$8:$M$8)</f>
        <v>689.077623202305</v>
      </c>
      <c r="S43" s="13" t="n">
        <f aca="false">SUMPRODUCT($F43:$M43,$F$9:$M$9)</f>
        <v>936.454397829605</v>
      </c>
      <c r="T43" s="13" t="n">
        <f aca="false">SUMPRODUCT($F43:$M43,$F$10:$M$10)</f>
        <v>1203.27999865432</v>
      </c>
      <c r="U43" s="13" t="n">
        <f aca="false">SUMPRODUCT($F43:$M43,$F$11:$M$11)</f>
        <v>1489.0666716161</v>
      </c>
      <c r="V43" s="13" t="n">
        <f aca="false">SUMPRODUCT($F43:$M43,$F$12:$M$12)</f>
        <v>1734.57948493937</v>
      </c>
      <c r="W43" s="13" t="n">
        <f aca="false">SUMPRODUCT($F43:$M43,$F$13:$M$13)</f>
        <v>1996.51996564081</v>
      </c>
      <c r="X43" s="13" t="n">
        <f aca="false">SUMPRODUCT($F43:$M43,$F$14:$M$14)</f>
        <v>179.686796907673</v>
      </c>
    </row>
    <row r="44" customFormat="false" ht="15" hidden="false" customHeight="false" outlineLevel="0" collapsed="false">
      <c r="A44" s="3" t="s">
        <v>442</v>
      </c>
      <c r="B44" s="3" t="s">
        <v>443</v>
      </c>
      <c r="C44" s="3" t="s">
        <v>444</v>
      </c>
      <c r="D44" s="3" t="s">
        <v>214</v>
      </c>
      <c r="E44" s="3"/>
      <c r="F44" s="3"/>
      <c r="G44" s="3"/>
      <c r="H44" s="12" t="n">
        <v>2</v>
      </c>
      <c r="I44" s="12" t="n">
        <v>2</v>
      </c>
      <c r="J44" s="3"/>
      <c r="K44" s="3"/>
      <c r="L44" s="3"/>
      <c r="M44" s="3"/>
      <c r="N44" s="13" t="n">
        <f aca="false">SUMPRODUCT($F44:$M44,$F$4:$M$4)</f>
        <v>55.0584390018401</v>
      </c>
      <c r="O44" s="13" t="n">
        <f aca="false">SUMPRODUCT($F44:$M44,$F$5:$M$5)</f>
        <v>93.568214581092</v>
      </c>
      <c r="P44" s="13" t="n">
        <f aca="false">SUMPRODUCT($F44:$M44,$F$6:$M$6)</f>
        <v>120.938015422932</v>
      </c>
      <c r="Q44" s="13" t="n">
        <f aca="false">SUMPRODUCT($F44:$M44,$F$7:$M$7)</f>
        <v>161.480894804024</v>
      </c>
      <c r="R44" s="13" t="n">
        <f aca="false">SUMPRODUCT($F44:$M44,$F$8:$M$8)</f>
        <v>250.639087146956</v>
      </c>
      <c r="S44" s="13" t="n">
        <f aca="false">SUMPRODUCT($F44:$M44,$F$9:$M$9)</f>
        <v>339.8146383673</v>
      </c>
      <c r="T44" s="13" t="n">
        <f aca="false">SUMPRODUCT($F44:$M44,$F$10:$M$10)</f>
        <v>437.017417688392</v>
      </c>
      <c r="U44" s="13" t="n">
        <f aca="false">SUMPRODUCT($F44:$M44,$F$11:$M$11)</f>
        <v>541.334896309484</v>
      </c>
      <c r="V44" s="13" t="n">
        <f aca="false">SUMPRODUCT($F44:$M44,$F$12:$M$12)</f>
        <v>630.609666950576</v>
      </c>
      <c r="W44" s="13" t="n">
        <f aca="false">SUMPRODUCT($F44:$M44,$F$13:$M$13)</f>
        <v>725.491860969828</v>
      </c>
      <c r="X44" s="13" t="n">
        <f aca="false">SUMPRODUCT($F44:$M44,$F$14:$M$14)</f>
        <v>65.2942674872845</v>
      </c>
    </row>
    <row r="45" customFormat="false" ht="15" hidden="false" customHeight="false" outlineLevel="0" collapsed="false">
      <c r="A45" s="3" t="s">
        <v>445</v>
      </c>
      <c r="B45" s="3" t="s">
        <v>446</v>
      </c>
      <c r="C45" s="3" t="s">
        <v>447</v>
      </c>
      <c r="D45" s="3" t="s">
        <v>214</v>
      </c>
      <c r="E45" s="3"/>
      <c r="F45" s="12" t="n">
        <v>1</v>
      </c>
      <c r="G45" s="3"/>
      <c r="H45" s="3"/>
      <c r="I45" s="3"/>
      <c r="J45" s="3"/>
      <c r="K45" s="3"/>
      <c r="L45" s="3"/>
      <c r="M45" s="3"/>
      <c r="N45" s="13" t="n">
        <f aca="false">SUMPRODUCT($F45:$M45,$F$4:$M$4)</f>
        <v>34.05179136</v>
      </c>
      <c r="O45" s="13" t="n">
        <f aca="false">SUMPRODUCT($F45:$M45,$F$5:$M$5)</f>
        <v>58.46214745</v>
      </c>
      <c r="P45" s="13" t="n">
        <f aca="false">SUMPRODUCT($F45:$M45,$F$6:$M$6)</f>
        <v>75.20853998</v>
      </c>
      <c r="Q45" s="13" t="n">
        <f aca="false">SUMPRODUCT($F45:$M45,$F$7:$M$7)</f>
        <v>100.5298529</v>
      </c>
      <c r="R45" s="13" t="n">
        <f aca="false">SUMPRODUCT($F45:$M45,$F$8:$M$8)</f>
        <v>155.8760035</v>
      </c>
      <c r="S45" s="13" t="n">
        <f aca="false">SUMPRODUCT($F45:$M45,$F$9:$M$9)</f>
        <v>211.9344827</v>
      </c>
      <c r="T45" s="13" t="n">
        <f aca="false">SUMPRODUCT($F45:$M45,$F$10:$M$10)</f>
        <v>272.6682332</v>
      </c>
      <c r="U45" s="13" t="n">
        <f aca="false">SUMPRODUCT($F45:$M45,$F$11:$M$11)</f>
        <v>337.8486707</v>
      </c>
      <c r="V45" s="13" t="n">
        <f aca="false">SUMPRODUCT($F45:$M45,$F$12:$M$12)</f>
        <v>393.6274156</v>
      </c>
      <c r="W45" s="13" t="n">
        <f aca="false">SUMPRODUCT($F45:$M45,$F$13:$M$13)</f>
        <v>453.2705332</v>
      </c>
      <c r="X45" s="13" t="n">
        <f aca="false">SUMPRODUCT($F45:$M45,$F$14:$M$14)</f>
        <v>40.794347988</v>
      </c>
    </row>
    <row r="46" customFormat="false" ht="15" hidden="false" customHeight="false" outlineLevel="0" collapsed="false">
      <c r="A46" s="3" t="s">
        <v>448</v>
      </c>
      <c r="B46" s="3" t="s">
        <v>449</v>
      </c>
      <c r="C46" s="3" t="s">
        <v>450</v>
      </c>
      <c r="D46" s="3" t="s">
        <v>214</v>
      </c>
      <c r="E46" s="3"/>
      <c r="F46" s="3"/>
      <c r="G46" s="12" t="n">
        <v>1</v>
      </c>
      <c r="H46" s="12" t="n">
        <v>1</v>
      </c>
      <c r="I46" s="12" t="n">
        <v>1</v>
      </c>
      <c r="J46" s="3"/>
      <c r="K46" s="3"/>
      <c r="L46" s="3"/>
      <c r="M46" s="3"/>
      <c r="N46" s="13" t="n">
        <f aca="false">SUMPRODUCT($F46:$M46,$F$4:$M$4)</f>
        <v>102.73094691184</v>
      </c>
      <c r="O46" s="13" t="n">
        <f aca="false">SUMPRODUCT($F46:$M46,$F$5:$M$5)</f>
        <v>175.990793832932</v>
      </c>
      <c r="P46" s="13" t="n">
        <f aca="false">SUMPRODUCT($F46:$M46,$F$6:$M$6)</f>
        <v>227.122109316784</v>
      </c>
      <c r="Q46" s="13" t="n">
        <f aca="false">SUMPRODUCT($F46:$M46,$F$7:$M$7)</f>
        <v>303.445781200434</v>
      </c>
      <c r="R46" s="13" t="n">
        <f aca="false">SUMPRODUCT($F46:$M46,$F$8:$M$8)</f>
        <v>469.85835517463</v>
      </c>
      <c r="S46" s="13" t="n">
        <f aca="false">SUMPRODUCT($F46:$M46,$F$9:$M$9)</f>
        <v>638.134518098452</v>
      </c>
      <c r="T46" s="13" t="n">
        <f aca="false">SUMPRODUCT($F46:$M46,$F$10:$M$10)</f>
        <v>820.148708171354</v>
      </c>
      <c r="U46" s="13" t="n">
        <f aca="false">SUMPRODUCT($F46:$M46,$F$11:$M$11)</f>
        <v>1015.20078396279</v>
      </c>
      <c r="V46" s="13" t="n">
        <f aca="false">SUMPRODUCT($F46:$M46,$F$12:$M$12)</f>
        <v>1182.59457594497</v>
      </c>
      <c r="W46" s="13" t="n">
        <f aca="false">SUMPRODUCT($F46:$M46,$F$13:$M$13)</f>
        <v>1361.00591330532</v>
      </c>
      <c r="X46" s="13" t="n">
        <f aca="false">SUMPRODUCT($F46:$M46,$F$14:$M$14)</f>
        <v>122.490532197479</v>
      </c>
    </row>
    <row r="47" customFormat="false" ht="15" hidden="false" customHeight="false" outlineLevel="0" collapsed="false">
      <c r="A47" s="3" t="s">
        <v>451</v>
      </c>
      <c r="B47" s="3" t="s">
        <v>244</v>
      </c>
      <c r="C47" s="3" t="s">
        <v>245</v>
      </c>
      <c r="D47" s="3" t="s">
        <v>214</v>
      </c>
      <c r="E47" s="3"/>
      <c r="F47" s="12" t="n">
        <v>1</v>
      </c>
      <c r="G47" s="12" t="n">
        <v>1</v>
      </c>
      <c r="H47" s="12" t="n">
        <v>1</v>
      </c>
      <c r="I47" s="12" t="n">
        <v>1</v>
      </c>
      <c r="J47" s="3"/>
      <c r="K47" s="3"/>
      <c r="L47" s="3"/>
      <c r="M47" s="3"/>
      <c r="N47" s="13" t="n">
        <f aca="false">SUMPRODUCT($F47:$M47,$F$4:$M$4)</f>
        <v>136.78273827184</v>
      </c>
      <c r="O47" s="13" t="n">
        <f aca="false">SUMPRODUCT($F47:$M47,$F$5:$M$5)</f>
        <v>234.452941282932</v>
      </c>
      <c r="P47" s="13" t="n">
        <f aca="false">SUMPRODUCT($F47:$M47,$F$6:$M$6)</f>
        <v>302.330649296784</v>
      </c>
      <c r="Q47" s="13" t="n">
        <f aca="false">SUMPRODUCT($F47:$M47,$F$7:$M$7)</f>
        <v>403.975634100434</v>
      </c>
      <c r="R47" s="13" t="n">
        <f aca="false">SUMPRODUCT($F47:$M47,$F$8:$M$8)</f>
        <v>625.734358674631</v>
      </c>
      <c r="S47" s="13" t="n">
        <f aca="false">SUMPRODUCT($F47:$M47,$F$9:$M$9)</f>
        <v>850.069000798452</v>
      </c>
      <c r="T47" s="13" t="n">
        <f aca="false">SUMPRODUCT($F47:$M47,$F$10:$M$10)</f>
        <v>1092.81694137135</v>
      </c>
      <c r="U47" s="13" t="n">
        <f aca="false">SUMPRODUCT($F47:$M47,$F$11:$M$11)</f>
        <v>1353.04945466279</v>
      </c>
      <c r="V47" s="13" t="n">
        <f aca="false">SUMPRODUCT($F47:$M47,$F$12:$M$12)</f>
        <v>1576.22199154497</v>
      </c>
      <c r="W47" s="13" t="n">
        <f aca="false">SUMPRODUCT($F47:$M47,$F$13:$M$13)</f>
        <v>1814.27644650532</v>
      </c>
      <c r="X47" s="13" t="n">
        <f aca="false">SUMPRODUCT($F47:$M47,$F$14:$M$14)</f>
        <v>163.284880185479</v>
      </c>
    </row>
    <row r="48" customFormat="false" ht="15" hidden="false" customHeight="false" outlineLevel="0" collapsed="false">
      <c r="A48" s="3" t="s">
        <v>452</v>
      </c>
      <c r="B48" s="3" t="s">
        <v>453</v>
      </c>
      <c r="C48" s="3" t="s">
        <v>454</v>
      </c>
      <c r="D48" s="3" t="s">
        <v>214</v>
      </c>
      <c r="E48" s="3"/>
      <c r="F48" s="12" t="n">
        <v>1</v>
      </c>
      <c r="G48" s="3"/>
      <c r="H48" s="3"/>
      <c r="I48" s="3"/>
      <c r="J48" s="3"/>
      <c r="K48" s="3"/>
      <c r="L48" s="3"/>
      <c r="M48" s="3"/>
      <c r="N48" s="13" t="n">
        <f aca="false">SUMPRODUCT($F48:$M48,$F$4:$M$4)</f>
        <v>34.05179136</v>
      </c>
      <c r="O48" s="13" t="n">
        <f aca="false">SUMPRODUCT($F48:$M48,$F$5:$M$5)</f>
        <v>58.46214745</v>
      </c>
      <c r="P48" s="13" t="n">
        <f aca="false">SUMPRODUCT($F48:$M48,$F$6:$M$6)</f>
        <v>75.20853998</v>
      </c>
      <c r="Q48" s="13" t="n">
        <f aca="false">SUMPRODUCT($F48:$M48,$F$7:$M$7)</f>
        <v>100.5298529</v>
      </c>
      <c r="R48" s="13" t="n">
        <f aca="false">SUMPRODUCT($F48:$M48,$F$8:$M$8)</f>
        <v>155.8760035</v>
      </c>
      <c r="S48" s="13" t="n">
        <f aca="false">SUMPRODUCT($F48:$M48,$F$9:$M$9)</f>
        <v>211.9344827</v>
      </c>
      <c r="T48" s="13" t="n">
        <f aca="false">SUMPRODUCT($F48:$M48,$F$10:$M$10)</f>
        <v>272.6682332</v>
      </c>
      <c r="U48" s="13" t="n">
        <f aca="false">SUMPRODUCT($F48:$M48,$F$11:$M$11)</f>
        <v>337.8486707</v>
      </c>
      <c r="V48" s="13" t="n">
        <f aca="false">SUMPRODUCT($F48:$M48,$F$12:$M$12)</f>
        <v>393.6274156</v>
      </c>
      <c r="W48" s="13" t="n">
        <f aca="false">SUMPRODUCT($F48:$M48,$F$13:$M$13)</f>
        <v>453.2705332</v>
      </c>
      <c r="X48" s="13" t="n">
        <f aca="false">SUMPRODUCT($F48:$M48,$F$14:$M$14)</f>
        <v>40.794347988</v>
      </c>
    </row>
    <row r="49" customFormat="false" ht="15" hidden="false" customHeight="false" outlineLevel="0" collapsed="false">
      <c r="A49" s="3" t="s">
        <v>455</v>
      </c>
      <c r="B49" s="3" t="s">
        <v>456</v>
      </c>
      <c r="C49" s="3" t="s">
        <v>457</v>
      </c>
      <c r="D49" s="3" t="s">
        <v>214</v>
      </c>
      <c r="E49" s="3"/>
      <c r="F49" s="3"/>
      <c r="G49" s="12" t="n">
        <v>1</v>
      </c>
      <c r="H49" s="3"/>
      <c r="I49" s="3"/>
      <c r="J49" s="3"/>
      <c r="K49" s="3"/>
      <c r="L49" s="3"/>
      <c r="M49" s="3"/>
      <c r="N49" s="13" t="n">
        <f aca="false">SUMPRODUCT($F49:$M49,$F$4:$M$4)</f>
        <v>75.2017274109201</v>
      </c>
      <c r="O49" s="13" t="n">
        <f aca="false">SUMPRODUCT($F49:$M49,$F$5:$M$5)</f>
        <v>129.206686542386</v>
      </c>
      <c r="P49" s="13" t="n">
        <f aca="false">SUMPRODUCT($F49:$M49,$F$6:$M$6)</f>
        <v>166.653101605318</v>
      </c>
      <c r="Q49" s="13" t="n">
        <f aca="false">SUMPRODUCT($F49:$M49,$F$7:$M$7)</f>
        <v>222.705333798422</v>
      </c>
      <c r="R49" s="13" t="n">
        <f aca="false">SUMPRODUCT($F49:$M49,$F$8:$M$8)</f>
        <v>344.538811601152</v>
      </c>
      <c r="S49" s="13" t="n">
        <f aca="false">SUMPRODUCT($F49:$M49,$F$9:$M$9)</f>
        <v>468.227198914802</v>
      </c>
      <c r="T49" s="13" t="n">
        <f aca="false">SUMPRODUCT($F49:$M49,$F$10:$M$10)</f>
        <v>601.639999327158</v>
      </c>
      <c r="U49" s="13" t="n">
        <f aca="false">SUMPRODUCT($F49:$M49,$F$11:$M$11)</f>
        <v>744.533335808048</v>
      </c>
      <c r="V49" s="13" t="n">
        <f aca="false">SUMPRODUCT($F49:$M49,$F$12:$M$12)</f>
        <v>867.289742469686</v>
      </c>
      <c r="W49" s="13" t="n">
        <f aca="false">SUMPRODUCT($F49:$M49,$F$13:$M$13)</f>
        <v>998.259982820404</v>
      </c>
      <c r="X49" s="13" t="n">
        <f aca="false">SUMPRODUCT($F49:$M49,$F$14:$M$14)</f>
        <v>89.8433984538364</v>
      </c>
    </row>
    <row r="50" customFormat="false" ht="15" hidden="false" customHeight="false" outlineLevel="0" collapsed="false">
      <c r="A50" s="3" t="s">
        <v>458</v>
      </c>
      <c r="B50" s="3" t="s">
        <v>459</v>
      </c>
      <c r="C50" s="3" t="s">
        <v>460</v>
      </c>
      <c r="D50" s="3" t="s">
        <v>214</v>
      </c>
      <c r="E50" s="3"/>
      <c r="F50" s="3"/>
      <c r="G50" s="3"/>
      <c r="H50" s="12" t="n">
        <v>1</v>
      </c>
      <c r="I50" s="3"/>
      <c r="J50" s="3"/>
      <c r="K50" s="3"/>
      <c r="L50" s="3"/>
      <c r="M50" s="3"/>
      <c r="N50" s="13" t="n">
        <f aca="false">SUMPRODUCT($F50:$M50,$F$4:$M$4)</f>
        <v>16.34485985</v>
      </c>
      <c r="O50" s="13" t="n">
        <f aca="false">SUMPRODUCT($F50:$M50,$F$5:$M$5)</f>
        <v>28.06183078</v>
      </c>
      <c r="P50" s="13" t="n">
        <f aca="false">SUMPRODUCT($F50:$M50,$F$6:$M$6)</f>
        <v>36.10009919</v>
      </c>
      <c r="Q50" s="13" t="n">
        <f aca="false">SUMPRODUCT($F50:$M50,$F$7:$M$7)</f>
        <v>48.25432941</v>
      </c>
      <c r="R50" s="13" t="n">
        <f aca="false">SUMPRODUCT($F50:$M50,$F$8:$M$8)</f>
        <v>74.82048167</v>
      </c>
      <c r="S50" s="13" t="n">
        <f aca="false">SUMPRODUCT($F50:$M50,$F$9:$M$9)</f>
        <v>101.7285517</v>
      </c>
      <c r="T50" s="13" t="n">
        <f aca="false">SUMPRODUCT($F50:$M50,$F$10:$M$10)</f>
        <v>130.8807519</v>
      </c>
      <c r="U50" s="13" t="n">
        <f aca="false">SUMPRODUCT($F50:$M50,$F$11:$M$11)</f>
        <v>162.1673619</v>
      </c>
      <c r="V50" s="13" t="n">
        <f aca="false">SUMPRODUCT($F50:$M50,$F$12:$M$12)</f>
        <v>188.9411595</v>
      </c>
      <c r="W50" s="13" t="n">
        <f aca="false">SUMPRODUCT($F50:$M50,$F$13:$M$13)</f>
        <v>217.569856</v>
      </c>
      <c r="X50" s="13" t="n">
        <f aca="false">SUMPRODUCT($F50:$M50,$F$14:$M$14)</f>
        <v>19.58128704</v>
      </c>
    </row>
    <row r="51" customFormat="false" ht="15" hidden="false" customHeight="false" outlineLevel="0" collapsed="false">
      <c r="A51" s="3" t="s">
        <v>461</v>
      </c>
      <c r="B51" s="3" t="s">
        <v>462</v>
      </c>
      <c r="C51" s="3" t="s">
        <v>463</v>
      </c>
      <c r="D51" s="3" t="s">
        <v>214</v>
      </c>
      <c r="E51" s="3"/>
      <c r="F51" s="3"/>
      <c r="G51" s="3"/>
      <c r="H51" s="3"/>
      <c r="I51" s="12" t="n">
        <v>1</v>
      </c>
      <c r="J51" s="3"/>
      <c r="K51" s="3"/>
      <c r="L51" s="3"/>
      <c r="M51" s="3"/>
      <c r="N51" s="13" t="n">
        <f aca="false">SUMPRODUCT($F51:$M51,$F$4:$M$4)</f>
        <v>11.1843596509201</v>
      </c>
      <c r="O51" s="13" t="n">
        <f aca="false">SUMPRODUCT($F51:$M51,$F$5:$M$5)</f>
        <v>18.722276510546</v>
      </c>
      <c r="P51" s="13" t="n">
        <f aca="false">SUMPRODUCT($F51:$M51,$F$6:$M$6)</f>
        <v>24.3689085214661</v>
      </c>
      <c r="Q51" s="13" t="n">
        <f aca="false">SUMPRODUCT($F51:$M51,$F$7:$M$7)</f>
        <v>32.4861179920121</v>
      </c>
      <c r="R51" s="13" t="n">
        <f aca="false">SUMPRODUCT($F51:$M51,$F$8:$M$8)</f>
        <v>50.4990619034781</v>
      </c>
      <c r="S51" s="13" t="n">
        <f aca="false">SUMPRODUCT($F51:$M51,$F$9:$M$9)</f>
        <v>68.1787674836501</v>
      </c>
      <c r="T51" s="13" t="n">
        <f aca="false">SUMPRODUCT($F51:$M51,$F$10:$M$10)</f>
        <v>87.6279569441961</v>
      </c>
      <c r="U51" s="13" t="n">
        <f aca="false">SUMPRODUCT($F51:$M51,$F$11:$M$11)</f>
        <v>108.500086254742</v>
      </c>
      <c r="V51" s="13" t="n">
        <f aca="false">SUMPRODUCT($F51:$M51,$F$12:$M$12)</f>
        <v>126.363673975288</v>
      </c>
      <c r="W51" s="13" t="n">
        <f aca="false">SUMPRODUCT($F51:$M51,$F$13:$M$13)</f>
        <v>145.176074484914</v>
      </c>
      <c r="X51" s="13" t="n">
        <f aca="false">SUMPRODUCT($F51:$M51,$F$14:$M$14)</f>
        <v>13.0658467036423</v>
      </c>
    </row>
    <row r="52" customFormat="false" ht="15" hidden="false" customHeight="false" outlineLevel="0" collapsed="false">
      <c r="A52" s="3" t="s">
        <v>464</v>
      </c>
      <c r="B52" s="3" t="s">
        <v>465</v>
      </c>
      <c r="C52" s="3" t="s">
        <v>466</v>
      </c>
      <c r="D52" s="3" t="s">
        <v>214</v>
      </c>
      <c r="E52" s="3"/>
      <c r="F52" s="12" t="n">
        <v>1</v>
      </c>
      <c r="G52" s="3"/>
      <c r="H52" s="3"/>
      <c r="I52" s="3"/>
      <c r="J52" s="3"/>
      <c r="K52" s="3"/>
      <c r="L52" s="3"/>
      <c r="M52" s="3"/>
      <c r="N52" s="13" t="n">
        <f aca="false">SUMPRODUCT($F52:$M52,$F$4:$M$4)</f>
        <v>34.05179136</v>
      </c>
      <c r="O52" s="13" t="n">
        <f aca="false">SUMPRODUCT($F52:$M52,$F$5:$M$5)</f>
        <v>58.46214745</v>
      </c>
      <c r="P52" s="13" t="n">
        <f aca="false">SUMPRODUCT($F52:$M52,$F$6:$M$6)</f>
        <v>75.20853998</v>
      </c>
      <c r="Q52" s="13" t="n">
        <f aca="false">SUMPRODUCT($F52:$M52,$F$7:$M$7)</f>
        <v>100.5298529</v>
      </c>
      <c r="R52" s="13" t="n">
        <f aca="false">SUMPRODUCT($F52:$M52,$F$8:$M$8)</f>
        <v>155.8760035</v>
      </c>
      <c r="S52" s="13" t="n">
        <f aca="false">SUMPRODUCT($F52:$M52,$F$9:$M$9)</f>
        <v>211.9344827</v>
      </c>
      <c r="T52" s="13" t="n">
        <f aca="false">SUMPRODUCT($F52:$M52,$F$10:$M$10)</f>
        <v>272.6682332</v>
      </c>
      <c r="U52" s="13" t="n">
        <f aca="false">SUMPRODUCT($F52:$M52,$F$11:$M$11)</f>
        <v>337.8486707</v>
      </c>
      <c r="V52" s="13" t="n">
        <f aca="false">SUMPRODUCT($F52:$M52,$F$12:$M$12)</f>
        <v>393.6274156</v>
      </c>
      <c r="W52" s="13" t="n">
        <f aca="false">SUMPRODUCT($F52:$M52,$F$13:$M$13)</f>
        <v>453.2705332</v>
      </c>
      <c r="X52" s="13" t="n">
        <f aca="false">SUMPRODUCT($F52:$M52,$F$14:$M$14)</f>
        <v>40.794347988</v>
      </c>
    </row>
    <row r="53" customFormat="false" ht="15" hidden="false" customHeight="false" outlineLevel="0" collapsed="false">
      <c r="A53" s="3" t="s">
        <v>467</v>
      </c>
      <c r="B53" s="3" t="s">
        <v>468</v>
      </c>
      <c r="C53" s="3" t="s">
        <v>469</v>
      </c>
      <c r="D53" s="3" t="s">
        <v>214</v>
      </c>
      <c r="E53" s="3"/>
      <c r="F53" s="3"/>
      <c r="G53" s="12" t="n">
        <v>1</v>
      </c>
      <c r="H53" s="3"/>
      <c r="I53" s="3"/>
      <c r="J53" s="3"/>
      <c r="K53" s="3"/>
      <c r="L53" s="3"/>
      <c r="M53" s="3"/>
      <c r="N53" s="13" t="n">
        <f aca="false">SUMPRODUCT($F53:$M53,$F$4:$M$4)</f>
        <v>75.2017274109201</v>
      </c>
      <c r="O53" s="13" t="n">
        <f aca="false">SUMPRODUCT($F53:$M53,$F$5:$M$5)</f>
        <v>129.206686542386</v>
      </c>
      <c r="P53" s="13" t="n">
        <f aca="false">SUMPRODUCT($F53:$M53,$F$6:$M$6)</f>
        <v>166.653101605318</v>
      </c>
      <c r="Q53" s="13" t="n">
        <f aca="false">SUMPRODUCT($F53:$M53,$F$7:$M$7)</f>
        <v>222.705333798422</v>
      </c>
      <c r="R53" s="13" t="n">
        <f aca="false">SUMPRODUCT($F53:$M53,$F$8:$M$8)</f>
        <v>344.538811601152</v>
      </c>
      <c r="S53" s="13" t="n">
        <f aca="false">SUMPRODUCT($F53:$M53,$F$9:$M$9)</f>
        <v>468.227198914802</v>
      </c>
      <c r="T53" s="13" t="n">
        <f aca="false">SUMPRODUCT($F53:$M53,$F$10:$M$10)</f>
        <v>601.639999327158</v>
      </c>
      <c r="U53" s="13" t="n">
        <f aca="false">SUMPRODUCT($F53:$M53,$F$11:$M$11)</f>
        <v>744.533335808048</v>
      </c>
      <c r="V53" s="13" t="n">
        <f aca="false">SUMPRODUCT($F53:$M53,$F$12:$M$12)</f>
        <v>867.289742469686</v>
      </c>
      <c r="W53" s="13" t="n">
        <f aca="false">SUMPRODUCT($F53:$M53,$F$13:$M$13)</f>
        <v>998.259982820404</v>
      </c>
      <c r="X53" s="13" t="n">
        <f aca="false">SUMPRODUCT($F53:$M53,$F$14:$M$14)</f>
        <v>89.8433984538364</v>
      </c>
    </row>
    <row r="54" customFormat="false" ht="15" hidden="false" customHeight="false" outlineLevel="0" collapsed="false">
      <c r="A54" s="3" t="s">
        <v>470</v>
      </c>
      <c r="B54" s="3" t="s">
        <v>471</v>
      </c>
      <c r="C54" s="3" t="s">
        <v>472</v>
      </c>
      <c r="D54" s="3" t="s">
        <v>214</v>
      </c>
      <c r="E54" s="3"/>
      <c r="F54" s="3"/>
      <c r="G54" s="3"/>
      <c r="H54" s="12" t="n">
        <v>1</v>
      </c>
      <c r="I54" s="3"/>
      <c r="J54" s="3"/>
      <c r="K54" s="3"/>
      <c r="L54" s="3"/>
      <c r="M54" s="3"/>
      <c r="N54" s="13" t="n">
        <f aca="false">SUMPRODUCT($F54:$M54,$F$4:$M$4)</f>
        <v>16.34485985</v>
      </c>
      <c r="O54" s="13" t="n">
        <f aca="false">SUMPRODUCT($F54:$M54,$F$5:$M$5)</f>
        <v>28.06183078</v>
      </c>
      <c r="P54" s="13" t="n">
        <f aca="false">SUMPRODUCT($F54:$M54,$F$6:$M$6)</f>
        <v>36.10009919</v>
      </c>
      <c r="Q54" s="13" t="n">
        <f aca="false">SUMPRODUCT($F54:$M54,$F$7:$M$7)</f>
        <v>48.25432941</v>
      </c>
      <c r="R54" s="13" t="n">
        <f aca="false">SUMPRODUCT($F54:$M54,$F$8:$M$8)</f>
        <v>74.82048167</v>
      </c>
      <c r="S54" s="13" t="n">
        <f aca="false">SUMPRODUCT($F54:$M54,$F$9:$M$9)</f>
        <v>101.7285517</v>
      </c>
      <c r="T54" s="13" t="n">
        <f aca="false">SUMPRODUCT($F54:$M54,$F$10:$M$10)</f>
        <v>130.8807519</v>
      </c>
      <c r="U54" s="13" t="n">
        <f aca="false">SUMPRODUCT($F54:$M54,$F$11:$M$11)</f>
        <v>162.1673619</v>
      </c>
      <c r="V54" s="13" t="n">
        <f aca="false">SUMPRODUCT($F54:$M54,$F$12:$M$12)</f>
        <v>188.9411595</v>
      </c>
      <c r="W54" s="13" t="n">
        <f aca="false">SUMPRODUCT($F54:$M54,$F$13:$M$13)</f>
        <v>217.569856</v>
      </c>
      <c r="X54" s="13" t="n">
        <f aca="false">SUMPRODUCT($F54:$M54,$F$14:$M$14)</f>
        <v>19.58128704</v>
      </c>
    </row>
    <row r="55" customFormat="false" ht="15" hidden="false" customHeight="false" outlineLevel="0" collapsed="false">
      <c r="A55" s="3" t="s">
        <v>473</v>
      </c>
      <c r="B55" s="3" t="s">
        <v>474</v>
      </c>
      <c r="C55" s="3" t="s">
        <v>475</v>
      </c>
      <c r="D55" s="3" t="s">
        <v>214</v>
      </c>
      <c r="E55" s="3"/>
      <c r="F55" s="3"/>
      <c r="G55" s="3"/>
      <c r="H55" s="3"/>
      <c r="I55" s="12" t="n">
        <v>1</v>
      </c>
      <c r="J55" s="3"/>
      <c r="K55" s="3"/>
      <c r="L55" s="3"/>
      <c r="M55" s="3"/>
      <c r="N55" s="13" t="n">
        <f aca="false">SUMPRODUCT($F55:$M55,$F$4:$M$4)</f>
        <v>11.1843596509201</v>
      </c>
      <c r="O55" s="13" t="n">
        <f aca="false">SUMPRODUCT($F55:$M55,$F$5:$M$5)</f>
        <v>18.722276510546</v>
      </c>
      <c r="P55" s="13" t="n">
        <f aca="false">SUMPRODUCT($F55:$M55,$F$6:$M$6)</f>
        <v>24.3689085214661</v>
      </c>
      <c r="Q55" s="13" t="n">
        <f aca="false">SUMPRODUCT($F55:$M55,$F$7:$M$7)</f>
        <v>32.4861179920121</v>
      </c>
      <c r="R55" s="13" t="n">
        <f aca="false">SUMPRODUCT($F55:$M55,$F$8:$M$8)</f>
        <v>50.4990619034781</v>
      </c>
      <c r="S55" s="13" t="n">
        <f aca="false">SUMPRODUCT($F55:$M55,$F$9:$M$9)</f>
        <v>68.1787674836501</v>
      </c>
      <c r="T55" s="13" t="n">
        <f aca="false">SUMPRODUCT($F55:$M55,$F$10:$M$10)</f>
        <v>87.6279569441961</v>
      </c>
      <c r="U55" s="13" t="n">
        <f aca="false">SUMPRODUCT($F55:$M55,$F$11:$M$11)</f>
        <v>108.500086254742</v>
      </c>
      <c r="V55" s="13" t="n">
        <f aca="false">SUMPRODUCT($F55:$M55,$F$12:$M$12)</f>
        <v>126.363673975288</v>
      </c>
      <c r="W55" s="13" t="n">
        <f aca="false">SUMPRODUCT($F55:$M55,$F$13:$M$13)</f>
        <v>145.176074484914</v>
      </c>
      <c r="X55" s="13" t="n">
        <f aca="false">SUMPRODUCT($F55:$M55,$F$14:$M$14)</f>
        <v>13.0658467036423</v>
      </c>
    </row>
    <row r="56" customFormat="false" ht="15" hidden="false" customHeight="false" outlineLevel="0" collapsed="false">
      <c r="A56" s="3" t="s">
        <v>476</v>
      </c>
      <c r="B56" s="3" t="s">
        <v>271</v>
      </c>
      <c r="C56" s="3" t="s">
        <v>272</v>
      </c>
      <c r="D56" s="3" t="s">
        <v>214</v>
      </c>
      <c r="E56" s="3"/>
      <c r="F56" s="12" t="n">
        <v>1</v>
      </c>
      <c r="G56" s="12" t="n">
        <v>1</v>
      </c>
      <c r="H56" s="3"/>
      <c r="I56" s="3"/>
      <c r="J56" s="3"/>
      <c r="K56" s="3"/>
      <c r="L56" s="3"/>
      <c r="M56" s="3"/>
      <c r="N56" s="13" t="n">
        <f aca="false">SUMPRODUCT($F56:$M56,$F$4:$M$4)</f>
        <v>109.25351877092</v>
      </c>
      <c r="O56" s="13" t="n">
        <f aca="false">SUMPRODUCT($F56:$M56,$F$5:$M$5)</f>
        <v>187.668833992386</v>
      </c>
      <c r="P56" s="13" t="n">
        <f aca="false">SUMPRODUCT($F56:$M56,$F$6:$M$6)</f>
        <v>241.861641585318</v>
      </c>
      <c r="Q56" s="13" t="n">
        <f aca="false">SUMPRODUCT($F56:$M56,$F$7:$M$7)</f>
        <v>323.235186698422</v>
      </c>
      <c r="R56" s="13" t="n">
        <f aca="false">SUMPRODUCT($F56:$M56,$F$8:$M$8)</f>
        <v>500.414815101152</v>
      </c>
      <c r="S56" s="13" t="n">
        <f aca="false">SUMPRODUCT($F56:$M56,$F$9:$M$9)</f>
        <v>680.161681614802</v>
      </c>
      <c r="T56" s="13" t="n">
        <f aca="false">SUMPRODUCT($F56:$M56,$F$10:$M$10)</f>
        <v>874.308232527158</v>
      </c>
      <c r="U56" s="13" t="n">
        <f aca="false">SUMPRODUCT($F56:$M56,$F$11:$M$11)</f>
        <v>1082.38200650805</v>
      </c>
      <c r="V56" s="13" t="n">
        <f aca="false">SUMPRODUCT($F56:$M56,$F$12:$M$12)</f>
        <v>1260.91715806969</v>
      </c>
      <c r="W56" s="13" t="n">
        <f aca="false">SUMPRODUCT($F56:$M56,$F$13:$M$13)</f>
        <v>1451.5305160204</v>
      </c>
      <c r="X56" s="13" t="n">
        <f aca="false">SUMPRODUCT($F56:$M56,$F$14:$M$14)</f>
        <v>130.637746441836</v>
      </c>
    </row>
    <row r="57" customFormat="false" ht="15" hidden="false" customHeight="false" outlineLevel="0" collapsed="false">
      <c r="A57" s="3" t="s">
        <v>477</v>
      </c>
      <c r="B57" s="3" t="s">
        <v>478</v>
      </c>
      <c r="C57" s="3" t="s">
        <v>479</v>
      </c>
      <c r="D57" s="3" t="s">
        <v>214</v>
      </c>
      <c r="E57" s="3"/>
      <c r="F57" s="3"/>
      <c r="G57" s="3"/>
      <c r="H57" s="12" t="n">
        <v>1</v>
      </c>
      <c r="I57" s="12" t="n">
        <v>1</v>
      </c>
      <c r="J57" s="3"/>
      <c r="K57" s="3"/>
      <c r="L57" s="3"/>
      <c r="M57" s="3"/>
      <c r="N57" s="13" t="n">
        <f aca="false">SUMPRODUCT($F57:$M57,$F$4:$M$4)</f>
        <v>27.5292195009201</v>
      </c>
      <c r="O57" s="13" t="n">
        <f aca="false">SUMPRODUCT($F57:$M57,$F$5:$M$5)</f>
        <v>46.784107290546</v>
      </c>
      <c r="P57" s="13" t="n">
        <f aca="false">SUMPRODUCT($F57:$M57,$F$6:$M$6)</f>
        <v>60.4690077114661</v>
      </c>
      <c r="Q57" s="13" t="n">
        <f aca="false">SUMPRODUCT($F57:$M57,$F$7:$M$7)</f>
        <v>80.7404474020121</v>
      </c>
      <c r="R57" s="13" t="n">
        <f aca="false">SUMPRODUCT($F57:$M57,$F$8:$M$8)</f>
        <v>125.319543573478</v>
      </c>
      <c r="S57" s="13" t="n">
        <f aca="false">SUMPRODUCT($F57:$M57,$F$9:$M$9)</f>
        <v>169.90731918365</v>
      </c>
      <c r="T57" s="13" t="n">
        <f aca="false">SUMPRODUCT($F57:$M57,$F$10:$M$10)</f>
        <v>218.508708844196</v>
      </c>
      <c r="U57" s="13" t="n">
        <f aca="false">SUMPRODUCT($F57:$M57,$F$11:$M$11)</f>
        <v>270.667448154742</v>
      </c>
      <c r="V57" s="13" t="n">
        <f aca="false">SUMPRODUCT($F57:$M57,$F$12:$M$12)</f>
        <v>315.304833475288</v>
      </c>
      <c r="W57" s="13" t="n">
        <f aca="false">SUMPRODUCT($F57:$M57,$F$13:$M$13)</f>
        <v>362.745930484914</v>
      </c>
      <c r="X57" s="13" t="n">
        <f aca="false">SUMPRODUCT($F57:$M57,$F$14:$M$14)</f>
        <v>32.6471337436423</v>
      </c>
    </row>
    <row r="58" customFormat="false" ht="15" hidden="false" customHeight="false" outlineLevel="0" collapsed="false">
      <c r="A58" s="3" t="s">
        <v>480</v>
      </c>
      <c r="B58" s="3" t="s">
        <v>481</v>
      </c>
      <c r="C58" s="3" t="s">
        <v>482</v>
      </c>
      <c r="D58" s="3" t="s">
        <v>214</v>
      </c>
      <c r="E58" s="3"/>
      <c r="F58" s="12" t="n">
        <v>1</v>
      </c>
      <c r="G58" s="3"/>
      <c r="H58" s="3"/>
      <c r="I58" s="3"/>
      <c r="J58" s="3"/>
      <c r="K58" s="3"/>
      <c r="L58" s="3"/>
      <c r="M58" s="3"/>
      <c r="N58" s="13" t="n">
        <f aca="false">SUMPRODUCT($F58:$M58,$F$4:$M$4)</f>
        <v>34.05179136</v>
      </c>
      <c r="O58" s="13" t="n">
        <f aca="false">SUMPRODUCT($F58:$M58,$F$5:$M$5)</f>
        <v>58.46214745</v>
      </c>
      <c r="P58" s="13" t="n">
        <f aca="false">SUMPRODUCT($F58:$M58,$F$6:$M$6)</f>
        <v>75.20853998</v>
      </c>
      <c r="Q58" s="13" t="n">
        <f aca="false">SUMPRODUCT($F58:$M58,$F$7:$M$7)</f>
        <v>100.5298529</v>
      </c>
      <c r="R58" s="13" t="n">
        <f aca="false">SUMPRODUCT($F58:$M58,$F$8:$M$8)</f>
        <v>155.8760035</v>
      </c>
      <c r="S58" s="13" t="n">
        <f aca="false">SUMPRODUCT($F58:$M58,$F$9:$M$9)</f>
        <v>211.9344827</v>
      </c>
      <c r="T58" s="13" t="n">
        <f aca="false">SUMPRODUCT($F58:$M58,$F$10:$M$10)</f>
        <v>272.6682332</v>
      </c>
      <c r="U58" s="13" t="n">
        <f aca="false">SUMPRODUCT($F58:$M58,$F$11:$M$11)</f>
        <v>337.8486707</v>
      </c>
      <c r="V58" s="13" t="n">
        <f aca="false">SUMPRODUCT($F58:$M58,$F$12:$M$12)</f>
        <v>393.6274156</v>
      </c>
      <c r="W58" s="13" t="n">
        <f aca="false">SUMPRODUCT($F58:$M58,$F$13:$M$13)</f>
        <v>453.2705332</v>
      </c>
      <c r="X58" s="13" t="n">
        <f aca="false">SUMPRODUCT($F58:$M58,$F$14:$M$14)</f>
        <v>40.794347988</v>
      </c>
    </row>
    <row r="59" customFormat="false" ht="15" hidden="false" customHeight="false" outlineLevel="0" collapsed="false">
      <c r="A59" s="3" t="s">
        <v>483</v>
      </c>
      <c r="B59" s="3" t="s">
        <v>484</v>
      </c>
      <c r="C59" s="3" t="s">
        <v>485</v>
      </c>
      <c r="D59" s="3" t="s">
        <v>214</v>
      </c>
      <c r="E59" s="3"/>
      <c r="F59" s="3"/>
      <c r="G59" s="12" t="n">
        <v>1</v>
      </c>
      <c r="H59" s="3"/>
      <c r="I59" s="3"/>
      <c r="J59" s="3"/>
      <c r="K59" s="3"/>
      <c r="L59" s="3"/>
      <c r="M59" s="3"/>
      <c r="N59" s="13" t="n">
        <f aca="false">SUMPRODUCT($F59:$M59,$F$4:$M$4)</f>
        <v>75.2017274109201</v>
      </c>
      <c r="O59" s="13" t="n">
        <f aca="false">SUMPRODUCT($F59:$M59,$F$5:$M$5)</f>
        <v>129.206686542386</v>
      </c>
      <c r="P59" s="13" t="n">
        <f aca="false">SUMPRODUCT($F59:$M59,$F$6:$M$6)</f>
        <v>166.653101605318</v>
      </c>
      <c r="Q59" s="13" t="n">
        <f aca="false">SUMPRODUCT($F59:$M59,$F$7:$M$7)</f>
        <v>222.705333798422</v>
      </c>
      <c r="R59" s="13" t="n">
        <f aca="false">SUMPRODUCT($F59:$M59,$F$8:$M$8)</f>
        <v>344.538811601152</v>
      </c>
      <c r="S59" s="13" t="n">
        <f aca="false">SUMPRODUCT($F59:$M59,$F$9:$M$9)</f>
        <v>468.227198914802</v>
      </c>
      <c r="T59" s="13" t="n">
        <f aca="false">SUMPRODUCT($F59:$M59,$F$10:$M$10)</f>
        <v>601.639999327158</v>
      </c>
      <c r="U59" s="13" t="n">
        <f aca="false">SUMPRODUCT($F59:$M59,$F$11:$M$11)</f>
        <v>744.533335808048</v>
      </c>
      <c r="V59" s="13" t="n">
        <f aca="false">SUMPRODUCT($F59:$M59,$F$12:$M$12)</f>
        <v>867.289742469686</v>
      </c>
      <c r="W59" s="13" t="n">
        <f aca="false">SUMPRODUCT($F59:$M59,$F$13:$M$13)</f>
        <v>998.259982820404</v>
      </c>
      <c r="X59" s="13" t="n">
        <f aca="false">SUMPRODUCT($F59:$M59,$F$14:$M$14)</f>
        <v>89.8433984538364</v>
      </c>
    </row>
    <row r="60" customFormat="false" ht="15" hidden="false" customHeight="false" outlineLevel="0" collapsed="false">
      <c r="A60" s="3" t="s">
        <v>486</v>
      </c>
      <c r="B60" s="3" t="s">
        <v>487</v>
      </c>
      <c r="C60" s="3" t="s">
        <v>488</v>
      </c>
      <c r="D60" s="3" t="s">
        <v>214</v>
      </c>
      <c r="E60" s="3"/>
      <c r="F60" s="3"/>
      <c r="G60" s="3"/>
      <c r="H60" s="12" t="n">
        <v>1</v>
      </c>
      <c r="I60" s="3"/>
      <c r="J60" s="3"/>
      <c r="K60" s="3"/>
      <c r="L60" s="3"/>
      <c r="M60" s="3"/>
      <c r="N60" s="13" t="n">
        <f aca="false">SUMPRODUCT($F60:$M60,$F$4:$M$4)</f>
        <v>16.34485985</v>
      </c>
      <c r="O60" s="13" t="n">
        <f aca="false">SUMPRODUCT($F60:$M60,$F$5:$M$5)</f>
        <v>28.06183078</v>
      </c>
      <c r="P60" s="13" t="n">
        <f aca="false">SUMPRODUCT($F60:$M60,$F$6:$M$6)</f>
        <v>36.10009919</v>
      </c>
      <c r="Q60" s="13" t="n">
        <f aca="false">SUMPRODUCT($F60:$M60,$F$7:$M$7)</f>
        <v>48.25432941</v>
      </c>
      <c r="R60" s="13" t="n">
        <f aca="false">SUMPRODUCT($F60:$M60,$F$8:$M$8)</f>
        <v>74.82048167</v>
      </c>
      <c r="S60" s="13" t="n">
        <f aca="false">SUMPRODUCT($F60:$M60,$F$9:$M$9)</f>
        <v>101.7285517</v>
      </c>
      <c r="T60" s="13" t="n">
        <f aca="false">SUMPRODUCT($F60:$M60,$F$10:$M$10)</f>
        <v>130.8807519</v>
      </c>
      <c r="U60" s="13" t="n">
        <f aca="false">SUMPRODUCT($F60:$M60,$F$11:$M$11)</f>
        <v>162.1673619</v>
      </c>
      <c r="V60" s="13" t="n">
        <f aca="false">SUMPRODUCT($F60:$M60,$F$12:$M$12)</f>
        <v>188.9411595</v>
      </c>
      <c r="W60" s="13" t="n">
        <f aca="false">SUMPRODUCT($F60:$M60,$F$13:$M$13)</f>
        <v>217.569856</v>
      </c>
      <c r="X60" s="13" t="n">
        <f aca="false">SUMPRODUCT($F60:$M60,$F$14:$M$14)</f>
        <v>19.58128704</v>
      </c>
    </row>
    <row r="61" customFormat="false" ht="15" hidden="false" customHeight="false" outlineLevel="0" collapsed="false">
      <c r="A61" s="3" t="s">
        <v>489</v>
      </c>
      <c r="B61" s="3" t="s">
        <v>490</v>
      </c>
      <c r="C61" s="3" t="s">
        <v>491</v>
      </c>
      <c r="D61" s="3" t="s">
        <v>214</v>
      </c>
      <c r="E61" s="3"/>
      <c r="F61" s="3"/>
      <c r="G61" s="3"/>
      <c r="H61" s="3"/>
      <c r="I61" s="12" t="n">
        <v>1</v>
      </c>
      <c r="J61" s="3"/>
      <c r="K61" s="3"/>
      <c r="L61" s="3"/>
      <c r="M61" s="3"/>
      <c r="N61" s="13" t="n">
        <f aca="false">SUMPRODUCT($F61:$M61,$F$4:$M$4)</f>
        <v>11.1843596509201</v>
      </c>
      <c r="O61" s="13" t="n">
        <f aca="false">SUMPRODUCT($F61:$M61,$F$5:$M$5)</f>
        <v>18.722276510546</v>
      </c>
      <c r="P61" s="13" t="n">
        <f aca="false">SUMPRODUCT($F61:$M61,$F$6:$M$6)</f>
        <v>24.3689085214661</v>
      </c>
      <c r="Q61" s="13" t="n">
        <f aca="false">SUMPRODUCT($F61:$M61,$F$7:$M$7)</f>
        <v>32.4861179920121</v>
      </c>
      <c r="R61" s="13" t="n">
        <f aca="false">SUMPRODUCT($F61:$M61,$F$8:$M$8)</f>
        <v>50.4990619034781</v>
      </c>
      <c r="S61" s="13" t="n">
        <f aca="false">SUMPRODUCT($F61:$M61,$F$9:$M$9)</f>
        <v>68.1787674836501</v>
      </c>
      <c r="T61" s="13" t="n">
        <f aca="false">SUMPRODUCT($F61:$M61,$F$10:$M$10)</f>
        <v>87.6279569441961</v>
      </c>
      <c r="U61" s="13" t="n">
        <f aca="false">SUMPRODUCT($F61:$M61,$F$11:$M$11)</f>
        <v>108.500086254742</v>
      </c>
      <c r="V61" s="13" t="n">
        <f aca="false">SUMPRODUCT($F61:$M61,$F$12:$M$12)</f>
        <v>126.363673975288</v>
      </c>
      <c r="W61" s="13" t="n">
        <f aca="false">SUMPRODUCT($F61:$M61,$F$13:$M$13)</f>
        <v>145.176074484914</v>
      </c>
      <c r="X61" s="13" t="n">
        <f aca="false">SUMPRODUCT($F61:$M61,$F$14:$M$14)</f>
        <v>13.0658467036423</v>
      </c>
    </row>
    <row r="62" customFormat="false" ht="15" hidden="false" customHeight="false" outlineLevel="0" collapsed="false">
      <c r="A62" s="3" t="s">
        <v>492</v>
      </c>
      <c r="B62" s="3" t="s">
        <v>301</v>
      </c>
      <c r="C62" s="3" t="s">
        <v>302</v>
      </c>
      <c r="D62" s="3" t="s">
        <v>214</v>
      </c>
      <c r="E62" s="3" t="s">
        <v>303</v>
      </c>
      <c r="F62" s="12" t="n">
        <v>1</v>
      </c>
      <c r="G62" s="12" t="n">
        <v>1</v>
      </c>
      <c r="H62" s="12" t="n">
        <v>1</v>
      </c>
      <c r="I62" s="12" t="n">
        <v>1</v>
      </c>
      <c r="J62" s="3"/>
      <c r="K62" s="3"/>
      <c r="L62" s="3"/>
      <c r="M62" s="3"/>
      <c r="N62" s="13" t="n">
        <f aca="false">SUMPRODUCT($F62:$M62,$F$4:$M$4)*(1-DEMANDA!D$5)</f>
        <v>104.891433892506</v>
      </c>
      <c r="O62" s="13" t="n">
        <f aca="false">SUMPRODUCT($F62:$M62,$F$5:$M$5)*(1-DEMANDA!E$5)</f>
        <v>179.810223488941</v>
      </c>
      <c r="P62" s="13" t="n">
        <f aca="false">SUMPRODUCT($F62:$M62,$F$6:$M$6)*(1-DEMANDA!F$5)</f>
        <v>231.869553878226</v>
      </c>
      <c r="Q62" s="13" t="n">
        <f aca="false">SUMPRODUCT($F62:$M62,$F$7:$M$7)*(1-DEMANDA!G$5)</f>
        <v>309.798735847819</v>
      </c>
      <c r="R62" s="13" t="n">
        <f aca="false">SUMPRODUCT($F62:$M62,$F$8:$M$8)*(1-DEMANDA!H$5)</f>
        <v>479.75711310735</v>
      </c>
      <c r="S62" s="13" t="n">
        <f aca="false">SUMPRODUCT($F62:$M62,$F$9:$M$9)*(1-DEMANDA!I$5)</f>
        <v>651.519632461868</v>
      </c>
      <c r="T62" s="13" t="n">
        <f aca="false">SUMPRODUCT($F62:$M62,$F$10:$M$10)*(1-DEMANDA!J$5)</f>
        <v>837.119004354324</v>
      </c>
      <c r="U62" s="13" t="n">
        <f aca="false">SUMPRODUCT($F62:$M62,$F$11:$M$11)*(1-DEMANDA!K$5)</f>
        <v>1035.70271925877</v>
      </c>
      <c r="V62" s="13" t="n">
        <f aca="false">SUMPRODUCT($F62:$M62,$F$12:$M$12)*(1-DEMANDA!L$5)</f>
        <v>1205.37665681034</v>
      </c>
      <c r="W62" s="13" t="n">
        <f aca="false">SUMPRODUCT($F62:$M62,$F$13:$M$13)*(1-DEMANDA!M$5)</f>
        <v>1385.71683246007</v>
      </c>
      <c r="X62" s="13" t="n">
        <f aca="false">SUMPRODUCT($F62:$M62,$F$14:$M$14)*(1-DEMANDA!M$5)</f>
        <v>124.714514921406</v>
      </c>
    </row>
    <row r="63" customFormat="false" ht="15" hidden="false" customHeight="false" outlineLevel="0" collapsed="false">
      <c r="A63" s="3" t="s">
        <v>493</v>
      </c>
      <c r="B63" s="3" t="s">
        <v>305</v>
      </c>
      <c r="C63" s="3" t="s">
        <v>306</v>
      </c>
      <c r="D63" s="3" t="s">
        <v>214</v>
      </c>
      <c r="E63" s="3"/>
      <c r="F63" s="12" t="n">
        <v>1</v>
      </c>
      <c r="G63" s="12" t="n">
        <v>1</v>
      </c>
      <c r="H63" s="12" t="n">
        <v>1</v>
      </c>
      <c r="I63" s="12" t="n">
        <v>1</v>
      </c>
      <c r="J63" s="3"/>
      <c r="K63" s="3"/>
      <c r="L63" s="3"/>
      <c r="M63" s="3"/>
      <c r="N63" s="13" t="n">
        <f aca="false">SUMPRODUCT($F63:$M63,$F$4:$M$4)</f>
        <v>136.78273827184</v>
      </c>
      <c r="O63" s="13" t="n">
        <f aca="false">SUMPRODUCT($F63:$M63,$F$5:$M$5)</f>
        <v>234.452941282932</v>
      </c>
      <c r="P63" s="13" t="n">
        <f aca="false">SUMPRODUCT($F63:$M63,$F$6:$M$6)</f>
        <v>302.330649296784</v>
      </c>
      <c r="Q63" s="13" t="n">
        <f aca="false">SUMPRODUCT($F63:$M63,$F$7:$M$7)</f>
        <v>403.975634100434</v>
      </c>
      <c r="R63" s="13" t="n">
        <f aca="false">SUMPRODUCT($F63:$M63,$F$8:$M$8)</f>
        <v>625.734358674631</v>
      </c>
      <c r="S63" s="13" t="n">
        <f aca="false">SUMPRODUCT($F63:$M63,$F$9:$M$9)</f>
        <v>850.069000798452</v>
      </c>
      <c r="T63" s="13" t="n">
        <f aca="false">SUMPRODUCT($F63:$M63,$F$10:$M$10)</f>
        <v>1092.81694137135</v>
      </c>
      <c r="U63" s="13" t="n">
        <f aca="false">SUMPRODUCT($F63:$M63,$F$11:$M$11)</f>
        <v>1353.04945466279</v>
      </c>
      <c r="V63" s="13" t="n">
        <f aca="false">SUMPRODUCT($F63:$M63,$F$12:$M$12)</f>
        <v>1576.22199154497</v>
      </c>
      <c r="W63" s="13" t="n">
        <f aca="false">SUMPRODUCT($F63:$M63,$F$13:$M$13)</f>
        <v>1814.27644650532</v>
      </c>
      <c r="X63" s="13" t="n">
        <f aca="false">SUMPRODUCT($F63:$M63,$F$14:$M$14)</f>
        <v>163.284880185479</v>
      </c>
    </row>
    <row r="64" customFormat="false" ht="15" hidden="false" customHeight="false" outlineLevel="0" collapsed="false">
      <c r="A64" s="3" t="s">
        <v>494</v>
      </c>
      <c r="B64" s="3" t="s">
        <v>308</v>
      </c>
      <c r="C64" s="3" t="s">
        <v>309</v>
      </c>
      <c r="D64" s="3" t="s">
        <v>214</v>
      </c>
      <c r="E64" s="3" t="s">
        <v>310</v>
      </c>
      <c r="F64" s="12" t="n">
        <v>1</v>
      </c>
      <c r="G64" s="12" t="n">
        <v>1</v>
      </c>
      <c r="H64" s="12" t="n">
        <v>1</v>
      </c>
      <c r="I64" s="12" t="n">
        <v>1</v>
      </c>
      <c r="J64" s="3"/>
      <c r="K64" s="3"/>
      <c r="L64" s="3"/>
      <c r="M64" s="3"/>
      <c r="N64" s="13" t="n">
        <f aca="false">SUMPRODUCT($F64:$M64,$F$4:$M$4)*DEMANDA!D$5</f>
        <v>31.8913043793343</v>
      </c>
      <c r="O64" s="13" t="n">
        <f aca="false">SUMPRODUCT($F64:$M64,$F$5:$M$5)*DEMANDA!E$5</f>
        <v>54.6427177939912</v>
      </c>
      <c r="P64" s="13" t="n">
        <f aca="false">SUMPRODUCT($F64:$M64,$F$6:$M$6)*DEMANDA!F$5</f>
        <v>70.4610954185587</v>
      </c>
      <c r="Q64" s="13" t="n">
        <f aca="false">SUMPRODUCT($F64:$M64,$F$7:$M$7)*DEMANDA!G$5</f>
        <v>94.1768982526153</v>
      </c>
      <c r="R64" s="13" t="n">
        <f aca="false">SUMPRODUCT($F64:$M64,$F$8:$M$8)*DEMANDA!H$5</f>
        <v>145.977245567281</v>
      </c>
      <c r="S64" s="13" t="n">
        <f aca="false">SUMPRODUCT($F64:$M64,$F$9:$M$9)*DEMANDA!I$5</f>
        <v>198.549368336584</v>
      </c>
      <c r="T64" s="13" t="n">
        <f aca="false">SUMPRODUCT($F64:$M64,$F$10:$M$10)*DEMANDA!J$5</f>
        <v>255.69793701703</v>
      </c>
      <c r="U64" s="13" t="n">
        <f aca="false">SUMPRODUCT($F64:$M64,$F$11:$M$11)*DEMANDA!K$5</f>
        <v>317.346735404022</v>
      </c>
      <c r="V64" s="13" t="n">
        <f aca="false">SUMPRODUCT($F64:$M64,$F$12:$M$12)*DEMANDA!L$5</f>
        <v>370.845334734638</v>
      </c>
      <c r="W64" s="13" t="n">
        <f aca="false">SUMPRODUCT($F64:$M64,$F$13:$M$13)*DEMANDA!M$5</f>
        <v>428.559614045248</v>
      </c>
      <c r="X64" s="13" t="n">
        <f aca="false">SUMPRODUCT($F64:$M64,$F$14:$M$14)*DEMANDA!M$5</f>
        <v>38.5703652640723</v>
      </c>
    </row>
    <row r="65" customFormat="false" ht="15" hidden="false" customHeight="false" outlineLevel="0" collapsed="false">
      <c r="A65" s="3" t="s">
        <v>495</v>
      </c>
      <c r="B65" s="3" t="s">
        <v>312</v>
      </c>
      <c r="C65" s="3" t="s">
        <v>313</v>
      </c>
      <c r="D65" s="3" t="s">
        <v>214</v>
      </c>
      <c r="E65" s="3"/>
      <c r="F65" s="12" t="n">
        <v>1</v>
      </c>
      <c r="G65" s="12" t="n">
        <v>1</v>
      </c>
      <c r="H65" s="12" t="n">
        <v>1</v>
      </c>
      <c r="I65" s="12" t="n">
        <v>1</v>
      </c>
      <c r="J65" s="3"/>
      <c r="K65" s="3"/>
      <c r="L65" s="3"/>
      <c r="M65" s="3"/>
      <c r="N65" s="13" t="n">
        <f aca="false">SUMPRODUCT($F65:$M65,$F$4:$M$4)</f>
        <v>136.78273827184</v>
      </c>
      <c r="O65" s="13" t="n">
        <f aca="false">SUMPRODUCT($F65:$M65,$F$5:$M$5)</f>
        <v>234.452941282932</v>
      </c>
      <c r="P65" s="13" t="n">
        <f aca="false">SUMPRODUCT($F65:$M65,$F$6:$M$6)</f>
        <v>302.330649296784</v>
      </c>
      <c r="Q65" s="13" t="n">
        <f aca="false">SUMPRODUCT($F65:$M65,$F$7:$M$7)</f>
        <v>403.975634100434</v>
      </c>
      <c r="R65" s="13" t="n">
        <f aca="false">SUMPRODUCT($F65:$M65,$F$8:$M$8)</f>
        <v>625.734358674631</v>
      </c>
      <c r="S65" s="13" t="n">
        <f aca="false">SUMPRODUCT($F65:$M65,$F$9:$M$9)</f>
        <v>850.069000798452</v>
      </c>
      <c r="T65" s="13" t="n">
        <f aca="false">SUMPRODUCT($F65:$M65,$F$10:$M$10)</f>
        <v>1092.81694137135</v>
      </c>
      <c r="U65" s="13" t="n">
        <f aca="false">SUMPRODUCT($F65:$M65,$F$11:$M$11)</f>
        <v>1353.04945466279</v>
      </c>
      <c r="V65" s="13" t="n">
        <f aca="false">SUMPRODUCT($F65:$M65,$F$12:$M$12)</f>
        <v>1576.22199154497</v>
      </c>
      <c r="W65" s="13" t="n">
        <f aca="false">SUMPRODUCT($F65:$M65,$F$13:$M$13)</f>
        <v>1814.27644650532</v>
      </c>
      <c r="X65" s="13" t="n">
        <f aca="false">SUMPRODUCT($F65:$M65,$F$14:$M$14)</f>
        <v>163.284880185479</v>
      </c>
    </row>
    <row r="66" customFormat="false" ht="15" hidden="false" customHeight="false" outlineLevel="0" collapsed="false">
      <c r="A66" s="3" t="s">
        <v>496</v>
      </c>
      <c r="B66" s="3" t="s">
        <v>315</v>
      </c>
      <c r="C66" s="3" t="s">
        <v>316</v>
      </c>
      <c r="D66" s="3" t="s">
        <v>214</v>
      </c>
      <c r="E66" s="3"/>
      <c r="F66" s="12" t="n">
        <v>1</v>
      </c>
      <c r="G66" s="12" t="n">
        <v>1</v>
      </c>
      <c r="H66" s="12" t="n">
        <v>1</v>
      </c>
      <c r="I66" s="12" t="n">
        <v>1</v>
      </c>
      <c r="J66" s="3"/>
      <c r="K66" s="3"/>
      <c r="L66" s="3"/>
      <c r="M66" s="3"/>
      <c r="N66" s="13" t="n">
        <f aca="false">SUMPRODUCT($F66:$M66,$F$4:$M$4)</f>
        <v>136.78273827184</v>
      </c>
      <c r="O66" s="13" t="n">
        <f aca="false">SUMPRODUCT($F66:$M66,$F$5:$M$5)</f>
        <v>234.452941282932</v>
      </c>
      <c r="P66" s="13" t="n">
        <f aca="false">SUMPRODUCT($F66:$M66,$F$6:$M$6)</f>
        <v>302.330649296784</v>
      </c>
      <c r="Q66" s="13" t="n">
        <f aca="false">SUMPRODUCT($F66:$M66,$F$7:$M$7)</f>
        <v>403.975634100434</v>
      </c>
      <c r="R66" s="13" t="n">
        <f aca="false">SUMPRODUCT($F66:$M66,$F$8:$M$8)</f>
        <v>625.734358674631</v>
      </c>
      <c r="S66" s="13" t="n">
        <f aca="false">SUMPRODUCT($F66:$M66,$F$9:$M$9)</f>
        <v>850.069000798452</v>
      </c>
      <c r="T66" s="13" t="n">
        <f aca="false">SUMPRODUCT($F66:$M66,$F$10:$M$10)</f>
        <v>1092.81694137135</v>
      </c>
      <c r="U66" s="13" t="n">
        <f aca="false">SUMPRODUCT($F66:$M66,$F$11:$M$11)</f>
        <v>1353.04945466279</v>
      </c>
      <c r="V66" s="13" t="n">
        <f aca="false">SUMPRODUCT($F66:$M66,$F$12:$M$12)</f>
        <v>1576.22199154497</v>
      </c>
      <c r="W66" s="13" t="n">
        <f aca="false">SUMPRODUCT($F66:$M66,$F$13:$M$13)</f>
        <v>1814.27644650532</v>
      </c>
      <c r="X66" s="13" t="n">
        <f aca="false">SUMPRODUCT($F66:$M66,$F$14:$M$14)</f>
        <v>163.284880185479</v>
      </c>
    </row>
    <row r="67" customFormat="false" ht="15" hidden="false" customHeight="false" outlineLevel="0" collapsed="false">
      <c r="A67" s="3" t="s">
        <v>497</v>
      </c>
      <c r="B67" s="3" t="s">
        <v>318</v>
      </c>
      <c r="C67" s="3" t="s">
        <v>319</v>
      </c>
      <c r="D67" s="3" t="s">
        <v>214</v>
      </c>
      <c r="E67" s="3"/>
      <c r="F67" s="12" t="n">
        <v>1</v>
      </c>
      <c r="G67" s="12" t="n">
        <v>1</v>
      </c>
      <c r="H67" s="12" t="n">
        <v>1</v>
      </c>
      <c r="I67" s="12" t="n">
        <v>1</v>
      </c>
      <c r="J67" s="3"/>
      <c r="K67" s="3"/>
      <c r="L67" s="3"/>
      <c r="M67" s="3"/>
      <c r="N67" s="13" t="n">
        <f aca="false">SUMPRODUCT($F67:$M67,$F$4:$M$4)</f>
        <v>136.78273827184</v>
      </c>
      <c r="O67" s="13" t="n">
        <f aca="false">SUMPRODUCT($F67:$M67,$F$5:$M$5)</f>
        <v>234.452941282932</v>
      </c>
      <c r="P67" s="13" t="n">
        <f aca="false">SUMPRODUCT($F67:$M67,$F$6:$M$6)</f>
        <v>302.330649296784</v>
      </c>
      <c r="Q67" s="13" t="n">
        <f aca="false">SUMPRODUCT($F67:$M67,$F$7:$M$7)</f>
        <v>403.975634100434</v>
      </c>
      <c r="R67" s="13" t="n">
        <f aca="false">SUMPRODUCT($F67:$M67,$F$8:$M$8)</f>
        <v>625.734358674631</v>
      </c>
      <c r="S67" s="13" t="n">
        <f aca="false">SUMPRODUCT($F67:$M67,$F$9:$M$9)</f>
        <v>850.069000798452</v>
      </c>
      <c r="T67" s="13" t="n">
        <f aca="false">SUMPRODUCT($F67:$M67,$F$10:$M$10)</f>
        <v>1092.81694137135</v>
      </c>
      <c r="U67" s="13" t="n">
        <f aca="false">SUMPRODUCT($F67:$M67,$F$11:$M$11)</f>
        <v>1353.04945466279</v>
      </c>
      <c r="V67" s="13" t="n">
        <f aca="false">SUMPRODUCT($F67:$M67,$F$12:$M$12)</f>
        <v>1576.22199154497</v>
      </c>
      <c r="W67" s="13" t="n">
        <f aca="false">SUMPRODUCT($F67:$M67,$F$13:$M$13)</f>
        <v>1814.27644650532</v>
      </c>
      <c r="X67" s="13" t="n">
        <f aca="false">SUMPRODUCT($F67:$M67,$F$14:$M$14)</f>
        <v>163.284880185479</v>
      </c>
    </row>
    <row r="68" customFormat="false" ht="15" hidden="false" customHeight="false" outlineLevel="0" collapsed="false">
      <c r="A68" s="3" t="s">
        <v>498</v>
      </c>
      <c r="B68" s="3" t="s">
        <v>321</v>
      </c>
      <c r="C68" s="3" t="s">
        <v>322</v>
      </c>
      <c r="D68" s="3" t="s">
        <v>214</v>
      </c>
      <c r="E68" s="3"/>
      <c r="F68" s="3"/>
      <c r="G68" s="3"/>
      <c r="H68" s="3"/>
      <c r="I68" s="3"/>
      <c r="J68" s="12" t="n">
        <v>1</v>
      </c>
      <c r="K68" s="12" t="n">
        <v>1</v>
      </c>
      <c r="L68" s="12" t="n">
        <v>1</v>
      </c>
      <c r="M68" s="12" t="n">
        <v>1</v>
      </c>
      <c r="N68" s="13" t="n">
        <f aca="false">SUMPRODUCT($F68:$M68,$F$4:$M$4)</f>
        <v>0</v>
      </c>
      <c r="O68" s="13" t="n">
        <f aca="false">SUMPRODUCT($F68:$M68,$F$5:$M$5)</f>
        <v>0</v>
      </c>
      <c r="P68" s="13" t="n">
        <f aca="false">SUMPRODUCT($F68:$M68,$F$6:$M$6)</f>
        <v>57.8</v>
      </c>
      <c r="Q68" s="13" t="n">
        <f aca="false">SUMPRODUCT($F68:$M68,$F$7:$M$7)</f>
        <v>201.4</v>
      </c>
      <c r="R68" s="13" t="n">
        <f aca="false">SUMPRODUCT($F68:$M68,$F$8:$M$8)</f>
        <v>373</v>
      </c>
      <c r="S68" s="13" t="n">
        <f aca="false">SUMPRODUCT($F68:$M68,$F$9:$M$9)</f>
        <v>540.8</v>
      </c>
      <c r="T68" s="13" t="n">
        <f aca="false">SUMPRODUCT($F68:$M68,$F$10:$M$10)</f>
        <v>764.4</v>
      </c>
      <c r="U68" s="13" t="n">
        <f aca="false">SUMPRODUCT($F68:$M68,$F$11:$M$11)</f>
        <v>988</v>
      </c>
      <c r="V68" s="13" t="n">
        <f aca="false">SUMPRODUCT($F68:$M68,$F$12:$M$12)</f>
        <v>1107.6</v>
      </c>
      <c r="W68" s="13" t="n">
        <f aca="false">SUMPRODUCT($F68:$M68,$F$13:$M$13)</f>
        <v>1287</v>
      </c>
      <c r="X68" s="13" t="n">
        <f aca="false">SUMPRODUCT($F68:$M68,$F$14:$M$14)</f>
        <v>115.83</v>
      </c>
    </row>
    <row r="69" customFormat="false" ht="15" hidden="false" customHeight="false" outlineLevel="0" collapsed="false">
      <c r="A69" s="3" t="s">
        <v>499</v>
      </c>
      <c r="B69" s="3" t="s">
        <v>327</v>
      </c>
      <c r="C69" s="3" t="s">
        <v>328</v>
      </c>
      <c r="D69" s="3" t="s">
        <v>214</v>
      </c>
      <c r="E69" s="3"/>
      <c r="F69" s="3"/>
      <c r="G69" s="3"/>
      <c r="H69" s="3"/>
      <c r="I69" s="3"/>
      <c r="J69" s="12" t="n">
        <v>1</v>
      </c>
      <c r="K69" s="12" t="n">
        <v>1</v>
      </c>
      <c r="L69" s="3"/>
      <c r="M69" s="3"/>
      <c r="N69" s="13" t="n">
        <f aca="false">SUMPRODUCT($F69:$M69,$F$4:$M$4)</f>
        <v>0</v>
      </c>
      <c r="O69" s="13" t="n">
        <f aca="false">SUMPRODUCT($F69:$M69,$F$5:$M$5)</f>
        <v>0</v>
      </c>
      <c r="P69" s="13" t="n">
        <f aca="false">SUMPRODUCT($F69:$M69,$F$6:$M$6)</f>
        <v>46.2</v>
      </c>
      <c r="Q69" s="13" t="n">
        <f aca="false">SUMPRODUCT($F69:$M69,$F$7:$M$7)</f>
        <v>161</v>
      </c>
      <c r="R69" s="13" t="n">
        <f aca="false">SUMPRODUCT($F69:$M69,$F$8:$M$8)</f>
        <v>298.2</v>
      </c>
      <c r="S69" s="13" t="n">
        <f aca="false">SUMPRODUCT($F69:$M69,$F$9:$M$9)</f>
        <v>432.6</v>
      </c>
      <c r="T69" s="13" t="n">
        <f aca="false">SUMPRODUCT($F69:$M69,$F$10:$M$10)</f>
        <v>611.8</v>
      </c>
      <c r="U69" s="13" t="n">
        <f aca="false">SUMPRODUCT($F69:$M69,$F$11:$M$11)</f>
        <v>791</v>
      </c>
      <c r="V69" s="13" t="n">
        <f aca="false">SUMPRODUCT($F69:$M69,$F$12:$M$12)</f>
        <v>886.6</v>
      </c>
      <c r="W69" s="13" t="n">
        <f aca="false">SUMPRODUCT($F69:$M69,$F$13:$M$13)</f>
        <v>1030</v>
      </c>
      <c r="X69" s="13" t="n">
        <f aca="false">SUMPRODUCT($F69:$M69,$F$14:$M$14)</f>
        <v>92.7</v>
      </c>
    </row>
    <row r="70" customFormat="false" ht="15" hidden="false" customHeight="false" outlineLevel="0" collapsed="false">
      <c r="A70" s="3" t="s">
        <v>500</v>
      </c>
      <c r="B70" s="3" t="s">
        <v>501</v>
      </c>
      <c r="C70" s="3" t="s">
        <v>502</v>
      </c>
      <c r="D70" s="3" t="s">
        <v>214</v>
      </c>
      <c r="E70" s="3"/>
      <c r="F70" s="3"/>
      <c r="G70" s="3"/>
      <c r="H70" s="3"/>
      <c r="I70" s="3"/>
      <c r="J70" s="3"/>
      <c r="K70" s="3"/>
      <c r="L70" s="12" t="n">
        <v>1</v>
      </c>
      <c r="M70" s="12" t="n">
        <v>1</v>
      </c>
      <c r="N70" s="13" t="n">
        <f aca="false">SUMPRODUCT($F70:$M70,$F$4:$M$4)</f>
        <v>0</v>
      </c>
      <c r="O70" s="13" t="n">
        <f aca="false">SUMPRODUCT($F70:$M70,$F$5:$M$5)</f>
        <v>0</v>
      </c>
      <c r="P70" s="13" t="n">
        <f aca="false">SUMPRODUCT($F70:$M70,$F$6:$M$6)</f>
        <v>11.6</v>
      </c>
      <c r="Q70" s="13" t="n">
        <f aca="false">SUMPRODUCT($F70:$M70,$F$7:$M$7)</f>
        <v>40.4</v>
      </c>
      <c r="R70" s="13" t="n">
        <f aca="false">SUMPRODUCT($F70:$M70,$F$8:$M$8)</f>
        <v>74.8</v>
      </c>
      <c r="S70" s="13" t="n">
        <f aca="false">SUMPRODUCT($F70:$M70,$F$9:$M$9)</f>
        <v>108.2</v>
      </c>
      <c r="T70" s="13" t="n">
        <f aca="false">SUMPRODUCT($F70:$M70,$F$10:$M$10)</f>
        <v>152.6</v>
      </c>
      <c r="U70" s="13" t="n">
        <f aca="false">SUMPRODUCT($F70:$M70,$F$11:$M$11)</f>
        <v>197</v>
      </c>
      <c r="V70" s="13" t="n">
        <f aca="false">SUMPRODUCT($F70:$M70,$F$12:$M$12)</f>
        <v>221</v>
      </c>
      <c r="W70" s="13" t="n">
        <f aca="false">SUMPRODUCT($F70:$M70,$F$13:$M$13)</f>
        <v>257</v>
      </c>
      <c r="X70" s="13" t="n">
        <f aca="false">SUMPRODUCT($F70:$M70,$F$14:$M$14)</f>
        <v>23.13</v>
      </c>
    </row>
    <row r="71" customFormat="false" ht="15" hidden="false" customHeight="false" outlineLevel="0" collapsed="false">
      <c r="A71" s="3" t="s">
        <v>503</v>
      </c>
      <c r="B71" s="3" t="s">
        <v>348</v>
      </c>
      <c r="C71" s="3" t="s">
        <v>349</v>
      </c>
      <c r="D71" s="3" t="s">
        <v>214</v>
      </c>
      <c r="E71" s="3"/>
      <c r="F71" s="3"/>
      <c r="G71" s="3"/>
      <c r="H71" s="3"/>
      <c r="I71" s="3"/>
      <c r="J71" s="12" t="n">
        <f aca="false">1/24</f>
        <v>0.0416666666666667</v>
      </c>
      <c r="K71" s="12" t="n">
        <f aca="false">1/9</f>
        <v>0.111111111111111</v>
      </c>
      <c r="L71" s="12" t="n">
        <f aca="false">1/6</f>
        <v>0.166666666666667</v>
      </c>
      <c r="M71" s="12" t="n">
        <f aca="false">1/6</f>
        <v>0.166666666666667</v>
      </c>
      <c r="N71" s="13" t="n">
        <f aca="false">SUMPRODUCT($F71:$M71,$F$4:$M$4)</f>
        <v>0</v>
      </c>
      <c r="O71" s="13" t="n">
        <f aca="false">SUMPRODUCT($F71:$M71,$F$5:$M$5)</f>
        <v>0</v>
      </c>
      <c r="P71" s="13" t="n">
        <f aca="false">SUMPRODUCT($F71:$M71,$F$6:$M$6)</f>
        <v>6.06666666666667</v>
      </c>
      <c r="Q71" s="13" t="n">
        <f aca="false">SUMPRODUCT($F71:$M71,$F$7:$M$7)</f>
        <v>21.1361111111111</v>
      </c>
      <c r="R71" s="13" t="n">
        <f aca="false">SUMPRODUCT($F71:$M71,$F$8:$M$8)</f>
        <v>39.1416666666667</v>
      </c>
      <c r="S71" s="13" t="n">
        <f aca="false">SUMPRODUCT($F71:$M71,$F$9:$M$9)</f>
        <v>56.725</v>
      </c>
      <c r="T71" s="13" t="n">
        <f aca="false">SUMPRODUCT($F71:$M71,$F$10:$M$10)</f>
        <v>80.1472222222222</v>
      </c>
      <c r="U71" s="13" t="n">
        <f aca="false">SUMPRODUCT($F71:$M71,$F$11:$M$11)</f>
        <v>103.569444444444</v>
      </c>
      <c r="V71" s="13" t="n">
        <f aca="false">SUMPRODUCT($F71:$M71,$F$12:$M$12)</f>
        <v>116.108333333333</v>
      </c>
      <c r="W71" s="13" t="n">
        <f aca="false">SUMPRODUCT($F71:$M71,$F$13:$M$13)</f>
        <v>134.916666666667</v>
      </c>
      <c r="X71" s="13" t="n">
        <f aca="false">SUMPRODUCT($F71:$M71,$F$14:$M$14)</f>
        <v>12.1425</v>
      </c>
    </row>
    <row r="72" customFormat="false" ht="15" hidden="false" customHeight="false" outlineLevel="0" collapsed="false">
      <c r="A72" s="3" t="s">
        <v>504</v>
      </c>
      <c r="B72" s="3" t="s">
        <v>351</v>
      </c>
      <c r="C72" s="3" t="s">
        <v>352</v>
      </c>
      <c r="D72" s="3" t="s">
        <v>214</v>
      </c>
      <c r="E72" s="3"/>
      <c r="F72" s="3"/>
      <c r="G72" s="3"/>
      <c r="H72" s="3"/>
      <c r="I72" s="3"/>
      <c r="J72" s="12" t="n">
        <f aca="false">1/24</f>
        <v>0.0416666666666667</v>
      </c>
      <c r="K72" s="12" t="n">
        <f aca="false">1/9</f>
        <v>0.111111111111111</v>
      </c>
      <c r="L72" s="12" t="n">
        <f aca="false">1/6</f>
        <v>0.166666666666667</v>
      </c>
      <c r="M72" s="12" t="n">
        <f aca="false">1/6</f>
        <v>0.166666666666667</v>
      </c>
      <c r="N72" s="13" t="n">
        <f aca="false">SUMPRODUCT($F72:$M72,$F$4:$M$4)</f>
        <v>0</v>
      </c>
      <c r="O72" s="13" t="n">
        <f aca="false">SUMPRODUCT($F72:$M72,$F$5:$M$5)</f>
        <v>0</v>
      </c>
      <c r="P72" s="13" t="n">
        <f aca="false">SUMPRODUCT($F72:$M72,$F$6:$M$6)</f>
        <v>6.06666666666667</v>
      </c>
      <c r="Q72" s="13" t="n">
        <f aca="false">SUMPRODUCT($F72:$M72,$F$7:$M$7)</f>
        <v>21.1361111111111</v>
      </c>
      <c r="R72" s="13" t="n">
        <f aca="false">SUMPRODUCT($F72:$M72,$F$8:$M$8)</f>
        <v>39.1416666666667</v>
      </c>
      <c r="S72" s="13" t="n">
        <f aca="false">SUMPRODUCT($F72:$M72,$F$9:$M$9)</f>
        <v>56.725</v>
      </c>
      <c r="T72" s="13" t="n">
        <f aca="false">SUMPRODUCT($F72:$M72,$F$10:$M$10)</f>
        <v>80.1472222222222</v>
      </c>
      <c r="U72" s="13" t="n">
        <f aca="false">SUMPRODUCT($F72:$M72,$F$11:$M$11)</f>
        <v>103.569444444444</v>
      </c>
      <c r="V72" s="13" t="n">
        <f aca="false">SUMPRODUCT($F72:$M72,$F$12:$M$12)</f>
        <v>116.108333333333</v>
      </c>
      <c r="W72" s="13" t="n">
        <f aca="false">SUMPRODUCT($F72:$M72,$F$13:$M$13)</f>
        <v>134.916666666667</v>
      </c>
      <c r="X72" s="13" t="n">
        <f aca="false">SUMPRODUCT($F72:$M72,$F$14:$M$14)</f>
        <v>12.1425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0"/>
    <pageSetUpPr fitToPage="true"/>
  </sheetPr>
  <dimension ref="A1:AH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15" topLeftCell="F16" activePane="bottomRight" state="frozen"/>
      <selection pane="topLeft" activeCell="A1" activeCellId="0" sqref="A1"/>
      <selection pane="topRight" activeCell="F1" activeCellId="0" sqref="F1"/>
      <selection pane="bottomLeft" activeCell="A16" activeCellId="0" sqref="A1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34" min="6" style="0" width="10"/>
  </cols>
  <sheetData>
    <row r="1" customFormat="false" ht="15" hidden="false" customHeight="false" outlineLevel="0" collapsed="false">
      <c r="A1" s="1" t="s">
        <v>505</v>
      </c>
    </row>
    <row r="3" customFormat="false" ht="30" hidden="false" customHeight="true" outlineLevel="0" collapsed="false">
      <c r="A3" s="2" t="s">
        <v>1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48</v>
      </c>
      <c r="G3" s="2" t="s">
        <v>50</v>
      </c>
      <c r="H3" s="2" t="s">
        <v>52</v>
      </c>
      <c r="I3" s="2" t="s">
        <v>54</v>
      </c>
      <c r="J3" s="2" t="s">
        <v>56</v>
      </c>
      <c r="K3" s="2" t="s">
        <v>58</v>
      </c>
      <c r="L3" s="2" t="s">
        <v>60</v>
      </c>
      <c r="M3" s="2" t="s">
        <v>62</v>
      </c>
      <c r="N3" s="2" t="s">
        <v>64</v>
      </c>
      <c r="O3" s="2" t="s">
        <v>66</v>
      </c>
      <c r="P3" s="2" t="s">
        <v>68</v>
      </c>
      <c r="Q3" s="2" t="s">
        <v>70</v>
      </c>
      <c r="R3" s="2" t="s">
        <v>72</v>
      </c>
      <c r="S3" s="2" t="s">
        <v>74</v>
      </c>
      <c r="T3" s="2" t="s">
        <v>76</v>
      </c>
      <c r="U3" s="2" t="s">
        <v>78</v>
      </c>
      <c r="V3" s="2" t="s">
        <v>80</v>
      </c>
      <c r="W3" s="2" t="s">
        <v>506</v>
      </c>
      <c r="X3" s="2" t="s">
        <v>152</v>
      </c>
      <c r="Y3" s="2" t="s">
        <v>153</v>
      </c>
      <c r="Z3" s="2" t="s">
        <v>154</v>
      </c>
      <c r="AA3" s="2" t="s">
        <v>155</v>
      </c>
      <c r="AB3" s="2" t="s">
        <v>156</v>
      </c>
      <c r="AC3" s="2" t="s">
        <v>157</v>
      </c>
      <c r="AD3" s="2" t="s">
        <v>158</v>
      </c>
      <c r="AE3" s="2" t="s">
        <v>159</v>
      </c>
      <c r="AF3" s="2" t="s">
        <v>160</v>
      </c>
      <c r="AG3" s="2" t="s">
        <v>161</v>
      </c>
      <c r="AH3" s="2" t="s">
        <v>162</v>
      </c>
    </row>
    <row r="4" customFormat="false" ht="15" hidden="false" customHeight="false" outlineLevel="0" collapsed="false">
      <c r="A4" s="8"/>
      <c r="B4" s="8"/>
      <c r="C4" s="8" t="s">
        <v>163</v>
      </c>
      <c r="D4" s="8"/>
      <c r="E4" s="8"/>
      <c r="F4" s="9" t="n">
        <f aca="false">DEMANDA!D24</f>
        <v>1000.77209950462</v>
      </c>
      <c r="G4" s="9" t="n">
        <f aca="false">DEMANDA!D25</f>
        <v>94.9685565554046</v>
      </c>
      <c r="H4" s="9" t="n">
        <f aca="false">DEMANDA!D26</f>
        <v>579.42746094326</v>
      </c>
      <c r="I4" s="9" t="n">
        <f aca="false">DEMANDA!D27</f>
        <v>34.6332620742574</v>
      </c>
      <c r="J4" s="9" t="n">
        <f aca="false">DEMANDA!D28</f>
        <v>46.4224621834911</v>
      </c>
      <c r="K4" s="9" t="n">
        <f aca="false">DEMANDA!D29</f>
        <v>6.8373420348353</v>
      </c>
      <c r="L4" s="9" t="n">
        <f aca="false">DEMANDA!D30</f>
        <v>3.56256422287768</v>
      </c>
      <c r="M4" s="9" t="n">
        <f aca="false">DEMANDA!D31</f>
        <v>2.25265309838242</v>
      </c>
      <c r="N4" s="9" t="n">
        <f aca="false">DEMANDA!D32</f>
        <v>23.8661866610439</v>
      </c>
      <c r="O4" s="9" t="n">
        <f aca="false">DEMANDA!D33</f>
        <v>129.681201374242</v>
      </c>
      <c r="P4" s="9" t="n">
        <f aca="false">DEMANDA!D34</f>
        <v>38.0370607993406</v>
      </c>
      <c r="Q4" s="9" t="n">
        <f aca="false">DEMANDA!D35</f>
        <v>5.52743091062782</v>
      </c>
      <c r="R4" s="9" t="n">
        <f aca="false">DEMANDA!D36</f>
        <v>2.25265309838242</v>
      </c>
      <c r="S4" s="9" t="n">
        <f aca="false">DEMANDA!D37</f>
        <v>5.07590560954156</v>
      </c>
      <c r="T4" s="9" t="n">
        <f aca="false">DEMANDA!D38</f>
        <v>11.4547787507604</v>
      </c>
      <c r="U4" s="9" t="n">
        <f aca="false">DEMANDA!D39</f>
        <v>2.43643469240728</v>
      </c>
      <c r="V4" s="9" t="n">
        <f aca="false">DEMANDA!D40</f>
        <v>1.91207620585824</v>
      </c>
      <c r="W4" s="9" t="n">
        <f aca="false">DEMANDA!D41</f>
        <v>23.5984856954447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customFormat="false" ht="15" hidden="false" customHeight="false" outlineLevel="0" collapsed="false">
      <c r="A5" s="8"/>
      <c r="B5" s="8"/>
      <c r="C5" s="8" t="s">
        <v>164</v>
      </c>
      <c r="D5" s="8"/>
      <c r="E5" s="8"/>
      <c r="F5" s="9" t="n">
        <f aca="false">DEMANDA!E24</f>
        <v>4883.90393254707</v>
      </c>
      <c r="G5" s="9" t="n">
        <f aca="false">DEMANDA!E25</f>
        <v>370.500261335109</v>
      </c>
      <c r="H5" s="9" t="n">
        <f aca="false">DEMANDA!E26</f>
        <v>2341.03266807463</v>
      </c>
      <c r="I5" s="9" t="n">
        <f aca="false">DEMANDA!E27</f>
        <v>127.407815008651</v>
      </c>
      <c r="J5" s="9" t="n">
        <f aca="false">DEMANDA!E28</f>
        <v>187.183056672534</v>
      </c>
      <c r="K5" s="9" t="n">
        <f aca="false">DEMANDA!E29</f>
        <v>47.0000538270038</v>
      </c>
      <c r="L5" s="9" t="n">
        <f aca="false">DEMANDA!E30</f>
        <v>24.2383844322506</v>
      </c>
      <c r="M5" s="9" t="n">
        <f aca="false">DEMANDA!E31</f>
        <v>13.8347883901387</v>
      </c>
      <c r="N5" s="9" t="n">
        <f aca="false">DEMANDA!E32</f>
        <v>97.6743784371629</v>
      </c>
      <c r="O5" s="9" t="n">
        <f aca="false">DEMANDA!E33</f>
        <v>488.425769687055</v>
      </c>
      <c r="P5" s="9" t="n">
        <f aca="false">DEMANDA!E34</f>
        <v>192.710521055599</v>
      </c>
      <c r="Q5" s="9" t="n">
        <f aca="false">DEMANDA!E35</f>
        <v>32.829269906869</v>
      </c>
      <c r="R5" s="9" t="n">
        <f aca="false">DEMANDA!E36</f>
        <v>13.8347883901387</v>
      </c>
      <c r="S5" s="9" t="n">
        <f aca="false">DEMANDA!E37</f>
        <v>24.7461259279681</v>
      </c>
      <c r="T5" s="9" t="n">
        <f aca="false">DEMANDA!E38</f>
        <v>55.3048362800457</v>
      </c>
      <c r="U5" s="9" t="n">
        <f aca="false">DEMANDA!E39</f>
        <v>11.8781404448491</v>
      </c>
      <c r="V5" s="9" t="n">
        <f aca="false">DEMANDA!E40</f>
        <v>8.20654670844542</v>
      </c>
      <c r="W5" s="9" t="n">
        <f aca="false">DEMANDA!E41</f>
        <v>73.9563111566799</v>
      </c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customFormat="false" ht="15" hidden="false" customHeight="false" outlineLevel="0" collapsed="false">
      <c r="A6" s="8"/>
      <c r="B6" s="8"/>
      <c r="C6" s="8" t="s">
        <v>165</v>
      </c>
      <c r="D6" s="8"/>
      <c r="E6" s="8"/>
      <c r="F6" s="9" t="n">
        <f aca="false">DEMANDA!F24</f>
        <v>8790.74946772572</v>
      </c>
      <c r="G6" s="9" t="n">
        <f aca="false">DEMANDA!F25</f>
        <v>848.155251046719</v>
      </c>
      <c r="H6" s="9" t="n">
        <f aca="false">DEMANDA!F26</f>
        <v>5274.79597517484</v>
      </c>
      <c r="I6" s="9" t="n">
        <f aca="false">DEMANDA!F27</f>
        <v>298.427261950059</v>
      </c>
      <c r="J6" s="9" t="n">
        <f aca="false">DEMANDA!F28</f>
        <v>428.906144201369</v>
      </c>
      <c r="K6" s="9" t="n">
        <f aca="false">DEMANDA!F29</f>
        <v>92.2664173036749</v>
      </c>
      <c r="L6" s="9" t="n">
        <f aca="false">DEMANDA!F30</f>
        <v>47.9060292485163</v>
      </c>
      <c r="M6" s="9" t="n">
        <f aca="false">DEMANDA!F31</f>
        <v>25.8690273009977</v>
      </c>
      <c r="N6" s="9" t="n">
        <f aca="false">DEMANDA!F32</f>
        <v>217.450937847969</v>
      </c>
      <c r="O6" s="9" t="n">
        <f aca="false">DEMANDA!F33</f>
        <v>1138.25190824611</v>
      </c>
      <c r="P6" s="9" t="n">
        <f aca="false">DEMANDA!F34</f>
        <v>412.578288060108</v>
      </c>
      <c r="Q6" s="9" t="n">
        <f aca="false">DEMANDA!F35</f>
        <v>67.3000151960992</v>
      </c>
      <c r="R6" s="9" t="n">
        <f aca="false">DEMANDA!F36</f>
        <v>25.8690273009977</v>
      </c>
      <c r="S6" s="9" t="n">
        <f aca="false">DEMANDA!F37</f>
        <v>53.7785220834511</v>
      </c>
      <c r="T6" s="9" t="n">
        <f aca="false">DEMANDA!F38</f>
        <v>120.327253442766</v>
      </c>
      <c r="U6" s="9" t="n">
        <f aca="false">DEMANDA!F39</f>
        <v>25.8136905960275</v>
      </c>
      <c r="V6" s="9" t="n">
        <f aca="false">DEMANDA!F40</f>
        <v>17.7846998868178</v>
      </c>
      <c r="W6" s="9" t="n">
        <f aca="false">DEMANDA!F41</f>
        <v>100.528589784151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customFormat="false" ht="15" hidden="false" customHeight="false" outlineLevel="0" collapsed="false">
      <c r="A7" s="8"/>
      <c r="B7" s="8"/>
      <c r="C7" s="8" t="s">
        <v>166</v>
      </c>
      <c r="D7" s="8"/>
      <c r="E7" s="8"/>
      <c r="F7" s="9" t="n">
        <f aca="false">DEMANDA!G24</f>
        <v>16129.9422780884</v>
      </c>
      <c r="G7" s="9" t="n">
        <f aca="false">DEMANDA!G25</f>
        <v>1561.54151788245</v>
      </c>
      <c r="H7" s="9" t="n">
        <f aca="false">DEMANDA!G26</f>
        <v>9966.20697356823</v>
      </c>
      <c r="I7" s="9" t="n">
        <f aca="false">DEMANDA!G27</f>
        <v>570.510619157506</v>
      </c>
      <c r="J7" s="9" t="n">
        <f aca="false">DEMANDA!G28</f>
        <v>804.78065560002</v>
      </c>
      <c r="K7" s="9" t="n">
        <f aca="false">DEMANDA!G29</f>
        <v>153.503723265089</v>
      </c>
      <c r="L7" s="9" t="n">
        <f aca="false">DEMANDA!G30</f>
        <v>82.1173040937056</v>
      </c>
      <c r="M7" s="9" t="n">
        <f aca="false">DEMANDA!G31</f>
        <v>46.4782223258748</v>
      </c>
      <c r="N7" s="9" t="n">
        <f aca="false">DEMANDA!G32</f>
        <v>395.389703053882</v>
      </c>
      <c r="O7" s="9" t="n">
        <f aca="false">DEMANDA!G33</f>
        <v>2176.02797240291</v>
      </c>
      <c r="P7" s="9" t="n">
        <f aca="false">DEMANDA!G34</f>
        <v>739.405097257728</v>
      </c>
      <c r="Q7" s="9" t="n">
        <f aca="false">DEMANDA!G35</f>
        <v>116.759359970986</v>
      </c>
      <c r="R7" s="9" t="n">
        <f aca="false">DEMANDA!G36</f>
        <v>43.2483065388967</v>
      </c>
      <c r="S7" s="9" t="n">
        <f aca="false">DEMANDA!G37</f>
        <v>96.8641922045096</v>
      </c>
      <c r="T7" s="9" t="n">
        <f aca="false">DEMANDA!G38</f>
        <v>216.554659763695</v>
      </c>
      <c r="U7" s="9" t="n">
        <f aca="false">DEMANDA!G39</f>
        <v>46.4948122627692</v>
      </c>
      <c r="V7" s="9" t="n">
        <f aca="false">DEMANDA!G40</f>
        <v>31.8599007220872</v>
      </c>
      <c r="W7" s="9" t="n">
        <f aca="false">DEMANDA!G41</f>
        <v>172.508767576254</v>
      </c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customFormat="false" ht="15" hidden="false" customHeight="false" outlineLevel="0" collapsed="false">
      <c r="A8" s="8"/>
      <c r="B8" s="8"/>
      <c r="C8" s="8" t="s">
        <v>167</v>
      </c>
      <c r="D8" s="8"/>
      <c r="E8" s="8"/>
      <c r="F8" s="9" t="n">
        <f aca="false">DEMANDA!H24</f>
        <v>24251.8259253743</v>
      </c>
      <c r="G8" s="9" t="n">
        <f aca="false">DEMANDA!H25</f>
        <v>2259.37537078785</v>
      </c>
      <c r="H8" s="9" t="n">
        <f aca="false">DEMANDA!H26</f>
        <v>14367.0377881216</v>
      </c>
      <c r="I8" s="9" t="n">
        <f aca="false">DEMANDA!H27</f>
        <v>827.667054399527</v>
      </c>
      <c r="J8" s="9" t="n">
        <f aca="false">DEMANDA!H28</f>
        <v>1161.35205234431</v>
      </c>
      <c r="K8" s="9" t="n">
        <f aca="false">DEMANDA!H29</f>
        <v>216.642429035969</v>
      </c>
      <c r="L8" s="9" t="n">
        <f aca="false">DEMANDA!H30</f>
        <v>116.237653455495</v>
      </c>
      <c r="M8" s="9" t="n">
        <f aca="false">DEMANDA!H31</f>
        <v>64.1177193114215</v>
      </c>
      <c r="N8" s="9" t="n">
        <f aca="false">DEMANDA!H32</f>
        <v>570.716576380345</v>
      </c>
      <c r="O8" s="9" t="n">
        <f aca="false">DEMANDA!H33</f>
        <v>3142.66928159719</v>
      </c>
      <c r="P8" s="9" t="n">
        <f aca="false">DEMANDA!H34</f>
        <v>1065.17166448086</v>
      </c>
      <c r="Q8" s="9" t="n">
        <f aca="false">DEMANDA!H35</f>
        <v>167.350039662261</v>
      </c>
      <c r="R8" s="9" t="n">
        <f aca="false">DEMANDA!H36</f>
        <v>59.9246285104769</v>
      </c>
      <c r="S8" s="9" t="n">
        <f aca="false">DEMANDA!H37</f>
        <v>139.326782701487</v>
      </c>
      <c r="T8" s="9" t="n">
        <f aca="false">DEMANDA!H38</f>
        <v>311.41129094618</v>
      </c>
      <c r="U8" s="9" t="n">
        <f aca="false">DEMANDA!H39</f>
        <v>66.8768556978649</v>
      </c>
      <c r="V8" s="9" t="n">
        <f aca="false">DEMANDA!H40</f>
        <v>46.0235025294365</v>
      </c>
      <c r="W8" s="9" t="n">
        <f aca="false">DEMANDA!H41</f>
        <v>184.739690040356</v>
      </c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customFormat="false" ht="15" hidden="false" customHeight="false" outlineLevel="0" collapsed="false">
      <c r="A9" s="8"/>
      <c r="B9" s="8"/>
      <c r="C9" s="8" t="s">
        <v>168</v>
      </c>
      <c r="D9" s="8"/>
      <c r="E9" s="8"/>
      <c r="F9" s="9" t="n">
        <f aca="false">DEMANDA!I24</f>
        <v>33788.376023886</v>
      </c>
      <c r="G9" s="9" t="n">
        <f aca="false">DEMANDA!I25</f>
        <v>2999.86933066642</v>
      </c>
      <c r="H9" s="9" t="n">
        <f aca="false">DEMANDA!I26</f>
        <v>19107.5910587841</v>
      </c>
      <c r="I9" s="9" t="n">
        <f aca="false">DEMANDA!I27</f>
        <v>1108.66567056747</v>
      </c>
      <c r="J9" s="9" t="n">
        <f aca="false">DEMANDA!I28</f>
        <v>1552.24961730552</v>
      </c>
      <c r="K9" s="9" t="n">
        <f aca="false">DEMANDA!I29</f>
        <v>280.267799614365</v>
      </c>
      <c r="L9" s="9" t="n">
        <f aca="false">DEMANDA!I30</f>
        <v>149.80067896344</v>
      </c>
      <c r="M9" s="9" t="n">
        <f aca="false">DEMANDA!I31</f>
        <v>85.1473231230936</v>
      </c>
      <c r="N9" s="9" t="n">
        <f aca="false">DEMANDA!I32</f>
        <v>756.1707125033</v>
      </c>
      <c r="O9" s="9" t="n">
        <f aca="false">DEMANDA!I33</f>
        <v>4177.18672238039</v>
      </c>
      <c r="P9" s="9" t="n">
        <f aca="false">DEMANDA!I34</f>
        <v>1419.20768740678</v>
      </c>
      <c r="Q9" s="9" t="n">
        <f aca="false">DEMANDA!I35</f>
        <v>219.680497077148</v>
      </c>
      <c r="R9" s="9" t="n">
        <f aca="false">DEMANDA!I36</f>
        <v>74.4690923507582</v>
      </c>
      <c r="S9" s="9" t="n">
        <f aca="false">DEMANDA!I37</f>
        <v>185.110086144882</v>
      </c>
      <c r="T9" s="9" t="n">
        <f aca="false">DEMANDA!I38</f>
        <v>413.861277004436</v>
      </c>
      <c r="U9" s="9" t="n">
        <f aca="false">DEMANDA!I39</f>
        <v>88.8528413518457</v>
      </c>
      <c r="V9" s="9" t="n">
        <f aca="false">DEMANDA!I40</f>
        <v>60.9619460238246</v>
      </c>
      <c r="W9" s="9" t="n">
        <f aca="false">DEMANDA!I41</f>
        <v>213.609463505413</v>
      </c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customFormat="false" ht="15" hidden="false" customHeight="false" outlineLevel="0" collapsed="false">
      <c r="A10" s="8"/>
      <c r="B10" s="8"/>
      <c r="C10" s="8" t="s">
        <v>169</v>
      </c>
      <c r="D10" s="8"/>
      <c r="E10" s="8"/>
      <c r="F10" s="9" t="n">
        <f aca="false">DEMANDA!J24</f>
        <v>42480.3350329525</v>
      </c>
      <c r="G10" s="9" t="n">
        <f aca="false">DEMANDA!J25</f>
        <v>3686.51391064114</v>
      </c>
      <c r="H10" s="9" t="n">
        <f aca="false">DEMANDA!J26</f>
        <v>23397.0640986785</v>
      </c>
      <c r="I10" s="9" t="n">
        <f aca="false">DEMANDA!J27</f>
        <v>1356.8202804088</v>
      </c>
      <c r="J10" s="9" t="n">
        <f aca="false">DEMANDA!J28</f>
        <v>1902.25634441887</v>
      </c>
      <c r="K10" s="9" t="n">
        <f aca="false">DEMANDA!J29</f>
        <v>347.629352351383</v>
      </c>
      <c r="L10" s="9" t="n">
        <f aca="false">DEMANDA!J30</f>
        <v>183.051008822782</v>
      </c>
      <c r="M10" s="9" t="n">
        <f aca="false">DEMANDA!J31</f>
        <v>107.299485286539</v>
      </c>
      <c r="N10" s="9" t="n">
        <f aca="false">DEMANDA!J32</f>
        <v>930.201505193816</v>
      </c>
      <c r="O10" s="9" t="n">
        <f aca="false">DEMANDA!J33</f>
        <v>5107.20133130872</v>
      </c>
      <c r="P10" s="9" t="n">
        <f aca="false">DEMANDA!J34</f>
        <v>1758.05989582757</v>
      </c>
      <c r="Q10" s="9" t="n">
        <f aca="false">DEMANDA!J35</f>
        <v>275.080307160815</v>
      </c>
      <c r="R10" s="9" t="n">
        <f aca="false">DEMANDA!J36</f>
        <v>95.6653548845981</v>
      </c>
      <c r="S10" s="9" t="n">
        <f aca="false">DEMANDA!J37</f>
        <v>228.051087015645</v>
      </c>
      <c r="T10" s="9" t="n">
        <f aca="false">DEMANDA!J38</f>
        <v>509.770410922913</v>
      </c>
      <c r="U10" s="9" t="n">
        <f aca="false">DEMANDA!J39</f>
        <v>109.464521766358</v>
      </c>
      <c r="V10" s="9" t="n">
        <f aca="false">DEMANDA!J40</f>
        <v>74.9908527110864</v>
      </c>
      <c r="W10" s="9" t="n">
        <f aca="false">DEMANDA!J41</f>
        <v>205.503479588238</v>
      </c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customFormat="false" ht="15" hidden="false" customHeight="false" outlineLevel="0" collapsed="false">
      <c r="A11" s="8"/>
      <c r="B11" s="8"/>
      <c r="C11" s="8" t="s">
        <v>170</v>
      </c>
      <c r="D11" s="8"/>
      <c r="E11" s="8"/>
      <c r="F11" s="9" t="n">
        <f aca="false">DEMANDA!K24</f>
        <v>49327.8457818999</v>
      </c>
      <c r="G11" s="9" t="n">
        <f aca="false">DEMANDA!K25</f>
        <v>4104.71723764251</v>
      </c>
      <c r="H11" s="9" t="n">
        <f aca="false">DEMANDA!K26</f>
        <v>25952.9274490154</v>
      </c>
      <c r="I11" s="9" t="n">
        <f aca="false">DEMANDA!K27</f>
        <v>1502.39315528518</v>
      </c>
      <c r="J11" s="9" t="n">
        <f aca="false">DEMANDA!K28</f>
        <v>2114.89044049367</v>
      </c>
      <c r="K11" s="9" t="n">
        <f aca="false">DEMANDA!K29</f>
        <v>393.293854197249</v>
      </c>
      <c r="L11" s="9" t="n">
        <f aca="false">DEMANDA!K30</f>
        <v>206.969662253203</v>
      </c>
      <c r="M11" s="9" t="n">
        <f aca="false">DEMANDA!K31</f>
        <v>118.973478854867</v>
      </c>
      <c r="N11" s="9" t="n">
        <f aca="false">DEMANDA!K32</f>
        <v>1041.07869525279</v>
      </c>
      <c r="O11" s="9" t="n">
        <f aca="false">DEMANDA!K33</f>
        <v>5645.56515161475</v>
      </c>
      <c r="P11" s="9" t="n">
        <f aca="false">DEMANDA!K34</f>
        <v>1983.26851321058</v>
      </c>
      <c r="Q11" s="9" t="n">
        <f aca="false">DEMANDA!K35</f>
        <v>312.028004562179</v>
      </c>
      <c r="R11" s="9" t="n">
        <f aca="false">DEMANDA!K36</f>
        <v>106.742302620708</v>
      </c>
      <c r="S11" s="9" t="n">
        <f aca="false">DEMANDA!K37</f>
        <v>256.037154173116</v>
      </c>
      <c r="T11" s="9" t="n">
        <f aca="false">DEMANDA!K38</f>
        <v>572.203117804263</v>
      </c>
      <c r="U11" s="9" t="n">
        <f aca="false">DEMANDA!K39</f>
        <v>122.897833985829</v>
      </c>
      <c r="V11" s="9" t="n">
        <f aca="false">DEMANDA!K40</f>
        <v>84.2341806112463</v>
      </c>
      <c r="W11" s="9" t="n">
        <f aca="false">DEMANDA!K41</f>
        <v>163.462681402593</v>
      </c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customFormat="false" ht="15" hidden="false" customHeight="false" outlineLevel="0" collapsed="false">
      <c r="A12" s="8"/>
      <c r="B12" s="8"/>
      <c r="C12" s="8" t="s">
        <v>171</v>
      </c>
      <c r="D12" s="8"/>
      <c r="E12" s="8"/>
      <c r="F12" s="9" t="n">
        <f aca="false">DEMANDA!L24</f>
        <v>52863.6487090139</v>
      </c>
      <c r="G12" s="9" t="n">
        <f aca="false">DEMANDA!L25</f>
        <v>4441.37021857214</v>
      </c>
      <c r="H12" s="9" t="n">
        <f aca="false">DEMANDA!L26</f>
        <v>27992.312960047</v>
      </c>
      <c r="I12" s="9" t="n">
        <f aca="false">DEMANDA!L27</f>
        <v>1620.96971650325</v>
      </c>
      <c r="J12" s="9" t="n">
        <f aca="false">DEMANDA!L28</f>
        <v>2285.15112874917</v>
      </c>
      <c r="K12" s="9" t="n">
        <f aca="false">DEMANDA!L29</f>
        <v>429.823065953143</v>
      </c>
      <c r="L12" s="9" t="n">
        <f aca="false">DEMANDA!L30</f>
        <v>225.167247741088</v>
      </c>
      <c r="M12" s="9" t="n">
        <f aca="false">DEMANDA!L31</f>
        <v>129.728917857662</v>
      </c>
      <c r="N12" s="9" t="n">
        <f aca="false">DEMANDA!L32</f>
        <v>1126.03570289127</v>
      </c>
      <c r="O12" s="9" t="n">
        <f aca="false">DEMANDA!L33</f>
        <v>6090.08026927314</v>
      </c>
      <c r="P12" s="9" t="n">
        <f aca="false">DEMANDA!L34</f>
        <v>2156.01187123229</v>
      </c>
      <c r="Q12" s="9" t="n">
        <f aca="false">DEMANDA!L35</f>
        <v>340.939338788105</v>
      </c>
      <c r="R12" s="9" t="n">
        <f aca="false">DEMANDA!L36</f>
        <v>117.037468873151</v>
      </c>
      <c r="S12" s="9" t="n">
        <f aca="false">DEMANDA!L37</f>
        <v>277.803419624264</v>
      </c>
      <c r="T12" s="9" t="n">
        <f aca="false">DEMANDA!L38</f>
        <v>620.95226117344</v>
      </c>
      <c r="U12" s="9" t="n">
        <f aca="false">DEMANDA!L39</f>
        <v>133.345641431158</v>
      </c>
      <c r="V12" s="9" t="n">
        <f aca="false">DEMANDA!L40</f>
        <v>91.4871719665334</v>
      </c>
      <c r="W12" s="9" t="n">
        <f aca="false">DEMANDA!L41</f>
        <v>125.03839909499</v>
      </c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customFormat="false" ht="15" hidden="false" customHeight="false" outlineLevel="0" collapsed="false">
      <c r="A13" s="8"/>
      <c r="B13" s="8"/>
      <c r="C13" s="8" t="s">
        <v>172</v>
      </c>
      <c r="D13" s="8"/>
      <c r="E13" s="8"/>
      <c r="F13" s="9" t="n">
        <f aca="false">DEMANDA!M24</f>
        <v>56487.4910822847</v>
      </c>
      <c r="G13" s="9" t="n">
        <f aca="false">DEMANDA!M25</f>
        <v>4783.22920387376</v>
      </c>
      <c r="H13" s="9" t="n">
        <f aca="false">DEMANDA!M26</f>
        <v>30068.838280126</v>
      </c>
      <c r="I13" s="9" t="n">
        <f aca="false">DEMANDA!M27</f>
        <v>1741.3814292141</v>
      </c>
      <c r="J13" s="9" t="n">
        <f aca="false">DEMANDA!M28</f>
        <v>2458.50580352832</v>
      </c>
      <c r="K13" s="9" t="n">
        <f aca="false">DEMANDA!M29</f>
        <v>466.916593765414</v>
      </c>
      <c r="L13" s="9" t="n">
        <f aca="false">DEMANDA!M30</f>
        <v>243.56826057903</v>
      </c>
      <c r="M13" s="9" t="n">
        <f aca="false">DEMANDA!M31</f>
        <v>140.865463166495</v>
      </c>
      <c r="N13" s="9" t="n">
        <f aca="false">DEMANDA!M32</f>
        <v>1212.31741440213</v>
      </c>
      <c r="O13" s="9" t="n">
        <f aca="false">DEMANDA!M33</f>
        <v>6542.68065117681</v>
      </c>
      <c r="P13" s="9" t="n">
        <f aca="false">DEMANDA!M34</f>
        <v>2330.94823134952</v>
      </c>
      <c r="Q13" s="9" t="n">
        <f aca="false">DEMANDA!M35</f>
        <v>370.076373535804</v>
      </c>
      <c r="R13" s="9" t="n">
        <f aca="false">DEMANDA!M36</f>
        <v>127.111453828946</v>
      </c>
      <c r="S13" s="9" t="n">
        <f aca="false">DEMANDA!M37</f>
        <v>299.856087233694</v>
      </c>
      <c r="T13" s="9" t="n">
        <f aca="false">DEMANDA!M38</f>
        <v>670.043702304348</v>
      </c>
      <c r="U13" s="9" t="n">
        <f aca="false">DEMANDA!M39</f>
        <v>143.930921797349</v>
      </c>
      <c r="V13" s="9" t="n">
        <f aca="false">DEMANDA!M40</f>
        <v>98.5440255727726</v>
      </c>
      <c r="W13" s="9" t="n">
        <f aca="false">DEMANDA!M41</f>
        <v>129.892396568768</v>
      </c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customFormat="false" ht="15" hidden="false" customHeight="false" outlineLevel="0" collapsed="false">
      <c r="A14" s="8"/>
      <c r="B14" s="8"/>
      <c r="C14" s="8" t="s">
        <v>173</v>
      </c>
      <c r="D14" s="8"/>
      <c r="E14" s="8"/>
      <c r="F14" s="9" t="n">
        <f aca="false">ESTACIONALIDAD!P28</f>
        <v>4707.29092352373</v>
      </c>
      <c r="G14" s="9" t="n">
        <f aca="false">ESTACIONALIDAD!P29</f>
        <v>398.602433656146</v>
      </c>
      <c r="H14" s="9" t="n">
        <f aca="false">ESTACIONALIDAD!P30</f>
        <v>2505.73652334383</v>
      </c>
      <c r="I14" s="9" t="n">
        <f aca="false">ESTACIONALIDAD!P31</f>
        <v>145.115119101175</v>
      </c>
      <c r="J14" s="9" t="n">
        <f aca="false">ESTACIONALIDAD!P32</f>
        <v>204.87548362736</v>
      </c>
      <c r="K14" s="9" t="n">
        <f aca="false">ESTACIONALIDAD!P33</f>
        <v>38.9097161471179</v>
      </c>
      <c r="L14" s="9" t="n">
        <f aca="false">ESTACIONALIDAD!P34</f>
        <v>20.2973550482525</v>
      </c>
      <c r="M14" s="9" t="n">
        <f aca="false">ESTACIONALIDAD!P35</f>
        <v>11.7387885972079</v>
      </c>
      <c r="N14" s="9" t="n">
        <f aca="false">ESTACIONALIDAD!P36</f>
        <v>101.026451200178</v>
      </c>
      <c r="O14" s="9" t="n">
        <f aca="false">ESTACIONALIDAD!P37</f>
        <v>545.223387598067</v>
      </c>
      <c r="P14" s="9" t="n">
        <f aca="false">ESTACIONALIDAD!P38</f>
        <v>194.245685945793</v>
      </c>
      <c r="Q14" s="9" t="n">
        <f aca="false">ESTACIONALIDAD!P39</f>
        <v>30.8396977946504</v>
      </c>
      <c r="R14" s="9" t="n">
        <f aca="false">ESTACIONALIDAD!P40</f>
        <v>10.5926211524121</v>
      </c>
      <c r="S14" s="9" t="n">
        <f aca="false">ESTACIONALIDAD!P41</f>
        <v>24.9880072694745</v>
      </c>
      <c r="T14" s="9" t="n">
        <f aca="false">ESTACIONALIDAD!P42</f>
        <v>55.836975192029</v>
      </c>
      <c r="U14" s="9" t="n">
        <f aca="false">ESTACIONALIDAD!P43</f>
        <v>11.9942434831124</v>
      </c>
      <c r="V14" s="9" t="n">
        <f aca="false">ESTACIONALIDAD!P44</f>
        <v>8.21200213106438</v>
      </c>
      <c r="W14" s="9" t="n">
        <f aca="false">DEMANDA!M41/12</f>
        <v>10.8243663807307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customFormat="false" ht="15" hidden="false" customHeight="false" outlineLevel="0" collapsed="false">
      <c r="A15" s="11"/>
      <c r="B15" s="11"/>
      <c r="C15" s="11" t="s">
        <v>174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customFormat="false" ht="15" hidden="false" customHeight="false" outlineLevel="0" collapsed="false">
      <c r="A16" s="3" t="s">
        <v>507</v>
      </c>
      <c r="B16" s="3" t="s">
        <v>232</v>
      </c>
      <c r="C16" s="3" t="s">
        <v>233</v>
      </c>
      <c r="D16" s="3" t="s">
        <v>192</v>
      </c>
      <c r="E16" s="3"/>
      <c r="F16" s="12" t="n">
        <f aca="false">1.05*(0.1+DEMANDA!$M$7)+(1-0.1-DEMANDA!$M$7)*0.05</f>
        <v>0.19763326058219</v>
      </c>
      <c r="G16" s="12" t="n">
        <f aca="false">2.55*(0.1+DEMANDA!$M$7)+(1-0.1-DEMANDA!$M$7)*0.0499999999999998</f>
        <v>0.419083151455475</v>
      </c>
      <c r="H16" s="12" t="n">
        <f aca="false">5.15*(0.1+DEMANDA!$M$7)+(1-0.1-DEMANDA!$M$7)*0.15</f>
        <v>0.888166302910951</v>
      </c>
      <c r="I16" s="12" t="n">
        <f aca="false">10.15*(0.1+DEMANDA!$M$7)+(1-0.1-DEMANDA!$M$7)*0.15</f>
        <v>1.6263326058219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3" t="n">
        <f aca="false">SUMPRODUCT($F16:$W16,$F$4:$W$4)</f>
        <v>808.538724243593</v>
      </c>
      <c r="Y16" s="13" t="n">
        <f aca="false">SUMPRODUCT($F16:$W16,$F$5:$W$5)</f>
        <v>3406.92608927755</v>
      </c>
      <c r="Z16" s="13" t="n">
        <f aca="false">SUMPRODUCT($F16:$W16,$F$6:$W$6)</f>
        <v>7263.03008225609</v>
      </c>
      <c r="AA16" s="13" t="n">
        <f aca="false">SUMPRODUCT($F16:$W16,$F$7:$W$7)</f>
        <v>13621.7180495268</v>
      </c>
      <c r="AB16" s="13" t="n">
        <f aca="false">SUMPRODUCT($F16:$W16,$F$8:$W$8)</f>
        <v>19846.2143368065</v>
      </c>
      <c r="AC16" s="13" t="n">
        <f aca="false">SUMPRODUCT($F16:$W16,$F$9:$W$9)</f>
        <v>26708.6792536419</v>
      </c>
      <c r="AD16" s="13" t="n">
        <f aca="false">SUMPRODUCT($F16:$W16,$F$10:$W$10)</f>
        <v>32927.6079725052</v>
      </c>
      <c r="AE16" s="13" t="n">
        <f aca="false">SUMPRODUCT($F16:$W16,$F$11:$W$11)</f>
        <v>36962.9474324692</v>
      </c>
      <c r="AF16" s="13" t="n">
        <f aca="false">SUMPRODUCT($F16:$W16,$F$12:$W$12)</f>
        <v>39806.983703264</v>
      </c>
      <c r="AG16" s="13" t="n">
        <f aca="false">SUMPRODUCT($F16:$W16,$F$13:$W$13)</f>
        <v>42706.572139183</v>
      </c>
      <c r="AH16" s="13" t="n">
        <f aca="false">SUMPRODUCT($F16:$W16,$F$14:$W$14)</f>
        <v>3558.88101159858</v>
      </c>
    </row>
    <row r="17" customFormat="false" ht="15" hidden="false" customHeight="false" outlineLevel="0" collapsed="false">
      <c r="A17" s="3" t="s">
        <v>508</v>
      </c>
      <c r="B17" s="3" t="s">
        <v>427</v>
      </c>
      <c r="C17" s="3" t="s">
        <v>428</v>
      </c>
      <c r="D17" s="3" t="s">
        <v>192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2" t="n">
        <f aca="false">25*(0.1+DEMANDA!$M$7)+(1-0.1-DEMANDA!$M$7)*0.75</f>
        <v>4.33010656911811</v>
      </c>
      <c r="T17" s="12" t="n">
        <f aca="false">50*(0.1+DEMANDA!$M$7)+(1-0.1-DEMANDA!$M$7)*1.5</f>
        <v>8.66021313823623</v>
      </c>
      <c r="U17" s="12" t="n">
        <f aca="false">70*(0.1+DEMANDA!$M$7)+(1-0.1-DEMANDA!$M$7)*2.09999999999999</f>
        <v>12.1242983935307</v>
      </c>
      <c r="V17" s="12" t="n">
        <f aca="false">100*(0.1+DEMANDA!$M$7)+(1-0.1-DEMANDA!$M$7)*3</f>
        <v>17.3204262764725</v>
      </c>
      <c r="W17" s="3"/>
      <c r="X17" s="13" t="n">
        <f aca="false">SUMPRODUCT($F17:$W17,$F$4:$W$4)</f>
        <v>183.838073842684</v>
      </c>
      <c r="Y17" s="13" t="n">
        <f aca="false">SUMPRODUCT($F17:$W17,$F$5:$W$5)</f>
        <v>872.260038563047</v>
      </c>
      <c r="Z17" s="13" t="n">
        <f aca="false">SUMPRODUCT($F17:$W17,$F$6:$W$6)</f>
        <v>1895.93786356727</v>
      </c>
      <c r="AA17" s="13" t="n">
        <f aca="false">SUMPRODUCT($F17:$W17,$F$7:$W$7)</f>
        <v>3410.38582386654</v>
      </c>
      <c r="AB17" s="13" t="n">
        <f aca="false">SUMPRODUCT($F17:$W17,$F$8:$W$8)</f>
        <v>4908.16960692517</v>
      </c>
      <c r="AC17" s="13" t="n">
        <f aca="false">SUMPRODUCT($F17:$W17,$F$9:$W$9)</f>
        <v>6518.83852198579</v>
      </c>
      <c r="AD17" s="13" t="n">
        <f aca="false">SUMPRODUCT($F17:$W17,$F$10:$W$10)</f>
        <v>8028.25998133231</v>
      </c>
      <c r="AE17" s="13" t="n">
        <f aca="false">SUMPRODUCT($F17:$W17,$F$11:$W$11)</f>
        <v>9013.09104817047</v>
      </c>
      <c r="AF17" s="13" t="n">
        <f aca="false">SUMPRODUCT($F17:$W17,$F$12:$W$12)</f>
        <v>9781.81650614763</v>
      </c>
      <c r="AG17" s="13" t="n">
        <f aca="false">SUMPRODUCT($F17:$W17,$F$13:$W$13)</f>
        <v>10553.0160608562</v>
      </c>
      <c r="AH17" s="13" t="n">
        <f aca="false">SUMPRODUCT($F17:$W17,$F$14:$W$14)</f>
        <v>879.418005071354</v>
      </c>
    </row>
    <row r="18" customFormat="false" ht="15" hidden="false" customHeight="false" outlineLevel="0" collapsed="false">
      <c r="A18" s="3" t="s">
        <v>509</v>
      </c>
      <c r="B18" s="3" t="s">
        <v>510</v>
      </c>
      <c r="C18" s="3" t="s">
        <v>511</v>
      </c>
      <c r="D18" s="3" t="s">
        <v>192</v>
      </c>
      <c r="E18" s="3"/>
      <c r="F18" s="3"/>
      <c r="G18" s="3"/>
      <c r="H18" s="3"/>
      <c r="I18" s="3"/>
      <c r="J18" s="3"/>
      <c r="K18" s="3"/>
      <c r="L18" s="3"/>
      <c r="M18" s="12" t="n">
        <v>5.15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13" t="n">
        <f aca="false">SUMPRODUCT($F18:$W18,$F$4:$W$4)</f>
        <v>11.6011634566694</v>
      </c>
      <c r="Y18" s="13" t="n">
        <f aca="false">SUMPRODUCT($F18:$W18,$F$5:$W$5)</f>
        <v>71.2491602092144</v>
      </c>
      <c r="Z18" s="13" t="n">
        <f aca="false">SUMPRODUCT($F18:$W18,$F$6:$W$6)</f>
        <v>133.225490600138</v>
      </c>
      <c r="AA18" s="13" t="n">
        <f aca="false">SUMPRODUCT($F18:$W18,$F$7:$W$7)</f>
        <v>239.362844978255</v>
      </c>
      <c r="AB18" s="13" t="n">
        <f aca="false">SUMPRODUCT($F18:$W18,$F$8:$W$8)</f>
        <v>330.206254453821</v>
      </c>
      <c r="AC18" s="13" t="n">
        <f aca="false">SUMPRODUCT($F18:$W18,$F$9:$W$9)</f>
        <v>438.508714083932</v>
      </c>
      <c r="AD18" s="13" t="n">
        <f aca="false">SUMPRODUCT($F18:$W18,$F$10:$W$10)</f>
        <v>552.592349225674</v>
      </c>
      <c r="AE18" s="13" t="n">
        <f aca="false">SUMPRODUCT($F18:$W18,$F$11:$W$11)</f>
        <v>612.713416102567</v>
      </c>
      <c r="AF18" s="13" t="n">
        <f aca="false">SUMPRODUCT($F18:$W18,$F$12:$W$12)</f>
        <v>668.103926966961</v>
      </c>
      <c r="AG18" s="13" t="n">
        <f aca="false">SUMPRODUCT($F18:$W18,$F$13:$W$13)</f>
        <v>725.457135307448</v>
      </c>
      <c r="AH18" s="13" t="n">
        <f aca="false">SUMPRODUCT($F18:$W18,$F$14:$W$14)</f>
        <v>60.4547612756207</v>
      </c>
    </row>
    <row r="19" customFormat="false" ht="15" hidden="false" customHeight="false" outlineLevel="0" collapsed="false">
      <c r="A19" s="3" t="s">
        <v>512</v>
      </c>
      <c r="B19" s="3" t="s">
        <v>513</v>
      </c>
      <c r="C19" s="3" t="s">
        <v>514</v>
      </c>
      <c r="D19" s="3" t="s">
        <v>192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12" t="n">
        <v>9.15</v>
      </c>
      <c r="S19" s="3"/>
      <c r="T19" s="3"/>
      <c r="U19" s="3"/>
      <c r="V19" s="3"/>
      <c r="W19" s="3"/>
      <c r="X19" s="13" t="n">
        <f aca="false">SUMPRODUCT($F19:$W19,$F$4:$W$4)</f>
        <v>20.6117758501991</v>
      </c>
      <c r="Y19" s="13" t="n">
        <f aca="false">SUMPRODUCT($F19:$W19,$F$5:$W$5)</f>
        <v>126.588313769769</v>
      </c>
      <c r="Z19" s="13" t="n">
        <f aca="false">SUMPRODUCT($F19:$W19,$F$6:$W$6)</f>
        <v>236.701599804129</v>
      </c>
      <c r="AA19" s="13" t="n">
        <f aca="false">SUMPRODUCT($F19:$W19,$F$7:$W$7)</f>
        <v>395.722004830904</v>
      </c>
      <c r="AB19" s="13" t="n">
        <f aca="false">SUMPRODUCT($F19:$W19,$F$8:$W$8)</f>
        <v>548.310350870864</v>
      </c>
      <c r="AC19" s="13" t="n">
        <f aca="false">SUMPRODUCT($F19:$W19,$F$9:$W$9)</f>
        <v>681.392195009438</v>
      </c>
      <c r="AD19" s="13" t="n">
        <f aca="false">SUMPRODUCT($F19:$W19,$F$10:$W$10)</f>
        <v>875.337997194073</v>
      </c>
      <c r="AE19" s="13" t="n">
        <f aca="false">SUMPRODUCT($F19:$W19,$F$11:$W$11)</f>
        <v>976.692068979476</v>
      </c>
      <c r="AF19" s="13" t="n">
        <f aca="false">SUMPRODUCT($F19:$W19,$F$12:$W$12)</f>
        <v>1070.89284018933</v>
      </c>
      <c r="AG19" s="13" t="n">
        <f aca="false">SUMPRODUCT($F19:$W19,$F$13:$W$13)</f>
        <v>1163.06980253485</v>
      </c>
      <c r="AH19" s="13" t="n">
        <f aca="false">SUMPRODUCT($F19:$W19,$F$14:$W$14)</f>
        <v>96.9224835445711</v>
      </c>
    </row>
    <row r="20" customFormat="false" ht="15" hidden="false" customHeight="false" outlineLevel="0" collapsed="false">
      <c r="A20" s="3" t="s">
        <v>515</v>
      </c>
      <c r="B20" s="3" t="s">
        <v>516</v>
      </c>
      <c r="C20" s="3" t="s">
        <v>517</v>
      </c>
      <c r="D20" s="3" t="s">
        <v>192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12" t="n">
        <f aca="false">2*0.1</f>
        <v>0.2</v>
      </c>
      <c r="P20" s="12" t="n">
        <f aca="false">5*0.1</f>
        <v>0.5</v>
      </c>
      <c r="Q20" s="3"/>
      <c r="R20" s="3"/>
      <c r="S20" s="3"/>
      <c r="T20" s="3"/>
      <c r="U20" s="3"/>
      <c r="V20" s="3"/>
      <c r="W20" s="3"/>
      <c r="X20" s="13" t="n">
        <f aca="false">SUMPRODUCT($F20:$W20,$F$4:$W$4)</f>
        <v>44.9547706745188</v>
      </c>
      <c r="Y20" s="13" t="n">
        <f aca="false">SUMPRODUCT($F20:$W20,$F$5:$W$5)</f>
        <v>194.040414465211</v>
      </c>
      <c r="Z20" s="13" t="n">
        <f aca="false">SUMPRODUCT($F20:$W20,$F$6:$W$6)</f>
        <v>433.939525679275</v>
      </c>
      <c r="AA20" s="13" t="n">
        <f aca="false">SUMPRODUCT($F20:$W20,$F$7:$W$7)</f>
        <v>804.908143109446</v>
      </c>
      <c r="AB20" s="13" t="n">
        <f aca="false">SUMPRODUCT($F20:$W20,$F$8:$W$8)</f>
        <v>1161.11968855987</v>
      </c>
      <c r="AC20" s="13" t="n">
        <f aca="false">SUMPRODUCT($F20:$W20,$F$9:$W$9)</f>
        <v>1545.04118817947</v>
      </c>
      <c r="AD20" s="13" t="n">
        <f aca="false">SUMPRODUCT($F20:$W20,$F$10:$W$10)</f>
        <v>1900.47021417553</v>
      </c>
      <c r="AE20" s="13" t="n">
        <f aca="false">SUMPRODUCT($F20:$W20,$F$11:$W$11)</f>
        <v>2120.74728692824</v>
      </c>
      <c r="AF20" s="13" t="n">
        <f aca="false">SUMPRODUCT($F20:$W20,$F$12:$W$12)</f>
        <v>2296.02198947077</v>
      </c>
      <c r="AG20" s="13" t="n">
        <f aca="false">SUMPRODUCT($F20:$W20,$F$13:$W$13)</f>
        <v>2474.01024591012</v>
      </c>
      <c r="AH20" s="13" t="n">
        <f aca="false">SUMPRODUCT($F20:$W20,$F$14:$W$14)</f>
        <v>206.16752049251</v>
      </c>
    </row>
    <row r="21" customFormat="false" ht="15" hidden="false" customHeight="false" outlineLevel="0" collapsed="false">
      <c r="A21" s="3" t="s">
        <v>518</v>
      </c>
      <c r="B21" s="3" t="s">
        <v>519</v>
      </c>
      <c r="C21" s="3" t="s">
        <v>520</v>
      </c>
      <c r="D21" s="3" t="s">
        <v>192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2" t="n">
        <f aca="false">5*0.1</f>
        <v>0.5</v>
      </c>
      <c r="R21" s="3"/>
      <c r="S21" s="3"/>
      <c r="T21" s="3"/>
      <c r="U21" s="3"/>
      <c r="V21" s="3"/>
      <c r="W21" s="3"/>
      <c r="X21" s="13" t="n">
        <f aca="false">SUMPRODUCT($F21:$W21,$F$4:$W$4)</f>
        <v>2.76371545531391</v>
      </c>
      <c r="Y21" s="13" t="n">
        <f aca="false">SUMPRODUCT($F21:$W21,$F$5:$W$5)</f>
        <v>16.4146349534345</v>
      </c>
      <c r="Z21" s="13" t="n">
        <f aca="false">SUMPRODUCT($F21:$W21,$F$6:$W$6)</f>
        <v>33.6500075980496</v>
      </c>
      <c r="AA21" s="13" t="n">
        <f aca="false">SUMPRODUCT($F21:$W21,$F$7:$W$7)</f>
        <v>58.3796799854928</v>
      </c>
      <c r="AB21" s="13" t="n">
        <f aca="false">SUMPRODUCT($F21:$W21,$F$8:$W$8)</f>
        <v>83.6750198311306</v>
      </c>
      <c r="AC21" s="13" t="n">
        <f aca="false">SUMPRODUCT($F21:$W21,$F$9:$W$9)</f>
        <v>109.840248538574</v>
      </c>
      <c r="AD21" s="13" t="n">
        <f aca="false">SUMPRODUCT($F21:$W21,$F$10:$W$10)</f>
        <v>137.540153580407</v>
      </c>
      <c r="AE21" s="13" t="n">
        <f aca="false">SUMPRODUCT($F21:$W21,$F$11:$W$11)</f>
        <v>156.01400228109</v>
      </c>
      <c r="AF21" s="13" t="n">
        <f aca="false">SUMPRODUCT($F21:$W21,$F$12:$W$12)</f>
        <v>170.469669394052</v>
      </c>
      <c r="AG21" s="13" t="n">
        <f aca="false">SUMPRODUCT($F21:$W21,$F$13:$W$13)</f>
        <v>185.038186767902</v>
      </c>
      <c r="AH21" s="13" t="n">
        <f aca="false">SUMPRODUCT($F21:$W21,$F$14:$W$14)</f>
        <v>15.4198488973252</v>
      </c>
    </row>
    <row r="22" customFormat="false" ht="15" hidden="false" customHeight="false" outlineLevel="0" collapsed="false">
      <c r="A22" s="3" t="s">
        <v>521</v>
      </c>
      <c r="B22" s="3" t="s">
        <v>522</v>
      </c>
      <c r="C22" s="3" t="s">
        <v>523</v>
      </c>
      <c r="D22" s="3" t="s">
        <v>524</v>
      </c>
      <c r="E22" s="3"/>
      <c r="F22" s="3"/>
      <c r="G22" s="3"/>
      <c r="H22" s="3"/>
      <c r="I22" s="3"/>
      <c r="J22" s="3"/>
      <c r="K22" s="12" t="n">
        <f aca="false">10*0.03</f>
        <v>0.3</v>
      </c>
      <c r="L22" s="12" t="n">
        <f aca="false">50*0.03</f>
        <v>1.5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13" t="n">
        <f aca="false">SUMPRODUCT($F22:$W22,$F$4:$W$4)</f>
        <v>7.3950489447671</v>
      </c>
      <c r="Y22" s="13" t="n">
        <f aca="false">SUMPRODUCT($F22:$W22,$F$5:$W$5)</f>
        <v>50.457592796477</v>
      </c>
      <c r="Z22" s="13" t="n">
        <f aca="false">SUMPRODUCT($F22:$W22,$F$6:$W$6)</f>
        <v>99.5389690638769</v>
      </c>
      <c r="AA22" s="13" t="n">
        <f aca="false">SUMPRODUCT($F22:$W22,$F$7:$W$7)</f>
        <v>169.227073120085</v>
      </c>
      <c r="AB22" s="13" t="n">
        <f aca="false">SUMPRODUCT($F22:$W22,$F$8:$W$8)</f>
        <v>239.349208894033</v>
      </c>
      <c r="AC22" s="13" t="n">
        <f aca="false">SUMPRODUCT($F22:$W22,$F$9:$W$9)</f>
        <v>308.781358329469</v>
      </c>
      <c r="AD22" s="13" t="n">
        <f aca="false">SUMPRODUCT($F22:$W22,$F$10:$W$10)</f>
        <v>378.865318939589</v>
      </c>
      <c r="AE22" s="13" t="n">
        <f aca="false">SUMPRODUCT($F22:$W22,$F$11:$W$11)</f>
        <v>428.442649638979</v>
      </c>
      <c r="AF22" s="13" t="n">
        <f aca="false">SUMPRODUCT($F22:$W22,$F$12:$W$12)</f>
        <v>466.697791397574</v>
      </c>
      <c r="AG22" s="13" t="n">
        <f aca="false">SUMPRODUCT($F22:$W22,$F$13:$W$13)</f>
        <v>505.427368998169</v>
      </c>
      <c r="AH22" s="13" t="n">
        <f aca="false">SUMPRODUCT($F22:$W22,$F$14:$W$14)</f>
        <v>42.1189474165141</v>
      </c>
    </row>
    <row r="23" customFormat="false" ht="15" hidden="false" customHeight="false" outlineLevel="0" collapsed="false">
      <c r="A23" s="3" t="s">
        <v>525</v>
      </c>
      <c r="B23" s="3" t="s">
        <v>526</v>
      </c>
      <c r="C23" s="3" t="s">
        <v>527</v>
      </c>
      <c r="D23" s="3" t="s">
        <v>524</v>
      </c>
      <c r="E23" s="3"/>
      <c r="F23" s="3"/>
      <c r="G23" s="3"/>
      <c r="H23" s="3"/>
      <c r="I23" s="3"/>
      <c r="J23" s="3"/>
      <c r="K23" s="3"/>
      <c r="L23" s="3"/>
      <c r="M23" s="3"/>
      <c r="N23" s="12" t="n">
        <v>6.09</v>
      </c>
      <c r="O23" s="3"/>
      <c r="P23" s="3"/>
      <c r="Q23" s="3"/>
      <c r="R23" s="3"/>
      <c r="S23" s="3"/>
      <c r="T23" s="3"/>
      <c r="U23" s="3"/>
      <c r="V23" s="3"/>
      <c r="W23" s="3"/>
      <c r="X23" s="13" t="n">
        <f aca="false">SUMPRODUCT($F23:$W23,$F$4:$W$4)</f>
        <v>145.345076765758</v>
      </c>
      <c r="Y23" s="13" t="n">
        <f aca="false">SUMPRODUCT($F23:$W23,$F$5:$W$5)</f>
        <v>594.836964682322</v>
      </c>
      <c r="Z23" s="13" t="n">
        <f aca="false">SUMPRODUCT($F23:$W23,$F$6:$W$6)</f>
        <v>1324.27621149413</v>
      </c>
      <c r="AA23" s="13" t="n">
        <f aca="false">SUMPRODUCT($F23:$W23,$F$7:$W$7)</f>
        <v>2407.92329159814</v>
      </c>
      <c r="AB23" s="13" t="n">
        <f aca="false">SUMPRODUCT($F23:$W23,$F$8:$W$8)</f>
        <v>3475.6639501563</v>
      </c>
      <c r="AC23" s="13" t="n">
        <f aca="false">SUMPRODUCT($F23:$W23,$F$9:$W$9)</f>
        <v>4605.0796391451</v>
      </c>
      <c r="AD23" s="13" t="n">
        <f aca="false">SUMPRODUCT($F23:$W23,$F$10:$W$10)</f>
        <v>5664.92716663034</v>
      </c>
      <c r="AE23" s="13" t="n">
        <f aca="false">SUMPRODUCT($F23:$W23,$F$11:$W$11)</f>
        <v>6340.1692540895</v>
      </c>
      <c r="AF23" s="13" t="n">
        <f aca="false">SUMPRODUCT($F23:$W23,$F$12:$W$12)</f>
        <v>6857.55743060786</v>
      </c>
      <c r="AG23" s="13" t="n">
        <f aca="false">SUMPRODUCT($F23:$W23,$F$13:$W$13)</f>
        <v>7383.01305370899</v>
      </c>
      <c r="AH23" s="13" t="n">
        <f aca="false">SUMPRODUCT($F23:$W23,$F$14:$W$14)</f>
        <v>615.251087809083</v>
      </c>
    </row>
    <row r="24" customFormat="false" ht="15" hidden="false" customHeight="false" outlineLevel="0" collapsed="false">
      <c r="A24" s="3" t="s">
        <v>528</v>
      </c>
      <c r="B24" s="3" t="s">
        <v>235</v>
      </c>
      <c r="C24" s="3" t="s">
        <v>236</v>
      </c>
      <c r="D24" s="3" t="s">
        <v>224</v>
      </c>
      <c r="E24" s="3"/>
      <c r="F24" s="12" t="n">
        <f aca="false">1.18/3*14/1000</f>
        <v>0.00550666666666667</v>
      </c>
      <c r="G24" s="12" t="n">
        <f aca="false">3.5/3*14/1000</f>
        <v>0.0163333333333333</v>
      </c>
      <c r="H24" s="12" t="n">
        <f aca="false">6/3*14/1000</f>
        <v>0.028</v>
      </c>
      <c r="I24" s="12" t="n">
        <f aca="false">12.5/3*14/1000</f>
        <v>0.0583333333333333</v>
      </c>
      <c r="J24" s="12" t="n">
        <f aca="false">32.99/1000</f>
        <v>0.03299</v>
      </c>
      <c r="K24" s="12" t="n">
        <f aca="false">32.99/1000</f>
        <v>0.03299</v>
      </c>
      <c r="L24" s="12" t="n">
        <f aca="false">97.81/1000</f>
        <v>0.09781</v>
      </c>
      <c r="M24" s="12" t="n">
        <f aca="false">3.835/1000</f>
        <v>0.003835</v>
      </c>
      <c r="N24" s="12" t="n">
        <f aca="false">23.789/1000</f>
        <v>0.023789</v>
      </c>
      <c r="O24" s="3"/>
      <c r="P24" s="3"/>
      <c r="Q24" s="12" t="n">
        <f aca="false">21.731/1000*0.35</f>
        <v>0.00760585</v>
      </c>
      <c r="R24" s="12" t="n">
        <f aca="false">46.253/1000</f>
        <v>0.046253</v>
      </c>
      <c r="S24" s="12" t="n">
        <f aca="false">34.4/3*14/1000</f>
        <v>0.160533333333333</v>
      </c>
      <c r="T24" s="12" t="n">
        <f aca="false">61.8/3*14/1000</f>
        <v>0.2884</v>
      </c>
      <c r="U24" s="12" t="n">
        <f aca="false">96/3*14/1000</f>
        <v>0.448</v>
      </c>
      <c r="V24" s="12" t="n">
        <f aca="false">121/3*14/1000</f>
        <v>0.564666666666667</v>
      </c>
      <c r="W24" s="3"/>
      <c r="X24" s="13" t="n">
        <f aca="false">SUMPRODUCT($F24:$W24,$F$4:$W$4)</f>
        <v>34.4240524188293</v>
      </c>
      <c r="Y24" s="13" t="n">
        <f aca="false">SUMPRODUCT($F24:$W24,$F$5:$W$5)</f>
        <v>149.167120033503</v>
      </c>
      <c r="Z24" s="13" t="n">
        <f aca="false">SUMPRODUCT($F24:$W24,$F$6:$W$6)</f>
        <v>321.165773194501</v>
      </c>
      <c r="AA24" s="13" t="n">
        <f aca="false">SUMPRODUCT($F24:$W24,$F$7:$W$7)</f>
        <v>595.603453247837</v>
      </c>
      <c r="AB24" s="13" t="n">
        <f aca="false">SUMPRODUCT($F24:$W24,$F$8:$W$8)</f>
        <v>863.830311054746</v>
      </c>
      <c r="AC24" s="13" t="n">
        <f aca="false">SUMPRODUCT($F24:$W24,$F$9:$W$9)</f>
        <v>1156.58420159381</v>
      </c>
      <c r="AD24" s="13" t="n">
        <f aca="false">SUMPRODUCT($F24:$W24,$F$10:$W$10)</f>
        <v>1424.60131282628</v>
      </c>
      <c r="AE24" s="13" t="n">
        <f aca="false">SUMPRODUCT($F24:$W24,$F$11:$W$11)</f>
        <v>1597.26720572793</v>
      </c>
      <c r="AF24" s="13" t="n">
        <f aca="false">SUMPRODUCT($F24:$W24,$F$12:$W$12)</f>
        <v>1723.94599546125</v>
      </c>
      <c r="AG24" s="13" t="n">
        <f aca="false">SUMPRODUCT($F24:$W24,$F$13:$W$13)</f>
        <v>1852.60216272722</v>
      </c>
      <c r="AH24" s="13" t="n">
        <f aca="false">SUMPRODUCT($F24:$W24,$F$14:$W$14)</f>
        <v>154.383513560601</v>
      </c>
    </row>
    <row r="25" customFormat="false" ht="15" hidden="false" customHeight="false" outlineLevel="0" collapsed="false">
      <c r="A25" s="3" t="s">
        <v>529</v>
      </c>
      <c r="B25" s="3" t="s">
        <v>530</v>
      </c>
      <c r="C25" s="3" t="s">
        <v>531</v>
      </c>
      <c r="D25" s="3" t="s">
        <v>214</v>
      </c>
      <c r="E25" s="3"/>
      <c r="F25" s="12" t="n">
        <v>1</v>
      </c>
      <c r="G25" s="12" t="n">
        <v>1</v>
      </c>
      <c r="H25" s="12" t="n">
        <v>1</v>
      </c>
      <c r="I25" s="12" t="n">
        <v>1</v>
      </c>
      <c r="J25" s="12" t="n">
        <v>1</v>
      </c>
      <c r="K25" s="12" t="n">
        <v>1</v>
      </c>
      <c r="L25" s="12" t="n">
        <v>1</v>
      </c>
      <c r="M25" s="12" t="n">
        <v>1</v>
      </c>
      <c r="N25" s="12" t="n">
        <v>1</v>
      </c>
      <c r="O25" s="12" t="n">
        <v>0.35</v>
      </c>
      <c r="P25" s="12" t="n">
        <v>0.35</v>
      </c>
      <c r="Q25" s="12" t="n">
        <v>0.35</v>
      </c>
      <c r="R25" s="12" t="n">
        <v>1</v>
      </c>
      <c r="S25" s="12" t="n">
        <v>1</v>
      </c>
      <c r="T25" s="12" t="n">
        <v>1</v>
      </c>
      <c r="U25" s="12" t="n">
        <v>1</v>
      </c>
      <c r="V25" s="12" t="n">
        <v>1</v>
      </c>
      <c r="W25" s="3"/>
      <c r="X25" s="13" t="n">
        <f aca="false">SUMPRODUCT($F25:$W25,$F$4:$W$4)</f>
        <v>1876.51042821459</v>
      </c>
      <c r="Y25" s="13" t="n">
        <f aca="false">SUMPRODUCT($F25:$W25,$F$5:$W$5)</f>
        <v>8456.63372270333</v>
      </c>
      <c r="Z25" s="13" t="n">
        <f aca="false">SUMPRODUCT($F25:$W25,$F$6:$W$6)</f>
        <v>16834.4452791357</v>
      </c>
      <c r="AA25" s="13" t="n">
        <f aca="false">SUMPRODUCT($F25:$W25,$F$7:$W$7)</f>
        <v>31206.7602188981</v>
      </c>
      <c r="AB25" s="13" t="n">
        <f aca="false">SUMPRODUCT($F25:$W25,$F$8:$W$8)</f>
        <v>45989.8524746055</v>
      </c>
      <c r="AC25" s="13" t="n">
        <f aca="false">SUMPRODUCT($F25:$W25,$F$9:$W$9)</f>
        <v>62687.019675692</v>
      </c>
      <c r="AD25" s="13" t="n">
        <f aca="false">SUMPRODUCT($F25:$W25,$F$10:$W$10)</f>
        <v>77908.2327830588</v>
      </c>
      <c r="AE25" s="13" t="n">
        <f aca="false">SUMPRODUCT($F25:$W25,$F$11:$W$11)</f>
        <v>88684.5059283756</v>
      </c>
      <c r="AF25" s="13" t="n">
        <f aca="false">SUMPRODUCT($F25:$W25,$F$12:$W$12)</f>
        <v>95360.29464815</v>
      </c>
      <c r="AG25" s="13" t="n">
        <f aca="false">SUMPRODUCT($F25:$W25,$F$13:$W$13)</f>
        <v>102177.896561299</v>
      </c>
      <c r="AH25" s="13" t="n">
        <f aca="false">SUMPRODUCT($F25:$W25,$F$14:$W$14)</f>
        <v>8514.82471344157</v>
      </c>
    </row>
    <row r="26" customFormat="false" ht="15" hidden="false" customHeight="false" outlineLevel="0" collapsed="false">
      <c r="A26" s="3" t="s">
        <v>532</v>
      </c>
      <c r="B26" s="3" t="s">
        <v>533</v>
      </c>
      <c r="C26" s="3" t="s">
        <v>534</v>
      </c>
      <c r="D26" s="3" t="s">
        <v>214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12" t="n">
        <v>0.35</v>
      </c>
      <c r="P26" s="12" t="n">
        <v>0.35</v>
      </c>
      <c r="Q26" s="3"/>
      <c r="R26" s="3"/>
      <c r="S26" s="3"/>
      <c r="T26" s="3"/>
      <c r="U26" s="3"/>
      <c r="V26" s="3"/>
      <c r="W26" s="3"/>
      <c r="X26" s="13" t="n">
        <f aca="false">SUMPRODUCT($F26:$W26,$F$4:$W$4)</f>
        <v>58.701391760754</v>
      </c>
      <c r="Y26" s="13" t="n">
        <f aca="false">SUMPRODUCT($F26:$W26,$F$5:$W$5)</f>
        <v>238.397701759929</v>
      </c>
      <c r="Z26" s="13" t="n">
        <f aca="false">SUMPRODUCT($F26:$W26,$F$6:$W$6)</f>
        <v>542.790568707176</v>
      </c>
      <c r="AA26" s="13" t="n">
        <f aca="false">SUMPRODUCT($F26:$W26,$F$7:$W$7)</f>
        <v>1020.40157438122</v>
      </c>
      <c r="AB26" s="13" t="n">
        <f aca="false">SUMPRODUCT($F26:$W26,$F$8:$W$8)</f>
        <v>1472.74433112732</v>
      </c>
      <c r="AC26" s="13" t="n">
        <f aca="false">SUMPRODUCT($F26:$W26,$F$9:$W$9)</f>
        <v>1958.73804342551</v>
      </c>
      <c r="AD26" s="13" t="n">
        <f aca="false">SUMPRODUCT($F26:$W26,$F$10:$W$10)</f>
        <v>2402.8414294977</v>
      </c>
      <c r="AE26" s="13" t="n">
        <f aca="false">SUMPRODUCT($F26:$W26,$F$11:$W$11)</f>
        <v>2670.09178268887</v>
      </c>
      <c r="AF26" s="13" t="n">
        <f aca="false">SUMPRODUCT($F26:$W26,$F$12:$W$12)</f>
        <v>2886.1322491769</v>
      </c>
      <c r="AG26" s="13" t="n">
        <f aca="false">SUMPRODUCT($F26:$W26,$F$13:$W$13)</f>
        <v>3105.77010888421</v>
      </c>
      <c r="AH26" s="13" t="n">
        <f aca="false">SUMPRODUCT($F26:$W26,$F$14:$W$14)</f>
        <v>258.814175740351</v>
      </c>
    </row>
    <row r="27" customFormat="false" ht="15" hidden="false" customHeight="false" outlineLevel="0" collapsed="false">
      <c r="A27" s="3" t="s">
        <v>535</v>
      </c>
      <c r="B27" s="3" t="s">
        <v>536</v>
      </c>
      <c r="C27" s="3" t="s">
        <v>537</v>
      </c>
      <c r="D27" s="3" t="s">
        <v>214</v>
      </c>
      <c r="E27" s="3"/>
      <c r="F27" s="12" t="n">
        <v>1</v>
      </c>
      <c r="G27" s="12" t="n">
        <v>1</v>
      </c>
      <c r="H27" s="12" t="n">
        <v>1</v>
      </c>
      <c r="I27" s="12" t="n">
        <v>1</v>
      </c>
      <c r="J27" s="12" t="n">
        <v>1</v>
      </c>
      <c r="K27" s="12" t="n">
        <v>1</v>
      </c>
      <c r="L27" s="12" t="n">
        <v>1</v>
      </c>
      <c r="M27" s="12" t="n">
        <v>1</v>
      </c>
      <c r="N27" s="12" t="n">
        <v>1</v>
      </c>
      <c r="O27" s="12" t="n">
        <v>1</v>
      </c>
      <c r="P27" s="12" t="n">
        <v>1</v>
      </c>
      <c r="Q27" s="12" t="n">
        <v>1</v>
      </c>
      <c r="R27" s="12" t="n">
        <v>1</v>
      </c>
      <c r="S27" s="12" t="n">
        <v>1</v>
      </c>
      <c r="T27" s="12" t="n">
        <v>1</v>
      </c>
      <c r="U27" s="12" t="n">
        <v>1</v>
      </c>
      <c r="V27" s="12" t="n">
        <v>1</v>
      </c>
      <c r="W27" s="3"/>
      <c r="X27" s="13" t="n">
        <f aca="false">SUMPRODUCT($F27:$W27,$F$4:$W$4)</f>
        <v>1989.12012871933</v>
      </c>
      <c r="Y27" s="13" t="n">
        <f aca="false">SUMPRODUCT($F27:$W27,$F$5:$W$5)</f>
        <v>8920.71133712552</v>
      </c>
      <c r="Z27" s="13" t="n">
        <f aca="false">SUMPRODUCT($F27:$W27,$F$6:$W$6)</f>
        <v>17886.2299166122</v>
      </c>
      <c r="AA27" s="13" t="n">
        <f aca="false">SUMPRODUCT($F27:$W27,$F$7:$W$7)</f>
        <v>33177.6852981587</v>
      </c>
      <c r="AB27" s="13" t="n">
        <f aca="false">SUMPRODUCT($F27:$W27,$F$8:$W$8)</f>
        <v>48833.7266153367</v>
      </c>
      <c r="AC27" s="13" t="n">
        <f aca="false">SUMPRODUCT($F27:$W27,$F$9:$W$9)</f>
        <v>66467.4683651538</v>
      </c>
      <c r="AD27" s="13" t="n">
        <f aca="false">SUMPRODUCT($F27:$W27,$F$10:$W$10)</f>
        <v>82549.454780352</v>
      </c>
      <c r="AE27" s="13" t="n">
        <f aca="false">SUMPRODUCT($F27:$W27,$F$11:$W$11)</f>
        <v>93846.0660134775</v>
      </c>
      <c r="AF27" s="13" t="n">
        <f aca="false">SUMPRODUCT($F27:$W27,$F$12:$W$12)</f>
        <v>100941.865109691</v>
      </c>
      <c r="AG27" s="13" t="n">
        <f aca="false">SUMPRODUCT($F27:$W27,$F$13:$W$13)</f>
        <v>108186.304977739</v>
      </c>
      <c r="AH27" s="13" t="n">
        <f aca="false">SUMPRODUCT($F27:$W27,$F$14:$W$14)</f>
        <v>9015.5254148116</v>
      </c>
    </row>
    <row r="28" customFormat="false" ht="15" hidden="false" customHeight="false" outlineLevel="0" collapsed="false">
      <c r="A28" s="3" t="s">
        <v>538</v>
      </c>
      <c r="B28" s="3" t="s">
        <v>539</v>
      </c>
      <c r="C28" s="3" t="s">
        <v>540</v>
      </c>
      <c r="D28" s="3" t="s">
        <v>214</v>
      </c>
      <c r="E28" s="3"/>
      <c r="F28" s="12" t="n">
        <v>1</v>
      </c>
      <c r="G28" s="12" t="n">
        <v>1</v>
      </c>
      <c r="H28" s="12" t="n">
        <v>1</v>
      </c>
      <c r="I28" s="12" t="n">
        <v>1</v>
      </c>
      <c r="J28" s="12" t="n">
        <v>1</v>
      </c>
      <c r="K28" s="12" t="n">
        <v>1</v>
      </c>
      <c r="L28" s="12" t="n">
        <v>1</v>
      </c>
      <c r="M28" s="12" t="n">
        <v>1</v>
      </c>
      <c r="N28" s="12" t="n">
        <v>1</v>
      </c>
      <c r="O28" s="12" t="n">
        <v>1</v>
      </c>
      <c r="P28" s="12" t="n">
        <v>1</v>
      </c>
      <c r="Q28" s="12" t="n">
        <v>1</v>
      </c>
      <c r="R28" s="12" t="n">
        <v>1</v>
      </c>
      <c r="S28" s="12" t="n">
        <v>1</v>
      </c>
      <c r="T28" s="12" t="n">
        <v>1</v>
      </c>
      <c r="U28" s="12" t="n">
        <v>1</v>
      </c>
      <c r="V28" s="12" t="n">
        <v>1</v>
      </c>
      <c r="W28" s="3"/>
      <c r="X28" s="13" t="n">
        <f aca="false">SUMPRODUCT($F28:$W28,$F$4:$W$4)</f>
        <v>1989.12012871933</v>
      </c>
      <c r="Y28" s="13" t="n">
        <f aca="false">SUMPRODUCT($F28:$W28,$F$5:$W$5)</f>
        <v>8920.71133712552</v>
      </c>
      <c r="Z28" s="13" t="n">
        <f aca="false">SUMPRODUCT($F28:$W28,$F$6:$W$6)</f>
        <v>17886.2299166122</v>
      </c>
      <c r="AA28" s="13" t="n">
        <f aca="false">SUMPRODUCT($F28:$W28,$F$7:$W$7)</f>
        <v>33177.6852981587</v>
      </c>
      <c r="AB28" s="13" t="n">
        <f aca="false">SUMPRODUCT($F28:$W28,$F$8:$W$8)</f>
        <v>48833.7266153367</v>
      </c>
      <c r="AC28" s="13" t="n">
        <f aca="false">SUMPRODUCT($F28:$W28,$F$9:$W$9)</f>
        <v>66467.4683651538</v>
      </c>
      <c r="AD28" s="13" t="n">
        <f aca="false">SUMPRODUCT($F28:$W28,$F$10:$W$10)</f>
        <v>82549.454780352</v>
      </c>
      <c r="AE28" s="13" t="n">
        <f aca="false">SUMPRODUCT($F28:$W28,$F$11:$W$11)</f>
        <v>93846.0660134775</v>
      </c>
      <c r="AF28" s="13" t="n">
        <f aca="false">SUMPRODUCT($F28:$W28,$F$12:$W$12)</f>
        <v>100941.865109691</v>
      </c>
      <c r="AG28" s="13" t="n">
        <f aca="false">SUMPRODUCT($F28:$W28,$F$13:$W$13)</f>
        <v>108186.304977739</v>
      </c>
      <c r="AH28" s="13" t="n">
        <f aca="false">SUMPRODUCT($F28:$W28,$F$14:$W$14)</f>
        <v>9015.5254148116</v>
      </c>
    </row>
    <row r="29" customFormat="false" ht="15" hidden="false" customHeight="false" outlineLevel="0" collapsed="false">
      <c r="A29" s="3" t="s">
        <v>541</v>
      </c>
      <c r="B29" s="3" t="s">
        <v>542</v>
      </c>
      <c r="C29" s="3" t="s">
        <v>543</v>
      </c>
      <c r="D29" s="3" t="s">
        <v>214</v>
      </c>
      <c r="E29" s="3"/>
      <c r="F29" s="12" t="n">
        <v>1</v>
      </c>
      <c r="G29" s="12" t="n">
        <v>1</v>
      </c>
      <c r="H29" s="12" t="n">
        <v>1</v>
      </c>
      <c r="I29" s="12" t="n">
        <v>1</v>
      </c>
      <c r="J29" s="12" t="n">
        <v>1</v>
      </c>
      <c r="K29" s="12" t="n">
        <v>1</v>
      </c>
      <c r="L29" s="12" t="n">
        <v>1</v>
      </c>
      <c r="M29" s="12" t="n">
        <v>1</v>
      </c>
      <c r="N29" s="12" t="n">
        <v>1</v>
      </c>
      <c r="O29" s="12" t="n">
        <v>1</v>
      </c>
      <c r="P29" s="12" t="n">
        <v>1</v>
      </c>
      <c r="Q29" s="12" t="n">
        <v>1</v>
      </c>
      <c r="R29" s="12" t="n">
        <v>1</v>
      </c>
      <c r="S29" s="12" t="n">
        <v>1</v>
      </c>
      <c r="T29" s="12" t="n">
        <v>1</v>
      </c>
      <c r="U29" s="12" t="n">
        <v>1</v>
      </c>
      <c r="V29" s="12" t="n">
        <v>1</v>
      </c>
      <c r="W29" s="3"/>
      <c r="X29" s="13" t="n">
        <f aca="false">SUMPRODUCT($F29:$W29,$F$4:$W$4)</f>
        <v>1989.12012871933</v>
      </c>
      <c r="Y29" s="13" t="n">
        <f aca="false">SUMPRODUCT($F29:$W29,$F$5:$W$5)</f>
        <v>8920.71133712552</v>
      </c>
      <c r="Z29" s="13" t="n">
        <f aca="false">SUMPRODUCT($F29:$W29,$F$6:$W$6)</f>
        <v>17886.2299166122</v>
      </c>
      <c r="AA29" s="13" t="n">
        <f aca="false">SUMPRODUCT($F29:$W29,$F$7:$W$7)</f>
        <v>33177.6852981587</v>
      </c>
      <c r="AB29" s="13" t="n">
        <f aca="false">SUMPRODUCT($F29:$W29,$F$8:$W$8)</f>
        <v>48833.7266153367</v>
      </c>
      <c r="AC29" s="13" t="n">
        <f aca="false">SUMPRODUCT($F29:$W29,$F$9:$W$9)</f>
        <v>66467.4683651538</v>
      </c>
      <c r="AD29" s="13" t="n">
        <f aca="false">SUMPRODUCT($F29:$W29,$F$10:$W$10)</f>
        <v>82549.454780352</v>
      </c>
      <c r="AE29" s="13" t="n">
        <f aca="false">SUMPRODUCT($F29:$W29,$F$11:$W$11)</f>
        <v>93846.0660134775</v>
      </c>
      <c r="AF29" s="13" t="n">
        <f aca="false">SUMPRODUCT($F29:$W29,$F$12:$W$12)</f>
        <v>100941.865109691</v>
      </c>
      <c r="AG29" s="13" t="n">
        <f aca="false">SUMPRODUCT($F29:$W29,$F$13:$W$13)</f>
        <v>108186.304977739</v>
      </c>
      <c r="AH29" s="13" t="n">
        <f aca="false">SUMPRODUCT($F29:$W29,$F$14:$W$14)</f>
        <v>9015.5254148116</v>
      </c>
    </row>
    <row r="30" customFormat="false" ht="15" hidden="false" customHeight="false" outlineLevel="0" collapsed="false">
      <c r="A30" s="3" t="s">
        <v>544</v>
      </c>
      <c r="B30" s="3" t="s">
        <v>545</v>
      </c>
      <c r="C30" s="3" t="s">
        <v>546</v>
      </c>
      <c r="D30" s="3" t="s">
        <v>214</v>
      </c>
      <c r="E30" s="3" t="s">
        <v>303</v>
      </c>
      <c r="F30" s="12" t="n">
        <v>1</v>
      </c>
      <c r="G30" s="12" t="n">
        <v>1</v>
      </c>
      <c r="H30" s="12" t="n">
        <v>1</v>
      </c>
      <c r="I30" s="12" t="n">
        <v>1</v>
      </c>
      <c r="J30" s="12" t="n">
        <v>1</v>
      </c>
      <c r="K30" s="12" t="n">
        <v>1</v>
      </c>
      <c r="L30" s="12" t="n">
        <v>1</v>
      </c>
      <c r="M30" s="12" t="n">
        <v>1</v>
      </c>
      <c r="N30" s="12" t="n">
        <v>1</v>
      </c>
      <c r="O30" s="12" t="n">
        <v>1</v>
      </c>
      <c r="P30" s="12" t="n">
        <v>1</v>
      </c>
      <c r="Q30" s="12" t="n">
        <v>1</v>
      </c>
      <c r="R30" s="12" t="n">
        <v>1</v>
      </c>
      <c r="S30" s="12" t="n">
        <v>1</v>
      </c>
      <c r="T30" s="12" t="n">
        <v>1</v>
      </c>
      <c r="U30" s="12" t="n">
        <v>1</v>
      </c>
      <c r="V30" s="12" t="n">
        <v>1</v>
      </c>
      <c r="W30" s="3"/>
      <c r="X30" s="13" t="n">
        <f aca="false">SUMPRODUCT($F30:$W30,$F$4:$W$4)*(1-DEMANDA!D$6)</f>
        <v>1568.33189848101</v>
      </c>
      <c r="Y30" s="13" t="n">
        <f aca="false">SUMPRODUCT($F30:$W30,$F$5:$W$5)*(1-DEMANDA!E$6)</f>
        <v>7040.14548872183</v>
      </c>
      <c r="Z30" s="13" t="n">
        <f aca="false">SUMPRODUCT($F30:$W30,$F$6:$W$6)*(1-DEMANDA!F$6)</f>
        <v>14127.9123176868</v>
      </c>
      <c r="AA30" s="13" t="n">
        <f aca="false">SUMPRODUCT($F30:$W30,$F$7:$W$7)*(1-DEMANDA!G$6)</f>
        <v>26227.167937042</v>
      </c>
      <c r="AB30" s="13" t="n">
        <f aca="false">SUMPRODUCT($F30:$W30,$F$8:$W$8)*(1-DEMANDA!H$6)</f>
        <v>38630.8125561855</v>
      </c>
      <c r="AC30" s="13" t="n">
        <f aca="false">SUMPRODUCT($F30:$W30,$F$9:$W$9)*(1-DEMANDA!I$6)</f>
        <v>52612.7236028695</v>
      </c>
      <c r="AD30" s="13" t="n">
        <f aca="false">SUMPRODUCT($F30:$W30,$F$10:$W$10)*(1-DEMANDA!J$6)</f>
        <v>65375.4178234694</v>
      </c>
      <c r="AE30" s="13" t="n">
        <f aca="false">SUMPRODUCT($F30:$W30,$F$11:$W$11)*(1-DEMANDA!K$6)</f>
        <v>74349.7185059845</v>
      </c>
      <c r="AF30" s="13" t="n">
        <f aca="false">SUMPRODUCT($F30:$W30,$F$12:$W$12)*(1-DEMANDA!L$6)</f>
        <v>79989.4287388313</v>
      </c>
      <c r="AG30" s="13" t="n">
        <f aca="false">SUMPRODUCT($F30:$W30,$F$13:$W$13)*(1-DEMANDA!M$6)</f>
        <v>85734.5647571335</v>
      </c>
      <c r="AH30" s="13" t="n">
        <f aca="false">SUMPRODUCT($F30:$W30,$F$14:$W$14)*(1-DEMANDA!M$6)</f>
        <v>7144.54706309446</v>
      </c>
    </row>
    <row r="31" customFormat="false" ht="15" hidden="false" customHeight="false" outlineLevel="0" collapsed="false">
      <c r="A31" s="3" t="s">
        <v>547</v>
      </c>
      <c r="B31" s="3" t="s">
        <v>548</v>
      </c>
      <c r="C31" s="3" t="s">
        <v>549</v>
      </c>
      <c r="D31" s="3" t="s">
        <v>214</v>
      </c>
      <c r="E31" s="3" t="s">
        <v>303</v>
      </c>
      <c r="F31" s="12" t="n">
        <v>1</v>
      </c>
      <c r="G31" s="12" t="n">
        <v>1</v>
      </c>
      <c r="H31" s="12" t="n">
        <v>1</v>
      </c>
      <c r="I31" s="12" t="n">
        <v>1</v>
      </c>
      <c r="J31" s="12" t="n">
        <v>1</v>
      </c>
      <c r="K31" s="12" t="n">
        <v>1</v>
      </c>
      <c r="L31" s="12" t="n">
        <v>1</v>
      </c>
      <c r="M31" s="12" t="n">
        <v>1</v>
      </c>
      <c r="N31" s="12" t="n">
        <v>1</v>
      </c>
      <c r="O31" s="12" t="n">
        <v>1</v>
      </c>
      <c r="P31" s="12" t="n">
        <v>1</v>
      </c>
      <c r="Q31" s="12" t="n">
        <v>1</v>
      </c>
      <c r="R31" s="12" t="n">
        <v>1</v>
      </c>
      <c r="S31" s="12" t="n">
        <v>1</v>
      </c>
      <c r="T31" s="12" t="n">
        <v>1</v>
      </c>
      <c r="U31" s="12" t="n">
        <v>1</v>
      </c>
      <c r="V31" s="12" t="n">
        <v>1</v>
      </c>
      <c r="W31" s="3"/>
      <c r="X31" s="13" t="n">
        <f aca="false">SUMPRODUCT($F31:$W31,$F$4:$W$4)*(1-DEMANDA!D$6)</f>
        <v>1568.33189848101</v>
      </c>
      <c r="Y31" s="13" t="n">
        <f aca="false">SUMPRODUCT($F31:$W31,$F$5:$W$5)*(1-DEMANDA!E$6)</f>
        <v>7040.14548872183</v>
      </c>
      <c r="Z31" s="13" t="n">
        <f aca="false">SUMPRODUCT($F31:$W31,$F$6:$W$6)*(1-DEMANDA!F$6)</f>
        <v>14127.9123176868</v>
      </c>
      <c r="AA31" s="13" t="n">
        <f aca="false">SUMPRODUCT($F31:$W31,$F$7:$W$7)*(1-DEMANDA!G$6)</f>
        <v>26227.167937042</v>
      </c>
      <c r="AB31" s="13" t="n">
        <f aca="false">SUMPRODUCT($F31:$W31,$F$8:$W$8)*(1-DEMANDA!H$6)</f>
        <v>38630.8125561855</v>
      </c>
      <c r="AC31" s="13" t="n">
        <f aca="false">SUMPRODUCT($F31:$W31,$F$9:$W$9)*(1-DEMANDA!I$6)</f>
        <v>52612.7236028695</v>
      </c>
      <c r="AD31" s="13" t="n">
        <f aca="false">SUMPRODUCT($F31:$W31,$F$10:$W$10)*(1-DEMANDA!J$6)</f>
        <v>65375.4178234694</v>
      </c>
      <c r="AE31" s="13" t="n">
        <f aca="false">SUMPRODUCT($F31:$W31,$F$11:$W$11)*(1-DEMANDA!K$6)</f>
        <v>74349.7185059845</v>
      </c>
      <c r="AF31" s="13" t="n">
        <f aca="false">SUMPRODUCT($F31:$W31,$F$12:$W$12)*(1-DEMANDA!L$6)</f>
        <v>79989.4287388313</v>
      </c>
      <c r="AG31" s="13" t="n">
        <f aca="false">SUMPRODUCT($F31:$W31,$F$13:$W$13)*(1-DEMANDA!M$6)</f>
        <v>85734.5647571335</v>
      </c>
      <c r="AH31" s="13" t="n">
        <f aca="false">SUMPRODUCT($F31:$W31,$F$14:$W$14)*(1-DEMANDA!M$6)</f>
        <v>7144.54706309446</v>
      </c>
    </row>
    <row r="32" customFormat="false" ht="15" hidden="false" customHeight="false" outlineLevel="0" collapsed="false">
      <c r="A32" s="3" t="s">
        <v>550</v>
      </c>
      <c r="B32" s="3" t="s">
        <v>308</v>
      </c>
      <c r="C32" s="3" t="s">
        <v>309</v>
      </c>
      <c r="D32" s="3" t="s">
        <v>214</v>
      </c>
      <c r="E32" s="3" t="s">
        <v>310</v>
      </c>
      <c r="F32" s="12" t="n">
        <v>1</v>
      </c>
      <c r="G32" s="12" t="n">
        <v>1</v>
      </c>
      <c r="H32" s="12" t="n">
        <v>1</v>
      </c>
      <c r="I32" s="12" t="n">
        <v>1</v>
      </c>
      <c r="J32" s="12" t="n">
        <v>1</v>
      </c>
      <c r="K32" s="12" t="n">
        <v>1</v>
      </c>
      <c r="L32" s="12" t="n">
        <v>1</v>
      </c>
      <c r="M32" s="12" t="n">
        <v>1</v>
      </c>
      <c r="N32" s="12" t="n">
        <v>1</v>
      </c>
      <c r="O32" s="12" t="n">
        <v>1</v>
      </c>
      <c r="P32" s="12" t="n">
        <v>1</v>
      </c>
      <c r="Q32" s="12" t="n">
        <v>1</v>
      </c>
      <c r="R32" s="12" t="n">
        <v>1</v>
      </c>
      <c r="S32" s="12" t="n">
        <v>1</v>
      </c>
      <c r="T32" s="12" t="n">
        <v>1</v>
      </c>
      <c r="U32" s="12" t="n">
        <v>1</v>
      </c>
      <c r="V32" s="12" t="n">
        <v>1</v>
      </c>
      <c r="W32" s="3"/>
      <c r="X32" s="13" t="n">
        <f aca="false">SUMPRODUCT($F32:$W32,$F$4:$W$4)*DEMANDA!D$6</f>
        <v>420.788230238323</v>
      </c>
      <c r="Y32" s="13" t="n">
        <f aca="false">SUMPRODUCT($F32:$W32,$F$5:$W$5)*DEMANDA!E$6</f>
        <v>1880.56584840368</v>
      </c>
      <c r="Z32" s="13" t="n">
        <f aca="false">SUMPRODUCT($F32:$W32,$F$6:$W$6)*DEMANDA!F$6</f>
        <v>3758.31759892543</v>
      </c>
      <c r="AA32" s="13" t="n">
        <f aca="false">SUMPRODUCT($F32:$W32,$F$7:$W$7)*DEMANDA!G$6</f>
        <v>6950.51736111668</v>
      </c>
      <c r="AB32" s="13" t="n">
        <f aca="false">SUMPRODUCT($F32:$W32,$F$8:$W$8)*DEMANDA!H$6</f>
        <v>10202.9140591512</v>
      </c>
      <c r="AC32" s="13" t="n">
        <f aca="false">SUMPRODUCT($F32:$W32,$F$9:$W$9)*DEMANDA!I$6</f>
        <v>13854.7447622843</v>
      </c>
      <c r="AD32" s="13" t="n">
        <f aca="false">SUMPRODUCT($F32:$W32,$F$10:$W$10)*DEMANDA!J$6</f>
        <v>17174.0369568826</v>
      </c>
      <c r="AE32" s="13" t="n">
        <f aca="false">SUMPRODUCT($F32:$W32,$F$11:$W$11)*DEMANDA!K$6</f>
        <v>19496.3475074929</v>
      </c>
      <c r="AF32" s="13" t="n">
        <f aca="false">SUMPRODUCT($F32:$W32,$F$12:$W$12)*DEMANDA!L$6</f>
        <v>20952.4363708595</v>
      </c>
      <c r="AG32" s="13" t="n">
        <f aca="false">SUMPRODUCT($F32:$W32,$F$13:$W$13)*DEMANDA!M$6</f>
        <v>22451.7402206056</v>
      </c>
      <c r="AH32" s="13" t="n">
        <f aca="false">SUMPRODUCT($F32:$W32,$F$14:$W$14)*DEMANDA!M$6</f>
        <v>1870.97835171714</v>
      </c>
    </row>
    <row r="33" customFormat="false" ht="15" hidden="false" customHeight="false" outlineLevel="0" collapsed="false">
      <c r="A33" s="3" t="s">
        <v>551</v>
      </c>
      <c r="B33" s="3" t="s">
        <v>552</v>
      </c>
      <c r="C33" s="3" t="s">
        <v>553</v>
      </c>
      <c r="D33" s="3" t="s">
        <v>524</v>
      </c>
      <c r="E33" s="3"/>
      <c r="F33" s="12" t="n">
        <f aca="false">0.15*0.0764/8.8</f>
        <v>0.00130227272727273</v>
      </c>
      <c r="G33" s="12" t="n">
        <f aca="false">0.15*0.1375/8.8</f>
        <v>0.00234375</v>
      </c>
      <c r="H33" s="12" t="n">
        <f aca="false">0.15*0.2091/8.8</f>
        <v>0.00356420454545455</v>
      </c>
      <c r="I33" s="12" t="n">
        <f aca="false">0.15*0.351/8.8</f>
        <v>0.00598295454545455</v>
      </c>
      <c r="J33" s="12" t="n">
        <f aca="false">0.15*0.3646/8.8</f>
        <v>0.00621477272727273</v>
      </c>
      <c r="K33" s="12" t="n">
        <f aca="false">0.15*0.3646/8.8</f>
        <v>0.00621477272727273</v>
      </c>
      <c r="L33" s="12" t="n">
        <f aca="false">0.15*0.9064/8.8</f>
        <v>0.01545</v>
      </c>
      <c r="M33" s="12" t="n">
        <f aca="false">0.15*0.2091/8.8</f>
        <v>0.00356420454545455</v>
      </c>
      <c r="N33" s="12" t="n">
        <f aca="false">0.15*0.2577/8.8</f>
        <v>0.00439261363636364</v>
      </c>
      <c r="O33" s="12" t="n">
        <f aca="false">0.15*0.1366/8.8</f>
        <v>0.00232840909090909</v>
      </c>
      <c r="P33" s="12" t="n">
        <f aca="false">0.15*0.2824/8.8</f>
        <v>0.00481363636363636</v>
      </c>
      <c r="Q33" s="12" t="n">
        <f aca="false">0.15*0.2091/8.8</f>
        <v>0.00356420454545455</v>
      </c>
      <c r="R33" s="12" t="n">
        <f aca="false">0.15*0.351/8.8</f>
        <v>0.00598295454545455</v>
      </c>
      <c r="S33" s="12" t="n">
        <f aca="false">0.15*0.626/8.8</f>
        <v>0.0106704545454545</v>
      </c>
      <c r="T33" s="12" t="n">
        <f aca="false">0.15*0.9064/8.8</f>
        <v>0.01545</v>
      </c>
      <c r="U33" s="12" t="n">
        <f aca="false">0.15*1.2326/8.8</f>
        <v>0.0210102272727273</v>
      </c>
      <c r="V33" s="12" t="n">
        <f aca="false">0.15*1.4989/8.8</f>
        <v>0.0255494318181818</v>
      </c>
      <c r="W33" s="3"/>
      <c r="X33" s="13" t="n">
        <f aca="false">SUMPRODUCT($F33:$W33,$F$4:$W$4)</f>
        <v>5.14657797973885</v>
      </c>
      <c r="Y33" s="13" t="n">
        <f aca="false">SUMPRODUCT($F33:$W33,$F$5:$W$5)</f>
        <v>22.4853866797558</v>
      </c>
      <c r="Z33" s="13" t="n">
        <f aca="false">SUMPRODUCT($F33:$W33,$F$6:$W$6)</f>
        <v>47.5088433211854</v>
      </c>
      <c r="AA33" s="13" t="n">
        <f aca="false">SUMPRODUCT($F33:$W33,$F$7:$W$7)</f>
        <v>88.1981110731892</v>
      </c>
      <c r="AB33" s="13" t="n">
        <f aca="false">SUMPRODUCT($F33:$W33,$F$8:$W$8)</f>
        <v>128.410840326006</v>
      </c>
      <c r="AC33" s="13" t="n">
        <f aca="false">SUMPRODUCT($F33:$W33,$F$9:$W$9)</f>
        <v>172.677239225365</v>
      </c>
      <c r="AD33" s="13" t="n">
        <f aca="false">SUMPRODUCT($F33:$W33,$F$10:$W$10)</f>
        <v>213.182413264937</v>
      </c>
      <c r="AE33" s="13" t="n">
        <f aca="false">SUMPRODUCT($F33:$W33,$F$11:$W$11)</f>
        <v>239.881112637057</v>
      </c>
      <c r="AF33" s="13" t="n">
        <f aca="false">SUMPRODUCT($F33:$W33,$F$12:$W$12)</f>
        <v>258.652199887428</v>
      </c>
      <c r="AG33" s="13" t="n">
        <f aca="false">SUMPRODUCT($F33:$W33,$F$13:$W$13)</f>
        <v>277.761634222652</v>
      </c>
      <c r="AH33" s="13" t="n">
        <f aca="false">SUMPRODUCT($F33:$W33,$F$14:$W$14)</f>
        <v>23.1468028518876</v>
      </c>
    </row>
    <row r="34" customFormat="false" ht="15" hidden="false" customHeight="false" outlineLevel="0" collapsed="false">
      <c r="A34" s="3" t="s">
        <v>554</v>
      </c>
      <c r="B34" s="3" t="s">
        <v>555</v>
      </c>
      <c r="C34" s="3" t="s">
        <v>556</v>
      </c>
      <c r="D34" s="3" t="s">
        <v>214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12" t="n">
        <v>1</v>
      </c>
      <c r="X34" s="13" t="n">
        <f aca="false">SUMPRODUCT($F34:$W34,$F$4:$W$4)</f>
        <v>23.5984856954447</v>
      </c>
      <c r="Y34" s="13" t="n">
        <f aca="false">SUMPRODUCT($F34:$W34,$F$5:$W$5)</f>
        <v>73.9563111566799</v>
      </c>
      <c r="Z34" s="13" t="n">
        <f aca="false">SUMPRODUCT($F34:$W34,$F$6:$W$6)</f>
        <v>100.528589784151</v>
      </c>
      <c r="AA34" s="13" t="n">
        <f aca="false">SUMPRODUCT($F34:$W34,$F$7:$W$7)</f>
        <v>172.508767576254</v>
      </c>
      <c r="AB34" s="13" t="n">
        <f aca="false">SUMPRODUCT($F34:$W34,$F$8:$W$8)</f>
        <v>184.739690040356</v>
      </c>
      <c r="AC34" s="13" t="n">
        <f aca="false">SUMPRODUCT($F34:$W34,$F$9:$W$9)</f>
        <v>213.609463505413</v>
      </c>
      <c r="AD34" s="13" t="n">
        <f aca="false">SUMPRODUCT($F34:$W34,$F$10:$W$10)</f>
        <v>205.503479588238</v>
      </c>
      <c r="AE34" s="13" t="n">
        <f aca="false">SUMPRODUCT($F34:$W34,$F$11:$W$11)</f>
        <v>163.462681402593</v>
      </c>
      <c r="AF34" s="13" t="n">
        <f aca="false">SUMPRODUCT($F34:$W34,$F$12:$W$12)</f>
        <v>125.03839909499</v>
      </c>
      <c r="AG34" s="13" t="n">
        <f aca="false">SUMPRODUCT($F34:$W34,$F$13:$W$13)</f>
        <v>129.892396568768</v>
      </c>
      <c r="AH34" s="13" t="n">
        <f aca="false">SUMPRODUCT($F34:$W34,$F$14:$W$14)</f>
        <v>10.8243663807307</v>
      </c>
    </row>
    <row r="35" customFormat="false" ht="15" hidden="false" customHeight="false" outlineLevel="0" collapsed="false">
      <c r="A35" s="3" t="s">
        <v>557</v>
      </c>
      <c r="B35" s="3" t="s">
        <v>558</v>
      </c>
      <c r="C35" s="3" t="s">
        <v>559</v>
      </c>
      <c r="D35" s="3" t="s">
        <v>214</v>
      </c>
      <c r="E35" s="3" t="s">
        <v>303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12" t="n">
        <v>1</v>
      </c>
      <c r="X35" s="13" t="n">
        <f aca="false">SUMPRODUCT($F35:$W35,$F$4:$W$4)*(1-DEMANDA!D$6)</f>
        <v>18.6063462621749</v>
      </c>
      <c r="Y35" s="13" t="n">
        <f aca="false">SUMPRODUCT($F35:$W35,$F$5:$W$5)*(1-DEMANDA!E$6)</f>
        <v>58.3656583736045</v>
      </c>
      <c r="Z35" s="13" t="n">
        <f aca="false">SUMPRODUCT($F35:$W35,$F$6:$W$6)*(1-DEMANDA!F$6)</f>
        <v>79.4051685857002</v>
      </c>
      <c r="AA35" s="13" t="n">
        <f aca="false">SUMPRODUCT($F35:$W35,$F$7:$W$7)*(1-DEMANDA!G$6)</f>
        <v>136.369260759901</v>
      </c>
      <c r="AB35" s="13" t="n">
        <f aca="false">SUMPRODUCT($F35:$W35,$F$8:$W$8)*(1-DEMANDA!H$6)</f>
        <v>146.141710499634</v>
      </c>
      <c r="AC35" s="13" t="n">
        <f aca="false">SUMPRODUCT($F35:$W35,$F$9:$W$9)*(1-DEMANDA!I$6)</f>
        <v>169.083853181016</v>
      </c>
      <c r="AD35" s="13" t="n">
        <f aca="false">SUMPRODUCT($F35:$W35,$F$10:$W$10)*(1-DEMANDA!J$6)</f>
        <v>162.749419460195</v>
      </c>
      <c r="AE35" s="13" t="n">
        <f aca="false">SUMPRODUCT($F35:$W35,$F$11:$W$11)*(1-DEMANDA!K$6)</f>
        <v>129.503610164872</v>
      </c>
      <c r="AF35" s="13" t="n">
        <f aca="false">SUMPRODUCT($F35:$W35,$F$12:$W$12)*(1-DEMANDA!L$6)</f>
        <v>99.0842610561795</v>
      </c>
      <c r="AG35" s="13" t="n">
        <f aca="false">SUMPRODUCT($F35:$W35,$F$13:$W$13)*(1-DEMANDA!M$6)</f>
        <v>102.93602399468</v>
      </c>
      <c r="AH35" s="13" t="n">
        <f aca="false">SUMPRODUCT($F35:$W35,$F$14:$W$14)*(1-DEMANDA!M$6)</f>
        <v>8.57800199955665</v>
      </c>
    </row>
    <row r="36" customFormat="false" ht="15" hidden="false" customHeight="false" outlineLevel="0" collapsed="false">
      <c r="A36" s="3" t="s">
        <v>560</v>
      </c>
      <c r="B36" s="3" t="s">
        <v>561</v>
      </c>
      <c r="C36" s="3" t="s">
        <v>562</v>
      </c>
      <c r="D36" s="3" t="s">
        <v>214</v>
      </c>
      <c r="E36" s="3" t="s">
        <v>310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12" t="n">
        <v>1</v>
      </c>
      <c r="X36" s="13" t="n">
        <f aca="false">SUMPRODUCT($F36:$W36,$F$4:$W$4)*DEMANDA!D$6</f>
        <v>4.99213943326984</v>
      </c>
      <c r="Y36" s="13" t="n">
        <f aca="false">SUMPRODUCT($F36:$W36,$F$5:$W$5)*DEMANDA!E$6</f>
        <v>15.5906527830754</v>
      </c>
      <c r="Z36" s="13" t="n">
        <f aca="false">SUMPRODUCT($F36:$W36,$F$6:$W$6)*DEMANDA!F$6</f>
        <v>21.1234211984507</v>
      </c>
      <c r="AA36" s="13" t="n">
        <f aca="false">SUMPRODUCT($F36:$W36,$F$7:$W$7)*DEMANDA!G$6</f>
        <v>36.1395068163521</v>
      </c>
      <c r="AB36" s="13" t="n">
        <f aca="false">SUMPRODUCT($F36:$W36,$F$8:$W$8)*DEMANDA!H$6</f>
        <v>38.597979540722</v>
      </c>
      <c r="AC36" s="13" t="n">
        <f aca="false">SUMPRODUCT($F36:$W36,$F$9:$W$9)*DEMANDA!I$6</f>
        <v>44.5256103243962</v>
      </c>
      <c r="AD36" s="13" t="n">
        <f aca="false">SUMPRODUCT($F36:$W36,$F$10:$W$10)*DEMANDA!J$6</f>
        <v>42.7540601280434</v>
      </c>
      <c r="AE36" s="13" t="n">
        <f aca="false">SUMPRODUCT($F36:$W36,$F$11:$W$11)*DEMANDA!K$6</f>
        <v>33.959071237721</v>
      </c>
      <c r="AF36" s="13" t="n">
        <f aca="false">SUMPRODUCT($F36:$W36,$F$12:$W$12)*DEMANDA!L$6</f>
        <v>25.9541380388106</v>
      </c>
      <c r="AG36" s="13" t="n">
        <f aca="false">SUMPRODUCT($F36:$W36,$F$13:$W$13)*DEMANDA!M$6</f>
        <v>26.9563725740881</v>
      </c>
      <c r="AH36" s="13" t="n">
        <f aca="false">SUMPRODUCT($F36:$W36,$F$14:$W$14)*DEMANDA!M$6</f>
        <v>2.24636438117401</v>
      </c>
    </row>
    <row r="37" customFormat="false" ht="15" hidden="false" customHeight="false" outlineLevel="0" collapsed="false">
      <c r="A37" s="3" t="s">
        <v>563</v>
      </c>
      <c r="B37" s="3" t="s">
        <v>330</v>
      </c>
      <c r="C37" s="3" t="s">
        <v>331</v>
      </c>
      <c r="D37" s="3" t="s">
        <v>214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12" t="n">
        <v>1</v>
      </c>
      <c r="X37" s="13" t="n">
        <f aca="false">SUMPRODUCT($F37:$W37,$F$4:$W$4)</f>
        <v>23.5984856954447</v>
      </c>
      <c r="Y37" s="13" t="n">
        <f aca="false">SUMPRODUCT($F37:$W37,$F$5:$W$5)</f>
        <v>73.9563111566799</v>
      </c>
      <c r="Z37" s="13" t="n">
        <f aca="false">SUMPRODUCT($F37:$W37,$F$6:$W$6)</f>
        <v>100.528589784151</v>
      </c>
      <c r="AA37" s="13" t="n">
        <f aca="false">SUMPRODUCT($F37:$W37,$F$7:$W$7)</f>
        <v>172.508767576254</v>
      </c>
      <c r="AB37" s="13" t="n">
        <f aca="false">SUMPRODUCT($F37:$W37,$F$8:$W$8)</f>
        <v>184.739690040356</v>
      </c>
      <c r="AC37" s="13" t="n">
        <f aca="false">SUMPRODUCT($F37:$W37,$F$9:$W$9)</f>
        <v>213.609463505413</v>
      </c>
      <c r="AD37" s="13" t="n">
        <f aca="false">SUMPRODUCT($F37:$W37,$F$10:$W$10)</f>
        <v>205.503479588238</v>
      </c>
      <c r="AE37" s="13" t="n">
        <f aca="false">SUMPRODUCT($F37:$W37,$F$11:$W$11)</f>
        <v>163.462681402593</v>
      </c>
      <c r="AF37" s="13" t="n">
        <f aca="false">SUMPRODUCT($F37:$W37,$F$12:$W$12)</f>
        <v>125.03839909499</v>
      </c>
      <c r="AG37" s="13" t="n">
        <f aca="false">SUMPRODUCT($F37:$W37,$F$13:$W$13)</f>
        <v>129.892396568768</v>
      </c>
      <c r="AH37" s="13" t="n">
        <f aca="false">SUMPRODUCT($F37:$W37,$F$14:$W$14)</f>
        <v>10.8243663807307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0"/>
    <pageSetUpPr fitToPage="true"/>
  </sheetPr>
  <dimension ref="A1:Y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15" topLeftCell="F16" activePane="bottomRight" state="frozen"/>
      <selection pane="topLeft" activeCell="A1" activeCellId="0" sqref="A1"/>
      <selection pane="topRight" activeCell="F1" activeCellId="0" sqref="F1"/>
      <selection pane="bottomLeft" activeCell="A16" activeCellId="0" sqref="A1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25" min="6" style="0" width="10"/>
  </cols>
  <sheetData>
    <row r="1" customFormat="false" ht="15" hidden="false" customHeight="false" outlineLevel="0" collapsed="false">
      <c r="A1" s="1" t="s">
        <v>564</v>
      </c>
    </row>
    <row r="3" customFormat="false" ht="30" hidden="false" customHeight="true" outlineLevel="0" collapsed="false">
      <c r="A3" s="2" t="s">
        <v>1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565</v>
      </c>
      <c r="G3" s="2" t="s">
        <v>566</v>
      </c>
      <c r="H3" s="2" t="s">
        <v>567</v>
      </c>
      <c r="I3" s="2" t="s">
        <v>568</v>
      </c>
      <c r="J3" s="2" t="s">
        <v>569</v>
      </c>
      <c r="K3" s="2" t="s">
        <v>570</v>
      </c>
      <c r="L3" s="2" t="s">
        <v>571</v>
      </c>
      <c r="M3" s="2" t="s">
        <v>572</v>
      </c>
      <c r="N3" s="2" t="s">
        <v>573</v>
      </c>
      <c r="O3" s="2" t="s">
        <v>152</v>
      </c>
      <c r="P3" s="2" t="s">
        <v>153</v>
      </c>
      <c r="Q3" s="2" t="s">
        <v>154</v>
      </c>
      <c r="R3" s="2" t="s">
        <v>155</v>
      </c>
      <c r="S3" s="2" t="s">
        <v>156</v>
      </c>
      <c r="T3" s="2" t="s">
        <v>157</v>
      </c>
      <c r="U3" s="2" t="s">
        <v>158</v>
      </c>
      <c r="V3" s="2" t="s">
        <v>159</v>
      </c>
      <c r="W3" s="2" t="s">
        <v>160</v>
      </c>
      <c r="X3" s="2" t="s">
        <v>161</v>
      </c>
      <c r="Y3" s="2" t="s">
        <v>162</v>
      </c>
    </row>
    <row r="4" customFormat="false" ht="15" hidden="false" customHeight="false" outlineLevel="0" collapsed="false">
      <c r="A4" s="8"/>
      <c r="B4" s="8"/>
      <c r="C4" s="8" t="s">
        <v>163</v>
      </c>
      <c r="D4" s="8"/>
      <c r="E4" s="8"/>
      <c r="F4" s="9" t="n">
        <f aca="false">DEMANDA!D42</f>
        <v>176.18353212184</v>
      </c>
      <c r="G4" s="9" t="n">
        <f aca="false">DEMANDA!D43</f>
        <v>99.7895717409201</v>
      </c>
      <c r="H4" s="9" t="n">
        <f aca="false">DEMANDA!D44</f>
        <v>42.9314087009201</v>
      </c>
      <c r="I4" s="9" t="n">
        <f aca="false">DEMANDA!D45</f>
        <v>28.7168679309201</v>
      </c>
      <c r="J4" s="9" t="n">
        <f aca="false">DEMANDA!D46</f>
        <v>100.89892011092</v>
      </c>
      <c r="K4" s="9" t="n">
        <f aca="false">DEMANDA!D47</f>
        <v>421.9843726</v>
      </c>
      <c r="L4" s="9" t="n">
        <f aca="false">DEMANDA!D48</f>
        <v>286.05400997644</v>
      </c>
      <c r="M4" s="9" t="n">
        <f aca="false">DEMANDA!D49</f>
        <v>59.1473904809201</v>
      </c>
      <c r="N4" s="9" t="n">
        <f aca="false">DEMANDA!D50</f>
        <v>28.7168679309201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customFormat="false" ht="15" hidden="false" customHeight="false" outlineLevel="0" collapsed="false">
      <c r="A5" s="8"/>
      <c r="B5" s="8"/>
      <c r="C5" s="8" t="s">
        <v>164</v>
      </c>
      <c r="D5" s="8"/>
      <c r="E5" s="8"/>
      <c r="F5" s="9" t="n">
        <f aca="false">DEMANDA!E42</f>
        <v>321.858322195692</v>
      </c>
      <c r="G5" s="9" t="n">
        <f aca="false">DEMANDA!E43</f>
        <v>160.189018131466</v>
      </c>
      <c r="H5" s="9" t="n">
        <f aca="false">DEMANDA!E44</f>
        <v>68.537321790546</v>
      </c>
      <c r="I5" s="9" t="n">
        <f aca="false">DEMANDA!E45</f>
        <v>45.696344300546</v>
      </c>
      <c r="J5" s="9" t="n">
        <f aca="false">DEMANDA!E46</f>
        <v>189.774975653306</v>
      </c>
      <c r="K5" s="9" t="n">
        <f aca="false">DEMANDA!E47</f>
        <v>772.3206222</v>
      </c>
      <c r="L5" s="9" t="n">
        <f aca="false">DEMANDA!E48</f>
        <v>494.98806526907</v>
      </c>
      <c r="M5" s="9" t="n">
        <f aca="false">DEMANDA!E49</f>
        <v>100.564071531466</v>
      </c>
      <c r="N5" s="9" t="n">
        <f aca="false">DEMANDA!E50</f>
        <v>45.696344300546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customFormat="false" ht="15" hidden="false" customHeight="false" outlineLevel="0" collapsed="false">
      <c r="A6" s="8"/>
      <c r="B6" s="8"/>
      <c r="C6" s="8" t="s">
        <v>165</v>
      </c>
      <c r="D6" s="8"/>
      <c r="E6" s="8"/>
      <c r="F6" s="9" t="n">
        <f aca="false">DEMANDA!F42</f>
        <v>439.279583642103</v>
      </c>
      <c r="G6" s="9" t="n">
        <f aca="false">DEMANDA!F43</f>
        <v>194.019501262932</v>
      </c>
      <c r="H6" s="9" t="n">
        <f aca="false">DEMANDA!F44</f>
        <v>83.1943828014661</v>
      </c>
      <c r="I6" s="9" t="n">
        <f aca="false">DEMANDA!F45</f>
        <v>55.275860700546</v>
      </c>
      <c r="J6" s="9" t="n">
        <f aca="false">DEMANDA!F46</f>
        <v>250.485672536784</v>
      </c>
      <c r="K6" s="9" t="n">
        <f aca="false">DEMANDA!F47</f>
        <v>1066.363722</v>
      </c>
      <c r="L6" s="9" t="n">
        <f aca="false">DEMANDA!F48</f>
        <v>634.889191439865</v>
      </c>
      <c r="M6" s="9" t="n">
        <f aca="false">DEMANDA!F49</f>
        <v>126.846226852012</v>
      </c>
      <c r="N6" s="9" t="n">
        <f aca="false">DEMANDA!F50</f>
        <v>55.275860700546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customFormat="false" ht="15" hidden="false" customHeight="false" outlineLevel="0" collapsed="false">
      <c r="A7" s="8"/>
      <c r="B7" s="8"/>
      <c r="C7" s="8" t="s">
        <v>166</v>
      </c>
      <c r="D7" s="8"/>
      <c r="E7" s="8"/>
      <c r="F7" s="9" t="n">
        <f aca="false">DEMANDA!G42</f>
        <v>606.545814581617</v>
      </c>
      <c r="G7" s="9" t="n">
        <f aca="false">DEMANDA!G43</f>
        <v>248.515363004024</v>
      </c>
      <c r="H7" s="9" t="n">
        <f aca="false">DEMANDA!G44</f>
        <v>106.839594162932</v>
      </c>
      <c r="I7" s="9" t="n">
        <f aca="false">DEMANDA!G45</f>
        <v>71.1256708514661</v>
      </c>
      <c r="J7" s="9" t="n">
        <f aca="false">DEMANDA!G46</f>
        <v>350.269968350434</v>
      </c>
      <c r="K7" s="9" t="n">
        <f aca="false">DEMANDA!G47</f>
        <v>1474.963344</v>
      </c>
      <c r="L7" s="9" t="n">
        <f aca="false">DEMANDA!G48</f>
        <v>852.185361517076</v>
      </c>
      <c r="M7" s="9" t="n">
        <f aca="false">DEMANDA!G49</f>
        <v>168.436733083478</v>
      </c>
      <c r="N7" s="9" t="n">
        <f aca="false">DEMANDA!G50</f>
        <v>71.1256708514661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customFormat="false" ht="15" hidden="false" customHeight="false" outlineLevel="0" collapsed="false">
      <c r="A8" s="8"/>
      <c r="B8" s="8"/>
      <c r="C8" s="8" t="s">
        <v>167</v>
      </c>
      <c r="D8" s="8"/>
      <c r="E8" s="8"/>
      <c r="F8" s="9" t="n">
        <f aca="false">DEMANDA!H42</f>
        <v>979.220064769261</v>
      </c>
      <c r="G8" s="9" t="n">
        <f aca="false">DEMANDA!H43</f>
        <v>361.217338356036</v>
      </c>
      <c r="H8" s="9" t="n">
        <f aca="false">DEMANDA!H44</f>
        <v>154.745762193104</v>
      </c>
      <c r="I8" s="9" t="n">
        <f aca="false">DEMANDA!H45</f>
        <v>103.250177352012</v>
      </c>
      <c r="J8" s="9" t="n">
        <f aca="false">DEMANDA!H46</f>
        <v>548.407028784631</v>
      </c>
      <c r="K8" s="9" t="n">
        <f aca="false">DEMANDA!H47</f>
        <v>2394.644883</v>
      </c>
      <c r="L8" s="9" t="n">
        <f aca="false">DEMANDA!H48</f>
        <v>1303.71490027196</v>
      </c>
      <c r="M8" s="9" t="n">
        <f aca="false">DEMANDA!H49</f>
        <v>257.23765972457</v>
      </c>
      <c r="N8" s="9" t="n">
        <f aca="false">DEMANDA!H50</f>
        <v>103.250177352012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customFormat="false" ht="15" hidden="false" customHeight="false" outlineLevel="0" collapsed="false">
      <c r="A9" s="8"/>
      <c r="B9" s="8"/>
      <c r="C9" s="8" t="s">
        <v>168</v>
      </c>
      <c r="D9" s="8"/>
      <c r="E9" s="8"/>
      <c r="F9" s="9" t="n">
        <f aca="false">DEMANDA!I42</f>
        <v>1374.74346785691</v>
      </c>
      <c r="G9" s="9" t="n">
        <f aca="false">DEMANDA!I43</f>
        <v>448.574690006754</v>
      </c>
      <c r="H9" s="9" t="n">
        <f aca="false">DEMANDA!I44</f>
        <v>192.30385301365</v>
      </c>
      <c r="I9" s="9" t="n">
        <f aca="false">DEMANDA!I45</f>
        <v>128.293701072558</v>
      </c>
      <c r="J9" s="9" t="n">
        <f aca="false">DEMANDA!I46</f>
        <v>754.189149828453</v>
      </c>
      <c r="K9" s="9" t="n">
        <f aca="false">DEMANDA!I47</f>
        <v>3311.547454</v>
      </c>
      <c r="L9" s="9" t="n">
        <f aca="false">DEMANDA!I48</f>
        <v>1768.19709770463</v>
      </c>
      <c r="M9" s="9" t="n">
        <f aca="false">DEMANDA!I49</f>
        <v>346.790874665662</v>
      </c>
      <c r="N9" s="9" t="n">
        <f aca="false">DEMANDA!I50</f>
        <v>128.005914661638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customFormat="false" ht="15" hidden="false" customHeight="false" outlineLevel="0" collapsed="false">
      <c r="A10" s="8"/>
      <c r="B10" s="8"/>
      <c r="C10" s="8" t="s">
        <v>169</v>
      </c>
      <c r="D10" s="8"/>
      <c r="E10" s="8"/>
      <c r="F10" s="9" t="n">
        <f aca="false">DEMANDA!J42</f>
        <v>1771.75917393363</v>
      </c>
      <c r="G10" s="9" t="n">
        <f aca="false">DEMANDA!J43</f>
        <v>574.679834647846</v>
      </c>
      <c r="H10" s="9" t="n">
        <f aca="false">DEMANDA!J44</f>
        <v>246.350970634196</v>
      </c>
      <c r="I10" s="9" t="n">
        <f aca="false">DEMANDA!J45</f>
        <v>164.042122782184</v>
      </c>
      <c r="J10" s="9" t="n">
        <f aca="false">DEMANDA!J46</f>
        <v>962.191134061354</v>
      </c>
      <c r="K10" s="9" t="n">
        <f aca="false">DEMANDA!J47</f>
        <v>4274.187843</v>
      </c>
      <c r="L10" s="9" t="n">
        <f aca="false">DEMANDA!J48</f>
        <v>2265.768348428</v>
      </c>
      <c r="M10" s="9" t="n">
        <f aca="false">DEMANDA!J49</f>
        <v>445.403985406754</v>
      </c>
      <c r="N10" s="9" t="n">
        <f aca="false">DEMANDA!J50</f>
        <v>164.315519872558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customFormat="false" ht="15" hidden="false" customHeight="false" outlineLevel="0" collapsed="false">
      <c r="A11" s="8"/>
      <c r="B11" s="8"/>
      <c r="C11" s="8" t="s">
        <v>170</v>
      </c>
      <c r="D11" s="8"/>
      <c r="E11" s="8"/>
      <c r="F11" s="9" t="n">
        <f aca="false">DEMANDA!K42</f>
        <v>2191.79065104613</v>
      </c>
      <c r="G11" s="9" t="n">
        <f aca="false">DEMANDA!K43</f>
        <v>712.493978988938</v>
      </c>
      <c r="H11" s="9" t="n">
        <f aca="false">DEMANDA!K44</f>
        <v>305.416230954742</v>
      </c>
      <c r="I11" s="9" t="n">
        <f aca="false">DEMANDA!K45</f>
        <v>203.697156593104</v>
      </c>
      <c r="J11" s="9" t="n">
        <f aca="false">DEMANDA!K46</f>
        <v>1193.07387486279</v>
      </c>
      <c r="K11" s="9" t="n">
        <f aca="false">DEMANDA!K47</f>
        <v>5292.394724</v>
      </c>
      <c r="L11" s="9" t="n">
        <f aca="false">DEMANDA!K48</f>
        <v>2799.56359799858</v>
      </c>
      <c r="M11" s="9" t="n">
        <f aca="false">DEMANDA!K49</f>
        <v>551.603913436926</v>
      </c>
      <c r="N11" s="9" t="n">
        <f aca="false">DEMANDA!K50</f>
        <v>203.409370182184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customFormat="false" ht="15" hidden="false" customHeight="false" outlineLevel="0" collapsed="false">
      <c r="A12" s="8"/>
      <c r="B12" s="8"/>
      <c r="C12" s="8" t="s">
        <v>171</v>
      </c>
      <c r="D12" s="8"/>
      <c r="E12" s="8"/>
      <c r="F12" s="9" t="n">
        <f aca="false">DEMANDA!L42</f>
        <v>2539.20672878865</v>
      </c>
      <c r="G12" s="9" t="n">
        <f aca="false">DEMANDA!L43</f>
        <v>836.54818721911</v>
      </c>
      <c r="H12" s="9" t="n">
        <f aca="false">DEMANDA!L44</f>
        <v>358.707712875288</v>
      </c>
      <c r="I12" s="9" t="n">
        <f aca="false">DEMANDA!L45</f>
        <v>238.94182120273</v>
      </c>
      <c r="J12" s="9" t="n">
        <f aca="false">DEMANDA!L46</f>
        <v>1411.35491673405</v>
      </c>
      <c r="K12" s="9" t="n">
        <f aca="false">DEMANDA!L47</f>
        <v>6125.204809</v>
      </c>
      <c r="L12" s="9" t="n">
        <f aca="false">DEMANDA!L48</f>
        <v>3269.30867659321</v>
      </c>
      <c r="M12" s="9" t="n">
        <f aca="false">DEMANDA!L49</f>
        <v>644.417874757472</v>
      </c>
      <c r="N12" s="9" t="n">
        <f aca="false">DEMANDA!L50</f>
        <v>239.215218293104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customFormat="false" ht="15" hidden="false" customHeight="false" outlineLevel="0" collapsed="false">
      <c r="A13" s="8"/>
      <c r="B13" s="8"/>
      <c r="C13" s="8" t="s">
        <v>172</v>
      </c>
      <c r="D13" s="8"/>
      <c r="E13" s="8"/>
      <c r="F13" s="9" t="n">
        <f aca="false">DEMANDA!M42</f>
        <v>2908.13500312285</v>
      </c>
      <c r="G13" s="9" t="n">
        <f aca="false">DEMANDA!M43</f>
        <v>971.509933050576</v>
      </c>
      <c r="H13" s="9" t="n">
        <f aca="false">DEMANDA!M44</f>
        <v>416.433346495834</v>
      </c>
      <c r="I13" s="9" t="n">
        <f aca="false">DEMANDA!M45</f>
        <v>277.70377041365</v>
      </c>
      <c r="J13" s="9" t="n">
        <f aca="false">DEMANDA!M46</f>
        <v>1650.60330969569</v>
      </c>
      <c r="K13" s="9" t="n">
        <f aca="false">DEMANDA!M47</f>
        <v>7005.27737</v>
      </c>
      <c r="L13" s="9" t="n">
        <f aca="false">DEMANDA!M48</f>
        <v>3776.01776725347</v>
      </c>
      <c r="M13" s="9" t="n">
        <f aca="false">DEMANDA!M49</f>
        <v>744.120454978018</v>
      </c>
      <c r="N13" s="9" t="n">
        <f aca="false">DEMANDA!M50</f>
        <v>277.41598400273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customFormat="false" ht="15" hidden="false" customHeight="false" outlineLevel="0" collapsed="false">
      <c r="A14" s="8"/>
      <c r="B14" s="8"/>
      <c r="C14" s="8" t="s">
        <v>173</v>
      </c>
      <c r="D14" s="8"/>
      <c r="E14" s="8"/>
      <c r="F14" s="9" t="n">
        <f aca="false">ESTACIONALIDAD!P46</f>
        <v>319.894850343514</v>
      </c>
      <c r="G14" s="9" t="n">
        <f aca="false">ESTACIONALIDAD!P47</f>
        <v>106.866092635563</v>
      </c>
      <c r="H14" s="9" t="n">
        <f aca="false">ESTACIONALIDAD!P48</f>
        <v>37.4790011846251</v>
      </c>
      <c r="I14" s="9" t="n">
        <f aca="false">ESTACIONALIDAD!P49</f>
        <v>30.5474147455015</v>
      </c>
      <c r="J14" s="9" t="n">
        <f aca="false">ESTACIONALIDAD!P50</f>
        <v>181.566364066526</v>
      </c>
      <c r="K14" s="9" t="n">
        <f aca="false">ESTACIONALIDAD!P51</f>
        <v>770.5805107</v>
      </c>
      <c r="L14" s="9" t="n">
        <f aca="false">ESTACIONALIDAD!P52</f>
        <v>415.361954397881</v>
      </c>
      <c r="M14" s="9" t="n">
        <f aca="false">ESTACIONALIDAD!P53</f>
        <v>81.853250047582</v>
      </c>
      <c r="N14" s="9" t="n">
        <f aca="false">ESTACIONALIDAD!P54</f>
        <v>30.5157582403003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customFormat="false" ht="15" hidden="false" customHeight="false" outlineLevel="0" collapsed="false">
      <c r="A15" s="11"/>
      <c r="B15" s="11"/>
      <c r="C15" s="11" t="s">
        <v>174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customFormat="false" ht="15" hidden="false" customHeight="false" outlineLevel="0" collapsed="false">
      <c r="A16" s="3" t="s">
        <v>574</v>
      </c>
      <c r="B16" s="3" t="s">
        <v>575</v>
      </c>
      <c r="C16" s="3" t="s">
        <v>576</v>
      </c>
      <c r="D16" s="3" t="s">
        <v>214</v>
      </c>
      <c r="E16" s="3"/>
      <c r="F16" s="12" t="n">
        <v>1</v>
      </c>
      <c r="G16" s="3"/>
      <c r="H16" s="3"/>
      <c r="I16" s="3"/>
      <c r="J16" s="3"/>
      <c r="K16" s="3"/>
      <c r="L16" s="3"/>
      <c r="M16" s="3"/>
      <c r="N16" s="3"/>
      <c r="O16" s="13" t="n">
        <f aca="false">SUMPRODUCT($F16:$N16,$F$4:$N$4)</f>
        <v>176.18353212184</v>
      </c>
      <c r="P16" s="13" t="n">
        <f aca="false">SUMPRODUCT($F16:$N16,$F$5:$N$5)</f>
        <v>321.858322195692</v>
      </c>
      <c r="Q16" s="13" t="n">
        <f aca="false">SUMPRODUCT($F16:$N16,$F$6:$N$6)</f>
        <v>439.279583642103</v>
      </c>
      <c r="R16" s="13" t="n">
        <f aca="false">SUMPRODUCT($F16:$N16,$F$7:$N$7)</f>
        <v>606.545814581617</v>
      </c>
      <c r="S16" s="13" t="n">
        <f aca="false">SUMPRODUCT($F16:$N16,$F$8:$N$8)</f>
        <v>979.220064769261</v>
      </c>
      <c r="T16" s="13" t="n">
        <f aca="false">SUMPRODUCT($F16:$N16,$F$9:$N$9)</f>
        <v>1374.74346785691</v>
      </c>
      <c r="U16" s="13" t="n">
        <f aca="false">SUMPRODUCT($F16:$N16,$F$10:$N$10)</f>
        <v>1771.75917393363</v>
      </c>
      <c r="V16" s="13" t="n">
        <f aca="false">SUMPRODUCT($F16:$N16,$F$11:$N$11)</f>
        <v>2191.79065104613</v>
      </c>
      <c r="W16" s="13" t="n">
        <f aca="false">SUMPRODUCT($F16:$N16,$F$12:$N$12)</f>
        <v>2539.20672878865</v>
      </c>
      <c r="X16" s="13" t="n">
        <f aca="false">SUMPRODUCT($F16:$N16,$F$13:$N$13)</f>
        <v>2908.13500312285</v>
      </c>
      <c r="Y16" s="13" t="n">
        <f aca="false">SUMPRODUCT($F16:$N16,$F$14:$N$14)</f>
        <v>319.894850343514</v>
      </c>
    </row>
    <row r="17" customFormat="false" ht="15" hidden="false" customHeight="false" outlineLevel="0" collapsed="false">
      <c r="A17" s="3" t="s">
        <v>577</v>
      </c>
      <c r="B17" s="3" t="s">
        <v>578</v>
      </c>
      <c r="C17" s="3" t="s">
        <v>579</v>
      </c>
      <c r="D17" s="3" t="s">
        <v>214</v>
      </c>
      <c r="E17" s="3"/>
      <c r="F17" s="3"/>
      <c r="G17" s="12" t="n">
        <v>1</v>
      </c>
      <c r="H17" s="3"/>
      <c r="I17" s="3"/>
      <c r="J17" s="3"/>
      <c r="K17" s="3"/>
      <c r="L17" s="3"/>
      <c r="M17" s="3"/>
      <c r="N17" s="3"/>
      <c r="O17" s="13" t="n">
        <f aca="false">SUMPRODUCT($F17:$N17,$F$4:$N$4)</f>
        <v>99.7895717409201</v>
      </c>
      <c r="P17" s="13" t="n">
        <f aca="false">SUMPRODUCT($F17:$N17,$F$5:$N$5)</f>
        <v>160.189018131466</v>
      </c>
      <c r="Q17" s="13" t="n">
        <f aca="false">SUMPRODUCT($F17:$N17,$F$6:$N$6)</f>
        <v>194.019501262932</v>
      </c>
      <c r="R17" s="13" t="n">
        <f aca="false">SUMPRODUCT($F17:$N17,$F$7:$N$7)</f>
        <v>248.515363004024</v>
      </c>
      <c r="S17" s="13" t="n">
        <f aca="false">SUMPRODUCT($F17:$N17,$F$8:$N$8)</f>
        <v>361.217338356036</v>
      </c>
      <c r="T17" s="13" t="n">
        <f aca="false">SUMPRODUCT($F17:$N17,$F$9:$N$9)</f>
        <v>448.574690006754</v>
      </c>
      <c r="U17" s="13" t="n">
        <f aca="false">SUMPRODUCT($F17:$N17,$F$10:$N$10)</f>
        <v>574.679834647846</v>
      </c>
      <c r="V17" s="13" t="n">
        <f aca="false">SUMPRODUCT($F17:$N17,$F$11:$N$11)</f>
        <v>712.493978988938</v>
      </c>
      <c r="W17" s="13" t="n">
        <f aca="false">SUMPRODUCT($F17:$N17,$F$12:$N$12)</f>
        <v>836.54818721911</v>
      </c>
      <c r="X17" s="13" t="n">
        <f aca="false">SUMPRODUCT($F17:$N17,$F$13:$N$13)</f>
        <v>971.509933050576</v>
      </c>
      <c r="Y17" s="13" t="n">
        <f aca="false">SUMPRODUCT($F17:$N17,$F$14:$N$14)</f>
        <v>106.866092635563</v>
      </c>
    </row>
    <row r="18" customFormat="false" ht="15" hidden="false" customHeight="false" outlineLevel="0" collapsed="false">
      <c r="A18" s="3" t="s">
        <v>580</v>
      </c>
      <c r="B18" s="3" t="s">
        <v>581</v>
      </c>
      <c r="C18" s="3" t="s">
        <v>582</v>
      </c>
      <c r="D18" s="3" t="s">
        <v>214</v>
      </c>
      <c r="E18" s="3"/>
      <c r="F18" s="3"/>
      <c r="G18" s="3"/>
      <c r="H18" s="12" t="n">
        <v>1</v>
      </c>
      <c r="I18" s="3"/>
      <c r="J18" s="3"/>
      <c r="K18" s="3"/>
      <c r="L18" s="3"/>
      <c r="M18" s="3"/>
      <c r="N18" s="3"/>
      <c r="O18" s="13" t="n">
        <f aca="false">SUMPRODUCT($F18:$N18,$F$4:$N$4)</f>
        <v>42.9314087009201</v>
      </c>
      <c r="P18" s="13" t="n">
        <f aca="false">SUMPRODUCT($F18:$N18,$F$5:$N$5)</f>
        <v>68.537321790546</v>
      </c>
      <c r="Q18" s="13" t="n">
        <f aca="false">SUMPRODUCT($F18:$N18,$F$6:$N$6)</f>
        <v>83.1943828014661</v>
      </c>
      <c r="R18" s="13" t="n">
        <f aca="false">SUMPRODUCT($F18:$N18,$F$7:$N$7)</f>
        <v>106.839594162932</v>
      </c>
      <c r="S18" s="13" t="n">
        <f aca="false">SUMPRODUCT($F18:$N18,$F$8:$N$8)</f>
        <v>154.745762193104</v>
      </c>
      <c r="T18" s="13" t="n">
        <f aca="false">SUMPRODUCT($F18:$N18,$F$9:$N$9)</f>
        <v>192.30385301365</v>
      </c>
      <c r="U18" s="13" t="n">
        <f aca="false">SUMPRODUCT($F18:$N18,$F$10:$N$10)</f>
        <v>246.350970634196</v>
      </c>
      <c r="V18" s="13" t="n">
        <f aca="false">SUMPRODUCT($F18:$N18,$F$11:$N$11)</f>
        <v>305.416230954742</v>
      </c>
      <c r="W18" s="13" t="n">
        <f aca="false">SUMPRODUCT($F18:$N18,$F$12:$N$12)</f>
        <v>358.707712875288</v>
      </c>
      <c r="X18" s="13" t="n">
        <f aca="false">SUMPRODUCT($F18:$N18,$F$13:$N$13)</f>
        <v>416.433346495834</v>
      </c>
      <c r="Y18" s="13" t="n">
        <f aca="false">SUMPRODUCT($F18:$N18,$F$14:$N$14)</f>
        <v>37.4790011846251</v>
      </c>
    </row>
    <row r="19" customFormat="false" ht="15" hidden="false" customHeight="false" outlineLevel="0" collapsed="false">
      <c r="A19" s="3" t="s">
        <v>583</v>
      </c>
      <c r="B19" s="3" t="s">
        <v>584</v>
      </c>
      <c r="C19" s="3" t="s">
        <v>585</v>
      </c>
      <c r="D19" s="3" t="s">
        <v>214</v>
      </c>
      <c r="E19" s="3"/>
      <c r="F19" s="3"/>
      <c r="G19" s="3"/>
      <c r="H19" s="3"/>
      <c r="I19" s="12" t="n">
        <v>1</v>
      </c>
      <c r="J19" s="3"/>
      <c r="K19" s="3"/>
      <c r="L19" s="3"/>
      <c r="M19" s="3"/>
      <c r="N19" s="3"/>
      <c r="O19" s="13" t="n">
        <f aca="false">SUMPRODUCT($F19:$N19,$F$4:$N$4)</f>
        <v>28.7168679309201</v>
      </c>
      <c r="P19" s="13" t="n">
        <f aca="false">SUMPRODUCT($F19:$N19,$F$5:$N$5)</f>
        <v>45.696344300546</v>
      </c>
      <c r="Q19" s="13" t="n">
        <f aca="false">SUMPRODUCT($F19:$N19,$F$6:$N$6)</f>
        <v>55.275860700546</v>
      </c>
      <c r="R19" s="13" t="n">
        <f aca="false">SUMPRODUCT($F19:$N19,$F$7:$N$7)</f>
        <v>71.1256708514661</v>
      </c>
      <c r="S19" s="13" t="n">
        <f aca="false">SUMPRODUCT($F19:$N19,$F$8:$N$8)</f>
        <v>103.250177352012</v>
      </c>
      <c r="T19" s="13" t="n">
        <f aca="false">SUMPRODUCT($F19:$N19,$F$9:$N$9)</f>
        <v>128.293701072558</v>
      </c>
      <c r="U19" s="13" t="n">
        <f aca="false">SUMPRODUCT($F19:$N19,$F$10:$N$10)</f>
        <v>164.042122782184</v>
      </c>
      <c r="V19" s="13" t="n">
        <f aca="false">SUMPRODUCT($F19:$N19,$F$11:$N$11)</f>
        <v>203.697156593104</v>
      </c>
      <c r="W19" s="13" t="n">
        <f aca="false">SUMPRODUCT($F19:$N19,$F$12:$N$12)</f>
        <v>238.94182120273</v>
      </c>
      <c r="X19" s="13" t="n">
        <f aca="false">SUMPRODUCT($F19:$N19,$F$13:$N$13)</f>
        <v>277.70377041365</v>
      </c>
      <c r="Y19" s="13" t="n">
        <f aca="false">SUMPRODUCT($F19:$N19,$F$14:$N$14)</f>
        <v>30.5474147455015</v>
      </c>
    </row>
    <row r="20" customFormat="false" ht="15" hidden="false" customHeight="false" outlineLevel="0" collapsed="false">
      <c r="A20" s="3" t="s">
        <v>586</v>
      </c>
      <c r="B20" s="3" t="s">
        <v>587</v>
      </c>
      <c r="C20" s="3" t="s">
        <v>588</v>
      </c>
      <c r="D20" s="3" t="s">
        <v>214</v>
      </c>
      <c r="E20" s="3"/>
      <c r="F20" s="3"/>
      <c r="G20" s="3"/>
      <c r="H20" s="3"/>
      <c r="I20" s="3"/>
      <c r="J20" s="12" t="n">
        <v>1</v>
      </c>
      <c r="K20" s="3"/>
      <c r="L20" s="3"/>
      <c r="M20" s="3"/>
      <c r="N20" s="3"/>
      <c r="O20" s="13" t="n">
        <f aca="false">SUMPRODUCT($F20:$N20,$F$4:$N$4)</f>
        <v>100.89892011092</v>
      </c>
      <c r="P20" s="13" t="n">
        <f aca="false">SUMPRODUCT($F20:$N20,$F$5:$N$5)</f>
        <v>189.774975653306</v>
      </c>
      <c r="Q20" s="13" t="n">
        <f aca="false">SUMPRODUCT($F20:$N20,$F$6:$N$6)</f>
        <v>250.485672536784</v>
      </c>
      <c r="R20" s="13" t="n">
        <f aca="false">SUMPRODUCT($F20:$N20,$F$7:$N$7)</f>
        <v>350.269968350434</v>
      </c>
      <c r="S20" s="13" t="n">
        <f aca="false">SUMPRODUCT($F20:$N20,$F$8:$N$8)</f>
        <v>548.407028784631</v>
      </c>
      <c r="T20" s="13" t="n">
        <f aca="false">SUMPRODUCT($F20:$N20,$F$9:$N$9)</f>
        <v>754.189149828453</v>
      </c>
      <c r="U20" s="13" t="n">
        <f aca="false">SUMPRODUCT($F20:$N20,$F$10:$N$10)</f>
        <v>962.191134061354</v>
      </c>
      <c r="V20" s="13" t="n">
        <f aca="false">SUMPRODUCT($F20:$N20,$F$11:$N$11)</f>
        <v>1193.07387486279</v>
      </c>
      <c r="W20" s="13" t="n">
        <f aca="false">SUMPRODUCT($F20:$N20,$F$12:$N$12)</f>
        <v>1411.35491673405</v>
      </c>
      <c r="X20" s="13" t="n">
        <f aca="false">SUMPRODUCT($F20:$N20,$F$13:$N$13)</f>
        <v>1650.60330969569</v>
      </c>
      <c r="Y20" s="13" t="n">
        <f aca="false">SUMPRODUCT($F20:$N20,$F$14:$N$14)</f>
        <v>181.566364066526</v>
      </c>
    </row>
    <row r="21" customFormat="false" ht="15" hidden="false" customHeight="false" outlineLevel="0" collapsed="false">
      <c r="A21" s="3" t="s">
        <v>589</v>
      </c>
      <c r="B21" s="3" t="s">
        <v>590</v>
      </c>
      <c r="C21" s="3" t="s">
        <v>591</v>
      </c>
      <c r="D21" s="3" t="s">
        <v>214</v>
      </c>
      <c r="E21" s="3"/>
      <c r="F21" s="3"/>
      <c r="G21" s="3"/>
      <c r="H21" s="3"/>
      <c r="I21" s="3"/>
      <c r="J21" s="3"/>
      <c r="K21" s="12" t="n">
        <v>1</v>
      </c>
      <c r="L21" s="3"/>
      <c r="M21" s="3"/>
      <c r="N21" s="3"/>
      <c r="O21" s="13" t="n">
        <f aca="false">SUMPRODUCT($F21:$N21,$F$4:$N$4)</f>
        <v>421.9843726</v>
      </c>
      <c r="P21" s="13" t="n">
        <f aca="false">SUMPRODUCT($F21:$N21,$F$5:$N$5)</f>
        <v>772.3206222</v>
      </c>
      <c r="Q21" s="13" t="n">
        <f aca="false">SUMPRODUCT($F21:$N21,$F$6:$N$6)</f>
        <v>1066.363722</v>
      </c>
      <c r="R21" s="13" t="n">
        <f aca="false">SUMPRODUCT($F21:$N21,$F$7:$N$7)</f>
        <v>1474.963344</v>
      </c>
      <c r="S21" s="13" t="n">
        <f aca="false">SUMPRODUCT($F21:$N21,$F$8:$N$8)</f>
        <v>2394.644883</v>
      </c>
      <c r="T21" s="13" t="n">
        <f aca="false">SUMPRODUCT($F21:$N21,$F$9:$N$9)</f>
        <v>3311.547454</v>
      </c>
      <c r="U21" s="13" t="n">
        <f aca="false">SUMPRODUCT($F21:$N21,$F$10:$N$10)</f>
        <v>4274.187843</v>
      </c>
      <c r="V21" s="13" t="n">
        <f aca="false">SUMPRODUCT($F21:$N21,$F$11:$N$11)</f>
        <v>5292.394724</v>
      </c>
      <c r="W21" s="13" t="n">
        <f aca="false">SUMPRODUCT($F21:$N21,$F$12:$N$12)</f>
        <v>6125.204809</v>
      </c>
      <c r="X21" s="13" t="n">
        <f aca="false">SUMPRODUCT($F21:$N21,$F$13:$N$13)</f>
        <v>7005.27737</v>
      </c>
      <c r="Y21" s="13" t="n">
        <f aca="false">SUMPRODUCT($F21:$N21,$F$14:$N$14)</f>
        <v>770.5805107</v>
      </c>
    </row>
    <row r="22" customFormat="false" ht="15" hidden="false" customHeight="false" outlineLevel="0" collapsed="false">
      <c r="A22" s="3" t="s">
        <v>592</v>
      </c>
      <c r="B22" s="3" t="s">
        <v>593</v>
      </c>
      <c r="C22" s="3" t="s">
        <v>594</v>
      </c>
      <c r="D22" s="3" t="s">
        <v>214</v>
      </c>
      <c r="E22" s="3"/>
      <c r="F22" s="3"/>
      <c r="G22" s="3"/>
      <c r="H22" s="3"/>
      <c r="I22" s="3"/>
      <c r="J22" s="3"/>
      <c r="K22" s="3"/>
      <c r="L22" s="12" t="n">
        <v>1</v>
      </c>
      <c r="M22" s="3"/>
      <c r="N22" s="3"/>
      <c r="O22" s="13" t="n">
        <f aca="false">SUMPRODUCT($F22:$N22,$F$4:$N$4)</f>
        <v>286.05400997644</v>
      </c>
      <c r="P22" s="13" t="n">
        <f aca="false">SUMPRODUCT($F22:$N22,$F$5:$N$5)</f>
        <v>494.98806526907</v>
      </c>
      <c r="Q22" s="13" t="n">
        <f aca="false">SUMPRODUCT($F22:$N22,$F$6:$N$6)</f>
        <v>634.889191439865</v>
      </c>
      <c r="R22" s="13" t="n">
        <f aca="false">SUMPRODUCT($F22:$N22,$F$7:$N$7)</f>
        <v>852.185361517076</v>
      </c>
      <c r="S22" s="13" t="n">
        <f aca="false">SUMPRODUCT($F22:$N22,$F$8:$N$8)</f>
        <v>1303.71490027196</v>
      </c>
      <c r="T22" s="13" t="n">
        <f aca="false">SUMPRODUCT($F22:$N22,$F$9:$N$9)</f>
        <v>1768.19709770463</v>
      </c>
      <c r="U22" s="13" t="n">
        <f aca="false">SUMPRODUCT($F22:$N22,$F$10:$N$10)</f>
        <v>2265.768348428</v>
      </c>
      <c r="V22" s="13" t="n">
        <f aca="false">SUMPRODUCT($F22:$N22,$F$11:$N$11)</f>
        <v>2799.56359799858</v>
      </c>
      <c r="W22" s="13" t="n">
        <f aca="false">SUMPRODUCT($F22:$N22,$F$12:$N$12)</f>
        <v>3269.30867659321</v>
      </c>
      <c r="X22" s="13" t="n">
        <f aca="false">SUMPRODUCT($F22:$N22,$F$13:$N$13)</f>
        <v>3776.01776725347</v>
      </c>
      <c r="Y22" s="13" t="n">
        <f aca="false">SUMPRODUCT($F22:$N22,$F$14:$N$14)</f>
        <v>415.361954397881</v>
      </c>
    </row>
    <row r="23" customFormat="false" ht="15" hidden="false" customHeight="false" outlineLevel="0" collapsed="false">
      <c r="A23" s="3" t="s">
        <v>595</v>
      </c>
      <c r="B23" s="3" t="s">
        <v>596</v>
      </c>
      <c r="C23" s="3" t="s">
        <v>597</v>
      </c>
      <c r="D23" s="3" t="s">
        <v>214</v>
      </c>
      <c r="E23" s="3"/>
      <c r="F23" s="3"/>
      <c r="G23" s="3"/>
      <c r="H23" s="3"/>
      <c r="I23" s="3"/>
      <c r="J23" s="3"/>
      <c r="K23" s="3"/>
      <c r="L23" s="3"/>
      <c r="M23" s="12" t="n">
        <v>1</v>
      </c>
      <c r="N23" s="3"/>
      <c r="O23" s="13" t="n">
        <f aca="false">SUMPRODUCT($F23:$N23,$F$4:$N$4)</f>
        <v>59.1473904809201</v>
      </c>
      <c r="P23" s="13" t="n">
        <f aca="false">SUMPRODUCT($F23:$N23,$F$5:$N$5)</f>
        <v>100.564071531466</v>
      </c>
      <c r="Q23" s="13" t="n">
        <f aca="false">SUMPRODUCT($F23:$N23,$F$6:$N$6)</f>
        <v>126.846226852012</v>
      </c>
      <c r="R23" s="13" t="n">
        <f aca="false">SUMPRODUCT($F23:$N23,$F$7:$N$7)</f>
        <v>168.436733083478</v>
      </c>
      <c r="S23" s="13" t="n">
        <f aca="false">SUMPRODUCT($F23:$N23,$F$8:$N$8)</f>
        <v>257.23765972457</v>
      </c>
      <c r="T23" s="13" t="n">
        <f aca="false">SUMPRODUCT($F23:$N23,$F$9:$N$9)</f>
        <v>346.790874665662</v>
      </c>
      <c r="U23" s="13" t="n">
        <f aca="false">SUMPRODUCT($F23:$N23,$F$10:$N$10)</f>
        <v>445.403985406754</v>
      </c>
      <c r="V23" s="13" t="n">
        <f aca="false">SUMPRODUCT($F23:$N23,$F$11:$N$11)</f>
        <v>551.603913436926</v>
      </c>
      <c r="W23" s="13" t="n">
        <f aca="false">SUMPRODUCT($F23:$N23,$F$12:$N$12)</f>
        <v>644.417874757472</v>
      </c>
      <c r="X23" s="13" t="n">
        <f aca="false">SUMPRODUCT($F23:$N23,$F$13:$N$13)</f>
        <v>744.120454978018</v>
      </c>
      <c r="Y23" s="13" t="n">
        <f aca="false">SUMPRODUCT($F23:$N23,$F$14:$N$14)</f>
        <v>81.853250047582</v>
      </c>
    </row>
    <row r="24" customFormat="false" ht="15" hidden="false" customHeight="false" outlineLevel="0" collapsed="false">
      <c r="A24" s="3" t="s">
        <v>598</v>
      </c>
      <c r="B24" s="3" t="s">
        <v>599</v>
      </c>
      <c r="C24" s="3" t="s">
        <v>600</v>
      </c>
      <c r="D24" s="3" t="s">
        <v>214</v>
      </c>
      <c r="E24" s="3"/>
      <c r="F24" s="3"/>
      <c r="G24" s="3"/>
      <c r="H24" s="3"/>
      <c r="I24" s="3"/>
      <c r="J24" s="3"/>
      <c r="K24" s="3"/>
      <c r="L24" s="3"/>
      <c r="M24" s="3"/>
      <c r="N24" s="12" t="n">
        <v>1</v>
      </c>
      <c r="O24" s="13" t="n">
        <f aca="false">SUMPRODUCT($F24:$N24,$F$4:$N$4)</f>
        <v>28.7168679309201</v>
      </c>
      <c r="P24" s="13" t="n">
        <f aca="false">SUMPRODUCT($F24:$N24,$F$5:$N$5)</f>
        <v>45.696344300546</v>
      </c>
      <c r="Q24" s="13" t="n">
        <f aca="false">SUMPRODUCT($F24:$N24,$F$6:$N$6)</f>
        <v>55.275860700546</v>
      </c>
      <c r="R24" s="13" t="n">
        <f aca="false">SUMPRODUCT($F24:$N24,$F$7:$N$7)</f>
        <v>71.1256708514661</v>
      </c>
      <c r="S24" s="13" t="n">
        <f aca="false">SUMPRODUCT($F24:$N24,$F$8:$N$8)</f>
        <v>103.250177352012</v>
      </c>
      <c r="T24" s="13" t="n">
        <f aca="false">SUMPRODUCT($F24:$N24,$F$9:$N$9)</f>
        <v>128.005914661638</v>
      </c>
      <c r="U24" s="13" t="n">
        <f aca="false">SUMPRODUCT($F24:$N24,$F$10:$N$10)</f>
        <v>164.315519872558</v>
      </c>
      <c r="V24" s="13" t="n">
        <f aca="false">SUMPRODUCT($F24:$N24,$F$11:$N$11)</f>
        <v>203.409370182184</v>
      </c>
      <c r="W24" s="13" t="n">
        <f aca="false">SUMPRODUCT($F24:$N24,$F$12:$N$12)</f>
        <v>239.215218293104</v>
      </c>
      <c r="X24" s="13" t="n">
        <f aca="false">SUMPRODUCT($F24:$N24,$F$13:$N$13)</f>
        <v>277.41598400273</v>
      </c>
      <c r="Y24" s="13" t="n">
        <f aca="false">SUMPRODUCT($F24:$N24,$F$14:$N$14)</f>
        <v>30.5157582403003</v>
      </c>
    </row>
    <row r="25" customFormat="false" ht="15" hidden="false" customHeight="false" outlineLevel="0" collapsed="false">
      <c r="A25" s="3" t="s">
        <v>601</v>
      </c>
      <c r="B25" s="3" t="s">
        <v>308</v>
      </c>
      <c r="C25" s="3" t="s">
        <v>309</v>
      </c>
      <c r="D25" s="3" t="s">
        <v>214</v>
      </c>
      <c r="E25" s="3" t="s">
        <v>310</v>
      </c>
      <c r="F25" s="12" t="n">
        <v>1</v>
      </c>
      <c r="G25" s="12" t="n">
        <v>1</v>
      </c>
      <c r="H25" s="12" t="n">
        <v>1</v>
      </c>
      <c r="I25" s="12" t="n">
        <v>1</v>
      </c>
      <c r="J25" s="12" t="n">
        <v>1</v>
      </c>
      <c r="K25" s="12" t="n">
        <v>1</v>
      </c>
      <c r="L25" s="12" t="n">
        <v>1</v>
      </c>
      <c r="M25" s="12" t="n">
        <v>1</v>
      </c>
      <c r="N25" s="12" t="n">
        <v>1</v>
      </c>
      <c r="O25" s="13" t="n">
        <f aca="false">SUMPRODUCT($F25:$N25,$F$4:$N$4)*DEMANDA!D$5</f>
        <v>290.140929392147</v>
      </c>
      <c r="P25" s="13" t="n">
        <f aca="false">SUMPRODUCT($F25:$N25,$F$5:$N$5)*DEMANDA!E$5</f>
        <v>512.655086069294</v>
      </c>
      <c r="Q25" s="13" t="n">
        <f aca="false">SUMPRODUCT($F25:$N25,$F$6:$N$6)*DEMANDA!F$5</f>
        <v>677.18530454542</v>
      </c>
      <c r="R25" s="13" t="n">
        <f aca="false">SUMPRODUCT($F25:$N25,$F$7:$N$7)*DEMANDA!G$5</f>
        <v>920.846271271713</v>
      </c>
      <c r="S25" s="13" t="n">
        <f aca="false">SUMPRODUCT($F25:$N25,$F$8:$N$8)*DEMANDA!H$5</f>
        <v>1447.72174859025</v>
      </c>
      <c r="T25" s="13" t="n">
        <f aca="false">SUMPRODUCT($F25:$N25,$F$9:$N$9)*DEMANDA!I$5</f>
        <v>1974.27216233534</v>
      </c>
      <c r="U25" s="13" t="n">
        <f aca="false">SUMPRODUCT($F25:$N25,$F$10:$N$10)*DEMANDA!J$5</f>
        <v>2543.06443280441</v>
      </c>
      <c r="V25" s="13" t="n">
        <f aca="false">SUMPRODUCT($F25:$N25,$F$11:$N$11)*DEMANDA!K$5</f>
        <v>3155.39565781571</v>
      </c>
      <c r="W25" s="13" t="n">
        <f aca="false">SUMPRODUCT($F25:$N25,$F$12:$N$12)*DEMANDA!L$5</f>
        <v>3685.08727160268</v>
      </c>
      <c r="X25" s="13" t="n">
        <f aca="false">SUMPRODUCT($F25:$N25,$F$13:$N$13)*DEMANDA!M$5</f>
        <v>4258.3020622765</v>
      </c>
      <c r="Y25" s="13" t="n">
        <f aca="false">SUMPRODUCT($F25:$N25,$F$14:$N$14)*DEMANDA!M$5</f>
        <v>466.445869399531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0"/>
    <pageSetUpPr fitToPage="true"/>
  </sheetPr>
  <dimension ref="A1:R1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"/>
    <col collapsed="false" customWidth="true" hidden="false" outlineLevel="0" max="3" min="3" style="0" width="6"/>
    <col collapsed="false" customWidth="true" hidden="false" outlineLevel="0" max="18" min="4" style="0" width="11"/>
  </cols>
  <sheetData>
    <row r="1" customFormat="false" ht="15" hidden="false" customHeight="false" outlineLevel="0" collapsed="false">
      <c r="A1" s="1" t="s">
        <v>602</v>
      </c>
    </row>
    <row r="3" customFormat="false" ht="30" hidden="false" customHeight="true" outlineLevel="0" collapsed="false">
      <c r="A3" s="2" t="s">
        <v>140</v>
      </c>
      <c r="B3" s="2" t="s">
        <v>141</v>
      </c>
      <c r="C3" s="2" t="s">
        <v>142</v>
      </c>
      <c r="D3" s="2" t="s">
        <v>603</v>
      </c>
      <c r="E3" s="2" t="s">
        <v>604</v>
      </c>
      <c r="F3" s="2" t="s">
        <v>605</v>
      </c>
      <c r="G3" s="2" t="s">
        <v>606</v>
      </c>
      <c r="H3" s="2" t="s">
        <v>152</v>
      </c>
      <c r="I3" s="2" t="s">
        <v>153</v>
      </c>
      <c r="J3" s="2" t="s">
        <v>154</v>
      </c>
      <c r="K3" s="2" t="s">
        <v>155</v>
      </c>
      <c r="L3" s="2" t="s">
        <v>156</v>
      </c>
      <c r="M3" s="2" t="s">
        <v>157</v>
      </c>
      <c r="N3" s="2" t="s">
        <v>158</v>
      </c>
      <c r="O3" s="2" t="s">
        <v>159</v>
      </c>
      <c r="P3" s="2" t="s">
        <v>160</v>
      </c>
      <c r="Q3" s="2" t="s">
        <v>161</v>
      </c>
      <c r="R3" s="2" t="s">
        <v>162</v>
      </c>
    </row>
    <row r="4" customFormat="false" ht="15" hidden="false" customHeight="false" outlineLevel="0" collapsed="false">
      <c r="A4" s="3" t="s">
        <v>176</v>
      </c>
      <c r="B4" s="3" t="s">
        <v>177</v>
      </c>
      <c r="C4" s="3" t="s">
        <v>178</v>
      </c>
      <c r="D4" s="13" t="n">
        <f aca="false">SUMIF(MANUALES!$B$16:$B$72,$A4,MANUALES!W$16:W$72)</f>
        <v>8809.59300565217</v>
      </c>
      <c r="E4" s="13" t="n">
        <f aca="false">SUMIF(RODANTES!$B$16:$B$72,$A4,RODANTES!W$16:W$72)</f>
        <v>0</v>
      </c>
      <c r="F4" s="13" t="n">
        <f aca="false">SUMIF(RECARGAS!$B$16:$B$37,$A4,RECARGAS!AG$16:AG$37)</f>
        <v>0</v>
      </c>
      <c r="G4" s="13" t="n">
        <f aca="false">SUMIF(REVENDIDOS!$B$16:$B$25,$A4,REVENDIDOS!X$16:X$25)</f>
        <v>0</v>
      </c>
      <c r="H4" s="13" t="n">
        <f aca="false">SUMIF(MANUALES!$B$16:$B$72,$A4,MANUALES!N$16:N$72)+SUMIF(RODANTES!$B$16:$B$72,$A4,RODANTES!N$16:N$72)+SUMIF(RECARGAS!$B$16:$B$37,$A4,RECARGAS!X$16:X$37)+SUMIF(REVENDIDOS!$B$16:$B$25,$A4,REVENDIDOS!O$16:O$25)</f>
        <v>181.684197521739</v>
      </c>
      <c r="I4" s="13" t="n">
        <f aca="false">SUMIF(MANUALES!$B$16:$B$72,$A4,MANUALES!O$16:O$72)+SUMIF(RODANTES!$B$16:$B$72,$A4,RODANTES!O$16:O$72)+SUMIF(RECARGAS!$B$16:$B$37,$A4,RECARGAS!Y$16:Y$37)+SUMIF(REVENDIDOS!$B$16:$B$25,$A4,REVENDIDOS!P$16:P$25)</f>
        <v>260.752346826087</v>
      </c>
      <c r="J4" s="13" t="n">
        <f aca="false">SUMIF(MANUALES!$B$16:$B$72,$A4,MANUALES!P$16:P$72)+SUMIF(RODANTES!$B$16:$B$72,$A4,RODANTES!P$16:P$72)+SUMIF(RECARGAS!$B$16:$B$37,$A4,RECARGAS!Z$16:Z$37)+SUMIF(REVENDIDOS!$B$16:$B$25,$A4,REVENDIDOS!Q$16:Q$25)</f>
        <v>631.049902521739</v>
      </c>
      <c r="K4" s="13" t="n">
        <f aca="false">SUMIF(MANUALES!$B$16:$B$72,$A4,MANUALES!Q$16:Q$72)+SUMIF(RODANTES!$B$16:$B$72,$A4,RODANTES!Q$16:Q$72)+SUMIF(RECARGAS!$B$16:$B$37,$A4,RECARGAS!AA$16:AA$37)+SUMIF(REVENDIDOS!$B$16:$B$25,$A4,REVENDIDOS!R$16:R$25)</f>
        <v>1528.77980647826</v>
      </c>
      <c r="L4" s="13" t="n">
        <f aca="false">SUMIF(MANUALES!$B$16:$B$72,$A4,MANUALES!R$16:R$72)+SUMIF(RODANTES!$B$16:$B$72,$A4,RODANTES!R$16:R$72)+SUMIF(RECARGAS!$B$16:$B$37,$A4,RECARGAS!AB$16:AB$37)+SUMIF(REVENDIDOS!$B$16:$B$25,$A4,REVENDIDOS!S$16:S$25)</f>
        <v>2700.6709873913</v>
      </c>
      <c r="M4" s="13" t="n">
        <f aca="false">SUMIF(MANUALES!$B$16:$B$72,$A4,MANUALES!S$16:S$72)+SUMIF(RODANTES!$B$16:$B$72,$A4,RODANTES!S$16:S$72)+SUMIF(RECARGAS!$B$16:$B$37,$A4,RECARGAS!AC$16:AC$37)+SUMIF(REVENDIDOS!$B$16:$B$25,$A4,REVENDIDOS!T$16:T$25)</f>
        <v>3795.6718726087</v>
      </c>
      <c r="N4" s="13" t="n">
        <f aca="false">SUMIF(MANUALES!$B$16:$B$72,$A4,MANUALES!T$16:T$72)+SUMIF(RODANTES!$B$16:$B$72,$A4,RODANTES!T$16:T$72)+SUMIF(RECARGAS!$B$16:$B$37,$A4,RECARGAS!AD$16:AD$37)+SUMIF(REVENDIDOS!$B$16:$B$25,$A4,REVENDIDOS!U$16:U$25)</f>
        <v>5290.13709826087</v>
      </c>
      <c r="O4" s="13" t="n">
        <f aca="false">SUMIF(MANUALES!$B$16:$B$72,$A4,MANUALES!U$16:U$72)+SUMIF(RODANTES!$B$16:$B$72,$A4,RODANTES!U$16:U$72)+SUMIF(RECARGAS!$B$16:$B$37,$A4,RECARGAS!AE$16:AE$37)+SUMIF(REVENDIDOS!$B$16:$B$25,$A4,REVENDIDOS!V$16:V$25)</f>
        <v>6788.39471652174</v>
      </c>
      <c r="P4" s="13" t="n">
        <f aca="false">SUMIF(MANUALES!$B$16:$B$72,$A4,MANUALES!V$16:V$72)+SUMIF(RODANTES!$B$16:$B$72,$A4,RODANTES!V$16:V$72)+SUMIF(RECARGAS!$B$16:$B$37,$A4,RECARGAS!AF$16:AF$37)+SUMIF(REVENDIDOS!$B$16:$B$25,$A4,REVENDIDOS!W$16:W$25)</f>
        <v>7625.78852782609</v>
      </c>
      <c r="Q4" s="13" t="n">
        <f aca="false">SUMIF(MANUALES!$B$16:$B$72,$A4,MANUALES!W$16:W$72)+SUMIF(RODANTES!$B$16:$B$72,$A4,RODANTES!W$16:W$72)+SUMIF(RECARGAS!$B$16:$B$37,$A4,RECARGAS!AG$16:AG$37)+SUMIF(REVENDIDOS!$B$16:$B$25,$A4,REVENDIDOS!X$16:X$25)</f>
        <v>8809.59300565217</v>
      </c>
      <c r="R4" s="13" t="n">
        <f aca="false">SUMIF(MANUALES!$B$16:$B$72,$A4,MANUALES!X$16:X$72)+SUMIF(RODANTES!$B$16:$B$72,$A4,RODANTES!X$16:X$72)+SUMIF(RECARGAS!$B$16:$B$37,$A4,RECARGAS!AH$16:AH$37)+SUMIF(REVENDIDOS!$B$16:$B$25,$A4,REVENDIDOS!Y$16:Y$25)</f>
        <v>1057.15116067826</v>
      </c>
    </row>
    <row r="5" customFormat="false" ht="15" hidden="false" customHeight="false" outlineLevel="0" collapsed="false">
      <c r="A5" s="3" t="s">
        <v>180</v>
      </c>
      <c r="B5" s="3" t="s">
        <v>181</v>
      </c>
      <c r="C5" s="3" t="s">
        <v>182</v>
      </c>
      <c r="D5" s="13" t="n">
        <f aca="false">SUMIF(MANUALES!$B$16:$B$72,$A5,MANUALES!W$16:W$72)</f>
        <v>521.994757185185</v>
      </c>
      <c r="E5" s="13" t="n">
        <f aca="false">SUMIF(RODANTES!$B$16:$B$72,$A5,RODANTES!W$16:W$72)</f>
        <v>0</v>
      </c>
      <c r="F5" s="13" t="n">
        <f aca="false">SUMIF(RECARGAS!$B$16:$B$37,$A5,RECARGAS!AG$16:AG$37)</f>
        <v>0</v>
      </c>
      <c r="G5" s="13" t="n">
        <f aca="false">SUMIF(REVENDIDOS!$B$16:$B$25,$A5,REVENDIDOS!X$16:X$25)</f>
        <v>0</v>
      </c>
      <c r="H5" s="13" t="n">
        <f aca="false">SUMIF(MANUALES!$B$16:$B$72,$A5,MANUALES!N$16:N$72)+SUMIF(RODANTES!$B$16:$B$72,$A5,RODANTES!N$16:N$72)+SUMIF(RECARGAS!$B$16:$B$37,$A5,RECARGAS!X$16:X$37)+SUMIF(REVENDIDOS!$B$16:$B$25,$A5,REVENDIDOS!O$16:O$25)</f>
        <v>10.9270502666667</v>
      </c>
      <c r="I5" s="13" t="n">
        <f aca="false">SUMIF(MANUALES!$B$16:$B$72,$A5,MANUALES!O$16:O$72)+SUMIF(RODANTES!$B$16:$B$72,$A5,RODANTES!O$16:O$72)+SUMIF(RECARGAS!$B$16:$B$37,$A5,RECARGAS!Y$16:Y$37)+SUMIF(REVENDIDOS!$B$16:$B$25,$A5,REVENDIDOS!P$16:P$25)</f>
        <v>26.286201862963</v>
      </c>
      <c r="J5" s="13" t="n">
        <f aca="false">SUMIF(MANUALES!$B$16:$B$72,$A5,MANUALES!P$16:P$72)+SUMIF(RODANTES!$B$16:$B$72,$A5,RODANTES!P$16:P$72)+SUMIF(RECARGAS!$B$16:$B$37,$A5,RECARGAS!Z$16:Z$37)+SUMIF(REVENDIDOS!$B$16:$B$25,$A5,REVENDIDOS!Q$16:Q$25)</f>
        <v>47.6469650962963</v>
      </c>
      <c r="K5" s="13" t="n">
        <f aca="false">SUMIF(MANUALES!$B$16:$B$72,$A5,MANUALES!Q$16:Q$72)+SUMIF(RODANTES!$B$16:$B$72,$A5,RODANTES!Q$16:Q$72)+SUMIF(RECARGAS!$B$16:$B$37,$A5,RECARGAS!AA$16:AA$37)+SUMIF(REVENDIDOS!$B$16:$B$25,$A5,REVENDIDOS!R$16:R$25)</f>
        <v>94.2384508888889</v>
      </c>
      <c r="L5" s="13" t="n">
        <f aca="false">SUMIF(MANUALES!$B$16:$B$72,$A5,MANUALES!R$16:R$72)+SUMIF(RODANTES!$B$16:$B$72,$A5,RODANTES!R$16:R$72)+SUMIF(RECARGAS!$B$16:$B$37,$A5,RECARGAS!AB$16:AB$37)+SUMIF(REVENDIDOS!$B$16:$B$25,$A5,REVENDIDOS!S$16:S$25)</f>
        <v>157.245471333333</v>
      </c>
      <c r="M5" s="13" t="n">
        <f aca="false">SUMIF(MANUALES!$B$16:$B$72,$A5,MANUALES!S$16:S$72)+SUMIF(RODANTES!$B$16:$B$72,$A5,RODANTES!S$16:S$72)+SUMIF(RECARGAS!$B$16:$B$37,$A5,RECARGAS!AC$16:AC$37)+SUMIF(REVENDIDOS!$B$16:$B$25,$A5,REVENDIDOS!T$16:T$25)</f>
        <v>224.291477296296</v>
      </c>
      <c r="N5" s="13" t="n">
        <f aca="false">SUMIF(MANUALES!$B$16:$B$72,$A5,MANUALES!T$16:T$72)+SUMIF(RODANTES!$B$16:$B$72,$A5,RODANTES!T$16:T$72)+SUMIF(RECARGAS!$B$16:$B$37,$A5,RECARGAS!AD$16:AD$37)+SUMIF(REVENDIDOS!$B$16:$B$25,$A5,REVENDIDOS!U$16:U$25)</f>
        <v>298.715389777778</v>
      </c>
      <c r="O5" s="13" t="n">
        <f aca="false">SUMIF(MANUALES!$B$16:$B$72,$A5,MANUALES!U$16:U$72)+SUMIF(RODANTES!$B$16:$B$72,$A5,RODANTES!U$16:U$72)+SUMIF(RECARGAS!$B$16:$B$37,$A5,RECARGAS!AE$16:AE$37)+SUMIF(REVENDIDOS!$B$16:$B$25,$A5,REVENDIDOS!V$16:V$25)</f>
        <v>378.789132851852</v>
      </c>
      <c r="P5" s="13" t="n">
        <f aca="false">SUMIF(MANUALES!$B$16:$B$72,$A5,MANUALES!V$16:V$72)+SUMIF(RODANTES!$B$16:$B$72,$A5,RODANTES!V$16:V$72)+SUMIF(RECARGAS!$B$16:$B$37,$A5,RECARGAS!AF$16:AF$37)+SUMIF(REVENDIDOS!$B$16:$B$25,$A5,REVENDIDOS!W$16:W$25)</f>
        <v>442.095786777778</v>
      </c>
      <c r="Q5" s="13" t="n">
        <f aca="false">SUMIF(MANUALES!$B$16:$B$72,$A5,MANUALES!W$16:W$72)+SUMIF(RODANTES!$B$16:$B$72,$A5,RODANTES!W$16:W$72)+SUMIF(RECARGAS!$B$16:$B$37,$A5,RECARGAS!AG$16:AG$37)+SUMIF(REVENDIDOS!$B$16:$B$25,$A5,REVENDIDOS!X$16:X$25)</f>
        <v>521.994757185185</v>
      </c>
      <c r="R5" s="13" t="n">
        <f aca="false">SUMIF(MANUALES!$B$16:$B$72,$A5,MANUALES!X$16:X$72)+SUMIF(RODANTES!$B$16:$B$72,$A5,RODANTES!X$16:X$72)+SUMIF(RECARGAS!$B$16:$B$37,$A5,RECARGAS!AH$16:AH$37)+SUMIF(REVENDIDOS!$B$16:$B$25,$A5,REVENDIDOS!Y$16:Y$25)</f>
        <v>57.4194232903704</v>
      </c>
    </row>
    <row r="6" customFormat="false" ht="15" hidden="false" customHeight="false" outlineLevel="0" collapsed="false">
      <c r="A6" s="3" t="s">
        <v>184</v>
      </c>
      <c r="B6" s="3" t="s">
        <v>185</v>
      </c>
      <c r="C6" s="3" t="s">
        <v>182</v>
      </c>
      <c r="D6" s="13" t="n">
        <f aca="false">SUMIF(MANUALES!$B$16:$B$72,$A6,MANUALES!W$16:W$72)</f>
        <v>5445.31422385447</v>
      </c>
      <c r="E6" s="13" t="n">
        <f aca="false">SUMIF(RODANTES!$B$16:$B$72,$A6,RODANTES!W$16:W$72)</f>
        <v>0</v>
      </c>
      <c r="F6" s="13" t="n">
        <f aca="false">SUMIF(RECARGAS!$B$16:$B$37,$A6,RECARGAS!AG$16:AG$37)</f>
        <v>0</v>
      </c>
      <c r="G6" s="13" t="n">
        <f aca="false">SUMIF(REVENDIDOS!$B$16:$B$25,$A6,REVENDIDOS!X$16:X$25)</f>
        <v>0</v>
      </c>
      <c r="H6" s="13" t="n">
        <f aca="false">SUMIF(MANUALES!$B$16:$B$72,$A6,MANUALES!N$16:N$72)+SUMIF(RODANTES!$B$16:$B$72,$A6,RODANTES!N$16:N$72)+SUMIF(RECARGAS!$B$16:$B$37,$A6,RECARGAS!X$16:X$37)+SUMIF(REVENDIDOS!$B$16:$B$25,$A6,REVENDIDOS!O$16:O$25)</f>
        <v>227.32529740733</v>
      </c>
      <c r="I6" s="13" t="n">
        <f aca="false">SUMIF(MANUALES!$B$16:$B$72,$A6,MANUALES!O$16:O$72)+SUMIF(RODANTES!$B$16:$B$72,$A6,RODANTES!O$16:O$72)+SUMIF(RECARGAS!$B$16:$B$37,$A6,RECARGAS!Y$16:Y$37)+SUMIF(REVENDIDOS!$B$16:$B$25,$A6,REVENDIDOS!P$16:P$25)</f>
        <v>457.409219348824</v>
      </c>
      <c r="J6" s="13" t="n">
        <f aca="false">SUMIF(MANUALES!$B$16:$B$72,$A6,MANUALES!P$16:P$72)+SUMIF(RODANTES!$B$16:$B$72,$A6,RODANTES!P$16:P$72)+SUMIF(RECARGAS!$B$16:$B$37,$A6,RECARGAS!Z$16:Z$37)+SUMIF(REVENDIDOS!$B$16:$B$25,$A6,REVENDIDOS!Q$16:Q$25)</f>
        <v>723.782124729442</v>
      </c>
      <c r="K6" s="13" t="n">
        <f aca="false">SUMIF(MANUALES!$B$16:$B$72,$A6,MANUALES!Q$16:Q$72)+SUMIF(RODANTES!$B$16:$B$72,$A6,RODANTES!Q$16:Q$72)+SUMIF(RECARGAS!$B$16:$B$37,$A6,RECARGAS!AA$16:AA$37)+SUMIF(REVENDIDOS!$B$16:$B$25,$A6,REVENDIDOS!R$16:R$25)</f>
        <v>1297.74231610135</v>
      </c>
      <c r="L6" s="13" t="n">
        <f aca="false">SUMIF(MANUALES!$B$16:$B$72,$A6,MANUALES!R$16:R$72)+SUMIF(RODANTES!$B$16:$B$72,$A6,RODANTES!R$16:R$72)+SUMIF(RECARGAS!$B$16:$B$37,$A6,RECARGAS!AB$16:AB$37)+SUMIF(REVENDIDOS!$B$16:$B$25,$A6,REVENDIDOS!S$16:S$25)</f>
        <v>2002.98927790921</v>
      </c>
      <c r="M6" s="13" t="n">
        <f aca="false">SUMIF(MANUALES!$B$16:$B$72,$A6,MANUALES!S$16:S$72)+SUMIF(RODANTES!$B$16:$B$72,$A6,RODANTES!S$16:S$72)+SUMIF(RECARGAS!$B$16:$B$37,$A6,RECARGAS!AC$16:AC$37)+SUMIF(REVENDIDOS!$B$16:$B$25,$A6,REVENDIDOS!T$16:T$25)</f>
        <v>2714.27174679247</v>
      </c>
      <c r="N6" s="13" t="n">
        <f aca="false">SUMIF(MANUALES!$B$16:$B$72,$A6,MANUALES!T$16:T$72)+SUMIF(RODANTES!$B$16:$B$72,$A6,RODANTES!T$16:T$72)+SUMIF(RECARGAS!$B$16:$B$37,$A6,RECARGAS!AD$16:AD$37)+SUMIF(REVENDIDOS!$B$16:$B$25,$A6,REVENDIDOS!U$16:U$25)</f>
        <v>3516.09018520898</v>
      </c>
      <c r="O6" s="13" t="n">
        <f aca="false">SUMIF(MANUALES!$B$16:$B$72,$A6,MANUALES!U$16:U$72)+SUMIF(RODANTES!$B$16:$B$72,$A6,RODANTES!U$16:U$72)+SUMIF(RECARGAS!$B$16:$B$37,$A6,RECARGAS!AE$16:AE$37)+SUMIF(REVENDIDOS!$B$16:$B$25,$A6,REVENDIDOS!V$16:V$25)</f>
        <v>4273.7782056395</v>
      </c>
      <c r="P6" s="13" t="n">
        <f aca="false">SUMIF(MANUALES!$B$16:$B$72,$A6,MANUALES!V$16:V$72)+SUMIF(RODANTES!$B$16:$B$72,$A6,RODANTES!V$16:V$72)+SUMIF(RECARGAS!$B$16:$B$37,$A6,RECARGAS!AF$16:AF$37)+SUMIF(REVENDIDOS!$B$16:$B$25,$A6,REVENDIDOS!W$16:W$25)</f>
        <v>4745.76664334082</v>
      </c>
      <c r="Q6" s="13" t="n">
        <f aca="false">SUMIF(MANUALES!$B$16:$B$72,$A6,MANUALES!W$16:W$72)+SUMIF(RODANTES!$B$16:$B$72,$A6,RODANTES!W$16:W$72)+SUMIF(RECARGAS!$B$16:$B$37,$A6,RECARGAS!AG$16:AG$37)+SUMIF(REVENDIDOS!$B$16:$B$25,$A6,REVENDIDOS!X$16:X$25)</f>
        <v>5445.31422385447</v>
      </c>
      <c r="R6" s="13" t="n">
        <f aca="false">SUMIF(MANUALES!$B$16:$B$72,$A6,MANUALES!X$16:X$72)+SUMIF(RODANTES!$B$16:$B$72,$A6,RODANTES!X$16:X$72)+SUMIF(RECARGAS!$B$16:$B$37,$A6,RECARGAS!AH$16:AH$37)+SUMIF(REVENDIDOS!$B$16:$B$25,$A6,REVENDIDOS!Y$16:Y$25)</f>
        <v>598.984564623992</v>
      </c>
    </row>
    <row r="7" customFormat="false" ht="15" hidden="false" customHeight="false" outlineLevel="0" collapsed="false">
      <c r="A7" s="3" t="s">
        <v>187</v>
      </c>
      <c r="B7" s="3" t="s">
        <v>188</v>
      </c>
      <c r="C7" s="3" t="s">
        <v>182</v>
      </c>
      <c r="D7" s="13" t="n">
        <f aca="false">SUMIF(MANUALES!$B$16:$B$72,$A7,MANUALES!W$16:W$72)</f>
        <v>256.925131546466</v>
      </c>
      <c r="E7" s="13" t="n">
        <f aca="false">SUMIF(RODANTES!$B$16:$B$72,$A7,RODANTES!W$16:W$72)</f>
        <v>0</v>
      </c>
      <c r="F7" s="13" t="n">
        <f aca="false">SUMIF(RECARGAS!$B$16:$B$37,$A7,RECARGAS!AG$16:AG$37)</f>
        <v>0</v>
      </c>
      <c r="G7" s="13" t="n">
        <f aca="false">SUMIF(REVENDIDOS!$B$16:$B$25,$A7,REVENDIDOS!X$16:X$25)</f>
        <v>0</v>
      </c>
      <c r="H7" s="13" t="n">
        <f aca="false">SUMIF(MANUALES!$B$16:$B$72,$A7,MANUALES!N$16:N$72)+SUMIF(RODANTES!$B$16:$B$72,$A7,RODANTES!N$16:N$72)+SUMIF(RECARGAS!$B$16:$B$37,$A7,RECARGAS!X$16:X$37)+SUMIF(REVENDIDOS!$B$16:$B$25,$A7,REVENDIDOS!O$16:O$25)</f>
        <v>6.16058362345601</v>
      </c>
      <c r="I7" s="13" t="n">
        <f aca="false">SUMIF(MANUALES!$B$16:$B$72,$A7,MANUALES!O$16:O$72)+SUMIF(RODANTES!$B$16:$B$72,$A7,RODANTES!O$16:O$72)+SUMIF(RECARGAS!$B$16:$B$37,$A7,RECARGAS!Y$16:Y$37)+SUMIF(REVENDIDOS!$B$16:$B$25,$A7,REVENDIDOS!P$16:P$25)</f>
        <v>11.8759623049235</v>
      </c>
      <c r="J7" s="13" t="n">
        <f aca="false">SUMIF(MANUALES!$B$16:$B$72,$A7,MANUALES!P$16:P$72)+SUMIF(RODANTES!$B$16:$B$72,$A7,RODANTES!P$16:P$72)+SUMIF(RECARGAS!$B$16:$B$37,$A7,RECARGAS!Z$16:Z$37)+SUMIF(REVENDIDOS!$B$16:$B$25,$A7,REVENDIDOS!Q$16:Q$25)</f>
        <v>23.0310154186114</v>
      </c>
      <c r="K7" s="13" t="n">
        <f aca="false">SUMIF(MANUALES!$B$16:$B$72,$A7,MANUALES!Q$16:Q$72)+SUMIF(RODANTES!$B$16:$B$72,$A7,RODANTES!Q$16:Q$72)+SUMIF(RECARGAS!$B$16:$B$37,$A7,RECARGAS!AA$16:AA$37)+SUMIF(REVENDIDOS!$B$16:$B$25,$A7,REVENDIDOS!R$16:R$25)</f>
        <v>45.0714020037168</v>
      </c>
      <c r="L7" s="13" t="n">
        <f aca="false">SUMIF(MANUALES!$B$16:$B$72,$A7,MANUALES!R$16:R$72)+SUMIF(RODANTES!$B$16:$B$72,$A7,RODANTES!R$16:R$72)+SUMIF(RECARGAS!$B$16:$B$37,$A7,RECARGAS!AB$16:AB$37)+SUMIF(REVENDIDOS!$B$16:$B$25,$A7,REVENDIDOS!S$16:S$25)</f>
        <v>79.2683196433528</v>
      </c>
      <c r="M7" s="13" t="n">
        <f aca="false">SUMIF(MANUALES!$B$16:$B$72,$A7,MANUALES!S$16:S$72)+SUMIF(RODANTES!$B$16:$B$72,$A7,RODANTES!S$16:S$72)+SUMIF(RECARGAS!$B$16:$B$37,$A7,RECARGAS!AC$16:AC$37)+SUMIF(REVENDIDOS!$B$16:$B$25,$A7,REVENDIDOS!T$16:T$25)</f>
        <v>114.801116763803</v>
      </c>
      <c r="N7" s="13" t="n">
        <f aca="false">SUMIF(MANUALES!$B$16:$B$72,$A7,MANUALES!T$16:T$72)+SUMIF(RODANTES!$B$16:$B$72,$A7,RODANTES!T$16:T$72)+SUMIF(RECARGAS!$B$16:$B$37,$A7,RECARGAS!AD$16:AD$37)+SUMIF(REVENDIDOS!$B$16:$B$25,$A7,REVENDIDOS!U$16:U$25)</f>
        <v>155.050331610748</v>
      </c>
      <c r="O7" s="13" t="n">
        <f aca="false">SUMIF(MANUALES!$B$16:$B$72,$A7,MANUALES!U$16:U$72)+SUMIF(RODANTES!$B$16:$B$72,$A7,RODANTES!U$16:U$72)+SUMIF(RECARGAS!$B$16:$B$37,$A7,RECARGAS!AE$16:AE$37)+SUMIF(REVENDIDOS!$B$16:$B$25,$A7,REVENDIDOS!V$16:V$25)</f>
        <v>196.17450662683</v>
      </c>
      <c r="P7" s="13" t="n">
        <f aca="false">SUMIF(MANUALES!$B$16:$B$72,$A7,MANUALES!V$16:V$72)+SUMIF(RODANTES!$B$16:$B$72,$A7,RODANTES!V$16:V$72)+SUMIF(RECARGAS!$B$16:$B$37,$A7,RECARGAS!AF$16:AF$37)+SUMIF(REVENDIDOS!$B$16:$B$25,$A7,REVENDIDOS!W$16:W$25)</f>
        <v>223.066319200345</v>
      </c>
      <c r="Q7" s="13" t="n">
        <f aca="false">SUMIF(MANUALES!$B$16:$B$72,$A7,MANUALES!W$16:W$72)+SUMIF(RODANTES!$B$16:$B$72,$A7,RODANTES!W$16:W$72)+SUMIF(RECARGAS!$B$16:$B$37,$A7,RECARGAS!AG$16:AG$37)+SUMIF(REVENDIDOS!$B$16:$B$25,$A7,REVENDIDOS!X$16:X$25)</f>
        <v>256.925131546466</v>
      </c>
      <c r="R7" s="13" t="n">
        <f aca="false">SUMIF(MANUALES!$B$16:$B$72,$A7,MANUALES!X$16:X$72)+SUMIF(RODANTES!$B$16:$B$72,$A7,RODANTES!X$16:X$72)+SUMIF(RECARGAS!$B$16:$B$37,$A7,RECARGAS!AH$16:AH$37)+SUMIF(REVENDIDOS!$B$16:$B$25,$A7,REVENDIDOS!Y$16:Y$25)</f>
        <v>28.2617644701112</v>
      </c>
    </row>
    <row r="8" customFormat="false" ht="15" hidden="false" customHeight="false" outlineLevel="0" collapsed="false">
      <c r="A8" s="3" t="s">
        <v>190</v>
      </c>
      <c r="B8" s="3" t="s">
        <v>191</v>
      </c>
      <c r="C8" s="3" t="s">
        <v>192</v>
      </c>
      <c r="D8" s="13" t="n">
        <f aca="false">SUMIF(MANUALES!$B$16:$B$72,$A8,MANUALES!W$16:W$72)</f>
        <v>15992.8835182459</v>
      </c>
      <c r="E8" s="13" t="n">
        <f aca="false">SUMIF(RODANTES!$B$16:$B$72,$A8,RODANTES!W$16:W$72)</f>
        <v>0</v>
      </c>
      <c r="F8" s="13" t="n">
        <f aca="false">SUMIF(RECARGAS!$B$16:$B$37,$A8,RECARGAS!AG$16:AG$37)</f>
        <v>0</v>
      </c>
      <c r="G8" s="13" t="n">
        <f aca="false">SUMIF(REVENDIDOS!$B$16:$B$25,$A8,REVENDIDOS!X$16:X$25)</f>
        <v>0</v>
      </c>
      <c r="H8" s="13" t="n">
        <f aca="false">SUMIF(MANUALES!$B$16:$B$72,$A8,MANUALES!N$16:N$72)+SUMIF(RODANTES!$B$16:$B$72,$A8,RODANTES!N$16:N$72)+SUMIF(RECARGAS!$B$16:$B$37,$A8,RECARGAS!X$16:X$37)+SUMIF(REVENDIDOS!$B$16:$B$25,$A8,REVENDIDOS!O$16:O$25)</f>
        <v>329.828427511568</v>
      </c>
      <c r="I8" s="13" t="n">
        <f aca="false">SUMIF(MANUALES!$B$16:$B$72,$A8,MANUALES!O$16:O$72)+SUMIF(RODANTES!$B$16:$B$72,$A8,RODANTES!O$16:O$72)+SUMIF(RECARGAS!$B$16:$B$37,$A8,RECARGAS!Y$16:Y$37)+SUMIF(REVENDIDOS!$B$16:$B$25,$A8,REVENDIDOS!P$16:P$25)</f>
        <v>473.368282419326</v>
      </c>
      <c r="J8" s="13" t="n">
        <f aca="false">SUMIF(MANUALES!$B$16:$B$72,$A8,MANUALES!P$16:P$72)+SUMIF(RODANTES!$B$16:$B$72,$A8,RODANTES!P$16:P$72)+SUMIF(RECARGAS!$B$16:$B$37,$A8,RECARGAS!Z$16:Z$37)+SUMIF(REVENDIDOS!$B$16:$B$25,$A8,REVENDIDOS!Q$16:Q$25)</f>
        <v>1145.60429508554</v>
      </c>
      <c r="K8" s="13" t="n">
        <f aca="false">SUMIF(MANUALES!$B$16:$B$72,$A8,MANUALES!Q$16:Q$72)+SUMIF(RODANTES!$B$16:$B$72,$A8,RODANTES!Q$16:Q$72)+SUMIF(RECARGAS!$B$16:$B$37,$A8,RECARGAS!AA$16:AA$37)+SUMIF(REVENDIDOS!$B$16:$B$25,$A8,REVENDIDOS!R$16:R$25)</f>
        <v>2775.33790203097</v>
      </c>
      <c r="L8" s="13" t="n">
        <f aca="false">SUMIF(MANUALES!$B$16:$B$72,$A8,MANUALES!R$16:R$72)+SUMIF(RODANTES!$B$16:$B$72,$A8,RODANTES!R$16:R$72)+SUMIF(RECARGAS!$B$16:$B$37,$A8,RECARGAS!AB$16:AB$37)+SUMIF(REVENDIDOS!$B$16:$B$25,$A8,REVENDIDOS!S$16:S$25)</f>
        <v>4902.78228457819</v>
      </c>
      <c r="M8" s="13" t="n">
        <f aca="false">SUMIF(MANUALES!$B$16:$B$72,$A8,MANUALES!S$16:S$72)+SUMIF(RODANTES!$B$16:$B$72,$A8,RODANTES!S$16:S$72)+SUMIF(RECARGAS!$B$16:$B$37,$A8,RECARGAS!AC$16:AC$37)+SUMIF(REVENDIDOS!$B$16:$B$25,$A8,REVENDIDOS!T$16:T$25)</f>
        <v>6890.64047489665</v>
      </c>
      <c r="N8" s="13" t="n">
        <f aca="false">SUMIF(MANUALES!$B$16:$B$72,$A8,MANUALES!T$16:T$72)+SUMIF(RODANTES!$B$16:$B$72,$A8,RODANTES!T$16:T$72)+SUMIF(RECARGAS!$B$16:$B$37,$A8,RECARGAS!AD$16:AD$37)+SUMIF(REVENDIDOS!$B$16:$B$25,$A8,REVENDIDOS!U$16:U$25)</f>
        <v>9603.68388797939</v>
      </c>
      <c r="O8" s="13" t="n">
        <f aca="false">SUMIF(MANUALES!$B$16:$B$72,$A8,MANUALES!U$16:U$72)+SUMIF(RODANTES!$B$16:$B$72,$A8,RODANTES!U$16:U$72)+SUMIF(RECARGAS!$B$16:$B$37,$A8,RECARGAS!AE$16:AE$37)+SUMIF(REVENDIDOS!$B$16:$B$25,$A8,REVENDIDOS!V$16:V$25)</f>
        <v>12323.6119883805</v>
      </c>
      <c r="P8" s="13" t="n">
        <f aca="false">SUMIF(MANUALES!$B$16:$B$72,$A8,MANUALES!V$16:V$72)+SUMIF(RODANTES!$B$16:$B$72,$A8,RODANTES!V$16:V$72)+SUMIF(RECARGAS!$B$16:$B$37,$A8,RECARGAS!AF$16:AF$37)+SUMIF(REVENDIDOS!$B$16:$B$25,$A8,REVENDIDOS!W$16:W$25)</f>
        <v>13843.8118062947</v>
      </c>
      <c r="Q8" s="13" t="n">
        <f aca="false">SUMIF(MANUALES!$B$16:$B$72,$A8,MANUALES!W$16:W$72)+SUMIF(RODANTES!$B$16:$B$72,$A8,RODANTES!W$16:W$72)+SUMIF(RECARGAS!$B$16:$B$37,$A8,RECARGAS!AG$16:AG$37)+SUMIF(REVENDIDOS!$B$16:$B$25,$A8,REVENDIDOS!X$16:X$25)</f>
        <v>15992.8835182459</v>
      </c>
      <c r="R8" s="13" t="n">
        <f aca="false">SUMIF(MANUALES!$B$16:$B$72,$A8,MANUALES!X$16:X$72)+SUMIF(RODANTES!$B$16:$B$72,$A8,RODANTES!X$16:X$72)+SUMIF(RECARGAS!$B$16:$B$37,$A8,RECARGAS!AH$16:AH$37)+SUMIF(REVENDIDOS!$B$16:$B$25,$A8,REVENDIDOS!Y$16:Y$25)</f>
        <v>1919.14602218951</v>
      </c>
    </row>
    <row r="9" customFormat="false" ht="15" hidden="false" customHeight="false" outlineLevel="0" collapsed="false">
      <c r="A9" s="3" t="s">
        <v>194</v>
      </c>
      <c r="B9" s="3" t="s">
        <v>195</v>
      </c>
      <c r="C9" s="3" t="s">
        <v>192</v>
      </c>
      <c r="D9" s="13" t="n">
        <f aca="false">SUMIF(MANUALES!$B$16:$B$72,$A9,MANUALES!W$16:W$72)</f>
        <v>30867.038208215</v>
      </c>
      <c r="E9" s="13" t="n">
        <f aca="false">SUMIF(RODANTES!$B$16:$B$72,$A9,RODANTES!W$16:W$72)</f>
        <v>0</v>
      </c>
      <c r="F9" s="13" t="n">
        <f aca="false">SUMIF(RECARGAS!$B$16:$B$37,$A9,RECARGAS!AG$16:AG$37)</f>
        <v>0</v>
      </c>
      <c r="G9" s="13" t="n">
        <f aca="false">SUMIF(REVENDIDOS!$B$16:$B$25,$A9,REVENDIDOS!X$16:X$25)</f>
        <v>0</v>
      </c>
      <c r="H9" s="13" t="n">
        <f aca="false">SUMIF(MANUALES!$B$16:$B$72,$A9,MANUALES!N$16:N$72)+SUMIF(RODANTES!$B$16:$B$72,$A9,RODANTES!N$16:N$72)+SUMIF(RECARGAS!$B$16:$B$37,$A9,RECARGAS!X$16:X$37)+SUMIF(REVENDIDOS!$B$16:$B$25,$A9,REVENDIDOS!O$16:O$25)</f>
        <v>636.584807395111</v>
      </c>
      <c r="I9" s="13" t="n">
        <f aca="false">SUMIF(MANUALES!$B$16:$B$72,$A9,MANUALES!O$16:O$72)+SUMIF(RODANTES!$B$16:$B$72,$A9,RODANTES!O$16:O$72)+SUMIF(RECARGAS!$B$16:$B$37,$A9,RECARGAS!Y$16:Y$37)+SUMIF(REVENDIDOS!$B$16:$B$25,$A9,REVENDIDOS!P$16:P$25)</f>
        <v>913.623665383702</v>
      </c>
      <c r="J9" s="13" t="n">
        <f aca="false">SUMIF(MANUALES!$B$16:$B$72,$A9,MANUALES!P$16:P$72)+SUMIF(RODANTES!$B$16:$B$72,$A9,RODANTES!P$16:P$72)+SUMIF(RECARGAS!$B$16:$B$37,$A9,RECARGAS!Z$16:Z$37)+SUMIF(REVENDIDOS!$B$16:$B$25,$A9,REVENDIDOS!Q$16:Q$25)</f>
        <v>2211.0716624402</v>
      </c>
      <c r="K9" s="13" t="n">
        <f aca="false">SUMIF(MANUALES!$B$16:$B$72,$A9,MANUALES!Q$16:Q$72)+SUMIF(RODANTES!$B$16:$B$72,$A9,RODANTES!Q$16:Q$72)+SUMIF(RECARGAS!$B$16:$B$37,$A9,RECARGAS!AA$16:AA$37)+SUMIF(REVENDIDOS!$B$16:$B$25,$A9,REVENDIDOS!R$16:R$25)</f>
        <v>5356.53629722008</v>
      </c>
      <c r="L9" s="13" t="n">
        <f aca="false">SUMIF(MANUALES!$B$16:$B$72,$A9,MANUALES!R$16:R$72)+SUMIF(RODANTES!$B$16:$B$72,$A9,RODANTES!R$16:R$72)+SUMIF(RECARGAS!$B$16:$B$37,$A9,RECARGAS!AB$16:AB$37)+SUMIF(REVENDIDOS!$B$16:$B$25,$A9,REVENDIDOS!S$16:S$25)</f>
        <v>9462.60678582324</v>
      </c>
      <c r="M9" s="13" t="n">
        <f aca="false">SUMIF(MANUALES!$B$16:$B$72,$A9,MANUALES!S$16:S$72)+SUMIF(RODANTES!$B$16:$B$72,$A9,RODANTES!S$16:S$72)+SUMIF(RECARGAS!$B$16:$B$37,$A9,RECARGAS!AC$16:AC$37)+SUMIF(REVENDIDOS!$B$16:$B$25,$A9,REVENDIDOS!T$16:T$25)</f>
        <v>13299.269176509</v>
      </c>
      <c r="N9" s="13" t="n">
        <f aca="false">SUMIF(MANUALES!$B$16:$B$72,$A9,MANUALES!T$16:T$72)+SUMIF(RODANTES!$B$16:$B$72,$A9,RODANTES!T$16:T$72)+SUMIF(RECARGAS!$B$16:$B$37,$A9,RECARGAS!AD$16:AD$37)+SUMIF(REVENDIDOS!$B$16:$B$25,$A9,REVENDIDOS!U$16:U$25)</f>
        <v>18535.5740990472</v>
      </c>
      <c r="O9" s="13" t="n">
        <f aca="false">SUMIF(MANUALES!$B$16:$B$72,$A9,MANUALES!U$16:U$72)+SUMIF(RODANTES!$B$16:$B$72,$A9,RODANTES!U$16:U$72)+SUMIF(RECARGAS!$B$16:$B$37,$A9,RECARGAS!AE$16:AE$37)+SUMIF(REVENDIDOS!$B$16:$B$25,$A9,REVENDIDOS!V$16:V$25)</f>
        <v>23785.1668008821</v>
      </c>
      <c r="P9" s="13" t="n">
        <f aca="false">SUMIF(MANUALES!$B$16:$B$72,$A9,MANUALES!V$16:V$72)+SUMIF(RODANTES!$B$16:$B$72,$A9,RODANTES!V$16:V$72)+SUMIF(RECARGAS!$B$16:$B$37,$A9,RECARGAS!AF$16:AF$37)+SUMIF(REVENDIDOS!$B$16:$B$25,$A9,REVENDIDOS!W$16:W$25)</f>
        <v>26719.2259285025</v>
      </c>
      <c r="Q9" s="13" t="n">
        <f aca="false">SUMIF(MANUALES!$B$16:$B$72,$A9,MANUALES!W$16:W$72)+SUMIF(RODANTES!$B$16:$B$72,$A9,RODANTES!W$16:W$72)+SUMIF(RECARGAS!$B$16:$B$37,$A9,RECARGAS!AG$16:AG$37)+SUMIF(REVENDIDOS!$B$16:$B$25,$A9,REVENDIDOS!X$16:X$25)</f>
        <v>30867.038208215</v>
      </c>
      <c r="R9" s="13" t="n">
        <f aca="false">SUMIF(MANUALES!$B$16:$B$72,$A9,MANUALES!X$16:X$72)+SUMIF(RODANTES!$B$16:$B$72,$A9,RODANTES!X$16:X$72)+SUMIF(RECARGAS!$B$16:$B$37,$A9,RECARGAS!AH$16:AH$37)+SUMIF(REVENDIDOS!$B$16:$B$25,$A9,REVENDIDOS!Y$16:Y$25)</f>
        <v>3704.0445849858</v>
      </c>
    </row>
    <row r="10" customFormat="false" ht="15" hidden="false" customHeight="false" outlineLevel="0" collapsed="false">
      <c r="A10" s="3" t="s">
        <v>197</v>
      </c>
      <c r="B10" s="3" t="s">
        <v>198</v>
      </c>
      <c r="C10" s="3" t="s">
        <v>192</v>
      </c>
      <c r="D10" s="13" t="n">
        <f aca="false">SUMIF(MANUALES!$B$16:$B$72,$A10,MANUALES!W$16:W$72)</f>
        <v>9210.51266638455</v>
      </c>
      <c r="E10" s="13" t="n">
        <f aca="false">SUMIF(RODANTES!$B$16:$B$72,$A10,RODANTES!W$16:W$72)</f>
        <v>0</v>
      </c>
      <c r="F10" s="13" t="n">
        <f aca="false">SUMIF(RECARGAS!$B$16:$B$37,$A10,RECARGAS!AG$16:AG$37)</f>
        <v>0</v>
      </c>
      <c r="G10" s="13" t="n">
        <f aca="false">SUMIF(REVENDIDOS!$B$16:$B$25,$A10,REVENDIDOS!X$16:X$25)</f>
        <v>0</v>
      </c>
      <c r="H10" s="13" t="n">
        <f aca="false">SUMIF(MANUALES!$B$16:$B$72,$A10,MANUALES!N$16:N$72)+SUMIF(RODANTES!$B$16:$B$72,$A10,RODANTES!N$16:N$72)+SUMIF(RECARGAS!$B$16:$B$37,$A10,RECARGAS!X$16:X$37)+SUMIF(REVENDIDOS!$B$16:$B$25,$A10,REVENDIDOS!O$16:O$25)</f>
        <v>192.806026309665</v>
      </c>
      <c r="I10" s="13" t="n">
        <f aca="false">SUMIF(MANUALES!$B$16:$B$72,$A10,MANUALES!O$16:O$72)+SUMIF(RODANTES!$B$16:$B$72,$A10,RODANTES!O$16:O$72)+SUMIF(RECARGAS!$B$16:$B$37,$A10,RECARGAS!Y$16:Y$37)+SUMIF(REVENDIDOS!$B$16:$B$25,$A10,REVENDIDOS!P$16:P$25)</f>
        <v>463.815760364179</v>
      </c>
      <c r="J10" s="13" t="n">
        <f aca="false">SUMIF(MANUALES!$B$16:$B$72,$A10,MANUALES!P$16:P$72)+SUMIF(RODANTES!$B$16:$B$72,$A10,RODANTES!P$16:P$72)+SUMIF(RECARGAS!$B$16:$B$37,$A10,RECARGAS!Z$16:Z$37)+SUMIF(REVENDIDOS!$B$16:$B$25,$A10,REVENDIDOS!Q$16:Q$25)</f>
        <v>840.72295649232</v>
      </c>
      <c r="K10" s="13" t="n">
        <f aca="false">SUMIF(MANUALES!$B$16:$B$72,$A10,MANUALES!Q$16:Q$72)+SUMIF(RODANTES!$B$16:$B$72,$A10,RODANTES!Q$16:Q$72)+SUMIF(RECARGAS!$B$16:$B$37,$A10,RECARGAS!AA$16:AA$37)+SUMIF(REVENDIDOS!$B$16:$B$25,$A10,REVENDIDOS!R$16:R$25)</f>
        <v>1662.82215218617</v>
      </c>
      <c r="L10" s="13" t="n">
        <f aca="false">SUMIF(MANUALES!$B$16:$B$72,$A10,MANUALES!R$16:R$72)+SUMIF(RODANTES!$B$16:$B$72,$A10,RODANTES!R$16:R$72)+SUMIF(RECARGAS!$B$16:$B$37,$A10,RECARGAS!AB$16:AB$37)+SUMIF(REVENDIDOS!$B$16:$B$25,$A10,REVENDIDOS!S$16:S$25)</f>
        <v>2774.57078928758</v>
      </c>
      <c r="M10" s="13" t="n">
        <f aca="false">SUMIF(MANUALES!$B$16:$B$72,$A10,MANUALES!S$16:S$72)+SUMIF(RODANTES!$B$16:$B$72,$A10,RODANTES!S$16:S$72)+SUMIF(RECARGAS!$B$16:$B$37,$A10,RECARGAS!AC$16:AC$37)+SUMIF(REVENDIDOS!$B$16:$B$25,$A10,REVENDIDOS!T$16:T$25)</f>
        <v>3957.58666952809</v>
      </c>
      <c r="N10" s="13" t="n">
        <f aca="false">SUMIF(MANUALES!$B$16:$B$72,$A10,MANUALES!T$16:T$72)+SUMIF(RODANTES!$B$16:$B$72,$A10,RODANTES!T$16:T$72)+SUMIF(RECARGAS!$B$16:$B$37,$A10,RECARGAS!AD$16:AD$37)+SUMIF(REVENDIDOS!$B$16:$B$25,$A10,REVENDIDOS!U$16:U$25)</f>
        <v>5270.78451137805</v>
      </c>
      <c r="O10" s="13" t="n">
        <f aca="false">SUMIF(MANUALES!$B$16:$B$72,$A10,MANUALES!U$16:U$72)+SUMIF(RODANTES!$B$16:$B$72,$A10,RODANTES!U$16:U$72)+SUMIF(RECARGAS!$B$16:$B$37,$A10,RECARGAS!AE$16:AE$37)+SUMIF(REVENDIDOS!$B$16:$B$25,$A10,REVENDIDOS!V$16:V$25)</f>
        <v>6683.67269593684</v>
      </c>
      <c r="P10" s="13" t="n">
        <f aca="false">SUMIF(MANUALES!$B$16:$B$72,$A10,MANUALES!V$16:V$72)+SUMIF(RODANTES!$B$16:$B$72,$A10,RODANTES!V$16:V$72)+SUMIF(RECARGAS!$B$16:$B$37,$A10,RECARGAS!AF$16:AF$37)+SUMIF(REVENDIDOS!$B$16:$B$25,$A10,REVENDIDOS!W$16:W$25)</f>
        <v>7800.70831712854</v>
      </c>
      <c r="Q10" s="13" t="n">
        <f aca="false">SUMIF(MANUALES!$B$16:$B$72,$A10,MANUALES!W$16:W$72)+SUMIF(RODANTES!$B$16:$B$72,$A10,RODANTES!W$16:W$72)+SUMIF(RECARGAS!$B$16:$B$37,$A10,RECARGAS!AG$16:AG$37)+SUMIF(REVENDIDOS!$B$16:$B$25,$A10,REVENDIDOS!X$16:X$25)</f>
        <v>9210.51266638455</v>
      </c>
      <c r="R10" s="13" t="n">
        <f aca="false">SUMIF(MANUALES!$B$16:$B$72,$A10,MANUALES!X$16:X$72)+SUMIF(RODANTES!$B$16:$B$72,$A10,RODANTES!X$16:X$72)+SUMIF(RECARGAS!$B$16:$B$37,$A10,RECARGAS!AH$16:AH$37)+SUMIF(REVENDIDOS!$B$16:$B$25,$A10,REVENDIDOS!Y$16:Y$25)</f>
        <v>1013.1563933023</v>
      </c>
    </row>
    <row r="11" customFormat="false" ht="15" hidden="false" customHeight="false" outlineLevel="0" collapsed="false">
      <c r="A11" s="3" t="s">
        <v>200</v>
      </c>
      <c r="B11" s="3" t="s">
        <v>201</v>
      </c>
      <c r="C11" s="3" t="s">
        <v>192</v>
      </c>
      <c r="D11" s="13" t="n">
        <f aca="false">SUMIF(MANUALES!$B$16:$B$72,$A11,MANUALES!W$16:W$72)</f>
        <v>45960.1945498834</v>
      </c>
      <c r="E11" s="13" t="n">
        <f aca="false">SUMIF(RODANTES!$B$16:$B$72,$A11,RODANTES!W$16:W$72)</f>
        <v>0</v>
      </c>
      <c r="F11" s="13" t="n">
        <f aca="false">SUMIF(RECARGAS!$B$16:$B$37,$A11,RECARGAS!AG$16:AG$37)</f>
        <v>0</v>
      </c>
      <c r="G11" s="13" t="n">
        <f aca="false">SUMIF(REVENDIDOS!$B$16:$B$25,$A11,REVENDIDOS!X$16:X$25)</f>
        <v>0</v>
      </c>
      <c r="H11" s="13" t="n">
        <f aca="false">SUMIF(MANUALES!$B$16:$B$72,$A11,MANUALES!N$16:N$72)+SUMIF(RODANTES!$B$16:$B$72,$A11,RODANTES!N$16:N$72)+SUMIF(RECARGAS!$B$16:$B$37,$A11,RECARGAS!X$16:X$37)+SUMIF(REVENDIDOS!$B$16:$B$25,$A11,REVENDIDOS!O$16:O$25)</f>
        <v>1918.69825421304</v>
      </c>
      <c r="I11" s="13" t="n">
        <f aca="false">SUMIF(MANUALES!$B$16:$B$72,$A11,MANUALES!O$16:O$72)+SUMIF(RODANTES!$B$16:$B$72,$A11,RODANTES!O$16:O$72)+SUMIF(RECARGAS!$B$16:$B$37,$A11,RECARGAS!Y$16:Y$37)+SUMIF(REVENDIDOS!$B$16:$B$25,$A11,REVENDIDOS!P$16:P$25)</f>
        <v>3860.68018225427</v>
      </c>
      <c r="J11" s="13" t="n">
        <f aca="false">SUMIF(MANUALES!$B$16:$B$72,$A11,MANUALES!P$16:P$72)+SUMIF(RODANTES!$B$16:$B$72,$A11,RODANTES!P$16:P$72)+SUMIF(RECARGAS!$B$16:$B$37,$A11,RECARGAS!Z$16:Z$37)+SUMIF(REVENDIDOS!$B$16:$B$25,$A11,REVENDIDOS!Q$16:Q$25)</f>
        <v>6108.95274299641</v>
      </c>
      <c r="K11" s="13" t="n">
        <f aca="false">SUMIF(MANUALES!$B$16:$B$72,$A11,MANUALES!Q$16:Q$72)+SUMIF(RODANTES!$B$16:$B$72,$A11,RODANTES!Q$16:Q$72)+SUMIF(RECARGAS!$B$16:$B$37,$A11,RECARGAS!AA$16:AA$37)+SUMIF(REVENDIDOS!$B$16:$B$25,$A11,REVENDIDOS!R$16:R$25)</f>
        <v>10953.3604254366</v>
      </c>
      <c r="L11" s="13" t="n">
        <f aca="false">SUMIF(MANUALES!$B$16:$B$72,$A11,MANUALES!R$16:R$72)+SUMIF(RODANTES!$B$16:$B$72,$A11,RODANTES!R$16:R$72)+SUMIF(RECARGAS!$B$16:$B$37,$A11,RECARGAS!AB$16:AB$37)+SUMIF(REVENDIDOS!$B$16:$B$25,$A11,REVENDIDOS!S$16:S$25)</f>
        <v>16905.8704621226</v>
      </c>
      <c r="M11" s="13" t="n">
        <f aca="false">SUMIF(MANUALES!$B$16:$B$72,$A11,MANUALES!S$16:S$72)+SUMIF(RODANTES!$B$16:$B$72,$A11,RODANTES!S$16:S$72)+SUMIF(RECARGAS!$B$16:$B$37,$A11,RECARGAS!AC$16:AC$37)+SUMIF(REVENDIDOS!$B$16:$B$25,$A11,REVENDIDOS!T$16:T$25)</f>
        <v>22909.3221098874</v>
      </c>
      <c r="N11" s="13" t="n">
        <f aca="false">SUMIF(MANUALES!$B$16:$B$72,$A11,MANUALES!T$16:T$72)+SUMIF(RODANTES!$B$16:$B$72,$A11,RODANTES!T$16:T$72)+SUMIF(RECARGAS!$B$16:$B$37,$A11,RECARGAS!AD$16:AD$37)+SUMIF(REVENDIDOS!$B$16:$B$25,$A11,REVENDIDOS!U$16:U$25)</f>
        <v>29676.9263120231</v>
      </c>
      <c r="O11" s="13" t="n">
        <f aca="false">SUMIF(MANUALES!$B$16:$B$72,$A11,MANUALES!U$16:U$72)+SUMIF(RODANTES!$B$16:$B$72,$A11,RODANTES!U$16:U$72)+SUMIF(RECARGAS!$B$16:$B$37,$A11,RECARGAS!AE$16:AE$37)+SUMIF(REVENDIDOS!$B$16:$B$25,$A11,REVENDIDOS!V$16:V$25)</f>
        <v>36072.0556646232</v>
      </c>
      <c r="P11" s="13" t="n">
        <f aca="false">SUMIF(MANUALES!$B$16:$B$72,$A11,MANUALES!V$16:V$72)+SUMIF(RODANTES!$B$16:$B$72,$A11,RODANTES!V$16:V$72)+SUMIF(RECARGAS!$B$16:$B$37,$A11,RECARGAS!AF$16:AF$37)+SUMIF(REVENDIDOS!$B$16:$B$25,$A11,REVENDIDOS!W$16:W$25)</f>
        <v>40055.7891151224</v>
      </c>
      <c r="Q11" s="13" t="n">
        <f aca="false">SUMIF(MANUALES!$B$16:$B$72,$A11,MANUALES!W$16:W$72)+SUMIF(RODANTES!$B$16:$B$72,$A11,RODANTES!W$16:W$72)+SUMIF(RECARGAS!$B$16:$B$37,$A11,RECARGAS!AG$16:AG$37)+SUMIF(REVENDIDOS!$B$16:$B$25,$A11,REVENDIDOS!X$16:X$25)</f>
        <v>45960.1945498834</v>
      </c>
      <c r="R11" s="13" t="n">
        <f aca="false">SUMIF(MANUALES!$B$16:$B$72,$A11,MANUALES!X$16:X$72)+SUMIF(RODANTES!$B$16:$B$72,$A11,RODANTES!X$16:X$72)+SUMIF(RECARGAS!$B$16:$B$37,$A11,RECARGAS!AH$16:AH$37)+SUMIF(REVENDIDOS!$B$16:$B$25,$A11,REVENDIDOS!Y$16:Y$25)</f>
        <v>5055.62140048717</v>
      </c>
    </row>
    <row r="12" customFormat="false" ht="15" hidden="false" customHeight="false" outlineLevel="0" collapsed="false">
      <c r="A12" s="3" t="s">
        <v>203</v>
      </c>
      <c r="B12" s="3" t="s">
        <v>204</v>
      </c>
      <c r="C12" s="3" t="s">
        <v>192</v>
      </c>
      <c r="D12" s="13" t="n">
        <f aca="false">SUMIF(MANUALES!$B$16:$B$72,$A12,MANUALES!W$16:W$72)</f>
        <v>29545.8393534965</v>
      </c>
      <c r="E12" s="13" t="n">
        <f aca="false">SUMIF(RODANTES!$B$16:$B$72,$A12,RODANTES!W$16:W$72)</f>
        <v>0</v>
      </c>
      <c r="F12" s="13" t="n">
        <f aca="false">SUMIF(RECARGAS!$B$16:$B$37,$A12,RECARGAS!AG$16:AG$37)</f>
        <v>0</v>
      </c>
      <c r="G12" s="13" t="n">
        <f aca="false">SUMIF(REVENDIDOS!$B$16:$B$25,$A12,REVENDIDOS!X$16:X$25)</f>
        <v>0</v>
      </c>
      <c r="H12" s="13" t="n">
        <f aca="false">SUMIF(MANUALES!$B$16:$B$72,$A12,MANUALES!N$16:N$72)+SUMIF(RODANTES!$B$16:$B$72,$A12,RODANTES!N$16:N$72)+SUMIF(RECARGAS!$B$16:$B$37,$A12,RECARGAS!X$16:X$37)+SUMIF(REVENDIDOS!$B$16:$B$25,$A12,REVENDIDOS!O$16:O$25)</f>
        <v>1233.44887770838</v>
      </c>
      <c r="I12" s="13" t="n">
        <f aca="false">SUMIF(MANUALES!$B$16:$B$72,$A12,MANUALES!O$16:O$72)+SUMIF(RODANTES!$B$16:$B$72,$A12,RODANTES!O$16:O$72)+SUMIF(RECARGAS!$B$16:$B$37,$A12,RECARGAS!Y$16:Y$37)+SUMIF(REVENDIDOS!$B$16:$B$25,$A12,REVENDIDOS!P$16:P$25)</f>
        <v>2481.86583144917</v>
      </c>
      <c r="J12" s="13" t="n">
        <f aca="false">SUMIF(MANUALES!$B$16:$B$72,$A12,MANUALES!P$16:P$72)+SUMIF(RODANTES!$B$16:$B$72,$A12,RODANTES!P$16:P$72)+SUMIF(RECARGAS!$B$16:$B$37,$A12,RECARGAS!Z$16:Z$37)+SUMIF(REVENDIDOS!$B$16:$B$25,$A12,REVENDIDOS!Q$16:Q$25)</f>
        <v>3927.18390621198</v>
      </c>
      <c r="K12" s="13" t="n">
        <f aca="false">SUMIF(MANUALES!$B$16:$B$72,$A12,MANUALES!Q$16:Q$72)+SUMIF(RODANTES!$B$16:$B$72,$A12,RODANTES!Q$16:Q$72)+SUMIF(RECARGAS!$B$16:$B$37,$A12,RECARGAS!AA$16:AA$37)+SUMIF(REVENDIDOS!$B$16:$B$25,$A12,REVENDIDOS!R$16:R$25)</f>
        <v>7041.44598778064</v>
      </c>
      <c r="L12" s="13" t="n">
        <f aca="false">SUMIF(MANUALES!$B$16:$B$72,$A12,MANUALES!R$16:R$72)+SUMIF(RODANTES!$B$16:$B$72,$A12,RODANTES!R$16:R$72)+SUMIF(RECARGAS!$B$16:$B$37,$A12,RECARGAS!AB$16:AB$37)+SUMIF(REVENDIDOS!$B$16:$B$25,$A12,REVENDIDOS!S$16:S$25)</f>
        <v>10868.0595827931</v>
      </c>
      <c r="M12" s="13" t="n">
        <f aca="false">SUMIF(MANUALES!$B$16:$B$72,$A12,MANUALES!S$16:S$72)+SUMIF(RODANTES!$B$16:$B$72,$A12,RODANTES!S$16:S$72)+SUMIF(RECARGAS!$B$16:$B$37,$A12,RECARGAS!AC$16:AC$37)+SUMIF(REVENDIDOS!$B$16:$B$25,$A12,REVENDIDOS!T$16:T$25)</f>
        <v>14727.4213563562</v>
      </c>
      <c r="N12" s="13" t="n">
        <f aca="false">SUMIF(MANUALES!$B$16:$B$72,$A12,MANUALES!T$16:T$72)+SUMIF(RODANTES!$B$16:$B$72,$A12,RODANTES!T$16:T$72)+SUMIF(RECARGAS!$B$16:$B$37,$A12,RECARGAS!AD$16:AD$37)+SUMIF(REVENDIDOS!$B$16:$B$25,$A12,REVENDIDOS!U$16:U$25)</f>
        <v>19078.0240577291</v>
      </c>
      <c r="O12" s="13" t="n">
        <f aca="false">SUMIF(MANUALES!$B$16:$B$72,$A12,MANUALES!U$16:U$72)+SUMIF(RODANTES!$B$16:$B$72,$A12,RODANTES!U$16:U$72)+SUMIF(RECARGAS!$B$16:$B$37,$A12,RECARGAS!AE$16:AE$37)+SUMIF(REVENDIDOS!$B$16:$B$25,$A12,REVENDIDOS!V$16:V$25)</f>
        <v>23189.1786415435</v>
      </c>
      <c r="P12" s="13" t="n">
        <f aca="false">SUMIF(MANUALES!$B$16:$B$72,$A12,MANUALES!V$16:V$72)+SUMIF(RODANTES!$B$16:$B$72,$A12,RODANTES!V$16:V$72)+SUMIF(RECARGAS!$B$16:$B$37,$A12,RECARGAS!AF$16:AF$37)+SUMIF(REVENDIDOS!$B$16:$B$25,$A12,REVENDIDOS!W$16:W$25)</f>
        <v>25750.1501454358</v>
      </c>
      <c r="Q12" s="13" t="n">
        <f aca="false">SUMIF(MANUALES!$B$16:$B$72,$A12,MANUALES!W$16:W$72)+SUMIF(RODANTES!$B$16:$B$72,$A12,RODANTES!W$16:W$72)+SUMIF(RECARGAS!$B$16:$B$37,$A12,RECARGAS!AG$16:AG$37)+SUMIF(REVENDIDOS!$B$16:$B$25,$A12,REVENDIDOS!X$16:X$25)</f>
        <v>29545.8393534965</v>
      </c>
      <c r="R12" s="13" t="n">
        <f aca="false">SUMIF(MANUALES!$B$16:$B$72,$A12,MANUALES!X$16:X$72)+SUMIF(RODANTES!$B$16:$B$72,$A12,RODANTES!X$16:X$72)+SUMIF(RECARGAS!$B$16:$B$37,$A12,RECARGAS!AH$16:AH$37)+SUMIF(REVENDIDOS!$B$16:$B$25,$A12,REVENDIDOS!Y$16:Y$25)</f>
        <v>3250.04232888461</v>
      </c>
    </row>
    <row r="13" customFormat="false" ht="15" hidden="false" customHeight="false" outlineLevel="0" collapsed="false">
      <c r="A13" s="3" t="s">
        <v>206</v>
      </c>
      <c r="B13" s="3" t="s">
        <v>207</v>
      </c>
      <c r="C13" s="3" t="s">
        <v>192</v>
      </c>
      <c r="D13" s="13" t="n">
        <f aca="false">SUMIF(MANUALES!$B$16:$B$72,$A13,MANUALES!W$16:W$72)</f>
        <v>3790.08760153663</v>
      </c>
      <c r="E13" s="13" t="n">
        <f aca="false">SUMIF(RODANTES!$B$16:$B$72,$A13,RODANTES!W$16:W$72)</f>
        <v>0</v>
      </c>
      <c r="F13" s="13" t="n">
        <f aca="false">SUMIF(RECARGAS!$B$16:$B$37,$A13,RECARGAS!AG$16:AG$37)</f>
        <v>0</v>
      </c>
      <c r="G13" s="13" t="n">
        <f aca="false">SUMIF(REVENDIDOS!$B$16:$B$25,$A13,REVENDIDOS!X$16:X$25)</f>
        <v>0</v>
      </c>
      <c r="H13" s="13" t="n">
        <f aca="false">SUMIF(MANUALES!$B$16:$B$72,$A13,MANUALES!N$16:N$72)+SUMIF(RODANTES!$B$16:$B$72,$A13,RODANTES!N$16:N$72)+SUMIF(RECARGAS!$B$16:$B$37,$A13,RECARGAS!X$16:X$37)+SUMIF(REVENDIDOS!$B$16:$B$25,$A13,REVENDIDOS!O$16:O$25)</f>
        <v>90.8792046498085</v>
      </c>
      <c r="I13" s="13" t="n">
        <f aca="false">SUMIF(MANUALES!$B$16:$B$72,$A13,MANUALES!O$16:O$72)+SUMIF(RODANTES!$B$16:$B$72,$A13,RODANTES!O$16:O$72)+SUMIF(RECARGAS!$B$16:$B$37,$A13,RECARGAS!Y$16:Y$37)+SUMIF(REVENDIDOS!$B$16:$B$25,$A13,REVENDIDOS!P$16:P$25)</f>
        <v>175.190870652786</v>
      </c>
      <c r="J13" s="13" t="n">
        <f aca="false">SUMIF(MANUALES!$B$16:$B$72,$A13,MANUALES!P$16:P$72)+SUMIF(RODANTES!$B$16:$B$72,$A13,RODANTES!P$16:P$72)+SUMIF(RECARGAS!$B$16:$B$37,$A13,RECARGAS!Z$16:Z$37)+SUMIF(REVENDIDOS!$B$16:$B$25,$A13,REVENDIDOS!Q$16:Q$25)</f>
        <v>339.747090771038</v>
      </c>
      <c r="K13" s="13" t="n">
        <f aca="false">SUMIF(MANUALES!$B$16:$B$72,$A13,MANUALES!Q$16:Q$72)+SUMIF(RODANTES!$B$16:$B$72,$A13,RODANTES!Q$16:Q$72)+SUMIF(RECARGAS!$B$16:$B$37,$A13,RECARGAS!AA$16:AA$37)+SUMIF(REVENDIDOS!$B$16:$B$25,$A13,REVENDIDOS!R$16:R$25)</f>
        <v>664.88070236627</v>
      </c>
      <c r="L13" s="13" t="n">
        <f aca="false">SUMIF(MANUALES!$B$16:$B$72,$A13,MANUALES!R$16:R$72)+SUMIF(RODANTES!$B$16:$B$72,$A13,RODANTES!R$16:R$72)+SUMIF(RECARGAS!$B$16:$B$37,$A13,RECARGAS!AB$16:AB$37)+SUMIF(REVENDIDOS!$B$16:$B$25,$A13,REVENDIDOS!S$16:S$25)</f>
        <v>1169.34405624924</v>
      </c>
      <c r="M13" s="13" t="n">
        <f aca="false">SUMIF(MANUALES!$B$16:$B$72,$A13,MANUALES!S$16:S$72)+SUMIF(RODANTES!$B$16:$B$72,$A13,RODANTES!S$16:S$72)+SUMIF(RECARGAS!$B$16:$B$37,$A13,RECARGAS!AC$16:AC$37)+SUMIF(REVENDIDOS!$B$16:$B$25,$A13,REVENDIDOS!T$16:T$25)</f>
        <v>1693.51393018693</v>
      </c>
      <c r="N13" s="13" t="n">
        <f aca="false">SUMIF(MANUALES!$B$16:$B$72,$A13,MANUALES!T$16:T$72)+SUMIF(RODANTES!$B$16:$B$72,$A13,RODANTES!T$16:T$72)+SUMIF(RECARGAS!$B$16:$B$37,$A13,RECARGAS!AD$16:AD$37)+SUMIF(REVENDIDOS!$B$16:$B$25,$A13,REVENDIDOS!U$16:U$25)</f>
        <v>2287.2590778289</v>
      </c>
      <c r="O13" s="13" t="n">
        <f aca="false">SUMIF(MANUALES!$B$16:$B$72,$A13,MANUALES!U$16:U$72)+SUMIF(RODANTES!$B$16:$B$72,$A13,RODANTES!U$16:U$72)+SUMIF(RECARGAS!$B$16:$B$37,$A13,RECARGAS!AE$16:AE$37)+SUMIF(REVENDIDOS!$B$16:$B$25,$A13,REVENDIDOS!V$16:V$25)</f>
        <v>2893.91139289714</v>
      </c>
      <c r="P13" s="13" t="n">
        <f aca="false">SUMIF(MANUALES!$B$16:$B$72,$A13,MANUALES!V$16:V$72)+SUMIF(RODANTES!$B$16:$B$72,$A13,RODANTES!V$16:V$72)+SUMIF(RECARGAS!$B$16:$B$37,$A13,RECARGAS!AF$16:AF$37)+SUMIF(REVENDIDOS!$B$16:$B$25,$A13,REVENDIDOS!W$16:W$25)</f>
        <v>3290.61188227411</v>
      </c>
      <c r="Q13" s="13" t="n">
        <f aca="false">SUMIF(MANUALES!$B$16:$B$72,$A13,MANUALES!W$16:W$72)+SUMIF(RODANTES!$B$16:$B$72,$A13,RODANTES!W$16:W$72)+SUMIF(RECARGAS!$B$16:$B$37,$A13,RECARGAS!AG$16:AG$37)+SUMIF(REVENDIDOS!$B$16:$B$25,$A13,REVENDIDOS!X$16:X$25)</f>
        <v>3790.08760153663</v>
      </c>
      <c r="R13" s="13" t="n">
        <f aca="false">SUMIF(MANUALES!$B$16:$B$72,$A13,MANUALES!X$16:X$72)+SUMIF(RODANTES!$B$16:$B$72,$A13,RODANTES!X$16:X$72)+SUMIF(RECARGAS!$B$16:$B$37,$A13,RECARGAS!AH$16:AH$37)+SUMIF(REVENDIDOS!$B$16:$B$25,$A13,REVENDIDOS!Y$16:Y$25)</f>
        <v>416.909636169029</v>
      </c>
    </row>
    <row r="14" customFormat="false" ht="15" hidden="false" customHeight="false" outlineLevel="0" collapsed="false">
      <c r="A14" s="3" t="s">
        <v>209</v>
      </c>
      <c r="B14" s="3" t="s">
        <v>210</v>
      </c>
      <c r="C14" s="3" t="s">
        <v>192</v>
      </c>
      <c r="D14" s="13" t="n">
        <f aca="false">SUMIF(MANUALES!$B$16:$B$72,$A14,MANUALES!W$16:W$72)</f>
        <v>3133.71994027435</v>
      </c>
      <c r="E14" s="13" t="n">
        <f aca="false">SUMIF(RODANTES!$B$16:$B$72,$A14,RODANTES!W$16:W$72)</f>
        <v>0</v>
      </c>
      <c r="F14" s="13" t="n">
        <f aca="false">SUMIF(RECARGAS!$B$16:$B$37,$A14,RECARGAS!AG$16:AG$37)</f>
        <v>0</v>
      </c>
      <c r="G14" s="13" t="n">
        <f aca="false">SUMIF(REVENDIDOS!$B$16:$B$25,$A14,REVENDIDOS!X$16:X$25)</f>
        <v>0</v>
      </c>
      <c r="H14" s="13" t="n">
        <f aca="false">SUMIF(MANUALES!$B$16:$B$72,$A14,MANUALES!N$16:N$72)+SUMIF(RODANTES!$B$16:$B$72,$A14,RODANTES!N$16:N$72)+SUMIF(RECARGAS!$B$16:$B$37,$A14,RECARGAS!X$16:X$37)+SUMIF(REVENDIDOS!$B$16:$B$25,$A14,REVENDIDOS!O$16:O$25)</f>
        <v>75.1407370246309</v>
      </c>
      <c r="I14" s="13" t="n">
        <f aca="false">SUMIF(MANUALES!$B$16:$B$72,$A14,MANUALES!O$16:O$72)+SUMIF(RODANTES!$B$16:$B$72,$A14,RODANTES!O$16:O$72)+SUMIF(RECARGAS!$B$16:$B$37,$A14,RECARGAS!Y$16:Y$37)+SUMIF(REVENDIDOS!$B$16:$B$25,$A14,REVENDIDOS!P$16:P$25)</f>
        <v>144.851302248549</v>
      </c>
      <c r="J14" s="13" t="n">
        <f aca="false">SUMIF(MANUALES!$B$16:$B$72,$A14,MANUALES!P$16:P$72)+SUMIF(RODANTES!$B$16:$B$72,$A14,RODANTES!P$16:P$72)+SUMIF(RECARGAS!$B$16:$B$37,$A14,RECARGAS!Z$16:Z$37)+SUMIF(REVENDIDOS!$B$16:$B$25,$A14,REVENDIDOS!Q$16:Q$25)</f>
        <v>280.909663557049</v>
      </c>
      <c r="K14" s="13" t="n">
        <f aca="false">SUMIF(MANUALES!$B$16:$B$72,$A14,MANUALES!Q$16:Q$72)+SUMIF(RODANTES!$B$16:$B$72,$A14,RODANTES!Q$16:Q$72)+SUMIF(RECARGAS!$B$16:$B$37,$A14,RECARGAS!AA$16:AA$37)+SUMIF(REVENDIDOS!$B$16:$B$25,$A14,REVENDIDOS!R$16:R$25)</f>
        <v>549.736611381766</v>
      </c>
      <c r="L14" s="13" t="n">
        <f aca="false">SUMIF(MANUALES!$B$16:$B$72,$A14,MANUALES!R$16:R$72)+SUMIF(RODANTES!$B$16:$B$72,$A14,RODANTES!R$16:R$72)+SUMIF(RECARGAS!$B$16:$B$37,$A14,RECARGAS!AB$16:AB$37)+SUMIF(REVENDIDOS!$B$16:$B$25,$A14,REVENDIDOS!S$16:S$25)</f>
        <v>966.836962983089</v>
      </c>
      <c r="M14" s="13" t="n">
        <f aca="false">SUMIF(MANUALES!$B$16:$B$72,$A14,MANUALES!S$16:S$72)+SUMIF(RODANTES!$B$16:$B$72,$A14,RODANTES!S$16:S$72)+SUMIF(RECARGAS!$B$16:$B$37,$A14,RECARGAS!AC$16:AC$37)+SUMIF(REVENDIDOS!$B$16:$B$25,$A14,REVENDIDOS!T$16:T$25)</f>
        <v>1400.23105798597</v>
      </c>
      <c r="N14" s="13" t="n">
        <f aca="false">SUMIF(MANUALES!$B$16:$B$72,$A14,MANUALES!T$16:T$72)+SUMIF(RODANTES!$B$16:$B$72,$A14,RODANTES!T$16:T$72)+SUMIF(RECARGAS!$B$16:$B$37,$A14,RECARGAS!AD$16:AD$37)+SUMIF(REVENDIDOS!$B$16:$B$25,$A14,REVENDIDOS!U$16:U$25)</f>
        <v>1891.15137546159</v>
      </c>
      <c r="O14" s="13" t="n">
        <f aca="false">SUMIF(MANUALES!$B$16:$B$72,$A14,MANUALES!U$16:U$72)+SUMIF(RODANTES!$B$16:$B$72,$A14,RODANTES!U$16:U$72)+SUMIF(RECARGAS!$B$16:$B$37,$A14,RECARGAS!AE$16:AE$37)+SUMIF(REVENDIDOS!$B$16:$B$25,$A14,REVENDIDOS!V$16:V$25)</f>
        <v>2392.74359611955</v>
      </c>
      <c r="P14" s="13" t="n">
        <f aca="false">SUMIF(MANUALES!$B$16:$B$72,$A14,MANUALES!V$16:V$72)+SUMIF(RODANTES!$B$16:$B$72,$A14,RODANTES!V$16:V$72)+SUMIF(RECARGAS!$B$16:$B$37,$A14,RECARGAS!AF$16:AF$37)+SUMIF(REVENDIDOS!$B$16:$B$25,$A14,REVENDIDOS!W$16:W$25)</f>
        <v>2720.74346434772</v>
      </c>
      <c r="Q14" s="13" t="n">
        <f aca="false">SUMIF(MANUALES!$B$16:$B$72,$A14,MANUALES!W$16:W$72)+SUMIF(RODANTES!$B$16:$B$72,$A14,RODANTES!W$16:W$72)+SUMIF(RECARGAS!$B$16:$B$37,$A14,RECARGAS!AG$16:AG$37)+SUMIF(REVENDIDOS!$B$16:$B$25,$A14,REVENDIDOS!X$16:X$25)</f>
        <v>3133.71994027435</v>
      </c>
      <c r="R14" s="13" t="n">
        <f aca="false">SUMIF(MANUALES!$B$16:$B$72,$A14,MANUALES!X$16:X$72)+SUMIF(RODANTES!$B$16:$B$72,$A14,RODANTES!X$16:X$72)+SUMIF(RECARGAS!$B$16:$B$37,$A14,RECARGAS!AH$16:AH$37)+SUMIF(REVENDIDOS!$B$16:$B$25,$A14,REVENDIDOS!Y$16:Y$25)</f>
        <v>344.709193430178</v>
      </c>
    </row>
    <row r="15" customFormat="false" ht="15" hidden="false" customHeight="false" outlineLevel="0" collapsed="false">
      <c r="A15" s="3" t="s">
        <v>363</v>
      </c>
      <c r="B15" s="3" t="s">
        <v>364</v>
      </c>
      <c r="C15" s="3" t="s">
        <v>182</v>
      </c>
      <c r="D15" s="13" t="n">
        <f aca="false">SUMIF(MANUALES!$B$16:$B$72,$A15,MANUALES!W$16:W$72)</f>
        <v>0</v>
      </c>
      <c r="E15" s="13" t="n">
        <f aca="false">SUMIF(RODANTES!$B$16:$B$72,$A15,RODANTES!W$16:W$72)</f>
        <v>370.517834158956</v>
      </c>
      <c r="F15" s="13" t="n">
        <f aca="false">SUMIF(RECARGAS!$B$16:$B$37,$A15,RECARGAS!AG$16:AG$37)</f>
        <v>0</v>
      </c>
      <c r="G15" s="13" t="n">
        <f aca="false">SUMIF(REVENDIDOS!$B$16:$B$25,$A15,REVENDIDOS!X$16:X$25)</f>
        <v>0</v>
      </c>
      <c r="H15" s="13" t="n">
        <f aca="false">SUMIF(MANUALES!$B$16:$B$72,$A15,MANUALES!N$16:N$72)+SUMIF(RODANTES!$B$16:$B$72,$A15,RODANTES!N$16:N$72)+SUMIF(RECARGAS!$B$16:$B$37,$A15,RECARGAS!X$16:X$37)+SUMIF(REVENDIDOS!$B$16:$B$25,$A15,REVENDIDOS!O$16:O$25)</f>
        <v>16.3171536084867</v>
      </c>
      <c r="I15" s="13" t="n">
        <f aca="false">SUMIF(MANUALES!$B$16:$B$72,$A15,MANUALES!O$16:O$72)+SUMIF(RODANTES!$B$16:$B$72,$A15,RODANTES!O$16:O$72)+SUMIF(RECARGAS!$B$16:$B$37,$A15,RECARGAS!Y$16:Y$37)+SUMIF(REVENDIDOS!$B$16:$B$25,$A15,REVENDIDOS!P$16:P$25)</f>
        <v>28.0302419181755</v>
      </c>
      <c r="J15" s="13" t="n">
        <f aca="false">SUMIF(MANUALES!$B$16:$B$72,$A15,MANUALES!P$16:P$72)+SUMIF(RODANTES!$B$16:$B$72,$A15,RODANTES!P$16:P$72)+SUMIF(RECARGAS!$B$16:$B$37,$A15,RECARGAS!Z$16:Z$37)+SUMIF(REVENDIDOS!$B$16:$B$25,$A15,REVENDIDOS!Q$16:Q$25)</f>
        <v>43.0320213764419</v>
      </c>
      <c r="K15" s="13" t="n">
        <f aca="false">SUMIF(MANUALES!$B$16:$B$72,$A15,MANUALES!Q$16:Q$72)+SUMIF(RODANTES!$B$16:$B$72,$A15,RODANTES!Q$16:Q$72)+SUMIF(RECARGAS!$B$16:$B$37,$A15,RECARGAS!AA$16:AA$37)+SUMIF(REVENDIDOS!$B$16:$B$25,$A15,REVENDIDOS!R$16:R$25)</f>
        <v>72.3319837330704</v>
      </c>
      <c r="L15" s="13" t="n">
        <f aca="false">SUMIF(MANUALES!$B$16:$B$72,$A15,MANUALES!R$16:R$72)+SUMIF(RODANTES!$B$16:$B$72,$A15,RODANTES!R$16:R$72)+SUMIF(RECARGAS!$B$16:$B$37,$A15,RECARGAS!AB$16:AB$37)+SUMIF(REVENDIDOS!$B$16:$B$25,$A15,REVENDIDOS!S$16:S$25)</f>
        <v>119.276024544636</v>
      </c>
      <c r="M15" s="13" t="n">
        <f aca="false">SUMIF(MANUALES!$B$16:$B$72,$A15,MANUALES!S$16:S$72)+SUMIF(RODANTES!$B$16:$B$72,$A15,RODANTES!S$16:S$72)+SUMIF(RECARGAS!$B$16:$B$37,$A15,RECARGAS!AC$16:AC$37)+SUMIF(REVENDIDOS!$B$16:$B$25,$A15,REVENDIDOS!T$16:T$25)</f>
        <v>166.186142341356</v>
      </c>
      <c r="N15" s="13" t="n">
        <f aca="false">SUMIF(MANUALES!$B$16:$B$72,$A15,MANUALES!T$16:T$72)+SUMIF(RODANTES!$B$16:$B$72,$A15,RODANTES!T$16:T$72)+SUMIF(RECARGAS!$B$16:$B$37,$A15,RECARGAS!AD$16:AD$37)+SUMIF(REVENDIDOS!$B$16:$B$25,$A15,REVENDIDOS!U$16:U$25)</f>
        <v>221.925359132304</v>
      </c>
      <c r="O15" s="13" t="n">
        <f aca="false">SUMIF(MANUALES!$B$16:$B$72,$A15,MANUALES!U$16:U$72)+SUMIF(RODANTES!$B$16:$B$72,$A15,RODANTES!U$16:U$72)+SUMIF(RECARGAS!$B$16:$B$37,$A15,RECARGAS!AE$16:AE$37)+SUMIF(REVENDIDOS!$B$16:$B$25,$A15,REVENDIDOS!V$16:V$25)</f>
        <v>279.738741601341</v>
      </c>
      <c r="P15" s="13" t="n">
        <f aca="false">SUMIF(MANUALES!$B$16:$B$72,$A15,MANUALES!V$16:V$72)+SUMIF(RODANTES!$B$16:$B$72,$A15,RODANTES!V$16:V$72)+SUMIF(RECARGAS!$B$16:$B$37,$A15,RECARGAS!AF$16:AF$37)+SUMIF(REVENDIDOS!$B$16:$B$25,$A15,REVENDIDOS!W$16:W$25)</f>
        <v>320.662447700503</v>
      </c>
      <c r="Q15" s="13" t="n">
        <f aca="false">SUMIF(MANUALES!$B$16:$B$72,$A15,MANUALES!W$16:W$72)+SUMIF(RODANTES!$B$16:$B$72,$A15,RODANTES!W$16:W$72)+SUMIF(RECARGAS!$B$16:$B$37,$A15,RECARGAS!AG$16:AG$37)+SUMIF(REVENDIDOS!$B$16:$B$25,$A15,REVENDIDOS!X$16:X$25)</f>
        <v>370.517834158956</v>
      </c>
      <c r="R15" s="13" t="n">
        <f aca="false">SUMIF(MANUALES!$B$16:$B$72,$A15,MANUALES!X$16:X$72)+SUMIF(RODANTES!$B$16:$B$72,$A15,RODANTES!X$16:X$72)+SUMIF(RECARGAS!$B$16:$B$37,$A15,RECARGAS!AH$16:AH$37)+SUMIF(REVENDIDOS!$B$16:$B$25,$A15,REVENDIDOS!Y$16:Y$25)</f>
        <v>33.3466050743061</v>
      </c>
    </row>
    <row r="16" customFormat="false" ht="15" hidden="false" customHeight="false" outlineLevel="0" collapsed="false">
      <c r="A16" s="3" t="s">
        <v>366</v>
      </c>
      <c r="B16" s="3" t="s">
        <v>367</v>
      </c>
      <c r="C16" s="3" t="s">
        <v>182</v>
      </c>
      <c r="D16" s="13" t="n">
        <f aca="false">SUMIF(MANUALES!$B$16:$B$72,$A16,MANUALES!W$16:W$72)</f>
        <v>0</v>
      </c>
      <c r="E16" s="13" t="n">
        <f aca="false">SUMIF(RODANTES!$B$16:$B$72,$A16,RODANTES!W$16:W$72)</f>
        <v>165.185326161638</v>
      </c>
      <c r="F16" s="13" t="n">
        <f aca="false">SUMIF(RECARGAS!$B$16:$B$37,$A16,RECARGAS!AG$16:AG$37)</f>
        <v>0</v>
      </c>
      <c r="G16" s="13" t="n">
        <f aca="false">SUMIF(REVENDIDOS!$B$16:$B$25,$A16,REVENDIDOS!X$16:X$25)</f>
        <v>0</v>
      </c>
      <c r="H16" s="13" t="n">
        <f aca="false">SUMIF(MANUALES!$B$16:$B$72,$A16,MANUALES!N$16:N$72)+SUMIF(RODANTES!$B$16:$B$72,$A16,RODANTES!N$16:N$72)+SUMIF(RECARGAS!$B$16:$B$37,$A16,RECARGAS!X$16:X$37)+SUMIF(REVENDIDOS!$B$16:$B$25,$A16,REVENDIDOS!O$16:O$25)</f>
        <v>7.3603109614178</v>
      </c>
      <c r="I16" s="13" t="n">
        <f aca="false">SUMIF(MANUALES!$B$16:$B$72,$A16,MANUALES!O$16:O$72)+SUMIF(RODANTES!$B$16:$B$72,$A16,RODANTES!O$16:O$72)+SUMIF(RECARGAS!$B$16:$B$37,$A16,RECARGAS!Y$16:Y$37)+SUMIF(REVENDIDOS!$B$16:$B$25,$A16,REVENDIDOS!P$16:P$25)</f>
        <v>12.4767212324042</v>
      </c>
      <c r="J16" s="13" t="n">
        <f aca="false">SUMIF(MANUALES!$B$16:$B$72,$A16,MANUALES!P$16:P$72)+SUMIF(RODANTES!$B$16:$B$72,$A16,RODANTES!P$16:P$72)+SUMIF(RECARGAS!$B$16:$B$37,$A16,RECARGAS!Z$16:Z$37)+SUMIF(REVENDIDOS!$B$16:$B$25,$A16,REVENDIDOS!Q$16:Q$25)</f>
        <v>19.2341026604887</v>
      </c>
      <c r="K16" s="13" t="n">
        <f aca="false">SUMIF(MANUALES!$B$16:$B$72,$A16,MANUALES!Q$16:Q$72)+SUMIF(RODANTES!$B$16:$B$72,$A16,RODANTES!Q$16:Q$72)+SUMIF(RECARGAS!$B$16:$B$37,$A16,RECARGAS!AA$16:AA$37)+SUMIF(REVENDIDOS!$B$16:$B$25,$A16,REVENDIDOS!R$16:R$25)</f>
        <v>32.3074458662262</v>
      </c>
      <c r="L16" s="13" t="n">
        <f aca="false">SUMIF(MANUALES!$B$16:$B$72,$A16,MANUALES!R$16:R$72)+SUMIF(RODANTES!$B$16:$B$72,$A16,RODANTES!R$16:R$72)+SUMIF(RECARGAS!$B$16:$B$37,$A16,RECARGAS!AB$16:AB$37)+SUMIF(REVENDIDOS!$B$16:$B$25,$A16,REVENDIDOS!S$16:S$25)</f>
        <v>53.3709054500483</v>
      </c>
      <c r="M16" s="13" t="n">
        <f aca="false">SUMIF(MANUALES!$B$16:$B$72,$A16,MANUALES!S$16:S$72)+SUMIF(RODANTES!$B$16:$B$72,$A16,RODANTES!S$16:S$72)+SUMIF(RECARGAS!$B$16:$B$37,$A16,RECARGAS!AC$16:AC$37)+SUMIF(REVENDIDOS!$B$16:$B$25,$A16,REVENDIDOS!T$16:T$25)</f>
        <v>74.1326006501056</v>
      </c>
      <c r="N16" s="13" t="n">
        <f aca="false">SUMIF(MANUALES!$B$16:$B$72,$A16,MANUALES!T$16:T$72)+SUMIF(RODANTES!$B$16:$B$72,$A16,RODANTES!T$16:T$72)+SUMIF(RECARGAS!$B$16:$B$37,$A16,RECARGAS!AD$16:AD$37)+SUMIF(REVENDIDOS!$B$16:$B$25,$A16,REVENDIDOS!U$16:U$25)</f>
        <v>98.9161527369543</v>
      </c>
      <c r="O16" s="13" t="n">
        <f aca="false">SUMIF(MANUALES!$B$16:$B$72,$A16,MANUALES!U$16:U$72)+SUMIF(RODANTES!$B$16:$B$72,$A16,RODANTES!U$16:U$72)+SUMIF(RECARGAS!$B$16:$B$37,$A16,RECARGAS!AE$16:AE$37)+SUMIF(REVENDIDOS!$B$16:$B$25,$A16,REVENDIDOS!V$16:V$25)</f>
        <v>124.648331396025</v>
      </c>
      <c r="P16" s="13" t="n">
        <f aca="false">SUMIF(MANUALES!$B$16:$B$72,$A16,MANUALES!V$16:V$72)+SUMIF(RODANTES!$B$16:$B$72,$A16,RODANTES!V$16:V$72)+SUMIF(RECARGAS!$B$16:$B$37,$A16,RECARGAS!AF$16:AF$37)+SUMIF(REVENDIDOS!$B$16:$B$25,$A16,REVENDIDOS!W$16:W$25)</f>
        <v>142.952593436207</v>
      </c>
      <c r="Q16" s="13" t="n">
        <f aca="false">SUMIF(MANUALES!$B$16:$B$72,$A16,MANUALES!W$16:W$72)+SUMIF(RODANTES!$B$16:$B$72,$A16,RODANTES!W$16:W$72)+SUMIF(RECARGAS!$B$16:$B$37,$A16,RECARGAS!AG$16:AG$37)+SUMIF(REVENDIDOS!$B$16:$B$25,$A16,REVENDIDOS!X$16:X$25)</f>
        <v>165.185326161638</v>
      </c>
      <c r="R16" s="13" t="n">
        <f aca="false">SUMIF(MANUALES!$B$16:$B$72,$A16,MANUALES!X$16:X$72)+SUMIF(RODANTES!$B$16:$B$72,$A16,RODANTES!X$16:X$72)+SUMIF(RECARGAS!$B$16:$B$37,$A16,RECARGAS!AH$16:AH$37)+SUMIF(REVENDIDOS!$B$16:$B$25,$A16,REVENDIDOS!Y$16:Y$25)</f>
        <v>14.8666793545474</v>
      </c>
    </row>
    <row r="17" customFormat="false" ht="15" hidden="false" customHeight="false" outlineLevel="0" collapsed="false">
      <c r="A17" s="3" t="s">
        <v>369</v>
      </c>
      <c r="B17" s="3" t="s">
        <v>370</v>
      </c>
      <c r="C17" s="3" t="s">
        <v>214</v>
      </c>
      <c r="D17" s="13" t="n">
        <f aca="false">SUMIF(MANUALES!$B$16:$B$72,$A17,MANUALES!W$16:W$72)</f>
        <v>0</v>
      </c>
      <c r="E17" s="13" t="n">
        <f aca="false">SUMIF(RODANTES!$B$16:$B$72,$A17,RODANTES!W$16:W$72)</f>
        <v>1550.5410664</v>
      </c>
      <c r="F17" s="13" t="n">
        <f aca="false">SUMIF(RECARGAS!$B$16:$B$37,$A17,RECARGAS!AG$16:AG$37)</f>
        <v>0</v>
      </c>
      <c r="G17" s="13" t="n">
        <f aca="false">SUMIF(REVENDIDOS!$B$16:$B$25,$A17,REVENDIDOS!X$16:X$25)</f>
        <v>0</v>
      </c>
      <c r="H17" s="13" t="n">
        <f aca="false">SUMIF(MANUALES!$B$16:$B$72,$A17,MANUALES!N$16:N$72)+SUMIF(RODANTES!$B$16:$B$72,$A17,RODANTES!N$16:N$72)+SUMIF(RECARGAS!$B$16:$B$37,$A17,RECARGAS!X$16:X$37)+SUMIF(REVENDIDOS!$B$16:$B$25,$A17,REVENDIDOS!O$16:O$25)</f>
        <v>68.10358272</v>
      </c>
      <c r="I17" s="13" t="n">
        <f aca="false">SUMIF(MANUALES!$B$16:$B$72,$A17,MANUALES!O$16:O$72)+SUMIF(RODANTES!$B$16:$B$72,$A17,RODANTES!O$16:O$72)+SUMIF(RECARGAS!$B$16:$B$37,$A17,RECARGAS!Y$16:Y$37)+SUMIF(REVENDIDOS!$B$16:$B$25,$A17,REVENDIDOS!P$16:P$25)</f>
        <v>116.9242949</v>
      </c>
      <c r="J17" s="13" t="n">
        <f aca="false">SUMIF(MANUALES!$B$16:$B$72,$A17,MANUALES!P$16:P$72)+SUMIF(RODANTES!$B$16:$B$72,$A17,RODANTES!P$16:P$72)+SUMIF(RECARGAS!$B$16:$B$37,$A17,RECARGAS!Z$16:Z$37)+SUMIF(REVENDIDOS!$B$16:$B$25,$A17,REVENDIDOS!Q$16:Q$25)</f>
        <v>179.21707996</v>
      </c>
      <c r="K17" s="13" t="n">
        <f aca="false">SUMIF(MANUALES!$B$16:$B$72,$A17,MANUALES!Q$16:Q$72)+SUMIF(RODANTES!$B$16:$B$72,$A17,RODANTES!Q$16:Q$72)+SUMIF(RECARGAS!$B$16:$B$37,$A17,RECARGAS!AA$16:AA$37)+SUMIF(REVENDIDOS!$B$16:$B$25,$A17,REVENDIDOS!R$16:R$25)</f>
        <v>301.4597058</v>
      </c>
      <c r="L17" s="13" t="n">
        <f aca="false">SUMIF(MANUALES!$B$16:$B$72,$A17,MANUALES!R$16:R$72)+SUMIF(RODANTES!$B$16:$B$72,$A17,RODANTES!R$16:R$72)+SUMIF(RECARGAS!$B$16:$B$37,$A17,RECARGAS!AB$16:AB$37)+SUMIF(REVENDIDOS!$B$16:$B$25,$A17,REVENDIDOS!S$16:S$25)</f>
        <v>497.752007</v>
      </c>
      <c r="M17" s="13" t="n">
        <f aca="false">SUMIF(MANUALES!$B$16:$B$72,$A17,MANUALES!S$16:S$72)+SUMIF(RODANTES!$B$16:$B$72,$A17,RODANTES!S$16:S$72)+SUMIF(RECARGAS!$B$16:$B$37,$A17,RECARGAS!AC$16:AC$37)+SUMIF(REVENDIDOS!$B$16:$B$25,$A17,REVENDIDOS!T$16:T$25)</f>
        <v>693.8689654</v>
      </c>
      <c r="N17" s="13" t="n">
        <f aca="false">SUMIF(MANUALES!$B$16:$B$72,$A17,MANUALES!T$16:T$72)+SUMIF(RODANTES!$B$16:$B$72,$A17,RODANTES!T$16:T$72)+SUMIF(RECARGAS!$B$16:$B$37,$A17,RECARGAS!AD$16:AD$37)+SUMIF(REVENDIDOS!$B$16:$B$25,$A17,REVENDIDOS!U$16:U$25)</f>
        <v>927.3364664</v>
      </c>
      <c r="O17" s="13" t="n">
        <f aca="false">SUMIF(MANUALES!$B$16:$B$72,$A17,MANUALES!U$16:U$72)+SUMIF(RODANTES!$B$16:$B$72,$A17,RODANTES!U$16:U$72)+SUMIF(RECARGAS!$B$16:$B$37,$A17,RECARGAS!AE$16:AE$37)+SUMIF(REVENDIDOS!$B$16:$B$25,$A17,REVENDIDOS!V$16:V$25)</f>
        <v>1169.6973414</v>
      </c>
      <c r="P17" s="13" t="n">
        <f aca="false">SUMIF(MANUALES!$B$16:$B$72,$A17,MANUALES!V$16:V$72)+SUMIF(RODANTES!$B$16:$B$72,$A17,RODANTES!V$16:V$72)+SUMIF(RECARGAS!$B$16:$B$37,$A17,RECARGAS!AF$16:AF$37)+SUMIF(REVENDIDOS!$B$16:$B$25,$A17,REVENDIDOS!W$16:W$25)</f>
        <v>1341.2548312</v>
      </c>
      <c r="Q17" s="13" t="n">
        <f aca="false">SUMIF(MANUALES!$B$16:$B$72,$A17,MANUALES!W$16:W$72)+SUMIF(RODANTES!$B$16:$B$72,$A17,RODANTES!W$16:W$72)+SUMIF(RECARGAS!$B$16:$B$37,$A17,RECARGAS!AG$16:AG$37)+SUMIF(REVENDIDOS!$B$16:$B$25,$A17,REVENDIDOS!X$16:X$25)</f>
        <v>1550.5410664</v>
      </c>
      <c r="R17" s="13" t="n">
        <f aca="false">SUMIF(MANUALES!$B$16:$B$72,$A17,MANUALES!X$16:X$72)+SUMIF(RODANTES!$B$16:$B$72,$A17,RODANTES!X$16:X$72)+SUMIF(RECARGAS!$B$16:$B$37,$A17,RECARGAS!AH$16:AH$37)+SUMIF(REVENDIDOS!$B$16:$B$25,$A17,REVENDIDOS!Y$16:Y$25)</f>
        <v>139.548695976</v>
      </c>
    </row>
    <row r="18" customFormat="false" ht="15" hidden="false" customHeight="false" outlineLevel="0" collapsed="false">
      <c r="A18" s="3" t="s">
        <v>372</v>
      </c>
      <c r="B18" s="3" t="s">
        <v>373</v>
      </c>
      <c r="C18" s="3" t="s">
        <v>214</v>
      </c>
      <c r="D18" s="13" t="n">
        <f aca="false">SUMIF(MANUALES!$B$16:$B$72,$A18,MANUALES!W$16:W$72)</f>
        <v>0</v>
      </c>
      <c r="E18" s="13" t="n">
        <f aca="false">SUMIF(RODANTES!$B$16:$B$72,$A18,RODANTES!W$16:W$72)</f>
        <v>3412.51996564081</v>
      </c>
      <c r="F18" s="13" t="n">
        <f aca="false">SUMIF(RECARGAS!$B$16:$B$37,$A18,RECARGAS!AG$16:AG$37)</f>
        <v>0</v>
      </c>
      <c r="G18" s="13" t="n">
        <f aca="false">SUMIF(REVENDIDOS!$B$16:$B$25,$A18,REVENDIDOS!X$16:X$25)</f>
        <v>0</v>
      </c>
      <c r="H18" s="13" t="n">
        <f aca="false">SUMIF(MANUALES!$B$16:$B$72,$A18,MANUALES!N$16:N$72)+SUMIF(RODANTES!$B$16:$B$72,$A18,RODANTES!N$16:N$72)+SUMIF(RECARGAS!$B$16:$B$37,$A18,RECARGAS!X$16:X$37)+SUMIF(REVENDIDOS!$B$16:$B$25,$A18,REVENDIDOS!O$16:O$25)</f>
        <v>150.40345482184</v>
      </c>
      <c r="I18" s="13" t="n">
        <f aca="false">SUMIF(MANUALES!$B$16:$B$72,$A18,MANUALES!O$16:O$72)+SUMIF(RODANTES!$B$16:$B$72,$A18,RODANTES!O$16:O$72)+SUMIF(RECARGAS!$B$16:$B$37,$A18,RECARGAS!Y$16:Y$37)+SUMIF(REVENDIDOS!$B$16:$B$25,$A18,REVENDIDOS!P$16:P$25)</f>
        <v>258.413373084772</v>
      </c>
      <c r="J18" s="13" t="n">
        <f aca="false">SUMIF(MANUALES!$B$16:$B$72,$A18,MANUALES!P$16:P$72)+SUMIF(RODANTES!$B$16:$B$72,$A18,RODANTES!P$16:P$72)+SUMIF(RECARGAS!$B$16:$B$37,$A18,RECARGAS!Z$16:Z$37)+SUMIF(REVENDIDOS!$B$16:$B$25,$A18,REVENDIDOS!Q$16:Q$25)</f>
        <v>396.906203210637</v>
      </c>
      <c r="K18" s="13" t="n">
        <f aca="false">SUMIF(MANUALES!$B$16:$B$72,$A18,MANUALES!Q$16:Q$72)+SUMIF(RODANTES!$B$16:$B$72,$A18,RODANTES!Q$16:Q$72)+SUMIF(RECARGAS!$B$16:$B$37,$A18,RECARGAS!AA$16:AA$37)+SUMIF(REVENDIDOS!$B$16:$B$25,$A18,REVENDIDOS!R$16:R$25)</f>
        <v>667.010667596845</v>
      </c>
      <c r="L18" s="13" t="n">
        <f aca="false">SUMIF(MANUALES!$B$16:$B$72,$A18,MANUALES!R$16:R$72)+SUMIF(RODANTES!$B$16:$B$72,$A18,RODANTES!R$16:R$72)+SUMIF(RECARGAS!$B$16:$B$37,$A18,RECARGAS!AB$16:AB$37)+SUMIF(REVENDIDOS!$B$16:$B$25,$A18,REVENDIDOS!S$16:S$25)</f>
        <v>1099.4776232023</v>
      </c>
      <c r="M18" s="13" t="n">
        <f aca="false">SUMIF(MANUALES!$B$16:$B$72,$A18,MANUALES!S$16:S$72)+SUMIF(RODANTES!$B$16:$B$72,$A18,RODANTES!S$16:S$72)+SUMIF(RECARGAS!$B$16:$B$37,$A18,RECARGAS!AC$16:AC$37)+SUMIF(REVENDIDOS!$B$16:$B$25,$A18,REVENDIDOS!T$16:T$25)</f>
        <v>1531.65439782961</v>
      </c>
      <c r="N18" s="13" t="n">
        <f aca="false">SUMIF(MANUALES!$B$16:$B$72,$A18,MANUALES!T$16:T$72)+SUMIF(RODANTES!$B$16:$B$72,$A18,RODANTES!T$16:T$72)+SUMIF(RECARGAS!$B$16:$B$37,$A18,RECARGAS!AD$16:AD$37)+SUMIF(REVENDIDOS!$B$16:$B$25,$A18,REVENDIDOS!U$16:U$25)</f>
        <v>2044.87999865432</v>
      </c>
      <c r="O18" s="13" t="n">
        <f aca="false">SUMIF(MANUALES!$B$16:$B$72,$A18,MANUALES!U$16:U$72)+SUMIF(RODANTES!$B$16:$B$72,$A18,RODANTES!U$16:U$72)+SUMIF(RECARGAS!$B$16:$B$37,$A18,RECARGAS!AE$16:AE$37)+SUMIF(REVENDIDOS!$B$16:$B$25,$A18,REVENDIDOS!V$16:V$25)</f>
        <v>2577.0666716161</v>
      </c>
      <c r="P18" s="13" t="n">
        <f aca="false">SUMIF(MANUALES!$B$16:$B$72,$A18,MANUALES!V$16:V$72)+SUMIF(RODANTES!$B$16:$B$72,$A18,RODANTES!V$16:V$72)+SUMIF(RECARGAS!$B$16:$B$37,$A18,RECARGAS!AF$16:AF$37)+SUMIF(REVENDIDOS!$B$16:$B$25,$A18,REVENDIDOS!W$16:W$25)</f>
        <v>2953.77948493937</v>
      </c>
      <c r="Q18" s="13" t="n">
        <f aca="false">SUMIF(MANUALES!$B$16:$B$72,$A18,MANUALES!W$16:W$72)+SUMIF(RODANTES!$B$16:$B$72,$A18,RODANTES!W$16:W$72)+SUMIF(RECARGAS!$B$16:$B$37,$A18,RECARGAS!AG$16:AG$37)+SUMIF(REVENDIDOS!$B$16:$B$25,$A18,REVENDIDOS!X$16:X$25)</f>
        <v>3412.51996564081</v>
      </c>
      <c r="R18" s="13" t="n">
        <f aca="false">SUMIF(MANUALES!$B$16:$B$72,$A18,MANUALES!X$16:X$72)+SUMIF(RODANTES!$B$16:$B$72,$A18,RODANTES!X$16:X$72)+SUMIF(RECARGAS!$B$16:$B$37,$A18,RECARGAS!AH$16:AH$37)+SUMIF(REVENDIDOS!$B$16:$B$25,$A18,REVENDIDOS!Y$16:Y$25)</f>
        <v>307.126796907673</v>
      </c>
    </row>
    <row r="19" customFormat="false" ht="15" hidden="false" customHeight="false" outlineLevel="0" collapsed="false">
      <c r="A19" s="3" t="s">
        <v>375</v>
      </c>
      <c r="B19" s="3" t="s">
        <v>376</v>
      </c>
      <c r="C19" s="3" t="s">
        <v>214</v>
      </c>
      <c r="D19" s="13" t="n">
        <f aca="false">SUMIF(MANUALES!$B$16:$B$72,$A19,MANUALES!W$16:W$72)</f>
        <v>0</v>
      </c>
      <c r="E19" s="13" t="n">
        <f aca="false">SUMIF(RODANTES!$B$16:$B$72,$A19,RODANTES!W$16:W$72)</f>
        <v>1239.49186096983</v>
      </c>
      <c r="F19" s="13" t="n">
        <f aca="false">SUMIF(RECARGAS!$B$16:$B$37,$A19,RECARGAS!AG$16:AG$37)</f>
        <v>0</v>
      </c>
      <c r="G19" s="13" t="n">
        <f aca="false">SUMIF(REVENDIDOS!$B$16:$B$25,$A19,REVENDIDOS!X$16:X$25)</f>
        <v>0</v>
      </c>
      <c r="H19" s="13" t="n">
        <f aca="false">SUMIF(MANUALES!$B$16:$B$72,$A19,MANUALES!N$16:N$72)+SUMIF(RODANTES!$B$16:$B$72,$A19,RODANTES!N$16:N$72)+SUMIF(RECARGAS!$B$16:$B$37,$A19,RECARGAS!X$16:X$37)+SUMIF(REVENDIDOS!$B$16:$B$25,$A19,REVENDIDOS!O$16:O$25)</f>
        <v>55.0584390018401</v>
      </c>
      <c r="I19" s="13" t="n">
        <f aca="false">SUMIF(MANUALES!$B$16:$B$72,$A19,MANUALES!O$16:O$72)+SUMIF(RODANTES!$B$16:$B$72,$A19,RODANTES!O$16:O$72)+SUMIF(RECARGAS!$B$16:$B$37,$A19,RECARGAS!Y$16:Y$37)+SUMIF(REVENDIDOS!$B$16:$B$25,$A19,REVENDIDOS!P$16:P$25)</f>
        <v>93.568214581092</v>
      </c>
      <c r="J19" s="13" t="n">
        <f aca="false">SUMIF(MANUALES!$B$16:$B$72,$A19,MANUALES!P$16:P$72)+SUMIF(RODANTES!$B$16:$B$72,$A19,RODANTES!P$16:P$72)+SUMIF(RECARGAS!$B$16:$B$37,$A19,RECARGAS!Z$16:Z$37)+SUMIF(REVENDIDOS!$B$16:$B$25,$A19,REVENDIDOS!Q$16:Q$25)</f>
        <v>144.138015422932</v>
      </c>
      <c r="K19" s="13" t="n">
        <f aca="false">SUMIF(MANUALES!$B$16:$B$72,$A19,MANUALES!Q$16:Q$72)+SUMIF(RODANTES!$B$16:$B$72,$A19,RODANTES!Q$16:Q$72)+SUMIF(RECARGAS!$B$16:$B$37,$A19,RECARGAS!AA$16:AA$37)+SUMIF(REVENDIDOS!$B$16:$B$25,$A19,REVENDIDOS!R$16:R$25)</f>
        <v>242.280894804024</v>
      </c>
      <c r="L19" s="13" t="n">
        <f aca="false">SUMIF(MANUALES!$B$16:$B$72,$A19,MANUALES!R$16:R$72)+SUMIF(RODANTES!$B$16:$B$72,$A19,RODANTES!R$16:R$72)+SUMIF(RECARGAS!$B$16:$B$37,$A19,RECARGAS!AB$16:AB$37)+SUMIF(REVENDIDOS!$B$16:$B$25,$A19,REVENDIDOS!S$16:S$25)</f>
        <v>400.239087146956</v>
      </c>
      <c r="M19" s="13" t="n">
        <f aca="false">SUMIF(MANUALES!$B$16:$B$72,$A19,MANUALES!S$16:S$72)+SUMIF(RODANTES!$B$16:$B$72,$A19,RODANTES!S$16:S$72)+SUMIF(RECARGAS!$B$16:$B$37,$A19,RECARGAS!AC$16:AC$37)+SUMIF(REVENDIDOS!$B$16:$B$25,$A19,REVENDIDOS!T$16:T$25)</f>
        <v>556.2146383673</v>
      </c>
      <c r="N19" s="13" t="n">
        <f aca="false">SUMIF(MANUALES!$B$16:$B$72,$A19,MANUALES!T$16:T$72)+SUMIF(RODANTES!$B$16:$B$72,$A19,RODANTES!T$16:T$72)+SUMIF(RECARGAS!$B$16:$B$37,$A19,RECARGAS!AD$16:AD$37)+SUMIF(REVENDIDOS!$B$16:$B$25,$A19,REVENDIDOS!U$16:U$25)</f>
        <v>742.217417688392</v>
      </c>
      <c r="O19" s="13" t="n">
        <f aca="false">SUMIF(MANUALES!$B$16:$B$72,$A19,MANUALES!U$16:U$72)+SUMIF(RODANTES!$B$16:$B$72,$A19,RODANTES!U$16:U$72)+SUMIF(RECARGAS!$B$16:$B$37,$A19,RECARGAS!AE$16:AE$37)+SUMIF(REVENDIDOS!$B$16:$B$25,$A19,REVENDIDOS!V$16:V$25)</f>
        <v>935.334896309484</v>
      </c>
      <c r="P19" s="13" t="n">
        <f aca="false">SUMIF(MANUALES!$B$16:$B$72,$A19,MANUALES!V$16:V$72)+SUMIF(RODANTES!$B$16:$B$72,$A19,RODANTES!V$16:V$72)+SUMIF(RECARGAS!$B$16:$B$37,$A19,RECARGAS!AF$16:AF$37)+SUMIF(REVENDIDOS!$B$16:$B$25,$A19,REVENDIDOS!W$16:W$25)</f>
        <v>1072.60966695058</v>
      </c>
      <c r="Q19" s="13" t="n">
        <f aca="false">SUMIF(MANUALES!$B$16:$B$72,$A19,MANUALES!W$16:W$72)+SUMIF(RODANTES!$B$16:$B$72,$A19,RODANTES!W$16:W$72)+SUMIF(RECARGAS!$B$16:$B$37,$A19,RECARGAS!AG$16:AG$37)+SUMIF(REVENDIDOS!$B$16:$B$25,$A19,REVENDIDOS!X$16:X$25)</f>
        <v>1239.49186096983</v>
      </c>
      <c r="R19" s="13" t="n">
        <f aca="false">SUMIF(MANUALES!$B$16:$B$72,$A19,MANUALES!X$16:X$72)+SUMIF(RODANTES!$B$16:$B$72,$A19,RODANTES!X$16:X$72)+SUMIF(RECARGAS!$B$16:$B$37,$A19,RECARGAS!AH$16:AH$37)+SUMIF(REVENDIDOS!$B$16:$B$25,$A19,REVENDIDOS!Y$16:Y$25)</f>
        <v>111.554267487285</v>
      </c>
    </row>
    <row r="20" customFormat="false" ht="15" hidden="false" customHeight="false" outlineLevel="0" collapsed="false">
      <c r="A20" s="3" t="s">
        <v>212</v>
      </c>
      <c r="B20" s="3" t="s">
        <v>213</v>
      </c>
      <c r="C20" s="3" t="s">
        <v>214</v>
      </c>
      <c r="D20" s="13" t="n">
        <f aca="false">SUMIF(MANUALES!$B$16:$B$72,$A20,MANUALES!W$16:W$72)</f>
        <v>202620.63913</v>
      </c>
      <c r="E20" s="13" t="n">
        <f aca="false">SUMIF(RODANTES!$B$16:$B$72,$A20,RODANTES!W$16:W$72)</f>
        <v>0</v>
      </c>
      <c r="F20" s="13" t="n">
        <f aca="false">SUMIF(RECARGAS!$B$16:$B$37,$A20,RECARGAS!AG$16:AG$37)</f>
        <v>0</v>
      </c>
      <c r="G20" s="13" t="n">
        <f aca="false">SUMIF(REVENDIDOS!$B$16:$B$25,$A20,REVENDIDOS!X$16:X$25)</f>
        <v>0</v>
      </c>
      <c r="H20" s="13" t="n">
        <f aca="false">SUMIF(MANUALES!$B$16:$B$72,$A20,MANUALES!N$16:N$72)+SUMIF(RODANTES!$B$16:$B$72,$A20,RODANTES!N$16:N$72)+SUMIF(RECARGAS!$B$16:$B$37,$A20,RECARGAS!X$16:X$37)+SUMIF(REVENDIDOS!$B$16:$B$25,$A20,REVENDIDOS!O$16:O$25)</f>
        <v>4178.736543</v>
      </c>
      <c r="I20" s="13" t="n">
        <f aca="false">SUMIF(MANUALES!$B$16:$B$72,$A20,MANUALES!O$16:O$72)+SUMIF(RODANTES!$B$16:$B$72,$A20,RODANTES!O$16:O$72)+SUMIF(RECARGAS!$B$16:$B$37,$A20,RECARGAS!Y$16:Y$37)+SUMIF(REVENDIDOS!$B$16:$B$25,$A20,REVENDIDOS!P$16:P$25)</f>
        <v>5997.303977</v>
      </c>
      <c r="J20" s="13" t="n">
        <f aca="false">SUMIF(MANUALES!$B$16:$B$72,$A20,MANUALES!P$16:P$72)+SUMIF(RODANTES!$B$16:$B$72,$A20,RODANTES!P$16:P$72)+SUMIF(RECARGAS!$B$16:$B$37,$A20,RECARGAS!Z$16:Z$37)+SUMIF(REVENDIDOS!$B$16:$B$25,$A20,REVENDIDOS!Q$16:Q$25)</f>
        <v>14514.147758</v>
      </c>
      <c r="K20" s="13" t="n">
        <f aca="false">SUMIF(MANUALES!$B$16:$B$72,$A20,MANUALES!Q$16:Q$72)+SUMIF(RODANTES!$B$16:$B$72,$A20,RODANTES!Q$16:Q$72)+SUMIF(RECARGAS!$B$16:$B$37,$A20,RECARGAS!AA$16:AA$37)+SUMIF(REVENDIDOS!$B$16:$B$25,$A20,REVENDIDOS!R$16:R$25)</f>
        <v>35161.935549</v>
      </c>
      <c r="L20" s="13" t="n">
        <f aca="false">SUMIF(MANUALES!$B$16:$B$72,$A20,MANUALES!R$16:R$72)+SUMIF(RODANTES!$B$16:$B$72,$A20,RODANTES!R$16:R$72)+SUMIF(RECARGAS!$B$16:$B$37,$A20,RECARGAS!AB$16:AB$37)+SUMIF(REVENDIDOS!$B$16:$B$25,$A20,REVENDIDOS!S$16:S$25)</f>
        <v>62115.43271</v>
      </c>
      <c r="M20" s="13" t="n">
        <f aca="false">SUMIF(MANUALES!$B$16:$B$72,$A20,MANUALES!S$16:S$72)+SUMIF(RODANTES!$B$16:$B$72,$A20,RODANTES!S$16:S$72)+SUMIF(RECARGAS!$B$16:$B$37,$A20,RECARGAS!AC$16:AC$37)+SUMIF(REVENDIDOS!$B$16:$B$25,$A20,REVENDIDOS!T$16:T$25)</f>
        <v>87300.45307</v>
      </c>
      <c r="N20" s="13" t="n">
        <f aca="false">SUMIF(MANUALES!$B$16:$B$72,$A20,MANUALES!T$16:T$72)+SUMIF(RODANTES!$B$16:$B$72,$A20,RODANTES!T$16:T$72)+SUMIF(RECARGAS!$B$16:$B$37,$A20,RECARGAS!AD$16:AD$37)+SUMIF(REVENDIDOS!$B$16:$B$25,$A20,REVENDIDOS!U$16:U$25)</f>
        <v>121673.15326</v>
      </c>
      <c r="O20" s="13" t="n">
        <f aca="false">SUMIF(MANUALES!$B$16:$B$72,$A20,MANUALES!U$16:U$72)+SUMIF(RODANTES!$B$16:$B$72,$A20,RODANTES!U$16:U$72)+SUMIF(RECARGAS!$B$16:$B$37,$A20,RECARGAS!AE$16:AE$37)+SUMIF(REVENDIDOS!$B$16:$B$25,$A20,REVENDIDOS!V$16:V$25)</f>
        <v>156133.07848</v>
      </c>
      <c r="P20" s="13" t="n">
        <f aca="false">SUMIF(MANUALES!$B$16:$B$72,$A20,MANUALES!V$16:V$72)+SUMIF(RODANTES!$B$16:$B$72,$A20,RODANTES!V$16:V$72)+SUMIF(RECARGAS!$B$16:$B$37,$A20,RECARGAS!AF$16:AF$37)+SUMIF(REVENDIDOS!$B$16:$B$25,$A20,REVENDIDOS!W$16:W$25)</f>
        <v>175393.13614</v>
      </c>
      <c r="Q20" s="13" t="n">
        <f aca="false">SUMIF(MANUALES!$B$16:$B$72,$A20,MANUALES!W$16:W$72)+SUMIF(RODANTES!$B$16:$B$72,$A20,RODANTES!W$16:W$72)+SUMIF(RECARGAS!$B$16:$B$37,$A20,RECARGAS!AG$16:AG$37)+SUMIF(REVENDIDOS!$B$16:$B$25,$A20,REVENDIDOS!X$16:X$25)</f>
        <v>202620.63913</v>
      </c>
      <c r="R20" s="13" t="n">
        <f aca="false">SUMIF(MANUALES!$B$16:$B$72,$A20,MANUALES!X$16:X$72)+SUMIF(RODANTES!$B$16:$B$72,$A20,RODANTES!X$16:X$72)+SUMIF(RECARGAS!$B$16:$B$37,$A20,RECARGAS!AH$16:AH$37)+SUMIF(REVENDIDOS!$B$16:$B$25,$A20,REVENDIDOS!Y$16:Y$25)</f>
        <v>24314.4766956</v>
      </c>
    </row>
    <row r="21" customFormat="false" ht="15" hidden="false" customHeight="false" outlineLevel="0" collapsed="false">
      <c r="A21" s="3" t="s">
        <v>216</v>
      </c>
      <c r="B21" s="3" t="s">
        <v>217</v>
      </c>
      <c r="C21" s="3" t="s">
        <v>214</v>
      </c>
      <c r="D21" s="13" t="n">
        <f aca="false">SUMIF(MANUALES!$B$16:$B$72,$A21,MANUALES!W$16:W$72)</f>
        <v>83291.5061034506</v>
      </c>
      <c r="E21" s="13" t="n">
        <f aca="false">SUMIF(RODANTES!$B$16:$B$72,$A21,RODANTES!W$16:W$72)</f>
        <v>0</v>
      </c>
      <c r="F21" s="13" t="n">
        <f aca="false">SUMIF(RECARGAS!$B$16:$B$37,$A21,RECARGAS!AG$16:AG$37)</f>
        <v>0</v>
      </c>
      <c r="G21" s="13" t="n">
        <f aca="false">SUMIF(REVENDIDOS!$B$16:$B$25,$A21,REVENDIDOS!X$16:X$25)</f>
        <v>0</v>
      </c>
      <c r="H21" s="13" t="n">
        <f aca="false">SUMIF(MANUALES!$B$16:$B$72,$A21,MANUALES!N$16:N$72)+SUMIF(RODANTES!$B$16:$B$72,$A21,RODANTES!N$16:N$72)+SUMIF(RECARGAS!$B$16:$B$37,$A21,RECARGAS!X$16:X$37)+SUMIF(REVENDIDOS!$B$16:$B$25,$A21,REVENDIDOS!O$16:O$25)</f>
        <v>3115.3426804398</v>
      </c>
      <c r="I21" s="13" t="n">
        <f aca="false">SUMIF(MANUALES!$B$16:$B$72,$A21,MANUALES!O$16:O$72)+SUMIF(RODANTES!$B$16:$B$72,$A21,RODANTES!O$16:O$72)+SUMIF(RECARGAS!$B$16:$B$37,$A21,RECARGAS!Y$16:Y$37)+SUMIF(REVENDIDOS!$B$16:$B$25,$A21,REVENDIDOS!P$16:P$25)</f>
        <v>6376.77751705974</v>
      </c>
      <c r="J21" s="13" t="n">
        <f aca="false">SUMIF(MANUALES!$B$16:$B$72,$A21,MANUALES!P$16:P$72)+SUMIF(RODANTES!$B$16:$B$72,$A21,RODANTES!P$16:P$72)+SUMIF(RECARGAS!$B$16:$B$37,$A21,RECARGAS!Z$16:Z$37)+SUMIF(REVENDIDOS!$B$16:$B$25,$A21,REVENDIDOS!Q$16:Q$25)</f>
        <v>10317.3187856325</v>
      </c>
      <c r="K21" s="13" t="n">
        <f aca="false">SUMIF(MANUALES!$B$16:$B$72,$A21,MANUALES!Q$16:Q$72)+SUMIF(RODANTES!$B$16:$B$72,$A21,RODANTES!Q$16:Q$72)+SUMIF(RECARGAS!$B$16:$B$37,$A21,RECARGAS!AA$16:AA$37)+SUMIF(REVENDIDOS!$B$16:$B$25,$A21,REVENDIDOS!R$16:R$25)</f>
        <v>18793.416997272</v>
      </c>
      <c r="L21" s="13" t="n">
        <f aca="false">SUMIF(MANUALES!$B$16:$B$72,$A21,MANUALES!R$16:R$72)+SUMIF(RODANTES!$B$16:$B$72,$A21,RODANTES!R$16:R$72)+SUMIF(RECARGAS!$B$16:$B$37,$A21,RECARGAS!AB$16:AB$37)+SUMIF(REVENDIDOS!$B$16:$B$25,$A21,REVENDIDOS!S$16:S$25)</f>
        <v>29470.5238555608</v>
      </c>
      <c r="M21" s="13" t="n">
        <f aca="false">SUMIF(MANUALES!$B$16:$B$72,$A21,MANUALES!S$16:S$72)+SUMIF(RODANTES!$B$16:$B$72,$A21,RODANTES!S$16:S$72)+SUMIF(RECARGAS!$B$16:$B$37,$A21,RECARGAS!AC$16:AC$37)+SUMIF(REVENDIDOS!$B$16:$B$25,$A21,REVENDIDOS!T$16:T$25)</f>
        <v>40349.1475999667</v>
      </c>
      <c r="N21" s="13" t="n">
        <f aca="false">SUMIF(MANUALES!$B$16:$B$72,$A21,MANUALES!T$16:T$72)+SUMIF(RODANTES!$B$16:$B$72,$A21,RODANTES!T$16:T$72)+SUMIF(RECARGAS!$B$16:$B$37,$A21,RECARGAS!AD$16:AD$37)+SUMIF(REVENDIDOS!$B$16:$B$25,$A21,REVENDIDOS!U$16:U$25)</f>
        <v>52584.152720669</v>
      </c>
      <c r="O21" s="13" t="n">
        <f aca="false">SUMIF(MANUALES!$B$16:$B$72,$A21,MANUALES!U$16:U$72)+SUMIF(RODANTES!$B$16:$B$72,$A21,RODANTES!U$16:U$72)+SUMIF(RECARGAS!$B$16:$B$37,$A21,RECARGAS!AE$16:AE$37)+SUMIF(REVENDIDOS!$B$16:$B$25,$A21,REVENDIDOS!V$16:V$25)</f>
        <v>64455.2626540764</v>
      </c>
      <c r="P21" s="13" t="n">
        <f aca="false">SUMIF(MANUALES!$B$16:$B$72,$A21,MANUALES!V$16:V$72)+SUMIF(RODANTES!$B$16:$B$72,$A21,RODANTES!V$16:V$72)+SUMIF(RECARGAS!$B$16:$B$37,$A21,RECARGAS!AF$16:AF$37)+SUMIF(REVENDIDOS!$B$16:$B$25,$A21,REVENDIDOS!W$16:W$25)</f>
        <v>72231.780751095</v>
      </c>
      <c r="Q21" s="13" t="n">
        <f aca="false">SUMIF(MANUALES!$B$16:$B$72,$A21,MANUALES!W$16:W$72)+SUMIF(RODANTES!$B$16:$B$72,$A21,RODANTES!W$16:W$72)+SUMIF(RECARGAS!$B$16:$B$37,$A21,RECARGAS!AG$16:AG$37)+SUMIF(REVENDIDOS!$B$16:$B$25,$A21,REVENDIDOS!X$16:X$25)</f>
        <v>83291.5061034506</v>
      </c>
      <c r="R21" s="13" t="n">
        <f aca="false">SUMIF(MANUALES!$B$16:$B$72,$A21,MANUALES!X$16:X$72)+SUMIF(RODANTES!$B$16:$B$72,$A21,RODANTES!X$16:X$72)+SUMIF(RECARGAS!$B$16:$B$37,$A21,RECARGAS!AH$16:AH$37)+SUMIF(REVENDIDOS!$B$16:$B$25,$A21,REVENDIDOS!Y$16:Y$25)</f>
        <v>9162.06567137957</v>
      </c>
    </row>
    <row r="22" customFormat="false" ht="15" hidden="false" customHeight="false" outlineLevel="0" collapsed="false">
      <c r="A22" s="3" t="s">
        <v>378</v>
      </c>
      <c r="B22" s="3" t="s">
        <v>379</v>
      </c>
      <c r="C22" s="3" t="s">
        <v>214</v>
      </c>
      <c r="D22" s="13" t="n">
        <f aca="false">SUMIF(MANUALES!$B$16:$B$72,$A22,MANUALES!W$16:W$72)</f>
        <v>0</v>
      </c>
      <c r="E22" s="13" t="n">
        <f aca="false">SUMIF(RODANTES!$B$16:$B$72,$A22,RODANTES!W$16:W$72)</f>
        <v>2481.5305160204</v>
      </c>
      <c r="F22" s="13" t="n">
        <f aca="false">SUMIF(RECARGAS!$B$16:$B$37,$A22,RECARGAS!AG$16:AG$37)</f>
        <v>0</v>
      </c>
      <c r="G22" s="13" t="n">
        <f aca="false">SUMIF(REVENDIDOS!$B$16:$B$25,$A22,REVENDIDOS!X$16:X$25)</f>
        <v>0</v>
      </c>
      <c r="H22" s="13" t="n">
        <f aca="false">SUMIF(MANUALES!$B$16:$B$72,$A22,MANUALES!N$16:N$72)+SUMIF(RODANTES!$B$16:$B$72,$A22,RODANTES!N$16:N$72)+SUMIF(RECARGAS!$B$16:$B$37,$A22,RECARGAS!X$16:X$37)+SUMIF(REVENDIDOS!$B$16:$B$25,$A22,REVENDIDOS!O$16:O$25)</f>
        <v>109.25351877092</v>
      </c>
      <c r="I22" s="13" t="n">
        <f aca="false">SUMIF(MANUALES!$B$16:$B$72,$A22,MANUALES!O$16:O$72)+SUMIF(RODANTES!$B$16:$B$72,$A22,RODANTES!O$16:O$72)+SUMIF(RECARGAS!$B$16:$B$37,$A22,RECARGAS!Y$16:Y$37)+SUMIF(REVENDIDOS!$B$16:$B$25,$A22,REVENDIDOS!P$16:P$25)</f>
        <v>187.668833992386</v>
      </c>
      <c r="J22" s="13" t="n">
        <f aca="false">SUMIF(MANUALES!$B$16:$B$72,$A22,MANUALES!P$16:P$72)+SUMIF(RODANTES!$B$16:$B$72,$A22,RODANTES!P$16:P$72)+SUMIF(RECARGAS!$B$16:$B$37,$A22,RECARGAS!Z$16:Z$37)+SUMIF(REVENDIDOS!$B$16:$B$25,$A22,REVENDIDOS!Q$16:Q$25)</f>
        <v>288.061641585318</v>
      </c>
      <c r="K22" s="13" t="n">
        <f aca="false">SUMIF(MANUALES!$B$16:$B$72,$A22,MANUALES!Q$16:Q$72)+SUMIF(RODANTES!$B$16:$B$72,$A22,RODANTES!Q$16:Q$72)+SUMIF(RECARGAS!$B$16:$B$37,$A22,RECARGAS!AA$16:AA$37)+SUMIF(REVENDIDOS!$B$16:$B$25,$A22,REVENDIDOS!R$16:R$25)</f>
        <v>484.235186698422</v>
      </c>
      <c r="L22" s="13" t="n">
        <f aca="false">SUMIF(MANUALES!$B$16:$B$72,$A22,MANUALES!R$16:R$72)+SUMIF(RODANTES!$B$16:$B$72,$A22,RODANTES!R$16:R$72)+SUMIF(RECARGAS!$B$16:$B$37,$A22,RECARGAS!AB$16:AB$37)+SUMIF(REVENDIDOS!$B$16:$B$25,$A22,REVENDIDOS!S$16:S$25)</f>
        <v>798.614815101152</v>
      </c>
      <c r="M22" s="13" t="n">
        <f aca="false">SUMIF(MANUALES!$B$16:$B$72,$A22,MANUALES!S$16:S$72)+SUMIF(RODANTES!$B$16:$B$72,$A22,RODANTES!S$16:S$72)+SUMIF(RECARGAS!$B$16:$B$37,$A22,RECARGAS!AC$16:AC$37)+SUMIF(REVENDIDOS!$B$16:$B$25,$A22,REVENDIDOS!T$16:T$25)</f>
        <v>1112.7616816148</v>
      </c>
      <c r="N22" s="13" t="n">
        <f aca="false">SUMIF(MANUALES!$B$16:$B$72,$A22,MANUALES!T$16:T$72)+SUMIF(RODANTES!$B$16:$B$72,$A22,RODANTES!T$16:T$72)+SUMIF(RECARGAS!$B$16:$B$37,$A22,RECARGAS!AD$16:AD$37)+SUMIF(REVENDIDOS!$B$16:$B$25,$A22,REVENDIDOS!U$16:U$25)</f>
        <v>1486.10823252716</v>
      </c>
      <c r="O22" s="13" t="n">
        <f aca="false">SUMIF(MANUALES!$B$16:$B$72,$A22,MANUALES!U$16:U$72)+SUMIF(RODANTES!$B$16:$B$72,$A22,RODANTES!U$16:U$72)+SUMIF(RECARGAS!$B$16:$B$37,$A22,RECARGAS!AE$16:AE$37)+SUMIF(REVENDIDOS!$B$16:$B$25,$A22,REVENDIDOS!V$16:V$25)</f>
        <v>1873.38200650805</v>
      </c>
      <c r="P22" s="13" t="n">
        <f aca="false">SUMIF(MANUALES!$B$16:$B$72,$A22,MANUALES!V$16:V$72)+SUMIF(RODANTES!$B$16:$B$72,$A22,RODANTES!V$16:V$72)+SUMIF(RECARGAS!$B$16:$B$37,$A22,RECARGAS!AF$16:AF$37)+SUMIF(REVENDIDOS!$B$16:$B$25,$A22,REVENDIDOS!W$16:W$25)</f>
        <v>2147.51715806969</v>
      </c>
      <c r="Q22" s="13" t="n">
        <f aca="false">SUMIF(MANUALES!$B$16:$B$72,$A22,MANUALES!W$16:W$72)+SUMIF(RODANTES!$B$16:$B$72,$A22,RODANTES!W$16:W$72)+SUMIF(RECARGAS!$B$16:$B$37,$A22,RECARGAS!AG$16:AG$37)+SUMIF(REVENDIDOS!$B$16:$B$25,$A22,REVENDIDOS!X$16:X$25)</f>
        <v>2481.5305160204</v>
      </c>
      <c r="R22" s="13" t="n">
        <f aca="false">SUMIF(MANUALES!$B$16:$B$72,$A22,MANUALES!X$16:X$72)+SUMIF(RODANTES!$B$16:$B$72,$A22,RODANTES!X$16:X$72)+SUMIF(RECARGAS!$B$16:$B$37,$A22,RECARGAS!AH$16:AH$37)+SUMIF(REVENDIDOS!$B$16:$B$25,$A22,REVENDIDOS!Y$16:Y$25)</f>
        <v>223.337746441836</v>
      </c>
    </row>
    <row r="23" customFormat="false" ht="15" hidden="false" customHeight="false" outlineLevel="0" collapsed="false">
      <c r="A23" s="3" t="s">
        <v>381</v>
      </c>
      <c r="B23" s="3" t="s">
        <v>382</v>
      </c>
      <c r="C23" s="3" t="s">
        <v>214</v>
      </c>
      <c r="D23" s="13" t="n">
        <f aca="false">SUMIF(MANUALES!$B$16:$B$72,$A23,MANUALES!W$16:W$72)</f>
        <v>0</v>
      </c>
      <c r="E23" s="13" t="n">
        <f aca="false">SUMIF(RODANTES!$B$16:$B$72,$A23,RODANTES!W$16:W$72)</f>
        <v>619.745930484914</v>
      </c>
      <c r="F23" s="13" t="n">
        <f aca="false">SUMIF(RECARGAS!$B$16:$B$37,$A23,RECARGAS!AG$16:AG$37)</f>
        <v>0</v>
      </c>
      <c r="G23" s="13" t="n">
        <f aca="false">SUMIF(REVENDIDOS!$B$16:$B$25,$A23,REVENDIDOS!X$16:X$25)</f>
        <v>0</v>
      </c>
      <c r="H23" s="13" t="n">
        <f aca="false">SUMIF(MANUALES!$B$16:$B$72,$A23,MANUALES!N$16:N$72)+SUMIF(RODANTES!$B$16:$B$72,$A23,RODANTES!N$16:N$72)+SUMIF(RECARGAS!$B$16:$B$37,$A23,RECARGAS!X$16:X$37)+SUMIF(REVENDIDOS!$B$16:$B$25,$A23,REVENDIDOS!O$16:O$25)</f>
        <v>27.5292195009201</v>
      </c>
      <c r="I23" s="13" t="n">
        <f aca="false">SUMIF(MANUALES!$B$16:$B$72,$A23,MANUALES!O$16:O$72)+SUMIF(RODANTES!$B$16:$B$72,$A23,RODANTES!O$16:O$72)+SUMIF(RECARGAS!$B$16:$B$37,$A23,RECARGAS!Y$16:Y$37)+SUMIF(REVENDIDOS!$B$16:$B$25,$A23,REVENDIDOS!P$16:P$25)</f>
        <v>46.784107290546</v>
      </c>
      <c r="J23" s="13" t="n">
        <f aca="false">SUMIF(MANUALES!$B$16:$B$72,$A23,MANUALES!P$16:P$72)+SUMIF(RODANTES!$B$16:$B$72,$A23,RODANTES!P$16:P$72)+SUMIF(RECARGAS!$B$16:$B$37,$A23,RECARGAS!Z$16:Z$37)+SUMIF(REVENDIDOS!$B$16:$B$25,$A23,REVENDIDOS!Q$16:Q$25)</f>
        <v>72.0690077114661</v>
      </c>
      <c r="K23" s="13" t="n">
        <f aca="false">SUMIF(MANUALES!$B$16:$B$72,$A23,MANUALES!Q$16:Q$72)+SUMIF(RODANTES!$B$16:$B$72,$A23,RODANTES!Q$16:Q$72)+SUMIF(RECARGAS!$B$16:$B$37,$A23,RECARGAS!AA$16:AA$37)+SUMIF(REVENDIDOS!$B$16:$B$25,$A23,REVENDIDOS!R$16:R$25)</f>
        <v>121.140447402012</v>
      </c>
      <c r="L23" s="13" t="n">
        <f aca="false">SUMIF(MANUALES!$B$16:$B$72,$A23,MANUALES!R$16:R$72)+SUMIF(RODANTES!$B$16:$B$72,$A23,RODANTES!R$16:R$72)+SUMIF(RECARGAS!$B$16:$B$37,$A23,RECARGAS!AB$16:AB$37)+SUMIF(REVENDIDOS!$B$16:$B$25,$A23,REVENDIDOS!S$16:S$25)</f>
        <v>200.119543573478</v>
      </c>
      <c r="M23" s="13" t="n">
        <f aca="false">SUMIF(MANUALES!$B$16:$B$72,$A23,MANUALES!S$16:S$72)+SUMIF(RODANTES!$B$16:$B$72,$A23,RODANTES!S$16:S$72)+SUMIF(RECARGAS!$B$16:$B$37,$A23,RECARGAS!AC$16:AC$37)+SUMIF(REVENDIDOS!$B$16:$B$25,$A23,REVENDIDOS!T$16:T$25)</f>
        <v>278.10731918365</v>
      </c>
      <c r="N23" s="13" t="n">
        <f aca="false">SUMIF(MANUALES!$B$16:$B$72,$A23,MANUALES!T$16:T$72)+SUMIF(RODANTES!$B$16:$B$72,$A23,RODANTES!T$16:T$72)+SUMIF(RECARGAS!$B$16:$B$37,$A23,RECARGAS!AD$16:AD$37)+SUMIF(REVENDIDOS!$B$16:$B$25,$A23,REVENDIDOS!U$16:U$25)</f>
        <v>371.108708844196</v>
      </c>
      <c r="O23" s="13" t="n">
        <f aca="false">SUMIF(MANUALES!$B$16:$B$72,$A23,MANUALES!U$16:U$72)+SUMIF(RODANTES!$B$16:$B$72,$A23,RODANTES!U$16:U$72)+SUMIF(RECARGAS!$B$16:$B$37,$A23,RECARGAS!AE$16:AE$37)+SUMIF(REVENDIDOS!$B$16:$B$25,$A23,REVENDIDOS!V$16:V$25)</f>
        <v>467.667448154742</v>
      </c>
      <c r="P23" s="13" t="n">
        <f aca="false">SUMIF(MANUALES!$B$16:$B$72,$A23,MANUALES!V$16:V$72)+SUMIF(RODANTES!$B$16:$B$72,$A23,RODANTES!V$16:V$72)+SUMIF(RECARGAS!$B$16:$B$37,$A23,RECARGAS!AF$16:AF$37)+SUMIF(REVENDIDOS!$B$16:$B$25,$A23,REVENDIDOS!W$16:W$25)</f>
        <v>536.304833475288</v>
      </c>
      <c r="Q23" s="13" t="n">
        <f aca="false">SUMIF(MANUALES!$B$16:$B$72,$A23,MANUALES!W$16:W$72)+SUMIF(RODANTES!$B$16:$B$72,$A23,RODANTES!W$16:W$72)+SUMIF(RECARGAS!$B$16:$B$37,$A23,RECARGAS!AG$16:AG$37)+SUMIF(REVENDIDOS!$B$16:$B$25,$A23,REVENDIDOS!X$16:X$25)</f>
        <v>619.745930484914</v>
      </c>
      <c r="R23" s="13" t="n">
        <f aca="false">SUMIF(MANUALES!$B$16:$B$72,$A23,MANUALES!X$16:X$72)+SUMIF(RODANTES!$B$16:$B$72,$A23,RODANTES!X$16:X$72)+SUMIF(RECARGAS!$B$16:$B$37,$A23,RECARGAS!AH$16:AH$37)+SUMIF(REVENDIDOS!$B$16:$B$25,$A23,REVENDIDOS!Y$16:Y$25)</f>
        <v>55.7771337436423</v>
      </c>
    </row>
    <row r="24" customFormat="false" ht="15" hidden="false" customHeight="false" outlineLevel="0" collapsed="false">
      <c r="A24" s="3" t="s">
        <v>384</v>
      </c>
      <c r="B24" s="3" t="s">
        <v>385</v>
      </c>
      <c r="C24" s="3" t="s">
        <v>178</v>
      </c>
      <c r="D24" s="13" t="n">
        <f aca="false">SUMIF(MANUALES!$B$16:$B$72,$A24,MANUALES!W$16:W$72)</f>
        <v>0</v>
      </c>
      <c r="E24" s="13" t="n">
        <f aca="false">SUMIF(RODANTES!$B$16:$B$72,$A24,RODANTES!W$16:W$72)</f>
        <v>510.050621038391</v>
      </c>
      <c r="F24" s="13" t="n">
        <f aca="false">SUMIF(RECARGAS!$B$16:$B$37,$A24,RECARGAS!AG$16:AG$37)</f>
        <v>0</v>
      </c>
      <c r="G24" s="13" t="n">
        <f aca="false">SUMIF(REVENDIDOS!$B$16:$B$25,$A24,REVENDIDOS!X$16:X$25)</f>
        <v>0</v>
      </c>
      <c r="H24" s="13" t="n">
        <f aca="false">SUMIF(MANUALES!$B$16:$B$72,$A24,MANUALES!N$16:N$72)+SUMIF(RODANTES!$B$16:$B$72,$A24,RODANTES!N$16:N$72)+SUMIF(RECARGAS!$B$16:$B$37,$A24,RECARGAS!X$16:X$37)+SUMIF(REVENDIDOS!$B$16:$B$25,$A24,REVENDIDOS!O$16:O$25)</f>
        <v>38.4503505913862</v>
      </c>
      <c r="I24" s="13" t="n">
        <f aca="false">SUMIF(MANUALES!$B$16:$B$72,$A24,MANUALES!O$16:O$72)+SUMIF(RODANTES!$B$16:$B$72,$A24,RODANTES!O$16:O$72)+SUMIF(RECARGAS!$B$16:$B$37,$A24,RECARGAS!Y$16:Y$37)+SUMIF(REVENDIDOS!$B$16:$B$25,$A24,REVENDIDOS!P$16:P$25)</f>
        <v>65.9056116950342</v>
      </c>
      <c r="J24" s="13" t="n">
        <f aca="false">SUMIF(MANUALES!$B$16:$B$72,$A24,MANUALES!P$16:P$72)+SUMIF(RODANTES!$B$16:$B$72,$A24,RODANTES!P$16:P$72)+SUMIF(RECARGAS!$B$16:$B$37,$A24,RECARGAS!Z$16:Z$37)+SUMIF(REVENDIDOS!$B$16:$B$25,$A24,REVENDIDOS!Q$16:Q$25)</f>
        <v>84.97939603955</v>
      </c>
      <c r="K24" s="13" t="n">
        <f aca="false">SUMIF(MANUALES!$B$16:$B$72,$A24,MANUALES!Q$16:Q$72)+SUMIF(RODANTES!$B$16:$B$72,$A24,RODANTES!Q$16:Q$72)+SUMIF(RECARGAS!$B$16:$B$37,$A24,RECARGAS!AA$16:AA$37)+SUMIF(REVENDIDOS!$B$16:$B$25,$A24,REVENDIDOS!R$16:R$25)</f>
        <v>113.550872779895</v>
      </c>
      <c r="L24" s="13" t="n">
        <f aca="false">SUMIF(MANUALES!$B$16:$B$72,$A24,MANUALES!R$16:R$72)+SUMIF(RODANTES!$B$16:$B$72,$A24,RODANTES!R$16:R$72)+SUMIF(RECARGAS!$B$16:$B$37,$A24,RECARGAS!AB$16:AB$37)+SUMIF(REVENDIDOS!$B$16:$B$25,$A24,REVENDIDOS!S$16:S$25)</f>
        <v>175.894494420102</v>
      </c>
      <c r="M24" s="13" t="n">
        <f aca="false">SUMIF(MANUALES!$B$16:$B$72,$A24,MANUALES!S$16:S$72)+SUMIF(RODANTES!$B$16:$B$72,$A24,RODANTES!S$16:S$72)+SUMIF(RECARGAS!$B$16:$B$37,$A24,RECARGAS!AC$16:AC$37)+SUMIF(REVENDIDOS!$B$16:$B$25,$A24,REVENDIDOS!T$16:T$25)</f>
        <v>238.959375757246</v>
      </c>
      <c r="N24" s="13" t="n">
        <f aca="false">SUMIF(MANUALES!$B$16:$B$72,$A24,MANUALES!T$16:T$72)+SUMIF(RODANTES!$B$16:$B$72,$A24,RODANTES!T$16:T$72)+SUMIF(RECARGAS!$B$16:$B$37,$A24,RECARGAS!AD$16:AD$37)+SUMIF(REVENDIDOS!$B$16:$B$25,$A24,REVENDIDOS!U$16:U$25)</f>
        <v>307.208501122869</v>
      </c>
      <c r="O24" s="13" t="n">
        <f aca="false">SUMIF(MANUALES!$B$16:$B$72,$A24,MANUALES!U$16:U$72)+SUMIF(RODANTES!$B$16:$B$72,$A24,RODANTES!U$16:U$72)+SUMIF(RECARGAS!$B$16:$B$37,$A24,RECARGAS!AE$16:AE$37)+SUMIF(REVENDIDOS!$B$16:$B$25,$A24,REVENDIDOS!V$16:V$25)</f>
        <v>380.377618987732</v>
      </c>
      <c r="P24" s="13" t="n">
        <f aca="false">SUMIF(MANUALES!$B$16:$B$72,$A24,MANUALES!V$16:V$72)+SUMIF(RODANTES!$B$16:$B$72,$A24,RODANTES!V$16:V$72)+SUMIF(RECARGAS!$B$16:$B$37,$A24,RECARGAS!AF$16:AF$37)+SUMIF(REVENDIDOS!$B$16:$B$25,$A24,REVENDIDOS!W$16:W$25)</f>
        <v>443.119767958953</v>
      </c>
      <c r="Q24" s="13" t="n">
        <f aca="false">SUMIF(MANUALES!$B$16:$B$72,$A24,MANUALES!W$16:W$72)+SUMIF(RODANTES!$B$16:$B$72,$A24,RODANTES!W$16:W$72)+SUMIF(RECARGAS!$B$16:$B$37,$A24,RECARGAS!AG$16:AG$37)+SUMIF(REVENDIDOS!$B$16:$B$25,$A24,REVENDIDOS!X$16:X$25)</f>
        <v>510.050621038391</v>
      </c>
      <c r="R24" s="13" t="n">
        <f aca="false">SUMIF(MANUALES!$B$16:$B$72,$A24,MANUALES!X$16:X$72)+SUMIF(RODANTES!$B$16:$B$72,$A24,RODANTES!X$16:X$72)+SUMIF(RECARGAS!$B$16:$B$37,$A24,RECARGAS!AH$16:AH$37)+SUMIF(REVENDIDOS!$B$16:$B$25,$A24,REVENDIDOS!Y$16:Y$25)</f>
        <v>45.9045558934552</v>
      </c>
    </row>
    <row r="25" customFormat="false" ht="15" hidden="false" customHeight="false" outlineLevel="0" collapsed="false">
      <c r="A25" s="3" t="s">
        <v>387</v>
      </c>
      <c r="B25" s="3" t="s">
        <v>388</v>
      </c>
      <c r="C25" s="3" t="s">
        <v>178</v>
      </c>
      <c r="D25" s="13" t="n">
        <f aca="false">SUMIF(MANUALES!$B$16:$B$72,$A25,MANUALES!W$16:W$72)</f>
        <v>0</v>
      </c>
      <c r="E25" s="13" t="n">
        <f aca="false">SUMIF(RODANTES!$B$16:$B$72,$A25,RODANTES!W$16:W$72)</f>
        <v>89.6168013594519</v>
      </c>
      <c r="F25" s="13" t="n">
        <f aca="false">SUMIF(RECARGAS!$B$16:$B$37,$A25,RECARGAS!AG$16:AG$37)</f>
        <v>0</v>
      </c>
      <c r="G25" s="13" t="n">
        <f aca="false">SUMIF(REVENDIDOS!$B$16:$B$25,$A25,REVENDIDOS!X$16:X$25)</f>
        <v>0</v>
      </c>
      <c r="H25" s="13" t="n">
        <f aca="false">SUMIF(MANUALES!$B$16:$B$72,$A25,MANUALES!N$16:N$72)+SUMIF(RODANTES!$B$16:$B$72,$A25,RODANTES!N$16:N$72)+SUMIF(RECARGAS!$B$16:$B$37,$A25,RECARGAS!X$16:X$37)+SUMIF(REVENDIDOS!$B$16:$B$25,$A25,REVENDIDOS!O$16:O$25)</f>
        <v>6.76650750295877</v>
      </c>
      <c r="I25" s="13" t="n">
        <f aca="false">SUMIF(MANUALES!$B$16:$B$72,$A25,MANUALES!O$16:O$72)+SUMIF(RODANTES!$B$16:$B$72,$A25,RODANTES!O$16:O$72)+SUMIF(RECARGAS!$B$16:$B$37,$A25,RECARGAS!Y$16:Y$37)+SUMIF(REVENDIDOS!$B$16:$B$25,$A25,REVENDIDOS!P$16:P$25)</f>
        <v>11.5865736140529</v>
      </c>
      <c r="J25" s="13" t="n">
        <f aca="false">SUMIF(MANUALES!$B$16:$B$72,$A25,MANUALES!P$16:P$72)+SUMIF(RODANTES!$B$16:$B$72,$A25,RODANTES!P$16:P$72)+SUMIF(RECARGAS!$B$16:$B$37,$A25,RECARGAS!Z$16:Z$37)+SUMIF(REVENDIDOS!$B$16:$B$25,$A25,REVENDIDOS!Q$16:Q$25)</f>
        <v>14.9541661956244</v>
      </c>
      <c r="K25" s="13" t="n">
        <f aca="false">SUMIF(MANUALES!$B$16:$B$72,$A25,MANUALES!Q$16:Q$72)+SUMIF(RODANTES!$B$16:$B$72,$A25,RODANTES!Q$16:Q$72)+SUMIF(RECARGAS!$B$16:$B$37,$A25,RECARGAS!AA$16:AA$37)+SUMIF(REVENDIDOS!$B$16:$B$25,$A25,REVENDIDOS!R$16:R$25)</f>
        <v>19.9787793573886</v>
      </c>
      <c r="L25" s="13" t="n">
        <f aca="false">SUMIF(MANUALES!$B$16:$B$72,$A25,MANUALES!R$16:R$72)+SUMIF(RODANTES!$B$16:$B$72,$A25,RODANTES!R$16:R$72)+SUMIF(RECARGAS!$B$16:$B$37,$A25,RECARGAS!AB$16:AB$37)+SUMIF(REVENDIDOS!$B$16:$B$25,$A25,REVENDIDOS!S$16:S$25)</f>
        <v>30.9395475820522</v>
      </c>
      <c r="M25" s="13" t="n">
        <f aca="false">SUMIF(MANUALES!$B$16:$B$72,$A25,MANUALES!S$16:S$72)+SUMIF(RODANTES!$B$16:$B$72,$A25,RODANTES!S$16:S$72)+SUMIF(RECARGAS!$B$16:$B$37,$A25,RECARGAS!AC$16:AC$37)+SUMIF(REVENDIDOS!$B$16:$B$25,$A25,REVENDIDOS!T$16:T$25)</f>
        <v>42.0161763055341</v>
      </c>
      <c r="N25" s="13" t="n">
        <f aca="false">SUMIF(MANUALES!$B$16:$B$72,$A25,MANUALES!T$16:T$72)+SUMIF(RODANTES!$B$16:$B$72,$A25,RODANTES!T$16:T$72)+SUMIF(RECARGAS!$B$16:$B$37,$A25,RECARGAS!AD$16:AD$37)+SUMIF(REVENDIDOS!$B$16:$B$25,$A25,REVENDIDOS!U$16:U$25)</f>
        <v>54.0023402456483</v>
      </c>
      <c r="O25" s="13" t="n">
        <f aca="false">SUMIF(MANUALES!$B$16:$B$72,$A25,MANUALES!U$16:U$72)+SUMIF(RODANTES!$B$16:$B$72,$A25,RODANTES!U$16:U$72)+SUMIF(RECARGAS!$B$16:$B$37,$A25,RECARGAS!AE$16:AE$37)+SUMIF(REVENDIDOS!$B$16:$B$25,$A25,REVENDIDOS!V$16:V$25)</f>
        <v>66.8481532237205</v>
      </c>
      <c r="P25" s="13" t="n">
        <f aca="false">SUMIF(MANUALES!$B$16:$B$72,$A25,MANUALES!V$16:V$72)+SUMIF(RODANTES!$B$16:$B$72,$A25,RODANTES!V$16:V$72)+SUMIF(RECARGAS!$B$16:$B$37,$A25,RECARGAS!AF$16:AF$37)+SUMIF(REVENDIDOS!$B$16:$B$25,$A25,REVENDIDOS!W$16:W$25)</f>
        <v>77.870678344306</v>
      </c>
      <c r="Q25" s="13" t="n">
        <f aca="false">SUMIF(MANUALES!$B$16:$B$72,$A25,MANUALES!W$16:W$72)+SUMIF(RODANTES!$B$16:$B$72,$A25,RODANTES!W$16:W$72)+SUMIF(RECARGAS!$B$16:$B$37,$A25,RECARGAS!AG$16:AG$37)+SUMIF(REVENDIDOS!$B$16:$B$25,$A25,REVENDIDOS!X$16:X$25)</f>
        <v>89.6168013594519</v>
      </c>
      <c r="R25" s="13" t="n">
        <f aca="false">SUMIF(MANUALES!$B$16:$B$72,$A25,MANUALES!X$16:X$72)+SUMIF(RODANTES!$B$16:$B$72,$A25,RODANTES!X$16:X$72)+SUMIF(RECARGAS!$B$16:$B$37,$A25,RECARGAS!AH$16:AH$37)+SUMIF(REVENDIDOS!$B$16:$B$25,$A25,REVENDIDOS!Y$16:Y$25)</f>
        <v>8.06551212235067</v>
      </c>
    </row>
    <row r="26" customFormat="false" ht="15" hidden="false" customHeight="false" outlineLevel="0" collapsed="false">
      <c r="A26" s="3" t="s">
        <v>390</v>
      </c>
      <c r="B26" s="3" t="s">
        <v>391</v>
      </c>
      <c r="C26" s="3" t="s">
        <v>178</v>
      </c>
      <c r="D26" s="13" t="n">
        <f aca="false">SUMIF(MANUALES!$B$16:$B$72,$A26,MANUALES!W$16:W$72)</f>
        <v>0</v>
      </c>
      <c r="E26" s="13" t="n">
        <f aca="false">SUMIF(RODANTES!$B$16:$B$72,$A26,RODANTES!W$16:W$72)</f>
        <v>56.65881665</v>
      </c>
      <c r="F26" s="13" t="n">
        <f aca="false">SUMIF(RECARGAS!$B$16:$B$37,$A26,RECARGAS!AG$16:AG$37)</f>
        <v>0</v>
      </c>
      <c r="G26" s="13" t="n">
        <f aca="false">SUMIF(REVENDIDOS!$B$16:$B$25,$A26,REVENDIDOS!X$16:X$25)</f>
        <v>0</v>
      </c>
      <c r="H26" s="13" t="n">
        <f aca="false">SUMIF(MANUALES!$B$16:$B$72,$A26,MANUALES!N$16:N$72)+SUMIF(RODANTES!$B$16:$B$72,$A26,RODANTES!N$16:N$72)+SUMIF(RECARGAS!$B$16:$B$37,$A26,RECARGAS!X$16:X$37)+SUMIF(REVENDIDOS!$B$16:$B$25,$A26,REVENDIDOS!O$16:O$25)</f>
        <v>4.25647392</v>
      </c>
      <c r="I26" s="13" t="n">
        <f aca="false">SUMIF(MANUALES!$B$16:$B$72,$A26,MANUALES!O$16:O$72)+SUMIF(RODANTES!$B$16:$B$72,$A26,RODANTES!O$16:O$72)+SUMIF(RECARGAS!$B$16:$B$37,$A26,RECARGAS!Y$16:Y$37)+SUMIF(REVENDIDOS!$B$16:$B$25,$A26,REVENDIDOS!P$16:P$25)</f>
        <v>7.30776843125</v>
      </c>
      <c r="J26" s="13" t="n">
        <f aca="false">SUMIF(MANUALES!$B$16:$B$72,$A26,MANUALES!P$16:P$72)+SUMIF(RODANTES!$B$16:$B$72,$A26,RODANTES!P$16:P$72)+SUMIF(RECARGAS!$B$16:$B$37,$A26,RECARGAS!Z$16:Z$37)+SUMIF(REVENDIDOS!$B$16:$B$25,$A26,REVENDIDOS!Q$16:Q$25)</f>
        <v>9.4010674975</v>
      </c>
      <c r="K26" s="13" t="n">
        <f aca="false">SUMIF(MANUALES!$B$16:$B$72,$A26,MANUALES!Q$16:Q$72)+SUMIF(RODANTES!$B$16:$B$72,$A26,RODANTES!Q$16:Q$72)+SUMIF(RECARGAS!$B$16:$B$37,$A26,RECARGAS!AA$16:AA$37)+SUMIF(REVENDIDOS!$B$16:$B$25,$A26,REVENDIDOS!R$16:R$25)</f>
        <v>12.5662316125</v>
      </c>
      <c r="L26" s="13" t="n">
        <f aca="false">SUMIF(MANUALES!$B$16:$B$72,$A26,MANUALES!R$16:R$72)+SUMIF(RODANTES!$B$16:$B$72,$A26,RODANTES!R$16:R$72)+SUMIF(RECARGAS!$B$16:$B$37,$A26,RECARGAS!AB$16:AB$37)+SUMIF(REVENDIDOS!$B$16:$B$25,$A26,REVENDIDOS!S$16:S$25)</f>
        <v>19.4845004375</v>
      </c>
      <c r="M26" s="13" t="n">
        <f aca="false">SUMIF(MANUALES!$B$16:$B$72,$A26,MANUALES!S$16:S$72)+SUMIF(RODANTES!$B$16:$B$72,$A26,RODANTES!S$16:S$72)+SUMIF(RECARGAS!$B$16:$B$37,$A26,RECARGAS!AC$16:AC$37)+SUMIF(REVENDIDOS!$B$16:$B$25,$A26,REVENDIDOS!T$16:T$25)</f>
        <v>26.4918103375</v>
      </c>
      <c r="N26" s="13" t="n">
        <f aca="false">SUMIF(MANUALES!$B$16:$B$72,$A26,MANUALES!T$16:T$72)+SUMIF(RODANTES!$B$16:$B$72,$A26,RODANTES!T$16:T$72)+SUMIF(RECARGAS!$B$16:$B$37,$A26,RECARGAS!AD$16:AD$37)+SUMIF(REVENDIDOS!$B$16:$B$25,$A26,REVENDIDOS!U$16:U$25)</f>
        <v>34.08352915</v>
      </c>
      <c r="O26" s="13" t="n">
        <f aca="false">SUMIF(MANUALES!$B$16:$B$72,$A26,MANUALES!U$16:U$72)+SUMIF(RODANTES!$B$16:$B$72,$A26,RODANTES!U$16:U$72)+SUMIF(RECARGAS!$B$16:$B$37,$A26,RECARGAS!AE$16:AE$37)+SUMIF(REVENDIDOS!$B$16:$B$25,$A26,REVENDIDOS!V$16:V$25)</f>
        <v>42.2310838375</v>
      </c>
      <c r="P26" s="13" t="n">
        <f aca="false">SUMIF(MANUALES!$B$16:$B$72,$A26,MANUALES!V$16:V$72)+SUMIF(RODANTES!$B$16:$B$72,$A26,RODANTES!V$16:V$72)+SUMIF(RECARGAS!$B$16:$B$37,$A26,RECARGAS!AF$16:AF$37)+SUMIF(REVENDIDOS!$B$16:$B$25,$A26,REVENDIDOS!W$16:W$25)</f>
        <v>49.20342695</v>
      </c>
      <c r="Q26" s="13" t="n">
        <f aca="false">SUMIF(MANUALES!$B$16:$B$72,$A26,MANUALES!W$16:W$72)+SUMIF(RODANTES!$B$16:$B$72,$A26,RODANTES!W$16:W$72)+SUMIF(RECARGAS!$B$16:$B$37,$A26,RECARGAS!AG$16:AG$37)+SUMIF(REVENDIDOS!$B$16:$B$25,$A26,REVENDIDOS!X$16:X$25)</f>
        <v>56.65881665</v>
      </c>
      <c r="R26" s="13" t="n">
        <f aca="false">SUMIF(MANUALES!$B$16:$B$72,$A26,MANUALES!X$16:X$72)+SUMIF(RODANTES!$B$16:$B$72,$A26,RODANTES!X$16:X$72)+SUMIF(RECARGAS!$B$16:$B$37,$A26,RECARGAS!AH$16:AH$37)+SUMIF(REVENDIDOS!$B$16:$B$25,$A26,REVENDIDOS!Y$16:Y$25)</f>
        <v>5.0992934985</v>
      </c>
    </row>
    <row r="27" customFormat="false" ht="15" hidden="false" customHeight="false" outlineLevel="0" collapsed="false">
      <c r="A27" s="3" t="s">
        <v>393</v>
      </c>
      <c r="B27" s="3" t="s">
        <v>394</v>
      </c>
      <c r="C27" s="3" t="s">
        <v>178</v>
      </c>
      <c r="D27" s="13" t="n">
        <f aca="false">SUMIF(MANUALES!$B$16:$B$72,$A27,MANUALES!W$16:W$72)</f>
        <v>0</v>
      </c>
      <c r="E27" s="13" t="n">
        <f aca="false">SUMIF(RODANTES!$B$16:$B$72,$A27,RODANTES!W$16:W$72)</f>
        <v>127.025500577619</v>
      </c>
      <c r="F27" s="13" t="n">
        <f aca="false">SUMIF(RECARGAS!$B$16:$B$37,$A27,RECARGAS!AG$16:AG$37)</f>
        <v>0</v>
      </c>
      <c r="G27" s="13" t="n">
        <f aca="false">SUMIF(REVENDIDOS!$B$16:$B$25,$A27,REVENDIDOS!X$16:X$25)</f>
        <v>0</v>
      </c>
      <c r="H27" s="13" t="n">
        <f aca="false">SUMIF(MANUALES!$B$16:$B$72,$A27,MANUALES!N$16:N$72)+SUMIF(RODANTES!$B$16:$B$72,$A27,RODANTES!N$16:N$72)+SUMIF(RECARGAS!$B$16:$B$37,$A27,RECARGAS!X$16:X$37)+SUMIF(REVENDIDOS!$B$16:$B$25,$A27,REVENDIDOS!O$16:O$25)</f>
        <v>9.58944262381201</v>
      </c>
      <c r="I27" s="13" t="n">
        <f aca="false">SUMIF(MANUALES!$B$16:$B$72,$A27,MANUALES!O$16:O$72)+SUMIF(RODANTES!$B$16:$B$72,$A27,RODANTES!O$16:O$72)+SUMIF(RECARGAS!$B$16:$B$37,$A27,RECARGAS!Y$16:Y$37)+SUMIF(REVENDIDOS!$B$16:$B$25,$A27,REVENDIDOS!P$16:P$25)</f>
        <v>16.4244731419988</v>
      </c>
      <c r="J27" s="13" t="n">
        <f aca="false">SUMIF(MANUALES!$B$16:$B$72,$A27,MANUALES!P$16:P$72)+SUMIF(RODANTES!$B$16:$B$72,$A27,RODANTES!P$16:P$72)+SUMIF(RECARGAS!$B$16:$B$37,$A27,RECARGAS!Z$16:Z$37)+SUMIF(REVENDIDOS!$B$16:$B$25,$A27,REVENDIDOS!Q$16:Q$25)</f>
        <v>21.1971827352664</v>
      </c>
      <c r="K27" s="13" t="n">
        <f aca="false">SUMIF(MANUALES!$B$16:$B$72,$A27,MANUALES!Q$16:Q$72)+SUMIF(RODANTES!$B$16:$B$72,$A27,RODANTES!Q$16:Q$72)+SUMIF(RECARGAS!$B$16:$B$37,$A27,RECARGAS!AA$16:AA$37)+SUMIF(REVENDIDOS!$B$16:$B$25,$A27,REVENDIDOS!R$16:R$25)</f>
        <v>28.3199841764214</v>
      </c>
      <c r="L27" s="13" t="n">
        <f aca="false">SUMIF(MANUALES!$B$16:$B$72,$A27,MANUALES!R$16:R$72)+SUMIF(RODANTES!$B$16:$B$72,$A27,RODANTES!R$16:R$72)+SUMIF(RECARGAS!$B$16:$B$37,$A27,RECARGAS!AB$16:AB$37)+SUMIF(REVENDIDOS!$B$16:$B$25,$A27,REVENDIDOS!S$16:S$25)</f>
        <v>43.8536645029071</v>
      </c>
      <c r="M27" s="13" t="n">
        <f aca="false">SUMIF(MANUALES!$B$16:$B$72,$A27,MANUALES!S$16:S$72)+SUMIF(RODANTES!$B$16:$B$72,$A27,RODANTES!S$16:S$72)+SUMIF(RECARGAS!$B$16:$B$37,$A27,RECARGAS!AC$16:AC$37)+SUMIF(REVENDIDOS!$B$16:$B$25,$A27,REVENDIDOS!T$16:T$25)</f>
        <v>59.5568409106198</v>
      </c>
      <c r="N27" s="13" t="n">
        <f aca="false">SUMIF(MANUALES!$B$16:$B$72,$A27,MANUALES!T$16:T$72)+SUMIF(RODANTES!$B$16:$B$72,$A27,RODANTES!T$16:T$72)+SUMIF(RECARGAS!$B$16:$B$37,$A27,RECARGAS!AD$16:AD$37)+SUMIF(REVENDIDOS!$B$16:$B$25,$A27,REVENDIDOS!U$16:U$25)</f>
        <v>76.5454162777976</v>
      </c>
      <c r="O27" s="13" t="n">
        <f aca="false">SUMIF(MANUALES!$B$16:$B$72,$A27,MANUALES!U$16:U$72)+SUMIF(RODANTES!$B$16:$B$72,$A27,RODANTES!U$16:U$72)+SUMIF(RECARGAS!$B$16:$B$37,$A27,RECARGAS!AE$16:AE$37)+SUMIF(REVENDIDOS!$B$16:$B$25,$A27,REVENDIDOS!V$16:V$25)</f>
        <v>94.7515935252968</v>
      </c>
      <c r="P27" s="13" t="n">
        <f aca="false">SUMIF(MANUALES!$B$16:$B$72,$A27,MANUALES!V$16:V$72)+SUMIF(RODANTES!$B$16:$B$72,$A27,RODANTES!V$16:V$72)+SUMIF(RECARGAS!$B$16:$B$37,$A27,RECARGAS!AF$16:AF$37)+SUMIF(REVENDIDOS!$B$16:$B$25,$A27,REVENDIDOS!W$16:W$25)</f>
        <v>110.375005390228</v>
      </c>
      <c r="Q27" s="13" t="n">
        <f aca="false">SUMIF(MANUALES!$B$16:$B$72,$A27,MANUALES!W$16:W$72)+SUMIF(RODANTES!$B$16:$B$72,$A27,RODANTES!W$16:W$72)+SUMIF(RECARGAS!$B$16:$B$37,$A27,RECARGAS!AG$16:AG$37)+SUMIF(REVENDIDOS!$B$16:$B$25,$A27,REVENDIDOS!X$16:X$25)</f>
        <v>127.025500577619</v>
      </c>
      <c r="R27" s="13" t="n">
        <f aca="false">SUMIF(MANUALES!$B$16:$B$72,$A27,MANUALES!X$16:X$72)+SUMIF(RODANTES!$B$16:$B$72,$A27,RODANTES!X$16:X$72)+SUMIF(RECARGAS!$B$16:$B$37,$A27,RECARGAS!AH$16:AH$37)+SUMIF(REVENDIDOS!$B$16:$B$25,$A27,REVENDIDOS!Y$16:Y$25)</f>
        <v>11.4322950519857</v>
      </c>
    </row>
    <row r="28" customFormat="false" ht="15" hidden="false" customHeight="false" outlineLevel="0" collapsed="false">
      <c r="A28" s="3" t="s">
        <v>431</v>
      </c>
      <c r="B28" s="3" t="s">
        <v>432</v>
      </c>
      <c r="C28" s="3" t="s">
        <v>214</v>
      </c>
      <c r="D28" s="13" t="n">
        <f aca="false">SUMIF(MANUALES!$B$16:$B$72,$A28,MANUALES!W$16:W$72)</f>
        <v>0</v>
      </c>
      <c r="E28" s="13" t="n">
        <f aca="false">SUMIF(RODANTES!$B$16:$B$72,$A28,RODANTES!W$16:W$72)</f>
        <v>7257.10578602127</v>
      </c>
      <c r="F28" s="13" t="n">
        <f aca="false">SUMIF(RECARGAS!$B$16:$B$37,$A28,RECARGAS!AG$16:AG$37)</f>
        <v>0</v>
      </c>
      <c r="G28" s="13" t="n">
        <f aca="false">SUMIF(REVENDIDOS!$B$16:$B$25,$A28,REVENDIDOS!X$16:X$25)</f>
        <v>0</v>
      </c>
      <c r="H28" s="13" t="n">
        <f aca="false">SUMIF(MANUALES!$B$16:$B$72,$A28,MANUALES!N$16:N$72)+SUMIF(RODANTES!$B$16:$B$72,$A28,RODANTES!N$16:N$72)+SUMIF(RECARGAS!$B$16:$B$37,$A28,RECARGAS!X$16:X$37)+SUMIF(REVENDIDOS!$B$16:$B$25,$A28,REVENDIDOS!O$16:O$25)</f>
        <v>547.130953087361</v>
      </c>
      <c r="I28" s="13" t="n">
        <f aca="false">SUMIF(MANUALES!$B$16:$B$72,$A28,MANUALES!O$16:O$72)+SUMIF(RODANTES!$B$16:$B$72,$A28,RODANTES!O$16:O$72)+SUMIF(RECARGAS!$B$16:$B$37,$A28,RECARGAS!Y$16:Y$37)+SUMIF(REVENDIDOS!$B$16:$B$25,$A28,REVENDIDOS!P$16:P$25)</f>
        <v>937.811765131729</v>
      </c>
      <c r="J28" s="13" t="n">
        <f aca="false">SUMIF(MANUALES!$B$16:$B$72,$A28,MANUALES!P$16:P$72)+SUMIF(RODANTES!$B$16:$B$72,$A28,RODANTES!P$16:P$72)+SUMIF(RECARGAS!$B$16:$B$37,$A28,RECARGAS!Z$16:Z$37)+SUMIF(REVENDIDOS!$B$16:$B$25,$A28,REVENDIDOS!Q$16:Q$25)</f>
        <v>1209.32259718714</v>
      </c>
      <c r="K28" s="13" t="n">
        <f aca="false">SUMIF(MANUALES!$B$16:$B$72,$A28,MANUALES!Q$16:Q$72)+SUMIF(RODANTES!$B$16:$B$72,$A28,RODANTES!Q$16:Q$72)+SUMIF(RECARGAS!$B$16:$B$37,$A28,RECARGAS!AA$16:AA$37)+SUMIF(REVENDIDOS!$B$16:$B$25,$A28,REVENDIDOS!R$16:R$25)</f>
        <v>1615.90253640174</v>
      </c>
      <c r="L28" s="13" t="n">
        <f aca="false">SUMIF(MANUALES!$B$16:$B$72,$A28,MANUALES!R$16:R$72)+SUMIF(RODANTES!$B$16:$B$72,$A28,RODANTES!R$16:R$72)+SUMIF(RECARGAS!$B$16:$B$37,$A28,RECARGAS!AB$16:AB$37)+SUMIF(REVENDIDOS!$B$16:$B$25,$A28,REVENDIDOS!S$16:S$25)</f>
        <v>2502.93743469852</v>
      </c>
      <c r="M28" s="13" t="n">
        <f aca="false">SUMIF(MANUALES!$B$16:$B$72,$A28,MANUALES!S$16:S$72)+SUMIF(RODANTES!$B$16:$B$72,$A28,RODANTES!S$16:S$72)+SUMIF(RECARGAS!$B$16:$B$37,$A28,RECARGAS!AC$16:AC$37)+SUMIF(REVENDIDOS!$B$16:$B$25,$A28,REVENDIDOS!T$16:T$25)</f>
        <v>3400.27600319381</v>
      </c>
      <c r="N28" s="13" t="n">
        <f aca="false">SUMIF(MANUALES!$B$16:$B$72,$A28,MANUALES!T$16:T$72)+SUMIF(RODANTES!$B$16:$B$72,$A28,RODANTES!T$16:T$72)+SUMIF(RECARGAS!$B$16:$B$37,$A28,RECARGAS!AD$16:AD$37)+SUMIF(REVENDIDOS!$B$16:$B$25,$A28,REVENDIDOS!U$16:U$25)</f>
        <v>4371.26776548542</v>
      </c>
      <c r="O28" s="13" t="n">
        <f aca="false">SUMIF(MANUALES!$B$16:$B$72,$A28,MANUALES!U$16:U$72)+SUMIF(RODANTES!$B$16:$B$72,$A28,RODANTES!U$16:U$72)+SUMIF(RECARGAS!$B$16:$B$37,$A28,RECARGAS!AE$16:AE$37)+SUMIF(REVENDIDOS!$B$16:$B$25,$A28,REVENDIDOS!V$16:V$25)</f>
        <v>5412.19781865116</v>
      </c>
      <c r="P28" s="13" t="n">
        <f aca="false">SUMIF(MANUALES!$B$16:$B$72,$A28,MANUALES!V$16:V$72)+SUMIF(RODANTES!$B$16:$B$72,$A28,RODANTES!V$16:V$72)+SUMIF(RECARGAS!$B$16:$B$37,$A28,RECARGAS!AF$16:AF$37)+SUMIF(REVENDIDOS!$B$16:$B$25,$A28,REVENDIDOS!W$16:W$25)</f>
        <v>6304.8879661799</v>
      </c>
      <c r="Q28" s="13" t="n">
        <f aca="false">SUMIF(MANUALES!$B$16:$B$72,$A28,MANUALES!W$16:W$72)+SUMIF(RODANTES!$B$16:$B$72,$A28,RODANTES!W$16:W$72)+SUMIF(RECARGAS!$B$16:$B$37,$A28,RECARGAS!AG$16:AG$37)+SUMIF(REVENDIDOS!$B$16:$B$25,$A28,REVENDIDOS!X$16:X$25)</f>
        <v>7257.10578602127</v>
      </c>
      <c r="R28" s="13" t="n">
        <f aca="false">SUMIF(MANUALES!$B$16:$B$72,$A28,MANUALES!X$16:X$72)+SUMIF(RODANTES!$B$16:$B$72,$A28,RODANTES!X$16:X$72)+SUMIF(RECARGAS!$B$16:$B$37,$A28,RECARGAS!AH$16:AH$37)+SUMIF(REVENDIDOS!$B$16:$B$25,$A28,REVENDIDOS!Y$16:Y$25)</f>
        <v>653.139520741915</v>
      </c>
    </row>
    <row r="29" customFormat="false" ht="15" hidden="false" customHeight="false" outlineLevel="0" collapsed="false">
      <c r="A29" s="3" t="s">
        <v>434</v>
      </c>
      <c r="B29" s="3" t="s">
        <v>435</v>
      </c>
      <c r="C29" s="3" t="s">
        <v>214</v>
      </c>
      <c r="D29" s="13" t="n">
        <f aca="false">SUMIF(MANUALES!$B$16:$B$72,$A29,MANUALES!W$16:W$72)</f>
        <v>0</v>
      </c>
      <c r="E29" s="13" t="n">
        <f aca="false">SUMIF(RODANTES!$B$16:$B$72,$A29,RODANTES!W$16:W$72)</f>
        <v>3628.55289301064</v>
      </c>
      <c r="F29" s="13" t="n">
        <f aca="false">SUMIF(RECARGAS!$B$16:$B$37,$A29,RECARGAS!AG$16:AG$37)</f>
        <v>0</v>
      </c>
      <c r="G29" s="13" t="n">
        <f aca="false">SUMIF(REVENDIDOS!$B$16:$B$25,$A29,REVENDIDOS!X$16:X$25)</f>
        <v>0</v>
      </c>
      <c r="H29" s="13" t="n">
        <f aca="false">SUMIF(MANUALES!$B$16:$B$72,$A29,MANUALES!N$16:N$72)+SUMIF(RODANTES!$B$16:$B$72,$A29,RODANTES!N$16:N$72)+SUMIF(RECARGAS!$B$16:$B$37,$A29,RECARGAS!X$16:X$37)+SUMIF(REVENDIDOS!$B$16:$B$25,$A29,REVENDIDOS!O$16:O$25)</f>
        <v>273.56547654368</v>
      </c>
      <c r="I29" s="13" t="n">
        <f aca="false">SUMIF(MANUALES!$B$16:$B$72,$A29,MANUALES!O$16:O$72)+SUMIF(RODANTES!$B$16:$B$72,$A29,RODANTES!O$16:O$72)+SUMIF(RECARGAS!$B$16:$B$37,$A29,RECARGAS!Y$16:Y$37)+SUMIF(REVENDIDOS!$B$16:$B$25,$A29,REVENDIDOS!P$16:P$25)</f>
        <v>468.905882565864</v>
      </c>
      <c r="J29" s="13" t="n">
        <f aca="false">SUMIF(MANUALES!$B$16:$B$72,$A29,MANUALES!P$16:P$72)+SUMIF(RODANTES!$B$16:$B$72,$A29,RODANTES!P$16:P$72)+SUMIF(RECARGAS!$B$16:$B$37,$A29,RECARGAS!Z$16:Z$37)+SUMIF(REVENDIDOS!$B$16:$B$25,$A29,REVENDIDOS!Q$16:Q$25)</f>
        <v>604.661298593569</v>
      </c>
      <c r="K29" s="13" t="n">
        <f aca="false">SUMIF(MANUALES!$B$16:$B$72,$A29,MANUALES!Q$16:Q$72)+SUMIF(RODANTES!$B$16:$B$72,$A29,RODANTES!Q$16:Q$72)+SUMIF(RECARGAS!$B$16:$B$37,$A29,RECARGAS!AA$16:AA$37)+SUMIF(REVENDIDOS!$B$16:$B$25,$A29,REVENDIDOS!R$16:R$25)</f>
        <v>807.951268200869</v>
      </c>
      <c r="L29" s="13" t="n">
        <f aca="false">SUMIF(MANUALES!$B$16:$B$72,$A29,MANUALES!R$16:R$72)+SUMIF(RODANTES!$B$16:$B$72,$A29,RODANTES!R$16:R$72)+SUMIF(RECARGAS!$B$16:$B$37,$A29,RECARGAS!AB$16:AB$37)+SUMIF(REVENDIDOS!$B$16:$B$25,$A29,REVENDIDOS!S$16:S$25)</f>
        <v>1251.46871734926</v>
      </c>
      <c r="M29" s="13" t="n">
        <f aca="false">SUMIF(MANUALES!$B$16:$B$72,$A29,MANUALES!S$16:S$72)+SUMIF(RODANTES!$B$16:$B$72,$A29,RODANTES!S$16:S$72)+SUMIF(RECARGAS!$B$16:$B$37,$A29,RECARGAS!AC$16:AC$37)+SUMIF(REVENDIDOS!$B$16:$B$25,$A29,REVENDIDOS!T$16:T$25)</f>
        <v>1700.1380015969</v>
      </c>
      <c r="N29" s="13" t="n">
        <f aca="false">SUMIF(MANUALES!$B$16:$B$72,$A29,MANUALES!T$16:T$72)+SUMIF(RODANTES!$B$16:$B$72,$A29,RODANTES!T$16:T$72)+SUMIF(RECARGAS!$B$16:$B$37,$A29,RECARGAS!AD$16:AD$37)+SUMIF(REVENDIDOS!$B$16:$B$25,$A29,REVENDIDOS!U$16:U$25)</f>
        <v>2185.63388274271</v>
      </c>
      <c r="O29" s="13" t="n">
        <f aca="false">SUMIF(MANUALES!$B$16:$B$72,$A29,MANUALES!U$16:U$72)+SUMIF(RODANTES!$B$16:$B$72,$A29,RODANTES!U$16:U$72)+SUMIF(RECARGAS!$B$16:$B$37,$A29,RECARGAS!AE$16:AE$37)+SUMIF(REVENDIDOS!$B$16:$B$25,$A29,REVENDIDOS!V$16:V$25)</f>
        <v>2706.09890932558</v>
      </c>
      <c r="P29" s="13" t="n">
        <f aca="false">SUMIF(MANUALES!$B$16:$B$72,$A29,MANUALES!V$16:V$72)+SUMIF(RODANTES!$B$16:$B$72,$A29,RODANTES!V$16:V$72)+SUMIF(RECARGAS!$B$16:$B$37,$A29,RECARGAS!AF$16:AF$37)+SUMIF(REVENDIDOS!$B$16:$B$25,$A29,REVENDIDOS!W$16:W$25)</f>
        <v>3152.44398308995</v>
      </c>
      <c r="Q29" s="13" t="n">
        <f aca="false">SUMIF(MANUALES!$B$16:$B$72,$A29,MANUALES!W$16:W$72)+SUMIF(RODANTES!$B$16:$B$72,$A29,RODANTES!W$16:W$72)+SUMIF(RECARGAS!$B$16:$B$37,$A29,RECARGAS!AG$16:AG$37)+SUMIF(REVENDIDOS!$B$16:$B$25,$A29,REVENDIDOS!X$16:X$25)</f>
        <v>3628.55289301064</v>
      </c>
      <c r="R29" s="13" t="n">
        <f aca="false">SUMIF(MANUALES!$B$16:$B$72,$A29,MANUALES!X$16:X$72)+SUMIF(RODANTES!$B$16:$B$72,$A29,RODANTES!X$16:X$72)+SUMIF(RECARGAS!$B$16:$B$37,$A29,RECARGAS!AH$16:AH$37)+SUMIF(REVENDIDOS!$B$16:$B$25,$A29,REVENDIDOS!Y$16:Y$25)</f>
        <v>326.569760370957</v>
      </c>
    </row>
    <row r="30" customFormat="false" ht="15" hidden="false" customHeight="false" outlineLevel="0" collapsed="false">
      <c r="A30" s="3" t="s">
        <v>437</v>
      </c>
      <c r="B30" s="3" t="s">
        <v>438</v>
      </c>
      <c r="C30" s="3" t="s">
        <v>214</v>
      </c>
      <c r="D30" s="13" t="n">
        <f aca="false">SUMIF(MANUALES!$B$16:$B$72,$A30,MANUALES!W$16:W$72)</f>
        <v>0</v>
      </c>
      <c r="E30" s="13" t="n">
        <f aca="false">SUMIF(RODANTES!$B$16:$B$72,$A30,RODANTES!W$16:W$72)</f>
        <v>906.5410664</v>
      </c>
      <c r="F30" s="13" t="n">
        <f aca="false">SUMIF(RECARGAS!$B$16:$B$37,$A30,RECARGAS!AG$16:AG$37)</f>
        <v>0</v>
      </c>
      <c r="G30" s="13" t="n">
        <f aca="false">SUMIF(REVENDIDOS!$B$16:$B$25,$A30,REVENDIDOS!X$16:X$25)</f>
        <v>0</v>
      </c>
      <c r="H30" s="13" t="n">
        <f aca="false">SUMIF(MANUALES!$B$16:$B$72,$A30,MANUALES!N$16:N$72)+SUMIF(RODANTES!$B$16:$B$72,$A30,RODANTES!N$16:N$72)+SUMIF(RECARGAS!$B$16:$B$37,$A30,RECARGAS!X$16:X$37)+SUMIF(REVENDIDOS!$B$16:$B$25,$A30,REVENDIDOS!O$16:O$25)</f>
        <v>68.10358272</v>
      </c>
      <c r="I30" s="13" t="n">
        <f aca="false">SUMIF(MANUALES!$B$16:$B$72,$A30,MANUALES!O$16:O$72)+SUMIF(RODANTES!$B$16:$B$72,$A30,RODANTES!O$16:O$72)+SUMIF(RECARGAS!$B$16:$B$37,$A30,RECARGAS!Y$16:Y$37)+SUMIF(REVENDIDOS!$B$16:$B$25,$A30,REVENDIDOS!P$16:P$25)</f>
        <v>116.9242949</v>
      </c>
      <c r="J30" s="13" t="n">
        <f aca="false">SUMIF(MANUALES!$B$16:$B$72,$A30,MANUALES!P$16:P$72)+SUMIF(RODANTES!$B$16:$B$72,$A30,RODANTES!P$16:P$72)+SUMIF(RECARGAS!$B$16:$B$37,$A30,RECARGAS!Z$16:Z$37)+SUMIF(REVENDIDOS!$B$16:$B$25,$A30,REVENDIDOS!Q$16:Q$25)</f>
        <v>150.41707996</v>
      </c>
      <c r="K30" s="13" t="n">
        <f aca="false">SUMIF(MANUALES!$B$16:$B$72,$A30,MANUALES!Q$16:Q$72)+SUMIF(RODANTES!$B$16:$B$72,$A30,RODANTES!Q$16:Q$72)+SUMIF(RECARGAS!$B$16:$B$37,$A30,RECARGAS!AA$16:AA$37)+SUMIF(REVENDIDOS!$B$16:$B$25,$A30,REVENDIDOS!R$16:R$25)</f>
        <v>201.0597058</v>
      </c>
      <c r="L30" s="13" t="n">
        <f aca="false">SUMIF(MANUALES!$B$16:$B$72,$A30,MANUALES!R$16:R$72)+SUMIF(RODANTES!$B$16:$B$72,$A30,RODANTES!R$16:R$72)+SUMIF(RECARGAS!$B$16:$B$37,$A30,RECARGAS!AB$16:AB$37)+SUMIF(REVENDIDOS!$B$16:$B$25,$A30,REVENDIDOS!S$16:S$25)</f>
        <v>311.752007</v>
      </c>
      <c r="M30" s="13" t="n">
        <f aca="false">SUMIF(MANUALES!$B$16:$B$72,$A30,MANUALES!S$16:S$72)+SUMIF(RODANTES!$B$16:$B$72,$A30,RODANTES!S$16:S$72)+SUMIF(RECARGAS!$B$16:$B$37,$A30,RECARGAS!AC$16:AC$37)+SUMIF(REVENDIDOS!$B$16:$B$25,$A30,REVENDIDOS!T$16:T$25)</f>
        <v>423.8689654</v>
      </c>
      <c r="N30" s="13" t="n">
        <f aca="false">SUMIF(MANUALES!$B$16:$B$72,$A30,MANUALES!T$16:T$72)+SUMIF(RODANTES!$B$16:$B$72,$A30,RODANTES!T$16:T$72)+SUMIF(RECARGAS!$B$16:$B$37,$A30,RECARGAS!AD$16:AD$37)+SUMIF(REVENDIDOS!$B$16:$B$25,$A30,REVENDIDOS!U$16:U$25)</f>
        <v>545.3364664</v>
      </c>
      <c r="O30" s="13" t="n">
        <f aca="false">SUMIF(MANUALES!$B$16:$B$72,$A30,MANUALES!U$16:U$72)+SUMIF(RODANTES!$B$16:$B$72,$A30,RODANTES!U$16:U$72)+SUMIF(RECARGAS!$B$16:$B$37,$A30,RECARGAS!AE$16:AE$37)+SUMIF(REVENDIDOS!$B$16:$B$25,$A30,REVENDIDOS!V$16:V$25)</f>
        <v>675.6973414</v>
      </c>
      <c r="P30" s="13" t="n">
        <f aca="false">SUMIF(MANUALES!$B$16:$B$72,$A30,MANUALES!V$16:V$72)+SUMIF(RODANTES!$B$16:$B$72,$A30,RODANTES!V$16:V$72)+SUMIF(RECARGAS!$B$16:$B$37,$A30,RECARGAS!AF$16:AF$37)+SUMIF(REVENDIDOS!$B$16:$B$25,$A30,REVENDIDOS!W$16:W$25)</f>
        <v>787.2548312</v>
      </c>
      <c r="Q30" s="13" t="n">
        <f aca="false">SUMIF(MANUALES!$B$16:$B$72,$A30,MANUALES!W$16:W$72)+SUMIF(RODANTES!$B$16:$B$72,$A30,RODANTES!W$16:W$72)+SUMIF(RECARGAS!$B$16:$B$37,$A30,RECARGAS!AG$16:AG$37)+SUMIF(REVENDIDOS!$B$16:$B$25,$A30,REVENDIDOS!X$16:X$25)</f>
        <v>906.5410664</v>
      </c>
      <c r="R30" s="13" t="n">
        <f aca="false">SUMIF(MANUALES!$B$16:$B$72,$A30,MANUALES!X$16:X$72)+SUMIF(RODANTES!$B$16:$B$72,$A30,RODANTES!X$16:X$72)+SUMIF(RECARGAS!$B$16:$B$37,$A30,RECARGAS!AH$16:AH$37)+SUMIF(REVENDIDOS!$B$16:$B$25,$A30,REVENDIDOS!Y$16:Y$25)</f>
        <v>81.588695976</v>
      </c>
    </row>
    <row r="31" customFormat="false" ht="15" hidden="false" customHeight="false" outlineLevel="0" collapsed="false">
      <c r="A31" s="3" t="s">
        <v>440</v>
      </c>
      <c r="B31" s="3" t="s">
        <v>441</v>
      </c>
      <c r="C31" s="3" t="s">
        <v>214</v>
      </c>
      <c r="D31" s="13" t="n">
        <f aca="false">SUMIF(MANUALES!$B$16:$B$72,$A31,MANUALES!W$16:W$72)</f>
        <v>0</v>
      </c>
      <c r="E31" s="13" t="n">
        <f aca="false">SUMIF(RODANTES!$B$16:$B$72,$A31,RODANTES!W$16:W$72)</f>
        <v>1996.51996564081</v>
      </c>
      <c r="F31" s="13" t="n">
        <f aca="false">SUMIF(RECARGAS!$B$16:$B$37,$A31,RECARGAS!AG$16:AG$37)</f>
        <v>0</v>
      </c>
      <c r="G31" s="13" t="n">
        <f aca="false">SUMIF(REVENDIDOS!$B$16:$B$25,$A31,REVENDIDOS!X$16:X$25)</f>
        <v>0</v>
      </c>
      <c r="H31" s="13" t="n">
        <f aca="false">SUMIF(MANUALES!$B$16:$B$72,$A31,MANUALES!N$16:N$72)+SUMIF(RODANTES!$B$16:$B$72,$A31,RODANTES!N$16:N$72)+SUMIF(RECARGAS!$B$16:$B$37,$A31,RECARGAS!X$16:X$37)+SUMIF(REVENDIDOS!$B$16:$B$25,$A31,REVENDIDOS!O$16:O$25)</f>
        <v>150.40345482184</v>
      </c>
      <c r="I31" s="13" t="n">
        <f aca="false">SUMIF(MANUALES!$B$16:$B$72,$A31,MANUALES!O$16:O$72)+SUMIF(RODANTES!$B$16:$B$72,$A31,RODANTES!O$16:O$72)+SUMIF(RECARGAS!$B$16:$B$37,$A31,RECARGAS!Y$16:Y$37)+SUMIF(REVENDIDOS!$B$16:$B$25,$A31,REVENDIDOS!P$16:P$25)</f>
        <v>258.413373084772</v>
      </c>
      <c r="J31" s="13" t="n">
        <f aca="false">SUMIF(MANUALES!$B$16:$B$72,$A31,MANUALES!P$16:P$72)+SUMIF(RODANTES!$B$16:$B$72,$A31,RODANTES!P$16:P$72)+SUMIF(RECARGAS!$B$16:$B$37,$A31,RECARGAS!Z$16:Z$37)+SUMIF(REVENDIDOS!$B$16:$B$25,$A31,REVENDIDOS!Q$16:Q$25)</f>
        <v>333.306203210636</v>
      </c>
      <c r="K31" s="13" t="n">
        <f aca="false">SUMIF(MANUALES!$B$16:$B$72,$A31,MANUALES!Q$16:Q$72)+SUMIF(RODANTES!$B$16:$B$72,$A31,RODANTES!Q$16:Q$72)+SUMIF(RECARGAS!$B$16:$B$37,$A31,RECARGAS!AA$16:AA$37)+SUMIF(REVENDIDOS!$B$16:$B$25,$A31,REVENDIDOS!R$16:R$25)</f>
        <v>445.410667596845</v>
      </c>
      <c r="L31" s="13" t="n">
        <f aca="false">SUMIF(MANUALES!$B$16:$B$72,$A31,MANUALES!R$16:R$72)+SUMIF(RODANTES!$B$16:$B$72,$A31,RODANTES!R$16:R$72)+SUMIF(RECARGAS!$B$16:$B$37,$A31,RECARGAS!AB$16:AB$37)+SUMIF(REVENDIDOS!$B$16:$B$25,$A31,REVENDIDOS!S$16:S$25)</f>
        <v>689.077623202305</v>
      </c>
      <c r="M31" s="13" t="n">
        <f aca="false">SUMIF(MANUALES!$B$16:$B$72,$A31,MANUALES!S$16:S$72)+SUMIF(RODANTES!$B$16:$B$72,$A31,RODANTES!S$16:S$72)+SUMIF(RECARGAS!$B$16:$B$37,$A31,RECARGAS!AC$16:AC$37)+SUMIF(REVENDIDOS!$B$16:$B$25,$A31,REVENDIDOS!T$16:T$25)</f>
        <v>936.454397829605</v>
      </c>
      <c r="N31" s="13" t="n">
        <f aca="false">SUMIF(MANUALES!$B$16:$B$72,$A31,MANUALES!T$16:T$72)+SUMIF(RODANTES!$B$16:$B$72,$A31,RODANTES!T$16:T$72)+SUMIF(RECARGAS!$B$16:$B$37,$A31,RECARGAS!AD$16:AD$37)+SUMIF(REVENDIDOS!$B$16:$B$25,$A31,REVENDIDOS!U$16:U$25)</f>
        <v>1203.27999865432</v>
      </c>
      <c r="O31" s="13" t="n">
        <f aca="false">SUMIF(MANUALES!$B$16:$B$72,$A31,MANUALES!U$16:U$72)+SUMIF(RODANTES!$B$16:$B$72,$A31,RODANTES!U$16:U$72)+SUMIF(RECARGAS!$B$16:$B$37,$A31,RECARGAS!AE$16:AE$37)+SUMIF(REVENDIDOS!$B$16:$B$25,$A31,REVENDIDOS!V$16:V$25)</f>
        <v>1489.0666716161</v>
      </c>
      <c r="P31" s="13" t="n">
        <f aca="false">SUMIF(MANUALES!$B$16:$B$72,$A31,MANUALES!V$16:V$72)+SUMIF(RODANTES!$B$16:$B$72,$A31,RODANTES!V$16:V$72)+SUMIF(RECARGAS!$B$16:$B$37,$A31,RECARGAS!AF$16:AF$37)+SUMIF(REVENDIDOS!$B$16:$B$25,$A31,REVENDIDOS!W$16:W$25)</f>
        <v>1734.57948493937</v>
      </c>
      <c r="Q31" s="13" t="n">
        <f aca="false">SUMIF(MANUALES!$B$16:$B$72,$A31,MANUALES!W$16:W$72)+SUMIF(RODANTES!$B$16:$B$72,$A31,RODANTES!W$16:W$72)+SUMIF(RECARGAS!$B$16:$B$37,$A31,RECARGAS!AG$16:AG$37)+SUMIF(REVENDIDOS!$B$16:$B$25,$A31,REVENDIDOS!X$16:X$25)</f>
        <v>1996.51996564081</v>
      </c>
      <c r="R31" s="13" t="n">
        <f aca="false">SUMIF(MANUALES!$B$16:$B$72,$A31,MANUALES!X$16:X$72)+SUMIF(RODANTES!$B$16:$B$72,$A31,RODANTES!X$16:X$72)+SUMIF(RECARGAS!$B$16:$B$37,$A31,RECARGAS!AH$16:AH$37)+SUMIF(REVENDIDOS!$B$16:$B$25,$A31,REVENDIDOS!Y$16:Y$25)</f>
        <v>179.686796907673</v>
      </c>
    </row>
    <row r="32" customFormat="false" ht="15" hidden="false" customHeight="false" outlineLevel="0" collapsed="false">
      <c r="A32" s="3" t="s">
        <v>443</v>
      </c>
      <c r="B32" s="3" t="s">
        <v>444</v>
      </c>
      <c r="C32" s="3" t="s">
        <v>214</v>
      </c>
      <c r="D32" s="13" t="n">
        <f aca="false">SUMIF(MANUALES!$B$16:$B$72,$A32,MANUALES!W$16:W$72)</f>
        <v>0</v>
      </c>
      <c r="E32" s="13" t="n">
        <f aca="false">SUMIF(RODANTES!$B$16:$B$72,$A32,RODANTES!W$16:W$72)</f>
        <v>725.491860969828</v>
      </c>
      <c r="F32" s="13" t="n">
        <f aca="false">SUMIF(RECARGAS!$B$16:$B$37,$A32,RECARGAS!AG$16:AG$37)</f>
        <v>0</v>
      </c>
      <c r="G32" s="13" t="n">
        <f aca="false">SUMIF(REVENDIDOS!$B$16:$B$25,$A32,REVENDIDOS!X$16:X$25)</f>
        <v>0</v>
      </c>
      <c r="H32" s="13" t="n">
        <f aca="false">SUMIF(MANUALES!$B$16:$B$72,$A32,MANUALES!N$16:N$72)+SUMIF(RODANTES!$B$16:$B$72,$A32,RODANTES!N$16:N$72)+SUMIF(RECARGAS!$B$16:$B$37,$A32,RECARGAS!X$16:X$37)+SUMIF(REVENDIDOS!$B$16:$B$25,$A32,REVENDIDOS!O$16:O$25)</f>
        <v>55.0584390018401</v>
      </c>
      <c r="I32" s="13" t="n">
        <f aca="false">SUMIF(MANUALES!$B$16:$B$72,$A32,MANUALES!O$16:O$72)+SUMIF(RODANTES!$B$16:$B$72,$A32,RODANTES!O$16:O$72)+SUMIF(RECARGAS!$B$16:$B$37,$A32,RECARGAS!Y$16:Y$37)+SUMIF(REVENDIDOS!$B$16:$B$25,$A32,REVENDIDOS!P$16:P$25)</f>
        <v>93.568214581092</v>
      </c>
      <c r="J32" s="13" t="n">
        <f aca="false">SUMIF(MANUALES!$B$16:$B$72,$A32,MANUALES!P$16:P$72)+SUMIF(RODANTES!$B$16:$B$72,$A32,RODANTES!P$16:P$72)+SUMIF(RECARGAS!$B$16:$B$37,$A32,RECARGAS!Z$16:Z$37)+SUMIF(REVENDIDOS!$B$16:$B$25,$A32,REVENDIDOS!Q$16:Q$25)</f>
        <v>120.938015422932</v>
      </c>
      <c r="K32" s="13" t="n">
        <f aca="false">SUMIF(MANUALES!$B$16:$B$72,$A32,MANUALES!Q$16:Q$72)+SUMIF(RODANTES!$B$16:$B$72,$A32,RODANTES!Q$16:Q$72)+SUMIF(RECARGAS!$B$16:$B$37,$A32,RECARGAS!AA$16:AA$37)+SUMIF(REVENDIDOS!$B$16:$B$25,$A32,REVENDIDOS!R$16:R$25)</f>
        <v>161.480894804024</v>
      </c>
      <c r="L32" s="13" t="n">
        <f aca="false">SUMIF(MANUALES!$B$16:$B$72,$A32,MANUALES!R$16:R$72)+SUMIF(RODANTES!$B$16:$B$72,$A32,RODANTES!R$16:R$72)+SUMIF(RECARGAS!$B$16:$B$37,$A32,RECARGAS!AB$16:AB$37)+SUMIF(REVENDIDOS!$B$16:$B$25,$A32,REVENDIDOS!S$16:S$25)</f>
        <v>250.639087146956</v>
      </c>
      <c r="M32" s="13" t="n">
        <f aca="false">SUMIF(MANUALES!$B$16:$B$72,$A32,MANUALES!S$16:S$72)+SUMIF(RODANTES!$B$16:$B$72,$A32,RODANTES!S$16:S$72)+SUMIF(RECARGAS!$B$16:$B$37,$A32,RECARGAS!AC$16:AC$37)+SUMIF(REVENDIDOS!$B$16:$B$25,$A32,REVENDIDOS!T$16:T$25)</f>
        <v>339.8146383673</v>
      </c>
      <c r="N32" s="13" t="n">
        <f aca="false">SUMIF(MANUALES!$B$16:$B$72,$A32,MANUALES!T$16:T$72)+SUMIF(RODANTES!$B$16:$B$72,$A32,RODANTES!T$16:T$72)+SUMIF(RECARGAS!$B$16:$B$37,$A32,RECARGAS!AD$16:AD$37)+SUMIF(REVENDIDOS!$B$16:$B$25,$A32,REVENDIDOS!U$16:U$25)</f>
        <v>437.017417688392</v>
      </c>
      <c r="O32" s="13" t="n">
        <f aca="false">SUMIF(MANUALES!$B$16:$B$72,$A32,MANUALES!U$16:U$72)+SUMIF(RODANTES!$B$16:$B$72,$A32,RODANTES!U$16:U$72)+SUMIF(RECARGAS!$B$16:$B$37,$A32,RECARGAS!AE$16:AE$37)+SUMIF(REVENDIDOS!$B$16:$B$25,$A32,REVENDIDOS!V$16:V$25)</f>
        <v>541.334896309484</v>
      </c>
      <c r="P32" s="13" t="n">
        <f aca="false">SUMIF(MANUALES!$B$16:$B$72,$A32,MANUALES!V$16:V$72)+SUMIF(RODANTES!$B$16:$B$72,$A32,RODANTES!V$16:V$72)+SUMIF(RECARGAS!$B$16:$B$37,$A32,RECARGAS!AF$16:AF$37)+SUMIF(REVENDIDOS!$B$16:$B$25,$A32,REVENDIDOS!W$16:W$25)</f>
        <v>630.609666950576</v>
      </c>
      <c r="Q32" s="13" t="n">
        <f aca="false">SUMIF(MANUALES!$B$16:$B$72,$A32,MANUALES!W$16:W$72)+SUMIF(RODANTES!$B$16:$B$72,$A32,RODANTES!W$16:W$72)+SUMIF(RECARGAS!$B$16:$B$37,$A32,RECARGAS!AG$16:AG$37)+SUMIF(REVENDIDOS!$B$16:$B$25,$A32,REVENDIDOS!X$16:X$25)</f>
        <v>725.491860969828</v>
      </c>
      <c r="R32" s="13" t="n">
        <f aca="false">SUMIF(MANUALES!$B$16:$B$72,$A32,MANUALES!X$16:X$72)+SUMIF(RODANTES!$B$16:$B$72,$A32,RODANTES!X$16:X$72)+SUMIF(RECARGAS!$B$16:$B$37,$A32,RECARGAS!AH$16:AH$37)+SUMIF(REVENDIDOS!$B$16:$B$25,$A32,REVENDIDOS!Y$16:Y$25)</f>
        <v>65.2942674872845</v>
      </c>
    </row>
    <row r="33" customFormat="false" ht="15" hidden="false" customHeight="false" outlineLevel="0" collapsed="false">
      <c r="A33" s="3" t="s">
        <v>219</v>
      </c>
      <c r="B33" s="3" t="s">
        <v>220</v>
      </c>
      <c r="C33" s="3" t="s">
        <v>192</v>
      </c>
      <c r="D33" s="13" t="n">
        <f aca="false">SUMIF(MANUALES!$B$16:$B$72,$A33,MANUALES!W$16:W$72)</f>
        <v>6043.43512149988</v>
      </c>
      <c r="E33" s="13" t="n">
        <f aca="false">SUMIF(RODANTES!$B$16:$B$72,$A33,RODANTES!W$16:W$72)</f>
        <v>0</v>
      </c>
      <c r="F33" s="13" t="n">
        <f aca="false">SUMIF(RECARGAS!$B$16:$B$37,$A33,RECARGAS!AG$16:AG$37)</f>
        <v>0</v>
      </c>
      <c r="G33" s="13" t="n">
        <f aca="false">SUMIF(REVENDIDOS!$B$16:$B$25,$A33,REVENDIDOS!X$16:X$25)</f>
        <v>0</v>
      </c>
      <c r="H33" s="13" t="n">
        <f aca="false">SUMIF(MANUALES!$B$16:$B$72,$A33,MANUALES!N$16:N$72)+SUMIF(RODANTES!$B$16:$B$72,$A33,RODANTES!N$16:N$72)+SUMIF(RECARGAS!$B$16:$B$37,$A33,RECARGAS!X$16:X$37)+SUMIF(REVENDIDOS!$B$16:$B$25,$A33,REVENDIDOS!O$16:O$25)</f>
        <v>176.086340306679</v>
      </c>
      <c r="I33" s="13" t="n">
        <f aca="false">SUMIF(MANUALES!$B$16:$B$72,$A33,MANUALES!O$16:O$72)+SUMIF(RODANTES!$B$16:$B$72,$A33,RODANTES!O$16:O$72)+SUMIF(RECARGAS!$B$16:$B$37,$A33,RECARGAS!Y$16:Y$37)+SUMIF(REVENDIDOS!$B$16:$B$25,$A33,REVENDIDOS!P$16:P$25)</f>
        <v>321.342645968935</v>
      </c>
      <c r="J33" s="13" t="n">
        <f aca="false">SUMIF(MANUALES!$B$16:$B$72,$A33,MANUALES!P$16:P$72)+SUMIF(RODANTES!$B$16:$B$72,$A33,RODANTES!P$16:P$72)+SUMIF(RECARGAS!$B$16:$B$37,$A33,RECARGAS!Z$16:Z$37)+SUMIF(REVENDIDOS!$B$16:$B$25,$A33,REVENDIDOS!Q$16:Q$25)</f>
        <v>591.668655180166</v>
      </c>
      <c r="K33" s="13" t="n">
        <f aca="false">SUMIF(MANUALES!$B$16:$B$72,$A33,MANUALES!Q$16:Q$72)+SUMIF(RODANTES!$B$16:$B$72,$A33,RODANTES!Q$16:Q$72)+SUMIF(RECARGAS!$B$16:$B$37,$A33,RECARGAS!AA$16:AA$37)+SUMIF(REVENDIDOS!$B$16:$B$25,$A33,REVENDIDOS!R$16:R$25)</f>
        <v>1207.66294539486</v>
      </c>
      <c r="L33" s="13" t="n">
        <f aca="false">SUMIF(MANUALES!$B$16:$B$72,$A33,MANUALES!R$16:R$72)+SUMIF(RODANTES!$B$16:$B$72,$A33,RODANTES!R$16:R$72)+SUMIF(RECARGAS!$B$16:$B$37,$A33,RECARGAS!AB$16:AB$37)+SUMIF(REVENDIDOS!$B$16:$B$25,$A33,REVENDIDOS!S$16:S$25)</f>
        <v>1997.89357510651</v>
      </c>
      <c r="M33" s="13" t="n">
        <f aca="false">SUMIF(MANUALES!$B$16:$B$72,$A33,MANUALES!S$16:S$72)+SUMIF(RODANTES!$B$16:$B$72,$A33,RODANTES!S$16:S$72)+SUMIF(RECARGAS!$B$16:$B$37,$A33,RECARGAS!AC$16:AC$37)+SUMIF(REVENDIDOS!$B$16:$B$25,$A33,REVENDIDOS!T$16:T$25)</f>
        <v>2768.50834279874</v>
      </c>
      <c r="N33" s="13" t="n">
        <f aca="false">SUMIF(MANUALES!$B$16:$B$72,$A33,MANUALES!T$16:T$72)+SUMIF(RODANTES!$B$16:$B$72,$A33,RODANTES!T$16:T$72)+SUMIF(RECARGAS!$B$16:$B$37,$A33,RECARGAS!AD$16:AD$37)+SUMIF(REVENDIDOS!$B$16:$B$25,$A33,REVENDIDOS!U$16:U$25)</f>
        <v>3726.06522104204</v>
      </c>
      <c r="O33" s="13" t="n">
        <f aca="false">SUMIF(MANUALES!$B$16:$B$72,$A33,MANUALES!U$16:U$72)+SUMIF(RODANTES!$B$16:$B$72,$A33,RODANTES!U$16:U$72)+SUMIF(RECARGAS!$B$16:$B$37,$A33,RECARGAS!AE$16:AE$37)+SUMIF(REVENDIDOS!$B$16:$B$25,$A33,REVENDIDOS!V$16:V$25)</f>
        <v>4670.70591051968</v>
      </c>
      <c r="P33" s="13" t="n">
        <f aca="false">SUMIF(MANUALES!$B$16:$B$72,$A33,MANUALES!V$16:V$72)+SUMIF(RODANTES!$B$16:$B$72,$A33,RODANTES!V$16:V$72)+SUMIF(RECARGAS!$B$16:$B$37,$A33,RECARGAS!AF$16:AF$37)+SUMIF(REVENDIDOS!$B$16:$B$25,$A33,REVENDIDOS!W$16:W$25)</f>
        <v>5237.97768379034</v>
      </c>
      <c r="Q33" s="13" t="n">
        <f aca="false">SUMIF(MANUALES!$B$16:$B$72,$A33,MANUALES!W$16:W$72)+SUMIF(RODANTES!$B$16:$B$72,$A33,RODANTES!W$16:W$72)+SUMIF(RECARGAS!$B$16:$B$37,$A33,RECARGAS!AG$16:AG$37)+SUMIF(REVENDIDOS!$B$16:$B$25,$A33,REVENDIDOS!X$16:X$25)</f>
        <v>6043.43512149988</v>
      </c>
      <c r="R33" s="13" t="n">
        <f aca="false">SUMIF(MANUALES!$B$16:$B$72,$A33,MANUALES!X$16:X$72)+SUMIF(RODANTES!$B$16:$B$72,$A33,RODANTES!X$16:X$72)+SUMIF(RECARGAS!$B$16:$B$37,$A33,RECARGAS!AH$16:AH$37)+SUMIF(REVENDIDOS!$B$16:$B$25,$A33,REVENDIDOS!Y$16:Y$25)</f>
        <v>695.150697170574</v>
      </c>
    </row>
    <row r="34" customFormat="false" ht="15" hidden="false" customHeight="false" outlineLevel="0" collapsed="false">
      <c r="A34" s="3" t="s">
        <v>396</v>
      </c>
      <c r="B34" s="3" t="s">
        <v>397</v>
      </c>
      <c r="C34" s="3" t="s">
        <v>192</v>
      </c>
      <c r="D34" s="13" t="n">
        <f aca="false">SUMIF(MANUALES!$B$16:$B$72,$A34,MANUALES!W$16:W$72)</f>
        <v>0</v>
      </c>
      <c r="E34" s="13" t="n">
        <f aca="false">SUMIF(RODANTES!$B$16:$B$72,$A34,RODANTES!W$16:W$72)</f>
        <v>1388.19529361605</v>
      </c>
      <c r="F34" s="13" t="n">
        <f aca="false">SUMIF(RECARGAS!$B$16:$B$37,$A34,RECARGAS!AG$16:AG$37)</f>
        <v>0</v>
      </c>
      <c r="G34" s="13" t="n">
        <f aca="false">SUMIF(REVENDIDOS!$B$16:$B$25,$A34,REVENDIDOS!X$16:X$25)</f>
        <v>0</v>
      </c>
      <c r="H34" s="13" t="n">
        <f aca="false">SUMIF(MANUALES!$B$16:$B$72,$A34,MANUALES!N$16:N$72)+SUMIF(RODANTES!$B$16:$B$72,$A34,RODANTES!N$16:N$72)+SUMIF(RECARGAS!$B$16:$B$37,$A34,RECARGAS!X$16:X$37)+SUMIF(REVENDIDOS!$B$16:$B$25,$A34,REVENDIDOS!O$16:O$25)</f>
        <v>70.1368064636938</v>
      </c>
      <c r="I34" s="13" t="n">
        <f aca="false">SUMIF(MANUALES!$B$16:$B$72,$A34,MANUALES!O$16:O$72)+SUMIF(RODANTES!$B$16:$B$72,$A34,RODANTES!O$16:O$72)+SUMIF(RECARGAS!$B$16:$B$37,$A34,RECARGAS!Y$16:Y$37)+SUMIF(REVENDIDOS!$B$16:$B$25,$A34,REVENDIDOS!P$16:P$25)</f>
        <v>120.041790076202</v>
      </c>
      <c r="J34" s="13" t="n">
        <f aca="false">SUMIF(MANUALES!$B$16:$B$72,$A34,MANUALES!P$16:P$72)+SUMIF(RODANTES!$B$16:$B$72,$A34,RODANTES!P$16:P$72)+SUMIF(RECARGAS!$B$16:$B$37,$A34,RECARGAS!Z$16:Z$37)+SUMIF(REVENDIDOS!$B$16:$B$25,$A34,REVENDIDOS!Q$16:Q$25)</f>
        <v>175.504977643568</v>
      </c>
      <c r="K34" s="13" t="n">
        <f aca="false">SUMIF(MANUALES!$B$16:$B$72,$A34,MANUALES!Q$16:Q$72)+SUMIF(RODANTES!$B$16:$B$72,$A34,RODANTES!Q$16:Q$72)+SUMIF(RECARGAS!$B$16:$B$37,$A34,RECARGAS!AA$16:AA$37)+SUMIF(REVENDIDOS!$B$16:$B$25,$A34,REVENDIDOS!R$16:R$25)</f>
        <v>278.809596946781</v>
      </c>
      <c r="L34" s="13" t="n">
        <f aca="false">SUMIF(MANUALES!$B$16:$B$72,$A34,MANUALES!R$16:R$72)+SUMIF(RODANTES!$B$16:$B$72,$A34,RODANTES!R$16:R$72)+SUMIF(RECARGAS!$B$16:$B$37,$A34,RECARGAS!AB$16:AB$37)+SUMIF(REVENDIDOS!$B$16:$B$25,$A34,REVENDIDOS!S$16:S$25)</f>
        <v>453.740750300024</v>
      </c>
      <c r="M34" s="13" t="n">
        <f aca="false">SUMIF(MANUALES!$B$16:$B$72,$A34,MANUALES!S$16:S$72)+SUMIF(RODANTES!$B$16:$B$72,$A34,RODANTES!S$16:S$72)+SUMIF(RECARGAS!$B$16:$B$37,$A34,RECARGAS!AC$16:AC$37)+SUMIF(REVENDIDOS!$B$16:$B$25,$A34,REVENDIDOS!T$16:T$25)</f>
        <v>628.327149770847</v>
      </c>
      <c r="N34" s="13" t="n">
        <f aca="false">SUMIF(MANUALES!$B$16:$B$72,$A34,MANUALES!T$16:T$72)+SUMIF(RODANTES!$B$16:$B$72,$A34,RODANTES!T$16:T$72)+SUMIF(RECARGAS!$B$16:$B$37,$A34,RECARGAS!AD$16:AD$37)+SUMIF(REVENDIDOS!$B$16:$B$25,$A34,REVENDIDOS!U$16:U$25)</f>
        <v>832.331139024825</v>
      </c>
      <c r="O34" s="13" t="n">
        <f aca="false">SUMIF(MANUALES!$B$16:$B$72,$A34,MANUALES!U$16:U$72)+SUMIF(RODANTES!$B$16:$B$72,$A34,RODANTES!U$16:U$72)+SUMIF(RECARGAS!$B$16:$B$37,$A34,RECARGAS!AE$16:AE$37)+SUMIF(REVENDIDOS!$B$16:$B$25,$A34,REVENDIDOS!V$16:V$25)</f>
        <v>1045.31034065937</v>
      </c>
      <c r="P34" s="13" t="n">
        <f aca="false">SUMIF(MANUALES!$B$16:$B$72,$A34,MANUALES!V$16:V$72)+SUMIF(RODANTES!$B$16:$B$72,$A34,RODANTES!V$16:V$72)+SUMIF(RECARGAS!$B$16:$B$37,$A34,RECARGAS!AF$16:AF$37)+SUMIF(REVENDIDOS!$B$16:$B$25,$A34,REVENDIDOS!W$16:W$25)</f>
        <v>1202.30892851674</v>
      </c>
      <c r="Q34" s="13" t="n">
        <f aca="false">SUMIF(MANUALES!$B$16:$B$72,$A34,MANUALES!W$16:W$72)+SUMIF(RODANTES!$B$16:$B$72,$A34,RODANTES!W$16:W$72)+SUMIF(RECARGAS!$B$16:$B$37,$A34,RECARGAS!AG$16:AG$37)+SUMIF(REVENDIDOS!$B$16:$B$25,$A34,REVENDIDOS!X$16:X$25)</f>
        <v>1388.19529361605</v>
      </c>
      <c r="R34" s="13" t="n">
        <f aca="false">SUMIF(MANUALES!$B$16:$B$72,$A34,MANUALES!X$16:X$72)+SUMIF(RODANTES!$B$16:$B$72,$A34,RODANTES!X$16:X$72)+SUMIF(RECARGAS!$B$16:$B$37,$A34,RECARGAS!AH$16:AH$37)+SUMIF(REVENDIDOS!$B$16:$B$25,$A34,REVENDIDOS!Y$16:Y$25)</f>
        <v>124.937576425445</v>
      </c>
    </row>
    <row r="35" customFormat="false" ht="15" hidden="false" customHeight="false" outlineLevel="0" collapsed="false">
      <c r="A35" s="3" t="s">
        <v>222</v>
      </c>
      <c r="B35" s="3" t="s">
        <v>223</v>
      </c>
      <c r="C35" s="3" t="s">
        <v>224</v>
      </c>
      <c r="D35" s="13" t="n">
        <f aca="false">SUMIF(MANUALES!$B$16:$B$72,$A35,MANUALES!W$16:W$72)</f>
        <v>7464.30012785666</v>
      </c>
      <c r="E35" s="13" t="n">
        <f aca="false">SUMIF(RODANTES!$B$16:$B$72,$A35,RODANTES!W$16:W$72)</f>
        <v>560.468514400998</v>
      </c>
      <c r="F35" s="13" t="n">
        <f aca="false">SUMIF(RECARGAS!$B$16:$B$37,$A35,RECARGAS!AG$16:AG$37)</f>
        <v>0</v>
      </c>
      <c r="G35" s="13" t="n">
        <f aca="false">SUMIF(REVENDIDOS!$B$16:$B$25,$A35,REVENDIDOS!X$16:X$25)</f>
        <v>0</v>
      </c>
      <c r="H35" s="13" t="n">
        <f aca="false">SUMIF(MANUALES!$B$16:$B$72,$A35,MANUALES!N$16:N$72)+SUMIF(RODANTES!$B$16:$B$72,$A35,RODANTES!N$16:N$72)+SUMIF(RECARGAS!$B$16:$B$37,$A35,RECARGAS!X$16:X$37)+SUMIF(REVENDIDOS!$B$16:$B$25,$A35,REVENDIDOS!O$16:O$25)</f>
        <v>247.880294014578</v>
      </c>
      <c r="I35" s="13" t="n">
        <f aca="false">SUMIF(MANUALES!$B$16:$B$72,$A35,MANUALES!O$16:O$72)+SUMIF(RODANTES!$B$16:$B$72,$A35,RODANTES!O$16:O$72)+SUMIF(RECARGAS!$B$16:$B$37,$A35,RECARGAS!Y$16:Y$37)+SUMIF(REVENDIDOS!$B$16:$B$25,$A35,REVENDIDOS!P$16:P$25)</f>
        <v>448.946308564295</v>
      </c>
      <c r="J35" s="13" t="n">
        <f aca="false">SUMIF(MANUALES!$B$16:$B$72,$A35,MANUALES!P$16:P$72)+SUMIF(RODANTES!$B$16:$B$72,$A35,RODANTES!P$16:P$72)+SUMIF(RECARGAS!$B$16:$B$37,$A35,RECARGAS!Z$16:Z$37)+SUMIF(REVENDIDOS!$B$16:$B$25,$A35,REVENDIDOS!Q$16:Q$25)</f>
        <v>804.996326382215</v>
      </c>
      <c r="K35" s="13" t="n">
        <f aca="false">SUMIF(MANUALES!$B$16:$B$72,$A35,MANUALES!Q$16:Q$72)+SUMIF(RODANTES!$B$16:$B$72,$A35,RODANTES!Q$16:Q$72)+SUMIF(RECARGAS!$B$16:$B$37,$A35,RECARGAS!AA$16:AA$37)+SUMIF(REVENDIDOS!$B$16:$B$25,$A35,REVENDIDOS!R$16:R$25)</f>
        <v>1605.97348980119</v>
      </c>
      <c r="L35" s="13" t="n">
        <f aca="false">SUMIF(MANUALES!$B$16:$B$72,$A35,MANUALES!R$16:R$72)+SUMIF(RODANTES!$B$16:$B$72,$A35,RODANTES!R$16:R$72)+SUMIF(RECARGAS!$B$16:$B$37,$A35,RECARGAS!AB$16:AB$37)+SUMIF(REVENDIDOS!$B$16:$B$25,$A35,REVENDIDOS!S$16:S$25)</f>
        <v>2652.28522168121</v>
      </c>
      <c r="M35" s="13" t="n">
        <f aca="false">SUMIF(MANUALES!$B$16:$B$72,$A35,MANUALES!S$16:S$72)+SUMIF(RODANTES!$B$16:$B$72,$A35,RODANTES!S$16:S$72)+SUMIF(RECARGAS!$B$16:$B$37,$A35,RECARGAS!AC$16:AC$37)+SUMIF(REVENDIDOS!$B$16:$B$25,$A35,REVENDIDOS!T$16:T$25)</f>
        <v>3674.40536752073</v>
      </c>
      <c r="N35" s="13" t="n">
        <f aca="false">SUMIF(MANUALES!$B$16:$B$72,$A35,MANUALES!T$16:T$72)+SUMIF(RODANTES!$B$16:$B$72,$A35,RODANTES!T$16:T$72)+SUMIF(RECARGAS!$B$16:$B$37,$A35,RECARGAS!AD$16:AD$37)+SUMIF(REVENDIDOS!$B$16:$B$25,$A35,REVENDIDOS!U$16:U$25)</f>
        <v>4938.36505113982</v>
      </c>
      <c r="O35" s="13" t="n">
        <f aca="false">SUMIF(MANUALES!$B$16:$B$72,$A35,MANUALES!U$16:U$72)+SUMIF(RODANTES!$B$16:$B$72,$A35,RODANTES!U$16:U$72)+SUMIF(RECARGAS!$B$16:$B$37,$A35,RECARGAS!AE$16:AE$37)+SUMIF(REVENDIDOS!$B$16:$B$25,$A35,REVENDIDOS!V$16:V$25)</f>
        <v>6190.26057986239</v>
      </c>
      <c r="P35" s="13" t="n">
        <f aca="false">SUMIF(MANUALES!$B$16:$B$72,$A35,MANUALES!V$16:V$72)+SUMIF(RODANTES!$B$16:$B$72,$A35,RODANTES!V$16:V$72)+SUMIF(RECARGAS!$B$16:$B$37,$A35,RECARGAS!AF$16:AF$37)+SUMIF(REVENDIDOS!$B$16:$B$25,$A35,REVENDIDOS!W$16:W$25)</f>
        <v>6955.11753852467</v>
      </c>
      <c r="Q35" s="13" t="n">
        <f aca="false">SUMIF(MANUALES!$B$16:$B$72,$A35,MANUALES!W$16:W$72)+SUMIF(RODANTES!$B$16:$B$72,$A35,RODANTES!W$16:W$72)+SUMIF(RECARGAS!$B$16:$B$37,$A35,RECARGAS!AG$16:AG$37)+SUMIF(REVENDIDOS!$B$16:$B$25,$A35,REVENDIDOS!X$16:X$25)</f>
        <v>8024.76864225766</v>
      </c>
      <c r="R35" s="13" t="n">
        <f aca="false">SUMIF(MANUALES!$B$16:$B$72,$A35,MANUALES!X$16:X$72)+SUMIF(RODANTES!$B$16:$B$72,$A35,RODANTES!X$16:X$72)+SUMIF(RECARGAS!$B$16:$B$37,$A35,RECARGAS!AH$16:AH$37)+SUMIF(REVENDIDOS!$B$16:$B$25,$A35,REVENDIDOS!Y$16:Y$25)</f>
        <v>909.032046594671</v>
      </c>
    </row>
    <row r="36" customFormat="false" ht="15" hidden="false" customHeight="false" outlineLevel="0" collapsed="false">
      <c r="A36" s="3" t="s">
        <v>400</v>
      </c>
      <c r="B36" s="3" t="s">
        <v>401</v>
      </c>
      <c r="C36" s="3" t="s">
        <v>214</v>
      </c>
      <c r="D36" s="13" t="n">
        <f aca="false">SUMIF(MANUALES!$B$16:$B$72,$A36,MANUALES!W$16:W$72)</f>
        <v>0</v>
      </c>
      <c r="E36" s="13" t="n">
        <f aca="false">SUMIF(RODANTES!$B$16:$B$72,$A36,RODANTES!W$16:W$72)</f>
        <v>27.2141466975798</v>
      </c>
      <c r="F36" s="13" t="n">
        <f aca="false">SUMIF(RECARGAS!$B$16:$B$37,$A36,RECARGAS!AG$16:AG$37)</f>
        <v>0</v>
      </c>
      <c r="G36" s="13" t="n">
        <f aca="false">SUMIF(REVENDIDOS!$B$16:$B$25,$A36,REVENDIDOS!X$16:X$25)</f>
        <v>0</v>
      </c>
      <c r="H36" s="13" t="n">
        <f aca="false">SUMIF(MANUALES!$B$16:$B$72,$A36,MANUALES!N$16:N$72)+SUMIF(RODANTES!$B$16:$B$72,$A36,RODANTES!N$16:N$72)+SUMIF(RECARGAS!$B$16:$B$37,$A36,RECARGAS!X$16:X$37)+SUMIF(REVENDIDOS!$B$16:$B$25,$A36,REVENDIDOS!O$16:O$25)</f>
        <v>2.0517410740776</v>
      </c>
      <c r="I36" s="13" t="n">
        <f aca="false">SUMIF(MANUALES!$B$16:$B$72,$A36,MANUALES!O$16:O$72)+SUMIF(RODANTES!$B$16:$B$72,$A36,RODANTES!O$16:O$72)+SUMIF(RECARGAS!$B$16:$B$37,$A36,RECARGAS!Y$16:Y$37)+SUMIF(REVENDIDOS!$B$16:$B$25,$A36,REVENDIDOS!P$16:P$25)</f>
        <v>3.51679411924398</v>
      </c>
      <c r="J36" s="13" t="n">
        <f aca="false">SUMIF(MANUALES!$B$16:$B$72,$A36,MANUALES!P$16:P$72)+SUMIF(RODANTES!$B$16:$B$72,$A36,RODANTES!P$16:P$72)+SUMIF(RECARGAS!$B$16:$B$37,$A36,RECARGAS!Z$16:Z$37)+SUMIF(REVENDIDOS!$B$16:$B$25,$A36,REVENDIDOS!Q$16:Q$25)</f>
        <v>4.53495973945176</v>
      </c>
      <c r="K36" s="13" t="n">
        <f aca="false">SUMIF(MANUALES!$B$16:$B$72,$A36,MANUALES!Q$16:Q$72)+SUMIF(RODANTES!$B$16:$B$72,$A36,RODANTES!Q$16:Q$72)+SUMIF(RECARGAS!$B$16:$B$37,$A36,RECARGAS!AA$16:AA$37)+SUMIF(REVENDIDOS!$B$16:$B$25,$A36,REVENDIDOS!R$16:R$25)</f>
        <v>6.05963451150652</v>
      </c>
      <c r="L36" s="13" t="n">
        <f aca="false">SUMIF(MANUALES!$B$16:$B$72,$A36,MANUALES!R$16:R$72)+SUMIF(RODANTES!$B$16:$B$72,$A36,RODANTES!R$16:R$72)+SUMIF(RECARGAS!$B$16:$B$37,$A36,RECARGAS!AB$16:AB$37)+SUMIF(REVENDIDOS!$B$16:$B$25,$A36,REVENDIDOS!S$16:S$25)</f>
        <v>9.38601538011946</v>
      </c>
      <c r="M36" s="13" t="n">
        <f aca="false">SUMIF(MANUALES!$B$16:$B$72,$A36,MANUALES!S$16:S$72)+SUMIF(RODANTES!$B$16:$B$72,$A36,RODANTES!S$16:S$72)+SUMIF(RECARGAS!$B$16:$B$37,$A36,RECARGAS!AC$16:AC$37)+SUMIF(REVENDIDOS!$B$16:$B$25,$A36,REVENDIDOS!T$16:T$25)</f>
        <v>12.7510350119768</v>
      </c>
      <c r="N36" s="13" t="n">
        <f aca="false">SUMIF(MANUALES!$B$16:$B$72,$A36,MANUALES!T$16:T$72)+SUMIF(RODANTES!$B$16:$B$72,$A36,RODANTES!T$16:T$72)+SUMIF(RECARGAS!$B$16:$B$37,$A36,RECARGAS!AD$16:AD$37)+SUMIF(REVENDIDOS!$B$16:$B$25,$A36,REVENDIDOS!U$16:U$25)</f>
        <v>16.3922541205703</v>
      </c>
      <c r="O36" s="13" t="n">
        <f aca="false">SUMIF(MANUALES!$B$16:$B$72,$A36,MANUALES!U$16:U$72)+SUMIF(RODANTES!$B$16:$B$72,$A36,RODANTES!U$16:U$72)+SUMIF(RECARGAS!$B$16:$B$37,$A36,RECARGAS!AE$16:AE$37)+SUMIF(REVENDIDOS!$B$16:$B$25,$A36,REVENDIDOS!V$16:V$25)</f>
        <v>20.2957418199419</v>
      </c>
      <c r="P36" s="13" t="n">
        <f aca="false">SUMIF(MANUALES!$B$16:$B$72,$A36,MANUALES!V$16:V$72)+SUMIF(RODANTES!$B$16:$B$72,$A36,RODANTES!V$16:V$72)+SUMIF(RECARGAS!$B$16:$B$37,$A36,RECARGAS!AF$16:AF$37)+SUMIF(REVENDIDOS!$B$16:$B$25,$A36,REVENDIDOS!W$16:W$25)</f>
        <v>23.6433298731746</v>
      </c>
      <c r="Q36" s="13" t="n">
        <f aca="false">SUMIF(MANUALES!$B$16:$B$72,$A36,MANUALES!W$16:W$72)+SUMIF(RODANTES!$B$16:$B$72,$A36,RODANTES!W$16:W$72)+SUMIF(RECARGAS!$B$16:$B$37,$A36,RECARGAS!AG$16:AG$37)+SUMIF(REVENDIDOS!$B$16:$B$25,$A36,REVENDIDOS!X$16:X$25)</f>
        <v>27.2141466975798</v>
      </c>
      <c r="R36" s="13" t="n">
        <f aca="false">SUMIF(MANUALES!$B$16:$B$72,$A36,MANUALES!X$16:X$72)+SUMIF(RODANTES!$B$16:$B$72,$A36,RODANTES!X$16:X$72)+SUMIF(RECARGAS!$B$16:$B$37,$A36,RECARGAS!AH$16:AH$37)+SUMIF(REVENDIDOS!$B$16:$B$25,$A36,REVENDIDOS!Y$16:Y$25)</f>
        <v>2.44927320278218</v>
      </c>
    </row>
    <row r="37" customFormat="false" ht="15" hidden="false" customHeight="false" outlineLevel="0" collapsed="false">
      <c r="A37" s="3" t="s">
        <v>403</v>
      </c>
      <c r="B37" s="3" t="s">
        <v>404</v>
      </c>
      <c r="C37" s="3" t="s">
        <v>214</v>
      </c>
      <c r="D37" s="13" t="n">
        <f aca="false">SUMIF(MANUALES!$B$16:$B$72,$A37,MANUALES!W$16:W$72)</f>
        <v>0</v>
      </c>
      <c r="E37" s="13" t="n">
        <f aca="false">SUMIF(RODANTES!$B$16:$B$72,$A37,RODANTES!W$16:W$72)</f>
        <v>99.5846800800629</v>
      </c>
      <c r="F37" s="13" t="n">
        <f aca="false">SUMIF(RECARGAS!$B$16:$B$37,$A37,RECARGAS!AG$16:AG$37)</f>
        <v>0</v>
      </c>
      <c r="G37" s="13" t="n">
        <f aca="false">SUMIF(REVENDIDOS!$B$16:$B$25,$A37,REVENDIDOS!X$16:X$25)</f>
        <v>0</v>
      </c>
      <c r="H37" s="13" t="n">
        <f aca="false">SUMIF(MANUALES!$B$16:$B$72,$A37,MANUALES!N$16:N$72)+SUMIF(RODANTES!$B$16:$B$72,$A37,RODANTES!N$16:N$72)+SUMIF(RECARGAS!$B$16:$B$37,$A37,RECARGAS!X$16:X$37)+SUMIF(REVENDIDOS!$B$16:$B$25,$A37,REVENDIDOS!O$16:O$25)</f>
        <v>5.82837516312651</v>
      </c>
      <c r="I37" s="13" t="n">
        <f aca="false">SUMIF(MANUALES!$B$16:$B$72,$A37,MANUALES!O$16:O$72)+SUMIF(RODANTES!$B$16:$B$72,$A37,RODANTES!O$16:O$72)+SUMIF(RECARGAS!$B$16:$B$37,$A37,RECARGAS!Y$16:Y$37)+SUMIF(REVENDIDOS!$B$16:$B$25,$A37,REVENDIDOS!P$16:P$25)</f>
        <v>9.95493291999608</v>
      </c>
      <c r="J37" s="13" t="n">
        <f aca="false">SUMIF(MANUALES!$B$16:$B$72,$A37,MANUALES!P$16:P$72)+SUMIF(RODANTES!$B$16:$B$72,$A37,RODANTES!P$16:P$72)+SUMIF(RECARGAS!$B$16:$B$37,$A37,RECARGAS!Z$16:Z$37)+SUMIF(REVENDIDOS!$B$16:$B$25,$A37,REVENDIDOS!Q$16:Q$25)</f>
        <v>13.8643044071729</v>
      </c>
      <c r="K37" s="13" t="n">
        <f aca="false">SUMIF(MANUALES!$B$16:$B$72,$A37,MANUALES!Q$16:Q$72)+SUMIF(RODANTES!$B$16:$B$72,$A37,RODANTES!Q$16:Q$72)+SUMIF(RECARGAS!$B$16:$B$37,$A37,RECARGAS!AA$16:AA$37)+SUMIF(REVENDIDOS!$B$16:$B$25,$A37,REVENDIDOS!R$16:R$25)</f>
        <v>20.6991800001869</v>
      </c>
      <c r="L37" s="13" t="n">
        <f aca="false">SUMIF(MANUALES!$B$16:$B$72,$A37,MANUALES!R$16:R$72)+SUMIF(RODANTES!$B$16:$B$72,$A37,RODANTES!R$16:R$72)+SUMIF(RECARGAS!$B$16:$B$37,$A37,RECARGAS!AB$16:AB$37)+SUMIF(REVENDIDOS!$B$16:$B$25,$A37,REVENDIDOS!S$16:S$25)</f>
        <v>33.1538190295451</v>
      </c>
      <c r="M37" s="13" t="n">
        <f aca="false">SUMIF(MANUALES!$B$16:$B$72,$A37,MANUALES!S$16:S$72)+SUMIF(RODANTES!$B$16:$B$72,$A37,RODANTES!S$16:S$72)+SUMIF(RECARGAS!$B$16:$B$37,$A37,RECARGAS!AC$16:AC$37)+SUMIF(REVENDIDOS!$B$16:$B$25,$A37,REVENDIDOS!T$16:T$25)</f>
        <v>45.5861154485307</v>
      </c>
      <c r="N37" s="13" t="n">
        <f aca="false">SUMIF(MANUALES!$B$16:$B$72,$A37,MANUALES!T$16:T$72)+SUMIF(RODANTES!$B$16:$B$72,$A37,RODANTES!T$16:T$72)+SUMIF(RECARGAS!$B$16:$B$37,$A37,RECARGAS!AD$16:AD$37)+SUMIF(REVENDIDOS!$B$16:$B$25,$A37,REVENDIDOS!U$16:U$25)</f>
        <v>59.792435558151</v>
      </c>
      <c r="O37" s="13" t="n">
        <f aca="false">SUMIF(MANUALES!$B$16:$B$72,$A37,MANUALES!U$16:U$72)+SUMIF(RODANTES!$B$16:$B$72,$A37,RODANTES!U$16:U$72)+SUMIF(RECARGAS!$B$16:$B$37,$A37,RECARGAS!AE$16:AE$37)+SUMIF(REVENDIDOS!$B$16:$B$25,$A37,REVENDIDOS!V$16:V$25)</f>
        <v>74.7471380801097</v>
      </c>
      <c r="P37" s="13" t="n">
        <f aca="false">SUMIF(MANUALES!$B$16:$B$72,$A37,MANUALES!V$16:V$72)+SUMIF(RODANTES!$B$16:$B$72,$A37,RODANTES!V$16:V$72)+SUMIF(RECARGAS!$B$16:$B$37,$A37,RECARGAS!AF$16:AF$37)+SUMIF(REVENDIDOS!$B$16:$B$25,$A37,REVENDIDOS!W$16:W$25)</f>
        <v>86.3322227177121</v>
      </c>
      <c r="Q37" s="13" t="n">
        <f aca="false">SUMIF(MANUALES!$B$16:$B$72,$A37,MANUALES!W$16:W$72)+SUMIF(RODANTES!$B$16:$B$72,$A37,RODANTES!W$16:W$72)+SUMIF(RECARGAS!$B$16:$B$37,$A37,RECARGAS!AG$16:AG$37)+SUMIF(REVENDIDOS!$B$16:$B$25,$A37,REVENDIDOS!X$16:X$25)</f>
        <v>99.5846800800629</v>
      </c>
      <c r="R37" s="13" t="n">
        <f aca="false">SUMIF(MANUALES!$B$16:$B$72,$A37,MANUALES!X$16:X$72)+SUMIF(RODANTES!$B$16:$B$72,$A37,RODANTES!X$16:X$72)+SUMIF(RECARGAS!$B$16:$B$37,$A37,RECARGAS!AH$16:AH$37)+SUMIF(REVENDIDOS!$B$16:$B$25,$A37,REVENDIDOS!Y$16:Y$25)</f>
        <v>8.96262120720566</v>
      </c>
    </row>
    <row r="38" customFormat="false" ht="15" hidden="false" customHeight="false" outlineLevel="0" collapsed="false">
      <c r="A38" s="3" t="s">
        <v>406</v>
      </c>
      <c r="B38" s="3" t="s">
        <v>407</v>
      </c>
      <c r="C38" s="3" t="s">
        <v>214</v>
      </c>
      <c r="D38" s="13" t="n">
        <f aca="false">SUMIF(MANUALES!$B$16:$B$72,$A38,MANUALES!W$16:W$72)</f>
        <v>0</v>
      </c>
      <c r="E38" s="13" t="n">
        <f aca="false">SUMIF(RODANTES!$B$16:$B$72,$A38,RODANTES!W$16:W$72)</f>
        <v>22.6283244618841</v>
      </c>
      <c r="F38" s="13" t="n">
        <f aca="false">SUMIF(RECARGAS!$B$16:$B$37,$A38,RECARGAS!AG$16:AG$37)</f>
        <v>0</v>
      </c>
      <c r="G38" s="13" t="n">
        <f aca="false">SUMIF(REVENDIDOS!$B$16:$B$25,$A38,REVENDIDOS!X$16:X$25)</f>
        <v>0</v>
      </c>
      <c r="H38" s="13" t="n">
        <f aca="false">SUMIF(MANUALES!$B$16:$B$72,$A38,MANUALES!N$16:N$72)+SUMIF(RODANTES!$B$16:$B$72,$A38,RODANTES!N$16:N$72)+SUMIF(RECARGAS!$B$16:$B$37,$A38,RECARGAS!X$16:X$37)+SUMIF(REVENDIDOS!$B$16:$B$25,$A38,REVENDIDOS!O$16:O$25)</f>
        <v>1.28611536794183</v>
      </c>
      <c r="I38" s="13" t="n">
        <f aca="false">SUMIF(MANUALES!$B$16:$B$72,$A38,MANUALES!O$16:O$72)+SUMIF(RODANTES!$B$16:$B$72,$A38,RODANTES!O$16:O$72)+SUMIF(RECARGAS!$B$16:$B$37,$A38,RECARGAS!Y$16:Y$37)+SUMIF(REVENDIDOS!$B$16:$B$25,$A38,REVENDIDOS!P$16:P$25)</f>
        <v>2.19566705339535</v>
      </c>
      <c r="J38" s="13" t="n">
        <f aca="false">SUMIF(MANUALES!$B$16:$B$72,$A38,MANUALES!P$16:P$72)+SUMIF(RODANTES!$B$16:$B$72,$A38,RODANTES!P$16:P$72)+SUMIF(RECARGAS!$B$16:$B$37,$A38,RECARGAS!Z$16:Z$37)+SUMIF(REVENDIDOS!$B$16:$B$25,$A38,REVENDIDOS!Q$16:Q$25)</f>
        <v>3.08816279017224</v>
      </c>
      <c r="K38" s="13" t="n">
        <f aca="false">SUMIF(MANUALES!$B$16:$B$72,$A38,MANUALES!Q$16:Q$72)+SUMIF(RODANTES!$B$16:$B$72,$A38,RODANTES!Q$16:Q$72)+SUMIF(RECARGAS!$B$16:$B$37,$A38,RECARGAS!AA$16:AA$37)+SUMIF(REVENDIDOS!$B$16:$B$25,$A38,REVENDIDOS!R$16:R$25)</f>
        <v>4.66982545742119</v>
      </c>
      <c r="L38" s="13" t="n">
        <f aca="false">SUMIF(MANUALES!$B$16:$B$72,$A38,MANUALES!R$16:R$72)+SUMIF(RODANTES!$B$16:$B$72,$A38,RODANTES!R$16:R$72)+SUMIF(RECARGAS!$B$16:$B$37,$A38,RECARGAS!AB$16:AB$37)+SUMIF(REVENDIDOS!$B$16:$B$25,$A38,REVENDIDOS!S$16:S$25)</f>
        <v>7.50628680904299</v>
      </c>
      <c r="M38" s="13" t="n">
        <f aca="false">SUMIF(MANUALES!$B$16:$B$72,$A38,MANUALES!S$16:S$72)+SUMIF(RODANTES!$B$16:$B$72,$A38,RODANTES!S$16:S$72)+SUMIF(RECARGAS!$B$16:$B$37,$A38,RECARGAS!AC$16:AC$37)+SUMIF(REVENDIDOS!$B$16:$B$25,$A38,REVENDIDOS!T$16:T$25)</f>
        <v>10.3339426111346</v>
      </c>
      <c r="N38" s="13" t="n">
        <f aca="false">SUMIF(MANUALES!$B$16:$B$72,$A38,MANUALES!T$16:T$72)+SUMIF(RODANTES!$B$16:$B$72,$A38,RODANTES!T$16:T$72)+SUMIF(RECARGAS!$B$16:$B$37,$A38,RECARGAS!AD$16:AD$37)+SUMIF(REVENDIDOS!$B$16:$B$25,$A38,REVENDIDOS!U$16:U$25)</f>
        <v>13.5820877128236</v>
      </c>
      <c r="O38" s="13" t="n">
        <f aca="false">SUMIF(MANUALES!$B$16:$B$72,$A38,MANUALES!U$16:U$72)+SUMIF(RODANTES!$B$16:$B$72,$A38,RODANTES!U$16:U$72)+SUMIF(RECARGAS!$B$16:$B$37,$A38,RECARGAS!AE$16:AE$37)+SUMIF(REVENDIDOS!$B$16:$B$25,$A38,REVENDIDOS!V$16:V$25)</f>
        <v>16.9954727016989</v>
      </c>
      <c r="P38" s="13" t="n">
        <f aca="false">SUMIF(MANUALES!$B$16:$B$72,$A38,MANUALES!V$16:V$72)+SUMIF(RODANTES!$B$16:$B$72,$A38,RODANTES!V$16:V$72)+SUMIF(RECARGAS!$B$16:$B$37,$A38,RECARGAS!AF$16:AF$37)+SUMIF(REVENDIDOS!$B$16:$B$25,$A38,REVENDIDOS!W$16:W$25)</f>
        <v>19.6127781899968</v>
      </c>
      <c r="Q38" s="13" t="n">
        <f aca="false">SUMIF(MANUALES!$B$16:$B$72,$A38,MANUALES!W$16:W$72)+SUMIF(RODANTES!$B$16:$B$72,$A38,RODANTES!W$16:W$72)+SUMIF(RECARGAS!$B$16:$B$37,$A38,RECARGAS!AG$16:AG$37)+SUMIF(REVENDIDOS!$B$16:$B$25,$A38,REVENDIDOS!X$16:X$25)</f>
        <v>22.6283244618841</v>
      </c>
      <c r="R38" s="13" t="n">
        <f aca="false">SUMIF(MANUALES!$B$16:$B$72,$A38,MANUALES!X$16:X$72)+SUMIF(RODANTES!$B$16:$B$72,$A38,RODANTES!X$16:X$72)+SUMIF(RECARGAS!$B$16:$B$37,$A38,RECARGAS!AH$16:AH$37)+SUMIF(REVENDIDOS!$B$16:$B$25,$A38,REVENDIDOS!Y$16:Y$25)</f>
        <v>2.03654920156957</v>
      </c>
    </row>
    <row r="39" customFormat="false" ht="15" hidden="false" customHeight="false" outlineLevel="0" collapsed="false">
      <c r="A39" s="3" t="s">
        <v>409</v>
      </c>
      <c r="B39" s="3" t="s">
        <v>410</v>
      </c>
      <c r="C39" s="3" t="s">
        <v>214</v>
      </c>
      <c r="D39" s="13" t="n">
        <f aca="false">SUMIF(MANUALES!$B$16:$B$72,$A39,MANUALES!W$16:W$72)</f>
        <v>0</v>
      </c>
      <c r="E39" s="13" t="n">
        <f aca="false">SUMIF(RODANTES!$B$16:$B$72,$A39,RODANTES!W$16:W$72)</f>
        <v>18.1427644650532</v>
      </c>
      <c r="F39" s="13" t="n">
        <f aca="false">SUMIF(RECARGAS!$B$16:$B$37,$A39,RECARGAS!AG$16:AG$37)</f>
        <v>0</v>
      </c>
      <c r="G39" s="13" t="n">
        <f aca="false">SUMIF(REVENDIDOS!$B$16:$B$25,$A39,REVENDIDOS!X$16:X$25)</f>
        <v>0</v>
      </c>
      <c r="H39" s="13" t="n">
        <f aca="false">SUMIF(MANUALES!$B$16:$B$72,$A39,MANUALES!N$16:N$72)+SUMIF(RODANTES!$B$16:$B$72,$A39,RODANTES!N$16:N$72)+SUMIF(RECARGAS!$B$16:$B$37,$A39,RECARGAS!X$16:X$37)+SUMIF(REVENDIDOS!$B$16:$B$25,$A39,REVENDIDOS!O$16:O$25)</f>
        <v>1.3678273827184</v>
      </c>
      <c r="I39" s="13" t="n">
        <f aca="false">SUMIF(MANUALES!$B$16:$B$72,$A39,MANUALES!O$16:O$72)+SUMIF(RODANTES!$B$16:$B$72,$A39,RODANTES!O$16:O$72)+SUMIF(RECARGAS!$B$16:$B$37,$A39,RECARGAS!Y$16:Y$37)+SUMIF(REVENDIDOS!$B$16:$B$25,$A39,REVENDIDOS!P$16:P$25)</f>
        <v>2.34452941282932</v>
      </c>
      <c r="J39" s="13" t="n">
        <f aca="false">SUMIF(MANUALES!$B$16:$B$72,$A39,MANUALES!P$16:P$72)+SUMIF(RODANTES!$B$16:$B$72,$A39,RODANTES!P$16:P$72)+SUMIF(RECARGAS!$B$16:$B$37,$A39,RECARGAS!Z$16:Z$37)+SUMIF(REVENDIDOS!$B$16:$B$25,$A39,REVENDIDOS!Q$16:Q$25)</f>
        <v>3.02330649296784</v>
      </c>
      <c r="K39" s="13" t="n">
        <f aca="false">SUMIF(MANUALES!$B$16:$B$72,$A39,MANUALES!Q$16:Q$72)+SUMIF(RODANTES!$B$16:$B$72,$A39,RODANTES!Q$16:Q$72)+SUMIF(RECARGAS!$B$16:$B$37,$A39,RECARGAS!AA$16:AA$37)+SUMIF(REVENDIDOS!$B$16:$B$25,$A39,REVENDIDOS!R$16:R$25)</f>
        <v>4.03975634100434</v>
      </c>
      <c r="L39" s="13" t="n">
        <f aca="false">SUMIF(MANUALES!$B$16:$B$72,$A39,MANUALES!R$16:R$72)+SUMIF(RODANTES!$B$16:$B$72,$A39,RODANTES!R$16:R$72)+SUMIF(RECARGAS!$B$16:$B$37,$A39,RECARGAS!AB$16:AB$37)+SUMIF(REVENDIDOS!$B$16:$B$25,$A39,REVENDIDOS!S$16:S$25)</f>
        <v>6.2573435867463</v>
      </c>
      <c r="M39" s="13" t="n">
        <f aca="false">SUMIF(MANUALES!$B$16:$B$72,$A39,MANUALES!S$16:S$72)+SUMIF(RODANTES!$B$16:$B$72,$A39,RODANTES!S$16:S$72)+SUMIF(RECARGAS!$B$16:$B$37,$A39,RECARGAS!AC$16:AC$37)+SUMIF(REVENDIDOS!$B$16:$B$25,$A39,REVENDIDOS!T$16:T$25)</f>
        <v>8.50069000798452</v>
      </c>
      <c r="N39" s="13" t="n">
        <f aca="false">SUMIF(MANUALES!$B$16:$B$72,$A39,MANUALES!T$16:T$72)+SUMIF(RODANTES!$B$16:$B$72,$A39,RODANTES!T$16:T$72)+SUMIF(RECARGAS!$B$16:$B$37,$A39,RECARGAS!AD$16:AD$37)+SUMIF(REVENDIDOS!$B$16:$B$25,$A39,REVENDIDOS!U$16:U$25)</f>
        <v>10.9281694137135</v>
      </c>
      <c r="O39" s="13" t="n">
        <f aca="false">SUMIF(MANUALES!$B$16:$B$72,$A39,MANUALES!U$16:U$72)+SUMIF(RODANTES!$B$16:$B$72,$A39,RODANTES!U$16:U$72)+SUMIF(RECARGAS!$B$16:$B$37,$A39,RECARGAS!AE$16:AE$37)+SUMIF(REVENDIDOS!$B$16:$B$25,$A39,REVENDIDOS!V$16:V$25)</f>
        <v>13.5304945466279</v>
      </c>
      <c r="P39" s="13" t="n">
        <f aca="false">SUMIF(MANUALES!$B$16:$B$72,$A39,MANUALES!V$16:V$72)+SUMIF(RODANTES!$B$16:$B$72,$A39,RODANTES!V$16:V$72)+SUMIF(RECARGAS!$B$16:$B$37,$A39,RECARGAS!AF$16:AF$37)+SUMIF(REVENDIDOS!$B$16:$B$25,$A39,REVENDIDOS!W$16:W$25)</f>
        <v>15.7622199154497</v>
      </c>
      <c r="Q39" s="13" t="n">
        <f aca="false">SUMIF(MANUALES!$B$16:$B$72,$A39,MANUALES!W$16:W$72)+SUMIF(RODANTES!$B$16:$B$72,$A39,RODANTES!W$16:W$72)+SUMIF(RECARGAS!$B$16:$B$37,$A39,RECARGAS!AG$16:AG$37)+SUMIF(REVENDIDOS!$B$16:$B$25,$A39,REVENDIDOS!X$16:X$25)</f>
        <v>18.1427644650532</v>
      </c>
      <c r="R39" s="13" t="n">
        <f aca="false">SUMIF(MANUALES!$B$16:$B$72,$A39,MANUALES!X$16:X$72)+SUMIF(RODANTES!$B$16:$B$72,$A39,RODANTES!X$16:X$72)+SUMIF(RECARGAS!$B$16:$B$37,$A39,RECARGAS!AH$16:AH$37)+SUMIF(REVENDIDOS!$B$16:$B$25,$A39,REVENDIDOS!Y$16:Y$25)</f>
        <v>1.63284880185479</v>
      </c>
    </row>
    <row r="40" customFormat="false" ht="15" hidden="false" customHeight="false" outlineLevel="0" collapsed="false">
      <c r="A40" s="3" t="s">
        <v>412</v>
      </c>
      <c r="B40" s="3" t="s">
        <v>413</v>
      </c>
      <c r="C40" s="3" t="s">
        <v>214</v>
      </c>
      <c r="D40" s="13" t="n">
        <f aca="false">SUMIF(MANUALES!$B$16:$B$72,$A40,MANUALES!W$16:W$72)</f>
        <v>0</v>
      </c>
      <c r="E40" s="13" t="n">
        <f aca="false">SUMIF(RODANTES!$B$16:$B$72,$A40,RODANTES!W$16:W$72)</f>
        <v>7.7531911162633</v>
      </c>
      <c r="F40" s="13" t="n">
        <f aca="false">SUMIF(RECARGAS!$B$16:$B$37,$A40,RECARGAS!AG$16:AG$37)</f>
        <v>0</v>
      </c>
      <c r="G40" s="13" t="n">
        <f aca="false">SUMIF(REVENDIDOS!$B$16:$B$25,$A40,REVENDIDOS!X$16:X$25)</f>
        <v>0</v>
      </c>
      <c r="H40" s="13" t="n">
        <f aca="false">SUMIF(MANUALES!$B$16:$B$72,$A40,MANUALES!N$16:N$72)+SUMIF(RODANTES!$B$16:$B$72,$A40,RODANTES!N$16:N$72)+SUMIF(RECARGAS!$B$16:$B$37,$A40,RECARGAS!X$16:X$37)+SUMIF(REVENDIDOS!$B$16:$B$25,$A40,REVENDIDOS!O$16:O$25)</f>
        <v>0.3419568456796</v>
      </c>
      <c r="I40" s="13" t="n">
        <f aca="false">SUMIF(MANUALES!$B$16:$B$72,$A40,MANUALES!O$16:O$72)+SUMIF(RODANTES!$B$16:$B$72,$A40,RODANTES!O$16:O$72)+SUMIF(RECARGAS!$B$16:$B$37,$A40,RECARGAS!Y$16:Y$37)+SUMIF(REVENDIDOS!$B$16:$B$25,$A40,REVENDIDOS!P$16:P$25)</f>
        <v>0.58613235320733</v>
      </c>
      <c r="J40" s="13" t="n">
        <f aca="false">SUMIF(MANUALES!$B$16:$B$72,$A40,MANUALES!P$16:P$72)+SUMIF(RODANTES!$B$16:$B$72,$A40,RODANTES!P$16:P$72)+SUMIF(RECARGAS!$B$16:$B$37,$A40,RECARGAS!Z$16:Z$37)+SUMIF(REVENDIDOS!$B$16:$B$25,$A40,REVENDIDOS!Q$16:Q$25)</f>
        <v>0.900326623241961</v>
      </c>
      <c r="K40" s="13" t="n">
        <f aca="false">SUMIF(MANUALES!$B$16:$B$72,$A40,MANUALES!Q$16:Q$72)+SUMIF(RODANTES!$B$16:$B$72,$A40,RODANTES!Q$16:Q$72)+SUMIF(RECARGAS!$B$16:$B$37,$A40,RECARGAS!AA$16:AA$37)+SUMIF(REVENDIDOS!$B$16:$B$25,$A40,REVENDIDOS!R$16:R$25)</f>
        <v>1.51343908525109</v>
      </c>
      <c r="L40" s="13" t="n">
        <f aca="false">SUMIF(MANUALES!$B$16:$B$72,$A40,MANUALES!R$16:R$72)+SUMIF(RODANTES!$B$16:$B$72,$A40,RODANTES!R$16:R$72)+SUMIF(RECARGAS!$B$16:$B$37,$A40,RECARGAS!AB$16:AB$37)+SUMIF(REVENDIDOS!$B$16:$B$25,$A40,REVENDIDOS!S$16:S$25)</f>
        <v>2.49683589668658</v>
      </c>
      <c r="M40" s="13" t="n">
        <f aca="false">SUMIF(MANUALES!$B$16:$B$72,$A40,MANUALES!S$16:S$72)+SUMIF(RODANTES!$B$16:$B$72,$A40,RODANTES!S$16:S$72)+SUMIF(RECARGAS!$B$16:$B$37,$A40,RECARGAS!AC$16:AC$37)+SUMIF(REVENDIDOS!$B$16:$B$25,$A40,REVENDIDOS!T$16:T$25)</f>
        <v>3.47717250199613</v>
      </c>
      <c r="N40" s="13" t="n">
        <f aca="false">SUMIF(MANUALES!$B$16:$B$72,$A40,MANUALES!T$16:T$72)+SUMIF(RODANTES!$B$16:$B$72,$A40,RODANTES!T$16:T$72)+SUMIF(RECARGAS!$B$16:$B$37,$A40,RECARGAS!AD$16:AD$37)+SUMIF(REVENDIDOS!$B$16:$B$25,$A40,REVENDIDOS!U$16:U$25)</f>
        <v>4.64304235342839</v>
      </c>
      <c r="O40" s="13" t="n">
        <f aca="false">SUMIF(MANUALES!$B$16:$B$72,$A40,MANUALES!U$16:U$72)+SUMIF(RODANTES!$B$16:$B$72,$A40,RODANTES!U$16:U$72)+SUMIF(RECARGAS!$B$16:$B$37,$A40,RECARGAS!AE$16:AE$37)+SUMIF(REVENDIDOS!$B$16:$B$25,$A40,REVENDIDOS!V$16:V$25)</f>
        <v>5.85262363665698</v>
      </c>
      <c r="P40" s="13" t="n">
        <f aca="false">SUMIF(MANUALES!$B$16:$B$72,$A40,MANUALES!V$16:V$72)+SUMIF(RODANTES!$B$16:$B$72,$A40,RODANTES!V$16:V$72)+SUMIF(RECARGAS!$B$16:$B$37,$A40,RECARGAS!AF$16:AF$37)+SUMIF(REVENDIDOS!$B$16:$B$25,$A40,REVENDIDOS!W$16:W$25)</f>
        <v>6.70955497886244</v>
      </c>
      <c r="Q40" s="13" t="n">
        <f aca="false">SUMIF(MANUALES!$B$16:$B$72,$A40,MANUALES!W$16:W$72)+SUMIF(RODANTES!$B$16:$B$72,$A40,RODANTES!W$16:W$72)+SUMIF(RECARGAS!$B$16:$B$37,$A40,RECARGAS!AG$16:AG$37)+SUMIF(REVENDIDOS!$B$16:$B$25,$A40,REVENDIDOS!X$16:X$25)</f>
        <v>7.7531911162633</v>
      </c>
      <c r="R40" s="13" t="n">
        <f aca="false">SUMIF(MANUALES!$B$16:$B$72,$A40,MANUALES!X$16:X$72)+SUMIF(RODANTES!$B$16:$B$72,$A40,RODANTES!X$16:X$72)+SUMIF(RECARGAS!$B$16:$B$37,$A40,RECARGAS!AH$16:AH$37)+SUMIF(REVENDIDOS!$B$16:$B$25,$A40,REVENDIDOS!Y$16:Y$25)</f>
        <v>0.697787200463697</v>
      </c>
    </row>
    <row r="41" customFormat="false" ht="15" hidden="false" customHeight="false" outlineLevel="0" collapsed="false">
      <c r="A41" s="3" t="s">
        <v>226</v>
      </c>
      <c r="B41" s="3" t="s">
        <v>227</v>
      </c>
      <c r="C41" s="3" t="s">
        <v>192</v>
      </c>
      <c r="D41" s="13" t="n">
        <f aca="false">SUMIF(MANUALES!$B$16:$B$72,$A41,MANUALES!W$16:W$72)</f>
        <v>22872.9716186761</v>
      </c>
      <c r="E41" s="13" t="n">
        <f aca="false">SUMIF(RODANTES!$B$16:$B$72,$A41,RODANTES!W$16:W$72)</f>
        <v>0</v>
      </c>
      <c r="F41" s="13" t="n">
        <f aca="false">SUMIF(RECARGAS!$B$16:$B$37,$A41,RECARGAS!AG$16:AG$37)</f>
        <v>0</v>
      </c>
      <c r="G41" s="13" t="n">
        <f aca="false">SUMIF(REVENDIDOS!$B$16:$B$25,$A41,REVENDIDOS!X$16:X$25)</f>
        <v>0</v>
      </c>
      <c r="H41" s="13" t="n">
        <f aca="false">SUMIF(MANUALES!$B$16:$B$72,$A41,MANUALES!N$16:N$72)+SUMIF(RODANTES!$B$16:$B$72,$A41,RODANTES!N$16:N$72)+SUMIF(RECARGAS!$B$16:$B$37,$A41,RECARGAS!X$16:X$37)+SUMIF(REVENDIDOS!$B$16:$B$25,$A41,REVENDIDOS!O$16:O$25)</f>
        <v>583.526337875184</v>
      </c>
      <c r="I41" s="13" t="n">
        <f aca="false">SUMIF(MANUALES!$B$16:$B$72,$A41,MANUALES!O$16:O$72)+SUMIF(RODANTES!$B$16:$B$72,$A41,RODANTES!O$16:O$72)+SUMIF(RECARGAS!$B$16:$B$37,$A41,RECARGAS!Y$16:Y$37)+SUMIF(REVENDIDOS!$B$16:$B$25,$A41,REVENDIDOS!P$16:P$25)</f>
        <v>989.92651952478</v>
      </c>
      <c r="J41" s="13" t="n">
        <f aca="false">SUMIF(MANUALES!$B$16:$B$72,$A41,MANUALES!P$16:P$72)+SUMIF(RODANTES!$B$16:$B$72,$A41,RODANTES!P$16:P$72)+SUMIF(RECARGAS!$B$16:$B$37,$A41,RECARGAS!Z$16:Z$37)+SUMIF(REVENDIDOS!$B$16:$B$25,$A41,REVENDIDOS!Q$16:Q$25)</f>
        <v>1986.5173234906</v>
      </c>
      <c r="K41" s="13" t="n">
        <f aca="false">SUMIF(MANUALES!$B$16:$B$72,$A41,MANUALES!Q$16:Q$72)+SUMIF(RODANTES!$B$16:$B$72,$A41,RODANTES!Q$16:Q$72)+SUMIF(RECARGAS!$B$16:$B$37,$A41,RECARGAS!AA$16:AA$37)+SUMIF(REVENDIDOS!$B$16:$B$25,$A41,REVENDIDOS!R$16:R$25)</f>
        <v>4316.42820370176</v>
      </c>
      <c r="L41" s="13" t="n">
        <f aca="false">SUMIF(MANUALES!$B$16:$B$72,$A41,MANUALES!R$16:R$72)+SUMIF(RODANTES!$B$16:$B$72,$A41,RODANTES!R$16:R$72)+SUMIF(RECARGAS!$B$16:$B$37,$A41,RECARGAS!AB$16:AB$37)+SUMIF(REVENDIDOS!$B$16:$B$25,$A41,REVENDIDOS!S$16:S$25)</f>
        <v>7326.87652524486</v>
      </c>
      <c r="M41" s="13" t="n">
        <f aca="false">SUMIF(MANUALES!$B$16:$B$72,$A41,MANUALES!S$16:S$72)+SUMIF(RODANTES!$B$16:$B$72,$A41,RODANTES!S$16:S$72)+SUMIF(RECARGAS!$B$16:$B$37,$A41,RECARGAS!AC$16:AC$37)+SUMIF(REVENDIDOS!$B$16:$B$25,$A41,REVENDIDOS!T$16:T$25)</f>
        <v>10211.9680535973</v>
      </c>
      <c r="N41" s="13" t="n">
        <f aca="false">SUMIF(MANUALES!$B$16:$B$72,$A41,MANUALES!T$16:T$72)+SUMIF(RODANTES!$B$16:$B$72,$A41,RODANTES!T$16:T$72)+SUMIF(RECARGAS!$B$16:$B$37,$A41,RECARGAS!AD$16:AD$37)+SUMIF(REVENDIDOS!$B$16:$B$25,$A41,REVENDIDOS!U$16:U$25)</f>
        <v>13940.5844784535</v>
      </c>
      <c r="O41" s="13" t="n">
        <f aca="false">SUMIF(MANUALES!$B$16:$B$72,$A41,MANUALES!U$16:U$72)+SUMIF(RODANTES!$B$16:$B$72,$A41,RODANTES!U$16:U$72)+SUMIF(RECARGAS!$B$16:$B$37,$A41,RECARGAS!AE$16:AE$37)+SUMIF(REVENDIDOS!$B$16:$B$25,$A41,REVENDIDOS!V$16:V$25)</f>
        <v>17647.0672907261</v>
      </c>
      <c r="P41" s="13" t="n">
        <f aca="false">SUMIF(MANUALES!$B$16:$B$72,$A41,MANUALES!V$16:V$72)+SUMIF(RODANTES!$B$16:$B$72,$A41,RODANTES!V$16:V$72)+SUMIF(RECARGAS!$B$16:$B$37,$A41,RECARGAS!AF$16:AF$37)+SUMIF(REVENDIDOS!$B$16:$B$25,$A41,REVENDIDOS!W$16:W$25)</f>
        <v>19809.9933512876</v>
      </c>
      <c r="Q41" s="13" t="n">
        <f aca="false">SUMIF(MANUALES!$B$16:$B$72,$A41,MANUALES!W$16:W$72)+SUMIF(RODANTES!$B$16:$B$72,$A41,RODANTES!W$16:W$72)+SUMIF(RECARGAS!$B$16:$B$37,$A41,RECARGAS!AG$16:AG$37)+SUMIF(REVENDIDOS!$B$16:$B$25,$A41,REVENDIDOS!X$16:X$25)</f>
        <v>22872.9716186761</v>
      </c>
      <c r="R41" s="13" t="n">
        <f aca="false">SUMIF(MANUALES!$B$16:$B$72,$A41,MANUALES!X$16:X$72)+SUMIF(RODANTES!$B$16:$B$72,$A41,RODANTES!X$16:X$72)+SUMIF(RECARGAS!$B$16:$B$37,$A41,RECARGAS!AH$16:AH$37)+SUMIF(REVENDIDOS!$B$16:$B$25,$A41,REVENDIDOS!Y$16:Y$25)</f>
        <v>2678.12338935837</v>
      </c>
    </row>
    <row r="42" customFormat="false" ht="15" hidden="false" customHeight="false" outlineLevel="0" collapsed="false">
      <c r="A42" s="3" t="s">
        <v>229</v>
      </c>
      <c r="B42" s="3" t="s">
        <v>230</v>
      </c>
      <c r="C42" s="3" t="s">
        <v>192</v>
      </c>
      <c r="D42" s="13" t="n">
        <f aca="false">SUMIF(MANUALES!$B$16:$B$72,$A42,MANUALES!W$16:W$72)</f>
        <v>3609.0147583921</v>
      </c>
      <c r="E42" s="13" t="n">
        <f aca="false">SUMIF(RODANTES!$B$16:$B$72,$A42,RODANTES!W$16:W$72)</f>
        <v>0</v>
      </c>
      <c r="F42" s="13" t="n">
        <f aca="false">SUMIF(RECARGAS!$B$16:$B$37,$A42,RECARGAS!AG$16:AG$37)</f>
        <v>0</v>
      </c>
      <c r="G42" s="13" t="n">
        <f aca="false">SUMIF(REVENDIDOS!$B$16:$B$25,$A42,REVENDIDOS!X$16:X$25)</f>
        <v>0</v>
      </c>
      <c r="H42" s="13" t="n">
        <f aca="false">SUMIF(MANUALES!$B$16:$B$72,$A42,MANUALES!N$16:N$72)+SUMIF(RODANTES!$B$16:$B$72,$A42,RODANTES!N$16:N$72)+SUMIF(RECARGAS!$B$16:$B$37,$A42,RECARGAS!X$16:X$37)+SUMIF(REVENDIDOS!$B$16:$B$25,$A42,REVENDIDOS!O$16:O$25)</f>
        <v>107.117197622362</v>
      </c>
      <c r="I42" s="13" t="n">
        <f aca="false">SUMIF(MANUALES!$B$16:$B$72,$A42,MANUALES!O$16:O$72)+SUMIF(RODANTES!$B$16:$B$72,$A42,RODANTES!O$16:O$72)+SUMIF(RECARGAS!$B$16:$B$37,$A42,RECARGAS!Y$16:Y$37)+SUMIF(REVENDIDOS!$B$16:$B$25,$A42,REVENDIDOS!P$16:P$25)</f>
        <v>196.51048213915</v>
      </c>
      <c r="J42" s="13" t="n">
        <f aca="false">SUMIF(MANUALES!$B$16:$B$72,$A42,MANUALES!P$16:P$72)+SUMIF(RODANTES!$B$16:$B$72,$A42,RODANTES!P$16:P$72)+SUMIF(RECARGAS!$B$16:$B$37,$A42,RECARGAS!Z$16:Z$37)+SUMIF(REVENDIDOS!$B$16:$B$25,$A42,REVENDIDOS!Q$16:Q$25)</f>
        <v>358.645003914689</v>
      </c>
      <c r="K42" s="13" t="n">
        <f aca="false">SUMIF(MANUALES!$B$16:$B$72,$A42,MANUALES!Q$16:Q$72)+SUMIF(RODANTES!$B$16:$B$72,$A42,RODANTES!Q$16:Q$72)+SUMIF(RECARGAS!$B$16:$B$37,$A42,RECARGAS!AA$16:AA$37)+SUMIF(REVENDIDOS!$B$16:$B$25,$A42,REVENDIDOS!R$16:R$25)</f>
        <v>726.585965948557</v>
      </c>
      <c r="L42" s="13" t="n">
        <f aca="false">SUMIF(MANUALES!$B$16:$B$72,$A42,MANUALES!R$16:R$72)+SUMIF(RODANTES!$B$16:$B$72,$A42,RODANTES!R$16:R$72)+SUMIF(RECARGAS!$B$16:$B$37,$A42,RECARGAS!AB$16:AB$37)+SUMIF(REVENDIDOS!$B$16:$B$25,$A42,REVENDIDOS!S$16:S$25)</f>
        <v>1198.69158455781</v>
      </c>
      <c r="M42" s="13" t="n">
        <f aca="false">SUMIF(MANUALES!$B$16:$B$72,$A42,MANUALES!S$16:S$72)+SUMIF(RODANTES!$B$16:$B$72,$A42,RODANTES!S$16:S$72)+SUMIF(RECARGAS!$B$16:$B$37,$A42,RECARGAS!AC$16:AC$37)+SUMIF(REVENDIDOS!$B$16:$B$25,$A42,REVENDIDOS!T$16:T$25)</f>
        <v>1659.89932912247</v>
      </c>
      <c r="N42" s="13" t="n">
        <f aca="false">SUMIF(MANUALES!$B$16:$B$72,$A42,MANUALES!T$16:T$72)+SUMIF(RODANTES!$B$16:$B$72,$A42,RODANTES!T$16:T$72)+SUMIF(RECARGAS!$B$16:$B$37,$A42,RECARGAS!AD$16:AD$37)+SUMIF(REVENDIDOS!$B$16:$B$25,$A42,REVENDIDOS!U$16:U$25)</f>
        <v>2230.30191190286</v>
      </c>
      <c r="O42" s="13" t="n">
        <f aca="false">SUMIF(MANUALES!$B$16:$B$72,$A42,MANUALES!U$16:U$72)+SUMIF(RODANTES!$B$16:$B$72,$A42,RODANTES!U$16:U$72)+SUMIF(RECARGAS!$B$16:$B$37,$A42,RECARGAS!AE$16:AE$37)+SUMIF(REVENDIDOS!$B$16:$B$25,$A42,REVENDIDOS!V$16:V$25)</f>
        <v>2791.97116975246</v>
      </c>
      <c r="P42" s="13" t="n">
        <f aca="false">SUMIF(MANUALES!$B$16:$B$72,$A42,MANUALES!V$16:V$72)+SUMIF(RODANTES!$B$16:$B$72,$A42,RODANTES!V$16:V$72)+SUMIF(RECARGAS!$B$16:$B$37,$A42,RECARGAS!AF$16:AF$37)+SUMIF(REVENDIDOS!$B$16:$B$25,$A42,REVENDIDOS!W$16:W$25)</f>
        <v>3129.39112513287</v>
      </c>
      <c r="Q42" s="13" t="n">
        <f aca="false">SUMIF(MANUALES!$B$16:$B$72,$A42,MANUALES!W$16:W$72)+SUMIF(RODANTES!$B$16:$B$72,$A42,RODANTES!W$16:W$72)+SUMIF(RECARGAS!$B$16:$B$37,$A42,RECARGAS!AG$16:AG$37)+SUMIF(REVENDIDOS!$B$16:$B$25,$A42,REVENDIDOS!X$16:X$25)</f>
        <v>3609.0147583921</v>
      </c>
      <c r="R42" s="13" t="n">
        <f aca="false">SUMIF(MANUALES!$B$16:$B$72,$A42,MANUALES!X$16:X$72)+SUMIF(RODANTES!$B$16:$B$72,$A42,RODANTES!X$16:X$72)+SUMIF(RECARGAS!$B$16:$B$37,$A42,RECARGAS!AH$16:AH$37)+SUMIF(REVENDIDOS!$B$16:$B$25,$A42,REVENDIDOS!Y$16:Y$25)</f>
        <v>414.216745076109</v>
      </c>
    </row>
    <row r="43" customFormat="false" ht="15" hidden="false" customHeight="false" outlineLevel="0" collapsed="false">
      <c r="A43" s="3" t="s">
        <v>232</v>
      </c>
      <c r="B43" s="3" t="s">
        <v>233</v>
      </c>
      <c r="C43" s="3" t="s">
        <v>192</v>
      </c>
      <c r="D43" s="13" t="n">
        <f aca="false">SUMIF(MANUALES!$B$16:$B$72,$A43,MANUALES!W$16:W$72)</f>
        <v>238323.030430856</v>
      </c>
      <c r="E43" s="13" t="n">
        <f aca="false">SUMIF(RODANTES!$B$16:$B$72,$A43,RODANTES!W$16:W$72)</f>
        <v>0</v>
      </c>
      <c r="F43" s="13" t="n">
        <f aca="false">SUMIF(RECARGAS!$B$16:$B$37,$A43,RECARGAS!AG$16:AG$37)</f>
        <v>42706.572139183</v>
      </c>
      <c r="G43" s="13" t="n">
        <f aca="false">SUMIF(REVENDIDOS!$B$16:$B$25,$A43,REVENDIDOS!X$16:X$25)</f>
        <v>0</v>
      </c>
      <c r="H43" s="13" t="n">
        <f aca="false">SUMIF(MANUALES!$B$16:$B$72,$A43,MANUALES!N$16:N$72)+SUMIF(RODANTES!$B$16:$B$72,$A43,RODANTES!N$16:N$72)+SUMIF(RECARGAS!$B$16:$B$37,$A43,RECARGAS!X$16:X$37)+SUMIF(REVENDIDOS!$B$16:$B$25,$A43,REVENDIDOS!O$16:O$25)</f>
        <v>20935.1917416978</v>
      </c>
      <c r="I43" s="13" t="n">
        <f aca="false">SUMIF(MANUALES!$B$16:$B$72,$A43,MANUALES!O$16:O$72)+SUMIF(RODANTES!$B$16:$B$72,$A43,RODANTES!O$16:O$72)+SUMIF(RECARGAS!$B$16:$B$37,$A43,RECARGAS!Y$16:Y$37)+SUMIF(REVENDIDOS!$B$16:$B$25,$A43,REVENDIDOS!P$16:P$25)</f>
        <v>41589.9052800745</v>
      </c>
      <c r="J43" s="13" t="n">
        <f aca="false">SUMIF(MANUALES!$B$16:$B$72,$A43,MANUALES!P$16:P$72)+SUMIF(RODANTES!$B$16:$B$72,$A43,RODANTES!P$16:P$72)+SUMIF(RECARGAS!$B$16:$B$37,$A43,RECARGAS!Z$16:Z$37)+SUMIF(REVENDIDOS!$B$16:$B$25,$A43,REVENDIDOS!Q$16:Q$25)</f>
        <v>56676.7061807992</v>
      </c>
      <c r="K43" s="13" t="n">
        <f aca="false">SUMIF(MANUALES!$B$16:$B$72,$A43,MANUALES!Q$16:Q$72)+SUMIF(RODANTES!$B$16:$B$72,$A43,RODANTES!Q$16:Q$72)+SUMIF(RECARGAS!$B$16:$B$37,$A43,RECARGAS!AA$16:AA$37)+SUMIF(REVENDIDOS!$B$16:$B$25,$A43,REVENDIDOS!R$16:R$25)</f>
        <v>83671.3838098062</v>
      </c>
      <c r="L43" s="13" t="n">
        <f aca="false">SUMIF(MANUALES!$B$16:$B$72,$A43,MANUALES!R$16:R$72)+SUMIF(RODANTES!$B$16:$B$72,$A43,RODANTES!R$16:R$72)+SUMIF(RECARGAS!$B$16:$B$37,$A43,RECARGAS!AB$16:AB$37)+SUMIF(REVENDIDOS!$B$16:$B$25,$A43,REVENDIDOS!S$16:S$25)</f>
        <v>119854.788424096</v>
      </c>
      <c r="M43" s="13" t="n">
        <f aca="false">SUMIF(MANUALES!$B$16:$B$72,$A43,MANUALES!S$16:S$72)+SUMIF(RODANTES!$B$16:$B$72,$A43,RODANTES!S$16:S$72)+SUMIF(RECARGAS!$B$16:$B$37,$A43,RECARGAS!AC$16:AC$37)+SUMIF(REVENDIDOS!$B$16:$B$25,$A43,REVENDIDOS!T$16:T$25)</f>
        <v>156794.227168056</v>
      </c>
      <c r="N43" s="13" t="n">
        <f aca="false">SUMIF(MANUALES!$B$16:$B$72,$A43,MANUALES!T$16:T$72)+SUMIF(RODANTES!$B$16:$B$72,$A43,RODANTES!T$16:T$72)+SUMIF(RECARGAS!$B$16:$B$37,$A43,RECARGAS!AD$16:AD$37)+SUMIF(REVENDIDOS!$B$16:$B$25,$A43,REVENDIDOS!U$16:U$25)</f>
        <v>192778.379915357</v>
      </c>
      <c r="O43" s="13" t="n">
        <f aca="false">SUMIF(MANUALES!$B$16:$B$72,$A43,MANUALES!U$16:U$72)+SUMIF(RODANTES!$B$16:$B$72,$A43,RODANTES!U$16:U$72)+SUMIF(RECARGAS!$B$16:$B$37,$A43,RECARGAS!AE$16:AE$37)+SUMIF(REVENDIDOS!$B$16:$B$25,$A43,REVENDIDOS!V$16:V$25)</f>
        <v>224465.473375775</v>
      </c>
      <c r="P43" s="13" t="n">
        <f aca="false">SUMIF(MANUALES!$B$16:$B$72,$A43,MANUALES!V$16:V$72)+SUMIF(RODANTES!$B$16:$B$72,$A43,RODANTES!V$16:V$72)+SUMIF(RECARGAS!$B$16:$B$37,$A43,RECARGAS!AF$16:AF$37)+SUMIF(REVENDIDOS!$B$16:$B$25,$A43,REVENDIDOS!W$16:W$25)</f>
        <v>249353.857226629</v>
      </c>
      <c r="Q43" s="13" t="n">
        <f aca="false">SUMIF(MANUALES!$B$16:$B$72,$A43,MANUALES!W$16:W$72)+SUMIF(RODANTES!$B$16:$B$72,$A43,RODANTES!W$16:W$72)+SUMIF(RECARGAS!$B$16:$B$37,$A43,RECARGAS!AG$16:AG$37)+SUMIF(REVENDIDOS!$B$16:$B$25,$A43,REVENDIDOS!X$16:X$25)</f>
        <v>281029.602570039</v>
      </c>
      <c r="R43" s="13" t="n">
        <f aca="false">SUMIF(MANUALES!$B$16:$B$72,$A43,MANUALES!X$16:X$72)+SUMIF(RODANTES!$B$16:$B$72,$A43,RODANTES!X$16:X$72)+SUMIF(RECARGAS!$B$16:$B$37,$A43,RECARGAS!AH$16:AH$37)+SUMIF(REVENDIDOS!$B$16:$B$25,$A43,REVENDIDOS!Y$16:Y$25)</f>
        <v>30111.1770698577</v>
      </c>
    </row>
    <row r="44" customFormat="false" ht="15" hidden="false" customHeight="false" outlineLevel="0" collapsed="false">
      <c r="A44" s="3" t="s">
        <v>427</v>
      </c>
      <c r="B44" s="3" t="s">
        <v>428</v>
      </c>
      <c r="C44" s="3" t="s">
        <v>192</v>
      </c>
      <c r="D44" s="13" t="n">
        <f aca="false">SUMIF(MANUALES!$B$16:$B$72,$A44,MANUALES!W$16:W$72)</f>
        <v>0</v>
      </c>
      <c r="E44" s="13" t="n">
        <f aca="false">SUMIF(RODANTES!$B$16:$B$72,$A44,RODANTES!W$16:W$72)</f>
        <v>91902.1824379067</v>
      </c>
      <c r="F44" s="13" t="n">
        <f aca="false">SUMIF(RECARGAS!$B$16:$B$37,$A44,RECARGAS!AG$16:AG$37)</f>
        <v>10553.0160608562</v>
      </c>
      <c r="G44" s="13" t="n">
        <f aca="false">SUMIF(REVENDIDOS!$B$16:$B$25,$A44,REVENDIDOS!X$16:X$25)</f>
        <v>0</v>
      </c>
      <c r="H44" s="13" t="n">
        <f aca="false">SUMIF(MANUALES!$B$16:$B$72,$A44,MANUALES!N$16:N$72)+SUMIF(RODANTES!$B$16:$B$72,$A44,RODANTES!N$16:N$72)+SUMIF(RECARGAS!$B$16:$B$37,$A44,RECARGAS!X$16:X$37)+SUMIF(REVENDIDOS!$B$16:$B$25,$A44,REVENDIDOS!O$16:O$25)</f>
        <v>7126.53495607207</v>
      </c>
      <c r="I44" s="13" t="n">
        <f aca="false">SUMIF(MANUALES!$B$16:$B$72,$A44,MANUALES!O$16:O$72)+SUMIF(RODANTES!$B$16:$B$72,$A44,RODANTES!O$16:O$72)+SUMIF(RECARGAS!$B$16:$B$37,$A44,RECARGAS!Y$16:Y$37)+SUMIF(REVENDIDOS!$B$16:$B$25,$A44,REVENDIDOS!P$16:P$25)</f>
        <v>12748.2882957772</v>
      </c>
      <c r="J44" s="13" t="n">
        <f aca="false">SUMIF(MANUALES!$B$16:$B$72,$A44,MANUALES!P$16:P$72)+SUMIF(RODANTES!$B$16:$B$72,$A44,RODANTES!P$16:P$72)+SUMIF(RECARGAS!$B$16:$B$37,$A44,RECARGAS!Z$16:Z$37)+SUMIF(REVENDIDOS!$B$16:$B$25,$A44,REVENDIDOS!Q$16:Q$25)</f>
        <v>17224.4719025319</v>
      </c>
      <c r="K44" s="13" t="n">
        <f aca="false">SUMIF(MANUALES!$B$16:$B$72,$A44,MANUALES!Q$16:Q$72)+SUMIF(RODANTES!$B$16:$B$72,$A44,RODANTES!Q$16:Q$72)+SUMIF(RECARGAS!$B$16:$B$37,$A44,RECARGAS!AA$16:AA$37)+SUMIF(REVENDIDOS!$B$16:$B$25,$A44,REVENDIDOS!R$16:R$25)</f>
        <v>23888.0629728921</v>
      </c>
      <c r="L44" s="13" t="n">
        <f aca="false">SUMIF(MANUALES!$B$16:$B$72,$A44,MANUALES!R$16:R$72)+SUMIF(RODANTES!$B$16:$B$72,$A44,RODANTES!R$16:R$72)+SUMIF(RECARGAS!$B$16:$B$37,$A44,RECARGAS!AB$16:AB$37)+SUMIF(REVENDIDOS!$B$16:$B$25,$A44,REVENDIDOS!S$16:S$25)</f>
        <v>36633.4619874786</v>
      </c>
      <c r="M44" s="13" t="n">
        <f aca="false">SUMIF(MANUALES!$B$16:$B$72,$A44,MANUALES!S$16:S$72)+SUMIF(RODANTES!$B$16:$B$72,$A44,RODANTES!S$16:S$72)+SUMIF(RECARGAS!$B$16:$B$37,$A44,RECARGAS!AC$16:AC$37)+SUMIF(REVENDIDOS!$B$16:$B$25,$A44,REVENDIDOS!T$16:T$25)</f>
        <v>49593.921876397</v>
      </c>
      <c r="N44" s="13" t="n">
        <f aca="false">SUMIF(MANUALES!$B$16:$B$72,$A44,MANUALES!T$16:T$72)+SUMIF(RODANTES!$B$16:$B$72,$A44,RODANTES!T$16:T$72)+SUMIF(RECARGAS!$B$16:$B$37,$A44,RECARGAS!AD$16:AD$37)+SUMIF(REVENDIDOS!$B$16:$B$25,$A44,REVENDIDOS!U$16:U$25)</f>
        <v>63399.6456463476</v>
      </c>
      <c r="O44" s="13" t="n">
        <f aca="false">SUMIF(MANUALES!$B$16:$B$72,$A44,MANUALES!U$16:U$72)+SUMIF(RODANTES!$B$16:$B$72,$A44,RODANTES!U$16:U$72)+SUMIF(RECARGAS!$B$16:$B$37,$A44,RECARGAS!AE$16:AE$37)+SUMIF(REVENDIDOS!$B$16:$B$25,$A44,REVENDIDOS!V$16:V$25)</f>
        <v>77566.4446397109</v>
      </c>
      <c r="P44" s="13" t="n">
        <f aca="false">SUMIF(MANUALES!$B$16:$B$72,$A44,MANUALES!V$16:V$72)+SUMIF(RODANTES!$B$16:$B$72,$A44,RODANTES!V$16:V$72)+SUMIF(RECARGAS!$B$16:$B$37,$A44,RECARGAS!AF$16:AF$37)+SUMIF(REVENDIDOS!$B$16:$B$25,$A44,REVENDIDOS!W$16:W$25)</f>
        <v>89639.9117929209</v>
      </c>
      <c r="Q44" s="13" t="n">
        <f aca="false">SUMIF(MANUALES!$B$16:$B$72,$A44,MANUALES!W$16:W$72)+SUMIF(RODANTES!$B$16:$B$72,$A44,RODANTES!W$16:W$72)+SUMIF(RECARGAS!$B$16:$B$37,$A44,RECARGAS!AG$16:AG$37)+SUMIF(REVENDIDOS!$B$16:$B$25,$A44,REVENDIDOS!X$16:X$25)</f>
        <v>102455.198498763</v>
      </c>
      <c r="R44" s="13" t="n">
        <f aca="false">SUMIF(MANUALES!$B$16:$B$72,$A44,MANUALES!X$16:X$72)+SUMIF(RODANTES!$B$16:$B$72,$A44,RODANTES!X$16:X$72)+SUMIF(RECARGAS!$B$16:$B$37,$A44,RECARGAS!AH$16:AH$37)+SUMIF(REVENDIDOS!$B$16:$B$25,$A44,REVENDIDOS!Y$16:Y$25)</f>
        <v>9150.61442448296</v>
      </c>
    </row>
    <row r="45" customFormat="false" ht="15" hidden="false" customHeight="false" outlineLevel="0" collapsed="false">
      <c r="A45" s="3" t="s">
        <v>235</v>
      </c>
      <c r="B45" s="3" t="s">
        <v>236</v>
      </c>
      <c r="C45" s="3" t="s">
        <v>224</v>
      </c>
      <c r="D45" s="13" t="n">
        <f aca="false">SUMIF(MANUALES!$B$16:$B$72,$A45,MANUALES!W$16:W$72)</f>
        <v>1313.39275671279</v>
      </c>
      <c r="E45" s="13" t="n">
        <f aca="false">SUMIF(RODANTES!$B$16:$B$72,$A45,RODANTES!W$16:W$72)</f>
        <v>540.110594188926</v>
      </c>
      <c r="F45" s="13" t="n">
        <f aca="false">SUMIF(RECARGAS!$B$16:$B$37,$A45,RECARGAS!AG$16:AG$37)</f>
        <v>1852.60216272722</v>
      </c>
      <c r="G45" s="13" t="n">
        <f aca="false">SUMIF(REVENDIDOS!$B$16:$B$25,$A45,REVENDIDOS!X$16:X$25)</f>
        <v>0</v>
      </c>
      <c r="H45" s="13" t="n">
        <f aca="false">SUMIF(MANUALES!$B$16:$B$72,$A45,MANUALES!N$16:N$72)+SUMIF(RODANTES!$B$16:$B$72,$A45,RODANTES!N$16:N$72)+SUMIF(RECARGAS!$B$16:$B$37,$A45,RECARGAS!X$16:X$37)+SUMIF(REVENDIDOS!$B$16:$B$25,$A45,REVENDIDOS!O$16:O$25)</f>
        <v>184.818159469924</v>
      </c>
      <c r="I45" s="13" t="n">
        <f aca="false">SUMIF(MANUALES!$B$16:$B$72,$A45,MANUALES!O$16:O$72)+SUMIF(RODANTES!$B$16:$B$72,$A45,RODANTES!O$16:O$72)+SUMIF(RECARGAS!$B$16:$B$37,$A45,RECARGAS!Y$16:Y$37)+SUMIF(REVENDIDOS!$B$16:$B$25,$A45,REVENDIDOS!P$16:P$25)</f>
        <v>427.657331134955</v>
      </c>
      <c r="J45" s="13" t="n">
        <f aca="false">SUMIF(MANUALES!$B$16:$B$72,$A45,MANUALES!P$16:P$72)+SUMIF(RODANTES!$B$16:$B$72,$A45,RODANTES!P$16:P$72)+SUMIF(RECARGAS!$B$16:$B$37,$A45,RECARGAS!Z$16:Z$37)+SUMIF(REVENDIDOS!$B$16:$B$25,$A45,REVENDIDOS!Q$16:Q$25)</f>
        <v>681.74749509307</v>
      </c>
      <c r="K45" s="13" t="n">
        <f aca="false">SUMIF(MANUALES!$B$16:$B$72,$A45,MANUALES!Q$16:Q$72)+SUMIF(RODANTES!$B$16:$B$72,$A45,RODANTES!Q$16:Q$72)+SUMIF(RECARGAS!$B$16:$B$37,$A45,RECARGAS!AA$16:AA$37)+SUMIF(REVENDIDOS!$B$16:$B$25,$A45,REVENDIDOS!R$16:R$25)</f>
        <v>1099.91584299782</v>
      </c>
      <c r="L45" s="13" t="n">
        <f aca="false">SUMIF(MANUALES!$B$16:$B$72,$A45,MANUALES!R$16:R$72)+SUMIF(RODANTES!$B$16:$B$72,$A45,RODANTES!R$16:R$72)+SUMIF(RECARGAS!$B$16:$B$37,$A45,RECARGAS!AB$16:AB$37)+SUMIF(REVENDIDOS!$B$16:$B$25,$A45,REVENDIDOS!S$16:S$25)</f>
        <v>1599.04435887187</v>
      </c>
      <c r="M45" s="13" t="n">
        <f aca="false">SUMIF(MANUALES!$B$16:$B$72,$A45,MANUALES!S$16:S$72)+SUMIF(RODANTES!$B$16:$B$72,$A45,RODANTES!S$16:S$72)+SUMIF(RECARGAS!$B$16:$B$37,$A45,RECARGAS!AC$16:AC$37)+SUMIF(REVENDIDOS!$B$16:$B$25,$A45,REVENDIDOS!T$16:T$25)</f>
        <v>2124.61222906804</v>
      </c>
      <c r="N45" s="13" t="n">
        <f aca="false">SUMIF(MANUALES!$B$16:$B$72,$A45,MANUALES!T$16:T$72)+SUMIF(RODANTES!$B$16:$B$72,$A45,RODANTES!T$16:T$72)+SUMIF(RECARGAS!$B$16:$B$37,$A45,RECARGAS!AD$16:AD$37)+SUMIF(REVENDIDOS!$B$16:$B$25,$A45,REVENDIDOS!U$16:U$25)</f>
        <v>2628.67374810765</v>
      </c>
      <c r="O45" s="13" t="n">
        <f aca="false">SUMIF(MANUALES!$B$16:$B$72,$A45,MANUALES!U$16:U$72)+SUMIF(RODANTES!$B$16:$B$72,$A45,RODANTES!U$16:U$72)+SUMIF(RECARGAS!$B$16:$B$37,$A45,RECARGAS!AE$16:AE$37)+SUMIF(REVENDIDOS!$B$16:$B$25,$A45,REVENDIDOS!V$16:V$25)</f>
        <v>3031.5014433586</v>
      </c>
      <c r="P45" s="13" t="n">
        <f aca="false">SUMIF(MANUALES!$B$16:$B$72,$A45,MANUALES!V$16:V$72)+SUMIF(RODANTES!$B$16:$B$72,$A45,RODANTES!V$16:V$72)+SUMIF(RECARGAS!$B$16:$B$37,$A45,RECARGAS!AF$16:AF$37)+SUMIF(REVENDIDOS!$B$16:$B$25,$A45,REVENDIDOS!W$16:W$25)</f>
        <v>3347.15344011062</v>
      </c>
      <c r="Q45" s="13" t="n">
        <f aca="false">SUMIF(MANUALES!$B$16:$B$72,$A45,MANUALES!W$16:W$72)+SUMIF(RODANTES!$B$16:$B$72,$A45,RODANTES!W$16:W$72)+SUMIF(RECARGAS!$B$16:$B$37,$A45,RECARGAS!AG$16:AG$37)+SUMIF(REVENDIDOS!$B$16:$B$25,$A45,REVENDIDOS!X$16:X$25)</f>
        <v>3706.10551362893</v>
      </c>
      <c r="R45" s="13" t="n">
        <f aca="false">SUMIF(MANUALES!$B$16:$B$72,$A45,MANUALES!X$16:X$72)+SUMIF(RODANTES!$B$16:$B$72,$A45,RODANTES!X$16:X$72)+SUMIF(RECARGAS!$B$16:$B$37,$A45,RECARGAS!AH$16:AH$37)+SUMIF(REVENDIDOS!$B$16:$B$25,$A45,REVENDIDOS!Y$16:Y$25)</f>
        <v>349.232803604104</v>
      </c>
    </row>
    <row r="46" customFormat="false" ht="15" hidden="false" customHeight="false" outlineLevel="0" collapsed="false">
      <c r="A46" s="3" t="s">
        <v>510</v>
      </c>
      <c r="B46" s="3" t="s">
        <v>511</v>
      </c>
      <c r="C46" s="3" t="s">
        <v>192</v>
      </c>
      <c r="D46" s="13" t="n">
        <f aca="false">SUMIF(MANUALES!$B$16:$B$72,$A46,MANUALES!W$16:W$72)</f>
        <v>0</v>
      </c>
      <c r="E46" s="13" t="n">
        <f aca="false">SUMIF(RODANTES!$B$16:$B$72,$A46,RODANTES!W$16:W$72)</f>
        <v>0</v>
      </c>
      <c r="F46" s="13" t="n">
        <f aca="false">SUMIF(RECARGAS!$B$16:$B$37,$A46,RECARGAS!AG$16:AG$37)</f>
        <v>725.457135307448</v>
      </c>
      <c r="G46" s="13" t="n">
        <f aca="false">SUMIF(REVENDIDOS!$B$16:$B$25,$A46,REVENDIDOS!X$16:X$25)</f>
        <v>0</v>
      </c>
      <c r="H46" s="13" t="n">
        <f aca="false">SUMIF(MANUALES!$B$16:$B$72,$A46,MANUALES!N$16:N$72)+SUMIF(RODANTES!$B$16:$B$72,$A46,RODANTES!N$16:N$72)+SUMIF(RECARGAS!$B$16:$B$37,$A46,RECARGAS!X$16:X$37)+SUMIF(REVENDIDOS!$B$16:$B$25,$A46,REVENDIDOS!O$16:O$25)</f>
        <v>11.6011634566694</v>
      </c>
      <c r="I46" s="13" t="n">
        <f aca="false">SUMIF(MANUALES!$B$16:$B$72,$A46,MANUALES!O$16:O$72)+SUMIF(RODANTES!$B$16:$B$72,$A46,RODANTES!O$16:O$72)+SUMIF(RECARGAS!$B$16:$B$37,$A46,RECARGAS!Y$16:Y$37)+SUMIF(REVENDIDOS!$B$16:$B$25,$A46,REVENDIDOS!P$16:P$25)</f>
        <v>71.2491602092144</v>
      </c>
      <c r="J46" s="13" t="n">
        <f aca="false">SUMIF(MANUALES!$B$16:$B$72,$A46,MANUALES!P$16:P$72)+SUMIF(RODANTES!$B$16:$B$72,$A46,RODANTES!P$16:P$72)+SUMIF(RECARGAS!$B$16:$B$37,$A46,RECARGAS!Z$16:Z$37)+SUMIF(REVENDIDOS!$B$16:$B$25,$A46,REVENDIDOS!Q$16:Q$25)</f>
        <v>133.225490600138</v>
      </c>
      <c r="K46" s="13" t="n">
        <f aca="false">SUMIF(MANUALES!$B$16:$B$72,$A46,MANUALES!Q$16:Q$72)+SUMIF(RODANTES!$B$16:$B$72,$A46,RODANTES!Q$16:Q$72)+SUMIF(RECARGAS!$B$16:$B$37,$A46,RECARGAS!AA$16:AA$37)+SUMIF(REVENDIDOS!$B$16:$B$25,$A46,REVENDIDOS!R$16:R$25)</f>
        <v>239.362844978255</v>
      </c>
      <c r="L46" s="13" t="n">
        <f aca="false">SUMIF(MANUALES!$B$16:$B$72,$A46,MANUALES!R$16:R$72)+SUMIF(RODANTES!$B$16:$B$72,$A46,RODANTES!R$16:R$72)+SUMIF(RECARGAS!$B$16:$B$37,$A46,RECARGAS!AB$16:AB$37)+SUMIF(REVENDIDOS!$B$16:$B$25,$A46,REVENDIDOS!S$16:S$25)</f>
        <v>330.206254453821</v>
      </c>
      <c r="M46" s="13" t="n">
        <f aca="false">SUMIF(MANUALES!$B$16:$B$72,$A46,MANUALES!S$16:S$72)+SUMIF(RODANTES!$B$16:$B$72,$A46,RODANTES!S$16:S$72)+SUMIF(RECARGAS!$B$16:$B$37,$A46,RECARGAS!AC$16:AC$37)+SUMIF(REVENDIDOS!$B$16:$B$25,$A46,REVENDIDOS!T$16:T$25)</f>
        <v>438.508714083932</v>
      </c>
      <c r="N46" s="13" t="n">
        <f aca="false">SUMIF(MANUALES!$B$16:$B$72,$A46,MANUALES!T$16:T$72)+SUMIF(RODANTES!$B$16:$B$72,$A46,RODANTES!T$16:T$72)+SUMIF(RECARGAS!$B$16:$B$37,$A46,RECARGAS!AD$16:AD$37)+SUMIF(REVENDIDOS!$B$16:$B$25,$A46,REVENDIDOS!U$16:U$25)</f>
        <v>552.592349225674</v>
      </c>
      <c r="O46" s="13" t="n">
        <f aca="false">SUMIF(MANUALES!$B$16:$B$72,$A46,MANUALES!U$16:U$72)+SUMIF(RODANTES!$B$16:$B$72,$A46,RODANTES!U$16:U$72)+SUMIF(RECARGAS!$B$16:$B$37,$A46,RECARGAS!AE$16:AE$37)+SUMIF(REVENDIDOS!$B$16:$B$25,$A46,REVENDIDOS!V$16:V$25)</f>
        <v>612.713416102567</v>
      </c>
      <c r="P46" s="13" t="n">
        <f aca="false">SUMIF(MANUALES!$B$16:$B$72,$A46,MANUALES!V$16:V$72)+SUMIF(RODANTES!$B$16:$B$72,$A46,RODANTES!V$16:V$72)+SUMIF(RECARGAS!$B$16:$B$37,$A46,RECARGAS!AF$16:AF$37)+SUMIF(REVENDIDOS!$B$16:$B$25,$A46,REVENDIDOS!W$16:W$25)</f>
        <v>668.103926966961</v>
      </c>
      <c r="Q46" s="13" t="n">
        <f aca="false">SUMIF(MANUALES!$B$16:$B$72,$A46,MANUALES!W$16:W$72)+SUMIF(RODANTES!$B$16:$B$72,$A46,RODANTES!W$16:W$72)+SUMIF(RECARGAS!$B$16:$B$37,$A46,RECARGAS!AG$16:AG$37)+SUMIF(REVENDIDOS!$B$16:$B$25,$A46,REVENDIDOS!X$16:X$25)</f>
        <v>725.457135307448</v>
      </c>
      <c r="R46" s="13" t="n">
        <f aca="false">SUMIF(MANUALES!$B$16:$B$72,$A46,MANUALES!X$16:X$72)+SUMIF(RODANTES!$B$16:$B$72,$A46,RODANTES!X$16:X$72)+SUMIF(RECARGAS!$B$16:$B$37,$A46,RECARGAS!AH$16:AH$37)+SUMIF(REVENDIDOS!$B$16:$B$25,$A46,REVENDIDOS!Y$16:Y$25)</f>
        <v>60.4547612756207</v>
      </c>
    </row>
    <row r="47" customFormat="false" ht="15" hidden="false" customHeight="false" outlineLevel="0" collapsed="false">
      <c r="A47" s="3" t="s">
        <v>513</v>
      </c>
      <c r="B47" s="3" t="s">
        <v>514</v>
      </c>
      <c r="C47" s="3" t="s">
        <v>192</v>
      </c>
      <c r="D47" s="13" t="n">
        <f aca="false">SUMIF(MANUALES!$B$16:$B$72,$A47,MANUALES!W$16:W$72)</f>
        <v>0</v>
      </c>
      <c r="E47" s="13" t="n">
        <f aca="false">SUMIF(RODANTES!$B$16:$B$72,$A47,RODANTES!W$16:W$72)</f>
        <v>0</v>
      </c>
      <c r="F47" s="13" t="n">
        <f aca="false">SUMIF(RECARGAS!$B$16:$B$37,$A47,RECARGAS!AG$16:AG$37)</f>
        <v>1163.06980253485</v>
      </c>
      <c r="G47" s="13" t="n">
        <f aca="false">SUMIF(REVENDIDOS!$B$16:$B$25,$A47,REVENDIDOS!X$16:X$25)</f>
        <v>0</v>
      </c>
      <c r="H47" s="13" t="n">
        <f aca="false">SUMIF(MANUALES!$B$16:$B$72,$A47,MANUALES!N$16:N$72)+SUMIF(RODANTES!$B$16:$B$72,$A47,RODANTES!N$16:N$72)+SUMIF(RECARGAS!$B$16:$B$37,$A47,RECARGAS!X$16:X$37)+SUMIF(REVENDIDOS!$B$16:$B$25,$A47,REVENDIDOS!O$16:O$25)</f>
        <v>20.6117758501991</v>
      </c>
      <c r="I47" s="13" t="n">
        <f aca="false">SUMIF(MANUALES!$B$16:$B$72,$A47,MANUALES!O$16:O$72)+SUMIF(RODANTES!$B$16:$B$72,$A47,RODANTES!O$16:O$72)+SUMIF(RECARGAS!$B$16:$B$37,$A47,RECARGAS!Y$16:Y$37)+SUMIF(REVENDIDOS!$B$16:$B$25,$A47,REVENDIDOS!P$16:P$25)</f>
        <v>126.588313769769</v>
      </c>
      <c r="J47" s="13" t="n">
        <f aca="false">SUMIF(MANUALES!$B$16:$B$72,$A47,MANUALES!P$16:P$72)+SUMIF(RODANTES!$B$16:$B$72,$A47,RODANTES!P$16:P$72)+SUMIF(RECARGAS!$B$16:$B$37,$A47,RECARGAS!Z$16:Z$37)+SUMIF(REVENDIDOS!$B$16:$B$25,$A47,REVENDIDOS!Q$16:Q$25)</f>
        <v>236.701599804129</v>
      </c>
      <c r="K47" s="13" t="n">
        <f aca="false">SUMIF(MANUALES!$B$16:$B$72,$A47,MANUALES!Q$16:Q$72)+SUMIF(RODANTES!$B$16:$B$72,$A47,RODANTES!Q$16:Q$72)+SUMIF(RECARGAS!$B$16:$B$37,$A47,RECARGAS!AA$16:AA$37)+SUMIF(REVENDIDOS!$B$16:$B$25,$A47,REVENDIDOS!R$16:R$25)</f>
        <v>395.722004830904</v>
      </c>
      <c r="L47" s="13" t="n">
        <f aca="false">SUMIF(MANUALES!$B$16:$B$72,$A47,MANUALES!R$16:R$72)+SUMIF(RODANTES!$B$16:$B$72,$A47,RODANTES!R$16:R$72)+SUMIF(RECARGAS!$B$16:$B$37,$A47,RECARGAS!AB$16:AB$37)+SUMIF(REVENDIDOS!$B$16:$B$25,$A47,REVENDIDOS!S$16:S$25)</f>
        <v>548.310350870864</v>
      </c>
      <c r="M47" s="13" t="n">
        <f aca="false">SUMIF(MANUALES!$B$16:$B$72,$A47,MANUALES!S$16:S$72)+SUMIF(RODANTES!$B$16:$B$72,$A47,RODANTES!S$16:S$72)+SUMIF(RECARGAS!$B$16:$B$37,$A47,RECARGAS!AC$16:AC$37)+SUMIF(REVENDIDOS!$B$16:$B$25,$A47,REVENDIDOS!T$16:T$25)</f>
        <v>681.392195009438</v>
      </c>
      <c r="N47" s="13" t="n">
        <f aca="false">SUMIF(MANUALES!$B$16:$B$72,$A47,MANUALES!T$16:T$72)+SUMIF(RODANTES!$B$16:$B$72,$A47,RODANTES!T$16:T$72)+SUMIF(RECARGAS!$B$16:$B$37,$A47,RECARGAS!AD$16:AD$37)+SUMIF(REVENDIDOS!$B$16:$B$25,$A47,REVENDIDOS!U$16:U$25)</f>
        <v>875.337997194073</v>
      </c>
      <c r="O47" s="13" t="n">
        <f aca="false">SUMIF(MANUALES!$B$16:$B$72,$A47,MANUALES!U$16:U$72)+SUMIF(RODANTES!$B$16:$B$72,$A47,RODANTES!U$16:U$72)+SUMIF(RECARGAS!$B$16:$B$37,$A47,RECARGAS!AE$16:AE$37)+SUMIF(REVENDIDOS!$B$16:$B$25,$A47,REVENDIDOS!V$16:V$25)</f>
        <v>976.692068979476</v>
      </c>
      <c r="P47" s="13" t="n">
        <f aca="false">SUMIF(MANUALES!$B$16:$B$72,$A47,MANUALES!V$16:V$72)+SUMIF(RODANTES!$B$16:$B$72,$A47,RODANTES!V$16:V$72)+SUMIF(RECARGAS!$B$16:$B$37,$A47,RECARGAS!AF$16:AF$37)+SUMIF(REVENDIDOS!$B$16:$B$25,$A47,REVENDIDOS!W$16:W$25)</f>
        <v>1070.89284018933</v>
      </c>
      <c r="Q47" s="13" t="n">
        <f aca="false">SUMIF(MANUALES!$B$16:$B$72,$A47,MANUALES!W$16:W$72)+SUMIF(RODANTES!$B$16:$B$72,$A47,RODANTES!W$16:W$72)+SUMIF(RECARGAS!$B$16:$B$37,$A47,RECARGAS!AG$16:AG$37)+SUMIF(REVENDIDOS!$B$16:$B$25,$A47,REVENDIDOS!X$16:X$25)</f>
        <v>1163.06980253485</v>
      </c>
      <c r="R47" s="13" t="n">
        <f aca="false">SUMIF(MANUALES!$B$16:$B$72,$A47,MANUALES!X$16:X$72)+SUMIF(RODANTES!$B$16:$B$72,$A47,RODANTES!X$16:X$72)+SUMIF(RECARGAS!$B$16:$B$37,$A47,RECARGAS!AH$16:AH$37)+SUMIF(REVENDIDOS!$B$16:$B$25,$A47,REVENDIDOS!Y$16:Y$25)</f>
        <v>96.9224835445711</v>
      </c>
    </row>
    <row r="48" customFormat="false" ht="15" hidden="false" customHeight="false" outlineLevel="0" collapsed="false">
      <c r="A48" s="3" t="s">
        <v>516</v>
      </c>
      <c r="B48" s="3" t="s">
        <v>517</v>
      </c>
      <c r="C48" s="3" t="s">
        <v>192</v>
      </c>
      <c r="D48" s="13" t="n">
        <f aca="false">SUMIF(MANUALES!$B$16:$B$72,$A48,MANUALES!W$16:W$72)</f>
        <v>0</v>
      </c>
      <c r="E48" s="13" t="n">
        <f aca="false">SUMIF(RODANTES!$B$16:$B$72,$A48,RODANTES!W$16:W$72)</f>
        <v>0</v>
      </c>
      <c r="F48" s="13" t="n">
        <f aca="false">SUMIF(RECARGAS!$B$16:$B$37,$A48,RECARGAS!AG$16:AG$37)</f>
        <v>2474.01024591012</v>
      </c>
      <c r="G48" s="13" t="n">
        <f aca="false">SUMIF(REVENDIDOS!$B$16:$B$25,$A48,REVENDIDOS!X$16:X$25)</f>
        <v>0</v>
      </c>
      <c r="H48" s="13" t="n">
        <f aca="false">SUMIF(MANUALES!$B$16:$B$72,$A48,MANUALES!N$16:N$72)+SUMIF(RODANTES!$B$16:$B$72,$A48,RODANTES!N$16:N$72)+SUMIF(RECARGAS!$B$16:$B$37,$A48,RECARGAS!X$16:X$37)+SUMIF(REVENDIDOS!$B$16:$B$25,$A48,REVENDIDOS!O$16:O$25)</f>
        <v>44.9547706745188</v>
      </c>
      <c r="I48" s="13" t="n">
        <f aca="false">SUMIF(MANUALES!$B$16:$B$72,$A48,MANUALES!O$16:O$72)+SUMIF(RODANTES!$B$16:$B$72,$A48,RODANTES!O$16:O$72)+SUMIF(RECARGAS!$B$16:$B$37,$A48,RECARGAS!Y$16:Y$37)+SUMIF(REVENDIDOS!$B$16:$B$25,$A48,REVENDIDOS!P$16:P$25)</f>
        <v>194.040414465211</v>
      </c>
      <c r="J48" s="13" t="n">
        <f aca="false">SUMIF(MANUALES!$B$16:$B$72,$A48,MANUALES!P$16:P$72)+SUMIF(RODANTES!$B$16:$B$72,$A48,RODANTES!P$16:P$72)+SUMIF(RECARGAS!$B$16:$B$37,$A48,RECARGAS!Z$16:Z$37)+SUMIF(REVENDIDOS!$B$16:$B$25,$A48,REVENDIDOS!Q$16:Q$25)</f>
        <v>433.939525679275</v>
      </c>
      <c r="K48" s="13" t="n">
        <f aca="false">SUMIF(MANUALES!$B$16:$B$72,$A48,MANUALES!Q$16:Q$72)+SUMIF(RODANTES!$B$16:$B$72,$A48,RODANTES!Q$16:Q$72)+SUMIF(RECARGAS!$B$16:$B$37,$A48,RECARGAS!AA$16:AA$37)+SUMIF(REVENDIDOS!$B$16:$B$25,$A48,REVENDIDOS!R$16:R$25)</f>
        <v>804.908143109446</v>
      </c>
      <c r="L48" s="13" t="n">
        <f aca="false">SUMIF(MANUALES!$B$16:$B$72,$A48,MANUALES!R$16:R$72)+SUMIF(RODANTES!$B$16:$B$72,$A48,RODANTES!R$16:R$72)+SUMIF(RECARGAS!$B$16:$B$37,$A48,RECARGAS!AB$16:AB$37)+SUMIF(REVENDIDOS!$B$16:$B$25,$A48,REVENDIDOS!S$16:S$25)</f>
        <v>1161.11968855987</v>
      </c>
      <c r="M48" s="13" t="n">
        <f aca="false">SUMIF(MANUALES!$B$16:$B$72,$A48,MANUALES!S$16:S$72)+SUMIF(RODANTES!$B$16:$B$72,$A48,RODANTES!S$16:S$72)+SUMIF(RECARGAS!$B$16:$B$37,$A48,RECARGAS!AC$16:AC$37)+SUMIF(REVENDIDOS!$B$16:$B$25,$A48,REVENDIDOS!T$16:T$25)</f>
        <v>1545.04118817947</v>
      </c>
      <c r="N48" s="13" t="n">
        <f aca="false">SUMIF(MANUALES!$B$16:$B$72,$A48,MANUALES!T$16:T$72)+SUMIF(RODANTES!$B$16:$B$72,$A48,RODANTES!T$16:T$72)+SUMIF(RECARGAS!$B$16:$B$37,$A48,RECARGAS!AD$16:AD$37)+SUMIF(REVENDIDOS!$B$16:$B$25,$A48,REVENDIDOS!U$16:U$25)</f>
        <v>1900.47021417553</v>
      </c>
      <c r="O48" s="13" t="n">
        <f aca="false">SUMIF(MANUALES!$B$16:$B$72,$A48,MANUALES!U$16:U$72)+SUMIF(RODANTES!$B$16:$B$72,$A48,RODANTES!U$16:U$72)+SUMIF(RECARGAS!$B$16:$B$37,$A48,RECARGAS!AE$16:AE$37)+SUMIF(REVENDIDOS!$B$16:$B$25,$A48,REVENDIDOS!V$16:V$25)</f>
        <v>2120.74728692824</v>
      </c>
      <c r="P48" s="13" t="n">
        <f aca="false">SUMIF(MANUALES!$B$16:$B$72,$A48,MANUALES!V$16:V$72)+SUMIF(RODANTES!$B$16:$B$72,$A48,RODANTES!V$16:V$72)+SUMIF(RECARGAS!$B$16:$B$37,$A48,RECARGAS!AF$16:AF$37)+SUMIF(REVENDIDOS!$B$16:$B$25,$A48,REVENDIDOS!W$16:W$25)</f>
        <v>2296.02198947077</v>
      </c>
      <c r="Q48" s="13" t="n">
        <f aca="false">SUMIF(MANUALES!$B$16:$B$72,$A48,MANUALES!W$16:W$72)+SUMIF(RODANTES!$B$16:$B$72,$A48,RODANTES!W$16:W$72)+SUMIF(RECARGAS!$B$16:$B$37,$A48,RECARGAS!AG$16:AG$37)+SUMIF(REVENDIDOS!$B$16:$B$25,$A48,REVENDIDOS!X$16:X$25)</f>
        <v>2474.01024591012</v>
      </c>
      <c r="R48" s="13" t="n">
        <f aca="false">SUMIF(MANUALES!$B$16:$B$72,$A48,MANUALES!X$16:X$72)+SUMIF(RODANTES!$B$16:$B$72,$A48,RODANTES!X$16:X$72)+SUMIF(RECARGAS!$B$16:$B$37,$A48,RECARGAS!AH$16:AH$37)+SUMIF(REVENDIDOS!$B$16:$B$25,$A48,REVENDIDOS!Y$16:Y$25)</f>
        <v>206.16752049251</v>
      </c>
    </row>
    <row r="49" customFormat="false" ht="15" hidden="false" customHeight="false" outlineLevel="0" collapsed="false">
      <c r="A49" s="3" t="s">
        <v>519</v>
      </c>
      <c r="B49" s="3" t="s">
        <v>520</v>
      </c>
      <c r="C49" s="3" t="s">
        <v>192</v>
      </c>
      <c r="D49" s="13" t="n">
        <f aca="false">SUMIF(MANUALES!$B$16:$B$72,$A49,MANUALES!W$16:W$72)</f>
        <v>0</v>
      </c>
      <c r="E49" s="13" t="n">
        <f aca="false">SUMIF(RODANTES!$B$16:$B$72,$A49,RODANTES!W$16:W$72)</f>
        <v>0</v>
      </c>
      <c r="F49" s="13" t="n">
        <f aca="false">SUMIF(RECARGAS!$B$16:$B$37,$A49,RECARGAS!AG$16:AG$37)</f>
        <v>185.038186767902</v>
      </c>
      <c r="G49" s="13" t="n">
        <f aca="false">SUMIF(REVENDIDOS!$B$16:$B$25,$A49,REVENDIDOS!X$16:X$25)</f>
        <v>0</v>
      </c>
      <c r="H49" s="13" t="n">
        <f aca="false">SUMIF(MANUALES!$B$16:$B$72,$A49,MANUALES!N$16:N$72)+SUMIF(RODANTES!$B$16:$B$72,$A49,RODANTES!N$16:N$72)+SUMIF(RECARGAS!$B$16:$B$37,$A49,RECARGAS!X$16:X$37)+SUMIF(REVENDIDOS!$B$16:$B$25,$A49,REVENDIDOS!O$16:O$25)</f>
        <v>2.76371545531391</v>
      </c>
      <c r="I49" s="13" t="n">
        <f aca="false">SUMIF(MANUALES!$B$16:$B$72,$A49,MANUALES!O$16:O$72)+SUMIF(RODANTES!$B$16:$B$72,$A49,RODANTES!O$16:O$72)+SUMIF(RECARGAS!$B$16:$B$37,$A49,RECARGAS!Y$16:Y$37)+SUMIF(REVENDIDOS!$B$16:$B$25,$A49,REVENDIDOS!P$16:P$25)</f>
        <v>16.4146349534345</v>
      </c>
      <c r="J49" s="13" t="n">
        <f aca="false">SUMIF(MANUALES!$B$16:$B$72,$A49,MANUALES!P$16:P$72)+SUMIF(RODANTES!$B$16:$B$72,$A49,RODANTES!P$16:P$72)+SUMIF(RECARGAS!$B$16:$B$37,$A49,RECARGAS!Z$16:Z$37)+SUMIF(REVENDIDOS!$B$16:$B$25,$A49,REVENDIDOS!Q$16:Q$25)</f>
        <v>33.6500075980496</v>
      </c>
      <c r="K49" s="13" t="n">
        <f aca="false">SUMIF(MANUALES!$B$16:$B$72,$A49,MANUALES!Q$16:Q$72)+SUMIF(RODANTES!$B$16:$B$72,$A49,RODANTES!Q$16:Q$72)+SUMIF(RECARGAS!$B$16:$B$37,$A49,RECARGAS!AA$16:AA$37)+SUMIF(REVENDIDOS!$B$16:$B$25,$A49,REVENDIDOS!R$16:R$25)</f>
        <v>58.3796799854928</v>
      </c>
      <c r="L49" s="13" t="n">
        <f aca="false">SUMIF(MANUALES!$B$16:$B$72,$A49,MANUALES!R$16:R$72)+SUMIF(RODANTES!$B$16:$B$72,$A49,RODANTES!R$16:R$72)+SUMIF(RECARGAS!$B$16:$B$37,$A49,RECARGAS!AB$16:AB$37)+SUMIF(REVENDIDOS!$B$16:$B$25,$A49,REVENDIDOS!S$16:S$25)</f>
        <v>83.6750198311306</v>
      </c>
      <c r="M49" s="13" t="n">
        <f aca="false">SUMIF(MANUALES!$B$16:$B$72,$A49,MANUALES!S$16:S$72)+SUMIF(RODANTES!$B$16:$B$72,$A49,RODANTES!S$16:S$72)+SUMIF(RECARGAS!$B$16:$B$37,$A49,RECARGAS!AC$16:AC$37)+SUMIF(REVENDIDOS!$B$16:$B$25,$A49,REVENDIDOS!T$16:T$25)</f>
        <v>109.840248538574</v>
      </c>
      <c r="N49" s="13" t="n">
        <f aca="false">SUMIF(MANUALES!$B$16:$B$72,$A49,MANUALES!T$16:T$72)+SUMIF(RODANTES!$B$16:$B$72,$A49,RODANTES!T$16:T$72)+SUMIF(RECARGAS!$B$16:$B$37,$A49,RECARGAS!AD$16:AD$37)+SUMIF(REVENDIDOS!$B$16:$B$25,$A49,REVENDIDOS!U$16:U$25)</f>
        <v>137.540153580407</v>
      </c>
      <c r="O49" s="13" t="n">
        <f aca="false">SUMIF(MANUALES!$B$16:$B$72,$A49,MANUALES!U$16:U$72)+SUMIF(RODANTES!$B$16:$B$72,$A49,RODANTES!U$16:U$72)+SUMIF(RECARGAS!$B$16:$B$37,$A49,RECARGAS!AE$16:AE$37)+SUMIF(REVENDIDOS!$B$16:$B$25,$A49,REVENDIDOS!V$16:V$25)</f>
        <v>156.01400228109</v>
      </c>
      <c r="P49" s="13" t="n">
        <f aca="false">SUMIF(MANUALES!$B$16:$B$72,$A49,MANUALES!V$16:V$72)+SUMIF(RODANTES!$B$16:$B$72,$A49,RODANTES!V$16:V$72)+SUMIF(RECARGAS!$B$16:$B$37,$A49,RECARGAS!AF$16:AF$37)+SUMIF(REVENDIDOS!$B$16:$B$25,$A49,REVENDIDOS!W$16:W$25)</f>
        <v>170.469669394052</v>
      </c>
      <c r="Q49" s="13" t="n">
        <f aca="false">SUMIF(MANUALES!$B$16:$B$72,$A49,MANUALES!W$16:W$72)+SUMIF(RODANTES!$B$16:$B$72,$A49,RODANTES!W$16:W$72)+SUMIF(RECARGAS!$B$16:$B$37,$A49,RECARGAS!AG$16:AG$37)+SUMIF(REVENDIDOS!$B$16:$B$25,$A49,REVENDIDOS!X$16:X$25)</f>
        <v>185.038186767902</v>
      </c>
      <c r="R49" s="13" t="n">
        <f aca="false">SUMIF(MANUALES!$B$16:$B$72,$A49,MANUALES!X$16:X$72)+SUMIF(RODANTES!$B$16:$B$72,$A49,RODANTES!X$16:X$72)+SUMIF(RECARGAS!$B$16:$B$37,$A49,RECARGAS!AH$16:AH$37)+SUMIF(REVENDIDOS!$B$16:$B$25,$A49,REVENDIDOS!Y$16:Y$25)</f>
        <v>15.4198488973252</v>
      </c>
    </row>
    <row r="50" customFormat="false" ht="15" hidden="false" customHeight="false" outlineLevel="0" collapsed="false">
      <c r="A50" s="3" t="s">
        <v>522</v>
      </c>
      <c r="B50" s="3" t="s">
        <v>523</v>
      </c>
      <c r="C50" s="3" t="s">
        <v>524</v>
      </c>
      <c r="D50" s="13" t="n">
        <f aca="false">SUMIF(MANUALES!$B$16:$B$72,$A50,MANUALES!W$16:W$72)</f>
        <v>0</v>
      </c>
      <c r="E50" s="13" t="n">
        <f aca="false">SUMIF(RODANTES!$B$16:$B$72,$A50,RODANTES!W$16:W$72)</f>
        <v>0</v>
      </c>
      <c r="F50" s="13" t="n">
        <f aca="false">SUMIF(RECARGAS!$B$16:$B$37,$A50,RECARGAS!AG$16:AG$37)</f>
        <v>505.427368998169</v>
      </c>
      <c r="G50" s="13" t="n">
        <f aca="false">SUMIF(REVENDIDOS!$B$16:$B$25,$A50,REVENDIDOS!X$16:X$25)</f>
        <v>0</v>
      </c>
      <c r="H50" s="13" t="n">
        <f aca="false">SUMIF(MANUALES!$B$16:$B$72,$A50,MANUALES!N$16:N$72)+SUMIF(RODANTES!$B$16:$B$72,$A50,RODANTES!N$16:N$72)+SUMIF(RECARGAS!$B$16:$B$37,$A50,RECARGAS!X$16:X$37)+SUMIF(REVENDIDOS!$B$16:$B$25,$A50,REVENDIDOS!O$16:O$25)</f>
        <v>7.3950489447671</v>
      </c>
      <c r="I50" s="13" t="n">
        <f aca="false">SUMIF(MANUALES!$B$16:$B$72,$A50,MANUALES!O$16:O$72)+SUMIF(RODANTES!$B$16:$B$72,$A50,RODANTES!O$16:O$72)+SUMIF(RECARGAS!$B$16:$B$37,$A50,RECARGAS!Y$16:Y$37)+SUMIF(REVENDIDOS!$B$16:$B$25,$A50,REVENDIDOS!P$16:P$25)</f>
        <v>50.457592796477</v>
      </c>
      <c r="J50" s="13" t="n">
        <f aca="false">SUMIF(MANUALES!$B$16:$B$72,$A50,MANUALES!P$16:P$72)+SUMIF(RODANTES!$B$16:$B$72,$A50,RODANTES!P$16:P$72)+SUMIF(RECARGAS!$B$16:$B$37,$A50,RECARGAS!Z$16:Z$37)+SUMIF(REVENDIDOS!$B$16:$B$25,$A50,REVENDIDOS!Q$16:Q$25)</f>
        <v>99.5389690638769</v>
      </c>
      <c r="K50" s="13" t="n">
        <f aca="false">SUMIF(MANUALES!$B$16:$B$72,$A50,MANUALES!Q$16:Q$72)+SUMIF(RODANTES!$B$16:$B$72,$A50,RODANTES!Q$16:Q$72)+SUMIF(RECARGAS!$B$16:$B$37,$A50,RECARGAS!AA$16:AA$37)+SUMIF(REVENDIDOS!$B$16:$B$25,$A50,REVENDIDOS!R$16:R$25)</f>
        <v>169.227073120085</v>
      </c>
      <c r="L50" s="13" t="n">
        <f aca="false">SUMIF(MANUALES!$B$16:$B$72,$A50,MANUALES!R$16:R$72)+SUMIF(RODANTES!$B$16:$B$72,$A50,RODANTES!R$16:R$72)+SUMIF(RECARGAS!$B$16:$B$37,$A50,RECARGAS!AB$16:AB$37)+SUMIF(REVENDIDOS!$B$16:$B$25,$A50,REVENDIDOS!S$16:S$25)</f>
        <v>239.349208894033</v>
      </c>
      <c r="M50" s="13" t="n">
        <f aca="false">SUMIF(MANUALES!$B$16:$B$72,$A50,MANUALES!S$16:S$72)+SUMIF(RODANTES!$B$16:$B$72,$A50,RODANTES!S$16:S$72)+SUMIF(RECARGAS!$B$16:$B$37,$A50,RECARGAS!AC$16:AC$37)+SUMIF(REVENDIDOS!$B$16:$B$25,$A50,REVENDIDOS!T$16:T$25)</f>
        <v>308.781358329469</v>
      </c>
      <c r="N50" s="13" t="n">
        <f aca="false">SUMIF(MANUALES!$B$16:$B$72,$A50,MANUALES!T$16:T$72)+SUMIF(RODANTES!$B$16:$B$72,$A50,RODANTES!T$16:T$72)+SUMIF(RECARGAS!$B$16:$B$37,$A50,RECARGAS!AD$16:AD$37)+SUMIF(REVENDIDOS!$B$16:$B$25,$A50,REVENDIDOS!U$16:U$25)</f>
        <v>378.865318939589</v>
      </c>
      <c r="O50" s="13" t="n">
        <f aca="false">SUMIF(MANUALES!$B$16:$B$72,$A50,MANUALES!U$16:U$72)+SUMIF(RODANTES!$B$16:$B$72,$A50,RODANTES!U$16:U$72)+SUMIF(RECARGAS!$B$16:$B$37,$A50,RECARGAS!AE$16:AE$37)+SUMIF(REVENDIDOS!$B$16:$B$25,$A50,REVENDIDOS!V$16:V$25)</f>
        <v>428.442649638979</v>
      </c>
      <c r="P50" s="13" t="n">
        <f aca="false">SUMIF(MANUALES!$B$16:$B$72,$A50,MANUALES!V$16:V$72)+SUMIF(RODANTES!$B$16:$B$72,$A50,RODANTES!V$16:V$72)+SUMIF(RECARGAS!$B$16:$B$37,$A50,RECARGAS!AF$16:AF$37)+SUMIF(REVENDIDOS!$B$16:$B$25,$A50,REVENDIDOS!W$16:W$25)</f>
        <v>466.697791397574</v>
      </c>
      <c r="Q50" s="13" t="n">
        <f aca="false">SUMIF(MANUALES!$B$16:$B$72,$A50,MANUALES!W$16:W$72)+SUMIF(RODANTES!$B$16:$B$72,$A50,RODANTES!W$16:W$72)+SUMIF(RECARGAS!$B$16:$B$37,$A50,RECARGAS!AG$16:AG$37)+SUMIF(REVENDIDOS!$B$16:$B$25,$A50,REVENDIDOS!X$16:X$25)</f>
        <v>505.427368998169</v>
      </c>
      <c r="R50" s="13" t="n">
        <f aca="false">SUMIF(MANUALES!$B$16:$B$72,$A50,MANUALES!X$16:X$72)+SUMIF(RODANTES!$B$16:$B$72,$A50,RODANTES!X$16:X$72)+SUMIF(RECARGAS!$B$16:$B$37,$A50,RECARGAS!AH$16:AH$37)+SUMIF(REVENDIDOS!$B$16:$B$25,$A50,REVENDIDOS!Y$16:Y$25)</f>
        <v>42.1189474165141</v>
      </c>
    </row>
    <row r="51" customFormat="false" ht="15" hidden="false" customHeight="false" outlineLevel="0" collapsed="false">
      <c r="A51" s="3" t="s">
        <v>526</v>
      </c>
      <c r="B51" s="3" t="s">
        <v>527</v>
      </c>
      <c r="C51" s="3" t="s">
        <v>524</v>
      </c>
      <c r="D51" s="13" t="n">
        <f aca="false">SUMIF(MANUALES!$B$16:$B$72,$A51,MANUALES!W$16:W$72)</f>
        <v>0</v>
      </c>
      <c r="E51" s="13" t="n">
        <f aca="false">SUMIF(RODANTES!$B$16:$B$72,$A51,RODANTES!W$16:W$72)</f>
        <v>0</v>
      </c>
      <c r="F51" s="13" t="n">
        <f aca="false">SUMIF(RECARGAS!$B$16:$B$37,$A51,RECARGAS!AG$16:AG$37)</f>
        <v>7383.01305370899</v>
      </c>
      <c r="G51" s="13" t="n">
        <f aca="false">SUMIF(REVENDIDOS!$B$16:$B$25,$A51,REVENDIDOS!X$16:X$25)</f>
        <v>0</v>
      </c>
      <c r="H51" s="13" t="n">
        <f aca="false">SUMIF(MANUALES!$B$16:$B$72,$A51,MANUALES!N$16:N$72)+SUMIF(RODANTES!$B$16:$B$72,$A51,RODANTES!N$16:N$72)+SUMIF(RECARGAS!$B$16:$B$37,$A51,RECARGAS!X$16:X$37)+SUMIF(REVENDIDOS!$B$16:$B$25,$A51,REVENDIDOS!O$16:O$25)</f>
        <v>145.345076765758</v>
      </c>
      <c r="I51" s="13" t="n">
        <f aca="false">SUMIF(MANUALES!$B$16:$B$72,$A51,MANUALES!O$16:O$72)+SUMIF(RODANTES!$B$16:$B$72,$A51,RODANTES!O$16:O$72)+SUMIF(RECARGAS!$B$16:$B$37,$A51,RECARGAS!Y$16:Y$37)+SUMIF(REVENDIDOS!$B$16:$B$25,$A51,REVENDIDOS!P$16:P$25)</f>
        <v>594.836964682322</v>
      </c>
      <c r="J51" s="13" t="n">
        <f aca="false">SUMIF(MANUALES!$B$16:$B$72,$A51,MANUALES!P$16:P$72)+SUMIF(RODANTES!$B$16:$B$72,$A51,RODANTES!P$16:P$72)+SUMIF(RECARGAS!$B$16:$B$37,$A51,RECARGAS!Z$16:Z$37)+SUMIF(REVENDIDOS!$B$16:$B$25,$A51,REVENDIDOS!Q$16:Q$25)</f>
        <v>1324.27621149413</v>
      </c>
      <c r="K51" s="13" t="n">
        <f aca="false">SUMIF(MANUALES!$B$16:$B$72,$A51,MANUALES!Q$16:Q$72)+SUMIF(RODANTES!$B$16:$B$72,$A51,RODANTES!Q$16:Q$72)+SUMIF(RECARGAS!$B$16:$B$37,$A51,RECARGAS!AA$16:AA$37)+SUMIF(REVENDIDOS!$B$16:$B$25,$A51,REVENDIDOS!R$16:R$25)</f>
        <v>2407.92329159814</v>
      </c>
      <c r="L51" s="13" t="n">
        <f aca="false">SUMIF(MANUALES!$B$16:$B$72,$A51,MANUALES!R$16:R$72)+SUMIF(RODANTES!$B$16:$B$72,$A51,RODANTES!R$16:R$72)+SUMIF(RECARGAS!$B$16:$B$37,$A51,RECARGAS!AB$16:AB$37)+SUMIF(REVENDIDOS!$B$16:$B$25,$A51,REVENDIDOS!S$16:S$25)</f>
        <v>3475.6639501563</v>
      </c>
      <c r="M51" s="13" t="n">
        <f aca="false">SUMIF(MANUALES!$B$16:$B$72,$A51,MANUALES!S$16:S$72)+SUMIF(RODANTES!$B$16:$B$72,$A51,RODANTES!S$16:S$72)+SUMIF(RECARGAS!$B$16:$B$37,$A51,RECARGAS!AC$16:AC$37)+SUMIF(REVENDIDOS!$B$16:$B$25,$A51,REVENDIDOS!T$16:T$25)</f>
        <v>4605.0796391451</v>
      </c>
      <c r="N51" s="13" t="n">
        <f aca="false">SUMIF(MANUALES!$B$16:$B$72,$A51,MANUALES!T$16:T$72)+SUMIF(RODANTES!$B$16:$B$72,$A51,RODANTES!T$16:T$72)+SUMIF(RECARGAS!$B$16:$B$37,$A51,RECARGAS!AD$16:AD$37)+SUMIF(REVENDIDOS!$B$16:$B$25,$A51,REVENDIDOS!U$16:U$25)</f>
        <v>5664.92716663034</v>
      </c>
      <c r="O51" s="13" t="n">
        <f aca="false">SUMIF(MANUALES!$B$16:$B$72,$A51,MANUALES!U$16:U$72)+SUMIF(RODANTES!$B$16:$B$72,$A51,RODANTES!U$16:U$72)+SUMIF(RECARGAS!$B$16:$B$37,$A51,RECARGAS!AE$16:AE$37)+SUMIF(REVENDIDOS!$B$16:$B$25,$A51,REVENDIDOS!V$16:V$25)</f>
        <v>6340.1692540895</v>
      </c>
      <c r="P51" s="13" t="n">
        <f aca="false">SUMIF(MANUALES!$B$16:$B$72,$A51,MANUALES!V$16:V$72)+SUMIF(RODANTES!$B$16:$B$72,$A51,RODANTES!V$16:V$72)+SUMIF(RECARGAS!$B$16:$B$37,$A51,RECARGAS!AF$16:AF$37)+SUMIF(REVENDIDOS!$B$16:$B$25,$A51,REVENDIDOS!W$16:W$25)</f>
        <v>6857.55743060786</v>
      </c>
      <c r="Q51" s="13" t="n">
        <f aca="false">SUMIF(MANUALES!$B$16:$B$72,$A51,MANUALES!W$16:W$72)+SUMIF(RODANTES!$B$16:$B$72,$A51,RODANTES!W$16:W$72)+SUMIF(RECARGAS!$B$16:$B$37,$A51,RECARGAS!AG$16:AG$37)+SUMIF(REVENDIDOS!$B$16:$B$25,$A51,REVENDIDOS!X$16:X$25)</f>
        <v>7383.01305370899</v>
      </c>
      <c r="R51" s="13" t="n">
        <f aca="false">SUMIF(MANUALES!$B$16:$B$72,$A51,MANUALES!X$16:X$72)+SUMIF(RODANTES!$B$16:$B$72,$A51,RODANTES!X$16:X$72)+SUMIF(RECARGAS!$B$16:$B$37,$A51,RECARGAS!AH$16:AH$37)+SUMIF(REVENDIDOS!$B$16:$B$25,$A51,REVENDIDOS!Y$16:Y$25)</f>
        <v>615.251087809083</v>
      </c>
    </row>
    <row r="52" customFormat="false" ht="15" hidden="false" customHeight="false" outlineLevel="0" collapsed="false">
      <c r="A52" s="3" t="s">
        <v>238</v>
      </c>
      <c r="B52" s="3" t="s">
        <v>239</v>
      </c>
      <c r="C52" s="3" t="s">
        <v>214</v>
      </c>
      <c r="D52" s="13" t="n">
        <f aca="false">SUMIF(MANUALES!$B$16:$B$72,$A52,MANUALES!W$16:W$72)</f>
        <v>32072.63913</v>
      </c>
      <c r="E52" s="13" t="n">
        <f aca="false">SUMIF(RODANTES!$B$16:$B$72,$A52,RODANTES!W$16:W$72)</f>
        <v>0</v>
      </c>
      <c r="F52" s="13" t="n">
        <f aca="false">SUMIF(RECARGAS!$B$16:$B$37,$A52,RECARGAS!AG$16:AG$37)</f>
        <v>0</v>
      </c>
      <c r="G52" s="13" t="n">
        <f aca="false">SUMIF(REVENDIDOS!$B$16:$B$25,$A52,REVENDIDOS!X$16:X$25)</f>
        <v>0</v>
      </c>
      <c r="H52" s="13" t="n">
        <f aca="false">SUMIF(MANUALES!$B$16:$B$72,$A52,MANUALES!N$16:N$72)+SUMIF(RODANTES!$B$16:$B$72,$A52,RODANTES!N$16:N$72)+SUMIF(RECARGAS!$B$16:$B$37,$A52,RECARGAS!X$16:X$37)+SUMIF(REVENDIDOS!$B$16:$B$25,$A52,REVENDIDOS!O$16:O$25)</f>
        <v>4178.736543</v>
      </c>
      <c r="I52" s="13" t="n">
        <f aca="false">SUMIF(MANUALES!$B$16:$B$72,$A52,MANUALES!O$16:O$72)+SUMIF(RODANTES!$B$16:$B$72,$A52,RODANTES!O$16:O$72)+SUMIF(RECARGAS!$B$16:$B$37,$A52,RECARGAS!Y$16:Y$37)+SUMIF(REVENDIDOS!$B$16:$B$25,$A52,REVENDIDOS!P$16:P$25)</f>
        <v>5997.303977</v>
      </c>
      <c r="J52" s="13" t="n">
        <f aca="false">SUMIF(MANUALES!$B$16:$B$72,$A52,MANUALES!P$16:P$72)+SUMIF(RODANTES!$B$16:$B$72,$A52,RODANTES!P$16:P$72)+SUMIF(RECARGAS!$B$16:$B$37,$A52,RECARGAS!Z$16:Z$37)+SUMIF(REVENDIDOS!$B$16:$B$25,$A52,REVENDIDOS!Q$16:Q$25)</f>
        <v>6851.747758</v>
      </c>
      <c r="K52" s="13" t="n">
        <f aca="false">SUMIF(MANUALES!$B$16:$B$72,$A52,MANUALES!Q$16:Q$72)+SUMIF(RODANTES!$B$16:$B$72,$A52,RODANTES!Q$16:Q$72)+SUMIF(RECARGAS!$B$16:$B$37,$A52,RECARGAS!AA$16:AA$37)+SUMIF(REVENDIDOS!$B$16:$B$25,$A52,REVENDIDOS!R$16:R$25)</f>
        <v>8467.135549</v>
      </c>
      <c r="L52" s="13" t="n">
        <f aca="false">SUMIF(MANUALES!$B$16:$B$72,$A52,MANUALES!R$16:R$72)+SUMIF(RODANTES!$B$16:$B$72,$A52,RODANTES!R$16:R$72)+SUMIF(RECARGAS!$B$16:$B$37,$A52,RECARGAS!AB$16:AB$37)+SUMIF(REVENDIDOS!$B$16:$B$25,$A52,REVENDIDOS!S$16:S$25)</f>
        <v>12680.63271</v>
      </c>
      <c r="M52" s="13" t="n">
        <f aca="false">SUMIF(MANUALES!$B$16:$B$72,$A52,MANUALES!S$16:S$72)+SUMIF(RODANTES!$B$16:$B$72,$A52,RODANTES!S$16:S$72)+SUMIF(RECARGAS!$B$16:$B$37,$A52,RECARGAS!AC$16:AC$37)+SUMIF(REVENDIDOS!$B$16:$B$25,$A52,REVENDIDOS!T$16:T$25)</f>
        <v>15620.25307</v>
      </c>
      <c r="N52" s="13" t="n">
        <f aca="false">SUMIF(MANUALES!$B$16:$B$72,$A52,MANUALES!T$16:T$72)+SUMIF(RODANTES!$B$16:$B$72,$A52,RODANTES!T$16:T$72)+SUMIF(RECARGAS!$B$16:$B$37,$A52,RECARGAS!AD$16:AD$37)+SUMIF(REVENDIDOS!$B$16:$B$25,$A52,REVENDIDOS!U$16:U$25)</f>
        <v>20332.55326</v>
      </c>
      <c r="O52" s="13" t="n">
        <f aca="false">SUMIF(MANUALES!$B$16:$B$72,$A52,MANUALES!U$16:U$72)+SUMIF(RODANTES!$B$16:$B$72,$A52,RODANTES!U$16:U$72)+SUMIF(RECARGAS!$B$16:$B$37,$A52,RECARGAS!AE$16:AE$37)+SUMIF(REVENDIDOS!$B$16:$B$25,$A52,REVENDIDOS!V$16:V$25)</f>
        <v>25132.07848</v>
      </c>
      <c r="P52" s="13" t="n">
        <f aca="false">SUMIF(MANUALES!$B$16:$B$72,$A52,MANUALES!V$16:V$72)+SUMIF(RODANTES!$B$16:$B$72,$A52,RODANTES!V$16:V$72)+SUMIF(RECARGAS!$B$16:$B$37,$A52,RECARGAS!AF$16:AF$37)+SUMIF(REVENDIDOS!$B$16:$B$25,$A52,REVENDIDOS!W$16:W$25)</f>
        <v>28573.33614</v>
      </c>
      <c r="Q52" s="13" t="n">
        <f aca="false">SUMIF(MANUALES!$B$16:$B$72,$A52,MANUALES!W$16:W$72)+SUMIF(RODANTES!$B$16:$B$72,$A52,RODANTES!W$16:W$72)+SUMIF(RECARGAS!$B$16:$B$37,$A52,RECARGAS!AG$16:AG$37)+SUMIF(REVENDIDOS!$B$16:$B$25,$A52,REVENDIDOS!X$16:X$25)</f>
        <v>32072.63913</v>
      </c>
      <c r="R52" s="13" t="n">
        <f aca="false">SUMIF(MANUALES!$B$16:$B$72,$A52,MANUALES!X$16:X$72)+SUMIF(RODANTES!$B$16:$B$72,$A52,RODANTES!X$16:X$72)+SUMIF(RECARGAS!$B$16:$B$37,$A52,RECARGAS!AH$16:AH$37)+SUMIF(REVENDIDOS!$B$16:$B$25,$A52,REVENDIDOS!Y$16:Y$25)</f>
        <v>3848.7166956</v>
      </c>
    </row>
    <row r="53" customFormat="false" ht="15" hidden="false" customHeight="false" outlineLevel="0" collapsed="false">
      <c r="A53" s="3" t="s">
        <v>241</v>
      </c>
      <c r="B53" s="3" t="s">
        <v>242</v>
      </c>
      <c r="C53" s="3" t="s">
        <v>214</v>
      </c>
      <c r="D53" s="13" t="n">
        <f aca="false">SUMIF(MANUALES!$B$16:$B$72,$A53,MANUALES!W$16:W$72)</f>
        <v>41696.5061034506</v>
      </c>
      <c r="E53" s="13" t="n">
        <f aca="false">SUMIF(RODANTES!$B$16:$B$72,$A53,RODANTES!W$16:W$72)</f>
        <v>0</v>
      </c>
      <c r="F53" s="13" t="n">
        <f aca="false">SUMIF(RECARGAS!$B$16:$B$37,$A53,RECARGAS!AG$16:AG$37)</f>
        <v>0</v>
      </c>
      <c r="G53" s="13" t="n">
        <f aca="false">SUMIF(REVENDIDOS!$B$16:$B$25,$A53,REVENDIDOS!X$16:X$25)</f>
        <v>0</v>
      </c>
      <c r="H53" s="13" t="n">
        <f aca="false">SUMIF(MANUALES!$B$16:$B$72,$A53,MANUALES!N$16:N$72)+SUMIF(RODANTES!$B$16:$B$72,$A53,RODANTES!N$16:N$72)+SUMIF(RECARGAS!$B$16:$B$37,$A53,RECARGAS!X$16:X$37)+SUMIF(REVENDIDOS!$B$16:$B$25,$A53,REVENDIDOS!O$16:O$25)</f>
        <v>3115.3426804398</v>
      </c>
      <c r="I53" s="13" t="n">
        <f aca="false">SUMIF(MANUALES!$B$16:$B$72,$A53,MANUALES!O$16:O$72)+SUMIF(RODANTES!$B$16:$B$72,$A53,RODANTES!O$16:O$72)+SUMIF(RECARGAS!$B$16:$B$37,$A53,RECARGAS!Y$16:Y$37)+SUMIF(REVENDIDOS!$B$16:$B$25,$A53,REVENDIDOS!P$16:P$25)</f>
        <v>6376.77751705974</v>
      </c>
      <c r="J53" s="13" t="n">
        <f aca="false">SUMIF(MANUALES!$B$16:$B$72,$A53,MANUALES!P$16:P$72)+SUMIF(RODANTES!$B$16:$B$72,$A53,RODANTES!P$16:P$72)+SUMIF(RECARGAS!$B$16:$B$37,$A53,RECARGAS!Z$16:Z$37)+SUMIF(REVENDIDOS!$B$16:$B$25,$A53,REVENDIDOS!Q$16:Q$25)</f>
        <v>8448.51878563248</v>
      </c>
      <c r="K53" s="13" t="n">
        <f aca="false">SUMIF(MANUALES!$B$16:$B$72,$A53,MANUALES!Q$16:Q$72)+SUMIF(RODANTES!$B$16:$B$72,$A53,RODANTES!Q$16:Q$72)+SUMIF(RECARGAS!$B$16:$B$37,$A53,RECARGAS!AA$16:AA$37)+SUMIF(REVENDIDOS!$B$16:$B$25,$A53,REVENDIDOS!R$16:R$25)</f>
        <v>12282.616997272</v>
      </c>
      <c r="L53" s="13" t="n">
        <f aca="false">SUMIF(MANUALES!$B$16:$B$72,$A53,MANUALES!R$16:R$72)+SUMIF(RODANTES!$B$16:$B$72,$A53,RODANTES!R$16:R$72)+SUMIF(RECARGAS!$B$16:$B$37,$A53,RECARGAS!AB$16:AB$37)+SUMIF(REVENDIDOS!$B$16:$B$25,$A53,REVENDIDOS!S$16:S$25)</f>
        <v>17413.3238555608</v>
      </c>
      <c r="M53" s="13" t="n">
        <f aca="false">SUMIF(MANUALES!$B$16:$B$72,$A53,MANUALES!S$16:S$72)+SUMIF(RODANTES!$B$16:$B$72,$A53,RODANTES!S$16:S$72)+SUMIF(RECARGAS!$B$16:$B$37,$A53,RECARGAS!AC$16:AC$37)+SUMIF(REVENDIDOS!$B$16:$B$25,$A53,REVENDIDOS!T$16:T$25)</f>
        <v>22866.1475999667</v>
      </c>
      <c r="N53" s="13" t="n">
        <f aca="false">SUMIF(MANUALES!$B$16:$B$72,$A53,MANUALES!T$16:T$72)+SUMIF(RODANTES!$B$16:$B$72,$A53,RODANTES!T$16:T$72)+SUMIF(RECARGAS!$B$16:$B$37,$A53,RECARGAS!AD$16:AD$37)+SUMIF(REVENDIDOS!$B$16:$B$25,$A53,REVENDIDOS!U$16:U$25)</f>
        <v>27867.152720669</v>
      </c>
      <c r="O53" s="13" t="n">
        <f aca="false">SUMIF(MANUALES!$B$16:$B$72,$A53,MANUALES!U$16:U$72)+SUMIF(RODANTES!$B$16:$B$72,$A53,RODANTES!U$16:U$72)+SUMIF(RECARGAS!$B$16:$B$37,$A53,RECARGAS!AE$16:AE$37)+SUMIF(REVENDIDOS!$B$16:$B$25,$A53,REVENDIDOS!V$16:V$25)</f>
        <v>32504.2626540764</v>
      </c>
      <c r="P53" s="13" t="n">
        <f aca="false">SUMIF(MANUALES!$B$16:$B$72,$A53,MANUALES!V$16:V$72)+SUMIF(RODANTES!$B$16:$B$72,$A53,RODANTES!V$16:V$72)+SUMIF(RECARGAS!$B$16:$B$37,$A53,RECARGAS!AF$16:AF$37)+SUMIF(REVENDIDOS!$B$16:$B$25,$A53,REVENDIDOS!W$16:W$25)</f>
        <v>36423.180751095</v>
      </c>
      <c r="Q53" s="13" t="n">
        <f aca="false">SUMIF(MANUALES!$B$16:$B$72,$A53,MANUALES!W$16:W$72)+SUMIF(RODANTES!$B$16:$B$72,$A53,RODANTES!W$16:W$72)+SUMIF(RECARGAS!$B$16:$B$37,$A53,RECARGAS!AG$16:AG$37)+SUMIF(REVENDIDOS!$B$16:$B$25,$A53,REVENDIDOS!X$16:X$25)</f>
        <v>41696.5061034506</v>
      </c>
      <c r="R53" s="13" t="n">
        <f aca="false">SUMIF(MANUALES!$B$16:$B$72,$A53,MANUALES!X$16:X$72)+SUMIF(RODANTES!$B$16:$B$72,$A53,RODANTES!X$16:X$72)+SUMIF(RECARGAS!$B$16:$B$37,$A53,RECARGAS!AH$16:AH$37)+SUMIF(REVENDIDOS!$B$16:$B$25,$A53,REVENDIDOS!Y$16:Y$25)</f>
        <v>4586.61567137957</v>
      </c>
    </row>
    <row r="54" customFormat="false" ht="15" hidden="false" customHeight="false" outlineLevel="0" collapsed="false">
      <c r="A54" s="3" t="s">
        <v>446</v>
      </c>
      <c r="B54" s="3" t="s">
        <v>447</v>
      </c>
      <c r="C54" s="3" t="s">
        <v>214</v>
      </c>
      <c r="D54" s="13" t="n">
        <f aca="false">SUMIF(MANUALES!$B$16:$B$72,$A54,MANUALES!W$16:W$72)</f>
        <v>0</v>
      </c>
      <c r="E54" s="13" t="n">
        <f aca="false">SUMIF(RODANTES!$B$16:$B$72,$A54,RODANTES!W$16:W$72)</f>
        <v>453.2705332</v>
      </c>
      <c r="F54" s="13" t="n">
        <f aca="false">SUMIF(RECARGAS!$B$16:$B$37,$A54,RECARGAS!AG$16:AG$37)</f>
        <v>0</v>
      </c>
      <c r="G54" s="13" t="n">
        <f aca="false">SUMIF(REVENDIDOS!$B$16:$B$25,$A54,REVENDIDOS!X$16:X$25)</f>
        <v>0</v>
      </c>
      <c r="H54" s="13" t="n">
        <f aca="false">SUMIF(MANUALES!$B$16:$B$72,$A54,MANUALES!N$16:N$72)+SUMIF(RODANTES!$B$16:$B$72,$A54,RODANTES!N$16:N$72)+SUMIF(RECARGAS!$B$16:$B$37,$A54,RECARGAS!X$16:X$37)+SUMIF(REVENDIDOS!$B$16:$B$25,$A54,REVENDIDOS!O$16:O$25)</f>
        <v>34.05179136</v>
      </c>
      <c r="I54" s="13" t="n">
        <f aca="false">SUMIF(MANUALES!$B$16:$B$72,$A54,MANUALES!O$16:O$72)+SUMIF(RODANTES!$B$16:$B$72,$A54,RODANTES!O$16:O$72)+SUMIF(RECARGAS!$B$16:$B$37,$A54,RECARGAS!Y$16:Y$37)+SUMIF(REVENDIDOS!$B$16:$B$25,$A54,REVENDIDOS!P$16:P$25)</f>
        <v>58.46214745</v>
      </c>
      <c r="J54" s="13" t="n">
        <f aca="false">SUMIF(MANUALES!$B$16:$B$72,$A54,MANUALES!P$16:P$72)+SUMIF(RODANTES!$B$16:$B$72,$A54,RODANTES!P$16:P$72)+SUMIF(RECARGAS!$B$16:$B$37,$A54,RECARGAS!Z$16:Z$37)+SUMIF(REVENDIDOS!$B$16:$B$25,$A54,REVENDIDOS!Q$16:Q$25)</f>
        <v>75.20853998</v>
      </c>
      <c r="K54" s="13" t="n">
        <f aca="false">SUMIF(MANUALES!$B$16:$B$72,$A54,MANUALES!Q$16:Q$72)+SUMIF(RODANTES!$B$16:$B$72,$A54,RODANTES!Q$16:Q$72)+SUMIF(RECARGAS!$B$16:$B$37,$A54,RECARGAS!AA$16:AA$37)+SUMIF(REVENDIDOS!$B$16:$B$25,$A54,REVENDIDOS!R$16:R$25)</f>
        <v>100.5298529</v>
      </c>
      <c r="L54" s="13" t="n">
        <f aca="false">SUMIF(MANUALES!$B$16:$B$72,$A54,MANUALES!R$16:R$72)+SUMIF(RODANTES!$B$16:$B$72,$A54,RODANTES!R$16:R$72)+SUMIF(RECARGAS!$B$16:$B$37,$A54,RECARGAS!AB$16:AB$37)+SUMIF(REVENDIDOS!$B$16:$B$25,$A54,REVENDIDOS!S$16:S$25)</f>
        <v>155.8760035</v>
      </c>
      <c r="M54" s="13" t="n">
        <f aca="false">SUMIF(MANUALES!$B$16:$B$72,$A54,MANUALES!S$16:S$72)+SUMIF(RODANTES!$B$16:$B$72,$A54,RODANTES!S$16:S$72)+SUMIF(RECARGAS!$B$16:$B$37,$A54,RECARGAS!AC$16:AC$37)+SUMIF(REVENDIDOS!$B$16:$B$25,$A54,REVENDIDOS!T$16:T$25)</f>
        <v>211.9344827</v>
      </c>
      <c r="N54" s="13" t="n">
        <f aca="false">SUMIF(MANUALES!$B$16:$B$72,$A54,MANUALES!T$16:T$72)+SUMIF(RODANTES!$B$16:$B$72,$A54,RODANTES!T$16:T$72)+SUMIF(RECARGAS!$B$16:$B$37,$A54,RECARGAS!AD$16:AD$37)+SUMIF(REVENDIDOS!$B$16:$B$25,$A54,REVENDIDOS!U$16:U$25)</f>
        <v>272.6682332</v>
      </c>
      <c r="O54" s="13" t="n">
        <f aca="false">SUMIF(MANUALES!$B$16:$B$72,$A54,MANUALES!U$16:U$72)+SUMIF(RODANTES!$B$16:$B$72,$A54,RODANTES!U$16:U$72)+SUMIF(RECARGAS!$B$16:$B$37,$A54,RECARGAS!AE$16:AE$37)+SUMIF(REVENDIDOS!$B$16:$B$25,$A54,REVENDIDOS!V$16:V$25)</f>
        <v>337.8486707</v>
      </c>
      <c r="P54" s="13" t="n">
        <f aca="false">SUMIF(MANUALES!$B$16:$B$72,$A54,MANUALES!V$16:V$72)+SUMIF(RODANTES!$B$16:$B$72,$A54,RODANTES!V$16:V$72)+SUMIF(RECARGAS!$B$16:$B$37,$A54,RECARGAS!AF$16:AF$37)+SUMIF(REVENDIDOS!$B$16:$B$25,$A54,REVENDIDOS!W$16:W$25)</f>
        <v>393.6274156</v>
      </c>
      <c r="Q54" s="13" t="n">
        <f aca="false">SUMIF(MANUALES!$B$16:$B$72,$A54,MANUALES!W$16:W$72)+SUMIF(RODANTES!$B$16:$B$72,$A54,RODANTES!W$16:W$72)+SUMIF(RECARGAS!$B$16:$B$37,$A54,RECARGAS!AG$16:AG$37)+SUMIF(REVENDIDOS!$B$16:$B$25,$A54,REVENDIDOS!X$16:X$25)</f>
        <v>453.2705332</v>
      </c>
      <c r="R54" s="13" t="n">
        <f aca="false">SUMIF(MANUALES!$B$16:$B$72,$A54,MANUALES!X$16:X$72)+SUMIF(RODANTES!$B$16:$B$72,$A54,RODANTES!X$16:X$72)+SUMIF(RECARGAS!$B$16:$B$37,$A54,RECARGAS!AH$16:AH$37)+SUMIF(REVENDIDOS!$B$16:$B$25,$A54,REVENDIDOS!Y$16:Y$25)</f>
        <v>40.794347988</v>
      </c>
    </row>
    <row r="55" customFormat="false" ht="15" hidden="false" customHeight="false" outlineLevel="0" collapsed="false">
      <c r="A55" s="3" t="s">
        <v>449</v>
      </c>
      <c r="B55" s="3" t="s">
        <v>450</v>
      </c>
      <c r="C55" s="3" t="s">
        <v>214</v>
      </c>
      <c r="D55" s="13" t="n">
        <f aca="false">SUMIF(MANUALES!$B$16:$B$72,$A55,MANUALES!W$16:W$72)</f>
        <v>0</v>
      </c>
      <c r="E55" s="13" t="n">
        <f aca="false">SUMIF(RODANTES!$B$16:$B$72,$A55,RODANTES!W$16:W$72)</f>
        <v>1361.00591330532</v>
      </c>
      <c r="F55" s="13" t="n">
        <f aca="false">SUMIF(RECARGAS!$B$16:$B$37,$A55,RECARGAS!AG$16:AG$37)</f>
        <v>0</v>
      </c>
      <c r="G55" s="13" t="n">
        <f aca="false">SUMIF(REVENDIDOS!$B$16:$B$25,$A55,REVENDIDOS!X$16:X$25)</f>
        <v>0</v>
      </c>
      <c r="H55" s="13" t="n">
        <f aca="false">SUMIF(MANUALES!$B$16:$B$72,$A55,MANUALES!N$16:N$72)+SUMIF(RODANTES!$B$16:$B$72,$A55,RODANTES!N$16:N$72)+SUMIF(RECARGAS!$B$16:$B$37,$A55,RECARGAS!X$16:X$37)+SUMIF(REVENDIDOS!$B$16:$B$25,$A55,REVENDIDOS!O$16:O$25)</f>
        <v>102.73094691184</v>
      </c>
      <c r="I55" s="13" t="n">
        <f aca="false">SUMIF(MANUALES!$B$16:$B$72,$A55,MANUALES!O$16:O$72)+SUMIF(RODANTES!$B$16:$B$72,$A55,RODANTES!O$16:O$72)+SUMIF(RECARGAS!$B$16:$B$37,$A55,RECARGAS!Y$16:Y$37)+SUMIF(REVENDIDOS!$B$16:$B$25,$A55,REVENDIDOS!P$16:P$25)</f>
        <v>175.990793832932</v>
      </c>
      <c r="J55" s="13" t="n">
        <f aca="false">SUMIF(MANUALES!$B$16:$B$72,$A55,MANUALES!P$16:P$72)+SUMIF(RODANTES!$B$16:$B$72,$A55,RODANTES!P$16:P$72)+SUMIF(RECARGAS!$B$16:$B$37,$A55,RECARGAS!Z$16:Z$37)+SUMIF(REVENDIDOS!$B$16:$B$25,$A55,REVENDIDOS!Q$16:Q$25)</f>
        <v>227.122109316784</v>
      </c>
      <c r="K55" s="13" t="n">
        <f aca="false">SUMIF(MANUALES!$B$16:$B$72,$A55,MANUALES!Q$16:Q$72)+SUMIF(RODANTES!$B$16:$B$72,$A55,RODANTES!Q$16:Q$72)+SUMIF(RECARGAS!$B$16:$B$37,$A55,RECARGAS!AA$16:AA$37)+SUMIF(REVENDIDOS!$B$16:$B$25,$A55,REVENDIDOS!R$16:R$25)</f>
        <v>303.445781200434</v>
      </c>
      <c r="L55" s="13" t="n">
        <f aca="false">SUMIF(MANUALES!$B$16:$B$72,$A55,MANUALES!R$16:R$72)+SUMIF(RODANTES!$B$16:$B$72,$A55,RODANTES!R$16:R$72)+SUMIF(RECARGAS!$B$16:$B$37,$A55,RECARGAS!AB$16:AB$37)+SUMIF(REVENDIDOS!$B$16:$B$25,$A55,REVENDIDOS!S$16:S$25)</f>
        <v>469.85835517463</v>
      </c>
      <c r="M55" s="13" t="n">
        <f aca="false">SUMIF(MANUALES!$B$16:$B$72,$A55,MANUALES!S$16:S$72)+SUMIF(RODANTES!$B$16:$B$72,$A55,RODANTES!S$16:S$72)+SUMIF(RECARGAS!$B$16:$B$37,$A55,RECARGAS!AC$16:AC$37)+SUMIF(REVENDIDOS!$B$16:$B$25,$A55,REVENDIDOS!T$16:T$25)</f>
        <v>638.134518098452</v>
      </c>
      <c r="N55" s="13" t="n">
        <f aca="false">SUMIF(MANUALES!$B$16:$B$72,$A55,MANUALES!T$16:T$72)+SUMIF(RODANTES!$B$16:$B$72,$A55,RODANTES!T$16:T$72)+SUMIF(RECARGAS!$B$16:$B$37,$A55,RECARGAS!AD$16:AD$37)+SUMIF(REVENDIDOS!$B$16:$B$25,$A55,REVENDIDOS!U$16:U$25)</f>
        <v>820.148708171354</v>
      </c>
      <c r="O55" s="13" t="n">
        <f aca="false">SUMIF(MANUALES!$B$16:$B$72,$A55,MANUALES!U$16:U$72)+SUMIF(RODANTES!$B$16:$B$72,$A55,RODANTES!U$16:U$72)+SUMIF(RECARGAS!$B$16:$B$37,$A55,RECARGAS!AE$16:AE$37)+SUMIF(REVENDIDOS!$B$16:$B$25,$A55,REVENDIDOS!V$16:V$25)</f>
        <v>1015.20078396279</v>
      </c>
      <c r="P55" s="13" t="n">
        <f aca="false">SUMIF(MANUALES!$B$16:$B$72,$A55,MANUALES!V$16:V$72)+SUMIF(RODANTES!$B$16:$B$72,$A55,RODANTES!V$16:V$72)+SUMIF(RECARGAS!$B$16:$B$37,$A55,RECARGAS!AF$16:AF$37)+SUMIF(REVENDIDOS!$B$16:$B$25,$A55,REVENDIDOS!W$16:W$25)</f>
        <v>1182.59457594497</v>
      </c>
      <c r="Q55" s="13" t="n">
        <f aca="false">SUMIF(MANUALES!$B$16:$B$72,$A55,MANUALES!W$16:W$72)+SUMIF(RODANTES!$B$16:$B$72,$A55,RODANTES!W$16:W$72)+SUMIF(RECARGAS!$B$16:$B$37,$A55,RECARGAS!AG$16:AG$37)+SUMIF(REVENDIDOS!$B$16:$B$25,$A55,REVENDIDOS!X$16:X$25)</f>
        <v>1361.00591330532</v>
      </c>
      <c r="R55" s="13" t="n">
        <f aca="false">SUMIF(MANUALES!$B$16:$B$72,$A55,MANUALES!X$16:X$72)+SUMIF(RODANTES!$B$16:$B$72,$A55,RODANTES!X$16:X$72)+SUMIF(RECARGAS!$B$16:$B$37,$A55,RECARGAS!AH$16:AH$37)+SUMIF(REVENDIDOS!$B$16:$B$25,$A55,REVENDIDOS!Y$16:Y$25)</f>
        <v>122.490532197479</v>
      </c>
    </row>
    <row r="56" customFormat="false" ht="15" hidden="false" customHeight="false" outlineLevel="0" collapsed="false">
      <c r="A56" s="3" t="s">
        <v>244</v>
      </c>
      <c r="B56" s="3" t="s">
        <v>245</v>
      </c>
      <c r="C56" s="3" t="s">
        <v>214</v>
      </c>
      <c r="D56" s="13" t="n">
        <f aca="false">SUMIF(MANUALES!$B$16:$B$72,$A56,MANUALES!W$16:W$72)</f>
        <v>73769.1452334506</v>
      </c>
      <c r="E56" s="13" t="n">
        <f aca="false">SUMIF(RODANTES!$B$16:$B$72,$A56,RODANTES!W$16:W$72)</f>
        <v>1814.27644650532</v>
      </c>
      <c r="F56" s="13" t="n">
        <f aca="false">SUMIF(RECARGAS!$B$16:$B$37,$A56,RECARGAS!AG$16:AG$37)</f>
        <v>0</v>
      </c>
      <c r="G56" s="13" t="n">
        <f aca="false">SUMIF(REVENDIDOS!$B$16:$B$25,$A56,REVENDIDOS!X$16:X$25)</f>
        <v>0</v>
      </c>
      <c r="H56" s="13" t="n">
        <f aca="false">SUMIF(MANUALES!$B$16:$B$72,$A56,MANUALES!N$16:N$72)+SUMIF(RODANTES!$B$16:$B$72,$A56,RODANTES!N$16:N$72)+SUMIF(RECARGAS!$B$16:$B$37,$A56,RECARGAS!X$16:X$37)+SUMIF(REVENDIDOS!$B$16:$B$25,$A56,REVENDIDOS!O$16:O$25)</f>
        <v>7430.86196171164</v>
      </c>
      <c r="I56" s="13" t="n">
        <f aca="false">SUMIF(MANUALES!$B$16:$B$72,$A56,MANUALES!O$16:O$72)+SUMIF(RODANTES!$B$16:$B$72,$A56,RODANTES!O$16:O$72)+SUMIF(RECARGAS!$B$16:$B$37,$A56,RECARGAS!Y$16:Y$37)+SUMIF(REVENDIDOS!$B$16:$B$25,$A56,REVENDIDOS!P$16:P$25)</f>
        <v>12608.5344353427</v>
      </c>
      <c r="J56" s="13" t="n">
        <f aca="false">SUMIF(MANUALES!$B$16:$B$72,$A56,MANUALES!P$16:P$72)+SUMIF(RODANTES!$B$16:$B$72,$A56,RODANTES!P$16:P$72)+SUMIF(RECARGAS!$B$16:$B$37,$A56,RECARGAS!Z$16:Z$37)+SUMIF(REVENDIDOS!$B$16:$B$25,$A56,REVENDIDOS!Q$16:Q$25)</f>
        <v>15602.5971929293</v>
      </c>
      <c r="K56" s="13" t="n">
        <f aca="false">SUMIF(MANUALES!$B$16:$B$72,$A56,MANUALES!Q$16:Q$72)+SUMIF(RODANTES!$B$16:$B$72,$A56,RODANTES!Q$16:Q$72)+SUMIF(RECARGAS!$B$16:$B$37,$A56,RECARGAS!AA$16:AA$37)+SUMIF(REVENDIDOS!$B$16:$B$25,$A56,REVENDIDOS!R$16:R$25)</f>
        <v>21153.7281803724</v>
      </c>
      <c r="L56" s="13" t="n">
        <f aca="false">SUMIF(MANUALES!$B$16:$B$72,$A56,MANUALES!R$16:R$72)+SUMIF(RODANTES!$B$16:$B$72,$A56,RODANTES!R$16:R$72)+SUMIF(RECARGAS!$B$16:$B$37,$A56,RECARGAS!AB$16:AB$37)+SUMIF(REVENDIDOS!$B$16:$B$25,$A56,REVENDIDOS!S$16:S$25)</f>
        <v>30719.6909242354</v>
      </c>
      <c r="M56" s="13" t="n">
        <f aca="false">SUMIF(MANUALES!$B$16:$B$72,$A56,MANUALES!S$16:S$72)+SUMIF(RODANTES!$B$16:$B$72,$A56,RODANTES!S$16:S$72)+SUMIF(RECARGAS!$B$16:$B$37,$A56,RECARGAS!AC$16:AC$37)+SUMIF(REVENDIDOS!$B$16:$B$25,$A56,REVENDIDOS!T$16:T$25)</f>
        <v>39336.4696707652</v>
      </c>
      <c r="N56" s="13" t="n">
        <f aca="false">SUMIF(MANUALES!$B$16:$B$72,$A56,MANUALES!T$16:T$72)+SUMIF(RODANTES!$B$16:$B$72,$A56,RODANTES!T$16:T$72)+SUMIF(RECARGAS!$B$16:$B$37,$A56,RECARGAS!AD$16:AD$37)+SUMIF(REVENDIDOS!$B$16:$B$25,$A56,REVENDIDOS!U$16:U$25)</f>
        <v>49292.5229220404</v>
      </c>
      <c r="O56" s="13" t="n">
        <f aca="false">SUMIF(MANUALES!$B$16:$B$72,$A56,MANUALES!U$16:U$72)+SUMIF(RODANTES!$B$16:$B$72,$A56,RODANTES!U$16:U$72)+SUMIF(RECARGAS!$B$16:$B$37,$A56,RECARGAS!AE$16:AE$37)+SUMIF(REVENDIDOS!$B$16:$B$25,$A56,REVENDIDOS!V$16:V$25)</f>
        <v>58989.3905887392</v>
      </c>
      <c r="P56" s="13" t="n">
        <f aca="false">SUMIF(MANUALES!$B$16:$B$72,$A56,MANUALES!V$16:V$72)+SUMIF(RODANTES!$B$16:$B$72,$A56,RODANTES!V$16:V$72)+SUMIF(RECARGAS!$B$16:$B$37,$A56,RECARGAS!AF$16:AF$37)+SUMIF(REVENDIDOS!$B$16:$B$25,$A56,REVENDIDOS!W$16:W$25)</f>
        <v>66572.73888264</v>
      </c>
      <c r="Q56" s="13" t="n">
        <f aca="false">SUMIF(MANUALES!$B$16:$B$72,$A56,MANUALES!W$16:W$72)+SUMIF(RODANTES!$B$16:$B$72,$A56,RODANTES!W$16:W$72)+SUMIF(RECARGAS!$B$16:$B$37,$A56,RECARGAS!AG$16:AG$37)+SUMIF(REVENDIDOS!$B$16:$B$25,$A56,REVENDIDOS!X$16:X$25)</f>
        <v>75583.421679956</v>
      </c>
      <c r="R56" s="13" t="n">
        <f aca="false">SUMIF(MANUALES!$B$16:$B$72,$A56,MANUALES!X$16:X$72)+SUMIF(RODANTES!$B$16:$B$72,$A56,RODANTES!X$16:X$72)+SUMIF(RECARGAS!$B$16:$B$37,$A56,RECARGAS!AH$16:AH$37)+SUMIF(REVENDIDOS!$B$16:$B$25,$A56,REVENDIDOS!Y$16:Y$25)</f>
        <v>8598.61724716505</v>
      </c>
    </row>
    <row r="57" customFormat="false" ht="15" hidden="false" customHeight="false" outlineLevel="0" collapsed="false">
      <c r="A57" s="3" t="s">
        <v>247</v>
      </c>
      <c r="B57" s="3" t="s">
        <v>248</v>
      </c>
      <c r="C57" s="3" t="s">
        <v>214</v>
      </c>
      <c r="D57" s="13" t="n">
        <f aca="false">SUMIF(MANUALES!$B$16:$B$72,$A57,MANUALES!W$16:W$72)</f>
        <v>7424.858444</v>
      </c>
      <c r="E57" s="13" t="n">
        <f aca="false">SUMIF(RODANTES!$B$16:$B$72,$A57,RODANTES!W$16:W$72)</f>
        <v>0</v>
      </c>
      <c r="F57" s="13" t="n">
        <f aca="false">SUMIF(RECARGAS!$B$16:$B$37,$A57,RECARGAS!AG$16:AG$37)</f>
        <v>0</v>
      </c>
      <c r="G57" s="13" t="n">
        <f aca="false">SUMIF(REVENDIDOS!$B$16:$B$25,$A57,REVENDIDOS!X$16:X$25)</f>
        <v>0</v>
      </c>
      <c r="H57" s="13" t="n">
        <f aca="false">SUMIF(MANUALES!$B$16:$B$72,$A57,MANUALES!N$16:N$72)+SUMIF(RODANTES!$B$16:$B$72,$A57,RODANTES!N$16:N$72)+SUMIF(RECARGAS!$B$16:$B$37,$A57,RECARGAS!X$16:X$37)+SUMIF(REVENDIDOS!$B$16:$B$25,$A57,REVENDIDOS!O$16:O$25)</f>
        <v>295.0303572</v>
      </c>
      <c r="I57" s="13" t="n">
        <f aca="false">SUMIF(MANUALES!$B$16:$B$72,$A57,MANUALES!O$16:O$72)+SUMIF(RODANTES!$B$16:$B$72,$A57,RODANTES!O$16:O$72)+SUMIF(RECARGAS!$B$16:$B$37,$A57,RECARGAS!Y$16:Y$37)+SUMIF(REVENDIDOS!$B$16:$B$25,$A57,REVENDIDOS!P$16:P$25)</f>
        <v>709.7274503</v>
      </c>
      <c r="J57" s="13" t="n">
        <f aca="false">SUMIF(MANUALES!$B$16:$B$72,$A57,MANUALES!P$16:P$72)+SUMIF(RODANTES!$B$16:$B$72,$A57,RODANTES!P$16:P$72)+SUMIF(RECARGAS!$B$16:$B$37,$A57,RECARGAS!Z$16:Z$37)+SUMIF(REVENDIDOS!$B$16:$B$25,$A57,REVENDIDOS!Q$16:Q$25)</f>
        <v>986.8680576</v>
      </c>
      <c r="K57" s="13" t="n">
        <f aca="false">SUMIF(MANUALES!$B$16:$B$72,$A57,MANUALES!Q$16:Q$72)+SUMIF(RODANTES!$B$16:$B$72,$A57,RODANTES!Q$16:Q$72)+SUMIF(RECARGAS!$B$16:$B$37,$A57,RECARGAS!AA$16:AA$37)+SUMIF(REVENDIDOS!$B$16:$B$25,$A57,REVENDIDOS!R$16:R$25)</f>
        <v>1500.638174</v>
      </c>
      <c r="L57" s="13" t="n">
        <f aca="false">SUMIF(MANUALES!$B$16:$B$72,$A57,MANUALES!R$16:R$72)+SUMIF(RODANTES!$B$16:$B$72,$A57,RODANTES!R$16:R$72)+SUMIF(RECARGAS!$B$16:$B$37,$A57,RECARGAS!AB$16:AB$37)+SUMIF(REVENDIDOS!$B$16:$B$25,$A57,REVENDIDOS!S$16:S$25)</f>
        <v>2312.627726</v>
      </c>
      <c r="M57" s="13" t="n">
        <f aca="false">SUMIF(MANUALES!$B$16:$B$72,$A57,MANUALES!S$16:S$72)+SUMIF(RODANTES!$B$16:$B$72,$A57,RODANTES!S$16:S$72)+SUMIF(RECARGAS!$B$16:$B$37,$A57,RECARGAS!AC$16:AC$37)+SUMIF(REVENDIDOS!$B$16:$B$25,$A57,REVENDIDOS!T$16:T$25)</f>
        <v>3252.869887</v>
      </c>
      <c r="N57" s="13" t="n">
        <f aca="false">SUMIF(MANUALES!$B$16:$B$72,$A57,MANUALES!T$16:T$72)+SUMIF(RODANTES!$B$16:$B$72,$A57,RODANTES!T$16:T$72)+SUMIF(RECARGAS!$B$16:$B$37,$A57,RECARGAS!AD$16:AD$37)+SUMIF(REVENDIDOS!$B$16:$B$25,$A57,REVENDIDOS!U$16:U$25)</f>
        <v>4102.315524</v>
      </c>
      <c r="O57" s="13" t="n">
        <f aca="false">SUMIF(MANUALES!$B$16:$B$72,$A57,MANUALES!U$16:U$72)+SUMIF(RODANTES!$B$16:$B$72,$A57,RODANTES!U$16:U$72)+SUMIF(RECARGAS!$B$16:$B$37,$A57,RECARGAS!AE$16:AE$37)+SUMIF(REVENDIDOS!$B$16:$B$25,$A57,REVENDIDOS!V$16:V$25)</f>
        <v>5104.306587</v>
      </c>
      <c r="P57" s="13" t="n">
        <f aca="false">SUMIF(MANUALES!$B$16:$B$72,$A57,MANUALES!V$16:V$72)+SUMIF(RODANTES!$B$16:$B$72,$A57,RODANTES!V$16:V$72)+SUMIF(RECARGAS!$B$16:$B$37,$A57,RECARGAS!AF$16:AF$37)+SUMIF(REVENDIDOS!$B$16:$B$25,$A57,REVENDIDOS!W$16:W$25)</f>
        <v>6195.186243</v>
      </c>
      <c r="Q57" s="13" t="n">
        <f aca="false">SUMIF(MANUALES!$B$16:$B$72,$A57,MANUALES!W$16:W$72)+SUMIF(RODANTES!$B$16:$B$72,$A57,RODANTES!W$16:W$72)+SUMIF(RECARGAS!$B$16:$B$37,$A57,RECARGAS!AG$16:AG$37)+SUMIF(REVENDIDOS!$B$16:$B$25,$A57,REVENDIDOS!X$16:X$25)</f>
        <v>7424.858444</v>
      </c>
      <c r="R57" s="13" t="n">
        <f aca="false">SUMIF(MANUALES!$B$16:$B$72,$A57,MANUALES!X$16:X$72)+SUMIF(RODANTES!$B$16:$B$72,$A57,RODANTES!X$16:X$72)+SUMIF(RECARGAS!$B$16:$B$37,$A57,RECARGAS!AH$16:AH$37)+SUMIF(REVENDIDOS!$B$16:$B$25,$A57,REVENDIDOS!Y$16:Y$25)</f>
        <v>816.73442884</v>
      </c>
    </row>
    <row r="58" customFormat="false" ht="15" hidden="false" customHeight="false" outlineLevel="0" collapsed="false">
      <c r="A58" s="3" t="s">
        <v>250</v>
      </c>
      <c r="B58" s="3" t="s">
        <v>251</v>
      </c>
      <c r="C58" s="3" t="s">
        <v>214</v>
      </c>
      <c r="D58" s="13" t="n">
        <f aca="false">SUMIF(MANUALES!$B$16:$B$72,$A58,MANUALES!W$16:W$72)</f>
        <v>32428.7706862536</v>
      </c>
      <c r="E58" s="13" t="n">
        <f aca="false">SUMIF(RODANTES!$B$16:$B$72,$A58,RODANTES!W$16:W$72)</f>
        <v>0</v>
      </c>
      <c r="F58" s="13" t="n">
        <f aca="false">SUMIF(RECARGAS!$B$16:$B$37,$A58,RECARGAS!AG$16:AG$37)</f>
        <v>0</v>
      </c>
      <c r="G58" s="13" t="n">
        <f aca="false">SUMIF(REVENDIDOS!$B$16:$B$25,$A58,REVENDIDOS!X$16:X$25)</f>
        <v>0</v>
      </c>
      <c r="H58" s="13" t="n">
        <f aca="false">SUMIF(MANUALES!$B$16:$B$72,$A58,MANUALES!N$16:N$72)+SUMIF(RODANTES!$B$16:$B$72,$A58,RODANTES!N$16:N$72)+SUMIF(RECARGAS!$B$16:$B$37,$A58,RECARGAS!X$16:X$37)+SUMIF(REVENDIDOS!$B$16:$B$25,$A58,REVENDIDOS!O$16:O$25)</f>
        <v>2727.90356888796</v>
      </c>
      <c r="I58" s="13" t="n">
        <f aca="false">SUMIF(MANUALES!$B$16:$B$72,$A58,MANUALES!O$16:O$72)+SUMIF(RODANTES!$B$16:$B$72,$A58,RODANTES!O$16:O$72)+SUMIF(RECARGAS!$B$16:$B$37,$A58,RECARGAS!Y$16:Y$37)+SUMIF(REVENDIDOS!$B$16:$B$25,$A58,REVENDIDOS!P$16:P$25)</f>
        <v>5488.91063218589</v>
      </c>
      <c r="J58" s="13" t="n">
        <f aca="false">SUMIF(MANUALES!$B$16:$B$72,$A58,MANUALES!P$16:P$72)+SUMIF(RODANTES!$B$16:$B$72,$A58,RODANTES!P$16:P$72)+SUMIF(RECARGAS!$B$16:$B$37,$A58,RECARGAS!Z$16:Z$37)+SUMIF(REVENDIDOS!$B$16:$B$25,$A58,REVENDIDOS!Q$16:Q$25)</f>
        <v>7206.58549675331</v>
      </c>
      <c r="K58" s="13" t="n">
        <f aca="false">SUMIF(MANUALES!$B$16:$B$72,$A58,MANUALES!Q$16:Q$72)+SUMIF(RODANTES!$B$16:$B$72,$A58,RODANTES!Q$16:Q$72)+SUMIF(RECARGAS!$B$16:$B$37,$A58,RECARGAS!AA$16:AA$37)+SUMIF(REVENDIDOS!$B$16:$B$25,$A58,REVENDIDOS!R$16:R$25)</f>
        <v>10420.9077932162</v>
      </c>
      <c r="L58" s="13" t="n">
        <f aca="false">SUMIF(MANUALES!$B$16:$B$72,$A58,MANUALES!R$16:R$72)+SUMIF(RODANTES!$B$16:$B$72,$A58,RODANTES!R$16:R$72)+SUMIF(RECARGAS!$B$16:$B$37,$A58,RECARGAS!AB$16:AB$37)+SUMIF(REVENDIDOS!$B$16:$B$25,$A58,REVENDIDOS!S$16:S$25)</f>
        <v>14495.0713349105</v>
      </c>
      <c r="M58" s="13" t="n">
        <f aca="false">SUMIF(MANUALES!$B$16:$B$72,$A58,MANUALES!S$16:S$72)+SUMIF(RODANTES!$B$16:$B$72,$A58,RODANTES!S$16:S$72)+SUMIF(RECARGAS!$B$16:$B$37,$A58,RECARGAS!AC$16:AC$37)+SUMIF(REVENDIDOS!$B$16:$B$25,$A58,REVENDIDOS!T$16:T$25)</f>
        <v>18737.0609615097</v>
      </c>
      <c r="N58" s="13" t="n">
        <f aca="false">SUMIF(MANUALES!$B$16:$B$72,$A58,MANUALES!T$16:T$72)+SUMIF(RODANTES!$B$16:$B$72,$A58,RODANTES!T$16:T$72)+SUMIF(RECARGAS!$B$16:$B$37,$A58,RECARGAS!AD$16:AD$37)+SUMIF(REVENDIDOS!$B$16:$B$25,$A58,REVENDIDOS!U$16:U$25)</f>
        <v>22634.4822225078</v>
      </c>
      <c r="O58" s="13" t="n">
        <f aca="false">SUMIF(MANUALES!$B$16:$B$72,$A58,MANUALES!U$16:U$72)+SUMIF(RODANTES!$B$16:$B$72,$A58,RODANTES!U$16:U$72)+SUMIF(RECARGAS!$B$16:$B$37,$A58,RECARGAS!AE$16:AE$37)+SUMIF(REVENDIDOS!$B$16:$B$25,$A58,REVENDIDOS!V$16:V$25)</f>
        <v>26002.338467674</v>
      </c>
      <c r="P58" s="13" t="n">
        <f aca="false">SUMIF(MANUALES!$B$16:$B$72,$A58,MANUALES!V$16:V$72)+SUMIF(RODANTES!$B$16:$B$72,$A58,RODANTES!V$16:V$72)+SUMIF(RECARGAS!$B$16:$B$37,$A58,RECARGAS!AF$16:AF$37)+SUMIF(REVENDIDOS!$B$16:$B$25,$A58,REVENDIDOS!W$16:W$25)</f>
        <v>28613.3997200898</v>
      </c>
      <c r="Q58" s="13" t="n">
        <f aca="false">SUMIF(MANUALES!$B$16:$B$72,$A58,MANUALES!W$16:W$72)+SUMIF(RODANTES!$B$16:$B$72,$A58,RODANTES!W$16:W$72)+SUMIF(RECARGAS!$B$16:$B$37,$A58,RECARGAS!AG$16:AG$37)+SUMIF(REVENDIDOS!$B$16:$B$25,$A58,REVENDIDOS!X$16:X$25)</f>
        <v>32428.7706862536</v>
      </c>
      <c r="R58" s="13" t="n">
        <f aca="false">SUMIF(MANUALES!$B$16:$B$72,$A58,MANUALES!X$16:X$72)+SUMIF(RODANTES!$B$16:$B$72,$A58,RODANTES!X$16:X$72)+SUMIF(RECARGAS!$B$16:$B$37,$A58,RECARGAS!AH$16:AH$37)+SUMIF(REVENDIDOS!$B$16:$B$25,$A58,REVENDIDOS!Y$16:Y$25)</f>
        <v>3567.1647754879</v>
      </c>
    </row>
    <row r="59" customFormat="false" ht="15" hidden="false" customHeight="false" outlineLevel="0" collapsed="false">
      <c r="A59" s="3" t="s">
        <v>253</v>
      </c>
      <c r="B59" s="3" t="s">
        <v>254</v>
      </c>
      <c r="C59" s="3" t="s">
        <v>214</v>
      </c>
      <c r="D59" s="13" t="n">
        <f aca="false">SUMIF(MANUALES!$B$16:$B$72,$A59,MANUALES!W$16:W$72)</f>
        <v>1842.87697319699</v>
      </c>
      <c r="E59" s="13" t="n">
        <f aca="false">SUMIF(RODANTES!$B$16:$B$72,$A59,RODANTES!W$16:W$72)</f>
        <v>0</v>
      </c>
      <c r="F59" s="13" t="n">
        <f aca="false">SUMIF(RECARGAS!$B$16:$B$37,$A59,RECARGAS!AG$16:AG$37)</f>
        <v>0</v>
      </c>
      <c r="G59" s="13" t="n">
        <f aca="false">SUMIF(REVENDIDOS!$B$16:$B$25,$A59,REVENDIDOS!X$16:X$25)</f>
        <v>0</v>
      </c>
      <c r="H59" s="13" t="n">
        <f aca="false">SUMIF(MANUALES!$B$16:$B$72,$A59,MANUALES!N$16:N$72)+SUMIF(RODANTES!$B$16:$B$72,$A59,RODANTES!N$16:N$72)+SUMIF(RECARGAS!$B$16:$B$37,$A59,RECARGAS!X$16:X$37)+SUMIF(REVENDIDOS!$B$16:$B$25,$A59,REVENDIDOS!O$16:O$25)</f>
        <v>92.4087543518401</v>
      </c>
      <c r="I59" s="13" t="n">
        <f aca="false">SUMIF(MANUALES!$B$16:$B$72,$A59,MANUALES!O$16:O$72)+SUMIF(RODANTES!$B$16:$B$72,$A59,RODANTES!O$16:O$72)+SUMIF(RECARGAS!$B$16:$B$37,$A59,RECARGAS!Y$16:Y$37)+SUMIF(REVENDIDOS!$B$16:$B$25,$A59,REVENDIDOS!P$16:P$25)</f>
        <v>178.139434573852</v>
      </c>
      <c r="J59" s="13" t="n">
        <f aca="false">SUMIF(MANUALES!$B$16:$B$72,$A59,MANUALES!P$16:P$72)+SUMIF(RODANTES!$B$16:$B$72,$A59,RODANTES!P$16:P$72)+SUMIF(RECARGAS!$B$16:$B$37,$A59,RECARGAS!Z$16:Z$37)+SUMIF(REVENDIDOS!$B$16:$B$25,$A59,REVENDIDOS!Q$16:Q$25)</f>
        <v>255.06523127917</v>
      </c>
      <c r="K59" s="13" t="n">
        <f aca="false">SUMIF(MANUALES!$B$16:$B$72,$A59,MANUALES!Q$16:Q$72)+SUMIF(RODANTES!$B$16:$B$72,$A59,RODANTES!Q$16:Q$72)+SUMIF(RECARGAS!$B$16:$B$37,$A59,RECARGAS!AA$16:AA$37)+SUMIF(REVENDIDOS!$B$16:$B$25,$A59,REVENDIDOS!R$16:R$25)</f>
        <v>361.071030055753</v>
      </c>
      <c r="L59" s="13" t="n">
        <f aca="false">SUMIF(MANUALES!$B$16:$B$72,$A59,MANUALES!R$16:R$72)+SUMIF(RODANTES!$B$16:$B$72,$A59,RODANTES!R$16:R$72)+SUMIF(RECARGAS!$B$16:$B$37,$A59,RECARGAS!AB$16:AB$37)+SUMIF(REVENDIDOS!$B$16:$B$25,$A59,REVENDIDOS!S$16:S$25)</f>
        <v>605.624794650293</v>
      </c>
      <c r="M59" s="13" t="n">
        <f aca="false">SUMIF(MANUALES!$B$16:$B$72,$A59,MANUALES!S$16:S$72)+SUMIF(RODANTES!$B$16:$B$72,$A59,RODANTES!S$16:S$72)+SUMIF(RECARGAS!$B$16:$B$37,$A59,RECARGAS!AC$16:AC$37)+SUMIF(REVENDIDOS!$B$16:$B$25,$A59,REVENDIDOS!T$16:T$25)</f>
        <v>876.216751457047</v>
      </c>
      <c r="N59" s="13" t="n">
        <f aca="false">SUMIF(MANUALES!$B$16:$B$72,$A59,MANUALES!T$16:T$72)+SUMIF(RODANTES!$B$16:$B$72,$A59,RODANTES!T$16:T$72)+SUMIF(RECARGAS!$B$16:$B$37,$A59,RECARGAS!AD$16:AD$37)+SUMIF(REVENDIDOS!$B$16:$B$25,$A59,REVENDIDOS!U$16:U$25)</f>
        <v>1130.35497416121</v>
      </c>
      <c r="O59" s="13" t="n">
        <f aca="false">SUMIF(MANUALES!$B$16:$B$72,$A59,MANUALES!U$16:U$72)+SUMIF(RODANTES!$B$16:$B$72,$A59,RODANTES!U$16:U$72)+SUMIF(RECARGAS!$B$16:$B$37,$A59,RECARGAS!AE$16:AE$37)+SUMIF(REVENDIDOS!$B$16:$B$25,$A59,REVENDIDOS!V$16:V$25)</f>
        <v>1397.61759940245</v>
      </c>
      <c r="P59" s="13" t="n">
        <f aca="false">SUMIF(MANUALES!$B$16:$B$72,$A59,MANUALES!V$16:V$72)+SUMIF(RODANTES!$B$16:$B$72,$A59,RODANTES!V$16:V$72)+SUMIF(RECARGAS!$B$16:$B$37,$A59,RECARGAS!AF$16:AF$37)+SUMIF(REVENDIDOS!$B$16:$B$25,$A59,REVENDIDOS!W$16:W$25)</f>
        <v>1614.59478800518</v>
      </c>
      <c r="Q59" s="13" t="n">
        <f aca="false">SUMIF(MANUALES!$B$16:$B$72,$A59,MANUALES!W$16:W$72)+SUMIF(RODANTES!$B$16:$B$72,$A59,RODANTES!W$16:W$72)+SUMIF(RECARGAS!$B$16:$B$37,$A59,RECARGAS!AG$16:AG$37)+SUMIF(REVENDIDOS!$B$16:$B$25,$A59,REVENDIDOS!X$16:X$25)</f>
        <v>1842.87697319699</v>
      </c>
      <c r="R59" s="13" t="n">
        <f aca="false">SUMIF(MANUALES!$B$16:$B$72,$A59,MANUALES!X$16:X$72)+SUMIF(RODANTES!$B$16:$B$72,$A59,RODANTES!X$16:X$72)+SUMIF(RECARGAS!$B$16:$B$37,$A59,RECARGAS!AH$16:AH$37)+SUMIF(REVENDIDOS!$B$16:$B$25,$A59,REVENDIDOS!Y$16:Y$25)</f>
        <v>202.716467051669</v>
      </c>
    </row>
    <row r="60" customFormat="false" ht="15" hidden="false" customHeight="false" outlineLevel="0" collapsed="false">
      <c r="A60" s="3" t="s">
        <v>453</v>
      </c>
      <c r="B60" s="3" t="s">
        <v>454</v>
      </c>
      <c r="C60" s="3" t="s">
        <v>214</v>
      </c>
      <c r="D60" s="13" t="n">
        <f aca="false">SUMIF(MANUALES!$B$16:$B$72,$A60,MANUALES!W$16:W$72)</f>
        <v>0</v>
      </c>
      <c r="E60" s="13" t="n">
        <f aca="false">SUMIF(RODANTES!$B$16:$B$72,$A60,RODANTES!W$16:W$72)</f>
        <v>453.2705332</v>
      </c>
      <c r="F60" s="13" t="n">
        <f aca="false">SUMIF(RECARGAS!$B$16:$B$37,$A60,RECARGAS!AG$16:AG$37)</f>
        <v>0</v>
      </c>
      <c r="G60" s="13" t="n">
        <f aca="false">SUMIF(REVENDIDOS!$B$16:$B$25,$A60,REVENDIDOS!X$16:X$25)</f>
        <v>0</v>
      </c>
      <c r="H60" s="13" t="n">
        <f aca="false">SUMIF(MANUALES!$B$16:$B$72,$A60,MANUALES!N$16:N$72)+SUMIF(RODANTES!$B$16:$B$72,$A60,RODANTES!N$16:N$72)+SUMIF(RECARGAS!$B$16:$B$37,$A60,RECARGAS!X$16:X$37)+SUMIF(REVENDIDOS!$B$16:$B$25,$A60,REVENDIDOS!O$16:O$25)</f>
        <v>34.05179136</v>
      </c>
      <c r="I60" s="13" t="n">
        <f aca="false">SUMIF(MANUALES!$B$16:$B$72,$A60,MANUALES!O$16:O$72)+SUMIF(RODANTES!$B$16:$B$72,$A60,RODANTES!O$16:O$72)+SUMIF(RECARGAS!$B$16:$B$37,$A60,RECARGAS!Y$16:Y$37)+SUMIF(REVENDIDOS!$B$16:$B$25,$A60,REVENDIDOS!P$16:P$25)</f>
        <v>58.46214745</v>
      </c>
      <c r="J60" s="13" t="n">
        <f aca="false">SUMIF(MANUALES!$B$16:$B$72,$A60,MANUALES!P$16:P$72)+SUMIF(RODANTES!$B$16:$B$72,$A60,RODANTES!P$16:P$72)+SUMIF(RECARGAS!$B$16:$B$37,$A60,RECARGAS!Z$16:Z$37)+SUMIF(REVENDIDOS!$B$16:$B$25,$A60,REVENDIDOS!Q$16:Q$25)</f>
        <v>75.20853998</v>
      </c>
      <c r="K60" s="13" t="n">
        <f aca="false">SUMIF(MANUALES!$B$16:$B$72,$A60,MANUALES!Q$16:Q$72)+SUMIF(RODANTES!$B$16:$B$72,$A60,RODANTES!Q$16:Q$72)+SUMIF(RECARGAS!$B$16:$B$37,$A60,RECARGAS!AA$16:AA$37)+SUMIF(REVENDIDOS!$B$16:$B$25,$A60,REVENDIDOS!R$16:R$25)</f>
        <v>100.5298529</v>
      </c>
      <c r="L60" s="13" t="n">
        <f aca="false">SUMIF(MANUALES!$B$16:$B$72,$A60,MANUALES!R$16:R$72)+SUMIF(RODANTES!$B$16:$B$72,$A60,RODANTES!R$16:R$72)+SUMIF(RECARGAS!$B$16:$B$37,$A60,RECARGAS!AB$16:AB$37)+SUMIF(REVENDIDOS!$B$16:$B$25,$A60,REVENDIDOS!S$16:S$25)</f>
        <v>155.8760035</v>
      </c>
      <c r="M60" s="13" t="n">
        <f aca="false">SUMIF(MANUALES!$B$16:$B$72,$A60,MANUALES!S$16:S$72)+SUMIF(RODANTES!$B$16:$B$72,$A60,RODANTES!S$16:S$72)+SUMIF(RECARGAS!$B$16:$B$37,$A60,RECARGAS!AC$16:AC$37)+SUMIF(REVENDIDOS!$B$16:$B$25,$A60,REVENDIDOS!T$16:T$25)</f>
        <v>211.9344827</v>
      </c>
      <c r="N60" s="13" t="n">
        <f aca="false">SUMIF(MANUALES!$B$16:$B$72,$A60,MANUALES!T$16:T$72)+SUMIF(RODANTES!$B$16:$B$72,$A60,RODANTES!T$16:T$72)+SUMIF(RECARGAS!$B$16:$B$37,$A60,RECARGAS!AD$16:AD$37)+SUMIF(REVENDIDOS!$B$16:$B$25,$A60,REVENDIDOS!U$16:U$25)</f>
        <v>272.6682332</v>
      </c>
      <c r="O60" s="13" t="n">
        <f aca="false">SUMIF(MANUALES!$B$16:$B$72,$A60,MANUALES!U$16:U$72)+SUMIF(RODANTES!$B$16:$B$72,$A60,RODANTES!U$16:U$72)+SUMIF(RECARGAS!$B$16:$B$37,$A60,RECARGAS!AE$16:AE$37)+SUMIF(REVENDIDOS!$B$16:$B$25,$A60,REVENDIDOS!V$16:V$25)</f>
        <v>337.8486707</v>
      </c>
      <c r="P60" s="13" t="n">
        <f aca="false">SUMIF(MANUALES!$B$16:$B$72,$A60,MANUALES!V$16:V$72)+SUMIF(RODANTES!$B$16:$B$72,$A60,RODANTES!V$16:V$72)+SUMIF(RECARGAS!$B$16:$B$37,$A60,RECARGAS!AF$16:AF$37)+SUMIF(REVENDIDOS!$B$16:$B$25,$A60,REVENDIDOS!W$16:W$25)</f>
        <v>393.6274156</v>
      </c>
      <c r="Q60" s="13" t="n">
        <f aca="false">SUMIF(MANUALES!$B$16:$B$72,$A60,MANUALES!W$16:W$72)+SUMIF(RODANTES!$B$16:$B$72,$A60,RODANTES!W$16:W$72)+SUMIF(RECARGAS!$B$16:$B$37,$A60,RECARGAS!AG$16:AG$37)+SUMIF(REVENDIDOS!$B$16:$B$25,$A60,REVENDIDOS!X$16:X$25)</f>
        <v>453.2705332</v>
      </c>
      <c r="R60" s="13" t="n">
        <f aca="false">SUMIF(MANUALES!$B$16:$B$72,$A60,MANUALES!X$16:X$72)+SUMIF(RODANTES!$B$16:$B$72,$A60,RODANTES!X$16:X$72)+SUMIF(RECARGAS!$B$16:$B$37,$A60,RECARGAS!AH$16:AH$37)+SUMIF(REVENDIDOS!$B$16:$B$25,$A60,REVENDIDOS!Y$16:Y$25)</f>
        <v>40.794347988</v>
      </c>
    </row>
    <row r="61" customFormat="false" ht="15" hidden="false" customHeight="false" outlineLevel="0" collapsed="false">
      <c r="A61" s="3" t="s">
        <v>456</v>
      </c>
      <c r="B61" s="3" t="s">
        <v>457</v>
      </c>
      <c r="C61" s="3" t="s">
        <v>214</v>
      </c>
      <c r="D61" s="13" t="n">
        <f aca="false">SUMIF(MANUALES!$B$16:$B$72,$A61,MANUALES!W$16:W$72)</f>
        <v>0</v>
      </c>
      <c r="E61" s="13" t="n">
        <f aca="false">SUMIF(RODANTES!$B$16:$B$72,$A61,RODANTES!W$16:W$72)</f>
        <v>998.259982820404</v>
      </c>
      <c r="F61" s="13" t="n">
        <f aca="false">SUMIF(RECARGAS!$B$16:$B$37,$A61,RECARGAS!AG$16:AG$37)</f>
        <v>0</v>
      </c>
      <c r="G61" s="13" t="n">
        <f aca="false">SUMIF(REVENDIDOS!$B$16:$B$25,$A61,REVENDIDOS!X$16:X$25)</f>
        <v>0</v>
      </c>
      <c r="H61" s="13" t="n">
        <f aca="false">SUMIF(MANUALES!$B$16:$B$72,$A61,MANUALES!N$16:N$72)+SUMIF(RODANTES!$B$16:$B$72,$A61,RODANTES!N$16:N$72)+SUMIF(RECARGAS!$B$16:$B$37,$A61,RECARGAS!X$16:X$37)+SUMIF(REVENDIDOS!$B$16:$B$25,$A61,REVENDIDOS!O$16:O$25)</f>
        <v>75.2017274109201</v>
      </c>
      <c r="I61" s="13" t="n">
        <f aca="false">SUMIF(MANUALES!$B$16:$B$72,$A61,MANUALES!O$16:O$72)+SUMIF(RODANTES!$B$16:$B$72,$A61,RODANTES!O$16:O$72)+SUMIF(RECARGAS!$B$16:$B$37,$A61,RECARGAS!Y$16:Y$37)+SUMIF(REVENDIDOS!$B$16:$B$25,$A61,REVENDIDOS!P$16:P$25)</f>
        <v>129.206686542386</v>
      </c>
      <c r="J61" s="13" t="n">
        <f aca="false">SUMIF(MANUALES!$B$16:$B$72,$A61,MANUALES!P$16:P$72)+SUMIF(RODANTES!$B$16:$B$72,$A61,RODANTES!P$16:P$72)+SUMIF(RECARGAS!$B$16:$B$37,$A61,RECARGAS!Z$16:Z$37)+SUMIF(REVENDIDOS!$B$16:$B$25,$A61,REVENDIDOS!Q$16:Q$25)</f>
        <v>166.653101605318</v>
      </c>
      <c r="K61" s="13" t="n">
        <f aca="false">SUMIF(MANUALES!$B$16:$B$72,$A61,MANUALES!Q$16:Q$72)+SUMIF(RODANTES!$B$16:$B$72,$A61,RODANTES!Q$16:Q$72)+SUMIF(RECARGAS!$B$16:$B$37,$A61,RECARGAS!AA$16:AA$37)+SUMIF(REVENDIDOS!$B$16:$B$25,$A61,REVENDIDOS!R$16:R$25)</f>
        <v>222.705333798422</v>
      </c>
      <c r="L61" s="13" t="n">
        <f aca="false">SUMIF(MANUALES!$B$16:$B$72,$A61,MANUALES!R$16:R$72)+SUMIF(RODANTES!$B$16:$B$72,$A61,RODANTES!R$16:R$72)+SUMIF(RECARGAS!$B$16:$B$37,$A61,RECARGAS!AB$16:AB$37)+SUMIF(REVENDIDOS!$B$16:$B$25,$A61,REVENDIDOS!S$16:S$25)</f>
        <v>344.538811601152</v>
      </c>
      <c r="M61" s="13" t="n">
        <f aca="false">SUMIF(MANUALES!$B$16:$B$72,$A61,MANUALES!S$16:S$72)+SUMIF(RODANTES!$B$16:$B$72,$A61,RODANTES!S$16:S$72)+SUMIF(RECARGAS!$B$16:$B$37,$A61,RECARGAS!AC$16:AC$37)+SUMIF(REVENDIDOS!$B$16:$B$25,$A61,REVENDIDOS!T$16:T$25)</f>
        <v>468.227198914802</v>
      </c>
      <c r="N61" s="13" t="n">
        <f aca="false">SUMIF(MANUALES!$B$16:$B$72,$A61,MANUALES!T$16:T$72)+SUMIF(RODANTES!$B$16:$B$72,$A61,RODANTES!T$16:T$72)+SUMIF(RECARGAS!$B$16:$B$37,$A61,RECARGAS!AD$16:AD$37)+SUMIF(REVENDIDOS!$B$16:$B$25,$A61,REVENDIDOS!U$16:U$25)</f>
        <v>601.639999327158</v>
      </c>
      <c r="O61" s="13" t="n">
        <f aca="false">SUMIF(MANUALES!$B$16:$B$72,$A61,MANUALES!U$16:U$72)+SUMIF(RODANTES!$B$16:$B$72,$A61,RODANTES!U$16:U$72)+SUMIF(RECARGAS!$B$16:$B$37,$A61,RECARGAS!AE$16:AE$37)+SUMIF(REVENDIDOS!$B$16:$B$25,$A61,REVENDIDOS!V$16:V$25)</f>
        <v>744.533335808048</v>
      </c>
      <c r="P61" s="13" t="n">
        <f aca="false">SUMIF(MANUALES!$B$16:$B$72,$A61,MANUALES!V$16:V$72)+SUMIF(RODANTES!$B$16:$B$72,$A61,RODANTES!V$16:V$72)+SUMIF(RECARGAS!$B$16:$B$37,$A61,RECARGAS!AF$16:AF$37)+SUMIF(REVENDIDOS!$B$16:$B$25,$A61,REVENDIDOS!W$16:W$25)</f>
        <v>867.289742469686</v>
      </c>
      <c r="Q61" s="13" t="n">
        <f aca="false">SUMIF(MANUALES!$B$16:$B$72,$A61,MANUALES!W$16:W$72)+SUMIF(RODANTES!$B$16:$B$72,$A61,RODANTES!W$16:W$72)+SUMIF(RECARGAS!$B$16:$B$37,$A61,RECARGAS!AG$16:AG$37)+SUMIF(REVENDIDOS!$B$16:$B$25,$A61,REVENDIDOS!X$16:X$25)</f>
        <v>998.259982820404</v>
      </c>
      <c r="R61" s="13" t="n">
        <f aca="false">SUMIF(MANUALES!$B$16:$B$72,$A61,MANUALES!X$16:X$72)+SUMIF(RODANTES!$B$16:$B$72,$A61,RODANTES!X$16:X$72)+SUMIF(RECARGAS!$B$16:$B$37,$A61,RECARGAS!AH$16:AH$37)+SUMIF(REVENDIDOS!$B$16:$B$25,$A61,REVENDIDOS!Y$16:Y$25)</f>
        <v>89.8433984538364</v>
      </c>
    </row>
    <row r="62" customFormat="false" ht="15" hidden="false" customHeight="false" outlineLevel="0" collapsed="false">
      <c r="A62" s="3" t="s">
        <v>459</v>
      </c>
      <c r="B62" s="3" t="s">
        <v>460</v>
      </c>
      <c r="C62" s="3" t="s">
        <v>214</v>
      </c>
      <c r="D62" s="13" t="n">
        <f aca="false">SUMIF(MANUALES!$B$16:$B$72,$A62,MANUALES!W$16:W$72)</f>
        <v>0</v>
      </c>
      <c r="E62" s="13" t="n">
        <f aca="false">SUMIF(RODANTES!$B$16:$B$72,$A62,RODANTES!W$16:W$72)</f>
        <v>217.569856</v>
      </c>
      <c r="F62" s="13" t="n">
        <f aca="false">SUMIF(RECARGAS!$B$16:$B$37,$A62,RECARGAS!AG$16:AG$37)</f>
        <v>0</v>
      </c>
      <c r="G62" s="13" t="n">
        <f aca="false">SUMIF(REVENDIDOS!$B$16:$B$25,$A62,REVENDIDOS!X$16:X$25)</f>
        <v>0</v>
      </c>
      <c r="H62" s="13" t="n">
        <f aca="false">SUMIF(MANUALES!$B$16:$B$72,$A62,MANUALES!N$16:N$72)+SUMIF(RODANTES!$B$16:$B$72,$A62,RODANTES!N$16:N$72)+SUMIF(RECARGAS!$B$16:$B$37,$A62,RECARGAS!X$16:X$37)+SUMIF(REVENDIDOS!$B$16:$B$25,$A62,REVENDIDOS!O$16:O$25)</f>
        <v>16.34485985</v>
      </c>
      <c r="I62" s="13" t="n">
        <f aca="false">SUMIF(MANUALES!$B$16:$B$72,$A62,MANUALES!O$16:O$72)+SUMIF(RODANTES!$B$16:$B$72,$A62,RODANTES!O$16:O$72)+SUMIF(RECARGAS!$B$16:$B$37,$A62,RECARGAS!Y$16:Y$37)+SUMIF(REVENDIDOS!$B$16:$B$25,$A62,REVENDIDOS!P$16:P$25)</f>
        <v>28.06183078</v>
      </c>
      <c r="J62" s="13" t="n">
        <f aca="false">SUMIF(MANUALES!$B$16:$B$72,$A62,MANUALES!P$16:P$72)+SUMIF(RODANTES!$B$16:$B$72,$A62,RODANTES!P$16:P$72)+SUMIF(RECARGAS!$B$16:$B$37,$A62,RECARGAS!Z$16:Z$37)+SUMIF(REVENDIDOS!$B$16:$B$25,$A62,REVENDIDOS!Q$16:Q$25)</f>
        <v>36.10009919</v>
      </c>
      <c r="K62" s="13" t="n">
        <f aca="false">SUMIF(MANUALES!$B$16:$B$72,$A62,MANUALES!Q$16:Q$72)+SUMIF(RODANTES!$B$16:$B$72,$A62,RODANTES!Q$16:Q$72)+SUMIF(RECARGAS!$B$16:$B$37,$A62,RECARGAS!AA$16:AA$37)+SUMIF(REVENDIDOS!$B$16:$B$25,$A62,REVENDIDOS!R$16:R$25)</f>
        <v>48.25432941</v>
      </c>
      <c r="L62" s="13" t="n">
        <f aca="false">SUMIF(MANUALES!$B$16:$B$72,$A62,MANUALES!R$16:R$72)+SUMIF(RODANTES!$B$16:$B$72,$A62,RODANTES!R$16:R$72)+SUMIF(RECARGAS!$B$16:$B$37,$A62,RECARGAS!AB$16:AB$37)+SUMIF(REVENDIDOS!$B$16:$B$25,$A62,REVENDIDOS!S$16:S$25)</f>
        <v>74.82048167</v>
      </c>
      <c r="M62" s="13" t="n">
        <f aca="false">SUMIF(MANUALES!$B$16:$B$72,$A62,MANUALES!S$16:S$72)+SUMIF(RODANTES!$B$16:$B$72,$A62,RODANTES!S$16:S$72)+SUMIF(RECARGAS!$B$16:$B$37,$A62,RECARGAS!AC$16:AC$37)+SUMIF(REVENDIDOS!$B$16:$B$25,$A62,REVENDIDOS!T$16:T$25)</f>
        <v>101.7285517</v>
      </c>
      <c r="N62" s="13" t="n">
        <f aca="false">SUMIF(MANUALES!$B$16:$B$72,$A62,MANUALES!T$16:T$72)+SUMIF(RODANTES!$B$16:$B$72,$A62,RODANTES!T$16:T$72)+SUMIF(RECARGAS!$B$16:$B$37,$A62,RECARGAS!AD$16:AD$37)+SUMIF(REVENDIDOS!$B$16:$B$25,$A62,REVENDIDOS!U$16:U$25)</f>
        <v>130.8807519</v>
      </c>
      <c r="O62" s="13" t="n">
        <f aca="false">SUMIF(MANUALES!$B$16:$B$72,$A62,MANUALES!U$16:U$72)+SUMIF(RODANTES!$B$16:$B$72,$A62,RODANTES!U$16:U$72)+SUMIF(RECARGAS!$B$16:$B$37,$A62,RECARGAS!AE$16:AE$37)+SUMIF(REVENDIDOS!$B$16:$B$25,$A62,REVENDIDOS!V$16:V$25)</f>
        <v>162.1673619</v>
      </c>
      <c r="P62" s="13" t="n">
        <f aca="false">SUMIF(MANUALES!$B$16:$B$72,$A62,MANUALES!V$16:V$72)+SUMIF(RODANTES!$B$16:$B$72,$A62,RODANTES!V$16:V$72)+SUMIF(RECARGAS!$B$16:$B$37,$A62,RECARGAS!AF$16:AF$37)+SUMIF(REVENDIDOS!$B$16:$B$25,$A62,REVENDIDOS!W$16:W$25)</f>
        <v>188.9411595</v>
      </c>
      <c r="Q62" s="13" t="n">
        <f aca="false">SUMIF(MANUALES!$B$16:$B$72,$A62,MANUALES!W$16:W$72)+SUMIF(RODANTES!$B$16:$B$72,$A62,RODANTES!W$16:W$72)+SUMIF(RECARGAS!$B$16:$B$37,$A62,RECARGAS!AG$16:AG$37)+SUMIF(REVENDIDOS!$B$16:$B$25,$A62,REVENDIDOS!X$16:X$25)</f>
        <v>217.569856</v>
      </c>
      <c r="R62" s="13" t="n">
        <f aca="false">SUMIF(MANUALES!$B$16:$B$72,$A62,MANUALES!X$16:X$72)+SUMIF(RODANTES!$B$16:$B$72,$A62,RODANTES!X$16:X$72)+SUMIF(RECARGAS!$B$16:$B$37,$A62,RECARGAS!AH$16:AH$37)+SUMIF(REVENDIDOS!$B$16:$B$25,$A62,REVENDIDOS!Y$16:Y$25)</f>
        <v>19.58128704</v>
      </c>
    </row>
    <row r="63" customFormat="false" ht="15" hidden="false" customHeight="false" outlineLevel="0" collapsed="false">
      <c r="A63" s="3" t="s">
        <v>462</v>
      </c>
      <c r="B63" s="3" t="s">
        <v>463</v>
      </c>
      <c r="C63" s="3" t="s">
        <v>214</v>
      </c>
      <c r="D63" s="13" t="n">
        <f aca="false">SUMIF(MANUALES!$B$16:$B$72,$A63,MANUALES!W$16:W$72)</f>
        <v>0</v>
      </c>
      <c r="E63" s="13" t="n">
        <f aca="false">SUMIF(RODANTES!$B$16:$B$72,$A63,RODANTES!W$16:W$72)</f>
        <v>145.176074484914</v>
      </c>
      <c r="F63" s="13" t="n">
        <f aca="false">SUMIF(RECARGAS!$B$16:$B$37,$A63,RECARGAS!AG$16:AG$37)</f>
        <v>0</v>
      </c>
      <c r="G63" s="13" t="n">
        <f aca="false">SUMIF(REVENDIDOS!$B$16:$B$25,$A63,REVENDIDOS!X$16:X$25)</f>
        <v>0</v>
      </c>
      <c r="H63" s="13" t="n">
        <f aca="false">SUMIF(MANUALES!$B$16:$B$72,$A63,MANUALES!N$16:N$72)+SUMIF(RODANTES!$B$16:$B$72,$A63,RODANTES!N$16:N$72)+SUMIF(RECARGAS!$B$16:$B$37,$A63,RECARGAS!X$16:X$37)+SUMIF(REVENDIDOS!$B$16:$B$25,$A63,REVENDIDOS!O$16:O$25)</f>
        <v>11.1843596509201</v>
      </c>
      <c r="I63" s="13" t="n">
        <f aca="false">SUMIF(MANUALES!$B$16:$B$72,$A63,MANUALES!O$16:O$72)+SUMIF(RODANTES!$B$16:$B$72,$A63,RODANTES!O$16:O$72)+SUMIF(RECARGAS!$B$16:$B$37,$A63,RECARGAS!Y$16:Y$37)+SUMIF(REVENDIDOS!$B$16:$B$25,$A63,REVENDIDOS!P$16:P$25)</f>
        <v>18.722276510546</v>
      </c>
      <c r="J63" s="13" t="n">
        <f aca="false">SUMIF(MANUALES!$B$16:$B$72,$A63,MANUALES!P$16:P$72)+SUMIF(RODANTES!$B$16:$B$72,$A63,RODANTES!P$16:P$72)+SUMIF(RECARGAS!$B$16:$B$37,$A63,RECARGAS!Z$16:Z$37)+SUMIF(REVENDIDOS!$B$16:$B$25,$A63,REVENDIDOS!Q$16:Q$25)</f>
        <v>24.3689085214661</v>
      </c>
      <c r="K63" s="13" t="n">
        <f aca="false">SUMIF(MANUALES!$B$16:$B$72,$A63,MANUALES!Q$16:Q$72)+SUMIF(RODANTES!$B$16:$B$72,$A63,RODANTES!Q$16:Q$72)+SUMIF(RECARGAS!$B$16:$B$37,$A63,RECARGAS!AA$16:AA$37)+SUMIF(REVENDIDOS!$B$16:$B$25,$A63,REVENDIDOS!R$16:R$25)</f>
        <v>32.4861179920121</v>
      </c>
      <c r="L63" s="13" t="n">
        <f aca="false">SUMIF(MANUALES!$B$16:$B$72,$A63,MANUALES!R$16:R$72)+SUMIF(RODANTES!$B$16:$B$72,$A63,RODANTES!R$16:R$72)+SUMIF(RECARGAS!$B$16:$B$37,$A63,RECARGAS!AB$16:AB$37)+SUMIF(REVENDIDOS!$B$16:$B$25,$A63,REVENDIDOS!S$16:S$25)</f>
        <v>50.4990619034781</v>
      </c>
      <c r="M63" s="13" t="n">
        <f aca="false">SUMIF(MANUALES!$B$16:$B$72,$A63,MANUALES!S$16:S$72)+SUMIF(RODANTES!$B$16:$B$72,$A63,RODANTES!S$16:S$72)+SUMIF(RECARGAS!$B$16:$B$37,$A63,RECARGAS!AC$16:AC$37)+SUMIF(REVENDIDOS!$B$16:$B$25,$A63,REVENDIDOS!T$16:T$25)</f>
        <v>68.1787674836501</v>
      </c>
      <c r="N63" s="13" t="n">
        <f aca="false">SUMIF(MANUALES!$B$16:$B$72,$A63,MANUALES!T$16:T$72)+SUMIF(RODANTES!$B$16:$B$72,$A63,RODANTES!T$16:T$72)+SUMIF(RECARGAS!$B$16:$B$37,$A63,RECARGAS!AD$16:AD$37)+SUMIF(REVENDIDOS!$B$16:$B$25,$A63,REVENDIDOS!U$16:U$25)</f>
        <v>87.6279569441961</v>
      </c>
      <c r="O63" s="13" t="n">
        <f aca="false">SUMIF(MANUALES!$B$16:$B$72,$A63,MANUALES!U$16:U$72)+SUMIF(RODANTES!$B$16:$B$72,$A63,RODANTES!U$16:U$72)+SUMIF(RECARGAS!$B$16:$B$37,$A63,RECARGAS!AE$16:AE$37)+SUMIF(REVENDIDOS!$B$16:$B$25,$A63,REVENDIDOS!V$16:V$25)</f>
        <v>108.500086254742</v>
      </c>
      <c r="P63" s="13" t="n">
        <f aca="false">SUMIF(MANUALES!$B$16:$B$72,$A63,MANUALES!V$16:V$72)+SUMIF(RODANTES!$B$16:$B$72,$A63,RODANTES!V$16:V$72)+SUMIF(RECARGAS!$B$16:$B$37,$A63,RECARGAS!AF$16:AF$37)+SUMIF(REVENDIDOS!$B$16:$B$25,$A63,REVENDIDOS!W$16:W$25)</f>
        <v>126.363673975288</v>
      </c>
      <c r="Q63" s="13" t="n">
        <f aca="false">SUMIF(MANUALES!$B$16:$B$72,$A63,MANUALES!W$16:W$72)+SUMIF(RODANTES!$B$16:$B$72,$A63,RODANTES!W$16:W$72)+SUMIF(RECARGAS!$B$16:$B$37,$A63,RECARGAS!AG$16:AG$37)+SUMIF(REVENDIDOS!$B$16:$B$25,$A63,REVENDIDOS!X$16:X$25)</f>
        <v>145.176074484914</v>
      </c>
      <c r="R63" s="13" t="n">
        <f aca="false">SUMIF(MANUALES!$B$16:$B$72,$A63,MANUALES!X$16:X$72)+SUMIF(RODANTES!$B$16:$B$72,$A63,RODANTES!X$16:X$72)+SUMIF(RECARGAS!$B$16:$B$37,$A63,RECARGAS!AH$16:AH$37)+SUMIF(REVENDIDOS!$B$16:$B$25,$A63,REVENDIDOS!Y$16:Y$25)</f>
        <v>13.0658467036423</v>
      </c>
    </row>
    <row r="64" customFormat="false" ht="15" hidden="false" customHeight="false" outlineLevel="0" collapsed="false">
      <c r="A64" s="3" t="s">
        <v>256</v>
      </c>
      <c r="B64" s="3" t="s">
        <v>257</v>
      </c>
      <c r="C64" s="3" t="s">
        <v>214</v>
      </c>
      <c r="D64" s="13" t="n">
        <f aca="false">SUMIF(MANUALES!$B$16:$B$72,$A64,MANUALES!W$16:W$72)</f>
        <v>32072.63913</v>
      </c>
      <c r="E64" s="13" t="n">
        <f aca="false">SUMIF(RODANTES!$B$16:$B$72,$A64,RODANTES!W$16:W$72)</f>
        <v>0</v>
      </c>
      <c r="F64" s="13" t="n">
        <f aca="false">SUMIF(RECARGAS!$B$16:$B$37,$A64,RECARGAS!AG$16:AG$37)</f>
        <v>0</v>
      </c>
      <c r="G64" s="13" t="n">
        <f aca="false">SUMIF(REVENDIDOS!$B$16:$B$25,$A64,REVENDIDOS!X$16:X$25)</f>
        <v>0</v>
      </c>
      <c r="H64" s="13" t="n">
        <f aca="false">SUMIF(MANUALES!$B$16:$B$72,$A64,MANUALES!N$16:N$72)+SUMIF(RODANTES!$B$16:$B$72,$A64,RODANTES!N$16:N$72)+SUMIF(RECARGAS!$B$16:$B$37,$A64,RECARGAS!X$16:X$37)+SUMIF(REVENDIDOS!$B$16:$B$25,$A64,REVENDIDOS!O$16:O$25)</f>
        <v>4178.736543</v>
      </c>
      <c r="I64" s="13" t="n">
        <f aca="false">SUMIF(MANUALES!$B$16:$B$72,$A64,MANUALES!O$16:O$72)+SUMIF(RODANTES!$B$16:$B$72,$A64,RODANTES!O$16:O$72)+SUMIF(RECARGAS!$B$16:$B$37,$A64,RECARGAS!Y$16:Y$37)+SUMIF(REVENDIDOS!$B$16:$B$25,$A64,REVENDIDOS!P$16:P$25)</f>
        <v>5997.303977</v>
      </c>
      <c r="J64" s="13" t="n">
        <f aca="false">SUMIF(MANUALES!$B$16:$B$72,$A64,MANUALES!P$16:P$72)+SUMIF(RODANTES!$B$16:$B$72,$A64,RODANTES!P$16:P$72)+SUMIF(RECARGAS!$B$16:$B$37,$A64,RECARGAS!Z$16:Z$37)+SUMIF(REVENDIDOS!$B$16:$B$25,$A64,REVENDIDOS!Q$16:Q$25)</f>
        <v>6851.747758</v>
      </c>
      <c r="K64" s="13" t="n">
        <f aca="false">SUMIF(MANUALES!$B$16:$B$72,$A64,MANUALES!Q$16:Q$72)+SUMIF(RODANTES!$B$16:$B$72,$A64,RODANTES!Q$16:Q$72)+SUMIF(RECARGAS!$B$16:$B$37,$A64,RECARGAS!AA$16:AA$37)+SUMIF(REVENDIDOS!$B$16:$B$25,$A64,REVENDIDOS!R$16:R$25)</f>
        <v>8467.135549</v>
      </c>
      <c r="L64" s="13" t="n">
        <f aca="false">SUMIF(MANUALES!$B$16:$B$72,$A64,MANUALES!R$16:R$72)+SUMIF(RODANTES!$B$16:$B$72,$A64,RODANTES!R$16:R$72)+SUMIF(RECARGAS!$B$16:$B$37,$A64,RECARGAS!AB$16:AB$37)+SUMIF(REVENDIDOS!$B$16:$B$25,$A64,REVENDIDOS!S$16:S$25)</f>
        <v>12680.63271</v>
      </c>
      <c r="M64" s="13" t="n">
        <f aca="false">SUMIF(MANUALES!$B$16:$B$72,$A64,MANUALES!S$16:S$72)+SUMIF(RODANTES!$B$16:$B$72,$A64,RODANTES!S$16:S$72)+SUMIF(RECARGAS!$B$16:$B$37,$A64,RECARGAS!AC$16:AC$37)+SUMIF(REVENDIDOS!$B$16:$B$25,$A64,REVENDIDOS!T$16:T$25)</f>
        <v>15620.25307</v>
      </c>
      <c r="N64" s="13" t="n">
        <f aca="false">SUMIF(MANUALES!$B$16:$B$72,$A64,MANUALES!T$16:T$72)+SUMIF(RODANTES!$B$16:$B$72,$A64,RODANTES!T$16:T$72)+SUMIF(RECARGAS!$B$16:$B$37,$A64,RECARGAS!AD$16:AD$37)+SUMIF(REVENDIDOS!$B$16:$B$25,$A64,REVENDIDOS!U$16:U$25)</f>
        <v>20332.55326</v>
      </c>
      <c r="O64" s="13" t="n">
        <f aca="false">SUMIF(MANUALES!$B$16:$B$72,$A64,MANUALES!U$16:U$72)+SUMIF(RODANTES!$B$16:$B$72,$A64,RODANTES!U$16:U$72)+SUMIF(RECARGAS!$B$16:$B$37,$A64,RECARGAS!AE$16:AE$37)+SUMIF(REVENDIDOS!$B$16:$B$25,$A64,REVENDIDOS!V$16:V$25)</f>
        <v>25132.07848</v>
      </c>
      <c r="P64" s="13" t="n">
        <f aca="false">SUMIF(MANUALES!$B$16:$B$72,$A64,MANUALES!V$16:V$72)+SUMIF(RODANTES!$B$16:$B$72,$A64,RODANTES!V$16:V$72)+SUMIF(RECARGAS!$B$16:$B$37,$A64,RECARGAS!AF$16:AF$37)+SUMIF(REVENDIDOS!$B$16:$B$25,$A64,REVENDIDOS!W$16:W$25)</f>
        <v>28573.33614</v>
      </c>
      <c r="Q64" s="13" t="n">
        <f aca="false">SUMIF(MANUALES!$B$16:$B$72,$A64,MANUALES!W$16:W$72)+SUMIF(RODANTES!$B$16:$B$72,$A64,RODANTES!W$16:W$72)+SUMIF(RECARGAS!$B$16:$B$37,$A64,RECARGAS!AG$16:AG$37)+SUMIF(REVENDIDOS!$B$16:$B$25,$A64,REVENDIDOS!X$16:X$25)</f>
        <v>32072.63913</v>
      </c>
      <c r="R64" s="13" t="n">
        <f aca="false">SUMIF(MANUALES!$B$16:$B$72,$A64,MANUALES!X$16:X$72)+SUMIF(RODANTES!$B$16:$B$72,$A64,RODANTES!X$16:X$72)+SUMIF(RECARGAS!$B$16:$B$37,$A64,RECARGAS!AH$16:AH$37)+SUMIF(REVENDIDOS!$B$16:$B$25,$A64,REVENDIDOS!Y$16:Y$25)</f>
        <v>3848.7166956</v>
      </c>
    </row>
    <row r="65" customFormat="false" ht="15" hidden="false" customHeight="false" outlineLevel="0" collapsed="false">
      <c r="A65" s="3" t="s">
        <v>259</v>
      </c>
      <c r="B65" s="3" t="s">
        <v>260</v>
      </c>
      <c r="C65" s="3" t="s">
        <v>214</v>
      </c>
      <c r="D65" s="13" t="n">
        <f aca="false">SUMIF(MANUALES!$B$16:$B$72,$A65,MANUALES!W$16:W$72)</f>
        <v>7424.858444</v>
      </c>
      <c r="E65" s="13" t="n">
        <f aca="false">SUMIF(RODANTES!$B$16:$B$72,$A65,RODANTES!W$16:W$72)</f>
        <v>0</v>
      </c>
      <c r="F65" s="13" t="n">
        <f aca="false">SUMIF(RECARGAS!$B$16:$B$37,$A65,RECARGAS!AG$16:AG$37)</f>
        <v>0</v>
      </c>
      <c r="G65" s="13" t="n">
        <f aca="false">SUMIF(REVENDIDOS!$B$16:$B$25,$A65,REVENDIDOS!X$16:X$25)</f>
        <v>0</v>
      </c>
      <c r="H65" s="13" t="n">
        <f aca="false">SUMIF(MANUALES!$B$16:$B$72,$A65,MANUALES!N$16:N$72)+SUMIF(RODANTES!$B$16:$B$72,$A65,RODANTES!N$16:N$72)+SUMIF(RECARGAS!$B$16:$B$37,$A65,RECARGAS!X$16:X$37)+SUMIF(REVENDIDOS!$B$16:$B$25,$A65,REVENDIDOS!O$16:O$25)</f>
        <v>295.0303572</v>
      </c>
      <c r="I65" s="13" t="n">
        <f aca="false">SUMIF(MANUALES!$B$16:$B$72,$A65,MANUALES!O$16:O$72)+SUMIF(RODANTES!$B$16:$B$72,$A65,RODANTES!O$16:O$72)+SUMIF(RECARGAS!$B$16:$B$37,$A65,RECARGAS!Y$16:Y$37)+SUMIF(REVENDIDOS!$B$16:$B$25,$A65,REVENDIDOS!P$16:P$25)</f>
        <v>709.7274503</v>
      </c>
      <c r="J65" s="13" t="n">
        <f aca="false">SUMIF(MANUALES!$B$16:$B$72,$A65,MANUALES!P$16:P$72)+SUMIF(RODANTES!$B$16:$B$72,$A65,RODANTES!P$16:P$72)+SUMIF(RECARGAS!$B$16:$B$37,$A65,RECARGAS!Z$16:Z$37)+SUMIF(REVENDIDOS!$B$16:$B$25,$A65,REVENDIDOS!Q$16:Q$25)</f>
        <v>986.8680576</v>
      </c>
      <c r="K65" s="13" t="n">
        <f aca="false">SUMIF(MANUALES!$B$16:$B$72,$A65,MANUALES!Q$16:Q$72)+SUMIF(RODANTES!$B$16:$B$72,$A65,RODANTES!Q$16:Q$72)+SUMIF(RECARGAS!$B$16:$B$37,$A65,RECARGAS!AA$16:AA$37)+SUMIF(REVENDIDOS!$B$16:$B$25,$A65,REVENDIDOS!R$16:R$25)</f>
        <v>1500.638174</v>
      </c>
      <c r="L65" s="13" t="n">
        <f aca="false">SUMIF(MANUALES!$B$16:$B$72,$A65,MANUALES!R$16:R$72)+SUMIF(RODANTES!$B$16:$B$72,$A65,RODANTES!R$16:R$72)+SUMIF(RECARGAS!$B$16:$B$37,$A65,RECARGAS!AB$16:AB$37)+SUMIF(REVENDIDOS!$B$16:$B$25,$A65,REVENDIDOS!S$16:S$25)</f>
        <v>2312.627726</v>
      </c>
      <c r="M65" s="13" t="n">
        <f aca="false">SUMIF(MANUALES!$B$16:$B$72,$A65,MANUALES!S$16:S$72)+SUMIF(RODANTES!$B$16:$B$72,$A65,RODANTES!S$16:S$72)+SUMIF(RECARGAS!$B$16:$B$37,$A65,RECARGAS!AC$16:AC$37)+SUMIF(REVENDIDOS!$B$16:$B$25,$A65,REVENDIDOS!T$16:T$25)</f>
        <v>3252.869887</v>
      </c>
      <c r="N65" s="13" t="n">
        <f aca="false">SUMIF(MANUALES!$B$16:$B$72,$A65,MANUALES!T$16:T$72)+SUMIF(RODANTES!$B$16:$B$72,$A65,RODANTES!T$16:T$72)+SUMIF(RECARGAS!$B$16:$B$37,$A65,RECARGAS!AD$16:AD$37)+SUMIF(REVENDIDOS!$B$16:$B$25,$A65,REVENDIDOS!U$16:U$25)</f>
        <v>4102.315524</v>
      </c>
      <c r="O65" s="13" t="n">
        <f aca="false">SUMIF(MANUALES!$B$16:$B$72,$A65,MANUALES!U$16:U$72)+SUMIF(RODANTES!$B$16:$B$72,$A65,RODANTES!U$16:U$72)+SUMIF(RECARGAS!$B$16:$B$37,$A65,RECARGAS!AE$16:AE$37)+SUMIF(REVENDIDOS!$B$16:$B$25,$A65,REVENDIDOS!V$16:V$25)</f>
        <v>5104.306587</v>
      </c>
      <c r="P65" s="13" t="n">
        <f aca="false">SUMIF(MANUALES!$B$16:$B$72,$A65,MANUALES!V$16:V$72)+SUMIF(RODANTES!$B$16:$B$72,$A65,RODANTES!V$16:V$72)+SUMIF(RECARGAS!$B$16:$B$37,$A65,RECARGAS!AF$16:AF$37)+SUMIF(REVENDIDOS!$B$16:$B$25,$A65,REVENDIDOS!W$16:W$25)</f>
        <v>6195.186243</v>
      </c>
      <c r="Q65" s="13" t="n">
        <f aca="false">SUMIF(MANUALES!$B$16:$B$72,$A65,MANUALES!W$16:W$72)+SUMIF(RODANTES!$B$16:$B$72,$A65,RODANTES!W$16:W$72)+SUMIF(RECARGAS!$B$16:$B$37,$A65,RECARGAS!AG$16:AG$37)+SUMIF(REVENDIDOS!$B$16:$B$25,$A65,REVENDIDOS!X$16:X$25)</f>
        <v>7424.858444</v>
      </c>
      <c r="R65" s="13" t="n">
        <f aca="false">SUMIF(MANUALES!$B$16:$B$72,$A65,MANUALES!X$16:X$72)+SUMIF(RODANTES!$B$16:$B$72,$A65,RODANTES!X$16:X$72)+SUMIF(RECARGAS!$B$16:$B$37,$A65,RECARGAS!AH$16:AH$37)+SUMIF(REVENDIDOS!$B$16:$B$25,$A65,REVENDIDOS!Y$16:Y$25)</f>
        <v>816.73442884</v>
      </c>
    </row>
    <row r="66" customFormat="false" ht="15" hidden="false" customHeight="false" outlineLevel="0" collapsed="false">
      <c r="A66" s="3" t="s">
        <v>262</v>
      </c>
      <c r="B66" s="3" t="s">
        <v>263</v>
      </c>
      <c r="C66" s="3" t="s">
        <v>214</v>
      </c>
      <c r="D66" s="13" t="n">
        <f aca="false">SUMIF(MANUALES!$B$16:$B$72,$A66,MANUALES!W$16:W$72)</f>
        <v>32428.7706862536</v>
      </c>
      <c r="E66" s="13" t="n">
        <f aca="false">SUMIF(RODANTES!$B$16:$B$72,$A66,RODANTES!W$16:W$72)</f>
        <v>0</v>
      </c>
      <c r="F66" s="13" t="n">
        <f aca="false">SUMIF(RECARGAS!$B$16:$B$37,$A66,RECARGAS!AG$16:AG$37)</f>
        <v>0</v>
      </c>
      <c r="G66" s="13" t="n">
        <f aca="false">SUMIF(REVENDIDOS!$B$16:$B$25,$A66,REVENDIDOS!X$16:X$25)</f>
        <v>0</v>
      </c>
      <c r="H66" s="13" t="n">
        <f aca="false">SUMIF(MANUALES!$B$16:$B$72,$A66,MANUALES!N$16:N$72)+SUMIF(RODANTES!$B$16:$B$72,$A66,RODANTES!N$16:N$72)+SUMIF(RECARGAS!$B$16:$B$37,$A66,RECARGAS!X$16:X$37)+SUMIF(REVENDIDOS!$B$16:$B$25,$A66,REVENDIDOS!O$16:O$25)</f>
        <v>2727.90356888796</v>
      </c>
      <c r="I66" s="13" t="n">
        <f aca="false">SUMIF(MANUALES!$B$16:$B$72,$A66,MANUALES!O$16:O$72)+SUMIF(RODANTES!$B$16:$B$72,$A66,RODANTES!O$16:O$72)+SUMIF(RECARGAS!$B$16:$B$37,$A66,RECARGAS!Y$16:Y$37)+SUMIF(REVENDIDOS!$B$16:$B$25,$A66,REVENDIDOS!P$16:P$25)</f>
        <v>5488.91063218589</v>
      </c>
      <c r="J66" s="13" t="n">
        <f aca="false">SUMIF(MANUALES!$B$16:$B$72,$A66,MANUALES!P$16:P$72)+SUMIF(RODANTES!$B$16:$B$72,$A66,RODANTES!P$16:P$72)+SUMIF(RECARGAS!$B$16:$B$37,$A66,RECARGAS!Z$16:Z$37)+SUMIF(REVENDIDOS!$B$16:$B$25,$A66,REVENDIDOS!Q$16:Q$25)</f>
        <v>7206.58549675331</v>
      </c>
      <c r="K66" s="13" t="n">
        <f aca="false">SUMIF(MANUALES!$B$16:$B$72,$A66,MANUALES!Q$16:Q$72)+SUMIF(RODANTES!$B$16:$B$72,$A66,RODANTES!Q$16:Q$72)+SUMIF(RECARGAS!$B$16:$B$37,$A66,RECARGAS!AA$16:AA$37)+SUMIF(REVENDIDOS!$B$16:$B$25,$A66,REVENDIDOS!R$16:R$25)</f>
        <v>10420.9077932162</v>
      </c>
      <c r="L66" s="13" t="n">
        <f aca="false">SUMIF(MANUALES!$B$16:$B$72,$A66,MANUALES!R$16:R$72)+SUMIF(RODANTES!$B$16:$B$72,$A66,RODANTES!R$16:R$72)+SUMIF(RECARGAS!$B$16:$B$37,$A66,RECARGAS!AB$16:AB$37)+SUMIF(REVENDIDOS!$B$16:$B$25,$A66,REVENDIDOS!S$16:S$25)</f>
        <v>14495.0713349105</v>
      </c>
      <c r="M66" s="13" t="n">
        <f aca="false">SUMIF(MANUALES!$B$16:$B$72,$A66,MANUALES!S$16:S$72)+SUMIF(RODANTES!$B$16:$B$72,$A66,RODANTES!S$16:S$72)+SUMIF(RECARGAS!$B$16:$B$37,$A66,RECARGAS!AC$16:AC$37)+SUMIF(REVENDIDOS!$B$16:$B$25,$A66,REVENDIDOS!T$16:T$25)</f>
        <v>18737.0609615097</v>
      </c>
      <c r="N66" s="13" t="n">
        <f aca="false">SUMIF(MANUALES!$B$16:$B$72,$A66,MANUALES!T$16:T$72)+SUMIF(RODANTES!$B$16:$B$72,$A66,RODANTES!T$16:T$72)+SUMIF(RECARGAS!$B$16:$B$37,$A66,RECARGAS!AD$16:AD$37)+SUMIF(REVENDIDOS!$B$16:$B$25,$A66,REVENDIDOS!U$16:U$25)</f>
        <v>22634.4822225078</v>
      </c>
      <c r="O66" s="13" t="n">
        <f aca="false">SUMIF(MANUALES!$B$16:$B$72,$A66,MANUALES!U$16:U$72)+SUMIF(RODANTES!$B$16:$B$72,$A66,RODANTES!U$16:U$72)+SUMIF(RECARGAS!$B$16:$B$37,$A66,RECARGAS!AE$16:AE$37)+SUMIF(REVENDIDOS!$B$16:$B$25,$A66,REVENDIDOS!V$16:V$25)</f>
        <v>26002.338467674</v>
      </c>
      <c r="P66" s="13" t="n">
        <f aca="false">SUMIF(MANUALES!$B$16:$B$72,$A66,MANUALES!V$16:V$72)+SUMIF(RODANTES!$B$16:$B$72,$A66,RODANTES!V$16:V$72)+SUMIF(RECARGAS!$B$16:$B$37,$A66,RECARGAS!AF$16:AF$37)+SUMIF(REVENDIDOS!$B$16:$B$25,$A66,REVENDIDOS!W$16:W$25)</f>
        <v>28613.3997200898</v>
      </c>
      <c r="Q66" s="13" t="n">
        <f aca="false">SUMIF(MANUALES!$B$16:$B$72,$A66,MANUALES!W$16:W$72)+SUMIF(RODANTES!$B$16:$B$72,$A66,RODANTES!W$16:W$72)+SUMIF(RECARGAS!$B$16:$B$37,$A66,RECARGAS!AG$16:AG$37)+SUMIF(REVENDIDOS!$B$16:$B$25,$A66,REVENDIDOS!X$16:X$25)</f>
        <v>32428.7706862536</v>
      </c>
      <c r="R66" s="13" t="n">
        <f aca="false">SUMIF(MANUALES!$B$16:$B$72,$A66,MANUALES!X$16:X$72)+SUMIF(RODANTES!$B$16:$B$72,$A66,RODANTES!X$16:X$72)+SUMIF(RECARGAS!$B$16:$B$37,$A66,RECARGAS!AH$16:AH$37)+SUMIF(REVENDIDOS!$B$16:$B$25,$A66,REVENDIDOS!Y$16:Y$25)</f>
        <v>3567.1647754879</v>
      </c>
    </row>
    <row r="67" customFormat="false" ht="15" hidden="false" customHeight="false" outlineLevel="0" collapsed="false">
      <c r="A67" s="3" t="s">
        <v>265</v>
      </c>
      <c r="B67" s="3" t="s">
        <v>266</v>
      </c>
      <c r="C67" s="3" t="s">
        <v>214</v>
      </c>
      <c r="D67" s="13" t="n">
        <f aca="false">SUMIF(MANUALES!$B$16:$B$72,$A67,MANUALES!W$16:W$72)</f>
        <v>1842.87697319699</v>
      </c>
      <c r="E67" s="13" t="n">
        <f aca="false">SUMIF(RODANTES!$B$16:$B$72,$A67,RODANTES!W$16:W$72)</f>
        <v>0</v>
      </c>
      <c r="F67" s="13" t="n">
        <f aca="false">SUMIF(RECARGAS!$B$16:$B$37,$A67,RECARGAS!AG$16:AG$37)</f>
        <v>0</v>
      </c>
      <c r="G67" s="13" t="n">
        <f aca="false">SUMIF(REVENDIDOS!$B$16:$B$25,$A67,REVENDIDOS!X$16:X$25)</f>
        <v>0</v>
      </c>
      <c r="H67" s="13" t="n">
        <f aca="false">SUMIF(MANUALES!$B$16:$B$72,$A67,MANUALES!N$16:N$72)+SUMIF(RODANTES!$B$16:$B$72,$A67,RODANTES!N$16:N$72)+SUMIF(RECARGAS!$B$16:$B$37,$A67,RECARGAS!X$16:X$37)+SUMIF(REVENDIDOS!$B$16:$B$25,$A67,REVENDIDOS!O$16:O$25)</f>
        <v>92.4087543518401</v>
      </c>
      <c r="I67" s="13" t="n">
        <f aca="false">SUMIF(MANUALES!$B$16:$B$72,$A67,MANUALES!O$16:O$72)+SUMIF(RODANTES!$B$16:$B$72,$A67,RODANTES!O$16:O$72)+SUMIF(RECARGAS!$B$16:$B$37,$A67,RECARGAS!Y$16:Y$37)+SUMIF(REVENDIDOS!$B$16:$B$25,$A67,REVENDIDOS!P$16:P$25)</f>
        <v>178.139434573852</v>
      </c>
      <c r="J67" s="13" t="n">
        <f aca="false">SUMIF(MANUALES!$B$16:$B$72,$A67,MANUALES!P$16:P$72)+SUMIF(RODANTES!$B$16:$B$72,$A67,RODANTES!P$16:P$72)+SUMIF(RECARGAS!$B$16:$B$37,$A67,RECARGAS!Z$16:Z$37)+SUMIF(REVENDIDOS!$B$16:$B$25,$A67,REVENDIDOS!Q$16:Q$25)</f>
        <v>255.06523127917</v>
      </c>
      <c r="K67" s="13" t="n">
        <f aca="false">SUMIF(MANUALES!$B$16:$B$72,$A67,MANUALES!Q$16:Q$72)+SUMIF(RODANTES!$B$16:$B$72,$A67,RODANTES!Q$16:Q$72)+SUMIF(RECARGAS!$B$16:$B$37,$A67,RECARGAS!AA$16:AA$37)+SUMIF(REVENDIDOS!$B$16:$B$25,$A67,REVENDIDOS!R$16:R$25)</f>
        <v>361.071030055753</v>
      </c>
      <c r="L67" s="13" t="n">
        <f aca="false">SUMIF(MANUALES!$B$16:$B$72,$A67,MANUALES!R$16:R$72)+SUMIF(RODANTES!$B$16:$B$72,$A67,RODANTES!R$16:R$72)+SUMIF(RECARGAS!$B$16:$B$37,$A67,RECARGAS!AB$16:AB$37)+SUMIF(REVENDIDOS!$B$16:$B$25,$A67,REVENDIDOS!S$16:S$25)</f>
        <v>605.624794650293</v>
      </c>
      <c r="M67" s="13" t="n">
        <f aca="false">SUMIF(MANUALES!$B$16:$B$72,$A67,MANUALES!S$16:S$72)+SUMIF(RODANTES!$B$16:$B$72,$A67,RODANTES!S$16:S$72)+SUMIF(RECARGAS!$B$16:$B$37,$A67,RECARGAS!AC$16:AC$37)+SUMIF(REVENDIDOS!$B$16:$B$25,$A67,REVENDIDOS!T$16:T$25)</f>
        <v>876.216751457047</v>
      </c>
      <c r="N67" s="13" t="n">
        <f aca="false">SUMIF(MANUALES!$B$16:$B$72,$A67,MANUALES!T$16:T$72)+SUMIF(RODANTES!$B$16:$B$72,$A67,RODANTES!T$16:T$72)+SUMIF(RECARGAS!$B$16:$B$37,$A67,RECARGAS!AD$16:AD$37)+SUMIF(REVENDIDOS!$B$16:$B$25,$A67,REVENDIDOS!U$16:U$25)</f>
        <v>1130.35497416121</v>
      </c>
      <c r="O67" s="13" t="n">
        <f aca="false">SUMIF(MANUALES!$B$16:$B$72,$A67,MANUALES!U$16:U$72)+SUMIF(RODANTES!$B$16:$B$72,$A67,RODANTES!U$16:U$72)+SUMIF(RECARGAS!$B$16:$B$37,$A67,RECARGAS!AE$16:AE$37)+SUMIF(REVENDIDOS!$B$16:$B$25,$A67,REVENDIDOS!V$16:V$25)</f>
        <v>1397.61759940245</v>
      </c>
      <c r="P67" s="13" t="n">
        <f aca="false">SUMIF(MANUALES!$B$16:$B$72,$A67,MANUALES!V$16:V$72)+SUMIF(RODANTES!$B$16:$B$72,$A67,RODANTES!V$16:V$72)+SUMIF(RECARGAS!$B$16:$B$37,$A67,RECARGAS!AF$16:AF$37)+SUMIF(REVENDIDOS!$B$16:$B$25,$A67,REVENDIDOS!W$16:W$25)</f>
        <v>1614.59478800518</v>
      </c>
      <c r="Q67" s="13" t="n">
        <f aca="false">SUMIF(MANUALES!$B$16:$B$72,$A67,MANUALES!W$16:W$72)+SUMIF(RODANTES!$B$16:$B$72,$A67,RODANTES!W$16:W$72)+SUMIF(RECARGAS!$B$16:$B$37,$A67,RECARGAS!AG$16:AG$37)+SUMIF(REVENDIDOS!$B$16:$B$25,$A67,REVENDIDOS!X$16:X$25)</f>
        <v>1842.87697319699</v>
      </c>
      <c r="R67" s="13" t="n">
        <f aca="false">SUMIF(MANUALES!$B$16:$B$72,$A67,MANUALES!X$16:X$72)+SUMIF(RODANTES!$B$16:$B$72,$A67,RODANTES!X$16:X$72)+SUMIF(RECARGAS!$B$16:$B$37,$A67,RECARGAS!AH$16:AH$37)+SUMIF(REVENDIDOS!$B$16:$B$25,$A67,REVENDIDOS!Y$16:Y$25)</f>
        <v>202.716467051669</v>
      </c>
    </row>
    <row r="68" customFormat="false" ht="15" hidden="false" customHeight="false" outlineLevel="0" collapsed="false">
      <c r="A68" s="3" t="s">
        <v>465</v>
      </c>
      <c r="B68" s="3" t="s">
        <v>466</v>
      </c>
      <c r="C68" s="3" t="s">
        <v>214</v>
      </c>
      <c r="D68" s="13" t="n">
        <f aca="false">SUMIF(MANUALES!$B$16:$B$72,$A68,MANUALES!W$16:W$72)</f>
        <v>0</v>
      </c>
      <c r="E68" s="13" t="n">
        <f aca="false">SUMIF(RODANTES!$B$16:$B$72,$A68,RODANTES!W$16:W$72)</f>
        <v>453.2705332</v>
      </c>
      <c r="F68" s="13" t="n">
        <f aca="false">SUMIF(RECARGAS!$B$16:$B$37,$A68,RECARGAS!AG$16:AG$37)</f>
        <v>0</v>
      </c>
      <c r="G68" s="13" t="n">
        <f aca="false">SUMIF(REVENDIDOS!$B$16:$B$25,$A68,REVENDIDOS!X$16:X$25)</f>
        <v>0</v>
      </c>
      <c r="H68" s="13" t="n">
        <f aca="false">SUMIF(MANUALES!$B$16:$B$72,$A68,MANUALES!N$16:N$72)+SUMIF(RODANTES!$B$16:$B$72,$A68,RODANTES!N$16:N$72)+SUMIF(RECARGAS!$B$16:$B$37,$A68,RECARGAS!X$16:X$37)+SUMIF(REVENDIDOS!$B$16:$B$25,$A68,REVENDIDOS!O$16:O$25)</f>
        <v>34.05179136</v>
      </c>
      <c r="I68" s="13" t="n">
        <f aca="false">SUMIF(MANUALES!$B$16:$B$72,$A68,MANUALES!O$16:O$72)+SUMIF(RODANTES!$B$16:$B$72,$A68,RODANTES!O$16:O$72)+SUMIF(RECARGAS!$B$16:$B$37,$A68,RECARGAS!Y$16:Y$37)+SUMIF(REVENDIDOS!$B$16:$B$25,$A68,REVENDIDOS!P$16:P$25)</f>
        <v>58.46214745</v>
      </c>
      <c r="J68" s="13" t="n">
        <f aca="false">SUMIF(MANUALES!$B$16:$B$72,$A68,MANUALES!P$16:P$72)+SUMIF(RODANTES!$B$16:$B$72,$A68,RODANTES!P$16:P$72)+SUMIF(RECARGAS!$B$16:$B$37,$A68,RECARGAS!Z$16:Z$37)+SUMIF(REVENDIDOS!$B$16:$B$25,$A68,REVENDIDOS!Q$16:Q$25)</f>
        <v>75.20853998</v>
      </c>
      <c r="K68" s="13" t="n">
        <f aca="false">SUMIF(MANUALES!$B$16:$B$72,$A68,MANUALES!Q$16:Q$72)+SUMIF(RODANTES!$B$16:$B$72,$A68,RODANTES!Q$16:Q$72)+SUMIF(RECARGAS!$B$16:$B$37,$A68,RECARGAS!AA$16:AA$37)+SUMIF(REVENDIDOS!$B$16:$B$25,$A68,REVENDIDOS!R$16:R$25)</f>
        <v>100.5298529</v>
      </c>
      <c r="L68" s="13" t="n">
        <f aca="false">SUMIF(MANUALES!$B$16:$B$72,$A68,MANUALES!R$16:R$72)+SUMIF(RODANTES!$B$16:$B$72,$A68,RODANTES!R$16:R$72)+SUMIF(RECARGAS!$B$16:$B$37,$A68,RECARGAS!AB$16:AB$37)+SUMIF(REVENDIDOS!$B$16:$B$25,$A68,REVENDIDOS!S$16:S$25)</f>
        <v>155.8760035</v>
      </c>
      <c r="M68" s="13" t="n">
        <f aca="false">SUMIF(MANUALES!$B$16:$B$72,$A68,MANUALES!S$16:S$72)+SUMIF(RODANTES!$B$16:$B$72,$A68,RODANTES!S$16:S$72)+SUMIF(RECARGAS!$B$16:$B$37,$A68,RECARGAS!AC$16:AC$37)+SUMIF(REVENDIDOS!$B$16:$B$25,$A68,REVENDIDOS!T$16:T$25)</f>
        <v>211.9344827</v>
      </c>
      <c r="N68" s="13" t="n">
        <f aca="false">SUMIF(MANUALES!$B$16:$B$72,$A68,MANUALES!T$16:T$72)+SUMIF(RODANTES!$B$16:$B$72,$A68,RODANTES!T$16:T$72)+SUMIF(RECARGAS!$B$16:$B$37,$A68,RECARGAS!AD$16:AD$37)+SUMIF(REVENDIDOS!$B$16:$B$25,$A68,REVENDIDOS!U$16:U$25)</f>
        <v>272.6682332</v>
      </c>
      <c r="O68" s="13" t="n">
        <f aca="false">SUMIF(MANUALES!$B$16:$B$72,$A68,MANUALES!U$16:U$72)+SUMIF(RODANTES!$B$16:$B$72,$A68,RODANTES!U$16:U$72)+SUMIF(RECARGAS!$B$16:$B$37,$A68,RECARGAS!AE$16:AE$37)+SUMIF(REVENDIDOS!$B$16:$B$25,$A68,REVENDIDOS!V$16:V$25)</f>
        <v>337.8486707</v>
      </c>
      <c r="P68" s="13" t="n">
        <f aca="false">SUMIF(MANUALES!$B$16:$B$72,$A68,MANUALES!V$16:V$72)+SUMIF(RODANTES!$B$16:$B$72,$A68,RODANTES!V$16:V$72)+SUMIF(RECARGAS!$B$16:$B$37,$A68,RECARGAS!AF$16:AF$37)+SUMIF(REVENDIDOS!$B$16:$B$25,$A68,REVENDIDOS!W$16:W$25)</f>
        <v>393.6274156</v>
      </c>
      <c r="Q68" s="13" t="n">
        <f aca="false">SUMIF(MANUALES!$B$16:$B$72,$A68,MANUALES!W$16:W$72)+SUMIF(RODANTES!$B$16:$B$72,$A68,RODANTES!W$16:W$72)+SUMIF(RECARGAS!$B$16:$B$37,$A68,RECARGAS!AG$16:AG$37)+SUMIF(REVENDIDOS!$B$16:$B$25,$A68,REVENDIDOS!X$16:X$25)</f>
        <v>453.2705332</v>
      </c>
      <c r="R68" s="13" t="n">
        <f aca="false">SUMIF(MANUALES!$B$16:$B$72,$A68,MANUALES!X$16:X$72)+SUMIF(RODANTES!$B$16:$B$72,$A68,RODANTES!X$16:X$72)+SUMIF(RECARGAS!$B$16:$B$37,$A68,RECARGAS!AH$16:AH$37)+SUMIF(REVENDIDOS!$B$16:$B$25,$A68,REVENDIDOS!Y$16:Y$25)</f>
        <v>40.794347988</v>
      </c>
    </row>
    <row r="69" customFormat="false" ht="15" hidden="false" customHeight="false" outlineLevel="0" collapsed="false">
      <c r="A69" s="3" t="s">
        <v>468</v>
      </c>
      <c r="B69" s="3" t="s">
        <v>469</v>
      </c>
      <c r="C69" s="3" t="s">
        <v>214</v>
      </c>
      <c r="D69" s="13" t="n">
        <f aca="false">SUMIF(MANUALES!$B$16:$B$72,$A69,MANUALES!W$16:W$72)</f>
        <v>0</v>
      </c>
      <c r="E69" s="13" t="n">
        <f aca="false">SUMIF(RODANTES!$B$16:$B$72,$A69,RODANTES!W$16:W$72)</f>
        <v>998.259982820404</v>
      </c>
      <c r="F69" s="13" t="n">
        <f aca="false">SUMIF(RECARGAS!$B$16:$B$37,$A69,RECARGAS!AG$16:AG$37)</f>
        <v>0</v>
      </c>
      <c r="G69" s="13" t="n">
        <f aca="false">SUMIF(REVENDIDOS!$B$16:$B$25,$A69,REVENDIDOS!X$16:X$25)</f>
        <v>0</v>
      </c>
      <c r="H69" s="13" t="n">
        <f aca="false">SUMIF(MANUALES!$B$16:$B$72,$A69,MANUALES!N$16:N$72)+SUMIF(RODANTES!$B$16:$B$72,$A69,RODANTES!N$16:N$72)+SUMIF(RECARGAS!$B$16:$B$37,$A69,RECARGAS!X$16:X$37)+SUMIF(REVENDIDOS!$B$16:$B$25,$A69,REVENDIDOS!O$16:O$25)</f>
        <v>75.2017274109201</v>
      </c>
      <c r="I69" s="13" t="n">
        <f aca="false">SUMIF(MANUALES!$B$16:$B$72,$A69,MANUALES!O$16:O$72)+SUMIF(RODANTES!$B$16:$B$72,$A69,RODANTES!O$16:O$72)+SUMIF(RECARGAS!$B$16:$B$37,$A69,RECARGAS!Y$16:Y$37)+SUMIF(REVENDIDOS!$B$16:$B$25,$A69,REVENDIDOS!P$16:P$25)</f>
        <v>129.206686542386</v>
      </c>
      <c r="J69" s="13" t="n">
        <f aca="false">SUMIF(MANUALES!$B$16:$B$72,$A69,MANUALES!P$16:P$72)+SUMIF(RODANTES!$B$16:$B$72,$A69,RODANTES!P$16:P$72)+SUMIF(RECARGAS!$B$16:$B$37,$A69,RECARGAS!Z$16:Z$37)+SUMIF(REVENDIDOS!$B$16:$B$25,$A69,REVENDIDOS!Q$16:Q$25)</f>
        <v>166.653101605318</v>
      </c>
      <c r="K69" s="13" t="n">
        <f aca="false">SUMIF(MANUALES!$B$16:$B$72,$A69,MANUALES!Q$16:Q$72)+SUMIF(RODANTES!$B$16:$B$72,$A69,RODANTES!Q$16:Q$72)+SUMIF(RECARGAS!$B$16:$B$37,$A69,RECARGAS!AA$16:AA$37)+SUMIF(REVENDIDOS!$B$16:$B$25,$A69,REVENDIDOS!R$16:R$25)</f>
        <v>222.705333798422</v>
      </c>
      <c r="L69" s="13" t="n">
        <f aca="false">SUMIF(MANUALES!$B$16:$B$72,$A69,MANUALES!R$16:R$72)+SUMIF(RODANTES!$B$16:$B$72,$A69,RODANTES!R$16:R$72)+SUMIF(RECARGAS!$B$16:$B$37,$A69,RECARGAS!AB$16:AB$37)+SUMIF(REVENDIDOS!$B$16:$B$25,$A69,REVENDIDOS!S$16:S$25)</f>
        <v>344.538811601152</v>
      </c>
      <c r="M69" s="13" t="n">
        <f aca="false">SUMIF(MANUALES!$B$16:$B$72,$A69,MANUALES!S$16:S$72)+SUMIF(RODANTES!$B$16:$B$72,$A69,RODANTES!S$16:S$72)+SUMIF(RECARGAS!$B$16:$B$37,$A69,RECARGAS!AC$16:AC$37)+SUMIF(REVENDIDOS!$B$16:$B$25,$A69,REVENDIDOS!T$16:T$25)</f>
        <v>468.227198914802</v>
      </c>
      <c r="N69" s="13" t="n">
        <f aca="false">SUMIF(MANUALES!$B$16:$B$72,$A69,MANUALES!T$16:T$72)+SUMIF(RODANTES!$B$16:$B$72,$A69,RODANTES!T$16:T$72)+SUMIF(RECARGAS!$B$16:$B$37,$A69,RECARGAS!AD$16:AD$37)+SUMIF(REVENDIDOS!$B$16:$B$25,$A69,REVENDIDOS!U$16:U$25)</f>
        <v>601.639999327158</v>
      </c>
      <c r="O69" s="13" t="n">
        <f aca="false">SUMIF(MANUALES!$B$16:$B$72,$A69,MANUALES!U$16:U$72)+SUMIF(RODANTES!$B$16:$B$72,$A69,RODANTES!U$16:U$72)+SUMIF(RECARGAS!$B$16:$B$37,$A69,RECARGAS!AE$16:AE$37)+SUMIF(REVENDIDOS!$B$16:$B$25,$A69,REVENDIDOS!V$16:V$25)</f>
        <v>744.533335808048</v>
      </c>
      <c r="P69" s="13" t="n">
        <f aca="false">SUMIF(MANUALES!$B$16:$B$72,$A69,MANUALES!V$16:V$72)+SUMIF(RODANTES!$B$16:$B$72,$A69,RODANTES!V$16:V$72)+SUMIF(RECARGAS!$B$16:$B$37,$A69,RECARGAS!AF$16:AF$37)+SUMIF(REVENDIDOS!$B$16:$B$25,$A69,REVENDIDOS!W$16:W$25)</f>
        <v>867.289742469686</v>
      </c>
      <c r="Q69" s="13" t="n">
        <f aca="false">SUMIF(MANUALES!$B$16:$B$72,$A69,MANUALES!W$16:W$72)+SUMIF(RODANTES!$B$16:$B$72,$A69,RODANTES!W$16:W$72)+SUMIF(RECARGAS!$B$16:$B$37,$A69,RECARGAS!AG$16:AG$37)+SUMIF(REVENDIDOS!$B$16:$B$25,$A69,REVENDIDOS!X$16:X$25)</f>
        <v>998.259982820404</v>
      </c>
      <c r="R69" s="13" t="n">
        <f aca="false">SUMIF(MANUALES!$B$16:$B$72,$A69,MANUALES!X$16:X$72)+SUMIF(RODANTES!$B$16:$B$72,$A69,RODANTES!X$16:X$72)+SUMIF(RECARGAS!$B$16:$B$37,$A69,RECARGAS!AH$16:AH$37)+SUMIF(REVENDIDOS!$B$16:$B$25,$A69,REVENDIDOS!Y$16:Y$25)</f>
        <v>89.8433984538364</v>
      </c>
    </row>
    <row r="70" customFormat="false" ht="15" hidden="false" customHeight="false" outlineLevel="0" collapsed="false">
      <c r="A70" s="3" t="s">
        <v>471</v>
      </c>
      <c r="B70" s="3" t="s">
        <v>472</v>
      </c>
      <c r="C70" s="3" t="s">
        <v>214</v>
      </c>
      <c r="D70" s="13" t="n">
        <f aca="false">SUMIF(MANUALES!$B$16:$B$72,$A70,MANUALES!W$16:W$72)</f>
        <v>0</v>
      </c>
      <c r="E70" s="13" t="n">
        <f aca="false">SUMIF(RODANTES!$B$16:$B$72,$A70,RODANTES!W$16:W$72)</f>
        <v>217.569856</v>
      </c>
      <c r="F70" s="13" t="n">
        <f aca="false">SUMIF(RECARGAS!$B$16:$B$37,$A70,RECARGAS!AG$16:AG$37)</f>
        <v>0</v>
      </c>
      <c r="G70" s="13" t="n">
        <f aca="false">SUMIF(REVENDIDOS!$B$16:$B$25,$A70,REVENDIDOS!X$16:X$25)</f>
        <v>0</v>
      </c>
      <c r="H70" s="13" t="n">
        <f aca="false">SUMIF(MANUALES!$B$16:$B$72,$A70,MANUALES!N$16:N$72)+SUMIF(RODANTES!$B$16:$B$72,$A70,RODANTES!N$16:N$72)+SUMIF(RECARGAS!$B$16:$B$37,$A70,RECARGAS!X$16:X$37)+SUMIF(REVENDIDOS!$B$16:$B$25,$A70,REVENDIDOS!O$16:O$25)</f>
        <v>16.34485985</v>
      </c>
      <c r="I70" s="13" t="n">
        <f aca="false">SUMIF(MANUALES!$B$16:$B$72,$A70,MANUALES!O$16:O$72)+SUMIF(RODANTES!$B$16:$B$72,$A70,RODANTES!O$16:O$72)+SUMIF(RECARGAS!$B$16:$B$37,$A70,RECARGAS!Y$16:Y$37)+SUMIF(REVENDIDOS!$B$16:$B$25,$A70,REVENDIDOS!P$16:P$25)</f>
        <v>28.06183078</v>
      </c>
      <c r="J70" s="13" t="n">
        <f aca="false">SUMIF(MANUALES!$B$16:$B$72,$A70,MANUALES!P$16:P$72)+SUMIF(RODANTES!$B$16:$B$72,$A70,RODANTES!P$16:P$72)+SUMIF(RECARGAS!$B$16:$B$37,$A70,RECARGAS!Z$16:Z$37)+SUMIF(REVENDIDOS!$B$16:$B$25,$A70,REVENDIDOS!Q$16:Q$25)</f>
        <v>36.10009919</v>
      </c>
      <c r="K70" s="13" t="n">
        <f aca="false">SUMIF(MANUALES!$B$16:$B$72,$A70,MANUALES!Q$16:Q$72)+SUMIF(RODANTES!$B$16:$B$72,$A70,RODANTES!Q$16:Q$72)+SUMIF(RECARGAS!$B$16:$B$37,$A70,RECARGAS!AA$16:AA$37)+SUMIF(REVENDIDOS!$B$16:$B$25,$A70,REVENDIDOS!R$16:R$25)</f>
        <v>48.25432941</v>
      </c>
      <c r="L70" s="13" t="n">
        <f aca="false">SUMIF(MANUALES!$B$16:$B$72,$A70,MANUALES!R$16:R$72)+SUMIF(RODANTES!$B$16:$B$72,$A70,RODANTES!R$16:R$72)+SUMIF(RECARGAS!$B$16:$B$37,$A70,RECARGAS!AB$16:AB$37)+SUMIF(REVENDIDOS!$B$16:$B$25,$A70,REVENDIDOS!S$16:S$25)</f>
        <v>74.82048167</v>
      </c>
      <c r="M70" s="13" t="n">
        <f aca="false">SUMIF(MANUALES!$B$16:$B$72,$A70,MANUALES!S$16:S$72)+SUMIF(RODANTES!$B$16:$B$72,$A70,RODANTES!S$16:S$72)+SUMIF(RECARGAS!$B$16:$B$37,$A70,RECARGAS!AC$16:AC$37)+SUMIF(REVENDIDOS!$B$16:$B$25,$A70,REVENDIDOS!T$16:T$25)</f>
        <v>101.7285517</v>
      </c>
      <c r="N70" s="13" t="n">
        <f aca="false">SUMIF(MANUALES!$B$16:$B$72,$A70,MANUALES!T$16:T$72)+SUMIF(RODANTES!$B$16:$B$72,$A70,RODANTES!T$16:T$72)+SUMIF(RECARGAS!$B$16:$B$37,$A70,RECARGAS!AD$16:AD$37)+SUMIF(REVENDIDOS!$B$16:$B$25,$A70,REVENDIDOS!U$16:U$25)</f>
        <v>130.8807519</v>
      </c>
      <c r="O70" s="13" t="n">
        <f aca="false">SUMIF(MANUALES!$B$16:$B$72,$A70,MANUALES!U$16:U$72)+SUMIF(RODANTES!$B$16:$B$72,$A70,RODANTES!U$16:U$72)+SUMIF(RECARGAS!$B$16:$B$37,$A70,RECARGAS!AE$16:AE$37)+SUMIF(REVENDIDOS!$B$16:$B$25,$A70,REVENDIDOS!V$16:V$25)</f>
        <v>162.1673619</v>
      </c>
      <c r="P70" s="13" t="n">
        <f aca="false">SUMIF(MANUALES!$B$16:$B$72,$A70,MANUALES!V$16:V$72)+SUMIF(RODANTES!$B$16:$B$72,$A70,RODANTES!V$16:V$72)+SUMIF(RECARGAS!$B$16:$B$37,$A70,RECARGAS!AF$16:AF$37)+SUMIF(REVENDIDOS!$B$16:$B$25,$A70,REVENDIDOS!W$16:W$25)</f>
        <v>188.9411595</v>
      </c>
      <c r="Q70" s="13" t="n">
        <f aca="false">SUMIF(MANUALES!$B$16:$B$72,$A70,MANUALES!W$16:W$72)+SUMIF(RODANTES!$B$16:$B$72,$A70,RODANTES!W$16:W$72)+SUMIF(RECARGAS!$B$16:$B$37,$A70,RECARGAS!AG$16:AG$37)+SUMIF(REVENDIDOS!$B$16:$B$25,$A70,REVENDIDOS!X$16:X$25)</f>
        <v>217.569856</v>
      </c>
      <c r="R70" s="13" t="n">
        <f aca="false">SUMIF(MANUALES!$B$16:$B$72,$A70,MANUALES!X$16:X$72)+SUMIF(RODANTES!$B$16:$B$72,$A70,RODANTES!X$16:X$72)+SUMIF(RECARGAS!$B$16:$B$37,$A70,RECARGAS!AH$16:AH$37)+SUMIF(REVENDIDOS!$B$16:$B$25,$A70,REVENDIDOS!Y$16:Y$25)</f>
        <v>19.58128704</v>
      </c>
    </row>
    <row r="71" customFormat="false" ht="15" hidden="false" customHeight="false" outlineLevel="0" collapsed="false">
      <c r="A71" s="3" t="s">
        <v>474</v>
      </c>
      <c r="B71" s="3" t="s">
        <v>475</v>
      </c>
      <c r="C71" s="3" t="s">
        <v>214</v>
      </c>
      <c r="D71" s="13" t="n">
        <f aca="false">SUMIF(MANUALES!$B$16:$B$72,$A71,MANUALES!W$16:W$72)</f>
        <v>0</v>
      </c>
      <c r="E71" s="13" t="n">
        <f aca="false">SUMIF(RODANTES!$B$16:$B$72,$A71,RODANTES!W$16:W$72)</f>
        <v>145.176074484914</v>
      </c>
      <c r="F71" s="13" t="n">
        <f aca="false">SUMIF(RECARGAS!$B$16:$B$37,$A71,RECARGAS!AG$16:AG$37)</f>
        <v>0</v>
      </c>
      <c r="G71" s="13" t="n">
        <f aca="false">SUMIF(REVENDIDOS!$B$16:$B$25,$A71,REVENDIDOS!X$16:X$25)</f>
        <v>0</v>
      </c>
      <c r="H71" s="13" t="n">
        <f aca="false">SUMIF(MANUALES!$B$16:$B$72,$A71,MANUALES!N$16:N$72)+SUMIF(RODANTES!$B$16:$B$72,$A71,RODANTES!N$16:N$72)+SUMIF(RECARGAS!$B$16:$B$37,$A71,RECARGAS!X$16:X$37)+SUMIF(REVENDIDOS!$B$16:$B$25,$A71,REVENDIDOS!O$16:O$25)</f>
        <v>11.1843596509201</v>
      </c>
      <c r="I71" s="13" t="n">
        <f aca="false">SUMIF(MANUALES!$B$16:$B$72,$A71,MANUALES!O$16:O$72)+SUMIF(RODANTES!$B$16:$B$72,$A71,RODANTES!O$16:O$72)+SUMIF(RECARGAS!$B$16:$B$37,$A71,RECARGAS!Y$16:Y$37)+SUMIF(REVENDIDOS!$B$16:$B$25,$A71,REVENDIDOS!P$16:P$25)</f>
        <v>18.722276510546</v>
      </c>
      <c r="J71" s="13" t="n">
        <f aca="false">SUMIF(MANUALES!$B$16:$B$72,$A71,MANUALES!P$16:P$72)+SUMIF(RODANTES!$B$16:$B$72,$A71,RODANTES!P$16:P$72)+SUMIF(RECARGAS!$B$16:$B$37,$A71,RECARGAS!Z$16:Z$37)+SUMIF(REVENDIDOS!$B$16:$B$25,$A71,REVENDIDOS!Q$16:Q$25)</f>
        <v>24.3689085214661</v>
      </c>
      <c r="K71" s="13" t="n">
        <f aca="false">SUMIF(MANUALES!$B$16:$B$72,$A71,MANUALES!Q$16:Q$72)+SUMIF(RODANTES!$B$16:$B$72,$A71,RODANTES!Q$16:Q$72)+SUMIF(RECARGAS!$B$16:$B$37,$A71,RECARGAS!AA$16:AA$37)+SUMIF(REVENDIDOS!$B$16:$B$25,$A71,REVENDIDOS!R$16:R$25)</f>
        <v>32.4861179920121</v>
      </c>
      <c r="L71" s="13" t="n">
        <f aca="false">SUMIF(MANUALES!$B$16:$B$72,$A71,MANUALES!R$16:R$72)+SUMIF(RODANTES!$B$16:$B$72,$A71,RODANTES!R$16:R$72)+SUMIF(RECARGAS!$B$16:$B$37,$A71,RECARGAS!AB$16:AB$37)+SUMIF(REVENDIDOS!$B$16:$B$25,$A71,REVENDIDOS!S$16:S$25)</f>
        <v>50.4990619034781</v>
      </c>
      <c r="M71" s="13" t="n">
        <f aca="false">SUMIF(MANUALES!$B$16:$B$72,$A71,MANUALES!S$16:S$72)+SUMIF(RODANTES!$B$16:$B$72,$A71,RODANTES!S$16:S$72)+SUMIF(RECARGAS!$B$16:$B$37,$A71,RECARGAS!AC$16:AC$37)+SUMIF(REVENDIDOS!$B$16:$B$25,$A71,REVENDIDOS!T$16:T$25)</f>
        <v>68.1787674836501</v>
      </c>
      <c r="N71" s="13" t="n">
        <f aca="false">SUMIF(MANUALES!$B$16:$B$72,$A71,MANUALES!T$16:T$72)+SUMIF(RODANTES!$B$16:$B$72,$A71,RODANTES!T$16:T$72)+SUMIF(RECARGAS!$B$16:$B$37,$A71,RECARGAS!AD$16:AD$37)+SUMIF(REVENDIDOS!$B$16:$B$25,$A71,REVENDIDOS!U$16:U$25)</f>
        <v>87.6279569441961</v>
      </c>
      <c r="O71" s="13" t="n">
        <f aca="false">SUMIF(MANUALES!$B$16:$B$72,$A71,MANUALES!U$16:U$72)+SUMIF(RODANTES!$B$16:$B$72,$A71,RODANTES!U$16:U$72)+SUMIF(RECARGAS!$B$16:$B$37,$A71,RECARGAS!AE$16:AE$37)+SUMIF(REVENDIDOS!$B$16:$B$25,$A71,REVENDIDOS!V$16:V$25)</f>
        <v>108.500086254742</v>
      </c>
      <c r="P71" s="13" t="n">
        <f aca="false">SUMIF(MANUALES!$B$16:$B$72,$A71,MANUALES!V$16:V$72)+SUMIF(RODANTES!$B$16:$B$72,$A71,RODANTES!V$16:V$72)+SUMIF(RECARGAS!$B$16:$B$37,$A71,RECARGAS!AF$16:AF$37)+SUMIF(REVENDIDOS!$B$16:$B$25,$A71,REVENDIDOS!W$16:W$25)</f>
        <v>126.363673975288</v>
      </c>
      <c r="Q71" s="13" t="n">
        <f aca="false">SUMIF(MANUALES!$B$16:$B$72,$A71,MANUALES!W$16:W$72)+SUMIF(RODANTES!$B$16:$B$72,$A71,RODANTES!W$16:W$72)+SUMIF(RECARGAS!$B$16:$B$37,$A71,RECARGAS!AG$16:AG$37)+SUMIF(REVENDIDOS!$B$16:$B$25,$A71,REVENDIDOS!X$16:X$25)</f>
        <v>145.176074484914</v>
      </c>
      <c r="R71" s="13" t="n">
        <f aca="false">SUMIF(MANUALES!$B$16:$B$72,$A71,MANUALES!X$16:X$72)+SUMIF(RODANTES!$B$16:$B$72,$A71,RODANTES!X$16:X$72)+SUMIF(RECARGAS!$B$16:$B$37,$A71,RECARGAS!AH$16:AH$37)+SUMIF(REVENDIDOS!$B$16:$B$25,$A71,REVENDIDOS!Y$16:Y$25)</f>
        <v>13.0658467036423</v>
      </c>
    </row>
    <row r="72" customFormat="false" ht="15" hidden="false" customHeight="false" outlineLevel="0" collapsed="false">
      <c r="A72" s="3" t="s">
        <v>268</v>
      </c>
      <c r="B72" s="3" t="s">
        <v>269</v>
      </c>
      <c r="C72" s="3" t="s">
        <v>214</v>
      </c>
      <c r="D72" s="13" t="n">
        <f aca="false">SUMIF(MANUALES!$B$16:$B$72,$A72,MANUALES!W$16:W$72)</f>
        <v>32072.63913</v>
      </c>
      <c r="E72" s="13" t="n">
        <f aca="false">SUMIF(RODANTES!$B$16:$B$72,$A72,RODANTES!W$16:W$72)</f>
        <v>0</v>
      </c>
      <c r="F72" s="13" t="n">
        <f aca="false">SUMIF(RECARGAS!$B$16:$B$37,$A72,RECARGAS!AG$16:AG$37)</f>
        <v>0</v>
      </c>
      <c r="G72" s="13" t="n">
        <f aca="false">SUMIF(REVENDIDOS!$B$16:$B$25,$A72,REVENDIDOS!X$16:X$25)</f>
        <v>0</v>
      </c>
      <c r="H72" s="13" t="n">
        <f aca="false">SUMIF(MANUALES!$B$16:$B$72,$A72,MANUALES!N$16:N$72)+SUMIF(RODANTES!$B$16:$B$72,$A72,RODANTES!N$16:N$72)+SUMIF(RECARGAS!$B$16:$B$37,$A72,RECARGAS!X$16:X$37)+SUMIF(REVENDIDOS!$B$16:$B$25,$A72,REVENDIDOS!O$16:O$25)</f>
        <v>4178.736543</v>
      </c>
      <c r="I72" s="13" t="n">
        <f aca="false">SUMIF(MANUALES!$B$16:$B$72,$A72,MANUALES!O$16:O$72)+SUMIF(RODANTES!$B$16:$B$72,$A72,RODANTES!O$16:O$72)+SUMIF(RECARGAS!$B$16:$B$37,$A72,RECARGAS!Y$16:Y$37)+SUMIF(REVENDIDOS!$B$16:$B$25,$A72,REVENDIDOS!P$16:P$25)</f>
        <v>5997.303977</v>
      </c>
      <c r="J72" s="13" t="n">
        <f aca="false">SUMIF(MANUALES!$B$16:$B$72,$A72,MANUALES!P$16:P$72)+SUMIF(RODANTES!$B$16:$B$72,$A72,RODANTES!P$16:P$72)+SUMIF(RECARGAS!$B$16:$B$37,$A72,RECARGAS!Z$16:Z$37)+SUMIF(REVENDIDOS!$B$16:$B$25,$A72,REVENDIDOS!Q$16:Q$25)</f>
        <v>6851.747758</v>
      </c>
      <c r="K72" s="13" t="n">
        <f aca="false">SUMIF(MANUALES!$B$16:$B$72,$A72,MANUALES!Q$16:Q$72)+SUMIF(RODANTES!$B$16:$B$72,$A72,RODANTES!Q$16:Q$72)+SUMIF(RECARGAS!$B$16:$B$37,$A72,RECARGAS!AA$16:AA$37)+SUMIF(REVENDIDOS!$B$16:$B$25,$A72,REVENDIDOS!R$16:R$25)</f>
        <v>8467.135549</v>
      </c>
      <c r="L72" s="13" t="n">
        <f aca="false">SUMIF(MANUALES!$B$16:$B$72,$A72,MANUALES!R$16:R$72)+SUMIF(RODANTES!$B$16:$B$72,$A72,RODANTES!R$16:R$72)+SUMIF(RECARGAS!$B$16:$B$37,$A72,RECARGAS!AB$16:AB$37)+SUMIF(REVENDIDOS!$B$16:$B$25,$A72,REVENDIDOS!S$16:S$25)</f>
        <v>12680.63271</v>
      </c>
      <c r="M72" s="13" t="n">
        <f aca="false">SUMIF(MANUALES!$B$16:$B$72,$A72,MANUALES!S$16:S$72)+SUMIF(RODANTES!$B$16:$B$72,$A72,RODANTES!S$16:S$72)+SUMIF(RECARGAS!$B$16:$B$37,$A72,RECARGAS!AC$16:AC$37)+SUMIF(REVENDIDOS!$B$16:$B$25,$A72,REVENDIDOS!T$16:T$25)</f>
        <v>15620.25307</v>
      </c>
      <c r="N72" s="13" t="n">
        <f aca="false">SUMIF(MANUALES!$B$16:$B$72,$A72,MANUALES!T$16:T$72)+SUMIF(RODANTES!$B$16:$B$72,$A72,RODANTES!T$16:T$72)+SUMIF(RECARGAS!$B$16:$B$37,$A72,RECARGAS!AD$16:AD$37)+SUMIF(REVENDIDOS!$B$16:$B$25,$A72,REVENDIDOS!U$16:U$25)</f>
        <v>20332.55326</v>
      </c>
      <c r="O72" s="13" t="n">
        <f aca="false">SUMIF(MANUALES!$B$16:$B$72,$A72,MANUALES!U$16:U$72)+SUMIF(RODANTES!$B$16:$B$72,$A72,RODANTES!U$16:U$72)+SUMIF(RECARGAS!$B$16:$B$37,$A72,RECARGAS!AE$16:AE$37)+SUMIF(REVENDIDOS!$B$16:$B$25,$A72,REVENDIDOS!V$16:V$25)</f>
        <v>25132.07848</v>
      </c>
      <c r="P72" s="13" t="n">
        <f aca="false">SUMIF(MANUALES!$B$16:$B$72,$A72,MANUALES!V$16:V$72)+SUMIF(RODANTES!$B$16:$B$72,$A72,RODANTES!V$16:V$72)+SUMIF(RECARGAS!$B$16:$B$37,$A72,RECARGAS!AF$16:AF$37)+SUMIF(REVENDIDOS!$B$16:$B$25,$A72,REVENDIDOS!W$16:W$25)</f>
        <v>28573.33614</v>
      </c>
      <c r="Q72" s="13" t="n">
        <f aca="false">SUMIF(MANUALES!$B$16:$B$72,$A72,MANUALES!W$16:W$72)+SUMIF(RODANTES!$B$16:$B$72,$A72,RODANTES!W$16:W$72)+SUMIF(RECARGAS!$B$16:$B$37,$A72,RECARGAS!AG$16:AG$37)+SUMIF(REVENDIDOS!$B$16:$B$25,$A72,REVENDIDOS!X$16:X$25)</f>
        <v>32072.63913</v>
      </c>
      <c r="R72" s="13" t="n">
        <f aca="false">SUMIF(MANUALES!$B$16:$B$72,$A72,MANUALES!X$16:X$72)+SUMIF(RODANTES!$B$16:$B$72,$A72,RODANTES!X$16:X$72)+SUMIF(RECARGAS!$B$16:$B$37,$A72,RECARGAS!AH$16:AH$37)+SUMIF(REVENDIDOS!$B$16:$B$25,$A72,REVENDIDOS!Y$16:Y$25)</f>
        <v>3848.7166956</v>
      </c>
    </row>
    <row r="73" customFormat="false" ht="15" hidden="false" customHeight="false" outlineLevel="0" collapsed="false">
      <c r="A73" s="3" t="s">
        <v>271</v>
      </c>
      <c r="B73" s="3" t="s">
        <v>272</v>
      </c>
      <c r="C73" s="3" t="s">
        <v>214</v>
      </c>
      <c r="D73" s="13" t="n">
        <f aca="false">SUMIF(MANUALES!$B$16:$B$72,$A73,MANUALES!W$16:W$72)</f>
        <v>41696.5061034506</v>
      </c>
      <c r="E73" s="13" t="n">
        <f aca="false">SUMIF(RODANTES!$B$16:$B$72,$A73,RODANTES!W$16:W$72)</f>
        <v>1451.5305160204</v>
      </c>
      <c r="F73" s="13" t="n">
        <f aca="false">SUMIF(RECARGAS!$B$16:$B$37,$A73,RECARGAS!AG$16:AG$37)</f>
        <v>0</v>
      </c>
      <c r="G73" s="13" t="n">
        <f aca="false">SUMIF(REVENDIDOS!$B$16:$B$25,$A73,REVENDIDOS!X$16:X$25)</f>
        <v>0</v>
      </c>
      <c r="H73" s="13" t="n">
        <f aca="false">SUMIF(MANUALES!$B$16:$B$72,$A73,MANUALES!N$16:N$72)+SUMIF(RODANTES!$B$16:$B$72,$A73,RODANTES!N$16:N$72)+SUMIF(RECARGAS!$B$16:$B$37,$A73,RECARGAS!X$16:X$37)+SUMIF(REVENDIDOS!$B$16:$B$25,$A73,REVENDIDOS!O$16:O$25)</f>
        <v>3224.59619921072</v>
      </c>
      <c r="I73" s="13" t="n">
        <f aca="false">SUMIF(MANUALES!$B$16:$B$72,$A73,MANUALES!O$16:O$72)+SUMIF(RODANTES!$B$16:$B$72,$A73,RODANTES!O$16:O$72)+SUMIF(RECARGAS!$B$16:$B$37,$A73,RECARGAS!Y$16:Y$37)+SUMIF(REVENDIDOS!$B$16:$B$25,$A73,REVENDIDOS!P$16:P$25)</f>
        <v>6564.44635105213</v>
      </c>
      <c r="J73" s="13" t="n">
        <f aca="false">SUMIF(MANUALES!$B$16:$B$72,$A73,MANUALES!P$16:P$72)+SUMIF(RODANTES!$B$16:$B$72,$A73,RODANTES!P$16:P$72)+SUMIF(RECARGAS!$B$16:$B$37,$A73,RECARGAS!Z$16:Z$37)+SUMIF(REVENDIDOS!$B$16:$B$25,$A73,REVENDIDOS!Q$16:Q$25)</f>
        <v>8690.3804272178</v>
      </c>
      <c r="K73" s="13" t="n">
        <f aca="false">SUMIF(MANUALES!$B$16:$B$72,$A73,MANUALES!Q$16:Q$72)+SUMIF(RODANTES!$B$16:$B$72,$A73,RODANTES!Q$16:Q$72)+SUMIF(RECARGAS!$B$16:$B$37,$A73,RECARGAS!AA$16:AA$37)+SUMIF(REVENDIDOS!$B$16:$B$25,$A73,REVENDIDOS!R$16:R$25)</f>
        <v>12605.8521839704</v>
      </c>
      <c r="L73" s="13" t="n">
        <f aca="false">SUMIF(MANUALES!$B$16:$B$72,$A73,MANUALES!R$16:R$72)+SUMIF(RODANTES!$B$16:$B$72,$A73,RODANTES!R$16:R$72)+SUMIF(RECARGAS!$B$16:$B$37,$A73,RECARGAS!AB$16:AB$37)+SUMIF(REVENDIDOS!$B$16:$B$25,$A73,REVENDIDOS!S$16:S$25)</f>
        <v>17913.7386706619</v>
      </c>
      <c r="M73" s="13" t="n">
        <f aca="false">SUMIF(MANUALES!$B$16:$B$72,$A73,MANUALES!S$16:S$72)+SUMIF(RODANTES!$B$16:$B$72,$A73,RODANTES!S$16:S$72)+SUMIF(RECARGAS!$B$16:$B$37,$A73,RECARGAS!AC$16:AC$37)+SUMIF(REVENDIDOS!$B$16:$B$25,$A73,REVENDIDOS!T$16:T$25)</f>
        <v>23546.3092815815</v>
      </c>
      <c r="N73" s="13" t="n">
        <f aca="false">SUMIF(MANUALES!$B$16:$B$72,$A73,MANUALES!T$16:T$72)+SUMIF(RODANTES!$B$16:$B$72,$A73,RODANTES!T$16:T$72)+SUMIF(RECARGAS!$B$16:$B$37,$A73,RECARGAS!AD$16:AD$37)+SUMIF(REVENDIDOS!$B$16:$B$25,$A73,REVENDIDOS!U$16:U$25)</f>
        <v>28741.4609531962</v>
      </c>
      <c r="O73" s="13" t="n">
        <f aca="false">SUMIF(MANUALES!$B$16:$B$72,$A73,MANUALES!U$16:U$72)+SUMIF(RODANTES!$B$16:$B$72,$A73,RODANTES!U$16:U$72)+SUMIF(RECARGAS!$B$16:$B$37,$A73,RECARGAS!AE$16:AE$37)+SUMIF(REVENDIDOS!$B$16:$B$25,$A73,REVENDIDOS!V$16:V$25)</f>
        <v>33586.6446605845</v>
      </c>
      <c r="P73" s="13" t="n">
        <f aca="false">SUMIF(MANUALES!$B$16:$B$72,$A73,MANUALES!V$16:V$72)+SUMIF(RODANTES!$B$16:$B$72,$A73,RODANTES!V$16:V$72)+SUMIF(RECARGAS!$B$16:$B$37,$A73,RECARGAS!AF$16:AF$37)+SUMIF(REVENDIDOS!$B$16:$B$25,$A73,REVENDIDOS!W$16:W$25)</f>
        <v>37684.0979091647</v>
      </c>
      <c r="Q73" s="13" t="n">
        <f aca="false">SUMIF(MANUALES!$B$16:$B$72,$A73,MANUALES!W$16:W$72)+SUMIF(RODANTES!$B$16:$B$72,$A73,RODANTES!W$16:W$72)+SUMIF(RECARGAS!$B$16:$B$37,$A73,RECARGAS!AG$16:AG$37)+SUMIF(REVENDIDOS!$B$16:$B$25,$A73,REVENDIDOS!X$16:X$25)</f>
        <v>43148.036619471</v>
      </c>
      <c r="R73" s="13" t="n">
        <f aca="false">SUMIF(MANUALES!$B$16:$B$72,$A73,MANUALES!X$16:X$72)+SUMIF(RODANTES!$B$16:$B$72,$A73,RODANTES!X$16:X$72)+SUMIF(RECARGAS!$B$16:$B$37,$A73,RECARGAS!AH$16:AH$37)+SUMIF(REVENDIDOS!$B$16:$B$25,$A73,REVENDIDOS!Y$16:Y$25)</f>
        <v>4717.25341782141</v>
      </c>
    </row>
    <row r="74" customFormat="false" ht="15" hidden="false" customHeight="false" outlineLevel="0" collapsed="false">
      <c r="A74" s="3" t="s">
        <v>478</v>
      </c>
      <c r="B74" s="3" t="s">
        <v>479</v>
      </c>
      <c r="C74" s="3" t="s">
        <v>214</v>
      </c>
      <c r="D74" s="13" t="n">
        <f aca="false">SUMIF(MANUALES!$B$16:$B$72,$A74,MANUALES!W$16:W$72)</f>
        <v>0</v>
      </c>
      <c r="E74" s="13" t="n">
        <f aca="false">SUMIF(RODANTES!$B$16:$B$72,$A74,RODANTES!W$16:W$72)</f>
        <v>362.745930484914</v>
      </c>
      <c r="F74" s="13" t="n">
        <f aca="false">SUMIF(RECARGAS!$B$16:$B$37,$A74,RECARGAS!AG$16:AG$37)</f>
        <v>0</v>
      </c>
      <c r="G74" s="13" t="n">
        <f aca="false">SUMIF(REVENDIDOS!$B$16:$B$25,$A74,REVENDIDOS!X$16:X$25)</f>
        <v>0</v>
      </c>
      <c r="H74" s="13" t="n">
        <f aca="false">SUMIF(MANUALES!$B$16:$B$72,$A74,MANUALES!N$16:N$72)+SUMIF(RODANTES!$B$16:$B$72,$A74,RODANTES!N$16:N$72)+SUMIF(RECARGAS!$B$16:$B$37,$A74,RECARGAS!X$16:X$37)+SUMIF(REVENDIDOS!$B$16:$B$25,$A74,REVENDIDOS!O$16:O$25)</f>
        <v>27.5292195009201</v>
      </c>
      <c r="I74" s="13" t="n">
        <f aca="false">SUMIF(MANUALES!$B$16:$B$72,$A74,MANUALES!O$16:O$72)+SUMIF(RODANTES!$B$16:$B$72,$A74,RODANTES!O$16:O$72)+SUMIF(RECARGAS!$B$16:$B$37,$A74,RECARGAS!Y$16:Y$37)+SUMIF(REVENDIDOS!$B$16:$B$25,$A74,REVENDIDOS!P$16:P$25)</f>
        <v>46.784107290546</v>
      </c>
      <c r="J74" s="13" t="n">
        <f aca="false">SUMIF(MANUALES!$B$16:$B$72,$A74,MANUALES!P$16:P$72)+SUMIF(RODANTES!$B$16:$B$72,$A74,RODANTES!P$16:P$72)+SUMIF(RECARGAS!$B$16:$B$37,$A74,RECARGAS!Z$16:Z$37)+SUMIF(REVENDIDOS!$B$16:$B$25,$A74,REVENDIDOS!Q$16:Q$25)</f>
        <v>60.4690077114661</v>
      </c>
      <c r="K74" s="13" t="n">
        <f aca="false">SUMIF(MANUALES!$B$16:$B$72,$A74,MANUALES!Q$16:Q$72)+SUMIF(RODANTES!$B$16:$B$72,$A74,RODANTES!Q$16:Q$72)+SUMIF(RECARGAS!$B$16:$B$37,$A74,RECARGAS!AA$16:AA$37)+SUMIF(REVENDIDOS!$B$16:$B$25,$A74,REVENDIDOS!R$16:R$25)</f>
        <v>80.7404474020121</v>
      </c>
      <c r="L74" s="13" t="n">
        <f aca="false">SUMIF(MANUALES!$B$16:$B$72,$A74,MANUALES!R$16:R$72)+SUMIF(RODANTES!$B$16:$B$72,$A74,RODANTES!R$16:R$72)+SUMIF(RECARGAS!$B$16:$B$37,$A74,RECARGAS!AB$16:AB$37)+SUMIF(REVENDIDOS!$B$16:$B$25,$A74,REVENDIDOS!S$16:S$25)</f>
        <v>125.319543573478</v>
      </c>
      <c r="M74" s="13" t="n">
        <f aca="false">SUMIF(MANUALES!$B$16:$B$72,$A74,MANUALES!S$16:S$72)+SUMIF(RODANTES!$B$16:$B$72,$A74,RODANTES!S$16:S$72)+SUMIF(RECARGAS!$B$16:$B$37,$A74,RECARGAS!AC$16:AC$37)+SUMIF(REVENDIDOS!$B$16:$B$25,$A74,REVENDIDOS!T$16:T$25)</f>
        <v>169.90731918365</v>
      </c>
      <c r="N74" s="13" t="n">
        <f aca="false">SUMIF(MANUALES!$B$16:$B$72,$A74,MANUALES!T$16:T$72)+SUMIF(RODANTES!$B$16:$B$72,$A74,RODANTES!T$16:T$72)+SUMIF(RECARGAS!$B$16:$B$37,$A74,RECARGAS!AD$16:AD$37)+SUMIF(REVENDIDOS!$B$16:$B$25,$A74,REVENDIDOS!U$16:U$25)</f>
        <v>218.508708844196</v>
      </c>
      <c r="O74" s="13" t="n">
        <f aca="false">SUMIF(MANUALES!$B$16:$B$72,$A74,MANUALES!U$16:U$72)+SUMIF(RODANTES!$B$16:$B$72,$A74,RODANTES!U$16:U$72)+SUMIF(RECARGAS!$B$16:$B$37,$A74,RECARGAS!AE$16:AE$37)+SUMIF(REVENDIDOS!$B$16:$B$25,$A74,REVENDIDOS!V$16:V$25)</f>
        <v>270.667448154742</v>
      </c>
      <c r="P74" s="13" t="n">
        <f aca="false">SUMIF(MANUALES!$B$16:$B$72,$A74,MANUALES!V$16:V$72)+SUMIF(RODANTES!$B$16:$B$72,$A74,RODANTES!V$16:V$72)+SUMIF(RECARGAS!$B$16:$B$37,$A74,RECARGAS!AF$16:AF$37)+SUMIF(REVENDIDOS!$B$16:$B$25,$A74,REVENDIDOS!W$16:W$25)</f>
        <v>315.304833475288</v>
      </c>
      <c r="Q74" s="13" t="n">
        <f aca="false">SUMIF(MANUALES!$B$16:$B$72,$A74,MANUALES!W$16:W$72)+SUMIF(RODANTES!$B$16:$B$72,$A74,RODANTES!W$16:W$72)+SUMIF(RECARGAS!$B$16:$B$37,$A74,RECARGAS!AG$16:AG$37)+SUMIF(REVENDIDOS!$B$16:$B$25,$A74,REVENDIDOS!X$16:X$25)</f>
        <v>362.745930484914</v>
      </c>
      <c r="R74" s="13" t="n">
        <f aca="false">SUMIF(MANUALES!$B$16:$B$72,$A74,MANUALES!X$16:X$72)+SUMIF(RODANTES!$B$16:$B$72,$A74,RODANTES!X$16:X$72)+SUMIF(RECARGAS!$B$16:$B$37,$A74,RECARGAS!AH$16:AH$37)+SUMIF(REVENDIDOS!$B$16:$B$25,$A74,REVENDIDOS!Y$16:Y$25)</f>
        <v>32.6471337436423</v>
      </c>
    </row>
    <row r="75" customFormat="false" ht="15" hidden="false" customHeight="false" outlineLevel="0" collapsed="false">
      <c r="A75" s="3" t="s">
        <v>530</v>
      </c>
      <c r="B75" s="3" t="s">
        <v>531</v>
      </c>
      <c r="C75" s="3" t="s">
        <v>214</v>
      </c>
      <c r="D75" s="13" t="n">
        <f aca="false">SUMIF(MANUALES!$B$16:$B$72,$A75,MANUALES!W$16:W$72)</f>
        <v>0</v>
      </c>
      <c r="E75" s="13" t="n">
        <f aca="false">SUMIF(RODANTES!$B$16:$B$72,$A75,RODANTES!W$16:W$72)</f>
        <v>0</v>
      </c>
      <c r="F75" s="13" t="n">
        <f aca="false">SUMIF(RECARGAS!$B$16:$B$37,$A75,RECARGAS!AG$16:AG$37)</f>
        <v>102177.896561299</v>
      </c>
      <c r="G75" s="13" t="n">
        <f aca="false">SUMIF(REVENDIDOS!$B$16:$B$25,$A75,REVENDIDOS!X$16:X$25)</f>
        <v>0</v>
      </c>
      <c r="H75" s="13" t="n">
        <f aca="false">SUMIF(MANUALES!$B$16:$B$72,$A75,MANUALES!N$16:N$72)+SUMIF(RODANTES!$B$16:$B$72,$A75,RODANTES!N$16:N$72)+SUMIF(RECARGAS!$B$16:$B$37,$A75,RECARGAS!X$16:X$37)+SUMIF(REVENDIDOS!$B$16:$B$25,$A75,REVENDIDOS!O$16:O$25)</f>
        <v>1876.51042821459</v>
      </c>
      <c r="I75" s="13" t="n">
        <f aca="false">SUMIF(MANUALES!$B$16:$B$72,$A75,MANUALES!O$16:O$72)+SUMIF(RODANTES!$B$16:$B$72,$A75,RODANTES!O$16:O$72)+SUMIF(RECARGAS!$B$16:$B$37,$A75,RECARGAS!Y$16:Y$37)+SUMIF(REVENDIDOS!$B$16:$B$25,$A75,REVENDIDOS!P$16:P$25)</f>
        <v>8456.63372270333</v>
      </c>
      <c r="J75" s="13" t="n">
        <f aca="false">SUMIF(MANUALES!$B$16:$B$72,$A75,MANUALES!P$16:P$72)+SUMIF(RODANTES!$B$16:$B$72,$A75,RODANTES!P$16:P$72)+SUMIF(RECARGAS!$B$16:$B$37,$A75,RECARGAS!Z$16:Z$37)+SUMIF(REVENDIDOS!$B$16:$B$25,$A75,REVENDIDOS!Q$16:Q$25)</f>
        <v>16834.4452791357</v>
      </c>
      <c r="K75" s="13" t="n">
        <f aca="false">SUMIF(MANUALES!$B$16:$B$72,$A75,MANUALES!Q$16:Q$72)+SUMIF(RODANTES!$B$16:$B$72,$A75,RODANTES!Q$16:Q$72)+SUMIF(RECARGAS!$B$16:$B$37,$A75,RECARGAS!AA$16:AA$37)+SUMIF(REVENDIDOS!$B$16:$B$25,$A75,REVENDIDOS!R$16:R$25)</f>
        <v>31206.7602188981</v>
      </c>
      <c r="L75" s="13" t="n">
        <f aca="false">SUMIF(MANUALES!$B$16:$B$72,$A75,MANUALES!R$16:R$72)+SUMIF(RODANTES!$B$16:$B$72,$A75,RODANTES!R$16:R$72)+SUMIF(RECARGAS!$B$16:$B$37,$A75,RECARGAS!AB$16:AB$37)+SUMIF(REVENDIDOS!$B$16:$B$25,$A75,REVENDIDOS!S$16:S$25)</f>
        <v>45989.8524746055</v>
      </c>
      <c r="M75" s="13" t="n">
        <f aca="false">SUMIF(MANUALES!$B$16:$B$72,$A75,MANUALES!S$16:S$72)+SUMIF(RODANTES!$B$16:$B$72,$A75,RODANTES!S$16:S$72)+SUMIF(RECARGAS!$B$16:$B$37,$A75,RECARGAS!AC$16:AC$37)+SUMIF(REVENDIDOS!$B$16:$B$25,$A75,REVENDIDOS!T$16:T$25)</f>
        <v>62687.019675692</v>
      </c>
      <c r="N75" s="13" t="n">
        <f aca="false">SUMIF(MANUALES!$B$16:$B$72,$A75,MANUALES!T$16:T$72)+SUMIF(RODANTES!$B$16:$B$72,$A75,RODANTES!T$16:T$72)+SUMIF(RECARGAS!$B$16:$B$37,$A75,RECARGAS!AD$16:AD$37)+SUMIF(REVENDIDOS!$B$16:$B$25,$A75,REVENDIDOS!U$16:U$25)</f>
        <v>77908.2327830588</v>
      </c>
      <c r="O75" s="13" t="n">
        <f aca="false">SUMIF(MANUALES!$B$16:$B$72,$A75,MANUALES!U$16:U$72)+SUMIF(RODANTES!$B$16:$B$72,$A75,RODANTES!U$16:U$72)+SUMIF(RECARGAS!$B$16:$B$37,$A75,RECARGAS!AE$16:AE$37)+SUMIF(REVENDIDOS!$B$16:$B$25,$A75,REVENDIDOS!V$16:V$25)</f>
        <v>88684.5059283756</v>
      </c>
      <c r="P75" s="13" t="n">
        <f aca="false">SUMIF(MANUALES!$B$16:$B$72,$A75,MANUALES!V$16:V$72)+SUMIF(RODANTES!$B$16:$B$72,$A75,RODANTES!V$16:V$72)+SUMIF(RECARGAS!$B$16:$B$37,$A75,RECARGAS!AF$16:AF$37)+SUMIF(REVENDIDOS!$B$16:$B$25,$A75,REVENDIDOS!W$16:W$25)</f>
        <v>95360.29464815</v>
      </c>
      <c r="Q75" s="13" t="n">
        <f aca="false">SUMIF(MANUALES!$B$16:$B$72,$A75,MANUALES!W$16:W$72)+SUMIF(RODANTES!$B$16:$B$72,$A75,RODANTES!W$16:W$72)+SUMIF(RECARGAS!$B$16:$B$37,$A75,RECARGAS!AG$16:AG$37)+SUMIF(REVENDIDOS!$B$16:$B$25,$A75,REVENDIDOS!X$16:X$25)</f>
        <v>102177.896561299</v>
      </c>
      <c r="R75" s="13" t="n">
        <f aca="false">SUMIF(MANUALES!$B$16:$B$72,$A75,MANUALES!X$16:X$72)+SUMIF(RODANTES!$B$16:$B$72,$A75,RODANTES!X$16:X$72)+SUMIF(RECARGAS!$B$16:$B$37,$A75,RECARGAS!AH$16:AH$37)+SUMIF(REVENDIDOS!$B$16:$B$25,$A75,REVENDIDOS!Y$16:Y$25)</f>
        <v>8514.82471344157</v>
      </c>
    </row>
    <row r="76" customFormat="false" ht="15" hidden="false" customHeight="false" outlineLevel="0" collapsed="false">
      <c r="A76" s="3" t="s">
        <v>274</v>
      </c>
      <c r="B76" s="3" t="s">
        <v>275</v>
      </c>
      <c r="C76" s="3" t="s">
        <v>214</v>
      </c>
      <c r="D76" s="13" t="n">
        <f aca="false">SUMIF(MANUALES!$B$16:$B$72,$A76,MANUALES!W$16:W$72)</f>
        <v>7424.858444</v>
      </c>
      <c r="E76" s="13" t="n">
        <f aca="false">SUMIF(RODANTES!$B$16:$B$72,$A76,RODANTES!W$16:W$72)</f>
        <v>0</v>
      </c>
      <c r="F76" s="13" t="n">
        <f aca="false">SUMIF(RECARGAS!$B$16:$B$37,$A76,RECARGAS!AG$16:AG$37)</f>
        <v>0</v>
      </c>
      <c r="G76" s="13" t="n">
        <f aca="false">SUMIF(REVENDIDOS!$B$16:$B$25,$A76,REVENDIDOS!X$16:X$25)</f>
        <v>0</v>
      </c>
      <c r="H76" s="13" t="n">
        <f aca="false">SUMIF(MANUALES!$B$16:$B$72,$A76,MANUALES!N$16:N$72)+SUMIF(RODANTES!$B$16:$B$72,$A76,RODANTES!N$16:N$72)+SUMIF(RECARGAS!$B$16:$B$37,$A76,RECARGAS!X$16:X$37)+SUMIF(REVENDIDOS!$B$16:$B$25,$A76,REVENDIDOS!O$16:O$25)</f>
        <v>295.0303572</v>
      </c>
      <c r="I76" s="13" t="n">
        <f aca="false">SUMIF(MANUALES!$B$16:$B$72,$A76,MANUALES!O$16:O$72)+SUMIF(RODANTES!$B$16:$B$72,$A76,RODANTES!O$16:O$72)+SUMIF(RECARGAS!$B$16:$B$37,$A76,RECARGAS!Y$16:Y$37)+SUMIF(REVENDIDOS!$B$16:$B$25,$A76,REVENDIDOS!P$16:P$25)</f>
        <v>709.7274503</v>
      </c>
      <c r="J76" s="13" t="n">
        <f aca="false">SUMIF(MANUALES!$B$16:$B$72,$A76,MANUALES!P$16:P$72)+SUMIF(RODANTES!$B$16:$B$72,$A76,RODANTES!P$16:P$72)+SUMIF(RECARGAS!$B$16:$B$37,$A76,RECARGAS!Z$16:Z$37)+SUMIF(REVENDIDOS!$B$16:$B$25,$A76,REVENDIDOS!Q$16:Q$25)</f>
        <v>986.8680576</v>
      </c>
      <c r="K76" s="13" t="n">
        <f aca="false">SUMIF(MANUALES!$B$16:$B$72,$A76,MANUALES!Q$16:Q$72)+SUMIF(RODANTES!$B$16:$B$72,$A76,RODANTES!Q$16:Q$72)+SUMIF(RECARGAS!$B$16:$B$37,$A76,RECARGAS!AA$16:AA$37)+SUMIF(REVENDIDOS!$B$16:$B$25,$A76,REVENDIDOS!R$16:R$25)</f>
        <v>1500.638174</v>
      </c>
      <c r="L76" s="13" t="n">
        <f aca="false">SUMIF(MANUALES!$B$16:$B$72,$A76,MANUALES!R$16:R$72)+SUMIF(RODANTES!$B$16:$B$72,$A76,RODANTES!R$16:R$72)+SUMIF(RECARGAS!$B$16:$B$37,$A76,RECARGAS!AB$16:AB$37)+SUMIF(REVENDIDOS!$B$16:$B$25,$A76,REVENDIDOS!S$16:S$25)</f>
        <v>2312.627726</v>
      </c>
      <c r="M76" s="13" t="n">
        <f aca="false">SUMIF(MANUALES!$B$16:$B$72,$A76,MANUALES!S$16:S$72)+SUMIF(RODANTES!$B$16:$B$72,$A76,RODANTES!S$16:S$72)+SUMIF(RECARGAS!$B$16:$B$37,$A76,RECARGAS!AC$16:AC$37)+SUMIF(REVENDIDOS!$B$16:$B$25,$A76,REVENDIDOS!T$16:T$25)</f>
        <v>3252.869887</v>
      </c>
      <c r="N76" s="13" t="n">
        <f aca="false">SUMIF(MANUALES!$B$16:$B$72,$A76,MANUALES!T$16:T$72)+SUMIF(RODANTES!$B$16:$B$72,$A76,RODANTES!T$16:T$72)+SUMIF(RECARGAS!$B$16:$B$37,$A76,RECARGAS!AD$16:AD$37)+SUMIF(REVENDIDOS!$B$16:$B$25,$A76,REVENDIDOS!U$16:U$25)</f>
        <v>4102.315524</v>
      </c>
      <c r="O76" s="13" t="n">
        <f aca="false">SUMIF(MANUALES!$B$16:$B$72,$A76,MANUALES!U$16:U$72)+SUMIF(RODANTES!$B$16:$B$72,$A76,RODANTES!U$16:U$72)+SUMIF(RECARGAS!$B$16:$B$37,$A76,RECARGAS!AE$16:AE$37)+SUMIF(REVENDIDOS!$B$16:$B$25,$A76,REVENDIDOS!V$16:V$25)</f>
        <v>5104.306587</v>
      </c>
      <c r="P76" s="13" t="n">
        <f aca="false">SUMIF(MANUALES!$B$16:$B$72,$A76,MANUALES!V$16:V$72)+SUMIF(RODANTES!$B$16:$B$72,$A76,RODANTES!V$16:V$72)+SUMIF(RECARGAS!$B$16:$B$37,$A76,RECARGAS!AF$16:AF$37)+SUMIF(REVENDIDOS!$B$16:$B$25,$A76,REVENDIDOS!W$16:W$25)</f>
        <v>6195.186243</v>
      </c>
      <c r="Q76" s="13" t="n">
        <f aca="false">SUMIF(MANUALES!$B$16:$B$72,$A76,MANUALES!W$16:W$72)+SUMIF(RODANTES!$B$16:$B$72,$A76,RODANTES!W$16:W$72)+SUMIF(RECARGAS!$B$16:$B$37,$A76,RECARGAS!AG$16:AG$37)+SUMIF(REVENDIDOS!$B$16:$B$25,$A76,REVENDIDOS!X$16:X$25)</f>
        <v>7424.858444</v>
      </c>
      <c r="R76" s="13" t="n">
        <f aca="false">SUMIF(MANUALES!$B$16:$B$72,$A76,MANUALES!X$16:X$72)+SUMIF(RODANTES!$B$16:$B$72,$A76,RODANTES!X$16:X$72)+SUMIF(RECARGAS!$B$16:$B$37,$A76,RECARGAS!AH$16:AH$37)+SUMIF(REVENDIDOS!$B$16:$B$25,$A76,REVENDIDOS!Y$16:Y$25)</f>
        <v>816.73442884</v>
      </c>
    </row>
    <row r="77" customFormat="false" ht="15" hidden="false" customHeight="false" outlineLevel="0" collapsed="false">
      <c r="A77" s="3" t="s">
        <v>277</v>
      </c>
      <c r="B77" s="3" t="s">
        <v>278</v>
      </c>
      <c r="C77" s="3" t="s">
        <v>214</v>
      </c>
      <c r="D77" s="13" t="n">
        <f aca="false">SUMIF(MANUALES!$B$16:$B$72,$A77,MANUALES!W$16:W$72)</f>
        <v>32428.7706862536</v>
      </c>
      <c r="E77" s="13" t="n">
        <f aca="false">SUMIF(RODANTES!$B$16:$B$72,$A77,RODANTES!W$16:W$72)</f>
        <v>0</v>
      </c>
      <c r="F77" s="13" t="n">
        <f aca="false">SUMIF(RECARGAS!$B$16:$B$37,$A77,RECARGAS!AG$16:AG$37)</f>
        <v>0</v>
      </c>
      <c r="G77" s="13" t="n">
        <f aca="false">SUMIF(REVENDIDOS!$B$16:$B$25,$A77,REVENDIDOS!X$16:X$25)</f>
        <v>0</v>
      </c>
      <c r="H77" s="13" t="n">
        <f aca="false">SUMIF(MANUALES!$B$16:$B$72,$A77,MANUALES!N$16:N$72)+SUMIF(RODANTES!$B$16:$B$72,$A77,RODANTES!N$16:N$72)+SUMIF(RECARGAS!$B$16:$B$37,$A77,RECARGAS!X$16:X$37)+SUMIF(REVENDIDOS!$B$16:$B$25,$A77,REVENDIDOS!O$16:O$25)</f>
        <v>2727.90356888796</v>
      </c>
      <c r="I77" s="13" t="n">
        <f aca="false">SUMIF(MANUALES!$B$16:$B$72,$A77,MANUALES!O$16:O$72)+SUMIF(RODANTES!$B$16:$B$72,$A77,RODANTES!O$16:O$72)+SUMIF(RECARGAS!$B$16:$B$37,$A77,RECARGAS!Y$16:Y$37)+SUMIF(REVENDIDOS!$B$16:$B$25,$A77,REVENDIDOS!P$16:P$25)</f>
        <v>5488.91063218589</v>
      </c>
      <c r="J77" s="13" t="n">
        <f aca="false">SUMIF(MANUALES!$B$16:$B$72,$A77,MANUALES!P$16:P$72)+SUMIF(RODANTES!$B$16:$B$72,$A77,RODANTES!P$16:P$72)+SUMIF(RECARGAS!$B$16:$B$37,$A77,RECARGAS!Z$16:Z$37)+SUMIF(REVENDIDOS!$B$16:$B$25,$A77,REVENDIDOS!Q$16:Q$25)</f>
        <v>7206.58549675331</v>
      </c>
      <c r="K77" s="13" t="n">
        <f aca="false">SUMIF(MANUALES!$B$16:$B$72,$A77,MANUALES!Q$16:Q$72)+SUMIF(RODANTES!$B$16:$B$72,$A77,RODANTES!Q$16:Q$72)+SUMIF(RECARGAS!$B$16:$B$37,$A77,RECARGAS!AA$16:AA$37)+SUMIF(REVENDIDOS!$B$16:$B$25,$A77,REVENDIDOS!R$16:R$25)</f>
        <v>10420.9077932162</v>
      </c>
      <c r="L77" s="13" t="n">
        <f aca="false">SUMIF(MANUALES!$B$16:$B$72,$A77,MANUALES!R$16:R$72)+SUMIF(RODANTES!$B$16:$B$72,$A77,RODANTES!R$16:R$72)+SUMIF(RECARGAS!$B$16:$B$37,$A77,RECARGAS!AB$16:AB$37)+SUMIF(REVENDIDOS!$B$16:$B$25,$A77,REVENDIDOS!S$16:S$25)</f>
        <v>14495.0713349105</v>
      </c>
      <c r="M77" s="13" t="n">
        <f aca="false">SUMIF(MANUALES!$B$16:$B$72,$A77,MANUALES!S$16:S$72)+SUMIF(RODANTES!$B$16:$B$72,$A77,RODANTES!S$16:S$72)+SUMIF(RECARGAS!$B$16:$B$37,$A77,RECARGAS!AC$16:AC$37)+SUMIF(REVENDIDOS!$B$16:$B$25,$A77,REVENDIDOS!T$16:T$25)</f>
        <v>18737.0609615097</v>
      </c>
      <c r="N77" s="13" t="n">
        <f aca="false">SUMIF(MANUALES!$B$16:$B$72,$A77,MANUALES!T$16:T$72)+SUMIF(RODANTES!$B$16:$B$72,$A77,RODANTES!T$16:T$72)+SUMIF(RECARGAS!$B$16:$B$37,$A77,RECARGAS!AD$16:AD$37)+SUMIF(REVENDIDOS!$B$16:$B$25,$A77,REVENDIDOS!U$16:U$25)</f>
        <v>22634.4822225078</v>
      </c>
      <c r="O77" s="13" t="n">
        <f aca="false">SUMIF(MANUALES!$B$16:$B$72,$A77,MANUALES!U$16:U$72)+SUMIF(RODANTES!$B$16:$B$72,$A77,RODANTES!U$16:U$72)+SUMIF(RECARGAS!$B$16:$B$37,$A77,RECARGAS!AE$16:AE$37)+SUMIF(REVENDIDOS!$B$16:$B$25,$A77,REVENDIDOS!V$16:V$25)</f>
        <v>26002.338467674</v>
      </c>
      <c r="P77" s="13" t="n">
        <f aca="false">SUMIF(MANUALES!$B$16:$B$72,$A77,MANUALES!V$16:V$72)+SUMIF(RODANTES!$B$16:$B$72,$A77,RODANTES!V$16:V$72)+SUMIF(RECARGAS!$B$16:$B$37,$A77,RECARGAS!AF$16:AF$37)+SUMIF(REVENDIDOS!$B$16:$B$25,$A77,REVENDIDOS!W$16:W$25)</f>
        <v>28613.3997200898</v>
      </c>
      <c r="Q77" s="13" t="n">
        <f aca="false">SUMIF(MANUALES!$B$16:$B$72,$A77,MANUALES!W$16:W$72)+SUMIF(RODANTES!$B$16:$B$72,$A77,RODANTES!W$16:W$72)+SUMIF(RECARGAS!$B$16:$B$37,$A77,RECARGAS!AG$16:AG$37)+SUMIF(REVENDIDOS!$B$16:$B$25,$A77,REVENDIDOS!X$16:X$25)</f>
        <v>32428.7706862536</v>
      </c>
      <c r="R77" s="13" t="n">
        <f aca="false">SUMIF(MANUALES!$B$16:$B$72,$A77,MANUALES!X$16:X$72)+SUMIF(RODANTES!$B$16:$B$72,$A77,RODANTES!X$16:X$72)+SUMIF(RECARGAS!$B$16:$B$37,$A77,RECARGAS!AH$16:AH$37)+SUMIF(REVENDIDOS!$B$16:$B$25,$A77,REVENDIDOS!Y$16:Y$25)</f>
        <v>3567.1647754879</v>
      </c>
    </row>
    <row r="78" customFormat="false" ht="15" hidden="false" customHeight="false" outlineLevel="0" collapsed="false">
      <c r="A78" s="3" t="s">
        <v>280</v>
      </c>
      <c r="B78" s="3" t="s">
        <v>281</v>
      </c>
      <c r="C78" s="3" t="s">
        <v>214</v>
      </c>
      <c r="D78" s="13" t="n">
        <f aca="false">SUMIF(MANUALES!$B$16:$B$72,$A78,MANUALES!W$16:W$72)</f>
        <v>1842.87697319699</v>
      </c>
      <c r="E78" s="13" t="n">
        <f aca="false">SUMIF(RODANTES!$B$16:$B$72,$A78,RODANTES!W$16:W$72)</f>
        <v>0</v>
      </c>
      <c r="F78" s="13" t="n">
        <f aca="false">SUMIF(RECARGAS!$B$16:$B$37,$A78,RECARGAS!AG$16:AG$37)</f>
        <v>0</v>
      </c>
      <c r="G78" s="13" t="n">
        <f aca="false">SUMIF(REVENDIDOS!$B$16:$B$25,$A78,REVENDIDOS!X$16:X$25)</f>
        <v>0</v>
      </c>
      <c r="H78" s="13" t="n">
        <f aca="false">SUMIF(MANUALES!$B$16:$B$72,$A78,MANUALES!N$16:N$72)+SUMIF(RODANTES!$B$16:$B$72,$A78,RODANTES!N$16:N$72)+SUMIF(RECARGAS!$B$16:$B$37,$A78,RECARGAS!X$16:X$37)+SUMIF(REVENDIDOS!$B$16:$B$25,$A78,REVENDIDOS!O$16:O$25)</f>
        <v>92.4087543518401</v>
      </c>
      <c r="I78" s="13" t="n">
        <f aca="false">SUMIF(MANUALES!$B$16:$B$72,$A78,MANUALES!O$16:O$72)+SUMIF(RODANTES!$B$16:$B$72,$A78,RODANTES!O$16:O$72)+SUMIF(RECARGAS!$B$16:$B$37,$A78,RECARGAS!Y$16:Y$37)+SUMIF(REVENDIDOS!$B$16:$B$25,$A78,REVENDIDOS!P$16:P$25)</f>
        <v>178.139434573852</v>
      </c>
      <c r="J78" s="13" t="n">
        <f aca="false">SUMIF(MANUALES!$B$16:$B$72,$A78,MANUALES!P$16:P$72)+SUMIF(RODANTES!$B$16:$B$72,$A78,RODANTES!P$16:P$72)+SUMIF(RECARGAS!$B$16:$B$37,$A78,RECARGAS!Z$16:Z$37)+SUMIF(REVENDIDOS!$B$16:$B$25,$A78,REVENDIDOS!Q$16:Q$25)</f>
        <v>255.06523127917</v>
      </c>
      <c r="K78" s="13" t="n">
        <f aca="false">SUMIF(MANUALES!$B$16:$B$72,$A78,MANUALES!Q$16:Q$72)+SUMIF(RODANTES!$B$16:$B$72,$A78,RODANTES!Q$16:Q$72)+SUMIF(RECARGAS!$B$16:$B$37,$A78,RECARGAS!AA$16:AA$37)+SUMIF(REVENDIDOS!$B$16:$B$25,$A78,REVENDIDOS!R$16:R$25)</f>
        <v>361.071030055753</v>
      </c>
      <c r="L78" s="13" t="n">
        <f aca="false">SUMIF(MANUALES!$B$16:$B$72,$A78,MANUALES!R$16:R$72)+SUMIF(RODANTES!$B$16:$B$72,$A78,RODANTES!R$16:R$72)+SUMIF(RECARGAS!$B$16:$B$37,$A78,RECARGAS!AB$16:AB$37)+SUMIF(REVENDIDOS!$B$16:$B$25,$A78,REVENDIDOS!S$16:S$25)</f>
        <v>605.624794650293</v>
      </c>
      <c r="M78" s="13" t="n">
        <f aca="false">SUMIF(MANUALES!$B$16:$B$72,$A78,MANUALES!S$16:S$72)+SUMIF(RODANTES!$B$16:$B$72,$A78,RODANTES!S$16:S$72)+SUMIF(RECARGAS!$B$16:$B$37,$A78,RECARGAS!AC$16:AC$37)+SUMIF(REVENDIDOS!$B$16:$B$25,$A78,REVENDIDOS!T$16:T$25)</f>
        <v>876.216751457047</v>
      </c>
      <c r="N78" s="13" t="n">
        <f aca="false">SUMIF(MANUALES!$B$16:$B$72,$A78,MANUALES!T$16:T$72)+SUMIF(RODANTES!$B$16:$B$72,$A78,RODANTES!T$16:T$72)+SUMIF(RECARGAS!$B$16:$B$37,$A78,RECARGAS!AD$16:AD$37)+SUMIF(REVENDIDOS!$B$16:$B$25,$A78,REVENDIDOS!U$16:U$25)</f>
        <v>1130.35497416121</v>
      </c>
      <c r="O78" s="13" t="n">
        <f aca="false">SUMIF(MANUALES!$B$16:$B$72,$A78,MANUALES!U$16:U$72)+SUMIF(RODANTES!$B$16:$B$72,$A78,RODANTES!U$16:U$72)+SUMIF(RECARGAS!$B$16:$B$37,$A78,RECARGAS!AE$16:AE$37)+SUMIF(REVENDIDOS!$B$16:$B$25,$A78,REVENDIDOS!V$16:V$25)</f>
        <v>1397.61759940245</v>
      </c>
      <c r="P78" s="13" t="n">
        <f aca="false">SUMIF(MANUALES!$B$16:$B$72,$A78,MANUALES!V$16:V$72)+SUMIF(RODANTES!$B$16:$B$72,$A78,RODANTES!V$16:V$72)+SUMIF(RECARGAS!$B$16:$B$37,$A78,RECARGAS!AF$16:AF$37)+SUMIF(REVENDIDOS!$B$16:$B$25,$A78,REVENDIDOS!W$16:W$25)</f>
        <v>1614.59478800518</v>
      </c>
      <c r="Q78" s="13" t="n">
        <f aca="false">SUMIF(MANUALES!$B$16:$B$72,$A78,MANUALES!W$16:W$72)+SUMIF(RODANTES!$B$16:$B$72,$A78,RODANTES!W$16:W$72)+SUMIF(RECARGAS!$B$16:$B$37,$A78,RECARGAS!AG$16:AG$37)+SUMIF(REVENDIDOS!$B$16:$B$25,$A78,REVENDIDOS!X$16:X$25)</f>
        <v>1842.87697319699</v>
      </c>
      <c r="R78" s="13" t="n">
        <f aca="false">SUMIF(MANUALES!$B$16:$B$72,$A78,MANUALES!X$16:X$72)+SUMIF(RODANTES!$B$16:$B$72,$A78,RODANTES!X$16:X$72)+SUMIF(RECARGAS!$B$16:$B$37,$A78,RECARGAS!AH$16:AH$37)+SUMIF(REVENDIDOS!$B$16:$B$25,$A78,REVENDIDOS!Y$16:Y$25)</f>
        <v>202.716467051669</v>
      </c>
    </row>
    <row r="79" customFormat="false" ht="15" hidden="false" customHeight="false" outlineLevel="0" collapsed="false">
      <c r="A79" s="3" t="s">
        <v>283</v>
      </c>
      <c r="B79" s="3" t="s">
        <v>284</v>
      </c>
      <c r="C79" s="3" t="s">
        <v>214</v>
      </c>
      <c r="D79" s="13" t="n">
        <f aca="false">SUMIF(MANUALES!$B$16:$B$72,$A79,MANUALES!W$16:W$72)</f>
        <v>32072.63913</v>
      </c>
      <c r="E79" s="13" t="n">
        <f aca="false">SUMIF(RODANTES!$B$16:$B$72,$A79,RODANTES!W$16:W$72)</f>
        <v>0</v>
      </c>
      <c r="F79" s="13" t="n">
        <f aca="false">SUMIF(RECARGAS!$B$16:$B$37,$A79,RECARGAS!AG$16:AG$37)</f>
        <v>0</v>
      </c>
      <c r="G79" s="13" t="n">
        <f aca="false">SUMIF(REVENDIDOS!$B$16:$B$25,$A79,REVENDIDOS!X$16:X$25)</f>
        <v>0</v>
      </c>
      <c r="H79" s="13" t="n">
        <f aca="false">SUMIF(MANUALES!$B$16:$B$72,$A79,MANUALES!N$16:N$72)+SUMIF(RODANTES!$B$16:$B$72,$A79,RODANTES!N$16:N$72)+SUMIF(RECARGAS!$B$16:$B$37,$A79,RECARGAS!X$16:X$37)+SUMIF(REVENDIDOS!$B$16:$B$25,$A79,REVENDIDOS!O$16:O$25)</f>
        <v>4178.736543</v>
      </c>
      <c r="I79" s="13" t="n">
        <f aca="false">SUMIF(MANUALES!$B$16:$B$72,$A79,MANUALES!O$16:O$72)+SUMIF(RODANTES!$B$16:$B$72,$A79,RODANTES!O$16:O$72)+SUMIF(RECARGAS!$B$16:$B$37,$A79,RECARGAS!Y$16:Y$37)+SUMIF(REVENDIDOS!$B$16:$B$25,$A79,REVENDIDOS!P$16:P$25)</f>
        <v>5997.303977</v>
      </c>
      <c r="J79" s="13" t="n">
        <f aca="false">SUMIF(MANUALES!$B$16:$B$72,$A79,MANUALES!P$16:P$72)+SUMIF(RODANTES!$B$16:$B$72,$A79,RODANTES!P$16:P$72)+SUMIF(RECARGAS!$B$16:$B$37,$A79,RECARGAS!Z$16:Z$37)+SUMIF(REVENDIDOS!$B$16:$B$25,$A79,REVENDIDOS!Q$16:Q$25)</f>
        <v>6851.747758</v>
      </c>
      <c r="K79" s="13" t="n">
        <f aca="false">SUMIF(MANUALES!$B$16:$B$72,$A79,MANUALES!Q$16:Q$72)+SUMIF(RODANTES!$B$16:$B$72,$A79,RODANTES!Q$16:Q$72)+SUMIF(RECARGAS!$B$16:$B$37,$A79,RECARGAS!AA$16:AA$37)+SUMIF(REVENDIDOS!$B$16:$B$25,$A79,REVENDIDOS!R$16:R$25)</f>
        <v>8467.135549</v>
      </c>
      <c r="L79" s="13" t="n">
        <f aca="false">SUMIF(MANUALES!$B$16:$B$72,$A79,MANUALES!R$16:R$72)+SUMIF(RODANTES!$B$16:$B$72,$A79,RODANTES!R$16:R$72)+SUMIF(RECARGAS!$B$16:$B$37,$A79,RECARGAS!AB$16:AB$37)+SUMIF(REVENDIDOS!$B$16:$B$25,$A79,REVENDIDOS!S$16:S$25)</f>
        <v>12680.63271</v>
      </c>
      <c r="M79" s="13" t="n">
        <f aca="false">SUMIF(MANUALES!$B$16:$B$72,$A79,MANUALES!S$16:S$72)+SUMIF(RODANTES!$B$16:$B$72,$A79,RODANTES!S$16:S$72)+SUMIF(RECARGAS!$B$16:$B$37,$A79,RECARGAS!AC$16:AC$37)+SUMIF(REVENDIDOS!$B$16:$B$25,$A79,REVENDIDOS!T$16:T$25)</f>
        <v>15620.25307</v>
      </c>
      <c r="N79" s="13" t="n">
        <f aca="false">SUMIF(MANUALES!$B$16:$B$72,$A79,MANUALES!T$16:T$72)+SUMIF(RODANTES!$B$16:$B$72,$A79,RODANTES!T$16:T$72)+SUMIF(RECARGAS!$B$16:$B$37,$A79,RECARGAS!AD$16:AD$37)+SUMIF(REVENDIDOS!$B$16:$B$25,$A79,REVENDIDOS!U$16:U$25)</f>
        <v>20332.55326</v>
      </c>
      <c r="O79" s="13" t="n">
        <f aca="false">SUMIF(MANUALES!$B$16:$B$72,$A79,MANUALES!U$16:U$72)+SUMIF(RODANTES!$B$16:$B$72,$A79,RODANTES!U$16:U$72)+SUMIF(RECARGAS!$B$16:$B$37,$A79,RECARGAS!AE$16:AE$37)+SUMIF(REVENDIDOS!$B$16:$B$25,$A79,REVENDIDOS!V$16:V$25)</f>
        <v>25132.07848</v>
      </c>
      <c r="P79" s="13" t="n">
        <f aca="false">SUMIF(MANUALES!$B$16:$B$72,$A79,MANUALES!V$16:V$72)+SUMIF(RODANTES!$B$16:$B$72,$A79,RODANTES!V$16:V$72)+SUMIF(RECARGAS!$B$16:$B$37,$A79,RECARGAS!AF$16:AF$37)+SUMIF(REVENDIDOS!$B$16:$B$25,$A79,REVENDIDOS!W$16:W$25)</f>
        <v>28573.33614</v>
      </c>
      <c r="Q79" s="13" t="n">
        <f aca="false">SUMIF(MANUALES!$B$16:$B$72,$A79,MANUALES!W$16:W$72)+SUMIF(RODANTES!$B$16:$B$72,$A79,RODANTES!W$16:W$72)+SUMIF(RECARGAS!$B$16:$B$37,$A79,RECARGAS!AG$16:AG$37)+SUMIF(REVENDIDOS!$B$16:$B$25,$A79,REVENDIDOS!X$16:X$25)</f>
        <v>32072.63913</v>
      </c>
      <c r="R79" s="13" t="n">
        <f aca="false">SUMIF(MANUALES!$B$16:$B$72,$A79,MANUALES!X$16:X$72)+SUMIF(RODANTES!$B$16:$B$72,$A79,RODANTES!X$16:X$72)+SUMIF(RECARGAS!$B$16:$B$37,$A79,RECARGAS!AH$16:AH$37)+SUMIF(REVENDIDOS!$B$16:$B$25,$A79,REVENDIDOS!Y$16:Y$25)</f>
        <v>3848.7166956</v>
      </c>
    </row>
    <row r="80" customFormat="false" ht="15" hidden="false" customHeight="false" outlineLevel="0" collapsed="false">
      <c r="A80" s="3" t="s">
        <v>286</v>
      </c>
      <c r="B80" s="3" t="s">
        <v>287</v>
      </c>
      <c r="C80" s="3" t="s">
        <v>214</v>
      </c>
      <c r="D80" s="13" t="n">
        <f aca="false">SUMIF(MANUALES!$B$16:$B$72,$A80,MANUALES!W$16:W$72)</f>
        <v>83393.0122069013</v>
      </c>
      <c r="E80" s="13" t="n">
        <f aca="false">SUMIF(RODANTES!$B$16:$B$72,$A80,RODANTES!W$16:W$72)</f>
        <v>0</v>
      </c>
      <c r="F80" s="13" t="n">
        <f aca="false">SUMIF(RECARGAS!$B$16:$B$37,$A80,RECARGAS!AG$16:AG$37)</f>
        <v>0</v>
      </c>
      <c r="G80" s="13" t="n">
        <f aca="false">SUMIF(REVENDIDOS!$B$16:$B$25,$A80,REVENDIDOS!X$16:X$25)</f>
        <v>0</v>
      </c>
      <c r="H80" s="13" t="n">
        <f aca="false">SUMIF(MANUALES!$B$16:$B$72,$A80,MANUALES!N$16:N$72)+SUMIF(RODANTES!$B$16:$B$72,$A80,RODANTES!N$16:N$72)+SUMIF(RECARGAS!$B$16:$B$37,$A80,RECARGAS!X$16:X$37)+SUMIF(REVENDIDOS!$B$16:$B$25,$A80,REVENDIDOS!O$16:O$25)</f>
        <v>6230.68536087961</v>
      </c>
      <c r="I80" s="13" t="n">
        <f aca="false">SUMIF(MANUALES!$B$16:$B$72,$A80,MANUALES!O$16:O$72)+SUMIF(RODANTES!$B$16:$B$72,$A80,RODANTES!O$16:O$72)+SUMIF(RECARGAS!$B$16:$B$37,$A80,RECARGAS!Y$16:Y$37)+SUMIF(REVENDIDOS!$B$16:$B$25,$A80,REVENDIDOS!P$16:P$25)</f>
        <v>12753.5550341195</v>
      </c>
      <c r="J80" s="13" t="n">
        <f aca="false">SUMIF(MANUALES!$B$16:$B$72,$A80,MANUALES!P$16:P$72)+SUMIF(RODANTES!$B$16:$B$72,$A80,RODANTES!P$16:P$72)+SUMIF(RECARGAS!$B$16:$B$37,$A80,RECARGAS!Z$16:Z$37)+SUMIF(REVENDIDOS!$B$16:$B$25,$A80,REVENDIDOS!Q$16:Q$25)</f>
        <v>16897.037571265</v>
      </c>
      <c r="K80" s="13" t="n">
        <f aca="false">SUMIF(MANUALES!$B$16:$B$72,$A80,MANUALES!Q$16:Q$72)+SUMIF(RODANTES!$B$16:$B$72,$A80,RODANTES!Q$16:Q$72)+SUMIF(RECARGAS!$B$16:$B$37,$A80,RECARGAS!AA$16:AA$37)+SUMIF(REVENDIDOS!$B$16:$B$25,$A80,REVENDIDOS!R$16:R$25)</f>
        <v>24565.2339945439</v>
      </c>
      <c r="L80" s="13" t="n">
        <f aca="false">SUMIF(MANUALES!$B$16:$B$72,$A80,MANUALES!R$16:R$72)+SUMIF(RODANTES!$B$16:$B$72,$A80,RODANTES!R$16:R$72)+SUMIF(RECARGAS!$B$16:$B$37,$A80,RECARGAS!AB$16:AB$37)+SUMIF(REVENDIDOS!$B$16:$B$25,$A80,REVENDIDOS!S$16:S$25)</f>
        <v>34826.6477111216</v>
      </c>
      <c r="M80" s="13" t="n">
        <f aca="false">SUMIF(MANUALES!$B$16:$B$72,$A80,MANUALES!S$16:S$72)+SUMIF(RODANTES!$B$16:$B$72,$A80,RODANTES!S$16:S$72)+SUMIF(RECARGAS!$B$16:$B$37,$A80,RECARGAS!AC$16:AC$37)+SUMIF(REVENDIDOS!$B$16:$B$25,$A80,REVENDIDOS!T$16:T$25)</f>
        <v>45732.2951999334</v>
      </c>
      <c r="N80" s="13" t="n">
        <f aca="false">SUMIF(MANUALES!$B$16:$B$72,$A80,MANUALES!T$16:T$72)+SUMIF(RODANTES!$B$16:$B$72,$A80,RODANTES!T$16:T$72)+SUMIF(RECARGAS!$B$16:$B$37,$A80,RECARGAS!AD$16:AD$37)+SUMIF(REVENDIDOS!$B$16:$B$25,$A80,REVENDIDOS!U$16:U$25)</f>
        <v>55734.305441338</v>
      </c>
      <c r="O80" s="13" t="n">
        <f aca="false">SUMIF(MANUALES!$B$16:$B$72,$A80,MANUALES!U$16:U$72)+SUMIF(RODANTES!$B$16:$B$72,$A80,RODANTES!U$16:U$72)+SUMIF(RECARGAS!$B$16:$B$37,$A80,RECARGAS!AE$16:AE$37)+SUMIF(REVENDIDOS!$B$16:$B$25,$A80,REVENDIDOS!V$16:V$25)</f>
        <v>65008.5253081528</v>
      </c>
      <c r="P80" s="13" t="n">
        <f aca="false">SUMIF(MANUALES!$B$16:$B$72,$A80,MANUALES!V$16:V$72)+SUMIF(RODANTES!$B$16:$B$72,$A80,RODANTES!V$16:V$72)+SUMIF(RECARGAS!$B$16:$B$37,$A80,RECARGAS!AF$16:AF$37)+SUMIF(REVENDIDOS!$B$16:$B$25,$A80,REVENDIDOS!W$16:W$25)</f>
        <v>72846.3615021901</v>
      </c>
      <c r="Q80" s="13" t="n">
        <f aca="false">SUMIF(MANUALES!$B$16:$B$72,$A80,MANUALES!W$16:W$72)+SUMIF(RODANTES!$B$16:$B$72,$A80,RODANTES!W$16:W$72)+SUMIF(RECARGAS!$B$16:$B$37,$A80,RECARGAS!AG$16:AG$37)+SUMIF(REVENDIDOS!$B$16:$B$25,$A80,REVENDIDOS!X$16:X$25)</f>
        <v>83393.0122069013</v>
      </c>
      <c r="R80" s="13" t="n">
        <f aca="false">SUMIF(MANUALES!$B$16:$B$72,$A80,MANUALES!X$16:X$72)+SUMIF(RODANTES!$B$16:$B$72,$A80,RODANTES!X$16:X$72)+SUMIF(RECARGAS!$B$16:$B$37,$A80,RECARGAS!AH$16:AH$37)+SUMIF(REVENDIDOS!$B$16:$B$25,$A80,REVENDIDOS!Y$16:Y$25)</f>
        <v>9173.23134275914</v>
      </c>
    </row>
    <row r="81" customFormat="false" ht="15" hidden="false" customHeight="false" outlineLevel="0" collapsed="false">
      <c r="A81" s="3" t="s">
        <v>533</v>
      </c>
      <c r="B81" s="3" t="s">
        <v>534</v>
      </c>
      <c r="C81" s="3" t="s">
        <v>214</v>
      </c>
      <c r="D81" s="13" t="n">
        <f aca="false">SUMIF(MANUALES!$B$16:$B$72,$A81,MANUALES!W$16:W$72)</f>
        <v>0</v>
      </c>
      <c r="E81" s="13" t="n">
        <f aca="false">SUMIF(RODANTES!$B$16:$B$72,$A81,RODANTES!W$16:W$72)</f>
        <v>0</v>
      </c>
      <c r="F81" s="13" t="n">
        <f aca="false">SUMIF(RECARGAS!$B$16:$B$37,$A81,RECARGAS!AG$16:AG$37)</f>
        <v>3105.77010888421</v>
      </c>
      <c r="G81" s="13" t="n">
        <f aca="false">SUMIF(REVENDIDOS!$B$16:$B$25,$A81,REVENDIDOS!X$16:X$25)</f>
        <v>0</v>
      </c>
      <c r="H81" s="13" t="n">
        <f aca="false">SUMIF(MANUALES!$B$16:$B$72,$A81,MANUALES!N$16:N$72)+SUMIF(RODANTES!$B$16:$B$72,$A81,RODANTES!N$16:N$72)+SUMIF(RECARGAS!$B$16:$B$37,$A81,RECARGAS!X$16:X$37)+SUMIF(REVENDIDOS!$B$16:$B$25,$A81,REVENDIDOS!O$16:O$25)</f>
        <v>58.701391760754</v>
      </c>
      <c r="I81" s="13" t="n">
        <f aca="false">SUMIF(MANUALES!$B$16:$B$72,$A81,MANUALES!O$16:O$72)+SUMIF(RODANTES!$B$16:$B$72,$A81,RODANTES!O$16:O$72)+SUMIF(RECARGAS!$B$16:$B$37,$A81,RECARGAS!Y$16:Y$37)+SUMIF(REVENDIDOS!$B$16:$B$25,$A81,REVENDIDOS!P$16:P$25)</f>
        <v>238.397701759929</v>
      </c>
      <c r="J81" s="13" t="n">
        <f aca="false">SUMIF(MANUALES!$B$16:$B$72,$A81,MANUALES!P$16:P$72)+SUMIF(RODANTES!$B$16:$B$72,$A81,RODANTES!P$16:P$72)+SUMIF(RECARGAS!$B$16:$B$37,$A81,RECARGAS!Z$16:Z$37)+SUMIF(REVENDIDOS!$B$16:$B$25,$A81,REVENDIDOS!Q$16:Q$25)</f>
        <v>542.790568707176</v>
      </c>
      <c r="K81" s="13" t="n">
        <f aca="false">SUMIF(MANUALES!$B$16:$B$72,$A81,MANUALES!Q$16:Q$72)+SUMIF(RODANTES!$B$16:$B$72,$A81,RODANTES!Q$16:Q$72)+SUMIF(RECARGAS!$B$16:$B$37,$A81,RECARGAS!AA$16:AA$37)+SUMIF(REVENDIDOS!$B$16:$B$25,$A81,REVENDIDOS!R$16:R$25)</f>
        <v>1020.40157438122</v>
      </c>
      <c r="L81" s="13" t="n">
        <f aca="false">SUMIF(MANUALES!$B$16:$B$72,$A81,MANUALES!R$16:R$72)+SUMIF(RODANTES!$B$16:$B$72,$A81,RODANTES!R$16:R$72)+SUMIF(RECARGAS!$B$16:$B$37,$A81,RECARGAS!AB$16:AB$37)+SUMIF(REVENDIDOS!$B$16:$B$25,$A81,REVENDIDOS!S$16:S$25)</f>
        <v>1472.74433112732</v>
      </c>
      <c r="M81" s="13" t="n">
        <f aca="false">SUMIF(MANUALES!$B$16:$B$72,$A81,MANUALES!S$16:S$72)+SUMIF(RODANTES!$B$16:$B$72,$A81,RODANTES!S$16:S$72)+SUMIF(RECARGAS!$B$16:$B$37,$A81,RECARGAS!AC$16:AC$37)+SUMIF(REVENDIDOS!$B$16:$B$25,$A81,REVENDIDOS!T$16:T$25)</f>
        <v>1958.73804342551</v>
      </c>
      <c r="N81" s="13" t="n">
        <f aca="false">SUMIF(MANUALES!$B$16:$B$72,$A81,MANUALES!T$16:T$72)+SUMIF(RODANTES!$B$16:$B$72,$A81,RODANTES!T$16:T$72)+SUMIF(RECARGAS!$B$16:$B$37,$A81,RECARGAS!AD$16:AD$37)+SUMIF(REVENDIDOS!$B$16:$B$25,$A81,REVENDIDOS!U$16:U$25)</f>
        <v>2402.8414294977</v>
      </c>
      <c r="O81" s="13" t="n">
        <f aca="false">SUMIF(MANUALES!$B$16:$B$72,$A81,MANUALES!U$16:U$72)+SUMIF(RODANTES!$B$16:$B$72,$A81,RODANTES!U$16:U$72)+SUMIF(RECARGAS!$B$16:$B$37,$A81,RECARGAS!AE$16:AE$37)+SUMIF(REVENDIDOS!$B$16:$B$25,$A81,REVENDIDOS!V$16:V$25)</f>
        <v>2670.09178268887</v>
      </c>
      <c r="P81" s="13" t="n">
        <f aca="false">SUMIF(MANUALES!$B$16:$B$72,$A81,MANUALES!V$16:V$72)+SUMIF(RODANTES!$B$16:$B$72,$A81,RODANTES!V$16:V$72)+SUMIF(RECARGAS!$B$16:$B$37,$A81,RECARGAS!AF$16:AF$37)+SUMIF(REVENDIDOS!$B$16:$B$25,$A81,REVENDIDOS!W$16:W$25)</f>
        <v>2886.1322491769</v>
      </c>
      <c r="Q81" s="13" t="n">
        <f aca="false">SUMIF(MANUALES!$B$16:$B$72,$A81,MANUALES!W$16:W$72)+SUMIF(RODANTES!$B$16:$B$72,$A81,RODANTES!W$16:W$72)+SUMIF(RECARGAS!$B$16:$B$37,$A81,RECARGAS!AG$16:AG$37)+SUMIF(REVENDIDOS!$B$16:$B$25,$A81,REVENDIDOS!X$16:X$25)</f>
        <v>3105.77010888421</v>
      </c>
      <c r="R81" s="13" t="n">
        <f aca="false">SUMIF(MANUALES!$B$16:$B$72,$A81,MANUALES!X$16:X$72)+SUMIF(RODANTES!$B$16:$B$72,$A81,RODANTES!X$16:X$72)+SUMIF(RECARGAS!$B$16:$B$37,$A81,RECARGAS!AH$16:AH$37)+SUMIF(REVENDIDOS!$B$16:$B$25,$A81,REVENDIDOS!Y$16:Y$25)</f>
        <v>258.814175740351</v>
      </c>
    </row>
    <row r="82" customFormat="false" ht="15" hidden="false" customHeight="false" outlineLevel="0" collapsed="false">
      <c r="A82" s="3" t="s">
        <v>289</v>
      </c>
      <c r="B82" s="3" t="s">
        <v>290</v>
      </c>
      <c r="C82" s="3" t="s">
        <v>214</v>
      </c>
      <c r="D82" s="13" t="n">
        <f aca="false">SUMIF(MANUALES!$B$16:$B$72,$A82,MANUALES!W$16:W$72)</f>
        <v>32072.63913</v>
      </c>
      <c r="E82" s="13" t="n">
        <f aca="false">SUMIF(RODANTES!$B$16:$B$72,$A82,RODANTES!W$16:W$72)</f>
        <v>0</v>
      </c>
      <c r="F82" s="13" t="n">
        <f aca="false">SUMIF(RECARGAS!$B$16:$B$37,$A82,RECARGAS!AG$16:AG$37)</f>
        <v>0</v>
      </c>
      <c r="G82" s="13" t="n">
        <f aca="false">SUMIF(REVENDIDOS!$B$16:$B$25,$A82,REVENDIDOS!X$16:X$25)</f>
        <v>0</v>
      </c>
      <c r="H82" s="13" t="n">
        <f aca="false">SUMIF(MANUALES!$B$16:$B$72,$A82,MANUALES!N$16:N$72)+SUMIF(RODANTES!$B$16:$B$72,$A82,RODANTES!N$16:N$72)+SUMIF(RECARGAS!$B$16:$B$37,$A82,RECARGAS!X$16:X$37)+SUMIF(REVENDIDOS!$B$16:$B$25,$A82,REVENDIDOS!O$16:O$25)</f>
        <v>4178.736543</v>
      </c>
      <c r="I82" s="13" t="n">
        <f aca="false">SUMIF(MANUALES!$B$16:$B$72,$A82,MANUALES!O$16:O$72)+SUMIF(RODANTES!$B$16:$B$72,$A82,RODANTES!O$16:O$72)+SUMIF(RECARGAS!$B$16:$B$37,$A82,RECARGAS!Y$16:Y$37)+SUMIF(REVENDIDOS!$B$16:$B$25,$A82,REVENDIDOS!P$16:P$25)</f>
        <v>5997.303977</v>
      </c>
      <c r="J82" s="13" t="n">
        <f aca="false">SUMIF(MANUALES!$B$16:$B$72,$A82,MANUALES!P$16:P$72)+SUMIF(RODANTES!$B$16:$B$72,$A82,RODANTES!P$16:P$72)+SUMIF(RECARGAS!$B$16:$B$37,$A82,RECARGAS!Z$16:Z$37)+SUMIF(REVENDIDOS!$B$16:$B$25,$A82,REVENDIDOS!Q$16:Q$25)</f>
        <v>6851.747758</v>
      </c>
      <c r="K82" s="13" t="n">
        <f aca="false">SUMIF(MANUALES!$B$16:$B$72,$A82,MANUALES!Q$16:Q$72)+SUMIF(RODANTES!$B$16:$B$72,$A82,RODANTES!Q$16:Q$72)+SUMIF(RECARGAS!$B$16:$B$37,$A82,RECARGAS!AA$16:AA$37)+SUMIF(REVENDIDOS!$B$16:$B$25,$A82,REVENDIDOS!R$16:R$25)</f>
        <v>8467.135549</v>
      </c>
      <c r="L82" s="13" t="n">
        <f aca="false">SUMIF(MANUALES!$B$16:$B$72,$A82,MANUALES!R$16:R$72)+SUMIF(RODANTES!$B$16:$B$72,$A82,RODANTES!R$16:R$72)+SUMIF(RECARGAS!$B$16:$B$37,$A82,RECARGAS!AB$16:AB$37)+SUMIF(REVENDIDOS!$B$16:$B$25,$A82,REVENDIDOS!S$16:S$25)</f>
        <v>12680.63271</v>
      </c>
      <c r="M82" s="13" t="n">
        <f aca="false">SUMIF(MANUALES!$B$16:$B$72,$A82,MANUALES!S$16:S$72)+SUMIF(RODANTES!$B$16:$B$72,$A82,RODANTES!S$16:S$72)+SUMIF(RECARGAS!$B$16:$B$37,$A82,RECARGAS!AC$16:AC$37)+SUMIF(REVENDIDOS!$B$16:$B$25,$A82,REVENDIDOS!T$16:T$25)</f>
        <v>15620.25307</v>
      </c>
      <c r="N82" s="13" t="n">
        <f aca="false">SUMIF(MANUALES!$B$16:$B$72,$A82,MANUALES!T$16:T$72)+SUMIF(RODANTES!$B$16:$B$72,$A82,RODANTES!T$16:T$72)+SUMIF(RECARGAS!$B$16:$B$37,$A82,RECARGAS!AD$16:AD$37)+SUMIF(REVENDIDOS!$B$16:$B$25,$A82,REVENDIDOS!U$16:U$25)</f>
        <v>20332.55326</v>
      </c>
      <c r="O82" s="13" t="n">
        <f aca="false">SUMIF(MANUALES!$B$16:$B$72,$A82,MANUALES!U$16:U$72)+SUMIF(RODANTES!$B$16:$B$72,$A82,RODANTES!U$16:U$72)+SUMIF(RECARGAS!$B$16:$B$37,$A82,RECARGAS!AE$16:AE$37)+SUMIF(REVENDIDOS!$B$16:$B$25,$A82,REVENDIDOS!V$16:V$25)</f>
        <v>25132.07848</v>
      </c>
      <c r="P82" s="13" t="n">
        <f aca="false">SUMIF(MANUALES!$B$16:$B$72,$A82,MANUALES!V$16:V$72)+SUMIF(RODANTES!$B$16:$B$72,$A82,RODANTES!V$16:V$72)+SUMIF(RECARGAS!$B$16:$B$37,$A82,RECARGAS!AF$16:AF$37)+SUMIF(REVENDIDOS!$B$16:$B$25,$A82,REVENDIDOS!W$16:W$25)</f>
        <v>28573.33614</v>
      </c>
      <c r="Q82" s="13" t="n">
        <f aca="false">SUMIF(MANUALES!$B$16:$B$72,$A82,MANUALES!W$16:W$72)+SUMIF(RODANTES!$B$16:$B$72,$A82,RODANTES!W$16:W$72)+SUMIF(RECARGAS!$B$16:$B$37,$A82,RECARGAS!AG$16:AG$37)+SUMIF(REVENDIDOS!$B$16:$B$25,$A82,REVENDIDOS!X$16:X$25)</f>
        <v>32072.63913</v>
      </c>
      <c r="R82" s="13" t="n">
        <f aca="false">SUMIF(MANUALES!$B$16:$B$72,$A82,MANUALES!X$16:X$72)+SUMIF(RODANTES!$B$16:$B$72,$A82,RODANTES!X$16:X$72)+SUMIF(RECARGAS!$B$16:$B$37,$A82,RECARGAS!AH$16:AH$37)+SUMIF(REVENDIDOS!$B$16:$B$25,$A82,REVENDIDOS!Y$16:Y$25)</f>
        <v>3848.7166956</v>
      </c>
    </row>
    <row r="83" customFormat="false" ht="15" hidden="false" customHeight="false" outlineLevel="0" collapsed="false">
      <c r="A83" s="3" t="s">
        <v>292</v>
      </c>
      <c r="B83" s="3" t="s">
        <v>293</v>
      </c>
      <c r="C83" s="3" t="s">
        <v>214</v>
      </c>
      <c r="D83" s="13" t="n">
        <f aca="false">SUMIF(MANUALES!$B$16:$B$72,$A83,MANUALES!W$16:W$72)</f>
        <v>7424.858444</v>
      </c>
      <c r="E83" s="13" t="n">
        <f aca="false">SUMIF(RODANTES!$B$16:$B$72,$A83,RODANTES!W$16:W$72)</f>
        <v>0</v>
      </c>
      <c r="F83" s="13" t="n">
        <f aca="false">SUMIF(RECARGAS!$B$16:$B$37,$A83,RECARGAS!AG$16:AG$37)</f>
        <v>0</v>
      </c>
      <c r="G83" s="13" t="n">
        <f aca="false">SUMIF(REVENDIDOS!$B$16:$B$25,$A83,REVENDIDOS!X$16:X$25)</f>
        <v>0</v>
      </c>
      <c r="H83" s="13" t="n">
        <f aca="false">SUMIF(MANUALES!$B$16:$B$72,$A83,MANUALES!N$16:N$72)+SUMIF(RODANTES!$B$16:$B$72,$A83,RODANTES!N$16:N$72)+SUMIF(RECARGAS!$B$16:$B$37,$A83,RECARGAS!X$16:X$37)+SUMIF(REVENDIDOS!$B$16:$B$25,$A83,REVENDIDOS!O$16:O$25)</f>
        <v>295.0303572</v>
      </c>
      <c r="I83" s="13" t="n">
        <f aca="false">SUMIF(MANUALES!$B$16:$B$72,$A83,MANUALES!O$16:O$72)+SUMIF(RODANTES!$B$16:$B$72,$A83,RODANTES!O$16:O$72)+SUMIF(RECARGAS!$B$16:$B$37,$A83,RECARGAS!Y$16:Y$37)+SUMIF(REVENDIDOS!$B$16:$B$25,$A83,REVENDIDOS!P$16:P$25)</f>
        <v>709.7274503</v>
      </c>
      <c r="J83" s="13" t="n">
        <f aca="false">SUMIF(MANUALES!$B$16:$B$72,$A83,MANUALES!P$16:P$72)+SUMIF(RODANTES!$B$16:$B$72,$A83,RODANTES!P$16:P$72)+SUMIF(RECARGAS!$B$16:$B$37,$A83,RECARGAS!Z$16:Z$37)+SUMIF(REVENDIDOS!$B$16:$B$25,$A83,REVENDIDOS!Q$16:Q$25)</f>
        <v>986.8680576</v>
      </c>
      <c r="K83" s="13" t="n">
        <f aca="false">SUMIF(MANUALES!$B$16:$B$72,$A83,MANUALES!Q$16:Q$72)+SUMIF(RODANTES!$B$16:$B$72,$A83,RODANTES!Q$16:Q$72)+SUMIF(RECARGAS!$B$16:$B$37,$A83,RECARGAS!AA$16:AA$37)+SUMIF(REVENDIDOS!$B$16:$B$25,$A83,REVENDIDOS!R$16:R$25)</f>
        <v>1500.638174</v>
      </c>
      <c r="L83" s="13" t="n">
        <f aca="false">SUMIF(MANUALES!$B$16:$B$72,$A83,MANUALES!R$16:R$72)+SUMIF(RODANTES!$B$16:$B$72,$A83,RODANTES!R$16:R$72)+SUMIF(RECARGAS!$B$16:$B$37,$A83,RECARGAS!AB$16:AB$37)+SUMIF(REVENDIDOS!$B$16:$B$25,$A83,REVENDIDOS!S$16:S$25)</f>
        <v>2312.627726</v>
      </c>
      <c r="M83" s="13" t="n">
        <f aca="false">SUMIF(MANUALES!$B$16:$B$72,$A83,MANUALES!S$16:S$72)+SUMIF(RODANTES!$B$16:$B$72,$A83,RODANTES!S$16:S$72)+SUMIF(RECARGAS!$B$16:$B$37,$A83,RECARGAS!AC$16:AC$37)+SUMIF(REVENDIDOS!$B$16:$B$25,$A83,REVENDIDOS!T$16:T$25)</f>
        <v>3252.869887</v>
      </c>
      <c r="N83" s="13" t="n">
        <f aca="false">SUMIF(MANUALES!$B$16:$B$72,$A83,MANUALES!T$16:T$72)+SUMIF(RODANTES!$B$16:$B$72,$A83,RODANTES!T$16:T$72)+SUMIF(RECARGAS!$B$16:$B$37,$A83,RECARGAS!AD$16:AD$37)+SUMIF(REVENDIDOS!$B$16:$B$25,$A83,REVENDIDOS!U$16:U$25)</f>
        <v>4102.315524</v>
      </c>
      <c r="O83" s="13" t="n">
        <f aca="false">SUMIF(MANUALES!$B$16:$B$72,$A83,MANUALES!U$16:U$72)+SUMIF(RODANTES!$B$16:$B$72,$A83,RODANTES!U$16:U$72)+SUMIF(RECARGAS!$B$16:$B$37,$A83,RECARGAS!AE$16:AE$37)+SUMIF(REVENDIDOS!$B$16:$B$25,$A83,REVENDIDOS!V$16:V$25)</f>
        <v>5104.306587</v>
      </c>
      <c r="P83" s="13" t="n">
        <f aca="false">SUMIF(MANUALES!$B$16:$B$72,$A83,MANUALES!V$16:V$72)+SUMIF(RODANTES!$B$16:$B$72,$A83,RODANTES!V$16:V$72)+SUMIF(RECARGAS!$B$16:$B$37,$A83,RECARGAS!AF$16:AF$37)+SUMIF(REVENDIDOS!$B$16:$B$25,$A83,REVENDIDOS!W$16:W$25)</f>
        <v>6195.186243</v>
      </c>
      <c r="Q83" s="13" t="n">
        <f aca="false">SUMIF(MANUALES!$B$16:$B$72,$A83,MANUALES!W$16:W$72)+SUMIF(RODANTES!$B$16:$B$72,$A83,RODANTES!W$16:W$72)+SUMIF(RECARGAS!$B$16:$B$37,$A83,RECARGAS!AG$16:AG$37)+SUMIF(REVENDIDOS!$B$16:$B$25,$A83,REVENDIDOS!X$16:X$25)</f>
        <v>7424.858444</v>
      </c>
      <c r="R83" s="13" t="n">
        <f aca="false">SUMIF(MANUALES!$B$16:$B$72,$A83,MANUALES!X$16:X$72)+SUMIF(RODANTES!$B$16:$B$72,$A83,RODANTES!X$16:X$72)+SUMIF(RECARGAS!$B$16:$B$37,$A83,RECARGAS!AH$16:AH$37)+SUMIF(REVENDIDOS!$B$16:$B$25,$A83,REVENDIDOS!Y$16:Y$25)</f>
        <v>816.73442884</v>
      </c>
    </row>
    <row r="84" customFormat="false" ht="15" hidden="false" customHeight="false" outlineLevel="0" collapsed="false">
      <c r="A84" s="3" t="s">
        <v>295</v>
      </c>
      <c r="B84" s="3" t="s">
        <v>296</v>
      </c>
      <c r="C84" s="3" t="s">
        <v>214</v>
      </c>
      <c r="D84" s="13" t="n">
        <f aca="false">SUMIF(MANUALES!$B$16:$B$72,$A84,MANUALES!W$16:W$72)</f>
        <v>32428.7706862536</v>
      </c>
      <c r="E84" s="13" t="n">
        <f aca="false">SUMIF(RODANTES!$B$16:$B$72,$A84,RODANTES!W$16:W$72)</f>
        <v>0</v>
      </c>
      <c r="F84" s="13" t="n">
        <f aca="false">SUMIF(RECARGAS!$B$16:$B$37,$A84,RECARGAS!AG$16:AG$37)</f>
        <v>0</v>
      </c>
      <c r="G84" s="13" t="n">
        <f aca="false">SUMIF(REVENDIDOS!$B$16:$B$25,$A84,REVENDIDOS!X$16:X$25)</f>
        <v>0</v>
      </c>
      <c r="H84" s="13" t="n">
        <f aca="false">SUMIF(MANUALES!$B$16:$B$72,$A84,MANUALES!N$16:N$72)+SUMIF(RODANTES!$B$16:$B$72,$A84,RODANTES!N$16:N$72)+SUMIF(RECARGAS!$B$16:$B$37,$A84,RECARGAS!X$16:X$37)+SUMIF(REVENDIDOS!$B$16:$B$25,$A84,REVENDIDOS!O$16:O$25)</f>
        <v>2727.90356888796</v>
      </c>
      <c r="I84" s="13" t="n">
        <f aca="false">SUMIF(MANUALES!$B$16:$B$72,$A84,MANUALES!O$16:O$72)+SUMIF(RODANTES!$B$16:$B$72,$A84,RODANTES!O$16:O$72)+SUMIF(RECARGAS!$B$16:$B$37,$A84,RECARGAS!Y$16:Y$37)+SUMIF(REVENDIDOS!$B$16:$B$25,$A84,REVENDIDOS!P$16:P$25)</f>
        <v>5488.91063218589</v>
      </c>
      <c r="J84" s="13" t="n">
        <f aca="false">SUMIF(MANUALES!$B$16:$B$72,$A84,MANUALES!P$16:P$72)+SUMIF(RODANTES!$B$16:$B$72,$A84,RODANTES!P$16:P$72)+SUMIF(RECARGAS!$B$16:$B$37,$A84,RECARGAS!Z$16:Z$37)+SUMIF(REVENDIDOS!$B$16:$B$25,$A84,REVENDIDOS!Q$16:Q$25)</f>
        <v>7206.58549675331</v>
      </c>
      <c r="K84" s="13" t="n">
        <f aca="false">SUMIF(MANUALES!$B$16:$B$72,$A84,MANUALES!Q$16:Q$72)+SUMIF(RODANTES!$B$16:$B$72,$A84,RODANTES!Q$16:Q$72)+SUMIF(RECARGAS!$B$16:$B$37,$A84,RECARGAS!AA$16:AA$37)+SUMIF(REVENDIDOS!$B$16:$B$25,$A84,REVENDIDOS!R$16:R$25)</f>
        <v>10420.9077932162</v>
      </c>
      <c r="L84" s="13" t="n">
        <f aca="false">SUMIF(MANUALES!$B$16:$B$72,$A84,MANUALES!R$16:R$72)+SUMIF(RODANTES!$B$16:$B$72,$A84,RODANTES!R$16:R$72)+SUMIF(RECARGAS!$B$16:$B$37,$A84,RECARGAS!AB$16:AB$37)+SUMIF(REVENDIDOS!$B$16:$B$25,$A84,REVENDIDOS!S$16:S$25)</f>
        <v>14495.0713349105</v>
      </c>
      <c r="M84" s="13" t="n">
        <f aca="false">SUMIF(MANUALES!$B$16:$B$72,$A84,MANUALES!S$16:S$72)+SUMIF(RODANTES!$B$16:$B$72,$A84,RODANTES!S$16:S$72)+SUMIF(RECARGAS!$B$16:$B$37,$A84,RECARGAS!AC$16:AC$37)+SUMIF(REVENDIDOS!$B$16:$B$25,$A84,REVENDIDOS!T$16:T$25)</f>
        <v>18737.0609615097</v>
      </c>
      <c r="N84" s="13" t="n">
        <f aca="false">SUMIF(MANUALES!$B$16:$B$72,$A84,MANUALES!T$16:T$72)+SUMIF(RODANTES!$B$16:$B$72,$A84,RODANTES!T$16:T$72)+SUMIF(RECARGAS!$B$16:$B$37,$A84,RECARGAS!AD$16:AD$37)+SUMIF(REVENDIDOS!$B$16:$B$25,$A84,REVENDIDOS!U$16:U$25)</f>
        <v>22634.4822225078</v>
      </c>
      <c r="O84" s="13" t="n">
        <f aca="false">SUMIF(MANUALES!$B$16:$B$72,$A84,MANUALES!U$16:U$72)+SUMIF(RODANTES!$B$16:$B$72,$A84,RODANTES!U$16:U$72)+SUMIF(RECARGAS!$B$16:$B$37,$A84,RECARGAS!AE$16:AE$37)+SUMIF(REVENDIDOS!$B$16:$B$25,$A84,REVENDIDOS!V$16:V$25)</f>
        <v>26002.338467674</v>
      </c>
      <c r="P84" s="13" t="n">
        <f aca="false">SUMIF(MANUALES!$B$16:$B$72,$A84,MANUALES!V$16:V$72)+SUMIF(RODANTES!$B$16:$B$72,$A84,RODANTES!V$16:V$72)+SUMIF(RECARGAS!$B$16:$B$37,$A84,RECARGAS!AF$16:AF$37)+SUMIF(REVENDIDOS!$B$16:$B$25,$A84,REVENDIDOS!W$16:W$25)</f>
        <v>28613.3997200898</v>
      </c>
      <c r="Q84" s="13" t="n">
        <f aca="false">SUMIF(MANUALES!$B$16:$B$72,$A84,MANUALES!W$16:W$72)+SUMIF(RODANTES!$B$16:$B$72,$A84,RODANTES!W$16:W$72)+SUMIF(RECARGAS!$B$16:$B$37,$A84,RECARGAS!AG$16:AG$37)+SUMIF(REVENDIDOS!$B$16:$B$25,$A84,REVENDIDOS!X$16:X$25)</f>
        <v>32428.7706862536</v>
      </c>
      <c r="R84" s="13" t="n">
        <f aca="false">SUMIF(MANUALES!$B$16:$B$72,$A84,MANUALES!X$16:X$72)+SUMIF(RODANTES!$B$16:$B$72,$A84,RODANTES!X$16:X$72)+SUMIF(RECARGAS!$B$16:$B$37,$A84,RECARGAS!AH$16:AH$37)+SUMIF(REVENDIDOS!$B$16:$B$25,$A84,REVENDIDOS!Y$16:Y$25)</f>
        <v>3567.1647754879</v>
      </c>
    </row>
    <row r="85" customFormat="false" ht="15" hidden="false" customHeight="false" outlineLevel="0" collapsed="false">
      <c r="A85" s="3" t="s">
        <v>298</v>
      </c>
      <c r="B85" s="3" t="s">
        <v>299</v>
      </c>
      <c r="C85" s="3" t="s">
        <v>214</v>
      </c>
      <c r="D85" s="13" t="n">
        <f aca="false">SUMIF(MANUALES!$B$16:$B$72,$A85,MANUALES!W$16:W$72)</f>
        <v>1842.87697319699</v>
      </c>
      <c r="E85" s="13" t="n">
        <f aca="false">SUMIF(RODANTES!$B$16:$B$72,$A85,RODANTES!W$16:W$72)</f>
        <v>0</v>
      </c>
      <c r="F85" s="13" t="n">
        <f aca="false">SUMIF(RECARGAS!$B$16:$B$37,$A85,RECARGAS!AG$16:AG$37)</f>
        <v>0</v>
      </c>
      <c r="G85" s="13" t="n">
        <f aca="false">SUMIF(REVENDIDOS!$B$16:$B$25,$A85,REVENDIDOS!X$16:X$25)</f>
        <v>0</v>
      </c>
      <c r="H85" s="13" t="n">
        <f aca="false">SUMIF(MANUALES!$B$16:$B$72,$A85,MANUALES!N$16:N$72)+SUMIF(RODANTES!$B$16:$B$72,$A85,RODANTES!N$16:N$72)+SUMIF(RECARGAS!$B$16:$B$37,$A85,RECARGAS!X$16:X$37)+SUMIF(REVENDIDOS!$B$16:$B$25,$A85,REVENDIDOS!O$16:O$25)</f>
        <v>92.4087543518401</v>
      </c>
      <c r="I85" s="13" t="n">
        <f aca="false">SUMIF(MANUALES!$B$16:$B$72,$A85,MANUALES!O$16:O$72)+SUMIF(RODANTES!$B$16:$B$72,$A85,RODANTES!O$16:O$72)+SUMIF(RECARGAS!$B$16:$B$37,$A85,RECARGAS!Y$16:Y$37)+SUMIF(REVENDIDOS!$B$16:$B$25,$A85,REVENDIDOS!P$16:P$25)</f>
        <v>178.139434573852</v>
      </c>
      <c r="J85" s="13" t="n">
        <f aca="false">SUMIF(MANUALES!$B$16:$B$72,$A85,MANUALES!P$16:P$72)+SUMIF(RODANTES!$B$16:$B$72,$A85,RODANTES!P$16:P$72)+SUMIF(RECARGAS!$B$16:$B$37,$A85,RECARGAS!Z$16:Z$37)+SUMIF(REVENDIDOS!$B$16:$B$25,$A85,REVENDIDOS!Q$16:Q$25)</f>
        <v>255.06523127917</v>
      </c>
      <c r="K85" s="13" t="n">
        <f aca="false">SUMIF(MANUALES!$B$16:$B$72,$A85,MANUALES!Q$16:Q$72)+SUMIF(RODANTES!$B$16:$B$72,$A85,RODANTES!Q$16:Q$72)+SUMIF(RECARGAS!$B$16:$B$37,$A85,RECARGAS!AA$16:AA$37)+SUMIF(REVENDIDOS!$B$16:$B$25,$A85,REVENDIDOS!R$16:R$25)</f>
        <v>361.071030055753</v>
      </c>
      <c r="L85" s="13" t="n">
        <f aca="false">SUMIF(MANUALES!$B$16:$B$72,$A85,MANUALES!R$16:R$72)+SUMIF(RODANTES!$B$16:$B$72,$A85,RODANTES!R$16:R$72)+SUMIF(RECARGAS!$B$16:$B$37,$A85,RECARGAS!AB$16:AB$37)+SUMIF(REVENDIDOS!$B$16:$B$25,$A85,REVENDIDOS!S$16:S$25)</f>
        <v>605.624794650293</v>
      </c>
      <c r="M85" s="13" t="n">
        <f aca="false">SUMIF(MANUALES!$B$16:$B$72,$A85,MANUALES!S$16:S$72)+SUMIF(RODANTES!$B$16:$B$72,$A85,RODANTES!S$16:S$72)+SUMIF(RECARGAS!$B$16:$B$37,$A85,RECARGAS!AC$16:AC$37)+SUMIF(REVENDIDOS!$B$16:$B$25,$A85,REVENDIDOS!T$16:T$25)</f>
        <v>876.216751457047</v>
      </c>
      <c r="N85" s="13" t="n">
        <f aca="false">SUMIF(MANUALES!$B$16:$B$72,$A85,MANUALES!T$16:T$72)+SUMIF(RODANTES!$B$16:$B$72,$A85,RODANTES!T$16:T$72)+SUMIF(RECARGAS!$B$16:$B$37,$A85,RECARGAS!AD$16:AD$37)+SUMIF(REVENDIDOS!$B$16:$B$25,$A85,REVENDIDOS!U$16:U$25)</f>
        <v>1130.35497416121</v>
      </c>
      <c r="O85" s="13" t="n">
        <f aca="false">SUMIF(MANUALES!$B$16:$B$72,$A85,MANUALES!U$16:U$72)+SUMIF(RODANTES!$B$16:$B$72,$A85,RODANTES!U$16:U$72)+SUMIF(RECARGAS!$B$16:$B$37,$A85,RECARGAS!AE$16:AE$37)+SUMIF(REVENDIDOS!$B$16:$B$25,$A85,REVENDIDOS!V$16:V$25)</f>
        <v>1397.61759940245</v>
      </c>
      <c r="P85" s="13" t="n">
        <f aca="false">SUMIF(MANUALES!$B$16:$B$72,$A85,MANUALES!V$16:V$72)+SUMIF(RODANTES!$B$16:$B$72,$A85,RODANTES!V$16:V$72)+SUMIF(RECARGAS!$B$16:$B$37,$A85,RECARGAS!AF$16:AF$37)+SUMIF(REVENDIDOS!$B$16:$B$25,$A85,REVENDIDOS!W$16:W$25)</f>
        <v>1614.59478800518</v>
      </c>
      <c r="Q85" s="13" t="n">
        <f aca="false">SUMIF(MANUALES!$B$16:$B$72,$A85,MANUALES!W$16:W$72)+SUMIF(RODANTES!$B$16:$B$72,$A85,RODANTES!W$16:W$72)+SUMIF(RECARGAS!$B$16:$B$37,$A85,RECARGAS!AG$16:AG$37)+SUMIF(REVENDIDOS!$B$16:$B$25,$A85,REVENDIDOS!X$16:X$25)</f>
        <v>1842.87697319699</v>
      </c>
      <c r="R85" s="13" t="n">
        <f aca="false">SUMIF(MANUALES!$B$16:$B$72,$A85,MANUALES!X$16:X$72)+SUMIF(RODANTES!$B$16:$B$72,$A85,RODANTES!X$16:X$72)+SUMIF(RECARGAS!$B$16:$B$37,$A85,RECARGAS!AH$16:AH$37)+SUMIF(REVENDIDOS!$B$16:$B$25,$A85,REVENDIDOS!Y$16:Y$25)</f>
        <v>202.716467051669</v>
      </c>
    </row>
    <row r="86" customFormat="false" ht="15" hidden="false" customHeight="false" outlineLevel="0" collapsed="false">
      <c r="A86" s="3" t="s">
        <v>481</v>
      </c>
      <c r="B86" s="3" t="s">
        <v>482</v>
      </c>
      <c r="C86" s="3" t="s">
        <v>214</v>
      </c>
      <c r="D86" s="13" t="n">
        <f aca="false">SUMIF(MANUALES!$B$16:$B$72,$A86,MANUALES!W$16:W$72)</f>
        <v>0</v>
      </c>
      <c r="E86" s="13" t="n">
        <f aca="false">SUMIF(RODANTES!$B$16:$B$72,$A86,RODANTES!W$16:W$72)</f>
        <v>453.2705332</v>
      </c>
      <c r="F86" s="13" t="n">
        <f aca="false">SUMIF(RECARGAS!$B$16:$B$37,$A86,RECARGAS!AG$16:AG$37)</f>
        <v>0</v>
      </c>
      <c r="G86" s="13" t="n">
        <f aca="false">SUMIF(REVENDIDOS!$B$16:$B$25,$A86,REVENDIDOS!X$16:X$25)</f>
        <v>0</v>
      </c>
      <c r="H86" s="13" t="n">
        <f aca="false">SUMIF(MANUALES!$B$16:$B$72,$A86,MANUALES!N$16:N$72)+SUMIF(RODANTES!$B$16:$B$72,$A86,RODANTES!N$16:N$72)+SUMIF(RECARGAS!$B$16:$B$37,$A86,RECARGAS!X$16:X$37)+SUMIF(REVENDIDOS!$B$16:$B$25,$A86,REVENDIDOS!O$16:O$25)</f>
        <v>34.05179136</v>
      </c>
      <c r="I86" s="13" t="n">
        <f aca="false">SUMIF(MANUALES!$B$16:$B$72,$A86,MANUALES!O$16:O$72)+SUMIF(RODANTES!$B$16:$B$72,$A86,RODANTES!O$16:O$72)+SUMIF(RECARGAS!$B$16:$B$37,$A86,RECARGAS!Y$16:Y$37)+SUMIF(REVENDIDOS!$B$16:$B$25,$A86,REVENDIDOS!P$16:P$25)</f>
        <v>58.46214745</v>
      </c>
      <c r="J86" s="13" t="n">
        <f aca="false">SUMIF(MANUALES!$B$16:$B$72,$A86,MANUALES!P$16:P$72)+SUMIF(RODANTES!$B$16:$B$72,$A86,RODANTES!P$16:P$72)+SUMIF(RECARGAS!$B$16:$B$37,$A86,RECARGAS!Z$16:Z$37)+SUMIF(REVENDIDOS!$B$16:$B$25,$A86,REVENDIDOS!Q$16:Q$25)</f>
        <v>75.20853998</v>
      </c>
      <c r="K86" s="13" t="n">
        <f aca="false">SUMIF(MANUALES!$B$16:$B$72,$A86,MANUALES!Q$16:Q$72)+SUMIF(RODANTES!$B$16:$B$72,$A86,RODANTES!Q$16:Q$72)+SUMIF(RECARGAS!$B$16:$B$37,$A86,RECARGAS!AA$16:AA$37)+SUMIF(REVENDIDOS!$B$16:$B$25,$A86,REVENDIDOS!R$16:R$25)</f>
        <v>100.5298529</v>
      </c>
      <c r="L86" s="13" t="n">
        <f aca="false">SUMIF(MANUALES!$B$16:$B$72,$A86,MANUALES!R$16:R$72)+SUMIF(RODANTES!$B$16:$B$72,$A86,RODANTES!R$16:R$72)+SUMIF(RECARGAS!$B$16:$B$37,$A86,RECARGAS!AB$16:AB$37)+SUMIF(REVENDIDOS!$B$16:$B$25,$A86,REVENDIDOS!S$16:S$25)</f>
        <v>155.8760035</v>
      </c>
      <c r="M86" s="13" t="n">
        <f aca="false">SUMIF(MANUALES!$B$16:$B$72,$A86,MANUALES!S$16:S$72)+SUMIF(RODANTES!$B$16:$B$72,$A86,RODANTES!S$16:S$72)+SUMIF(RECARGAS!$B$16:$B$37,$A86,RECARGAS!AC$16:AC$37)+SUMIF(REVENDIDOS!$B$16:$B$25,$A86,REVENDIDOS!T$16:T$25)</f>
        <v>211.9344827</v>
      </c>
      <c r="N86" s="13" t="n">
        <f aca="false">SUMIF(MANUALES!$B$16:$B$72,$A86,MANUALES!T$16:T$72)+SUMIF(RODANTES!$B$16:$B$72,$A86,RODANTES!T$16:T$72)+SUMIF(RECARGAS!$B$16:$B$37,$A86,RECARGAS!AD$16:AD$37)+SUMIF(REVENDIDOS!$B$16:$B$25,$A86,REVENDIDOS!U$16:U$25)</f>
        <v>272.6682332</v>
      </c>
      <c r="O86" s="13" t="n">
        <f aca="false">SUMIF(MANUALES!$B$16:$B$72,$A86,MANUALES!U$16:U$72)+SUMIF(RODANTES!$B$16:$B$72,$A86,RODANTES!U$16:U$72)+SUMIF(RECARGAS!$B$16:$B$37,$A86,RECARGAS!AE$16:AE$37)+SUMIF(REVENDIDOS!$B$16:$B$25,$A86,REVENDIDOS!V$16:V$25)</f>
        <v>337.8486707</v>
      </c>
      <c r="P86" s="13" t="n">
        <f aca="false">SUMIF(MANUALES!$B$16:$B$72,$A86,MANUALES!V$16:V$72)+SUMIF(RODANTES!$B$16:$B$72,$A86,RODANTES!V$16:V$72)+SUMIF(RECARGAS!$B$16:$B$37,$A86,RECARGAS!AF$16:AF$37)+SUMIF(REVENDIDOS!$B$16:$B$25,$A86,REVENDIDOS!W$16:W$25)</f>
        <v>393.6274156</v>
      </c>
      <c r="Q86" s="13" t="n">
        <f aca="false">SUMIF(MANUALES!$B$16:$B$72,$A86,MANUALES!W$16:W$72)+SUMIF(RODANTES!$B$16:$B$72,$A86,RODANTES!W$16:W$72)+SUMIF(RECARGAS!$B$16:$B$37,$A86,RECARGAS!AG$16:AG$37)+SUMIF(REVENDIDOS!$B$16:$B$25,$A86,REVENDIDOS!X$16:X$25)</f>
        <v>453.2705332</v>
      </c>
      <c r="R86" s="13" t="n">
        <f aca="false">SUMIF(MANUALES!$B$16:$B$72,$A86,MANUALES!X$16:X$72)+SUMIF(RODANTES!$B$16:$B$72,$A86,RODANTES!X$16:X$72)+SUMIF(RECARGAS!$B$16:$B$37,$A86,RECARGAS!AH$16:AH$37)+SUMIF(REVENDIDOS!$B$16:$B$25,$A86,REVENDIDOS!Y$16:Y$25)</f>
        <v>40.794347988</v>
      </c>
    </row>
    <row r="87" customFormat="false" ht="15" hidden="false" customHeight="false" outlineLevel="0" collapsed="false">
      <c r="A87" s="3" t="s">
        <v>484</v>
      </c>
      <c r="B87" s="3" t="s">
        <v>485</v>
      </c>
      <c r="C87" s="3" t="s">
        <v>214</v>
      </c>
      <c r="D87" s="13" t="n">
        <f aca="false">SUMIF(MANUALES!$B$16:$B$72,$A87,MANUALES!W$16:W$72)</f>
        <v>0</v>
      </c>
      <c r="E87" s="13" t="n">
        <f aca="false">SUMIF(RODANTES!$B$16:$B$72,$A87,RODANTES!W$16:W$72)</f>
        <v>998.259982820404</v>
      </c>
      <c r="F87" s="13" t="n">
        <f aca="false">SUMIF(RECARGAS!$B$16:$B$37,$A87,RECARGAS!AG$16:AG$37)</f>
        <v>0</v>
      </c>
      <c r="G87" s="13" t="n">
        <f aca="false">SUMIF(REVENDIDOS!$B$16:$B$25,$A87,REVENDIDOS!X$16:X$25)</f>
        <v>0</v>
      </c>
      <c r="H87" s="13" t="n">
        <f aca="false">SUMIF(MANUALES!$B$16:$B$72,$A87,MANUALES!N$16:N$72)+SUMIF(RODANTES!$B$16:$B$72,$A87,RODANTES!N$16:N$72)+SUMIF(RECARGAS!$B$16:$B$37,$A87,RECARGAS!X$16:X$37)+SUMIF(REVENDIDOS!$B$16:$B$25,$A87,REVENDIDOS!O$16:O$25)</f>
        <v>75.2017274109201</v>
      </c>
      <c r="I87" s="13" t="n">
        <f aca="false">SUMIF(MANUALES!$B$16:$B$72,$A87,MANUALES!O$16:O$72)+SUMIF(RODANTES!$B$16:$B$72,$A87,RODANTES!O$16:O$72)+SUMIF(RECARGAS!$B$16:$B$37,$A87,RECARGAS!Y$16:Y$37)+SUMIF(REVENDIDOS!$B$16:$B$25,$A87,REVENDIDOS!P$16:P$25)</f>
        <v>129.206686542386</v>
      </c>
      <c r="J87" s="13" t="n">
        <f aca="false">SUMIF(MANUALES!$B$16:$B$72,$A87,MANUALES!P$16:P$72)+SUMIF(RODANTES!$B$16:$B$72,$A87,RODANTES!P$16:P$72)+SUMIF(RECARGAS!$B$16:$B$37,$A87,RECARGAS!Z$16:Z$37)+SUMIF(REVENDIDOS!$B$16:$B$25,$A87,REVENDIDOS!Q$16:Q$25)</f>
        <v>166.653101605318</v>
      </c>
      <c r="K87" s="13" t="n">
        <f aca="false">SUMIF(MANUALES!$B$16:$B$72,$A87,MANUALES!Q$16:Q$72)+SUMIF(RODANTES!$B$16:$B$72,$A87,RODANTES!Q$16:Q$72)+SUMIF(RECARGAS!$B$16:$B$37,$A87,RECARGAS!AA$16:AA$37)+SUMIF(REVENDIDOS!$B$16:$B$25,$A87,REVENDIDOS!R$16:R$25)</f>
        <v>222.705333798422</v>
      </c>
      <c r="L87" s="13" t="n">
        <f aca="false">SUMIF(MANUALES!$B$16:$B$72,$A87,MANUALES!R$16:R$72)+SUMIF(RODANTES!$B$16:$B$72,$A87,RODANTES!R$16:R$72)+SUMIF(RECARGAS!$B$16:$B$37,$A87,RECARGAS!AB$16:AB$37)+SUMIF(REVENDIDOS!$B$16:$B$25,$A87,REVENDIDOS!S$16:S$25)</f>
        <v>344.538811601152</v>
      </c>
      <c r="M87" s="13" t="n">
        <f aca="false">SUMIF(MANUALES!$B$16:$B$72,$A87,MANUALES!S$16:S$72)+SUMIF(RODANTES!$B$16:$B$72,$A87,RODANTES!S$16:S$72)+SUMIF(RECARGAS!$B$16:$B$37,$A87,RECARGAS!AC$16:AC$37)+SUMIF(REVENDIDOS!$B$16:$B$25,$A87,REVENDIDOS!T$16:T$25)</f>
        <v>468.227198914802</v>
      </c>
      <c r="N87" s="13" t="n">
        <f aca="false">SUMIF(MANUALES!$B$16:$B$72,$A87,MANUALES!T$16:T$72)+SUMIF(RODANTES!$B$16:$B$72,$A87,RODANTES!T$16:T$72)+SUMIF(RECARGAS!$B$16:$B$37,$A87,RECARGAS!AD$16:AD$37)+SUMIF(REVENDIDOS!$B$16:$B$25,$A87,REVENDIDOS!U$16:U$25)</f>
        <v>601.639999327158</v>
      </c>
      <c r="O87" s="13" t="n">
        <f aca="false">SUMIF(MANUALES!$B$16:$B$72,$A87,MANUALES!U$16:U$72)+SUMIF(RODANTES!$B$16:$B$72,$A87,RODANTES!U$16:U$72)+SUMIF(RECARGAS!$B$16:$B$37,$A87,RECARGAS!AE$16:AE$37)+SUMIF(REVENDIDOS!$B$16:$B$25,$A87,REVENDIDOS!V$16:V$25)</f>
        <v>744.533335808048</v>
      </c>
      <c r="P87" s="13" t="n">
        <f aca="false">SUMIF(MANUALES!$B$16:$B$72,$A87,MANUALES!V$16:V$72)+SUMIF(RODANTES!$B$16:$B$72,$A87,RODANTES!V$16:V$72)+SUMIF(RECARGAS!$B$16:$B$37,$A87,RECARGAS!AF$16:AF$37)+SUMIF(REVENDIDOS!$B$16:$B$25,$A87,REVENDIDOS!W$16:W$25)</f>
        <v>867.289742469686</v>
      </c>
      <c r="Q87" s="13" t="n">
        <f aca="false">SUMIF(MANUALES!$B$16:$B$72,$A87,MANUALES!W$16:W$72)+SUMIF(RODANTES!$B$16:$B$72,$A87,RODANTES!W$16:W$72)+SUMIF(RECARGAS!$B$16:$B$37,$A87,RECARGAS!AG$16:AG$37)+SUMIF(REVENDIDOS!$B$16:$B$25,$A87,REVENDIDOS!X$16:X$25)</f>
        <v>998.259982820404</v>
      </c>
      <c r="R87" s="13" t="n">
        <f aca="false">SUMIF(MANUALES!$B$16:$B$72,$A87,MANUALES!X$16:X$72)+SUMIF(RODANTES!$B$16:$B$72,$A87,RODANTES!X$16:X$72)+SUMIF(RECARGAS!$B$16:$B$37,$A87,RECARGAS!AH$16:AH$37)+SUMIF(REVENDIDOS!$B$16:$B$25,$A87,REVENDIDOS!Y$16:Y$25)</f>
        <v>89.8433984538364</v>
      </c>
    </row>
    <row r="88" customFormat="false" ht="15" hidden="false" customHeight="false" outlineLevel="0" collapsed="false">
      <c r="A88" s="3" t="s">
        <v>487</v>
      </c>
      <c r="B88" s="3" t="s">
        <v>488</v>
      </c>
      <c r="C88" s="3" t="s">
        <v>214</v>
      </c>
      <c r="D88" s="13" t="n">
        <f aca="false">SUMIF(MANUALES!$B$16:$B$72,$A88,MANUALES!W$16:W$72)</f>
        <v>0</v>
      </c>
      <c r="E88" s="13" t="n">
        <f aca="false">SUMIF(RODANTES!$B$16:$B$72,$A88,RODANTES!W$16:W$72)</f>
        <v>217.569856</v>
      </c>
      <c r="F88" s="13" t="n">
        <f aca="false">SUMIF(RECARGAS!$B$16:$B$37,$A88,RECARGAS!AG$16:AG$37)</f>
        <v>0</v>
      </c>
      <c r="G88" s="13" t="n">
        <f aca="false">SUMIF(REVENDIDOS!$B$16:$B$25,$A88,REVENDIDOS!X$16:X$25)</f>
        <v>0</v>
      </c>
      <c r="H88" s="13" t="n">
        <f aca="false">SUMIF(MANUALES!$B$16:$B$72,$A88,MANUALES!N$16:N$72)+SUMIF(RODANTES!$B$16:$B$72,$A88,RODANTES!N$16:N$72)+SUMIF(RECARGAS!$B$16:$B$37,$A88,RECARGAS!X$16:X$37)+SUMIF(REVENDIDOS!$B$16:$B$25,$A88,REVENDIDOS!O$16:O$25)</f>
        <v>16.34485985</v>
      </c>
      <c r="I88" s="13" t="n">
        <f aca="false">SUMIF(MANUALES!$B$16:$B$72,$A88,MANUALES!O$16:O$72)+SUMIF(RODANTES!$B$16:$B$72,$A88,RODANTES!O$16:O$72)+SUMIF(RECARGAS!$B$16:$B$37,$A88,RECARGAS!Y$16:Y$37)+SUMIF(REVENDIDOS!$B$16:$B$25,$A88,REVENDIDOS!P$16:P$25)</f>
        <v>28.06183078</v>
      </c>
      <c r="J88" s="13" t="n">
        <f aca="false">SUMIF(MANUALES!$B$16:$B$72,$A88,MANUALES!P$16:P$72)+SUMIF(RODANTES!$B$16:$B$72,$A88,RODANTES!P$16:P$72)+SUMIF(RECARGAS!$B$16:$B$37,$A88,RECARGAS!Z$16:Z$37)+SUMIF(REVENDIDOS!$B$16:$B$25,$A88,REVENDIDOS!Q$16:Q$25)</f>
        <v>36.10009919</v>
      </c>
      <c r="K88" s="13" t="n">
        <f aca="false">SUMIF(MANUALES!$B$16:$B$72,$A88,MANUALES!Q$16:Q$72)+SUMIF(RODANTES!$B$16:$B$72,$A88,RODANTES!Q$16:Q$72)+SUMIF(RECARGAS!$B$16:$B$37,$A88,RECARGAS!AA$16:AA$37)+SUMIF(REVENDIDOS!$B$16:$B$25,$A88,REVENDIDOS!R$16:R$25)</f>
        <v>48.25432941</v>
      </c>
      <c r="L88" s="13" t="n">
        <f aca="false">SUMIF(MANUALES!$B$16:$B$72,$A88,MANUALES!R$16:R$72)+SUMIF(RODANTES!$B$16:$B$72,$A88,RODANTES!R$16:R$72)+SUMIF(RECARGAS!$B$16:$B$37,$A88,RECARGAS!AB$16:AB$37)+SUMIF(REVENDIDOS!$B$16:$B$25,$A88,REVENDIDOS!S$16:S$25)</f>
        <v>74.82048167</v>
      </c>
      <c r="M88" s="13" t="n">
        <f aca="false">SUMIF(MANUALES!$B$16:$B$72,$A88,MANUALES!S$16:S$72)+SUMIF(RODANTES!$B$16:$B$72,$A88,RODANTES!S$16:S$72)+SUMIF(RECARGAS!$B$16:$B$37,$A88,RECARGAS!AC$16:AC$37)+SUMIF(REVENDIDOS!$B$16:$B$25,$A88,REVENDIDOS!T$16:T$25)</f>
        <v>101.7285517</v>
      </c>
      <c r="N88" s="13" t="n">
        <f aca="false">SUMIF(MANUALES!$B$16:$B$72,$A88,MANUALES!T$16:T$72)+SUMIF(RODANTES!$B$16:$B$72,$A88,RODANTES!T$16:T$72)+SUMIF(RECARGAS!$B$16:$B$37,$A88,RECARGAS!AD$16:AD$37)+SUMIF(REVENDIDOS!$B$16:$B$25,$A88,REVENDIDOS!U$16:U$25)</f>
        <v>130.8807519</v>
      </c>
      <c r="O88" s="13" t="n">
        <f aca="false">SUMIF(MANUALES!$B$16:$B$72,$A88,MANUALES!U$16:U$72)+SUMIF(RODANTES!$B$16:$B$72,$A88,RODANTES!U$16:U$72)+SUMIF(RECARGAS!$B$16:$B$37,$A88,RECARGAS!AE$16:AE$37)+SUMIF(REVENDIDOS!$B$16:$B$25,$A88,REVENDIDOS!V$16:V$25)</f>
        <v>162.1673619</v>
      </c>
      <c r="P88" s="13" t="n">
        <f aca="false">SUMIF(MANUALES!$B$16:$B$72,$A88,MANUALES!V$16:V$72)+SUMIF(RODANTES!$B$16:$B$72,$A88,RODANTES!V$16:V$72)+SUMIF(RECARGAS!$B$16:$B$37,$A88,RECARGAS!AF$16:AF$37)+SUMIF(REVENDIDOS!$B$16:$B$25,$A88,REVENDIDOS!W$16:W$25)</f>
        <v>188.9411595</v>
      </c>
      <c r="Q88" s="13" t="n">
        <f aca="false">SUMIF(MANUALES!$B$16:$B$72,$A88,MANUALES!W$16:W$72)+SUMIF(RODANTES!$B$16:$B$72,$A88,RODANTES!W$16:W$72)+SUMIF(RECARGAS!$B$16:$B$37,$A88,RECARGAS!AG$16:AG$37)+SUMIF(REVENDIDOS!$B$16:$B$25,$A88,REVENDIDOS!X$16:X$25)</f>
        <v>217.569856</v>
      </c>
      <c r="R88" s="13" t="n">
        <f aca="false">SUMIF(MANUALES!$B$16:$B$72,$A88,MANUALES!X$16:X$72)+SUMIF(RODANTES!$B$16:$B$72,$A88,RODANTES!X$16:X$72)+SUMIF(RECARGAS!$B$16:$B$37,$A88,RECARGAS!AH$16:AH$37)+SUMIF(REVENDIDOS!$B$16:$B$25,$A88,REVENDIDOS!Y$16:Y$25)</f>
        <v>19.58128704</v>
      </c>
    </row>
    <row r="89" customFormat="false" ht="15" hidden="false" customHeight="false" outlineLevel="0" collapsed="false">
      <c r="A89" s="3" t="s">
        <v>490</v>
      </c>
      <c r="B89" s="3" t="s">
        <v>491</v>
      </c>
      <c r="C89" s="3" t="s">
        <v>214</v>
      </c>
      <c r="D89" s="13" t="n">
        <f aca="false">SUMIF(MANUALES!$B$16:$B$72,$A89,MANUALES!W$16:W$72)</f>
        <v>0</v>
      </c>
      <c r="E89" s="13" t="n">
        <f aca="false">SUMIF(RODANTES!$B$16:$B$72,$A89,RODANTES!W$16:W$72)</f>
        <v>145.176074484914</v>
      </c>
      <c r="F89" s="13" t="n">
        <f aca="false">SUMIF(RECARGAS!$B$16:$B$37,$A89,RECARGAS!AG$16:AG$37)</f>
        <v>0</v>
      </c>
      <c r="G89" s="13" t="n">
        <f aca="false">SUMIF(REVENDIDOS!$B$16:$B$25,$A89,REVENDIDOS!X$16:X$25)</f>
        <v>0</v>
      </c>
      <c r="H89" s="13" t="n">
        <f aca="false">SUMIF(MANUALES!$B$16:$B$72,$A89,MANUALES!N$16:N$72)+SUMIF(RODANTES!$B$16:$B$72,$A89,RODANTES!N$16:N$72)+SUMIF(RECARGAS!$B$16:$B$37,$A89,RECARGAS!X$16:X$37)+SUMIF(REVENDIDOS!$B$16:$B$25,$A89,REVENDIDOS!O$16:O$25)</f>
        <v>11.1843596509201</v>
      </c>
      <c r="I89" s="13" t="n">
        <f aca="false">SUMIF(MANUALES!$B$16:$B$72,$A89,MANUALES!O$16:O$72)+SUMIF(RODANTES!$B$16:$B$72,$A89,RODANTES!O$16:O$72)+SUMIF(RECARGAS!$B$16:$B$37,$A89,RECARGAS!Y$16:Y$37)+SUMIF(REVENDIDOS!$B$16:$B$25,$A89,REVENDIDOS!P$16:P$25)</f>
        <v>18.722276510546</v>
      </c>
      <c r="J89" s="13" t="n">
        <f aca="false">SUMIF(MANUALES!$B$16:$B$72,$A89,MANUALES!P$16:P$72)+SUMIF(RODANTES!$B$16:$B$72,$A89,RODANTES!P$16:P$72)+SUMIF(RECARGAS!$B$16:$B$37,$A89,RECARGAS!Z$16:Z$37)+SUMIF(REVENDIDOS!$B$16:$B$25,$A89,REVENDIDOS!Q$16:Q$25)</f>
        <v>24.3689085214661</v>
      </c>
      <c r="K89" s="13" t="n">
        <f aca="false">SUMIF(MANUALES!$B$16:$B$72,$A89,MANUALES!Q$16:Q$72)+SUMIF(RODANTES!$B$16:$B$72,$A89,RODANTES!Q$16:Q$72)+SUMIF(RECARGAS!$B$16:$B$37,$A89,RECARGAS!AA$16:AA$37)+SUMIF(REVENDIDOS!$B$16:$B$25,$A89,REVENDIDOS!R$16:R$25)</f>
        <v>32.4861179920121</v>
      </c>
      <c r="L89" s="13" t="n">
        <f aca="false">SUMIF(MANUALES!$B$16:$B$72,$A89,MANUALES!R$16:R$72)+SUMIF(RODANTES!$B$16:$B$72,$A89,RODANTES!R$16:R$72)+SUMIF(RECARGAS!$B$16:$B$37,$A89,RECARGAS!AB$16:AB$37)+SUMIF(REVENDIDOS!$B$16:$B$25,$A89,REVENDIDOS!S$16:S$25)</f>
        <v>50.4990619034781</v>
      </c>
      <c r="M89" s="13" t="n">
        <f aca="false">SUMIF(MANUALES!$B$16:$B$72,$A89,MANUALES!S$16:S$72)+SUMIF(RODANTES!$B$16:$B$72,$A89,RODANTES!S$16:S$72)+SUMIF(RECARGAS!$B$16:$B$37,$A89,RECARGAS!AC$16:AC$37)+SUMIF(REVENDIDOS!$B$16:$B$25,$A89,REVENDIDOS!T$16:T$25)</f>
        <v>68.1787674836501</v>
      </c>
      <c r="N89" s="13" t="n">
        <f aca="false">SUMIF(MANUALES!$B$16:$B$72,$A89,MANUALES!T$16:T$72)+SUMIF(RODANTES!$B$16:$B$72,$A89,RODANTES!T$16:T$72)+SUMIF(RECARGAS!$B$16:$B$37,$A89,RECARGAS!AD$16:AD$37)+SUMIF(REVENDIDOS!$B$16:$B$25,$A89,REVENDIDOS!U$16:U$25)</f>
        <v>87.6279569441961</v>
      </c>
      <c r="O89" s="13" t="n">
        <f aca="false">SUMIF(MANUALES!$B$16:$B$72,$A89,MANUALES!U$16:U$72)+SUMIF(RODANTES!$B$16:$B$72,$A89,RODANTES!U$16:U$72)+SUMIF(RECARGAS!$B$16:$B$37,$A89,RECARGAS!AE$16:AE$37)+SUMIF(REVENDIDOS!$B$16:$B$25,$A89,REVENDIDOS!V$16:V$25)</f>
        <v>108.500086254742</v>
      </c>
      <c r="P89" s="13" t="n">
        <f aca="false">SUMIF(MANUALES!$B$16:$B$72,$A89,MANUALES!V$16:V$72)+SUMIF(RODANTES!$B$16:$B$72,$A89,RODANTES!V$16:V$72)+SUMIF(RECARGAS!$B$16:$B$37,$A89,RECARGAS!AF$16:AF$37)+SUMIF(REVENDIDOS!$B$16:$B$25,$A89,REVENDIDOS!W$16:W$25)</f>
        <v>126.363673975288</v>
      </c>
      <c r="Q89" s="13" t="n">
        <f aca="false">SUMIF(MANUALES!$B$16:$B$72,$A89,MANUALES!W$16:W$72)+SUMIF(RODANTES!$B$16:$B$72,$A89,RODANTES!W$16:W$72)+SUMIF(RECARGAS!$B$16:$B$37,$A89,RECARGAS!AG$16:AG$37)+SUMIF(REVENDIDOS!$B$16:$B$25,$A89,REVENDIDOS!X$16:X$25)</f>
        <v>145.176074484914</v>
      </c>
      <c r="R89" s="13" t="n">
        <f aca="false">SUMIF(MANUALES!$B$16:$B$72,$A89,MANUALES!X$16:X$72)+SUMIF(RODANTES!$B$16:$B$72,$A89,RODANTES!X$16:X$72)+SUMIF(RECARGAS!$B$16:$B$37,$A89,RECARGAS!AH$16:AH$37)+SUMIF(REVENDIDOS!$B$16:$B$25,$A89,REVENDIDOS!Y$16:Y$25)</f>
        <v>13.0658467036423</v>
      </c>
    </row>
    <row r="90" customFormat="false" ht="15" hidden="false" customHeight="false" outlineLevel="0" collapsed="false">
      <c r="A90" s="3" t="s">
        <v>301</v>
      </c>
      <c r="B90" s="3" t="s">
        <v>302</v>
      </c>
      <c r="C90" s="3" t="s">
        <v>214</v>
      </c>
      <c r="D90" s="13" t="n">
        <f aca="false">SUMIF(MANUALES!$B$16:$B$72,$A90,MANUALES!W$16:W$72)</f>
        <v>56343.7542625258</v>
      </c>
      <c r="E90" s="13" t="n">
        <f aca="false">SUMIF(RODANTES!$B$16:$B$72,$A90,RODANTES!W$16:W$72)</f>
        <v>1385.71683246007</v>
      </c>
      <c r="F90" s="13" t="n">
        <f aca="false">SUMIF(RECARGAS!$B$16:$B$37,$A90,RECARGAS!AG$16:AG$37)</f>
        <v>0</v>
      </c>
      <c r="G90" s="13" t="n">
        <f aca="false">SUMIF(REVENDIDOS!$B$16:$B$25,$A90,REVENDIDOS!X$16:X$25)</f>
        <v>0</v>
      </c>
      <c r="H90" s="13" t="n">
        <f aca="false">SUMIF(MANUALES!$B$16:$B$72,$A90,MANUALES!N$16:N$72)+SUMIF(RODANTES!$B$16:$B$72,$A90,RODANTES!N$16:N$72)+SUMIF(RECARGAS!$B$16:$B$37,$A90,RECARGAS!X$16:X$37)+SUMIF(REVENDIDOS!$B$16:$B$25,$A90,REVENDIDOS!O$16:O$25)</f>
        <v>5698.33427864397</v>
      </c>
      <c r="I90" s="13" t="n">
        <f aca="false">SUMIF(MANUALES!$B$16:$B$72,$A90,MANUALES!O$16:O$72)+SUMIF(RODANTES!$B$16:$B$72,$A90,RODANTES!O$16:O$72)+SUMIF(RECARGAS!$B$16:$B$37,$A90,RECARGAS!Y$16:Y$37)+SUMIF(REVENDIDOS!$B$16:$B$25,$A90,REVENDIDOS!P$16:P$25)</f>
        <v>9669.92942072346</v>
      </c>
      <c r="J90" s="13" t="n">
        <f aca="false">SUMIF(MANUALES!$B$16:$B$72,$A90,MANUALES!P$16:P$72)+SUMIF(RODANTES!$B$16:$B$72,$A90,RODANTES!P$16:P$72)+SUMIF(RECARGAS!$B$16:$B$37,$A90,RECARGAS!Z$16:Z$37)+SUMIF(REVENDIDOS!$B$16:$B$25,$A90,REVENDIDOS!Q$16:Q$25)</f>
        <v>11966.2603142653</v>
      </c>
      <c r="K90" s="13" t="n">
        <f aca="false">SUMIF(MANUALES!$B$16:$B$72,$A90,MANUALES!Q$16:Q$72)+SUMIF(RODANTES!$B$16:$B$72,$A90,RODANTES!Q$16:Q$72)+SUMIF(RECARGAS!$B$16:$B$37,$A90,RECARGAS!AA$16:AA$37)+SUMIF(REVENDIDOS!$B$16:$B$25,$A90,REVENDIDOS!R$16:R$25)</f>
        <v>16222.2611849864</v>
      </c>
      <c r="L90" s="13" t="n">
        <f aca="false">SUMIF(MANUALES!$B$16:$B$72,$A90,MANUALES!R$16:R$72)+SUMIF(RODANTES!$B$16:$B$72,$A90,RODANTES!R$16:R$72)+SUMIF(RECARGAS!$B$16:$B$37,$A90,RECARGAS!AB$16:AB$37)+SUMIF(REVENDIDOS!$B$16:$B$25,$A90,REVENDIDOS!S$16:S$25)</f>
        <v>23553.1100842501</v>
      </c>
      <c r="M90" s="13" t="n">
        <f aca="false">SUMIF(MANUALES!$B$16:$B$72,$A90,MANUALES!S$16:S$72)+SUMIF(RODANTES!$B$16:$B$72,$A90,RODANTES!S$16:S$72)+SUMIF(RECARGAS!$B$16:$B$37,$A90,RECARGAS!AC$16:AC$37)+SUMIF(REVENDIDOS!$B$16:$B$25,$A90,REVENDIDOS!T$16:T$25)</f>
        <v>30148.7082085949</v>
      </c>
      <c r="N90" s="13" t="n">
        <f aca="false">SUMIF(MANUALES!$B$16:$B$72,$A90,MANUALES!T$16:T$72)+SUMIF(RODANTES!$B$16:$B$72,$A90,RODANTES!T$16:T$72)+SUMIF(RECARGAS!$B$16:$B$37,$A90,RECARGAS!AD$16:AD$37)+SUMIF(REVENDIDOS!$B$16:$B$25,$A90,REVENDIDOS!U$16:U$25)</f>
        <v>37759.0300337311</v>
      </c>
      <c r="O90" s="13" t="n">
        <f aca="false">SUMIF(MANUALES!$B$16:$B$72,$A90,MANUALES!U$16:U$72)+SUMIF(RODANTES!$B$16:$B$72,$A90,RODANTES!U$16:U$72)+SUMIF(RECARGAS!$B$16:$B$37,$A90,RECARGAS!AE$16:AE$37)+SUMIF(REVENDIDOS!$B$16:$B$25,$A90,REVENDIDOS!V$16:V$25)</f>
        <v>45153.9092156843</v>
      </c>
      <c r="P90" s="13" t="n">
        <f aca="false">SUMIF(MANUALES!$B$16:$B$72,$A90,MANUALES!V$16:V$72)+SUMIF(RODANTES!$B$16:$B$72,$A90,RODANTES!V$16:V$72)+SUMIF(RECARGAS!$B$16:$B$37,$A90,RECARGAS!AF$16:AF$37)+SUMIF(REVENDIDOS!$B$16:$B$25,$A90,REVENDIDOS!W$16:W$25)</f>
        <v>50909.8501730773</v>
      </c>
      <c r="Q90" s="13" t="n">
        <f aca="false">SUMIF(MANUALES!$B$16:$B$72,$A90,MANUALES!W$16:W$72)+SUMIF(RODANTES!$B$16:$B$72,$A90,RODANTES!W$16:W$72)+SUMIF(RECARGAS!$B$16:$B$37,$A90,RECARGAS!AG$16:AG$37)+SUMIF(REVENDIDOS!$B$16:$B$25,$A90,REVENDIDOS!X$16:X$25)</f>
        <v>57729.4710949858</v>
      </c>
      <c r="R90" s="13" t="n">
        <f aca="false">SUMIF(MANUALES!$B$16:$B$72,$A90,MANUALES!X$16:X$72)+SUMIF(RODANTES!$B$16:$B$72,$A90,RODANTES!X$16:X$72)+SUMIF(RECARGAS!$B$16:$B$37,$A90,RECARGAS!AH$16:AH$37)+SUMIF(REVENDIDOS!$B$16:$B$25,$A90,REVENDIDOS!Y$16:Y$25)</f>
        <v>6567.49343697284</v>
      </c>
    </row>
    <row r="91" customFormat="false" ht="15" hidden="false" customHeight="false" outlineLevel="0" collapsed="false">
      <c r="A91" s="3" t="s">
        <v>305</v>
      </c>
      <c r="B91" s="3" t="s">
        <v>306</v>
      </c>
      <c r="C91" s="3" t="s">
        <v>214</v>
      </c>
      <c r="D91" s="13" t="n">
        <f aca="false">SUMIF(MANUALES!$B$16:$B$72,$A91,MANUALES!W$16:W$72)</f>
        <v>73769.1452334506</v>
      </c>
      <c r="E91" s="13" t="n">
        <f aca="false">SUMIF(RODANTES!$B$16:$B$72,$A91,RODANTES!W$16:W$72)</f>
        <v>1814.27644650532</v>
      </c>
      <c r="F91" s="13" t="n">
        <f aca="false">SUMIF(RECARGAS!$B$16:$B$37,$A91,RECARGAS!AG$16:AG$37)</f>
        <v>0</v>
      </c>
      <c r="G91" s="13" t="n">
        <f aca="false">SUMIF(REVENDIDOS!$B$16:$B$25,$A91,REVENDIDOS!X$16:X$25)</f>
        <v>0</v>
      </c>
      <c r="H91" s="13" t="n">
        <f aca="false">SUMIF(MANUALES!$B$16:$B$72,$A91,MANUALES!N$16:N$72)+SUMIF(RODANTES!$B$16:$B$72,$A91,RODANTES!N$16:N$72)+SUMIF(RECARGAS!$B$16:$B$37,$A91,RECARGAS!X$16:X$37)+SUMIF(REVENDIDOS!$B$16:$B$25,$A91,REVENDIDOS!O$16:O$25)</f>
        <v>7430.86196171164</v>
      </c>
      <c r="I91" s="13" t="n">
        <f aca="false">SUMIF(MANUALES!$B$16:$B$72,$A91,MANUALES!O$16:O$72)+SUMIF(RODANTES!$B$16:$B$72,$A91,RODANTES!O$16:O$72)+SUMIF(RECARGAS!$B$16:$B$37,$A91,RECARGAS!Y$16:Y$37)+SUMIF(REVENDIDOS!$B$16:$B$25,$A91,REVENDIDOS!P$16:P$25)</f>
        <v>12608.5344353427</v>
      </c>
      <c r="J91" s="13" t="n">
        <f aca="false">SUMIF(MANUALES!$B$16:$B$72,$A91,MANUALES!P$16:P$72)+SUMIF(RODANTES!$B$16:$B$72,$A91,RODANTES!P$16:P$72)+SUMIF(RECARGAS!$B$16:$B$37,$A91,RECARGAS!Z$16:Z$37)+SUMIF(REVENDIDOS!$B$16:$B$25,$A91,REVENDIDOS!Q$16:Q$25)</f>
        <v>15602.5971929293</v>
      </c>
      <c r="K91" s="13" t="n">
        <f aca="false">SUMIF(MANUALES!$B$16:$B$72,$A91,MANUALES!Q$16:Q$72)+SUMIF(RODANTES!$B$16:$B$72,$A91,RODANTES!Q$16:Q$72)+SUMIF(RECARGAS!$B$16:$B$37,$A91,RECARGAS!AA$16:AA$37)+SUMIF(REVENDIDOS!$B$16:$B$25,$A91,REVENDIDOS!R$16:R$25)</f>
        <v>21153.7281803724</v>
      </c>
      <c r="L91" s="13" t="n">
        <f aca="false">SUMIF(MANUALES!$B$16:$B$72,$A91,MANUALES!R$16:R$72)+SUMIF(RODANTES!$B$16:$B$72,$A91,RODANTES!R$16:R$72)+SUMIF(RECARGAS!$B$16:$B$37,$A91,RECARGAS!AB$16:AB$37)+SUMIF(REVENDIDOS!$B$16:$B$25,$A91,REVENDIDOS!S$16:S$25)</f>
        <v>30719.6909242354</v>
      </c>
      <c r="M91" s="13" t="n">
        <f aca="false">SUMIF(MANUALES!$B$16:$B$72,$A91,MANUALES!S$16:S$72)+SUMIF(RODANTES!$B$16:$B$72,$A91,RODANTES!S$16:S$72)+SUMIF(RECARGAS!$B$16:$B$37,$A91,RECARGAS!AC$16:AC$37)+SUMIF(REVENDIDOS!$B$16:$B$25,$A91,REVENDIDOS!T$16:T$25)</f>
        <v>39336.4696707652</v>
      </c>
      <c r="N91" s="13" t="n">
        <f aca="false">SUMIF(MANUALES!$B$16:$B$72,$A91,MANUALES!T$16:T$72)+SUMIF(RODANTES!$B$16:$B$72,$A91,RODANTES!T$16:T$72)+SUMIF(RECARGAS!$B$16:$B$37,$A91,RECARGAS!AD$16:AD$37)+SUMIF(REVENDIDOS!$B$16:$B$25,$A91,REVENDIDOS!U$16:U$25)</f>
        <v>49292.5229220404</v>
      </c>
      <c r="O91" s="13" t="n">
        <f aca="false">SUMIF(MANUALES!$B$16:$B$72,$A91,MANUALES!U$16:U$72)+SUMIF(RODANTES!$B$16:$B$72,$A91,RODANTES!U$16:U$72)+SUMIF(RECARGAS!$B$16:$B$37,$A91,RECARGAS!AE$16:AE$37)+SUMIF(REVENDIDOS!$B$16:$B$25,$A91,REVENDIDOS!V$16:V$25)</f>
        <v>58989.3905887392</v>
      </c>
      <c r="P91" s="13" t="n">
        <f aca="false">SUMIF(MANUALES!$B$16:$B$72,$A91,MANUALES!V$16:V$72)+SUMIF(RODANTES!$B$16:$B$72,$A91,RODANTES!V$16:V$72)+SUMIF(RECARGAS!$B$16:$B$37,$A91,RECARGAS!AF$16:AF$37)+SUMIF(REVENDIDOS!$B$16:$B$25,$A91,REVENDIDOS!W$16:W$25)</f>
        <v>66572.73888264</v>
      </c>
      <c r="Q91" s="13" t="n">
        <f aca="false">SUMIF(MANUALES!$B$16:$B$72,$A91,MANUALES!W$16:W$72)+SUMIF(RODANTES!$B$16:$B$72,$A91,RODANTES!W$16:W$72)+SUMIF(RECARGAS!$B$16:$B$37,$A91,RECARGAS!AG$16:AG$37)+SUMIF(REVENDIDOS!$B$16:$B$25,$A91,REVENDIDOS!X$16:X$25)</f>
        <v>75583.421679956</v>
      </c>
      <c r="R91" s="13" t="n">
        <f aca="false">SUMIF(MANUALES!$B$16:$B$72,$A91,MANUALES!X$16:X$72)+SUMIF(RODANTES!$B$16:$B$72,$A91,RODANTES!X$16:X$72)+SUMIF(RECARGAS!$B$16:$B$37,$A91,RECARGAS!AH$16:AH$37)+SUMIF(REVENDIDOS!$B$16:$B$25,$A91,REVENDIDOS!Y$16:Y$25)</f>
        <v>8598.61724716505</v>
      </c>
    </row>
    <row r="92" customFormat="false" ht="15" hidden="false" customHeight="false" outlineLevel="0" collapsed="false">
      <c r="A92" s="3" t="s">
        <v>308</v>
      </c>
      <c r="B92" s="3" t="s">
        <v>309</v>
      </c>
      <c r="C92" s="3" t="s">
        <v>214</v>
      </c>
      <c r="D92" s="13" t="n">
        <f aca="false">SUMIF(MANUALES!$B$16:$B$72,$A92,MANUALES!W$16:W$72)</f>
        <v>9849.34715828475</v>
      </c>
      <c r="E92" s="13" t="n">
        <f aca="false">SUMIF(RODANTES!$B$16:$B$72,$A92,RODANTES!W$16:W$72)</f>
        <v>428.559614045248</v>
      </c>
      <c r="F92" s="13" t="n">
        <f aca="false">SUMIF(RECARGAS!$B$16:$B$37,$A92,RECARGAS!AG$16:AG$37)</f>
        <v>22451.7402206056</v>
      </c>
      <c r="G92" s="13" t="n">
        <f aca="false">SUMIF(REVENDIDOS!$B$16:$B$25,$A92,REVENDIDOS!X$16:X$25)</f>
        <v>4258.3020622765</v>
      </c>
      <c r="H92" s="13" t="n">
        <f aca="false">SUMIF(MANUALES!$B$16:$B$72,$A92,MANUALES!N$16:N$72)+SUMIF(RODANTES!$B$16:$B$72,$A92,RODANTES!N$16:N$72)+SUMIF(RECARGAS!$B$16:$B$37,$A92,RECARGAS!X$16:X$37)+SUMIF(REVENDIDOS!$B$16:$B$25,$A92,REVENDIDOS!O$16:O$25)</f>
        <v>1469.17192416544</v>
      </c>
      <c r="I92" s="13" t="n">
        <f aca="false">SUMIF(MANUALES!$B$16:$B$72,$A92,MANUALES!O$16:O$72)+SUMIF(RODANTES!$B$16:$B$72,$A92,RODANTES!O$16:O$72)+SUMIF(RECARGAS!$B$16:$B$37,$A92,RECARGAS!Y$16:Y$37)+SUMIF(REVENDIDOS!$B$16:$B$25,$A92,REVENDIDOS!P$16:P$25)</f>
        <v>3934.06575488537</v>
      </c>
      <c r="J92" s="13" t="n">
        <f aca="false">SUMIF(MANUALES!$B$16:$B$72,$A92,MANUALES!P$16:P$72)+SUMIF(RODANTES!$B$16:$B$72,$A92,RODANTES!P$16:P$72)+SUMIF(RECARGAS!$B$16:$B$37,$A92,RECARGAS!Z$16:Z$37)+SUMIF(REVENDIDOS!$B$16:$B$25,$A92,REVENDIDOS!Q$16:Q$25)</f>
        <v>6474.97339203091</v>
      </c>
      <c r="K92" s="13" t="n">
        <f aca="false">SUMIF(MANUALES!$B$16:$B$72,$A92,MANUALES!Q$16:Q$72)+SUMIF(RODANTES!$B$16:$B$72,$A92,RODANTES!Q$16:Q$72)+SUMIF(RECARGAS!$B$16:$B$37,$A92,RECARGAS!AA$16:AA$37)+SUMIF(REVENDIDOS!$B$16:$B$25,$A92,REVENDIDOS!R$16:R$25)</f>
        <v>10828.9280064815</v>
      </c>
      <c r="L92" s="13" t="n">
        <f aca="false">SUMIF(MANUALES!$B$16:$B$72,$A92,MANUALES!R$16:R$72)+SUMIF(RODANTES!$B$16:$B$72,$A92,RODANTES!R$16:R$72)+SUMIF(RECARGAS!$B$16:$B$37,$A92,RECARGAS!AB$16:AB$37)+SUMIF(REVENDIDOS!$B$16:$B$25,$A92,REVENDIDOS!S$16:S$25)</f>
        <v>15858.9583878208</v>
      </c>
      <c r="M92" s="13" t="n">
        <f aca="false">SUMIF(MANUALES!$B$16:$B$72,$A92,MANUALES!S$16:S$72)+SUMIF(RODANTES!$B$16:$B$72,$A92,RODANTES!S$16:S$72)+SUMIF(RECARGAS!$B$16:$B$37,$A92,RECARGAS!AC$16:AC$37)+SUMIF(REVENDIDOS!$B$16:$B$25,$A92,REVENDIDOS!T$16:T$25)</f>
        <v>21368.3788128812</v>
      </c>
      <c r="N92" s="13" t="n">
        <f aca="false">SUMIF(MANUALES!$B$16:$B$72,$A92,MANUALES!T$16:T$72)+SUMIF(RODANTES!$B$16:$B$72,$A92,RODANTES!T$16:T$72)+SUMIF(RECARGAS!$B$16:$B$37,$A92,RECARGAS!AD$16:AD$37)+SUMIF(REVENDIDOS!$B$16:$B$25,$A92,REVENDIDOS!U$16:U$25)</f>
        <v>26493.1717618823</v>
      </c>
      <c r="O92" s="13" t="n">
        <f aca="false">SUMIF(MANUALES!$B$16:$B$72,$A92,MANUALES!U$16:U$72)+SUMIF(RODANTES!$B$16:$B$72,$A92,RODANTES!U$16:U$72)+SUMIF(RECARGAS!$B$16:$B$37,$A92,RECARGAS!AE$16:AE$37)+SUMIF(REVENDIDOS!$B$16:$B$25,$A92,REVENDIDOS!V$16:V$25)</f>
        <v>30592.7001127701</v>
      </c>
      <c r="P92" s="13" t="n">
        <f aca="false">SUMIF(MANUALES!$B$16:$B$72,$A92,MANUALES!V$16:V$72)+SUMIF(RODANTES!$B$16:$B$72,$A92,RODANTES!V$16:V$72)+SUMIF(RECARGAS!$B$16:$B$37,$A92,RECARGAS!AF$16:AF$37)+SUMIF(REVENDIDOS!$B$16:$B$25,$A92,REVENDIDOS!W$16:W$25)</f>
        <v>33577.8260271524</v>
      </c>
      <c r="Q92" s="13" t="n">
        <f aca="false">SUMIF(MANUALES!$B$16:$B$72,$A92,MANUALES!W$16:W$72)+SUMIF(RODANTES!$B$16:$B$72,$A92,RODANTES!W$16:W$72)+SUMIF(RECARGAS!$B$16:$B$37,$A92,RECARGAS!AG$16:AG$37)+SUMIF(REVENDIDOS!$B$16:$B$25,$A92,REVENDIDOS!X$16:X$25)</f>
        <v>36987.9490552122</v>
      </c>
      <c r="R92" s="13" t="n">
        <f aca="false">SUMIF(MANUALES!$B$16:$B$72,$A92,MANUALES!X$16:X$72)+SUMIF(RODANTES!$B$16:$B$72,$A92,RODANTES!X$16:X$72)+SUMIF(RECARGAS!$B$16:$B$37,$A92,RECARGAS!AH$16:AH$37)+SUMIF(REVENDIDOS!$B$16:$B$25,$A92,REVENDIDOS!Y$16:Y$25)</f>
        <v>3459.42277379206</v>
      </c>
    </row>
    <row r="93" customFormat="false" ht="15" hidden="false" customHeight="false" outlineLevel="0" collapsed="false">
      <c r="A93" s="3" t="s">
        <v>312</v>
      </c>
      <c r="B93" s="3" t="s">
        <v>313</v>
      </c>
      <c r="C93" s="3" t="s">
        <v>214</v>
      </c>
      <c r="D93" s="13" t="n">
        <f aca="false">SUMIF(MANUALES!$B$16:$B$72,$A93,MANUALES!W$16:W$72)</f>
        <v>73769.1452334506</v>
      </c>
      <c r="E93" s="13" t="n">
        <f aca="false">SUMIF(RODANTES!$B$16:$B$72,$A93,RODANTES!W$16:W$72)</f>
        <v>1814.27644650532</v>
      </c>
      <c r="F93" s="13" t="n">
        <f aca="false">SUMIF(RECARGAS!$B$16:$B$37,$A93,RECARGAS!AG$16:AG$37)</f>
        <v>0</v>
      </c>
      <c r="G93" s="13" t="n">
        <f aca="false">SUMIF(REVENDIDOS!$B$16:$B$25,$A93,REVENDIDOS!X$16:X$25)</f>
        <v>0</v>
      </c>
      <c r="H93" s="13" t="n">
        <f aca="false">SUMIF(MANUALES!$B$16:$B$72,$A93,MANUALES!N$16:N$72)+SUMIF(RODANTES!$B$16:$B$72,$A93,RODANTES!N$16:N$72)+SUMIF(RECARGAS!$B$16:$B$37,$A93,RECARGAS!X$16:X$37)+SUMIF(REVENDIDOS!$B$16:$B$25,$A93,REVENDIDOS!O$16:O$25)</f>
        <v>7430.86196171164</v>
      </c>
      <c r="I93" s="13" t="n">
        <f aca="false">SUMIF(MANUALES!$B$16:$B$72,$A93,MANUALES!O$16:O$72)+SUMIF(RODANTES!$B$16:$B$72,$A93,RODANTES!O$16:O$72)+SUMIF(RECARGAS!$B$16:$B$37,$A93,RECARGAS!Y$16:Y$37)+SUMIF(REVENDIDOS!$B$16:$B$25,$A93,REVENDIDOS!P$16:P$25)</f>
        <v>12608.5344353427</v>
      </c>
      <c r="J93" s="13" t="n">
        <f aca="false">SUMIF(MANUALES!$B$16:$B$72,$A93,MANUALES!P$16:P$72)+SUMIF(RODANTES!$B$16:$B$72,$A93,RODANTES!P$16:P$72)+SUMIF(RECARGAS!$B$16:$B$37,$A93,RECARGAS!Z$16:Z$37)+SUMIF(REVENDIDOS!$B$16:$B$25,$A93,REVENDIDOS!Q$16:Q$25)</f>
        <v>15602.5971929293</v>
      </c>
      <c r="K93" s="13" t="n">
        <f aca="false">SUMIF(MANUALES!$B$16:$B$72,$A93,MANUALES!Q$16:Q$72)+SUMIF(RODANTES!$B$16:$B$72,$A93,RODANTES!Q$16:Q$72)+SUMIF(RECARGAS!$B$16:$B$37,$A93,RECARGAS!AA$16:AA$37)+SUMIF(REVENDIDOS!$B$16:$B$25,$A93,REVENDIDOS!R$16:R$25)</f>
        <v>21153.7281803724</v>
      </c>
      <c r="L93" s="13" t="n">
        <f aca="false">SUMIF(MANUALES!$B$16:$B$72,$A93,MANUALES!R$16:R$72)+SUMIF(RODANTES!$B$16:$B$72,$A93,RODANTES!R$16:R$72)+SUMIF(RECARGAS!$B$16:$B$37,$A93,RECARGAS!AB$16:AB$37)+SUMIF(REVENDIDOS!$B$16:$B$25,$A93,REVENDIDOS!S$16:S$25)</f>
        <v>30719.6909242354</v>
      </c>
      <c r="M93" s="13" t="n">
        <f aca="false">SUMIF(MANUALES!$B$16:$B$72,$A93,MANUALES!S$16:S$72)+SUMIF(RODANTES!$B$16:$B$72,$A93,RODANTES!S$16:S$72)+SUMIF(RECARGAS!$B$16:$B$37,$A93,RECARGAS!AC$16:AC$37)+SUMIF(REVENDIDOS!$B$16:$B$25,$A93,REVENDIDOS!T$16:T$25)</f>
        <v>39336.4696707652</v>
      </c>
      <c r="N93" s="13" t="n">
        <f aca="false">SUMIF(MANUALES!$B$16:$B$72,$A93,MANUALES!T$16:T$72)+SUMIF(RODANTES!$B$16:$B$72,$A93,RODANTES!T$16:T$72)+SUMIF(RECARGAS!$B$16:$B$37,$A93,RECARGAS!AD$16:AD$37)+SUMIF(REVENDIDOS!$B$16:$B$25,$A93,REVENDIDOS!U$16:U$25)</f>
        <v>49292.5229220404</v>
      </c>
      <c r="O93" s="13" t="n">
        <f aca="false">SUMIF(MANUALES!$B$16:$B$72,$A93,MANUALES!U$16:U$72)+SUMIF(RODANTES!$B$16:$B$72,$A93,RODANTES!U$16:U$72)+SUMIF(RECARGAS!$B$16:$B$37,$A93,RECARGAS!AE$16:AE$37)+SUMIF(REVENDIDOS!$B$16:$B$25,$A93,REVENDIDOS!V$16:V$25)</f>
        <v>58989.3905887392</v>
      </c>
      <c r="P93" s="13" t="n">
        <f aca="false">SUMIF(MANUALES!$B$16:$B$72,$A93,MANUALES!V$16:V$72)+SUMIF(RODANTES!$B$16:$B$72,$A93,RODANTES!V$16:V$72)+SUMIF(RECARGAS!$B$16:$B$37,$A93,RECARGAS!AF$16:AF$37)+SUMIF(REVENDIDOS!$B$16:$B$25,$A93,REVENDIDOS!W$16:W$25)</f>
        <v>66572.73888264</v>
      </c>
      <c r="Q93" s="13" t="n">
        <f aca="false">SUMIF(MANUALES!$B$16:$B$72,$A93,MANUALES!W$16:W$72)+SUMIF(RODANTES!$B$16:$B$72,$A93,RODANTES!W$16:W$72)+SUMIF(RECARGAS!$B$16:$B$37,$A93,RECARGAS!AG$16:AG$37)+SUMIF(REVENDIDOS!$B$16:$B$25,$A93,REVENDIDOS!X$16:X$25)</f>
        <v>75583.421679956</v>
      </c>
      <c r="R93" s="13" t="n">
        <f aca="false">SUMIF(MANUALES!$B$16:$B$72,$A93,MANUALES!X$16:X$72)+SUMIF(RODANTES!$B$16:$B$72,$A93,RODANTES!X$16:X$72)+SUMIF(RECARGAS!$B$16:$B$37,$A93,RECARGAS!AH$16:AH$37)+SUMIF(REVENDIDOS!$B$16:$B$25,$A93,REVENDIDOS!Y$16:Y$25)</f>
        <v>8598.61724716505</v>
      </c>
    </row>
    <row r="94" customFormat="false" ht="15" hidden="false" customHeight="false" outlineLevel="0" collapsed="false">
      <c r="A94" s="3" t="s">
        <v>315</v>
      </c>
      <c r="B94" s="3" t="s">
        <v>316</v>
      </c>
      <c r="C94" s="3" t="s">
        <v>214</v>
      </c>
      <c r="D94" s="13" t="n">
        <f aca="false">SUMIF(MANUALES!$B$16:$B$72,$A94,MANUALES!W$16:W$72)</f>
        <v>73769.1452334506</v>
      </c>
      <c r="E94" s="13" t="n">
        <f aca="false">SUMIF(RODANTES!$B$16:$B$72,$A94,RODANTES!W$16:W$72)</f>
        <v>1814.27644650532</v>
      </c>
      <c r="F94" s="13" t="n">
        <f aca="false">SUMIF(RECARGAS!$B$16:$B$37,$A94,RECARGAS!AG$16:AG$37)</f>
        <v>0</v>
      </c>
      <c r="G94" s="13" t="n">
        <f aca="false">SUMIF(REVENDIDOS!$B$16:$B$25,$A94,REVENDIDOS!X$16:X$25)</f>
        <v>0</v>
      </c>
      <c r="H94" s="13" t="n">
        <f aca="false">SUMIF(MANUALES!$B$16:$B$72,$A94,MANUALES!N$16:N$72)+SUMIF(RODANTES!$B$16:$B$72,$A94,RODANTES!N$16:N$72)+SUMIF(RECARGAS!$B$16:$B$37,$A94,RECARGAS!X$16:X$37)+SUMIF(REVENDIDOS!$B$16:$B$25,$A94,REVENDIDOS!O$16:O$25)</f>
        <v>7430.86196171164</v>
      </c>
      <c r="I94" s="13" t="n">
        <f aca="false">SUMIF(MANUALES!$B$16:$B$72,$A94,MANUALES!O$16:O$72)+SUMIF(RODANTES!$B$16:$B$72,$A94,RODANTES!O$16:O$72)+SUMIF(RECARGAS!$B$16:$B$37,$A94,RECARGAS!Y$16:Y$37)+SUMIF(REVENDIDOS!$B$16:$B$25,$A94,REVENDIDOS!P$16:P$25)</f>
        <v>12608.5344353427</v>
      </c>
      <c r="J94" s="13" t="n">
        <f aca="false">SUMIF(MANUALES!$B$16:$B$72,$A94,MANUALES!P$16:P$72)+SUMIF(RODANTES!$B$16:$B$72,$A94,RODANTES!P$16:P$72)+SUMIF(RECARGAS!$B$16:$B$37,$A94,RECARGAS!Z$16:Z$37)+SUMIF(REVENDIDOS!$B$16:$B$25,$A94,REVENDIDOS!Q$16:Q$25)</f>
        <v>15602.5971929293</v>
      </c>
      <c r="K94" s="13" t="n">
        <f aca="false">SUMIF(MANUALES!$B$16:$B$72,$A94,MANUALES!Q$16:Q$72)+SUMIF(RODANTES!$B$16:$B$72,$A94,RODANTES!Q$16:Q$72)+SUMIF(RECARGAS!$B$16:$B$37,$A94,RECARGAS!AA$16:AA$37)+SUMIF(REVENDIDOS!$B$16:$B$25,$A94,REVENDIDOS!R$16:R$25)</f>
        <v>21153.7281803724</v>
      </c>
      <c r="L94" s="13" t="n">
        <f aca="false">SUMIF(MANUALES!$B$16:$B$72,$A94,MANUALES!R$16:R$72)+SUMIF(RODANTES!$B$16:$B$72,$A94,RODANTES!R$16:R$72)+SUMIF(RECARGAS!$B$16:$B$37,$A94,RECARGAS!AB$16:AB$37)+SUMIF(REVENDIDOS!$B$16:$B$25,$A94,REVENDIDOS!S$16:S$25)</f>
        <v>30719.6909242354</v>
      </c>
      <c r="M94" s="13" t="n">
        <f aca="false">SUMIF(MANUALES!$B$16:$B$72,$A94,MANUALES!S$16:S$72)+SUMIF(RODANTES!$B$16:$B$72,$A94,RODANTES!S$16:S$72)+SUMIF(RECARGAS!$B$16:$B$37,$A94,RECARGAS!AC$16:AC$37)+SUMIF(REVENDIDOS!$B$16:$B$25,$A94,REVENDIDOS!T$16:T$25)</f>
        <v>39336.4696707652</v>
      </c>
      <c r="N94" s="13" t="n">
        <f aca="false">SUMIF(MANUALES!$B$16:$B$72,$A94,MANUALES!T$16:T$72)+SUMIF(RODANTES!$B$16:$B$72,$A94,RODANTES!T$16:T$72)+SUMIF(RECARGAS!$B$16:$B$37,$A94,RECARGAS!AD$16:AD$37)+SUMIF(REVENDIDOS!$B$16:$B$25,$A94,REVENDIDOS!U$16:U$25)</f>
        <v>49292.5229220404</v>
      </c>
      <c r="O94" s="13" t="n">
        <f aca="false">SUMIF(MANUALES!$B$16:$B$72,$A94,MANUALES!U$16:U$72)+SUMIF(RODANTES!$B$16:$B$72,$A94,RODANTES!U$16:U$72)+SUMIF(RECARGAS!$B$16:$B$37,$A94,RECARGAS!AE$16:AE$37)+SUMIF(REVENDIDOS!$B$16:$B$25,$A94,REVENDIDOS!V$16:V$25)</f>
        <v>58989.3905887392</v>
      </c>
      <c r="P94" s="13" t="n">
        <f aca="false">SUMIF(MANUALES!$B$16:$B$72,$A94,MANUALES!V$16:V$72)+SUMIF(RODANTES!$B$16:$B$72,$A94,RODANTES!V$16:V$72)+SUMIF(RECARGAS!$B$16:$B$37,$A94,RECARGAS!AF$16:AF$37)+SUMIF(REVENDIDOS!$B$16:$B$25,$A94,REVENDIDOS!W$16:W$25)</f>
        <v>66572.73888264</v>
      </c>
      <c r="Q94" s="13" t="n">
        <f aca="false">SUMIF(MANUALES!$B$16:$B$72,$A94,MANUALES!W$16:W$72)+SUMIF(RODANTES!$B$16:$B$72,$A94,RODANTES!W$16:W$72)+SUMIF(RECARGAS!$B$16:$B$37,$A94,RECARGAS!AG$16:AG$37)+SUMIF(REVENDIDOS!$B$16:$B$25,$A94,REVENDIDOS!X$16:X$25)</f>
        <v>75583.421679956</v>
      </c>
      <c r="R94" s="13" t="n">
        <f aca="false">SUMIF(MANUALES!$B$16:$B$72,$A94,MANUALES!X$16:X$72)+SUMIF(RODANTES!$B$16:$B$72,$A94,RODANTES!X$16:X$72)+SUMIF(RECARGAS!$B$16:$B$37,$A94,RECARGAS!AH$16:AH$37)+SUMIF(REVENDIDOS!$B$16:$B$25,$A94,REVENDIDOS!Y$16:Y$25)</f>
        <v>8598.61724716505</v>
      </c>
    </row>
    <row r="95" customFormat="false" ht="15" hidden="false" customHeight="false" outlineLevel="0" collapsed="false">
      <c r="A95" s="3" t="s">
        <v>318</v>
      </c>
      <c r="B95" s="3" t="s">
        <v>319</v>
      </c>
      <c r="C95" s="3" t="s">
        <v>214</v>
      </c>
      <c r="D95" s="13" t="n">
        <f aca="false">SUMIF(MANUALES!$B$16:$B$72,$A95,MANUALES!W$16:W$72)</f>
        <v>73769.1452334506</v>
      </c>
      <c r="E95" s="13" t="n">
        <f aca="false">SUMIF(RODANTES!$B$16:$B$72,$A95,RODANTES!W$16:W$72)</f>
        <v>1814.27644650532</v>
      </c>
      <c r="F95" s="13" t="n">
        <f aca="false">SUMIF(RECARGAS!$B$16:$B$37,$A95,RECARGAS!AG$16:AG$37)</f>
        <v>0</v>
      </c>
      <c r="G95" s="13" t="n">
        <f aca="false">SUMIF(REVENDIDOS!$B$16:$B$25,$A95,REVENDIDOS!X$16:X$25)</f>
        <v>0</v>
      </c>
      <c r="H95" s="13" t="n">
        <f aca="false">SUMIF(MANUALES!$B$16:$B$72,$A95,MANUALES!N$16:N$72)+SUMIF(RODANTES!$B$16:$B$72,$A95,RODANTES!N$16:N$72)+SUMIF(RECARGAS!$B$16:$B$37,$A95,RECARGAS!X$16:X$37)+SUMIF(REVENDIDOS!$B$16:$B$25,$A95,REVENDIDOS!O$16:O$25)</f>
        <v>7430.86196171164</v>
      </c>
      <c r="I95" s="13" t="n">
        <f aca="false">SUMIF(MANUALES!$B$16:$B$72,$A95,MANUALES!O$16:O$72)+SUMIF(RODANTES!$B$16:$B$72,$A95,RODANTES!O$16:O$72)+SUMIF(RECARGAS!$B$16:$B$37,$A95,RECARGAS!Y$16:Y$37)+SUMIF(REVENDIDOS!$B$16:$B$25,$A95,REVENDIDOS!P$16:P$25)</f>
        <v>12608.5344353427</v>
      </c>
      <c r="J95" s="13" t="n">
        <f aca="false">SUMIF(MANUALES!$B$16:$B$72,$A95,MANUALES!P$16:P$72)+SUMIF(RODANTES!$B$16:$B$72,$A95,RODANTES!P$16:P$72)+SUMIF(RECARGAS!$B$16:$B$37,$A95,RECARGAS!Z$16:Z$37)+SUMIF(REVENDIDOS!$B$16:$B$25,$A95,REVENDIDOS!Q$16:Q$25)</f>
        <v>15602.5971929293</v>
      </c>
      <c r="K95" s="13" t="n">
        <f aca="false">SUMIF(MANUALES!$B$16:$B$72,$A95,MANUALES!Q$16:Q$72)+SUMIF(RODANTES!$B$16:$B$72,$A95,RODANTES!Q$16:Q$72)+SUMIF(RECARGAS!$B$16:$B$37,$A95,RECARGAS!AA$16:AA$37)+SUMIF(REVENDIDOS!$B$16:$B$25,$A95,REVENDIDOS!R$16:R$25)</f>
        <v>21153.7281803724</v>
      </c>
      <c r="L95" s="13" t="n">
        <f aca="false">SUMIF(MANUALES!$B$16:$B$72,$A95,MANUALES!R$16:R$72)+SUMIF(RODANTES!$B$16:$B$72,$A95,RODANTES!R$16:R$72)+SUMIF(RECARGAS!$B$16:$B$37,$A95,RECARGAS!AB$16:AB$37)+SUMIF(REVENDIDOS!$B$16:$B$25,$A95,REVENDIDOS!S$16:S$25)</f>
        <v>30719.6909242354</v>
      </c>
      <c r="M95" s="13" t="n">
        <f aca="false">SUMIF(MANUALES!$B$16:$B$72,$A95,MANUALES!S$16:S$72)+SUMIF(RODANTES!$B$16:$B$72,$A95,RODANTES!S$16:S$72)+SUMIF(RECARGAS!$B$16:$B$37,$A95,RECARGAS!AC$16:AC$37)+SUMIF(REVENDIDOS!$B$16:$B$25,$A95,REVENDIDOS!T$16:T$25)</f>
        <v>39336.4696707652</v>
      </c>
      <c r="N95" s="13" t="n">
        <f aca="false">SUMIF(MANUALES!$B$16:$B$72,$A95,MANUALES!T$16:T$72)+SUMIF(RODANTES!$B$16:$B$72,$A95,RODANTES!T$16:T$72)+SUMIF(RECARGAS!$B$16:$B$37,$A95,RECARGAS!AD$16:AD$37)+SUMIF(REVENDIDOS!$B$16:$B$25,$A95,REVENDIDOS!U$16:U$25)</f>
        <v>49292.5229220404</v>
      </c>
      <c r="O95" s="13" t="n">
        <f aca="false">SUMIF(MANUALES!$B$16:$B$72,$A95,MANUALES!U$16:U$72)+SUMIF(RODANTES!$B$16:$B$72,$A95,RODANTES!U$16:U$72)+SUMIF(RECARGAS!$B$16:$B$37,$A95,RECARGAS!AE$16:AE$37)+SUMIF(REVENDIDOS!$B$16:$B$25,$A95,REVENDIDOS!V$16:V$25)</f>
        <v>58989.3905887392</v>
      </c>
      <c r="P95" s="13" t="n">
        <f aca="false">SUMIF(MANUALES!$B$16:$B$72,$A95,MANUALES!V$16:V$72)+SUMIF(RODANTES!$B$16:$B$72,$A95,RODANTES!V$16:V$72)+SUMIF(RECARGAS!$B$16:$B$37,$A95,RECARGAS!AF$16:AF$37)+SUMIF(REVENDIDOS!$B$16:$B$25,$A95,REVENDIDOS!W$16:W$25)</f>
        <v>66572.73888264</v>
      </c>
      <c r="Q95" s="13" t="n">
        <f aca="false">SUMIF(MANUALES!$B$16:$B$72,$A95,MANUALES!W$16:W$72)+SUMIF(RODANTES!$B$16:$B$72,$A95,RODANTES!W$16:W$72)+SUMIF(RECARGAS!$B$16:$B$37,$A95,RECARGAS!AG$16:AG$37)+SUMIF(REVENDIDOS!$B$16:$B$25,$A95,REVENDIDOS!X$16:X$25)</f>
        <v>75583.421679956</v>
      </c>
      <c r="R95" s="13" t="n">
        <f aca="false">SUMIF(MANUALES!$B$16:$B$72,$A95,MANUALES!X$16:X$72)+SUMIF(RODANTES!$B$16:$B$72,$A95,RODANTES!X$16:X$72)+SUMIF(RECARGAS!$B$16:$B$37,$A95,RECARGAS!AH$16:AH$37)+SUMIF(REVENDIDOS!$B$16:$B$25,$A95,REVENDIDOS!Y$16:Y$25)</f>
        <v>8598.61724716505</v>
      </c>
    </row>
    <row r="96" customFormat="false" ht="15" hidden="false" customHeight="false" outlineLevel="0" collapsed="false">
      <c r="A96" s="3" t="s">
        <v>321</v>
      </c>
      <c r="B96" s="3" t="s">
        <v>322</v>
      </c>
      <c r="C96" s="3" t="s">
        <v>214</v>
      </c>
      <c r="D96" s="13" t="n">
        <f aca="false">SUMIF(MANUALES!$B$16:$B$72,$A96,MANUALES!W$16:W$72)</f>
        <v>212143</v>
      </c>
      <c r="E96" s="13" t="n">
        <f aca="false">SUMIF(RODANTES!$B$16:$B$72,$A96,RODANTES!W$16:W$72)</f>
        <v>1287</v>
      </c>
      <c r="F96" s="13" t="n">
        <f aca="false">SUMIF(RECARGAS!$B$16:$B$37,$A96,RECARGAS!AG$16:AG$37)</f>
        <v>0</v>
      </c>
      <c r="G96" s="13" t="n">
        <f aca="false">SUMIF(REVENDIDOS!$B$16:$B$25,$A96,REVENDIDOS!X$16:X$25)</f>
        <v>0</v>
      </c>
      <c r="H96" s="13" t="n">
        <f aca="false">SUMIF(MANUALES!$B$16:$B$72,$A96,MANUALES!N$16:N$72)+SUMIF(RODANTES!$B$16:$B$72,$A96,RODANTES!N$16:N$72)+SUMIF(RECARGAS!$B$16:$B$37,$A96,RECARGAS!X$16:X$37)+SUMIF(REVENDIDOS!$B$16:$B$25,$A96,REVENDIDOS!O$16:O$25)</f>
        <v>0</v>
      </c>
      <c r="I96" s="13" t="n">
        <f aca="false">SUMIF(MANUALES!$B$16:$B$72,$A96,MANUALES!O$16:O$72)+SUMIF(RODANTES!$B$16:$B$72,$A96,RODANTES!O$16:O$72)+SUMIF(RECARGAS!$B$16:$B$37,$A96,RECARGAS!Y$16:Y$37)+SUMIF(REVENDIDOS!$B$16:$B$25,$A96,REVENDIDOS!P$16:P$25)</f>
        <v>0</v>
      </c>
      <c r="J96" s="13" t="n">
        <f aca="false">SUMIF(MANUALES!$B$16:$B$72,$A96,MANUALES!P$16:P$72)+SUMIF(RODANTES!$B$16:$B$72,$A96,RODANTES!P$16:P$72)+SUMIF(RECARGAS!$B$16:$B$37,$A96,RECARGAS!Z$16:Z$37)+SUMIF(REVENDIDOS!$B$16:$B$25,$A96,REVENDIDOS!Q$16:Q$25)</f>
        <v>9589</v>
      </c>
      <c r="K96" s="13" t="n">
        <f aca="false">SUMIF(MANUALES!$B$16:$B$72,$A96,MANUALES!Q$16:Q$72)+SUMIF(RODANTES!$B$16:$B$72,$A96,RODANTES!Q$16:Q$72)+SUMIF(RECARGAS!$B$16:$B$37,$A96,RECARGAS!AA$16:AA$37)+SUMIF(REVENDIDOS!$B$16:$B$25,$A96,REVENDIDOS!R$16:R$25)</f>
        <v>33407</v>
      </c>
      <c r="L96" s="13" t="n">
        <f aca="false">SUMIF(MANUALES!$B$16:$B$72,$A96,MANUALES!R$16:R$72)+SUMIF(RODANTES!$B$16:$B$72,$A96,RODANTES!R$16:R$72)+SUMIF(RECARGAS!$B$16:$B$37,$A96,RECARGAS!AB$16:AB$37)+SUMIF(REVENDIDOS!$B$16:$B$25,$A96,REVENDIDOS!S$16:S$25)</f>
        <v>61865</v>
      </c>
      <c r="M96" s="13" t="n">
        <f aca="false">SUMIF(MANUALES!$B$16:$B$72,$A96,MANUALES!S$16:S$72)+SUMIF(RODANTES!$B$16:$B$72,$A96,RODANTES!S$16:S$72)+SUMIF(RECARGAS!$B$16:$B$37,$A96,RECARGAS!AC$16:AC$37)+SUMIF(REVENDIDOS!$B$16:$B$25,$A96,REVENDIDOS!T$16:T$25)</f>
        <v>89704</v>
      </c>
      <c r="N96" s="13" t="n">
        <f aca="false">SUMIF(MANUALES!$B$16:$B$72,$A96,MANUALES!T$16:T$72)+SUMIF(RODANTES!$B$16:$B$72,$A96,RODANTES!T$16:T$72)+SUMIF(RECARGAS!$B$16:$B$37,$A96,RECARGAS!AD$16:AD$37)+SUMIF(REVENDIDOS!$B$16:$B$25,$A96,REVENDIDOS!U$16:U$25)</f>
        <v>126822</v>
      </c>
      <c r="O96" s="13" t="n">
        <f aca="false">SUMIF(MANUALES!$B$16:$B$72,$A96,MANUALES!U$16:U$72)+SUMIF(RODANTES!$B$16:$B$72,$A96,RODANTES!U$16:U$72)+SUMIF(RECARGAS!$B$16:$B$37,$A96,RECARGAS!AE$16:AE$37)+SUMIF(REVENDIDOS!$B$16:$B$25,$A96,REVENDIDOS!V$16:V$25)</f>
        <v>163940</v>
      </c>
      <c r="P96" s="13" t="n">
        <f aca="false">SUMIF(MANUALES!$B$16:$B$72,$A96,MANUALES!V$16:V$72)+SUMIF(RODANTES!$B$16:$B$72,$A96,RODANTES!V$16:V$72)+SUMIF(RECARGAS!$B$16:$B$37,$A96,RECARGAS!AF$16:AF$37)+SUMIF(REVENDIDOS!$B$16:$B$25,$A96,REVENDIDOS!W$16:W$25)</f>
        <v>183736</v>
      </c>
      <c r="Q96" s="13" t="n">
        <f aca="false">SUMIF(MANUALES!$B$16:$B$72,$A96,MANUALES!W$16:W$72)+SUMIF(RODANTES!$B$16:$B$72,$A96,RODANTES!W$16:W$72)+SUMIF(RECARGAS!$B$16:$B$37,$A96,RECARGAS!AG$16:AG$37)+SUMIF(REVENDIDOS!$B$16:$B$25,$A96,REVENDIDOS!X$16:X$25)</f>
        <v>213430</v>
      </c>
      <c r="R96" s="13" t="n">
        <f aca="false">SUMIF(MANUALES!$B$16:$B$72,$A96,MANUALES!X$16:X$72)+SUMIF(RODANTES!$B$16:$B$72,$A96,RODANTES!X$16:X$72)+SUMIF(RECARGAS!$B$16:$B$37,$A96,RECARGAS!AH$16:AH$37)+SUMIF(REVENDIDOS!$B$16:$B$25,$A96,REVENDIDOS!Y$16:Y$25)</f>
        <v>25157.04</v>
      </c>
    </row>
    <row r="97" customFormat="false" ht="15" hidden="false" customHeight="false" outlineLevel="0" collapsed="false">
      <c r="A97" s="3" t="s">
        <v>324</v>
      </c>
      <c r="B97" s="3" t="s">
        <v>325</v>
      </c>
      <c r="C97" s="3" t="s">
        <v>214</v>
      </c>
      <c r="D97" s="13" t="n">
        <f aca="false">SUMIF(MANUALES!$B$16:$B$72,$A97,MANUALES!W$16:W$72)</f>
        <v>170548</v>
      </c>
      <c r="E97" s="13" t="n">
        <f aca="false">SUMIF(RODANTES!$B$16:$B$72,$A97,RODANTES!W$16:W$72)</f>
        <v>0</v>
      </c>
      <c r="F97" s="13" t="n">
        <f aca="false">SUMIF(RECARGAS!$B$16:$B$37,$A97,RECARGAS!AG$16:AG$37)</f>
        <v>0</v>
      </c>
      <c r="G97" s="13" t="n">
        <f aca="false">SUMIF(REVENDIDOS!$B$16:$B$25,$A97,REVENDIDOS!X$16:X$25)</f>
        <v>0</v>
      </c>
      <c r="H97" s="13" t="n">
        <f aca="false">SUMIF(MANUALES!$B$16:$B$72,$A97,MANUALES!N$16:N$72)+SUMIF(RODANTES!$B$16:$B$72,$A97,RODANTES!N$16:N$72)+SUMIF(RECARGAS!$B$16:$B$37,$A97,RECARGAS!X$16:X$37)+SUMIF(REVENDIDOS!$B$16:$B$25,$A97,REVENDIDOS!O$16:O$25)</f>
        <v>0</v>
      </c>
      <c r="I97" s="13" t="n">
        <f aca="false">SUMIF(MANUALES!$B$16:$B$72,$A97,MANUALES!O$16:O$72)+SUMIF(RODANTES!$B$16:$B$72,$A97,RODANTES!O$16:O$72)+SUMIF(RECARGAS!$B$16:$B$37,$A97,RECARGAS!Y$16:Y$37)+SUMIF(REVENDIDOS!$B$16:$B$25,$A97,REVENDIDOS!P$16:P$25)</f>
        <v>0</v>
      </c>
      <c r="J97" s="13" t="n">
        <f aca="false">SUMIF(MANUALES!$B$16:$B$72,$A97,MANUALES!P$16:P$72)+SUMIF(RODANTES!$B$16:$B$72,$A97,RODANTES!P$16:P$72)+SUMIF(RECARGAS!$B$16:$B$37,$A97,RECARGAS!Z$16:Z$37)+SUMIF(REVENDIDOS!$B$16:$B$25,$A97,REVENDIDOS!Q$16:Q$25)</f>
        <v>7662.4</v>
      </c>
      <c r="K97" s="13" t="n">
        <f aca="false">SUMIF(MANUALES!$B$16:$B$72,$A97,MANUALES!Q$16:Q$72)+SUMIF(RODANTES!$B$16:$B$72,$A97,RODANTES!Q$16:Q$72)+SUMIF(RECARGAS!$B$16:$B$37,$A97,RECARGAS!AA$16:AA$37)+SUMIF(REVENDIDOS!$B$16:$B$25,$A97,REVENDIDOS!R$16:R$25)</f>
        <v>26694.8</v>
      </c>
      <c r="L97" s="13" t="n">
        <f aca="false">SUMIF(MANUALES!$B$16:$B$72,$A97,MANUALES!R$16:R$72)+SUMIF(RODANTES!$B$16:$B$72,$A97,RODANTES!R$16:R$72)+SUMIF(RECARGAS!$B$16:$B$37,$A97,RECARGAS!AB$16:AB$37)+SUMIF(REVENDIDOS!$B$16:$B$25,$A97,REVENDIDOS!S$16:S$25)</f>
        <v>49434.8</v>
      </c>
      <c r="M97" s="13" t="n">
        <f aca="false">SUMIF(MANUALES!$B$16:$B$72,$A97,MANUALES!S$16:S$72)+SUMIF(RODANTES!$B$16:$B$72,$A97,RODANTES!S$16:S$72)+SUMIF(RECARGAS!$B$16:$B$37,$A97,RECARGAS!AC$16:AC$37)+SUMIF(REVENDIDOS!$B$16:$B$25,$A97,REVENDIDOS!T$16:T$25)</f>
        <v>71680.2</v>
      </c>
      <c r="N97" s="13" t="n">
        <f aca="false">SUMIF(MANUALES!$B$16:$B$72,$A97,MANUALES!T$16:T$72)+SUMIF(RODANTES!$B$16:$B$72,$A97,RODANTES!T$16:T$72)+SUMIF(RECARGAS!$B$16:$B$37,$A97,RECARGAS!AD$16:AD$37)+SUMIF(REVENDIDOS!$B$16:$B$25,$A97,REVENDIDOS!U$16:U$25)</f>
        <v>101340.6</v>
      </c>
      <c r="O97" s="13" t="n">
        <f aca="false">SUMIF(MANUALES!$B$16:$B$72,$A97,MANUALES!U$16:U$72)+SUMIF(RODANTES!$B$16:$B$72,$A97,RODANTES!U$16:U$72)+SUMIF(RECARGAS!$B$16:$B$37,$A97,RECARGAS!AE$16:AE$37)+SUMIF(REVENDIDOS!$B$16:$B$25,$A97,REVENDIDOS!V$16:V$25)</f>
        <v>131001</v>
      </c>
      <c r="P97" s="13" t="n">
        <f aca="false">SUMIF(MANUALES!$B$16:$B$72,$A97,MANUALES!V$16:V$72)+SUMIF(RODANTES!$B$16:$B$72,$A97,RODANTES!V$16:V$72)+SUMIF(RECARGAS!$B$16:$B$37,$A97,RECARGAS!AF$16:AF$37)+SUMIF(REVENDIDOS!$B$16:$B$25,$A97,REVENDIDOS!W$16:W$25)</f>
        <v>146819.8</v>
      </c>
      <c r="Q97" s="13" t="n">
        <f aca="false">SUMIF(MANUALES!$B$16:$B$72,$A97,MANUALES!W$16:W$72)+SUMIF(RODANTES!$B$16:$B$72,$A97,RODANTES!W$16:W$72)+SUMIF(RECARGAS!$B$16:$B$37,$A97,RECARGAS!AG$16:AG$37)+SUMIF(REVENDIDOS!$B$16:$B$25,$A97,REVENDIDOS!X$16:X$25)</f>
        <v>170548</v>
      </c>
      <c r="R97" s="13" t="n">
        <f aca="false">SUMIF(MANUALES!$B$16:$B$72,$A97,MANUALES!X$16:X$72)+SUMIF(RODANTES!$B$16:$B$72,$A97,RODANTES!X$16:X$72)+SUMIF(RECARGAS!$B$16:$B$37,$A97,RECARGAS!AH$16:AH$37)+SUMIF(REVENDIDOS!$B$16:$B$25,$A97,REVENDIDOS!Y$16:Y$25)</f>
        <v>20465.76</v>
      </c>
    </row>
    <row r="98" customFormat="false" ht="15" hidden="false" customHeight="false" outlineLevel="0" collapsed="false">
      <c r="A98" s="3" t="s">
        <v>327</v>
      </c>
      <c r="B98" s="3" t="s">
        <v>328</v>
      </c>
      <c r="C98" s="3" t="s">
        <v>214</v>
      </c>
      <c r="D98" s="13" t="n">
        <f aca="false">SUMIF(MANUALES!$B$16:$B$72,$A98,MANUALES!W$16:W$72)</f>
        <v>41595</v>
      </c>
      <c r="E98" s="13" t="n">
        <f aca="false">SUMIF(RODANTES!$B$16:$B$72,$A98,RODANTES!W$16:W$72)</f>
        <v>1030</v>
      </c>
      <c r="F98" s="13" t="n">
        <f aca="false">SUMIF(RECARGAS!$B$16:$B$37,$A98,RECARGAS!AG$16:AG$37)</f>
        <v>0</v>
      </c>
      <c r="G98" s="13" t="n">
        <f aca="false">SUMIF(REVENDIDOS!$B$16:$B$25,$A98,REVENDIDOS!X$16:X$25)</f>
        <v>0</v>
      </c>
      <c r="H98" s="13" t="n">
        <f aca="false">SUMIF(MANUALES!$B$16:$B$72,$A98,MANUALES!N$16:N$72)+SUMIF(RODANTES!$B$16:$B$72,$A98,RODANTES!N$16:N$72)+SUMIF(RECARGAS!$B$16:$B$37,$A98,RECARGAS!X$16:X$37)+SUMIF(REVENDIDOS!$B$16:$B$25,$A98,REVENDIDOS!O$16:O$25)</f>
        <v>0</v>
      </c>
      <c r="I98" s="13" t="n">
        <f aca="false">SUMIF(MANUALES!$B$16:$B$72,$A98,MANUALES!O$16:O$72)+SUMIF(RODANTES!$B$16:$B$72,$A98,RODANTES!O$16:O$72)+SUMIF(RECARGAS!$B$16:$B$37,$A98,RECARGAS!Y$16:Y$37)+SUMIF(REVENDIDOS!$B$16:$B$25,$A98,REVENDIDOS!P$16:P$25)</f>
        <v>0</v>
      </c>
      <c r="J98" s="13" t="n">
        <f aca="false">SUMIF(MANUALES!$B$16:$B$72,$A98,MANUALES!P$16:P$72)+SUMIF(RODANTES!$B$16:$B$72,$A98,RODANTES!P$16:P$72)+SUMIF(RECARGAS!$B$16:$B$37,$A98,RECARGAS!Z$16:Z$37)+SUMIF(REVENDIDOS!$B$16:$B$25,$A98,REVENDIDOS!Q$16:Q$25)</f>
        <v>1915</v>
      </c>
      <c r="K98" s="13" t="n">
        <f aca="false">SUMIF(MANUALES!$B$16:$B$72,$A98,MANUALES!Q$16:Q$72)+SUMIF(RODANTES!$B$16:$B$72,$A98,RODANTES!Q$16:Q$72)+SUMIF(RECARGAS!$B$16:$B$37,$A98,RECARGAS!AA$16:AA$37)+SUMIF(REVENDIDOS!$B$16:$B$25,$A98,REVENDIDOS!R$16:R$25)</f>
        <v>6671.8</v>
      </c>
      <c r="L98" s="13" t="n">
        <f aca="false">SUMIF(MANUALES!$B$16:$B$72,$A98,MANUALES!R$16:R$72)+SUMIF(RODANTES!$B$16:$B$72,$A98,RODANTES!R$16:R$72)+SUMIF(RECARGAS!$B$16:$B$37,$A98,RECARGAS!AB$16:AB$37)+SUMIF(REVENDIDOS!$B$16:$B$25,$A98,REVENDIDOS!S$16:S$25)</f>
        <v>12355.4</v>
      </c>
      <c r="M98" s="13" t="n">
        <f aca="false">SUMIF(MANUALES!$B$16:$B$72,$A98,MANUALES!S$16:S$72)+SUMIF(RODANTES!$B$16:$B$72,$A98,RODANTES!S$16:S$72)+SUMIF(RECARGAS!$B$16:$B$37,$A98,RECARGAS!AC$16:AC$37)+SUMIF(REVENDIDOS!$B$16:$B$25,$A98,REVENDIDOS!T$16:T$25)</f>
        <v>17915.6</v>
      </c>
      <c r="N98" s="13" t="n">
        <f aca="false">SUMIF(MANUALES!$B$16:$B$72,$A98,MANUALES!T$16:T$72)+SUMIF(RODANTES!$B$16:$B$72,$A98,RODANTES!T$16:T$72)+SUMIF(RECARGAS!$B$16:$B$37,$A98,RECARGAS!AD$16:AD$37)+SUMIF(REVENDIDOS!$B$16:$B$25,$A98,REVENDIDOS!U$16:U$25)</f>
        <v>25328.8</v>
      </c>
      <c r="O98" s="13" t="n">
        <f aca="false">SUMIF(MANUALES!$B$16:$B$72,$A98,MANUALES!U$16:U$72)+SUMIF(RODANTES!$B$16:$B$72,$A98,RODANTES!U$16:U$72)+SUMIF(RECARGAS!$B$16:$B$37,$A98,RECARGAS!AE$16:AE$37)+SUMIF(REVENDIDOS!$B$16:$B$25,$A98,REVENDIDOS!V$16:V$25)</f>
        <v>32742</v>
      </c>
      <c r="P98" s="13" t="n">
        <f aca="false">SUMIF(MANUALES!$B$16:$B$72,$A98,MANUALES!V$16:V$72)+SUMIF(RODANTES!$B$16:$B$72,$A98,RODANTES!V$16:V$72)+SUMIF(RECARGAS!$B$16:$B$37,$A98,RECARGAS!AF$16:AF$37)+SUMIF(REVENDIDOS!$B$16:$B$25,$A98,REVENDIDOS!W$16:W$25)</f>
        <v>36695.2</v>
      </c>
      <c r="Q98" s="13" t="n">
        <f aca="false">SUMIF(MANUALES!$B$16:$B$72,$A98,MANUALES!W$16:W$72)+SUMIF(RODANTES!$B$16:$B$72,$A98,RODANTES!W$16:W$72)+SUMIF(RECARGAS!$B$16:$B$37,$A98,RECARGAS!AG$16:AG$37)+SUMIF(REVENDIDOS!$B$16:$B$25,$A98,REVENDIDOS!X$16:X$25)</f>
        <v>42625</v>
      </c>
      <c r="R98" s="13" t="n">
        <f aca="false">SUMIF(MANUALES!$B$16:$B$72,$A98,MANUALES!X$16:X$72)+SUMIF(RODANTES!$B$16:$B$72,$A98,RODANTES!X$16:X$72)+SUMIF(RECARGAS!$B$16:$B$37,$A98,RECARGAS!AH$16:AH$37)+SUMIF(REVENDIDOS!$B$16:$B$25,$A98,REVENDIDOS!Y$16:Y$25)</f>
        <v>4668.15</v>
      </c>
    </row>
    <row r="99" customFormat="false" ht="15" hidden="false" customHeight="false" outlineLevel="0" collapsed="false">
      <c r="A99" s="3" t="s">
        <v>501</v>
      </c>
      <c r="B99" s="3" t="s">
        <v>502</v>
      </c>
      <c r="C99" s="3" t="s">
        <v>214</v>
      </c>
      <c r="D99" s="13" t="n">
        <f aca="false">SUMIF(MANUALES!$B$16:$B$72,$A99,MANUALES!W$16:W$72)</f>
        <v>0</v>
      </c>
      <c r="E99" s="13" t="n">
        <f aca="false">SUMIF(RODANTES!$B$16:$B$72,$A99,RODANTES!W$16:W$72)</f>
        <v>257</v>
      </c>
      <c r="F99" s="13" t="n">
        <f aca="false">SUMIF(RECARGAS!$B$16:$B$37,$A99,RECARGAS!AG$16:AG$37)</f>
        <v>0</v>
      </c>
      <c r="G99" s="13" t="n">
        <f aca="false">SUMIF(REVENDIDOS!$B$16:$B$25,$A99,REVENDIDOS!X$16:X$25)</f>
        <v>0</v>
      </c>
      <c r="H99" s="13" t="n">
        <f aca="false">SUMIF(MANUALES!$B$16:$B$72,$A99,MANUALES!N$16:N$72)+SUMIF(RODANTES!$B$16:$B$72,$A99,RODANTES!N$16:N$72)+SUMIF(RECARGAS!$B$16:$B$37,$A99,RECARGAS!X$16:X$37)+SUMIF(REVENDIDOS!$B$16:$B$25,$A99,REVENDIDOS!O$16:O$25)</f>
        <v>0</v>
      </c>
      <c r="I99" s="13" t="n">
        <f aca="false">SUMIF(MANUALES!$B$16:$B$72,$A99,MANUALES!O$16:O$72)+SUMIF(RODANTES!$B$16:$B$72,$A99,RODANTES!O$16:O$72)+SUMIF(RECARGAS!$B$16:$B$37,$A99,RECARGAS!Y$16:Y$37)+SUMIF(REVENDIDOS!$B$16:$B$25,$A99,REVENDIDOS!P$16:P$25)</f>
        <v>0</v>
      </c>
      <c r="J99" s="13" t="n">
        <f aca="false">SUMIF(MANUALES!$B$16:$B$72,$A99,MANUALES!P$16:P$72)+SUMIF(RODANTES!$B$16:$B$72,$A99,RODANTES!P$16:P$72)+SUMIF(RECARGAS!$B$16:$B$37,$A99,RECARGAS!Z$16:Z$37)+SUMIF(REVENDIDOS!$B$16:$B$25,$A99,REVENDIDOS!Q$16:Q$25)</f>
        <v>11.6</v>
      </c>
      <c r="K99" s="13" t="n">
        <f aca="false">SUMIF(MANUALES!$B$16:$B$72,$A99,MANUALES!Q$16:Q$72)+SUMIF(RODANTES!$B$16:$B$72,$A99,RODANTES!Q$16:Q$72)+SUMIF(RECARGAS!$B$16:$B$37,$A99,RECARGAS!AA$16:AA$37)+SUMIF(REVENDIDOS!$B$16:$B$25,$A99,REVENDIDOS!R$16:R$25)</f>
        <v>40.4</v>
      </c>
      <c r="L99" s="13" t="n">
        <f aca="false">SUMIF(MANUALES!$B$16:$B$72,$A99,MANUALES!R$16:R$72)+SUMIF(RODANTES!$B$16:$B$72,$A99,RODANTES!R$16:R$72)+SUMIF(RECARGAS!$B$16:$B$37,$A99,RECARGAS!AB$16:AB$37)+SUMIF(REVENDIDOS!$B$16:$B$25,$A99,REVENDIDOS!S$16:S$25)</f>
        <v>74.8</v>
      </c>
      <c r="M99" s="13" t="n">
        <f aca="false">SUMIF(MANUALES!$B$16:$B$72,$A99,MANUALES!S$16:S$72)+SUMIF(RODANTES!$B$16:$B$72,$A99,RODANTES!S$16:S$72)+SUMIF(RECARGAS!$B$16:$B$37,$A99,RECARGAS!AC$16:AC$37)+SUMIF(REVENDIDOS!$B$16:$B$25,$A99,REVENDIDOS!T$16:T$25)</f>
        <v>108.2</v>
      </c>
      <c r="N99" s="13" t="n">
        <f aca="false">SUMIF(MANUALES!$B$16:$B$72,$A99,MANUALES!T$16:T$72)+SUMIF(RODANTES!$B$16:$B$72,$A99,RODANTES!T$16:T$72)+SUMIF(RECARGAS!$B$16:$B$37,$A99,RECARGAS!AD$16:AD$37)+SUMIF(REVENDIDOS!$B$16:$B$25,$A99,REVENDIDOS!U$16:U$25)</f>
        <v>152.6</v>
      </c>
      <c r="O99" s="13" t="n">
        <f aca="false">SUMIF(MANUALES!$B$16:$B$72,$A99,MANUALES!U$16:U$72)+SUMIF(RODANTES!$B$16:$B$72,$A99,RODANTES!U$16:U$72)+SUMIF(RECARGAS!$B$16:$B$37,$A99,RECARGAS!AE$16:AE$37)+SUMIF(REVENDIDOS!$B$16:$B$25,$A99,REVENDIDOS!V$16:V$25)</f>
        <v>197</v>
      </c>
      <c r="P99" s="13" t="n">
        <f aca="false">SUMIF(MANUALES!$B$16:$B$72,$A99,MANUALES!V$16:V$72)+SUMIF(RODANTES!$B$16:$B$72,$A99,RODANTES!V$16:V$72)+SUMIF(RECARGAS!$B$16:$B$37,$A99,RECARGAS!AF$16:AF$37)+SUMIF(REVENDIDOS!$B$16:$B$25,$A99,REVENDIDOS!W$16:W$25)</f>
        <v>221</v>
      </c>
      <c r="Q99" s="13" t="n">
        <f aca="false">SUMIF(MANUALES!$B$16:$B$72,$A99,MANUALES!W$16:W$72)+SUMIF(RODANTES!$B$16:$B$72,$A99,RODANTES!W$16:W$72)+SUMIF(RECARGAS!$B$16:$B$37,$A99,RECARGAS!AG$16:AG$37)+SUMIF(REVENDIDOS!$B$16:$B$25,$A99,REVENDIDOS!X$16:X$25)</f>
        <v>257</v>
      </c>
      <c r="R99" s="13" t="n">
        <f aca="false">SUMIF(MANUALES!$B$16:$B$72,$A99,MANUALES!X$16:X$72)+SUMIF(RODANTES!$B$16:$B$72,$A99,RODANTES!X$16:X$72)+SUMIF(RECARGAS!$B$16:$B$37,$A99,RECARGAS!AH$16:AH$37)+SUMIF(REVENDIDOS!$B$16:$B$25,$A99,REVENDIDOS!Y$16:Y$25)</f>
        <v>23.13</v>
      </c>
    </row>
    <row r="100" customFormat="false" ht="15" hidden="false" customHeight="false" outlineLevel="0" collapsed="false">
      <c r="A100" s="3" t="s">
        <v>330</v>
      </c>
      <c r="B100" s="3" t="s">
        <v>331</v>
      </c>
      <c r="C100" s="3" t="s">
        <v>214</v>
      </c>
      <c r="D100" s="13" t="n">
        <f aca="false">SUMIF(MANUALES!$B$16:$B$72,$A100,MANUALES!W$16:W$72)</f>
        <v>212143</v>
      </c>
      <c r="E100" s="13" t="n">
        <f aca="false">SUMIF(RODANTES!$B$16:$B$72,$A100,RODANTES!W$16:W$72)</f>
        <v>0</v>
      </c>
      <c r="F100" s="13" t="n">
        <f aca="false">SUMIF(RECARGAS!$B$16:$B$37,$A100,RECARGAS!AG$16:AG$37)</f>
        <v>129.892396568768</v>
      </c>
      <c r="G100" s="13" t="n">
        <f aca="false">SUMIF(REVENDIDOS!$B$16:$B$25,$A100,REVENDIDOS!X$16:X$25)</f>
        <v>0</v>
      </c>
      <c r="H100" s="13" t="n">
        <f aca="false">SUMIF(MANUALES!$B$16:$B$72,$A100,MANUALES!N$16:N$72)+SUMIF(RODANTES!$B$16:$B$72,$A100,RODANTES!N$16:N$72)+SUMIF(RECARGAS!$B$16:$B$37,$A100,RECARGAS!X$16:X$37)+SUMIF(REVENDIDOS!$B$16:$B$25,$A100,REVENDIDOS!O$16:O$25)</f>
        <v>23.5984856954447</v>
      </c>
      <c r="I100" s="13" t="n">
        <f aca="false">SUMIF(MANUALES!$B$16:$B$72,$A100,MANUALES!O$16:O$72)+SUMIF(RODANTES!$B$16:$B$72,$A100,RODANTES!O$16:O$72)+SUMIF(RECARGAS!$B$16:$B$37,$A100,RECARGAS!Y$16:Y$37)+SUMIF(REVENDIDOS!$B$16:$B$25,$A100,REVENDIDOS!P$16:P$25)</f>
        <v>73.9563111566799</v>
      </c>
      <c r="J100" s="13" t="n">
        <f aca="false">SUMIF(MANUALES!$B$16:$B$72,$A100,MANUALES!P$16:P$72)+SUMIF(RODANTES!$B$16:$B$72,$A100,RODANTES!P$16:P$72)+SUMIF(RECARGAS!$B$16:$B$37,$A100,RECARGAS!Z$16:Z$37)+SUMIF(REVENDIDOS!$B$16:$B$25,$A100,REVENDIDOS!Q$16:Q$25)</f>
        <v>9631.72858978415</v>
      </c>
      <c r="K100" s="13" t="n">
        <f aca="false">SUMIF(MANUALES!$B$16:$B$72,$A100,MANUALES!Q$16:Q$72)+SUMIF(RODANTES!$B$16:$B$72,$A100,RODANTES!Q$16:Q$72)+SUMIF(RECARGAS!$B$16:$B$37,$A100,RECARGAS!AA$16:AA$37)+SUMIF(REVENDIDOS!$B$16:$B$25,$A100,REVENDIDOS!R$16:R$25)</f>
        <v>33378.1087675763</v>
      </c>
      <c r="L100" s="13" t="n">
        <f aca="false">SUMIF(MANUALES!$B$16:$B$72,$A100,MANUALES!R$16:R$72)+SUMIF(RODANTES!$B$16:$B$72,$A100,RODANTES!R$16:R$72)+SUMIF(RECARGAS!$B$16:$B$37,$A100,RECARGAS!AB$16:AB$37)+SUMIF(REVENDIDOS!$B$16:$B$25,$A100,REVENDIDOS!S$16:S$25)</f>
        <v>61676.7396900404</v>
      </c>
      <c r="M100" s="13" t="n">
        <f aca="false">SUMIF(MANUALES!$B$16:$B$72,$A100,MANUALES!S$16:S$72)+SUMIF(RODANTES!$B$16:$B$72,$A100,RODANTES!S$16:S$72)+SUMIF(RECARGAS!$B$16:$B$37,$A100,RECARGAS!AC$16:AC$37)+SUMIF(REVENDIDOS!$B$16:$B$25,$A100,REVENDIDOS!T$16:T$25)</f>
        <v>89376.8094635054</v>
      </c>
      <c r="N100" s="13" t="n">
        <f aca="false">SUMIF(MANUALES!$B$16:$B$72,$A100,MANUALES!T$16:T$72)+SUMIF(RODANTES!$B$16:$B$72,$A100,RODANTES!T$16:T$72)+SUMIF(RECARGAS!$B$16:$B$37,$A100,RECARGAS!AD$16:AD$37)+SUMIF(REVENDIDOS!$B$16:$B$25,$A100,REVENDIDOS!U$16:U$25)</f>
        <v>126263.103479588</v>
      </c>
      <c r="O100" s="13" t="n">
        <f aca="false">SUMIF(MANUALES!$B$16:$B$72,$A100,MANUALES!U$16:U$72)+SUMIF(RODANTES!$B$16:$B$72,$A100,RODANTES!U$16:U$72)+SUMIF(RECARGAS!$B$16:$B$37,$A100,RECARGAS!AE$16:AE$37)+SUMIF(REVENDIDOS!$B$16:$B$25,$A100,REVENDIDOS!V$16:V$25)</f>
        <v>163115.462681403</v>
      </c>
      <c r="P100" s="13" t="n">
        <f aca="false">SUMIF(MANUALES!$B$16:$B$72,$A100,MANUALES!V$16:V$72)+SUMIF(RODANTES!$B$16:$B$72,$A100,RODANTES!V$16:V$72)+SUMIF(RECARGAS!$B$16:$B$37,$A100,RECARGAS!AF$16:AF$37)+SUMIF(REVENDIDOS!$B$16:$B$25,$A100,REVENDIDOS!W$16:W$25)</f>
        <v>182753.438399095</v>
      </c>
      <c r="Q100" s="13" t="n">
        <f aca="false">SUMIF(MANUALES!$B$16:$B$72,$A100,MANUALES!W$16:W$72)+SUMIF(RODANTES!$B$16:$B$72,$A100,RODANTES!W$16:W$72)+SUMIF(RECARGAS!$B$16:$B$37,$A100,RECARGAS!AG$16:AG$37)+SUMIF(REVENDIDOS!$B$16:$B$25,$A100,REVENDIDOS!X$16:X$25)</f>
        <v>212272.892396569</v>
      </c>
      <c r="R100" s="13" t="n">
        <f aca="false">SUMIF(MANUALES!$B$16:$B$72,$A100,MANUALES!X$16:X$72)+SUMIF(RODANTES!$B$16:$B$72,$A100,RODANTES!X$16:X$72)+SUMIF(RECARGAS!$B$16:$B$37,$A100,RECARGAS!AH$16:AH$37)+SUMIF(REVENDIDOS!$B$16:$B$25,$A100,REVENDIDOS!Y$16:Y$25)</f>
        <v>25052.0343663807</v>
      </c>
    </row>
    <row r="101" customFormat="false" ht="15" hidden="false" customHeight="false" outlineLevel="0" collapsed="false">
      <c r="A101" s="3" t="s">
        <v>536</v>
      </c>
      <c r="B101" s="3" t="s">
        <v>537</v>
      </c>
      <c r="C101" s="3" t="s">
        <v>214</v>
      </c>
      <c r="D101" s="13" t="n">
        <f aca="false">SUMIF(MANUALES!$B$16:$B$72,$A101,MANUALES!W$16:W$72)</f>
        <v>0</v>
      </c>
      <c r="E101" s="13" t="n">
        <f aca="false">SUMIF(RODANTES!$B$16:$B$72,$A101,RODANTES!W$16:W$72)</f>
        <v>0</v>
      </c>
      <c r="F101" s="13" t="n">
        <f aca="false">SUMIF(RECARGAS!$B$16:$B$37,$A101,RECARGAS!AG$16:AG$37)</f>
        <v>108186.304977739</v>
      </c>
      <c r="G101" s="13" t="n">
        <f aca="false">SUMIF(REVENDIDOS!$B$16:$B$25,$A101,REVENDIDOS!X$16:X$25)</f>
        <v>0</v>
      </c>
      <c r="H101" s="13" t="n">
        <f aca="false">SUMIF(MANUALES!$B$16:$B$72,$A101,MANUALES!N$16:N$72)+SUMIF(RODANTES!$B$16:$B$72,$A101,RODANTES!N$16:N$72)+SUMIF(RECARGAS!$B$16:$B$37,$A101,RECARGAS!X$16:X$37)+SUMIF(REVENDIDOS!$B$16:$B$25,$A101,REVENDIDOS!O$16:O$25)</f>
        <v>1989.12012871933</v>
      </c>
      <c r="I101" s="13" t="n">
        <f aca="false">SUMIF(MANUALES!$B$16:$B$72,$A101,MANUALES!O$16:O$72)+SUMIF(RODANTES!$B$16:$B$72,$A101,RODANTES!O$16:O$72)+SUMIF(RECARGAS!$B$16:$B$37,$A101,RECARGAS!Y$16:Y$37)+SUMIF(REVENDIDOS!$B$16:$B$25,$A101,REVENDIDOS!P$16:P$25)</f>
        <v>8920.71133712552</v>
      </c>
      <c r="J101" s="13" t="n">
        <f aca="false">SUMIF(MANUALES!$B$16:$B$72,$A101,MANUALES!P$16:P$72)+SUMIF(RODANTES!$B$16:$B$72,$A101,RODANTES!P$16:P$72)+SUMIF(RECARGAS!$B$16:$B$37,$A101,RECARGAS!Z$16:Z$37)+SUMIF(REVENDIDOS!$B$16:$B$25,$A101,REVENDIDOS!Q$16:Q$25)</f>
        <v>17886.2299166122</v>
      </c>
      <c r="K101" s="13" t="n">
        <f aca="false">SUMIF(MANUALES!$B$16:$B$72,$A101,MANUALES!Q$16:Q$72)+SUMIF(RODANTES!$B$16:$B$72,$A101,RODANTES!Q$16:Q$72)+SUMIF(RECARGAS!$B$16:$B$37,$A101,RECARGAS!AA$16:AA$37)+SUMIF(REVENDIDOS!$B$16:$B$25,$A101,REVENDIDOS!R$16:R$25)</f>
        <v>33177.6852981587</v>
      </c>
      <c r="L101" s="13" t="n">
        <f aca="false">SUMIF(MANUALES!$B$16:$B$72,$A101,MANUALES!R$16:R$72)+SUMIF(RODANTES!$B$16:$B$72,$A101,RODANTES!R$16:R$72)+SUMIF(RECARGAS!$B$16:$B$37,$A101,RECARGAS!AB$16:AB$37)+SUMIF(REVENDIDOS!$B$16:$B$25,$A101,REVENDIDOS!S$16:S$25)</f>
        <v>48833.7266153367</v>
      </c>
      <c r="M101" s="13" t="n">
        <f aca="false">SUMIF(MANUALES!$B$16:$B$72,$A101,MANUALES!S$16:S$72)+SUMIF(RODANTES!$B$16:$B$72,$A101,RODANTES!S$16:S$72)+SUMIF(RECARGAS!$B$16:$B$37,$A101,RECARGAS!AC$16:AC$37)+SUMIF(REVENDIDOS!$B$16:$B$25,$A101,REVENDIDOS!T$16:T$25)</f>
        <v>66467.4683651538</v>
      </c>
      <c r="N101" s="13" t="n">
        <f aca="false">SUMIF(MANUALES!$B$16:$B$72,$A101,MANUALES!T$16:T$72)+SUMIF(RODANTES!$B$16:$B$72,$A101,RODANTES!T$16:T$72)+SUMIF(RECARGAS!$B$16:$B$37,$A101,RECARGAS!AD$16:AD$37)+SUMIF(REVENDIDOS!$B$16:$B$25,$A101,REVENDIDOS!U$16:U$25)</f>
        <v>82549.454780352</v>
      </c>
      <c r="O101" s="13" t="n">
        <f aca="false">SUMIF(MANUALES!$B$16:$B$72,$A101,MANUALES!U$16:U$72)+SUMIF(RODANTES!$B$16:$B$72,$A101,RODANTES!U$16:U$72)+SUMIF(RECARGAS!$B$16:$B$37,$A101,RECARGAS!AE$16:AE$37)+SUMIF(REVENDIDOS!$B$16:$B$25,$A101,REVENDIDOS!V$16:V$25)</f>
        <v>93846.0660134775</v>
      </c>
      <c r="P101" s="13" t="n">
        <f aca="false">SUMIF(MANUALES!$B$16:$B$72,$A101,MANUALES!V$16:V$72)+SUMIF(RODANTES!$B$16:$B$72,$A101,RODANTES!V$16:V$72)+SUMIF(RECARGAS!$B$16:$B$37,$A101,RECARGAS!AF$16:AF$37)+SUMIF(REVENDIDOS!$B$16:$B$25,$A101,REVENDIDOS!W$16:W$25)</f>
        <v>100941.865109691</v>
      </c>
      <c r="Q101" s="13" t="n">
        <f aca="false">SUMIF(MANUALES!$B$16:$B$72,$A101,MANUALES!W$16:W$72)+SUMIF(RODANTES!$B$16:$B$72,$A101,RODANTES!W$16:W$72)+SUMIF(RECARGAS!$B$16:$B$37,$A101,RECARGAS!AG$16:AG$37)+SUMIF(REVENDIDOS!$B$16:$B$25,$A101,REVENDIDOS!X$16:X$25)</f>
        <v>108186.304977739</v>
      </c>
      <c r="R101" s="13" t="n">
        <f aca="false">SUMIF(MANUALES!$B$16:$B$72,$A101,MANUALES!X$16:X$72)+SUMIF(RODANTES!$B$16:$B$72,$A101,RODANTES!X$16:X$72)+SUMIF(RECARGAS!$B$16:$B$37,$A101,RECARGAS!AH$16:AH$37)+SUMIF(REVENDIDOS!$B$16:$B$25,$A101,REVENDIDOS!Y$16:Y$25)</f>
        <v>9015.5254148116</v>
      </c>
    </row>
    <row r="102" customFormat="false" ht="15" hidden="false" customHeight="false" outlineLevel="0" collapsed="false">
      <c r="A102" s="3" t="s">
        <v>539</v>
      </c>
      <c r="B102" s="3" t="s">
        <v>540</v>
      </c>
      <c r="C102" s="3" t="s">
        <v>214</v>
      </c>
      <c r="D102" s="13" t="n">
        <f aca="false">SUMIF(MANUALES!$B$16:$B$72,$A102,MANUALES!W$16:W$72)</f>
        <v>0</v>
      </c>
      <c r="E102" s="13" t="n">
        <f aca="false">SUMIF(RODANTES!$B$16:$B$72,$A102,RODANTES!W$16:W$72)</f>
        <v>0</v>
      </c>
      <c r="F102" s="13" t="n">
        <f aca="false">SUMIF(RECARGAS!$B$16:$B$37,$A102,RECARGAS!AG$16:AG$37)</f>
        <v>108186.304977739</v>
      </c>
      <c r="G102" s="13" t="n">
        <f aca="false">SUMIF(REVENDIDOS!$B$16:$B$25,$A102,REVENDIDOS!X$16:X$25)</f>
        <v>0</v>
      </c>
      <c r="H102" s="13" t="n">
        <f aca="false">SUMIF(MANUALES!$B$16:$B$72,$A102,MANUALES!N$16:N$72)+SUMIF(RODANTES!$B$16:$B$72,$A102,RODANTES!N$16:N$72)+SUMIF(RECARGAS!$B$16:$B$37,$A102,RECARGAS!X$16:X$37)+SUMIF(REVENDIDOS!$B$16:$B$25,$A102,REVENDIDOS!O$16:O$25)</f>
        <v>1989.12012871933</v>
      </c>
      <c r="I102" s="13" t="n">
        <f aca="false">SUMIF(MANUALES!$B$16:$B$72,$A102,MANUALES!O$16:O$72)+SUMIF(RODANTES!$B$16:$B$72,$A102,RODANTES!O$16:O$72)+SUMIF(RECARGAS!$B$16:$B$37,$A102,RECARGAS!Y$16:Y$37)+SUMIF(REVENDIDOS!$B$16:$B$25,$A102,REVENDIDOS!P$16:P$25)</f>
        <v>8920.71133712552</v>
      </c>
      <c r="J102" s="13" t="n">
        <f aca="false">SUMIF(MANUALES!$B$16:$B$72,$A102,MANUALES!P$16:P$72)+SUMIF(RODANTES!$B$16:$B$72,$A102,RODANTES!P$16:P$72)+SUMIF(RECARGAS!$B$16:$B$37,$A102,RECARGAS!Z$16:Z$37)+SUMIF(REVENDIDOS!$B$16:$B$25,$A102,REVENDIDOS!Q$16:Q$25)</f>
        <v>17886.2299166122</v>
      </c>
      <c r="K102" s="13" t="n">
        <f aca="false">SUMIF(MANUALES!$B$16:$B$72,$A102,MANUALES!Q$16:Q$72)+SUMIF(RODANTES!$B$16:$B$72,$A102,RODANTES!Q$16:Q$72)+SUMIF(RECARGAS!$B$16:$B$37,$A102,RECARGAS!AA$16:AA$37)+SUMIF(REVENDIDOS!$B$16:$B$25,$A102,REVENDIDOS!R$16:R$25)</f>
        <v>33177.6852981587</v>
      </c>
      <c r="L102" s="13" t="n">
        <f aca="false">SUMIF(MANUALES!$B$16:$B$72,$A102,MANUALES!R$16:R$72)+SUMIF(RODANTES!$B$16:$B$72,$A102,RODANTES!R$16:R$72)+SUMIF(RECARGAS!$B$16:$B$37,$A102,RECARGAS!AB$16:AB$37)+SUMIF(REVENDIDOS!$B$16:$B$25,$A102,REVENDIDOS!S$16:S$25)</f>
        <v>48833.7266153367</v>
      </c>
      <c r="M102" s="13" t="n">
        <f aca="false">SUMIF(MANUALES!$B$16:$B$72,$A102,MANUALES!S$16:S$72)+SUMIF(RODANTES!$B$16:$B$72,$A102,RODANTES!S$16:S$72)+SUMIF(RECARGAS!$B$16:$B$37,$A102,RECARGAS!AC$16:AC$37)+SUMIF(REVENDIDOS!$B$16:$B$25,$A102,REVENDIDOS!T$16:T$25)</f>
        <v>66467.4683651538</v>
      </c>
      <c r="N102" s="13" t="n">
        <f aca="false">SUMIF(MANUALES!$B$16:$B$72,$A102,MANUALES!T$16:T$72)+SUMIF(RODANTES!$B$16:$B$72,$A102,RODANTES!T$16:T$72)+SUMIF(RECARGAS!$B$16:$B$37,$A102,RECARGAS!AD$16:AD$37)+SUMIF(REVENDIDOS!$B$16:$B$25,$A102,REVENDIDOS!U$16:U$25)</f>
        <v>82549.454780352</v>
      </c>
      <c r="O102" s="13" t="n">
        <f aca="false">SUMIF(MANUALES!$B$16:$B$72,$A102,MANUALES!U$16:U$72)+SUMIF(RODANTES!$B$16:$B$72,$A102,RODANTES!U$16:U$72)+SUMIF(RECARGAS!$B$16:$B$37,$A102,RECARGAS!AE$16:AE$37)+SUMIF(REVENDIDOS!$B$16:$B$25,$A102,REVENDIDOS!V$16:V$25)</f>
        <v>93846.0660134775</v>
      </c>
      <c r="P102" s="13" t="n">
        <f aca="false">SUMIF(MANUALES!$B$16:$B$72,$A102,MANUALES!V$16:V$72)+SUMIF(RODANTES!$B$16:$B$72,$A102,RODANTES!V$16:V$72)+SUMIF(RECARGAS!$B$16:$B$37,$A102,RECARGAS!AF$16:AF$37)+SUMIF(REVENDIDOS!$B$16:$B$25,$A102,REVENDIDOS!W$16:W$25)</f>
        <v>100941.865109691</v>
      </c>
      <c r="Q102" s="13" t="n">
        <f aca="false">SUMIF(MANUALES!$B$16:$B$72,$A102,MANUALES!W$16:W$72)+SUMIF(RODANTES!$B$16:$B$72,$A102,RODANTES!W$16:W$72)+SUMIF(RECARGAS!$B$16:$B$37,$A102,RECARGAS!AG$16:AG$37)+SUMIF(REVENDIDOS!$B$16:$B$25,$A102,REVENDIDOS!X$16:X$25)</f>
        <v>108186.304977739</v>
      </c>
      <c r="R102" s="13" t="n">
        <f aca="false">SUMIF(MANUALES!$B$16:$B$72,$A102,MANUALES!X$16:X$72)+SUMIF(RODANTES!$B$16:$B$72,$A102,RODANTES!X$16:X$72)+SUMIF(RECARGAS!$B$16:$B$37,$A102,RECARGAS!AH$16:AH$37)+SUMIF(REVENDIDOS!$B$16:$B$25,$A102,REVENDIDOS!Y$16:Y$25)</f>
        <v>9015.5254148116</v>
      </c>
    </row>
    <row r="103" customFormat="false" ht="15" hidden="false" customHeight="false" outlineLevel="0" collapsed="false">
      <c r="A103" s="3" t="s">
        <v>542</v>
      </c>
      <c r="B103" s="3" t="s">
        <v>543</v>
      </c>
      <c r="C103" s="3" t="s">
        <v>214</v>
      </c>
      <c r="D103" s="13" t="n">
        <f aca="false">SUMIF(MANUALES!$B$16:$B$72,$A103,MANUALES!W$16:W$72)</f>
        <v>0</v>
      </c>
      <c r="E103" s="13" t="n">
        <f aca="false">SUMIF(RODANTES!$B$16:$B$72,$A103,RODANTES!W$16:W$72)</f>
        <v>0</v>
      </c>
      <c r="F103" s="13" t="n">
        <f aca="false">SUMIF(RECARGAS!$B$16:$B$37,$A103,RECARGAS!AG$16:AG$37)</f>
        <v>108186.304977739</v>
      </c>
      <c r="G103" s="13" t="n">
        <f aca="false">SUMIF(REVENDIDOS!$B$16:$B$25,$A103,REVENDIDOS!X$16:X$25)</f>
        <v>0</v>
      </c>
      <c r="H103" s="13" t="n">
        <f aca="false">SUMIF(MANUALES!$B$16:$B$72,$A103,MANUALES!N$16:N$72)+SUMIF(RODANTES!$B$16:$B$72,$A103,RODANTES!N$16:N$72)+SUMIF(RECARGAS!$B$16:$B$37,$A103,RECARGAS!X$16:X$37)+SUMIF(REVENDIDOS!$B$16:$B$25,$A103,REVENDIDOS!O$16:O$25)</f>
        <v>1989.12012871933</v>
      </c>
      <c r="I103" s="13" t="n">
        <f aca="false">SUMIF(MANUALES!$B$16:$B$72,$A103,MANUALES!O$16:O$72)+SUMIF(RODANTES!$B$16:$B$72,$A103,RODANTES!O$16:O$72)+SUMIF(RECARGAS!$B$16:$B$37,$A103,RECARGAS!Y$16:Y$37)+SUMIF(REVENDIDOS!$B$16:$B$25,$A103,REVENDIDOS!P$16:P$25)</f>
        <v>8920.71133712552</v>
      </c>
      <c r="J103" s="13" t="n">
        <f aca="false">SUMIF(MANUALES!$B$16:$B$72,$A103,MANUALES!P$16:P$72)+SUMIF(RODANTES!$B$16:$B$72,$A103,RODANTES!P$16:P$72)+SUMIF(RECARGAS!$B$16:$B$37,$A103,RECARGAS!Z$16:Z$37)+SUMIF(REVENDIDOS!$B$16:$B$25,$A103,REVENDIDOS!Q$16:Q$25)</f>
        <v>17886.2299166122</v>
      </c>
      <c r="K103" s="13" t="n">
        <f aca="false">SUMIF(MANUALES!$B$16:$B$72,$A103,MANUALES!Q$16:Q$72)+SUMIF(RODANTES!$B$16:$B$72,$A103,RODANTES!Q$16:Q$72)+SUMIF(RECARGAS!$B$16:$B$37,$A103,RECARGAS!AA$16:AA$37)+SUMIF(REVENDIDOS!$B$16:$B$25,$A103,REVENDIDOS!R$16:R$25)</f>
        <v>33177.6852981587</v>
      </c>
      <c r="L103" s="13" t="n">
        <f aca="false">SUMIF(MANUALES!$B$16:$B$72,$A103,MANUALES!R$16:R$72)+SUMIF(RODANTES!$B$16:$B$72,$A103,RODANTES!R$16:R$72)+SUMIF(RECARGAS!$B$16:$B$37,$A103,RECARGAS!AB$16:AB$37)+SUMIF(REVENDIDOS!$B$16:$B$25,$A103,REVENDIDOS!S$16:S$25)</f>
        <v>48833.7266153367</v>
      </c>
      <c r="M103" s="13" t="n">
        <f aca="false">SUMIF(MANUALES!$B$16:$B$72,$A103,MANUALES!S$16:S$72)+SUMIF(RODANTES!$B$16:$B$72,$A103,RODANTES!S$16:S$72)+SUMIF(RECARGAS!$B$16:$B$37,$A103,RECARGAS!AC$16:AC$37)+SUMIF(REVENDIDOS!$B$16:$B$25,$A103,REVENDIDOS!T$16:T$25)</f>
        <v>66467.4683651538</v>
      </c>
      <c r="N103" s="13" t="n">
        <f aca="false">SUMIF(MANUALES!$B$16:$B$72,$A103,MANUALES!T$16:T$72)+SUMIF(RODANTES!$B$16:$B$72,$A103,RODANTES!T$16:T$72)+SUMIF(RECARGAS!$B$16:$B$37,$A103,RECARGAS!AD$16:AD$37)+SUMIF(REVENDIDOS!$B$16:$B$25,$A103,REVENDIDOS!U$16:U$25)</f>
        <v>82549.454780352</v>
      </c>
      <c r="O103" s="13" t="n">
        <f aca="false">SUMIF(MANUALES!$B$16:$B$72,$A103,MANUALES!U$16:U$72)+SUMIF(RODANTES!$B$16:$B$72,$A103,RODANTES!U$16:U$72)+SUMIF(RECARGAS!$B$16:$B$37,$A103,RECARGAS!AE$16:AE$37)+SUMIF(REVENDIDOS!$B$16:$B$25,$A103,REVENDIDOS!V$16:V$25)</f>
        <v>93846.0660134775</v>
      </c>
      <c r="P103" s="13" t="n">
        <f aca="false">SUMIF(MANUALES!$B$16:$B$72,$A103,MANUALES!V$16:V$72)+SUMIF(RODANTES!$B$16:$B$72,$A103,RODANTES!V$16:V$72)+SUMIF(RECARGAS!$B$16:$B$37,$A103,RECARGAS!AF$16:AF$37)+SUMIF(REVENDIDOS!$B$16:$B$25,$A103,REVENDIDOS!W$16:W$25)</f>
        <v>100941.865109691</v>
      </c>
      <c r="Q103" s="13" t="n">
        <f aca="false">SUMIF(MANUALES!$B$16:$B$72,$A103,MANUALES!W$16:W$72)+SUMIF(RODANTES!$B$16:$B$72,$A103,RODANTES!W$16:W$72)+SUMIF(RECARGAS!$B$16:$B$37,$A103,RECARGAS!AG$16:AG$37)+SUMIF(REVENDIDOS!$B$16:$B$25,$A103,REVENDIDOS!X$16:X$25)</f>
        <v>108186.304977739</v>
      </c>
      <c r="R103" s="13" t="n">
        <f aca="false">SUMIF(MANUALES!$B$16:$B$72,$A103,MANUALES!X$16:X$72)+SUMIF(RODANTES!$B$16:$B$72,$A103,RODANTES!X$16:X$72)+SUMIF(RECARGAS!$B$16:$B$37,$A103,RECARGAS!AH$16:AH$37)+SUMIF(REVENDIDOS!$B$16:$B$25,$A103,REVENDIDOS!Y$16:Y$25)</f>
        <v>9015.5254148116</v>
      </c>
    </row>
    <row r="104" customFormat="false" ht="15" hidden="false" customHeight="false" outlineLevel="0" collapsed="false">
      <c r="A104" s="3" t="s">
        <v>545</v>
      </c>
      <c r="B104" s="3" t="s">
        <v>546</v>
      </c>
      <c r="C104" s="3" t="s">
        <v>214</v>
      </c>
      <c r="D104" s="13" t="n">
        <f aca="false">SUMIF(MANUALES!$B$16:$B$72,$A104,MANUALES!W$16:W$72)</f>
        <v>0</v>
      </c>
      <c r="E104" s="13" t="n">
        <f aca="false">SUMIF(RODANTES!$B$16:$B$72,$A104,RODANTES!W$16:W$72)</f>
        <v>0</v>
      </c>
      <c r="F104" s="13" t="n">
        <f aca="false">SUMIF(RECARGAS!$B$16:$B$37,$A104,RECARGAS!AG$16:AG$37)</f>
        <v>85734.5647571335</v>
      </c>
      <c r="G104" s="13" t="n">
        <f aca="false">SUMIF(REVENDIDOS!$B$16:$B$25,$A104,REVENDIDOS!X$16:X$25)</f>
        <v>0</v>
      </c>
      <c r="H104" s="13" t="n">
        <f aca="false">SUMIF(MANUALES!$B$16:$B$72,$A104,MANUALES!N$16:N$72)+SUMIF(RODANTES!$B$16:$B$72,$A104,RODANTES!N$16:N$72)+SUMIF(RECARGAS!$B$16:$B$37,$A104,RECARGAS!X$16:X$37)+SUMIF(REVENDIDOS!$B$16:$B$25,$A104,REVENDIDOS!O$16:O$25)</f>
        <v>1568.33189848101</v>
      </c>
      <c r="I104" s="13" t="n">
        <f aca="false">SUMIF(MANUALES!$B$16:$B$72,$A104,MANUALES!O$16:O$72)+SUMIF(RODANTES!$B$16:$B$72,$A104,RODANTES!O$16:O$72)+SUMIF(RECARGAS!$B$16:$B$37,$A104,RECARGAS!Y$16:Y$37)+SUMIF(REVENDIDOS!$B$16:$B$25,$A104,REVENDIDOS!P$16:P$25)</f>
        <v>7040.14548872183</v>
      </c>
      <c r="J104" s="13" t="n">
        <f aca="false">SUMIF(MANUALES!$B$16:$B$72,$A104,MANUALES!P$16:P$72)+SUMIF(RODANTES!$B$16:$B$72,$A104,RODANTES!P$16:P$72)+SUMIF(RECARGAS!$B$16:$B$37,$A104,RECARGAS!Z$16:Z$37)+SUMIF(REVENDIDOS!$B$16:$B$25,$A104,REVENDIDOS!Q$16:Q$25)</f>
        <v>14127.9123176868</v>
      </c>
      <c r="K104" s="13" t="n">
        <f aca="false">SUMIF(MANUALES!$B$16:$B$72,$A104,MANUALES!Q$16:Q$72)+SUMIF(RODANTES!$B$16:$B$72,$A104,RODANTES!Q$16:Q$72)+SUMIF(RECARGAS!$B$16:$B$37,$A104,RECARGAS!AA$16:AA$37)+SUMIF(REVENDIDOS!$B$16:$B$25,$A104,REVENDIDOS!R$16:R$25)</f>
        <v>26227.167937042</v>
      </c>
      <c r="L104" s="13" t="n">
        <f aca="false">SUMIF(MANUALES!$B$16:$B$72,$A104,MANUALES!R$16:R$72)+SUMIF(RODANTES!$B$16:$B$72,$A104,RODANTES!R$16:R$72)+SUMIF(RECARGAS!$B$16:$B$37,$A104,RECARGAS!AB$16:AB$37)+SUMIF(REVENDIDOS!$B$16:$B$25,$A104,REVENDIDOS!S$16:S$25)</f>
        <v>38630.8125561855</v>
      </c>
      <c r="M104" s="13" t="n">
        <f aca="false">SUMIF(MANUALES!$B$16:$B$72,$A104,MANUALES!S$16:S$72)+SUMIF(RODANTES!$B$16:$B$72,$A104,RODANTES!S$16:S$72)+SUMIF(RECARGAS!$B$16:$B$37,$A104,RECARGAS!AC$16:AC$37)+SUMIF(REVENDIDOS!$B$16:$B$25,$A104,REVENDIDOS!T$16:T$25)</f>
        <v>52612.7236028695</v>
      </c>
      <c r="N104" s="13" t="n">
        <f aca="false">SUMIF(MANUALES!$B$16:$B$72,$A104,MANUALES!T$16:T$72)+SUMIF(RODANTES!$B$16:$B$72,$A104,RODANTES!T$16:T$72)+SUMIF(RECARGAS!$B$16:$B$37,$A104,RECARGAS!AD$16:AD$37)+SUMIF(REVENDIDOS!$B$16:$B$25,$A104,REVENDIDOS!U$16:U$25)</f>
        <v>65375.4178234694</v>
      </c>
      <c r="O104" s="13" t="n">
        <f aca="false">SUMIF(MANUALES!$B$16:$B$72,$A104,MANUALES!U$16:U$72)+SUMIF(RODANTES!$B$16:$B$72,$A104,RODANTES!U$16:U$72)+SUMIF(RECARGAS!$B$16:$B$37,$A104,RECARGAS!AE$16:AE$37)+SUMIF(REVENDIDOS!$B$16:$B$25,$A104,REVENDIDOS!V$16:V$25)</f>
        <v>74349.7185059845</v>
      </c>
      <c r="P104" s="13" t="n">
        <f aca="false">SUMIF(MANUALES!$B$16:$B$72,$A104,MANUALES!V$16:V$72)+SUMIF(RODANTES!$B$16:$B$72,$A104,RODANTES!V$16:V$72)+SUMIF(RECARGAS!$B$16:$B$37,$A104,RECARGAS!AF$16:AF$37)+SUMIF(REVENDIDOS!$B$16:$B$25,$A104,REVENDIDOS!W$16:W$25)</f>
        <v>79989.4287388313</v>
      </c>
      <c r="Q104" s="13" t="n">
        <f aca="false">SUMIF(MANUALES!$B$16:$B$72,$A104,MANUALES!W$16:W$72)+SUMIF(RODANTES!$B$16:$B$72,$A104,RODANTES!W$16:W$72)+SUMIF(RECARGAS!$B$16:$B$37,$A104,RECARGAS!AG$16:AG$37)+SUMIF(REVENDIDOS!$B$16:$B$25,$A104,REVENDIDOS!X$16:X$25)</f>
        <v>85734.5647571335</v>
      </c>
      <c r="R104" s="13" t="n">
        <f aca="false">SUMIF(MANUALES!$B$16:$B$72,$A104,MANUALES!X$16:X$72)+SUMIF(RODANTES!$B$16:$B$72,$A104,RODANTES!X$16:X$72)+SUMIF(RECARGAS!$B$16:$B$37,$A104,RECARGAS!AH$16:AH$37)+SUMIF(REVENDIDOS!$B$16:$B$25,$A104,REVENDIDOS!Y$16:Y$25)</f>
        <v>7144.54706309446</v>
      </c>
    </row>
    <row r="105" customFormat="false" ht="15" hidden="false" customHeight="false" outlineLevel="0" collapsed="false">
      <c r="A105" s="3" t="s">
        <v>548</v>
      </c>
      <c r="B105" s="3" t="s">
        <v>549</v>
      </c>
      <c r="C105" s="3" t="s">
        <v>214</v>
      </c>
      <c r="D105" s="13" t="n">
        <f aca="false">SUMIF(MANUALES!$B$16:$B$72,$A105,MANUALES!W$16:W$72)</f>
        <v>0</v>
      </c>
      <c r="E105" s="13" t="n">
        <f aca="false">SUMIF(RODANTES!$B$16:$B$72,$A105,RODANTES!W$16:W$72)</f>
        <v>0</v>
      </c>
      <c r="F105" s="13" t="n">
        <f aca="false">SUMIF(RECARGAS!$B$16:$B$37,$A105,RECARGAS!AG$16:AG$37)</f>
        <v>85734.5647571335</v>
      </c>
      <c r="G105" s="13" t="n">
        <f aca="false">SUMIF(REVENDIDOS!$B$16:$B$25,$A105,REVENDIDOS!X$16:X$25)</f>
        <v>0</v>
      </c>
      <c r="H105" s="13" t="n">
        <f aca="false">SUMIF(MANUALES!$B$16:$B$72,$A105,MANUALES!N$16:N$72)+SUMIF(RODANTES!$B$16:$B$72,$A105,RODANTES!N$16:N$72)+SUMIF(RECARGAS!$B$16:$B$37,$A105,RECARGAS!X$16:X$37)+SUMIF(REVENDIDOS!$B$16:$B$25,$A105,REVENDIDOS!O$16:O$25)</f>
        <v>1568.33189848101</v>
      </c>
      <c r="I105" s="13" t="n">
        <f aca="false">SUMIF(MANUALES!$B$16:$B$72,$A105,MANUALES!O$16:O$72)+SUMIF(RODANTES!$B$16:$B$72,$A105,RODANTES!O$16:O$72)+SUMIF(RECARGAS!$B$16:$B$37,$A105,RECARGAS!Y$16:Y$37)+SUMIF(REVENDIDOS!$B$16:$B$25,$A105,REVENDIDOS!P$16:P$25)</f>
        <v>7040.14548872183</v>
      </c>
      <c r="J105" s="13" t="n">
        <f aca="false">SUMIF(MANUALES!$B$16:$B$72,$A105,MANUALES!P$16:P$72)+SUMIF(RODANTES!$B$16:$B$72,$A105,RODANTES!P$16:P$72)+SUMIF(RECARGAS!$B$16:$B$37,$A105,RECARGAS!Z$16:Z$37)+SUMIF(REVENDIDOS!$B$16:$B$25,$A105,REVENDIDOS!Q$16:Q$25)</f>
        <v>14127.9123176868</v>
      </c>
      <c r="K105" s="13" t="n">
        <f aca="false">SUMIF(MANUALES!$B$16:$B$72,$A105,MANUALES!Q$16:Q$72)+SUMIF(RODANTES!$B$16:$B$72,$A105,RODANTES!Q$16:Q$72)+SUMIF(RECARGAS!$B$16:$B$37,$A105,RECARGAS!AA$16:AA$37)+SUMIF(REVENDIDOS!$B$16:$B$25,$A105,REVENDIDOS!R$16:R$25)</f>
        <v>26227.167937042</v>
      </c>
      <c r="L105" s="13" t="n">
        <f aca="false">SUMIF(MANUALES!$B$16:$B$72,$A105,MANUALES!R$16:R$72)+SUMIF(RODANTES!$B$16:$B$72,$A105,RODANTES!R$16:R$72)+SUMIF(RECARGAS!$B$16:$B$37,$A105,RECARGAS!AB$16:AB$37)+SUMIF(REVENDIDOS!$B$16:$B$25,$A105,REVENDIDOS!S$16:S$25)</f>
        <v>38630.8125561855</v>
      </c>
      <c r="M105" s="13" t="n">
        <f aca="false">SUMIF(MANUALES!$B$16:$B$72,$A105,MANUALES!S$16:S$72)+SUMIF(RODANTES!$B$16:$B$72,$A105,RODANTES!S$16:S$72)+SUMIF(RECARGAS!$B$16:$B$37,$A105,RECARGAS!AC$16:AC$37)+SUMIF(REVENDIDOS!$B$16:$B$25,$A105,REVENDIDOS!T$16:T$25)</f>
        <v>52612.7236028695</v>
      </c>
      <c r="N105" s="13" t="n">
        <f aca="false">SUMIF(MANUALES!$B$16:$B$72,$A105,MANUALES!T$16:T$72)+SUMIF(RODANTES!$B$16:$B$72,$A105,RODANTES!T$16:T$72)+SUMIF(RECARGAS!$B$16:$B$37,$A105,RECARGAS!AD$16:AD$37)+SUMIF(REVENDIDOS!$B$16:$B$25,$A105,REVENDIDOS!U$16:U$25)</f>
        <v>65375.4178234694</v>
      </c>
      <c r="O105" s="13" t="n">
        <f aca="false">SUMIF(MANUALES!$B$16:$B$72,$A105,MANUALES!U$16:U$72)+SUMIF(RODANTES!$B$16:$B$72,$A105,RODANTES!U$16:U$72)+SUMIF(RECARGAS!$B$16:$B$37,$A105,RECARGAS!AE$16:AE$37)+SUMIF(REVENDIDOS!$B$16:$B$25,$A105,REVENDIDOS!V$16:V$25)</f>
        <v>74349.7185059845</v>
      </c>
      <c r="P105" s="13" t="n">
        <f aca="false">SUMIF(MANUALES!$B$16:$B$72,$A105,MANUALES!V$16:V$72)+SUMIF(RODANTES!$B$16:$B$72,$A105,RODANTES!V$16:V$72)+SUMIF(RECARGAS!$B$16:$B$37,$A105,RECARGAS!AF$16:AF$37)+SUMIF(REVENDIDOS!$B$16:$B$25,$A105,REVENDIDOS!W$16:W$25)</f>
        <v>79989.4287388313</v>
      </c>
      <c r="Q105" s="13" t="n">
        <f aca="false">SUMIF(MANUALES!$B$16:$B$72,$A105,MANUALES!W$16:W$72)+SUMIF(RODANTES!$B$16:$B$72,$A105,RODANTES!W$16:W$72)+SUMIF(RECARGAS!$B$16:$B$37,$A105,RECARGAS!AG$16:AG$37)+SUMIF(REVENDIDOS!$B$16:$B$25,$A105,REVENDIDOS!X$16:X$25)</f>
        <v>85734.5647571335</v>
      </c>
      <c r="R105" s="13" t="n">
        <f aca="false">SUMIF(MANUALES!$B$16:$B$72,$A105,MANUALES!X$16:X$72)+SUMIF(RODANTES!$B$16:$B$72,$A105,RODANTES!X$16:X$72)+SUMIF(RECARGAS!$B$16:$B$37,$A105,RECARGAS!AH$16:AH$37)+SUMIF(REVENDIDOS!$B$16:$B$25,$A105,REVENDIDOS!Y$16:Y$25)</f>
        <v>7144.54706309446</v>
      </c>
    </row>
    <row r="106" customFormat="false" ht="15" hidden="false" customHeight="false" outlineLevel="0" collapsed="false">
      <c r="A106" s="3" t="s">
        <v>555</v>
      </c>
      <c r="B106" s="3" t="s">
        <v>556</v>
      </c>
      <c r="C106" s="3" t="s">
        <v>214</v>
      </c>
      <c r="D106" s="13" t="n">
        <f aca="false">SUMIF(MANUALES!$B$16:$B$72,$A106,MANUALES!W$16:W$72)</f>
        <v>0</v>
      </c>
      <c r="E106" s="13" t="n">
        <f aca="false">SUMIF(RODANTES!$B$16:$B$72,$A106,RODANTES!W$16:W$72)</f>
        <v>0</v>
      </c>
      <c r="F106" s="13" t="n">
        <f aca="false">SUMIF(RECARGAS!$B$16:$B$37,$A106,RECARGAS!AG$16:AG$37)</f>
        <v>129.892396568768</v>
      </c>
      <c r="G106" s="13" t="n">
        <f aca="false">SUMIF(REVENDIDOS!$B$16:$B$25,$A106,REVENDIDOS!X$16:X$25)</f>
        <v>0</v>
      </c>
      <c r="H106" s="13" t="n">
        <f aca="false">SUMIF(MANUALES!$B$16:$B$72,$A106,MANUALES!N$16:N$72)+SUMIF(RODANTES!$B$16:$B$72,$A106,RODANTES!N$16:N$72)+SUMIF(RECARGAS!$B$16:$B$37,$A106,RECARGAS!X$16:X$37)+SUMIF(REVENDIDOS!$B$16:$B$25,$A106,REVENDIDOS!O$16:O$25)</f>
        <v>23.5984856954447</v>
      </c>
      <c r="I106" s="13" t="n">
        <f aca="false">SUMIF(MANUALES!$B$16:$B$72,$A106,MANUALES!O$16:O$72)+SUMIF(RODANTES!$B$16:$B$72,$A106,RODANTES!O$16:O$72)+SUMIF(RECARGAS!$B$16:$B$37,$A106,RECARGAS!Y$16:Y$37)+SUMIF(REVENDIDOS!$B$16:$B$25,$A106,REVENDIDOS!P$16:P$25)</f>
        <v>73.9563111566799</v>
      </c>
      <c r="J106" s="13" t="n">
        <f aca="false">SUMIF(MANUALES!$B$16:$B$72,$A106,MANUALES!P$16:P$72)+SUMIF(RODANTES!$B$16:$B$72,$A106,RODANTES!P$16:P$72)+SUMIF(RECARGAS!$B$16:$B$37,$A106,RECARGAS!Z$16:Z$37)+SUMIF(REVENDIDOS!$B$16:$B$25,$A106,REVENDIDOS!Q$16:Q$25)</f>
        <v>100.528589784151</v>
      </c>
      <c r="K106" s="13" t="n">
        <f aca="false">SUMIF(MANUALES!$B$16:$B$72,$A106,MANUALES!Q$16:Q$72)+SUMIF(RODANTES!$B$16:$B$72,$A106,RODANTES!Q$16:Q$72)+SUMIF(RECARGAS!$B$16:$B$37,$A106,RECARGAS!AA$16:AA$37)+SUMIF(REVENDIDOS!$B$16:$B$25,$A106,REVENDIDOS!R$16:R$25)</f>
        <v>172.508767576254</v>
      </c>
      <c r="L106" s="13" t="n">
        <f aca="false">SUMIF(MANUALES!$B$16:$B$72,$A106,MANUALES!R$16:R$72)+SUMIF(RODANTES!$B$16:$B$72,$A106,RODANTES!R$16:R$72)+SUMIF(RECARGAS!$B$16:$B$37,$A106,RECARGAS!AB$16:AB$37)+SUMIF(REVENDIDOS!$B$16:$B$25,$A106,REVENDIDOS!S$16:S$25)</f>
        <v>184.739690040356</v>
      </c>
      <c r="M106" s="13" t="n">
        <f aca="false">SUMIF(MANUALES!$B$16:$B$72,$A106,MANUALES!S$16:S$72)+SUMIF(RODANTES!$B$16:$B$72,$A106,RODANTES!S$16:S$72)+SUMIF(RECARGAS!$B$16:$B$37,$A106,RECARGAS!AC$16:AC$37)+SUMIF(REVENDIDOS!$B$16:$B$25,$A106,REVENDIDOS!T$16:T$25)</f>
        <v>213.609463505413</v>
      </c>
      <c r="N106" s="13" t="n">
        <f aca="false">SUMIF(MANUALES!$B$16:$B$72,$A106,MANUALES!T$16:T$72)+SUMIF(RODANTES!$B$16:$B$72,$A106,RODANTES!T$16:T$72)+SUMIF(RECARGAS!$B$16:$B$37,$A106,RECARGAS!AD$16:AD$37)+SUMIF(REVENDIDOS!$B$16:$B$25,$A106,REVENDIDOS!U$16:U$25)</f>
        <v>205.503479588238</v>
      </c>
      <c r="O106" s="13" t="n">
        <f aca="false">SUMIF(MANUALES!$B$16:$B$72,$A106,MANUALES!U$16:U$72)+SUMIF(RODANTES!$B$16:$B$72,$A106,RODANTES!U$16:U$72)+SUMIF(RECARGAS!$B$16:$B$37,$A106,RECARGAS!AE$16:AE$37)+SUMIF(REVENDIDOS!$B$16:$B$25,$A106,REVENDIDOS!V$16:V$25)</f>
        <v>163.462681402593</v>
      </c>
      <c r="P106" s="13" t="n">
        <f aca="false">SUMIF(MANUALES!$B$16:$B$72,$A106,MANUALES!V$16:V$72)+SUMIF(RODANTES!$B$16:$B$72,$A106,RODANTES!V$16:V$72)+SUMIF(RECARGAS!$B$16:$B$37,$A106,RECARGAS!AF$16:AF$37)+SUMIF(REVENDIDOS!$B$16:$B$25,$A106,REVENDIDOS!W$16:W$25)</f>
        <v>125.03839909499</v>
      </c>
      <c r="Q106" s="13" t="n">
        <f aca="false">SUMIF(MANUALES!$B$16:$B$72,$A106,MANUALES!W$16:W$72)+SUMIF(RODANTES!$B$16:$B$72,$A106,RODANTES!W$16:W$72)+SUMIF(RECARGAS!$B$16:$B$37,$A106,RECARGAS!AG$16:AG$37)+SUMIF(REVENDIDOS!$B$16:$B$25,$A106,REVENDIDOS!X$16:X$25)</f>
        <v>129.892396568768</v>
      </c>
      <c r="R106" s="13" t="n">
        <f aca="false">SUMIF(MANUALES!$B$16:$B$72,$A106,MANUALES!X$16:X$72)+SUMIF(RODANTES!$B$16:$B$72,$A106,RODANTES!X$16:X$72)+SUMIF(RECARGAS!$B$16:$B$37,$A106,RECARGAS!AH$16:AH$37)+SUMIF(REVENDIDOS!$B$16:$B$25,$A106,REVENDIDOS!Y$16:Y$25)</f>
        <v>10.8243663807307</v>
      </c>
    </row>
    <row r="107" customFormat="false" ht="15" hidden="false" customHeight="false" outlineLevel="0" collapsed="false">
      <c r="A107" s="3" t="s">
        <v>558</v>
      </c>
      <c r="B107" s="3" t="s">
        <v>559</v>
      </c>
      <c r="C107" s="3" t="s">
        <v>214</v>
      </c>
      <c r="D107" s="13" t="n">
        <f aca="false">SUMIF(MANUALES!$B$16:$B$72,$A107,MANUALES!W$16:W$72)</f>
        <v>0</v>
      </c>
      <c r="E107" s="13" t="n">
        <f aca="false">SUMIF(RODANTES!$B$16:$B$72,$A107,RODANTES!W$16:W$72)</f>
        <v>0</v>
      </c>
      <c r="F107" s="13" t="n">
        <f aca="false">SUMIF(RECARGAS!$B$16:$B$37,$A107,RECARGAS!AG$16:AG$37)</f>
        <v>102.93602399468</v>
      </c>
      <c r="G107" s="13" t="n">
        <f aca="false">SUMIF(REVENDIDOS!$B$16:$B$25,$A107,REVENDIDOS!X$16:X$25)</f>
        <v>0</v>
      </c>
      <c r="H107" s="13" t="n">
        <f aca="false">SUMIF(MANUALES!$B$16:$B$72,$A107,MANUALES!N$16:N$72)+SUMIF(RODANTES!$B$16:$B$72,$A107,RODANTES!N$16:N$72)+SUMIF(RECARGAS!$B$16:$B$37,$A107,RECARGAS!X$16:X$37)+SUMIF(REVENDIDOS!$B$16:$B$25,$A107,REVENDIDOS!O$16:O$25)</f>
        <v>18.6063462621749</v>
      </c>
      <c r="I107" s="13" t="n">
        <f aca="false">SUMIF(MANUALES!$B$16:$B$72,$A107,MANUALES!O$16:O$72)+SUMIF(RODANTES!$B$16:$B$72,$A107,RODANTES!O$16:O$72)+SUMIF(RECARGAS!$B$16:$B$37,$A107,RECARGAS!Y$16:Y$37)+SUMIF(REVENDIDOS!$B$16:$B$25,$A107,REVENDIDOS!P$16:P$25)</f>
        <v>58.3656583736045</v>
      </c>
      <c r="J107" s="13" t="n">
        <f aca="false">SUMIF(MANUALES!$B$16:$B$72,$A107,MANUALES!P$16:P$72)+SUMIF(RODANTES!$B$16:$B$72,$A107,RODANTES!P$16:P$72)+SUMIF(RECARGAS!$B$16:$B$37,$A107,RECARGAS!Z$16:Z$37)+SUMIF(REVENDIDOS!$B$16:$B$25,$A107,REVENDIDOS!Q$16:Q$25)</f>
        <v>79.4051685857002</v>
      </c>
      <c r="K107" s="13" t="n">
        <f aca="false">SUMIF(MANUALES!$B$16:$B$72,$A107,MANUALES!Q$16:Q$72)+SUMIF(RODANTES!$B$16:$B$72,$A107,RODANTES!Q$16:Q$72)+SUMIF(RECARGAS!$B$16:$B$37,$A107,RECARGAS!AA$16:AA$37)+SUMIF(REVENDIDOS!$B$16:$B$25,$A107,REVENDIDOS!R$16:R$25)</f>
        <v>136.369260759901</v>
      </c>
      <c r="L107" s="13" t="n">
        <f aca="false">SUMIF(MANUALES!$B$16:$B$72,$A107,MANUALES!R$16:R$72)+SUMIF(RODANTES!$B$16:$B$72,$A107,RODANTES!R$16:R$72)+SUMIF(RECARGAS!$B$16:$B$37,$A107,RECARGAS!AB$16:AB$37)+SUMIF(REVENDIDOS!$B$16:$B$25,$A107,REVENDIDOS!S$16:S$25)</f>
        <v>146.141710499634</v>
      </c>
      <c r="M107" s="13" t="n">
        <f aca="false">SUMIF(MANUALES!$B$16:$B$72,$A107,MANUALES!S$16:S$72)+SUMIF(RODANTES!$B$16:$B$72,$A107,RODANTES!S$16:S$72)+SUMIF(RECARGAS!$B$16:$B$37,$A107,RECARGAS!AC$16:AC$37)+SUMIF(REVENDIDOS!$B$16:$B$25,$A107,REVENDIDOS!T$16:T$25)</f>
        <v>169.083853181016</v>
      </c>
      <c r="N107" s="13" t="n">
        <f aca="false">SUMIF(MANUALES!$B$16:$B$72,$A107,MANUALES!T$16:T$72)+SUMIF(RODANTES!$B$16:$B$72,$A107,RODANTES!T$16:T$72)+SUMIF(RECARGAS!$B$16:$B$37,$A107,RECARGAS!AD$16:AD$37)+SUMIF(REVENDIDOS!$B$16:$B$25,$A107,REVENDIDOS!U$16:U$25)</f>
        <v>162.749419460195</v>
      </c>
      <c r="O107" s="13" t="n">
        <f aca="false">SUMIF(MANUALES!$B$16:$B$72,$A107,MANUALES!U$16:U$72)+SUMIF(RODANTES!$B$16:$B$72,$A107,RODANTES!U$16:U$72)+SUMIF(RECARGAS!$B$16:$B$37,$A107,RECARGAS!AE$16:AE$37)+SUMIF(REVENDIDOS!$B$16:$B$25,$A107,REVENDIDOS!V$16:V$25)</f>
        <v>129.503610164872</v>
      </c>
      <c r="P107" s="13" t="n">
        <f aca="false">SUMIF(MANUALES!$B$16:$B$72,$A107,MANUALES!V$16:V$72)+SUMIF(RODANTES!$B$16:$B$72,$A107,RODANTES!V$16:V$72)+SUMIF(RECARGAS!$B$16:$B$37,$A107,RECARGAS!AF$16:AF$37)+SUMIF(REVENDIDOS!$B$16:$B$25,$A107,REVENDIDOS!W$16:W$25)</f>
        <v>99.0842610561795</v>
      </c>
      <c r="Q107" s="13" t="n">
        <f aca="false">SUMIF(MANUALES!$B$16:$B$72,$A107,MANUALES!W$16:W$72)+SUMIF(RODANTES!$B$16:$B$72,$A107,RODANTES!W$16:W$72)+SUMIF(RECARGAS!$B$16:$B$37,$A107,RECARGAS!AG$16:AG$37)+SUMIF(REVENDIDOS!$B$16:$B$25,$A107,REVENDIDOS!X$16:X$25)</f>
        <v>102.93602399468</v>
      </c>
      <c r="R107" s="13" t="n">
        <f aca="false">SUMIF(MANUALES!$B$16:$B$72,$A107,MANUALES!X$16:X$72)+SUMIF(RODANTES!$B$16:$B$72,$A107,RODANTES!X$16:X$72)+SUMIF(RECARGAS!$B$16:$B$37,$A107,RECARGAS!AH$16:AH$37)+SUMIF(REVENDIDOS!$B$16:$B$25,$A107,REVENDIDOS!Y$16:Y$25)</f>
        <v>8.57800199955665</v>
      </c>
    </row>
    <row r="108" customFormat="false" ht="15" hidden="false" customHeight="false" outlineLevel="0" collapsed="false">
      <c r="A108" s="3" t="s">
        <v>561</v>
      </c>
      <c r="B108" s="3" t="s">
        <v>562</v>
      </c>
      <c r="C108" s="3" t="s">
        <v>214</v>
      </c>
      <c r="D108" s="13" t="n">
        <f aca="false">SUMIF(MANUALES!$B$16:$B$72,$A108,MANUALES!W$16:W$72)</f>
        <v>0</v>
      </c>
      <c r="E108" s="13" t="n">
        <f aca="false">SUMIF(RODANTES!$B$16:$B$72,$A108,RODANTES!W$16:W$72)</f>
        <v>0</v>
      </c>
      <c r="F108" s="13" t="n">
        <f aca="false">SUMIF(RECARGAS!$B$16:$B$37,$A108,RECARGAS!AG$16:AG$37)</f>
        <v>26.9563725740881</v>
      </c>
      <c r="G108" s="13" t="n">
        <f aca="false">SUMIF(REVENDIDOS!$B$16:$B$25,$A108,REVENDIDOS!X$16:X$25)</f>
        <v>0</v>
      </c>
      <c r="H108" s="13" t="n">
        <f aca="false">SUMIF(MANUALES!$B$16:$B$72,$A108,MANUALES!N$16:N$72)+SUMIF(RODANTES!$B$16:$B$72,$A108,RODANTES!N$16:N$72)+SUMIF(RECARGAS!$B$16:$B$37,$A108,RECARGAS!X$16:X$37)+SUMIF(REVENDIDOS!$B$16:$B$25,$A108,REVENDIDOS!O$16:O$25)</f>
        <v>4.99213943326984</v>
      </c>
      <c r="I108" s="13" t="n">
        <f aca="false">SUMIF(MANUALES!$B$16:$B$72,$A108,MANUALES!O$16:O$72)+SUMIF(RODANTES!$B$16:$B$72,$A108,RODANTES!O$16:O$72)+SUMIF(RECARGAS!$B$16:$B$37,$A108,RECARGAS!Y$16:Y$37)+SUMIF(REVENDIDOS!$B$16:$B$25,$A108,REVENDIDOS!P$16:P$25)</f>
        <v>15.5906527830754</v>
      </c>
      <c r="J108" s="13" t="n">
        <f aca="false">SUMIF(MANUALES!$B$16:$B$72,$A108,MANUALES!P$16:P$72)+SUMIF(RODANTES!$B$16:$B$72,$A108,RODANTES!P$16:P$72)+SUMIF(RECARGAS!$B$16:$B$37,$A108,RECARGAS!Z$16:Z$37)+SUMIF(REVENDIDOS!$B$16:$B$25,$A108,REVENDIDOS!Q$16:Q$25)</f>
        <v>21.1234211984507</v>
      </c>
      <c r="K108" s="13" t="n">
        <f aca="false">SUMIF(MANUALES!$B$16:$B$72,$A108,MANUALES!Q$16:Q$72)+SUMIF(RODANTES!$B$16:$B$72,$A108,RODANTES!Q$16:Q$72)+SUMIF(RECARGAS!$B$16:$B$37,$A108,RECARGAS!AA$16:AA$37)+SUMIF(REVENDIDOS!$B$16:$B$25,$A108,REVENDIDOS!R$16:R$25)</f>
        <v>36.1395068163521</v>
      </c>
      <c r="L108" s="13" t="n">
        <f aca="false">SUMIF(MANUALES!$B$16:$B$72,$A108,MANUALES!R$16:R$72)+SUMIF(RODANTES!$B$16:$B$72,$A108,RODANTES!R$16:R$72)+SUMIF(RECARGAS!$B$16:$B$37,$A108,RECARGAS!AB$16:AB$37)+SUMIF(REVENDIDOS!$B$16:$B$25,$A108,REVENDIDOS!S$16:S$25)</f>
        <v>38.597979540722</v>
      </c>
      <c r="M108" s="13" t="n">
        <f aca="false">SUMIF(MANUALES!$B$16:$B$72,$A108,MANUALES!S$16:S$72)+SUMIF(RODANTES!$B$16:$B$72,$A108,RODANTES!S$16:S$72)+SUMIF(RECARGAS!$B$16:$B$37,$A108,RECARGAS!AC$16:AC$37)+SUMIF(REVENDIDOS!$B$16:$B$25,$A108,REVENDIDOS!T$16:T$25)</f>
        <v>44.5256103243962</v>
      </c>
      <c r="N108" s="13" t="n">
        <f aca="false">SUMIF(MANUALES!$B$16:$B$72,$A108,MANUALES!T$16:T$72)+SUMIF(RODANTES!$B$16:$B$72,$A108,RODANTES!T$16:T$72)+SUMIF(RECARGAS!$B$16:$B$37,$A108,RECARGAS!AD$16:AD$37)+SUMIF(REVENDIDOS!$B$16:$B$25,$A108,REVENDIDOS!U$16:U$25)</f>
        <v>42.7540601280434</v>
      </c>
      <c r="O108" s="13" t="n">
        <f aca="false">SUMIF(MANUALES!$B$16:$B$72,$A108,MANUALES!U$16:U$72)+SUMIF(RODANTES!$B$16:$B$72,$A108,RODANTES!U$16:U$72)+SUMIF(RECARGAS!$B$16:$B$37,$A108,RECARGAS!AE$16:AE$37)+SUMIF(REVENDIDOS!$B$16:$B$25,$A108,REVENDIDOS!V$16:V$25)</f>
        <v>33.959071237721</v>
      </c>
      <c r="P108" s="13" t="n">
        <f aca="false">SUMIF(MANUALES!$B$16:$B$72,$A108,MANUALES!V$16:V$72)+SUMIF(RODANTES!$B$16:$B$72,$A108,RODANTES!V$16:V$72)+SUMIF(RECARGAS!$B$16:$B$37,$A108,RECARGAS!AF$16:AF$37)+SUMIF(REVENDIDOS!$B$16:$B$25,$A108,REVENDIDOS!W$16:W$25)</f>
        <v>25.9541380388106</v>
      </c>
      <c r="Q108" s="13" t="n">
        <f aca="false">SUMIF(MANUALES!$B$16:$B$72,$A108,MANUALES!W$16:W$72)+SUMIF(RODANTES!$B$16:$B$72,$A108,RODANTES!W$16:W$72)+SUMIF(RECARGAS!$B$16:$B$37,$A108,RECARGAS!AG$16:AG$37)+SUMIF(REVENDIDOS!$B$16:$B$25,$A108,REVENDIDOS!X$16:X$25)</f>
        <v>26.9563725740881</v>
      </c>
      <c r="R108" s="13" t="n">
        <f aca="false">SUMIF(MANUALES!$B$16:$B$72,$A108,MANUALES!X$16:X$72)+SUMIF(RODANTES!$B$16:$B$72,$A108,RODANTES!X$16:X$72)+SUMIF(RECARGAS!$B$16:$B$37,$A108,RECARGAS!AH$16:AH$37)+SUMIF(REVENDIDOS!$B$16:$B$25,$A108,REVENDIDOS!Y$16:Y$25)</f>
        <v>2.24636438117401</v>
      </c>
    </row>
    <row r="109" customFormat="false" ht="15" hidden="false" customHeight="false" outlineLevel="0" collapsed="false">
      <c r="A109" s="3" t="s">
        <v>552</v>
      </c>
      <c r="B109" s="3" t="s">
        <v>553</v>
      </c>
      <c r="C109" s="3" t="s">
        <v>524</v>
      </c>
      <c r="D109" s="13" t="n">
        <f aca="false">SUMIF(MANUALES!$B$16:$B$72,$A109,MANUALES!W$16:W$72)</f>
        <v>0</v>
      </c>
      <c r="E109" s="13" t="n">
        <f aca="false">SUMIF(RODANTES!$B$16:$B$72,$A109,RODANTES!W$16:W$72)</f>
        <v>0</v>
      </c>
      <c r="F109" s="13" t="n">
        <f aca="false">SUMIF(RECARGAS!$B$16:$B$37,$A109,RECARGAS!AG$16:AG$37)</f>
        <v>277.761634222652</v>
      </c>
      <c r="G109" s="13" t="n">
        <f aca="false">SUMIF(REVENDIDOS!$B$16:$B$25,$A109,REVENDIDOS!X$16:X$25)</f>
        <v>0</v>
      </c>
      <c r="H109" s="13" t="n">
        <f aca="false">SUMIF(MANUALES!$B$16:$B$72,$A109,MANUALES!N$16:N$72)+SUMIF(RODANTES!$B$16:$B$72,$A109,RODANTES!N$16:N$72)+SUMIF(RECARGAS!$B$16:$B$37,$A109,RECARGAS!X$16:X$37)+SUMIF(REVENDIDOS!$B$16:$B$25,$A109,REVENDIDOS!O$16:O$25)</f>
        <v>5.14657797973885</v>
      </c>
      <c r="I109" s="13" t="n">
        <f aca="false">SUMIF(MANUALES!$B$16:$B$72,$A109,MANUALES!O$16:O$72)+SUMIF(RODANTES!$B$16:$B$72,$A109,RODANTES!O$16:O$72)+SUMIF(RECARGAS!$B$16:$B$37,$A109,RECARGAS!Y$16:Y$37)+SUMIF(REVENDIDOS!$B$16:$B$25,$A109,REVENDIDOS!P$16:P$25)</f>
        <v>22.4853866797558</v>
      </c>
      <c r="J109" s="13" t="n">
        <f aca="false">SUMIF(MANUALES!$B$16:$B$72,$A109,MANUALES!P$16:P$72)+SUMIF(RODANTES!$B$16:$B$72,$A109,RODANTES!P$16:P$72)+SUMIF(RECARGAS!$B$16:$B$37,$A109,RECARGAS!Z$16:Z$37)+SUMIF(REVENDIDOS!$B$16:$B$25,$A109,REVENDIDOS!Q$16:Q$25)</f>
        <v>47.5088433211854</v>
      </c>
      <c r="K109" s="13" t="n">
        <f aca="false">SUMIF(MANUALES!$B$16:$B$72,$A109,MANUALES!Q$16:Q$72)+SUMIF(RODANTES!$B$16:$B$72,$A109,RODANTES!Q$16:Q$72)+SUMIF(RECARGAS!$B$16:$B$37,$A109,RECARGAS!AA$16:AA$37)+SUMIF(REVENDIDOS!$B$16:$B$25,$A109,REVENDIDOS!R$16:R$25)</f>
        <v>88.1981110731892</v>
      </c>
      <c r="L109" s="13" t="n">
        <f aca="false">SUMIF(MANUALES!$B$16:$B$72,$A109,MANUALES!R$16:R$72)+SUMIF(RODANTES!$B$16:$B$72,$A109,RODANTES!R$16:R$72)+SUMIF(RECARGAS!$B$16:$B$37,$A109,RECARGAS!AB$16:AB$37)+SUMIF(REVENDIDOS!$B$16:$B$25,$A109,REVENDIDOS!S$16:S$25)</f>
        <v>128.410840326006</v>
      </c>
      <c r="M109" s="13" t="n">
        <f aca="false">SUMIF(MANUALES!$B$16:$B$72,$A109,MANUALES!S$16:S$72)+SUMIF(RODANTES!$B$16:$B$72,$A109,RODANTES!S$16:S$72)+SUMIF(RECARGAS!$B$16:$B$37,$A109,RECARGAS!AC$16:AC$37)+SUMIF(REVENDIDOS!$B$16:$B$25,$A109,REVENDIDOS!T$16:T$25)</f>
        <v>172.677239225365</v>
      </c>
      <c r="N109" s="13" t="n">
        <f aca="false">SUMIF(MANUALES!$B$16:$B$72,$A109,MANUALES!T$16:T$72)+SUMIF(RODANTES!$B$16:$B$72,$A109,RODANTES!T$16:T$72)+SUMIF(RECARGAS!$B$16:$B$37,$A109,RECARGAS!AD$16:AD$37)+SUMIF(REVENDIDOS!$B$16:$B$25,$A109,REVENDIDOS!U$16:U$25)</f>
        <v>213.182413264937</v>
      </c>
      <c r="O109" s="13" t="n">
        <f aca="false">SUMIF(MANUALES!$B$16:$B$72,$A109,MANUALES!U$16:U$72)+SUMIF(RODANTES!$B$16:$B$72,$A109,RODANTES!U$16:U$72)+SUMIF(RECARGAS!$B$16:$B$37,$A109,RECARGAS!AE$16:AE$37)+SUMIF(REVENDIDOS!$B$16:$B$25,$A109,REVENDIDOS!V$16:V$25)</f>
        <v>239.881112637057</v>
      </c>
      <c r="P109" s="13" t="n">
        <f aca="false">SUMIF(MANUALES!$B$16:$B$72,$A109,MANUALES!V$16:V$72)+SUMIF(RODANTES!$B$16:$B$72,$A109,RODANTES!V$16:V$72)+SUMIF(RECARGAS!$B$16:$B$37,$A109,RECARGAS!AF$16:AF$37)+SUMIF(REVENDIDOS!$B$16:$B$25,$A109,REVENDIDOS!W$16:W$25)</f>
        <v>258.652199887428</v>
      </c>
      <c r="Q109" s="13" t="n">
        <f aca="false">SUMIF(MANUALES!$B$16:$B$72,$A109,MANUALES!W$16:W$72)+SUMIF(RODANTES!$B$16:$B$72,$A109,RODANTES!W$16:W$72)+SUMIF(RECARGAS!$B$16:$B$37,$A109,RECARGAS!AG$16:AG$37)+SUMIF(REVENDIDOS!$B$16:$B$25,$A109,REVENDIDOS!X$16:X$25)</f>
        <v>277.761634222652</v>
      </c>
      <c r="R109" s="13" t="n">
        <f aca="false">SUMIF(MANUALES!$B$16:$B$72,$A109,MANUALES!X$16:X$72)+SUMIF(RODANTES!$B$16:$B$72,$A109,RODANTES!X$16:X$72)+SUMIF(RECARGAS!$B$16:$B$37,$A109,RECARGAS!AH$16:AH$37)+SUMIF(REVENDIDOS!$B$16:$B$25,$A109,REVENDIDOS!Y$16:Y$25)</f>
        <v>23.1468028518876</v>
      </c>
    </row>
    <row r="110" customFormat="false" ht="15" hidden="false" customHeight="false" outlineLevel="0" collapsed="false">
      <c r="A110" s="3" t="s">
        <v>333</v>
      </c>
      <c r="B110" s="3" t="s">
        <v>334</v>
      </c>
      <c r="C110" s="3" t="s">
        <v>214</v>
      </c>
      <c r="D110" s="13" t="n">
        <f aca="false">SUMIF(MANUALES!$B$16:$B$72,$A110,MANUALES!W$16:W$72)</f>
        <v>202620.63913</v>
      </c>
      <c r="E110" s="13" t="n">
        <f aca="false">SUMIF(RODANTES!$B$16:$B$72,$A110,RODANTES!W$16:W$72)</f>
        <v>0</v>
      </c>
      <c r="F110" s="13" t="n">
        <f aca="false">SUMIF(RECARGAS!$B$16:$B$37,$A110,RECARGAS!AG$16:AG$37)</f>
        <v>0</v>
      </c>
      <c r="G110" s="13" t="n">
        <f aca="false">SUMIF(REVENDIDOS!$B$16:$B$25,$A110,REVENDIDOS!X$16:X$25)</f>
        <v>0</v>
      </c>
      <c r="H110" s="13" t="n">
        <f aca="false">SUMIF(MANUALES!$B$16:$B$72,$A110,MANUALES!N$16:N$72)+SUMIF(RODANTES!$B$16:$B$72,$A110,RODANTES!N$16:N$72)+SUMIF(RECARGAS!$B$16:$B$37,$A110,RECARGAS!X$16:X$37)+SUMIF(REVENDIDOS!$B$16:$B$25,$A110,REVENDIDOS!O$16:O$25)</f>
        <v>4178.736543</v>
      </c>
      <c r="I110" s="13" t="n">
        <f aca="false">SUMIF(MANUALES!$B$16:$B$72,$A110,MANUALES!O$16:O$72)+SUMIF(RODANTES!$B$16:$B$72,$A110,RODANTES!O$16:O$72)+SUMIF(RECARGAS!$B$16:$B$37,$A110,RECARGAS!Y$16:Y$37)+SUMIF(REVENDIDOS!$B$16:$B$25,$A110,REVENDIDOS!P$16:P$25)</f>
        <v>5997.303977</v>
      </c>
      <c r="J110" s="13" t="n">
        <f aca="false">SUMIF(MANUALES!$B$16:$B$72,$A110,MANUALES!P$16:P$72)+SUMIF(RODANTES!$B$16:$B$72,$A110,RODANTES!P$16:P$72)+SUMIF(RECARGAS!$B$16:$B$37,$A110,RECARGAS!Z$16:Z$37)+SUMIF(REVENDIDOS!$B$16:$B$25,$A110,REVENDIDOS!Q$16:Q$25)</f>
        <v>14514.147758</v>
      </c>
      <c r="K110" s="13" t="n">
        <f aca="false">SUMIF(MANUALES!$B$16:$B$72,$A110,MANUALES!Q$16:Q$72)+SUMIF(RODANTES!$B$16:$B$72,$A110,RODANTES!Q$16:Q$72)+SUMIF(RECARGAS!$B$16:$B$37,$A110,RECARGAS!AA$16:AA$37)+SUMIF(REVENDIDOS!$B$16:$B$25,$A110,REVENDIDOS!R$16:R$25)</f>
        <v>35161.935549</v>
      </c>
      <c r="L110" s="13" t="n">
        <f aca="false">SUMIF(MANUALES!$B$16:$B$72,$A110,MANUALES!R$16:R$72)+SUMIF(RODANTES!$B$16:$B$72,$A110,RODANTES!R$16:R$72)+SUMIF(RECARGAS!$B$16:$B$37,$A110,RECARGAS!AB$16:AB$37)+SUMIF(REVENDIDOS!$B$16:$B$25,$A110,REVENDIDOS!S$16:S$25)</f>
        <v>62115.43271</v>
      </c>
      <c r="M110" s="13" t="n">
        <f aca="false">SUMIF(MANUALES!$B$16:$B$72,$A110,MANUALES!S$16:S$72)+SUMIF(RODANTES!$B$16:$B$72,$A110,RODANTES!S$16:S$72)+SUMIF(RECARGAS!$B$16:$B$37,$A110,RECARGAS!AC$16:AC$37)+SUMIF(REVENDIDOS!$B$16:$B$25,$A110,REVENDIDOS!T$16:T$25)</f>
        <v>87300.45307</v>
      </c>
      <c r="N110" s="13" t="n">
        <f aca="false">SUMIF(MANUALES!$B$16:$B$72,$A110,MANUALES!T$16:T$72)+SUMIF(RODANTES!$B$16:$B$72,$A110,RODANTES!T$16:T$72)+SUMIF(RECARGAS!$B$16:$B$37,$A110,RECARGAS!AD$16:AD$37)+SUMIF(REVENDIDOS!$B$16:$B$25,$A110,REVENDIDOS!U$16:U$25)</f>
        <v>121673.15326</v>
      </c>
      <c r="O110" s="13" t="n">
        <f aca="false">SUMIF(MANUALES!$B$16:$B$72,$A110,MANUALES!U$16:U$72)+SUMIF(RODANTES!$B$16:$B$72,$A110,RODANTES!U$16:U$72)+SUMIF(RECARGAS!$B$16:$B$37,$A110,RECARGAS!AE$16:AE$37)+SUMIF(REVENDIDOS!$B$16:$B$25,$A110,REVENDIDOS!V$16:V$25)</f>
        <v>156133.07848</v>
      </c>
      <c r="P110" s="13" t="n">
        <f aca="false">SUMIF(MANUALES!$B$16:$B$72,$A110,MANUALES!V$16:V$72)+SUMIF(RODANTES!$B$16:$B$72,$A110,RODANTES!V$16:V$72)+SUMIF(RECARGAS!$B$16:$B$37,$A110,RECARGAS!AF$16:AF$37)+SUMIF(REVENDIDOS!$B$16:$B$25,$A110,REVENDIDOS!W$16:W$25)</f>
        <v>175393.13614</v>
      </c>
      <c r="Q110" s="13" t="n">
        <f aca="false">SUMIF(MANUALES!$B$16:$B$72,$A110,MANUALES!W$16:W$72)+SUMIF(RODANTES!$B$16:$B$72,$A110,RODANTES!W$16:W$72)+SUMIF(RECARGAS!$B$16:$B$37,$A110,RECARGAS!AG$16:AG$37)+SUMIF(REVENDIDOS!$B$16:$B$25,$A110,REVENDIDOS!X$16:X$25)</f>
        <v>202620.63913</v>
      </c>
      <c r="R110" s="13" t="n">
        <f aca="false">SUMIF(MANUALES!$B$16:$B$72,$A110,MANUALES!X$16:X$72)+SUMIF(RODANTES!$B$16:$B$72,$A110,RODANTES!X$16:X$72)+SUMIF(RECARGAS!$B$16:$B$37,$A110,RECARGAS!AH$16:AH$37)+SUMIF(REVENDIDOS!$B$16:$B$25,$A110,REVENDIDOS!Y$16:Y$25)</f>
        <v>24314.4766956</v>
      </c>
    </row>
    <row r="111" customFormat="false" ht="15" hidden="false" customHeight="false" outlineLevel="0" collapsed="false">
      <c r="A111" s="3" t="s">
        <v>336</v>
      </c>
      <c r="B111" s="3" t="s">
        <v>337</v>
      </c>
      <c r="C111" s="3" t="s">
        <v>214</v>
      </c>
      <c r="D111" s="13" t="n">
        <f aca="false">SUMIF(MANUALES!$B$16:$B$72,$A111,MANUALES!W$16:W$72)</f>
        <v>14093.858444</v>
      </c>
      <c r="E111" s="13" t="n">
        <f aca="false">SUMIF(RODANTES!$B$16:$B$72,$A111,RODANTES!W$16:W$72)</f>
        <v>0</v>
      </c>
      <c r="F111" s="13" t="n">
        <f aca="false">SUMIF(RECARGAS!$B$16:$B$37,$A111,RECARGAS!AG$16:AG$37)</f>
        <v>0</v>
      </c>
      <c r="G111" s="13" t="n">
        <f aca="false">SUMIF(REVENDIDOS!$B$16:$B$25,$A111,REVENDIDOS!X$16:X$25)</f>
        <v>0</v>
      </c>
      <c r="H111" s="13" t="n">
        <f aca="false">SUMIF(MANUALES!$B$16:$B$72,$A111,MANUALES!N$16:N$72)+SUMIF(RODANTES!$B$16:$B$72,$A111,RODANTES!N$16:N$72)+SUMIF(RECARGAS!$B$16:$B$37,$A111,RECARGAS!X$16:X$37)+SUMIF(REVENDIDOS!$B$16:$B$25,$A111,REVENDIDOS!O$16:O$25)</f>
        <v>295.0303572</v>
      </c>
      <c r="I111" s="13" t="n">
        <f aca="false">SUMIF(MANUALES!$B$16:$B$72,$A111,MANUALES!O$16:O$72)+SUMIF(RODANTES!$B$16:$B$72,$A111,RODANTES!O$16:O$72)+SUMIF(RECARGAS!$B$16:$B$37,$A111,RECARGAS!Y$16:Y$37)+SUMIF(REVENDIDOS!$B$16:$B$25,$A111,REVENDIDOS!P$16:P$25)</f>
        <v>709.7274503</v>
      </c>
      <c r="J111" s="13" t="n">
        <f aca="false">SUMIF(MANUALES!$B$16:$B$72,$A111,MANUALES!P$16:P$72)+SUMIF(RODANTES!$B$16:$B$72,$A111,RODANTES!P$16:P$72)+SUMIF(RECARGAS!$B$16:$B$37,$A111,RECARGAS!Z$16:Z$37)+SUMIF(REVENDIDOS!$B$16:$B$25,$A111,REVENDIDOS!Q$16:Q$25)</f>
        <v>1286.4680576</v>
      </c>
      <c r="K111" s="13" t="n">
        <f aca="false">SUMIF(MANUALES!$B$16:$B$72,$A111,MANUALES!Q$16:Q$72)+SUMIF(RODANTES!$B$16:$B$72,$A111,RODANTES!Q$16:Q$72)+SUMIF(RECARGAS!$B$16:$B$37,$A111,RECARGAS!AA$16:AA$37)+SUMIF(REVENDIDOS!$B$16:$B$25,$A111,REVENDIDOS!R$16:R$25)</f>
        <v>2544.438174</v>
      </c>
      <c r="L111" s="13" t="n">
        <f aca="false">SUMIF(MANUALES!$B$16:$B$72,$A111,MANUALES!R$16:R$72)+SUMIF(RODANTES!$B$16:$B$72,$A111,RODANTES!R$16:R$72)+SUMIF(RECARGAS!$B$16:$B$37,$A111,RECARGAS!AB$16:AB$37)+SUMIF(REVENDIDOS!$B$16:$B$25,$A111,REVENDIDOS!S$16:S$25)</f>
        <v>4245.627726</v>
      </c>
      <c r="M111" s="13" t="n">
        <f aca="false">SUMIF(MANUALES!$B$16:$B$72,$A111,MANUALES!S$16:S$72)+SUMIF(RODANTES!$B$16:$B$72,$A111,RODANTES!S$16:S$72)+SUMIF(RECARGAS!$B$16:$B$37,$A111,RECARGAS!AC$16:AC$37)+SUMIF(REVENDIDOS!$B$16:$B$25,$A111,REVENDIDOS!T$16:T$25)</f>
        <v>6055.869887</v>
      </c>
      <c r="N111" s="13" t="n">
        <f aca="false">SUMIF(MANUALES!$B$16:$B$72,$A111,MANUALES!T$16:T$72)+SUMIF(RODANTES!$B$16:$B$72,$A111,RODANTES!T$16:T$72)+SUMIF(RECARGAS!$B$16:$B$37,$A111,RECARGAS!AD$16:AD$37)+SUMIF(REVENDIDOS!$B$16:$B$25,$A111,REVENDIDOS!U$16:U$25)</f>
        <v>8065.315524</v>
      </c>
      <c r="O111" s="13" t="n">
        <f aca="false">SUMIF(MANUALES!$B$16:$B$72,$A111,MANUALES!U$16:U$72)+SUMIF(RODANTES!$B$16:$B$72,$A111,RODANTES!U$16:U$72)+SUMIF(RECARGAS!$B$16:$B$37,$A111,RECARGAS!AE$16:AE$37)+SUMIF(REVENDIDOS!$B$16:$B$25,$A111,REVENDIDOS!V$16:V$25)</f>
        <v>10227.306587</v>
      </c>
      <c r="P111" s="13" t="n">
        <f aca="false">SUMIF(MANUALES!$B$16:$B$72,$A111,MANUALES!V$16:V$72)+SUMIF(RODANTES!$B$16:$B$72,$A111,RODANTES!V$16:V$72)+SUMIF(RECARGAS!$B$16:$B$37,$A111,RECARGAS!AF$16:AF$37)+SUMIF(REVENDIDOS!$B$16:$B$25,$A111,REVENDIDOS!W$16:W$25)</f>
        <v>11936.586243</v>
      </c>
      <c r="Q111" s="13" t="n">
        <f aca="false">SUMIF(MANUALES!$B$16:$B$72,$A111,MANUALES!W$16:W$72)+SUMIF(RODANTES!$B$16:$B$72,$A111,RODANTES!W$16:W$72)+SUMIF(RECARGAS!$B$16:$B$37,$A111,RECARGAS!AG$16:AG$37)+SUMIF(REVENDIDOS!$B$16:$B$25,$A111,REVENDIDOS!X$16:X$25)</f>
        <v>14093.858444</v>
      </c>
      <c r="R111" s="13" t="n">
        <f aca="false">SUMIF(MANUALES!$B$16:$B$72,$A111,MANUALES!X$16:X$72)+SUMIF(RODANTES!$B$16:$B$72,$A111,RODANTES!X$16:X$72)+SUMIF(RECARGAS!$B$16:$B$37,$A111,RECARGAS!AH$16:AH$37)+SUMIF(REVENDIDOS!$B$16:$B$25,$A111,REVENDIDOS!Y$16:Y$25)</f>
        <v>1550.32442884</v>
      </c>
    </row>
    <row r="112" customFormat="false" ht="15" hidden="false" customHeight="false" outlineLevel="0" collapsed="false">
      <c r="A112" s="3" t="s">
        <v>339</v>
      </c>
      <c r="B112" s="3" t="s">
        <v>340</v>
      </c>
      <c r="C112" s="3" t="s">
        <v>214</v>
      </c>
      <c r="D112" s="13" t="n">
        <f aca="false">SUMIF(MANUALES!$B$16:$B$72,$A112,MANUALES!W$16:W$72)</f>
        <v>65343.7706862536</v>
      </c>
      <c r="E112" s="13" t="n">
        <f aca="false">SUMIF(RODANTES!$B$16:$B$72,$A112,RODANTES!W$16:W$72)</f>
        <v>0</v>
      </c>
      <c r="F112" s="13" t="n">
        <f aca="false">SUMIF(RECARGAS!$B$16:$B$37,$A112,RECARGAS!AG$16:AG$37)</f>
        <v>0</v>
      </c>
      <c r="G112" s="13" t="n">
        <f aca="false">SUMIF(REVENDIDOS!$B$16:$B$25,$A112,REVENDIDOS!X$16:X$25)</f>
        <v>0</v>
      </c>
      <c r="H112" s="13" t="n">
        <f aca="false">SUMIF(MANUALES!$B$16:$B$72,$A112,MANUALES!N$16:N$72)+SUMIF(RODANTES!$B$16:$B$72,$A112,RODANTES!N$16:N$72)+SUMIF(RECARGAS!$B$16:$B$37,$A112,RECARGAS!X$16:X$37)+SUMIF(REVENDIDOS!$B$16:$B$25,$A112,REVENDIDOS!O$16:O$25)</f>
        <v>2727.90356888796</v>
      </c>
      <c r="I112" s="13" t="n">
        <f aca="false">SUMIF(MANUALES!$B$16:$B$72,$A112,MANUALES!O$16:O$72)+SUMIF(RODANTES!$B$16:$B$72,$A112,RODANTES!O$16:O$72)+SUMIF(RECARGAS!$B$16:$B$37,$A112,RECARGAS!Y$16:Y$37)+SUMIF(REVENDIDOS!$B$16:$B$25,$A112,REVENDIDOS!P$16:P$25)</f>
        <v>5488.91063218589</v>
      </c>
      <c r="J112" s="13" t="n">
        <f aca="false">SUMIF(MANUALES!$B$16:$B$72,$A112,MANUALES!P$16:P$72)+SUMIF(RODANTES!$B$16:$B$72,$A112,RODANTES!P$16:P$72)+SUMIF(RECARGAS!$B$16:$B$37,$A112,RECARGAS!Z$16:Z$37)+SUMIF(REVENDIDOS!$B$16:$B$25,$A112,REVENDIDOS!Q$16:Q$25)</f>
        <v>8685.38549675331</v>
      </c>
      <c r="K112" s="13" t="n">
        <f aca="false">SUMIF(MANUALES!$B$16:$B$72,$A112,MANUALES!Q$16:Q$72)+SUMIF(RODANTES!$B$16:$B$72,$A112,RODANTES!Q$16:Q$72)+SUMIF(RECARGAS!$B$16:$B$37,$A112,RECARGAS!AA$16:AA$37)+SUMIF(REVENDIDOS!$B$16:$B$25,$A112,REVENDIDOS!R$16:R$25)</f>
        <v>15572.9077932162</v>
      </c>
      <c r="L112" s="13" t="n">
        <f aca="false">SUMIF(MANUALES!$B$16:$B$72,$A112,MANUALES!R$16:R$72)+SUMIF(RODANTES!$B$16:$B$72,$A112,RODANTES!R$16:R$72)+SUMIF(RECARGAS!$B$16:$B$37,$A112,RECARGAS!AB$16:AB$37)+SUMIF(REVENDIDOS!$B$16:$B$25,$A112,REVENDIDOS!S$16:S$25)</f>
        <v>24035.8713349105</v>
      </c>
      <c r="M112" s="13" t="n">
        <f aca="false">SUMIF(MANUALES!$B$16:$B$72,$A112,MANUALES!S$16:S$72)+SUMIF(RODANTES!$B$16:$B$72,$A112,RODANTES!S$16:S$72)+SUMIF(RECARGAS!$B$16:$B$37,$A112,RECARGAS!AC$16:AC$37)+SUMIF(REVENDIDOS!$B$16:$B$25,$A112,REVENDIDOS!T$16:T$25)</f>
        <v>32571.2609615097</v>
      </c>
      <c r="N112" s="13" t="n">
        <f aca="false">SUMIF(MANUALES!$B$16:$B$72,$A112,MANUALES!T$16:T$72)+SUMIF(RODANTES!$B$16:$B$72,$A112,RODANTES!T$16:T$72)+SUMIF(RECARGAS!$B$16:$B$37,$A112,RECARGAS!AD$16:AD$37)+SUMIF(REVENDIDOS!$B$16:$B$25,$A112,REVENDIDOS!U$16:U$25)</f>
        <v>42193.0822225078</v>
      </c>
      <c r="O112" s="13" t="n">
        <f aca="false">SUMIF(MANUALES!$B$16:$B$72,$A112,MANUALES!U$16:U$72)+SUMIF(RODANTES!$B$16:$B$72,$A112,RODANTES!U$16:U$72)+SUMIF(RECARGAS!$B$16:$B$37,$A112,RECARGAS!AE$16:AE$37)+SUMIF(REVENDIDOS!$B$16:$B$25,$A112,REVENDIDOS!V$16:V$25)</f>
        <v>51285.338467674</v>
      </c>
      <c r="P112" s="13" t="n">
        <f aca="false">SUMIF(MANUALES!$B$16:$B$72,$A112,MANUALES!V$16:V$72)+SUMIF(RODANTES!$B$16:$B$72,$A112,RODANTES!V$16:V$72)+SUMIF(RECARGAS!$B$16:$B$37,$A112,RECARGAS!AF$16:AF$37)+SUMIF(REVENDIDOS!$B$16:$B$25,$A112,REVENDIDOS!W$16:W$25)</f>
        <v>56949.1997200899</v>
      </c>
      <c r="Q112" s="13" t="n">
        <f aca="false">SUMIF(MANUALES!$B$16:$B$72,$A112,MANUALES!W$16:W$72)+SUMIF(RODANTES!$B$16:$B$72,$A112,RODANTES!W$16:W$72)+SUMIF(RECARGAS!$B$16:$B$37,$A112,RECARGAS!AG$16:AG$37)+SUMIF(REVENDIDOS!$B$16:$B$25,$A112,REVENDIDOS!X$16:X$25)</f>
        <v>65343.7706862536</v>
      </c>
      <c r="R112" s="13" t="n">
        <f aca="false">SUMIF(MANUALES!$B$16:$B$72,$A112,MANUALES!X$16:X$72)+SUMIF(RODANTES!$B$16:$B$72,$A112,RODANTES!X$16:X$72)+SUMIF(RECARGAS!$B$16:$B$37,$A112,RECARGAS!AH$16:AH$37)+SUMIF(REVENDIDOS!$B$16:$B$25,$A112,REVENDIDOS!Y$16:Y$25)</f>
        <v>7187.8147754879</v>
      </c>
    </row>
    <row r="113" customFormat="false" ht="15" hidden="false" customHeight="false" outlineLevel="0" collapsed="false">
      <c r="A113" s="3" t="s">
        <v>342</v>
      </c>
      <c r="B113" s="3" t="s">
        <v>343</v>
      </c>
      <c r="C113" s="3" t="s">
        <v>214</v>
      </c>
      <c r="D113" s="13" t="n">
        <f aca="false">SUMIF(MANUALES!$B$16:$B$72,$A113,MANUALES!W$16:W$72)</f>
        <v>3853.87697319699</v>
      </c>
      <c r="E113" s="13" t="n">
        <f aca="false">SUMIF(RODANTES!$B$16:$B$72,$A113,RODANTES!W$16:W$72)</f>
        <v>0</v>
      </c>
      <c r="F113" s="13" t="n">
        <f aca="false">SUMIF(RECARGAS!$B$16:$B$37,$A113,RECARGAS!AG$16:AG$37)</f>
        <v>0</v>
      </c>
      <c r="G113" s="13" t="n">
        <f aca="false">SUMIF(REVENDIDOS!$B$16:$B$25,$A113,REVENDIDOS!X$16:X$25)</f>
        <v>0</v>
      </c>
      <c r="H113" s="13" t="n">
        <f aca="false">SUMIF(MANUALES!$B$16:$B$72,$A113,MANUALES!N$16:N$72)+SUMIF(RODANTES!$B$16:$B$72,$A113,RODANTES!N$16:N$72)+SUMIF(RECARGAS!$B$16:$B$37,$A113,RECARGAS!X$16:X$37)+SUMIF(REVENDIDOS!$B$16:$B$25,$A113,REVENDIDOS!O$16:O$25)</f>
        <v>92.4087543518401</v>
      </c>
      <c r="I113" s="13" t="n">
        <f aca="false">SUMIF(MANUALES!$B$16:$B$72,$A113,MANUALES!O$16:O$72)+SUMIF(RODANTES!$B$16:$B$72,$A113,RODANTES!O$16:O$72)+SUMIF(RECARGAS!$B$16:$B$37,$A113,RECARGAS!Y$16:Y$37)+SUMIF(REVENDIDOS!$B$16:$B$25,$A113,REVENDIDOS!P$16:P$25)</f>
        <v>178.139434573852</v>
      </c>
      <c r="J113" s="13" t="n">
        <f aca="false">SUMIF(MANUALES!$B$16:$B$72,$A113,MANUALES!P$16:P$72)+SUMIF(RODANTES!$B$16:$B$72,$A113,RODANTES!P$16:P$72)+SUMIF(RECARGAS!$B$16:$B$37,$A113,RECARGAS!Z$16:Z$37)+SUMIF(REVENDIDOS!$B$16:$B$25,$A113,REVENDIDOS!Q$16:Q$25)</f>
        <v>345.46523127917</v>
      </c>
      <c r="K113" s="13" t="n">
        <f aca="false">SUMIF(MANUALES!$B$16:$B$72,$A113,MANUALES!Q$16:Q$72)+SUMIF(RODANTES!$B$16:$B$72,$A113,RODANTES!Q$16:Q$72)+SUMIF(RECARGAS!$B$16:$B$37,$A113,RECARGAS!AA$16:AA$37)+SUMIF(REVENDIDOS!$B$16:$B$25,$A113,REVENDIDOS!R$16:R$25)</f>
        <v>676.071030055753</v>
      </c>
      <c r="L113" s="13" t="n">
        <f aca="false">SUMIF(MANUALES!$B$16:$B$72,$A113,MANUALES!R$16:R$72)+SUMIF(RODANTES!$B$16:$B$72,$A113,RODANTES!R$16:R$72)+SUMIF(RECARGAS!$B$16:$B$37,$A113,RECARGAS!AB$16:AB$37)+SUMIF(REVENDIDOS!$B$16:$B$25,$A113,REVENDIDOS!S$16:S$25)</f>
        <v>1189.02479465029</v>
      </c>
      <c r="M113" s="13" t="n">
        <f aca="false">SUMIF(MANUALES!$B$16:$B$72,$A113,MANUALES!S$16:S$72)+SUMIF(RODANTES!$B$16:$B$72,$A113,RODANTES!S$16:S$72)+SUMIF(RECARGAS!$B$16:$B$37,$A113,RECARGAS!AC$16:AC$37)+SUMIF(REVENDIDOS!$B$16:$B$25,$A113,REVENDIDOS!T$16:T$25)</f>
        <v>1722.01675145705</v>
      </c>
      <c r="N113" s="13" t="n">
        <f aca="false">SUMIF(MANUALES!$B$16:$B$72,$A113,MANUALES!T$16:T$72)+SUMIF(RODANTES!$B$16:$B$72,$A113,RODANTES!T$16:T$72)+SUMIF(RECARGAS!$B$16:$B$37,$A113,RECARGAS!AD$16:AD$37)+SUMIF(REVENDIDOS!$B$16:$B$25,$A113,REVENDIDOS!U$16:U$25)</f>
        <v>2325.75497416121</v>
      </c>
      <c r="O113" s="13" t="n">
        <f aca="false">SUMIF(MANUALES!$B$16:$B$72,$A113,MANUALES!U$16:U$72)+SUMIF(RODANTES!$B$16:$B$72,$A113,RODANTES!U$16:U$72)+SUMIF(RECARGAS!$B$16:$B$37,$A113,RECARGAS!AE$16:AE$37)+SUMIF(REVENDIDOS!$B$16:$B$25,$A113,REVENDIDOS!V$16:V$25)</f>
        <v>2942.61759940245</v>
      </c>
      <c r="P113" s="13" t="n">
        <f aca="false">SUMIF(MANUALES!$B$16:$B$72,$A113,MANUALES!V$16:V$72)+SUMIF(RODANTES!$B$16:$B$72,$A113,RODANTES!V$16:V$72)+SUMIF(RECARGAS!$B$16:$B$37,$A113,RECARGAS!AF$16:AF$37)+SUMIF(REVENDIDOS!$B$16:$B$25,$A113,REVENDIDOS!W$16:W$25)</f>
        <v>3345.99478800518</v>
      </c>
      <c r="Q113" s="13" t="n">
        <f aca="false">SUMIF(MANUALES!$B$16:$B$72,$A113,MANUALES!W$16:W$72)+SUMIF(RODANTES!$B$16:$B$72,$A113,RODANTES!W$16:W$72)+SUMIF(RECARGAS!$B$16:$B$37,$A113,RECARGAS!AG$16:AG$37)+SUMIF(REVENDIDOS!$B$16:$B$25,$A113,REVENDIDOS!X$16:X$25)</f>
        <v>3853.87697319699</v>
      </c>
      <c r="R113" s="13" t="n">
        <f aca="false">SUMIF(MANUALES!$B$16:$B$72,$A113,MANUALES!X$16:X$72)+SUMIF(RODANTES!$B$16:$B$72,$A113,RODANTES!X$16:X$72)+SUMIF(RECARGAS!$B$16:$B$37,$A113,RECARGAS!AH$16:AH$37)+SUMIF(REVENDIDOS!$B$16:$B$25,$A113,REVENDIDOS!Y$16:Y$25)</f>
        <v>423.926467051669</v>
      </c>
    </row>
    <row r="114" customFormat="false" ht="15" hidden="false" customHeight="false" outlineLevel="0" collapsed="false">
      <c r="A114" s="3" t="s">
        <v>345</v>
      </c>
      <c r="B114" s="3" t="s">
        <v>346</v>
      </c>
      <c r="C114" s="3" t="s">
        <v>214</v>
      </c>
      <c r="D114" s="13" t="n">
        <f aca="false">SUMIF(MANUALES!$B$16:$B$72,$A114,MANUALES!W$16:W$72)</f>
        <v>285912.145233451</v>
      </c>
      <c r="E114" s="13" t="n">
        <f aca="false">SUMIF(RODANTES!$B$16:$B$72,$A114,RODANTES!W$16:W$72)</f>
        <v>0</v>
      </c>
      <c r="F114" s="13" t="n">
        <f aca="false">SUMIF(RECARGAS!$B$16:$B$37,$A114,RECARGAS!AG$16:AG$37)</f>
        <v>0</v>
      </c>
      <c r="G114" s="13" t="n">
        <f aca="false">SUMIF(REVENDIDOS!$B$16:$B$25,$A114,REVENDIDOS!X$16:X$25)</f>
        <v>0</v>
      </c>
      <c r="H114" s="13" t="n">
        <f aca="false">SUMIF(MANUALES!$B$16:$B$72,$A114,MANUALES!N$16:N$72)+SUMIF(RODANTES!$B$16:$B$72,$A114,RODANTES!N$16:N$72)+SUMIF(RECARGAS!$B$16:$B$37,$A114,RECARGAS!X$16:X$37)+SUMIF(REVENDIDOS!$B$16:$B$25,$A114,REVENDIDOS!O$16:O$25)</f>
        <v>7294.0792234398</v>
      </c>
      <c r="I114" s="13" t="n">
        <f aca="false">SUMIF(MANUALES!$B$16:$B$72,$A114,MANUALES!O$16:O$72)+SUMIF(RODANTES!$B$16:$B$72,$A114,RODANTES!O$16:O$72)+SUMIF(RECARGAS!$B$16:$B$37,$A114,RECARGAS!Y$16:Y$37)+SUMIF(REVENDIDOS!$B$16:$B$25,$A114,REVENDIDOS!P$16:P$25)</f>
        <v>12374.0814940597</v>
      </c>
      <c r="J114" s="13" t="n">
        <f aca="false">SUMIF(MANUALES!$B$16:$B$72,$A114,MANUALES!P$16:P$72)+SUMIF(RODANTES!$B$16:$B$72,$A114,RODANTES!P$16:P$72)+SUMIF(RECARGAS!$B$16:$B$37,$A114,RECARGAS!Z$16:Z$37)+SUMIF(REVENDIDOS!$B$16:$B$25,$A114,REVENDIDOS!Q$16:Q$25)</f>
        <v>24831.4665436325</v>
      </c>
      <c r="K114" s="13" t="n">
        <f aca="false">SUMIF(MANUALES!$B$16:$B$72,$A114,MANUALES!Q$16:Q$72)+SUMIF(RODANTES!$B$16:$B$72,$A114,RODANTES!Q$16:Q$72)+SUMIF(RECARGAS!$B$16:$B$37,$A114,RECARGAS!AA$16:AA$37)+SUMIF(REVENDIDOS!$B$16:$B$25,$A114,REVENDIDOS!R$16:R$25)</f>
        <v>53955.352546272</v>
      </c>
      <c r="L114" s="13" t="n">
        <f aca="false">SUMIF(MANUALES!$B$16:$B$72,$A114,MANUALES!R$16:R$72)+SUMIF(RODANTES!$B$16:$B$72,$A114,RODANTES!R$16:R$72)+SUMIF(RECARGAS!$B$16:$B$37,$A114,RECARGAS!AB$16:AB$37)+SUMIF(REVENDIDOS!$B$16:$B$25,$A114,REVENDIDOS!S$16:S$25)</f>
        <v>91585.9565655608</v>
      </c>
      <c r="M114" s="13" t="n">
        <f aca="false">SUMIF(MANUALES!$B$16:$B$72,$A114,MANUALES!S$16:S$72)+SUMIF(RODANTES!$B$16:$B$72,$A114,RODANTES!S$16:S$72)+SUMIF(RECARGAS!$B$16:$B$37,$A114,RECARGAS!AC$16:AC$37)+SUMIF(REVENDIDOS!$B$16:$B$25,$A114,REVENDIDOS!T$16:T$25)</f>
        <v>127649.600669967</v>
      </c>
      <c r="N114" s="13" t="n">
        <f aca="false">SUMIF(MANUALES!$B$16:$B$72,$A114,MANUALES!T$16:T$72)+SUMIF(RODANTES!$B$16:$B$72,$A114,RODANTES!T$16:T$72)+SUMIF(RECARGAS!$B$16:$B$37,$A114,RECARGAS!AD$16:AD$37)+SUMIF(REVENDIDOS!$B$16:$B$25,$A114,REVENDIDOS!U$16:U$25)</f>
        <v>174257.305980669</v>
      </c>
      <c r="O114" s="13" t="n">
        <f aca="false">SUMIF(MANUALES!$B$16:$B$72,$A114,MANUALES!U$16:U$72)+SUMIF(RODANTES!$B$16:$B$72,$A114,RODANTES!U$16:U$72)+SUMIF(RECARGAS!$B$16:$B$37,$A114,RECARGAS!AE$16:AE$37)+SUMIF(REVENDIDOS!$B$16:$B$25,$A114,REVENDIDOS!V$16:V$25)</f>
        <v>220588.341134076</v>
      </c>
      <c r="P114" s="13" t="n">
        <f aca="false">SUMIF(MANUALES!$B$16:$B$72,$A114,MANUALES!V$16:V$72)+SUMIF(RODANTES!$B$16:$B$72,$A114,RODANTES!V$16:V$72)+SUMIF(RECARGAS!$B$16:$B$37,$A114,RECARGAS!AF$16:AF$37)+SUMIF(REVENDIDOS!$B$16:$B$25,$A114,REVENDIDOS!W$16:W$25)</f>
        <v>247624.916891095</v>
      </c>
      <c r="Q114" s="13" t="n">
        <f aca="false">SUMIF(MANUALES!$B$16:$B$72,$A114,MANUALES!W$16:W$72)+SUMIF(RODANTES!$B$16:$B$72,$A114,RODANTES!W$16:W$72)+SUMIF(RECARGAS!$B$16:$B$37,$A114,RECARGAS!AG$16:AG$37)+SUMIF(REVENDIDOS!$B$16:$B$25,$A114,REVENDIDOS!X$16:X$25)</f>
        <v>285912.145233451</v>
      </c>
      <c r="R114" s="13" t="n">
        <f aca="false">SUMIF(MANUALES!$B$16:$B$72,$A114,MANUALES!X$16:X$72)+SUMIF(RODANTES!$B$16:$B$72,$A114,RODANTES!X$16:X$72)+SUMIF(RECARGAS!$B$16:$B$37,$A114,RECARGAS!AH$16:AH$37)+SUMIF(REVENDIDOS!$B$16:$B$25,$A114,REVENDIDOS!Y$16:Y$25)</f>
        <v>33476.5423669796</v>
      </c>
    </row>
    <row r="115" customFormat="false" ht="15" hidden="false" customHeight="false" outlineLevel="0" collapsed="false">
      <c r="A115" s="3" t="s">
        <v>348</v>
      </c>
      <c r="B115" s="3" t="s">
        <v>349</v>
      </c>
      <c r="C115" s="3" t="s">
        <v>214</v>
      </c>
      <c r="D115" s="13" t="n">
        <f aca="false">SUMIF(MANUALES!$B$16:$B$72,$A115,MANUALES!W$16:W$72)</f>
        <v>1413.33478060897</v>
      </c>
      <c r="E115" s="13" t="n">
        <f aca="false">SUMIF(RODANTES!$B$16:$B$72,$A115,RODANTES!W$16:W$72)</f>
        <v>134.916666666667</v>
      </c>
      <c r="F115" s="13" t="n">
        <f aca="false">SUMIF(RECARGAS!$B$16:$B$37,$A115,RECARGAS!AG$16:AG$37)</f>
        <v>0</v>
      </c>
      <c r="G115" s="13" t="n">
        <f aca="false">SUMIF(REVENDIDOS!$B$16:$B$25,$A115,REVENDIDOS!X$16:X$25)</f>
        <v>0</v>
      </c>
      <c r="H115" s="13" t="n">
        <f aca="false">SUMIF(MANUALES!$B$16:$B$72,$A115,MANUALES!N$16:N$72)+SUMIF(RODANTES!$B$16:$B$72,$A115,RODANTES!N$16:N$72)+SUMIF(RECARGAS!$B$16:$B$37,$A115,RECARGAS!X$16:X$37)+SUMIF(REVENDIDOS!$B$16:$B$25,$A115,REVENDIDOS!O$16:O$25)</f>
        <v>44.8337487161157</v>
      </c>
      <c r="I115" s="13" t="n">
        <f aca="false">SUMIF(MANUALES!$B$16:$B$72,$A115,MANUALES!O$16:O$72)+SUMIF(RODANTES!$B$16:$B$72,$A115,RODANTES!O$16:O$72)+SUMIF(RECARGAS!$B$16:$B$37,$A115,RECARGAS!Y$16:Y$37)+SUMIF(REVENDIDOS!$B$16:$B$25,$A115,REVENDIDOS!P$16:P$25)</f>
        <v>84.6845066918792</v>
      </c>
      <c r="J115" s="13" t="n">
        <f aca="false">SUMIF(MANUALES!$B$16:$B$72,$A115,MANUALES!P$16:P$72)+SUMIF(RODANTES!$B$16:$B$72,$A115,RODANTES!P$16:P$72)+SUMIF(RECARGAS!$B$16:$B$37,$A115,RECARGAS!Z$16:Z$37)+SUMIF(REVENDIDOS!$B$16:$B$25,$A115,REVENDIDOS!Q$16:Q$25)</f>
        <v>155.19635168342</v>
      </c>
      <c r="K115" s="13" t="n">
        <f aca="false">SUMIF(MANUALES!$B$16:$B$72,$A115,MANUALES!Q$16:Q$72)+SUMIF(RODANTES!$B$16:$B$72,$A115,RODANTES!Q$16:Q$72)+SUMIF(RECARGAS!$B$16:$B$37,$A115,RECARGAS!AA$16:AA$37)+SUMIF(REVENDIDOS!$B$16:$B$25,$A115,REVENDIDOS!R$16:R$25)</f>
        <v>314.211191279057</v>
      </c>
      <c r="L115" s="13" t="n">
        <f aca="false">SUMIF(MANUALES!$B$16:$B$72,$A115,MANUALES!R$16:R$72)+SUMIF(RODANTES!$B$16:$B$72,$A115,RODANTES!R$16:R$72)+SUMIF(RECARGAS!$B$16:$B$37,$A115,RECARGAS!AB$16:AB$37)+SUMIF(REVENDIDOS!$B$16:$B$25,$A115,REVENDIDOS!S$16:S$25)</f>
        <v>516.644025877455</v>
      </c>
      <c r="M115" s="13" t="n">
        <f aca="false">SUMIF(MANUALES!$B$16:$B$72,$A115,MANUALES!S$16:S$72)+SUMIF(RODANTES!$B$16:$B$72,$A115,RODANTES!S$16:S$72)+SUMIF(RECARGAS!$B$16:$B$37,$A115,RECARGAS!AC$16:AC$37)+SUMIF(REVENDIDOS!$B$16:$B$25,$A115,REVENDIDOS!T$16:T$25)</f>
        <v>716.192144967888</v>
      </c>
      <c r="N115" s="13" t="n">
        <f aca="false">SUMIF(MANUALES!$B$16:$B$72,$A115,MANUALES!T$16:T$72)+SUMIF(RODANTES!$B$16:$B$72,$A115,RODANTES!T$16:T$72)+SUMIF(RECARGAS!$B$16:$B$37,$A115,RECARGAS!AD$16:AD$37)+SUMIF(REVENDIDOS!$B$16:$B$25,$A115,REVENDIDOS!U$16:U$25)</f>
        <v>959.581306959706</v>
      </c>
      <c r="O115" s="13" t="n">
        <f aca="false">SUMIF(MANUALES!$B$16:$B$72,$A115,MANUALES!U$16:U$72)+SUMIF(RODANTES!$B$16:$B$72,$A115,RODANTES!U$16:U$72)+SUMIF(RECARGAS!$B$16:$B$37,$A115,RECARGAS!AE$16:AE$37)+SUMIF(REVENDIDOS!$B$16:$B$25,$A115,REVENDIDOS!V$16:V$25)</f>
        <v>1198.54603152316</v>
      </c>
      <c r="P115" s="13" t="n">
        <f aca="false">SUMIF(MANUALES!$B$16:$B$72,$A115,MANUALES!V$16:V$72)+SUMIF(RODANTES!$B$16:$B$72,$A115,RODANTES!V$16:V$72)+SUMIF(RECARGAS!$B$16:$B$37,$A115,RECARGAS!AF$16:AF$37)+SUMIF(REVENDIDOS!$B$16:$B$25,$A115,REVENDIDOS!W$16:W$25)</f>
        <v>1342.48649349158</v>
      </c>
      <c r="Q115" s="13" t="n">
        <f aca="false">SUMIF(MANUALES!$B$16:$B$72,$A115,MANUALES!W$16:W$72)+SUMIF(RODANTES!$B$16:$B$72,$A115,RODANTES!W$16:W$72)+SUMIF(RECARGAS!$B$16:$B$37,$A115,RECARGAS!AG$16:AG$37)+SUMIF(REVENDIDOS!$B$16:$B$25,$A115,REVENDIDOS!X$16:X$25)</f>
        <v>1548.25144727564</v>
      </c>
      <c r="R115" s="13" t="n">
        <f aca="false">SUMIF(MANUALES!$B$16:$B$72,$A115,MANUALES!X$16:X$72)+SUMIF(RODANTES!$B$16:$B$72,$A115,RODANTES!X$16:X$72)+SUMIF(RECARGAS!$B$16:$B$37,$A115,RECARGAS!AH$16:AH$37)+SUMIF(REVENDIDOS!$B$16:$B$25,$A115,REVENDIDOS!Y$16:Y$25)</f>
        <v>172.674841845237</v>
      </c>
    </row>
    <row r="116" customFormat="false" ht="15" hidden="false" customHeight="false" outlineLevel="0" collapsed="false">
      <c r="A116" s="3" t="s">
        <v>351</v>
      </c>
      <c r="B116" s="3" t="s">
        <v>352</v>
      </c>
      <c r="C116" s="3" t="s">
        <v>214</v>
      </c>
      <c r="D116" s="13" t="n">
        <f aca="false">SUMIF(MANUALES!$B$16:$B$72,$A116,MANUALES!W$16:W$72)</f>
        <v>1413.33478060897</v>
      </c>
      <c r="E116" s="13" t="n">
        <f aca="false">SUMIF(RODANTES!$B$16:$B$72,$A116,RODANTES!W$16:W$72)</f>
        <v>134.916666666667</v>
      </c>
      <c r="F116" s="13" t="n">
        <f aca="false">SUMIF(RECARGAS!$B$16:$B$37,$A116,RECARGAS!AG$16:AG$37)</f>
        <v>0</v>
      </c>
      <c r="G116" s="13" t="n">
        <f aca="false">SUMIF(REVENDIDOS!$B$16:$B$25,$A116,REVENDIDOS!X$16:X$25)</f>
        <v>0</v>
      </c>
      <c r="H116" s="13" t="n">
        <f aca="false">SUMIF(MANUALES!$B$16:$B$72,$A116,MANUALES!N$16:N$72)+SUMIF(RODANTES!$B$16:$B$72,$A116,RODANTES!N$16:N$72)+SUMIF(RECARGAS!$B$16:$B$37,$A116,RECARGAS!X$16:X$37)+SUMIF(REVENDIDOS!$B$16:$B$25,$A116,REVENDIDOS!O$16:O$25)</f>
        <v>44.8337487161157</v>
      </c>
      <c r="I116" s="13" t="n">
        <f aca="false">SUMIF(MANUALES!$B$16:$B$72,$A116,MANUALES!O$16:O$72)+SUMIF(RODANTES!$B$16:$B$72,$A116,RODANTES!O$16:O$72)+SUMIF(RECARGAS!$B$16:$B$37,$A116,RECARGAS!Y$16:Y$37)+SUMIF(REVENDIDOS!$B$16:$B$25,$A116,REVENDIDOS!P$16:P$25)</f>
        <v>84.6845066918792</v>
      </c>
      <c r="J116" s="13" t="n">
        <f aca="false">SUMIF(MANUALES!$B$16:$B$72,$A116,MANUALES!P$16:P$72)+SUMIF(RODANTES!$B$16:$B$72,$A116,RODANTES!P$16:P$72)+SUMIF(RECARGAS!$B$16:$B$37,$A116,RECARGAS!Z$16:Z$37)+SUMIF(REVENDIDOS!$B$16:$B$25,$A116,REVENDIDOS!Q$16:Q$25)</f>
        <v>155.19635168342</v>
      </c>
      <c r="K116" s="13" t="n">
        <f aca="false">SUMIF(MANUALES!$B$16:$B$72,$A116,MANUALES!Q$16:Q$72)+SUMIF(RODANTES!$B$16:$B$72,$A116,RODANTES!Q$16:Q$72)+SUMIF(RECARGAS!$B$16:$B$37,$A116,RECARGAS!AA$16:AA$37)+SUMIF(REVENDIDOS!$B$16:$B$25,$A116,REVENDIDOS!R$16:R$25)</f>
        <v>314.211191279057</v>
      </c>
      <c r="L116" s="13" t="n">
        <f aca="false">SUMIF(MANUALES!$B$16:$B$72,$A116,MANUALES!R$16:R$72)+SUMIF(RODANTES!$B$16:$B$72,$A116,RODANTES!R$16:R$72)+SUMIF(RECARGAS!$B$16:$B$37,$A116,RECARGAS!AB$16:AB$37)+SUMIF(REVENDIDOS!$B$16:$B$25,$A116,REVENDIDOS!S$16:S$25)</f>
        <v>516.644025877455</v>
      </c>
      <c r="M116" s="13" t="n">
        <f aca="false">SUMIF(MANUALES!$B$16:$B$72,$A116,MANUALES!S$16:S$72)+SUMIF(RODANTES!$B$16:$B$72,$A116,RODANTES!S$16:S$72)+SUMIF(RECARGAS!$B$16:$B$37,$A116,RECARGAS!AC$16:AC$37)+SUMIF(REVENDIDOS!$B$16:$B$25,$A116,REVENDIDOS!T$16:T$25)</f>
        <v>716.192144967888</v>
      </c>
      <c r="N116" s="13" t="n">
        <f aca="false">SUMIF(MANUALES!$B$16:$B$72,$A116,MANUALES!T$16:T$72)+SUMIF(RODANTES!$B$16:$B$72,$A116,RODANTES!T$16:T$72)+SUMIF(RECARGAS!$B$16:$B$37,$A116,RECARGAS!AD$16:AD$37)+SUMIF(REVENDIDOS!$B$16:$B$25,$A116,REVENDIDOS!U$16:U$25)</f>
        <v>959.581306959706</v>
      </c>
      <c r="O116" s="13" t="n">
        <f aca="false">SUMIF(MANUALES!$B$16:$B$72,$A116,MANUALES!U$16:U$72)+SUMIF(RODANTES!$B$16:$B$72,$A116,RODANTES!U$16:U$72)+SUMIF(RECARGAS!$B$16:$B$37,$A116,RECARGAS!AE$16:AE$37)+SUMIF(REVENDIDOS!$B$16:$B$25,$A116,REVENDIDOS!V$16:V$25)</f>
        <v>1198.54603152316</v>
      </c>
      <c r="P116" s="13" t="n">
        <f aca="false">SUMIF(MANUALES!$B$16:$B$72,$A116,MANUALES!V$16:V$72)+SUMIF(RODANTES!$B$16:$B$72,$A116,RODANTES!V$16:V$72)+SUMIF(RECARGAS!$B$16:$B$37,$A116,RECARGAS!AF$16:AF$37)+SUMIF(REVENDIDOS!$B$16:$B$25,$A116,REVENDIDOS!W$16:W$25)</f>
        <v>1342.48649349158</v>
      </c>
      <c r="Q116" s="13" t="n">
        <f aca="false">SUMIF(MANUALES!$B$16:$B$72,$A116,MANUALES!W$16:W$72)+SUMIF(RODANTES!$B$16:$B$72,$A116,RODANTES!W$16:W$72)+SUMIF(RECARGAS!$B$16:$B$37,$A116,RECARGAS!AG$16:AG$37)+SUMIF(REVENDIDOS!$B$16:$B$25,$A116,REVENDIDOS!X$16:X$25)</f>
        <v>1548.25144727564</v>
      </c>
      <c r="R116" s="13" t="n">
        <f aca="false">SUMIF(MANUALES!$B$16:$B$72,$A116,MANUALES!X$16:X$72)+SUMIF(RODANTES!$B$16:$B$72,$A116,RODANTES!X$16:X$72)+SUMIF(RECARGAS!$B$16:$B$37,$A116,RECARGAS!AH$16:AH$37)+SUMIF(REVENDIDOS!$B$16:$B$25,$A116,REVENDIDOS!Y$16:Y$25)</f>
        <v>172.674841845237</v>
      </c>
    </row>
    <row r="117" customFormat="false" ht="15" hidden="false" customHeight="false" outlineLevel="0" collapsed="false">
      <c r="A117" s="3" t="s">
        <v>415</v>
      </c>
      <c r="B117" s="3" t="s">
        <v>416</v>
      </c>
      <c r="C117" s="3" t="s">
        <v>214</v>
      </c>
      <c r="D117" s="13" t="n">
        <f aca="false">SUMIF(MANUALES!$B$16:$B$72,$A117,MANUALES!W$16:W$72)</f>
        <v>0</v>
      </c>
      <c r="E117" s="13" t="n">
        <f aca="false">SUMIF(RODANTES!$B$16:$B$72,$A117,RODANTES!W$16:W$72)</f>
        <v>775.2705332</v>
      </c>
      <c r="F117" s="13" t="n">
        <f aca="false">SUMIF(RECARGAS!$B$16:$B$37,$A117,RECARGAS!AG$16:AG$37)</f>
        <v>0</v>
      </c>
      <c r="G117" s="13" t="n">
        <f aca="false">SUMIF(REVENDIDOS!$B$16:$B$25,$A117,REVENDIDOS!X$16:X$25)</f>
        <v>0</v>
      </c>
      <c r="H117" s="13" t="n">
        <f aca="false">SUMIF(MANUALES!$B$16:$B$72,$A117,MANUALES!N$16:N$72)+SUMIF(RODANTES!$B$16:$B$72,$A117,RODANTES!N$16:N$72)+SUMIF(RECARGAS!$B$16:$B$37,$A117,RECARGAS!X$16:X$37)+SUMIF(REVENDIDOS!$B$16:$B$25,$A117,REVENDIDOS!O$16:O$25)</f>
        <v>34.05179136</v>
      </c>
      <c r="I117" s="13" t="n">
        <f aca="false">SUMIF(MANUALES!$B$16:$B$72,$A117,MANUALES!O$16:O$72)+SUMIF(RODANTES!$B$16:$B$72,$A117,RODANTES!O$16:O$72)+SUMIF(RECARGAS!$B$16:$B$37,$A117,RECARGAS!Y$16:Y$37)+SUMIF(REVENDIDOS!$B$16:$B$25,$A117,REVENDIDOS!P$16:P$25)</f>
        <v>58.46214745</v>
      </c>
      <c r="J117" s="13" t="n">
        <f aca="false">SUMIF(MANUALES!$B$16:$B$72,$A117,MANUALES!P$16:P$72)+SUMIF(RODANTES!$B$16:$B$72,$A117,RODANTES!P$16:P$72)+SUMIF(RECARGAS!$B$16:$B$37,$A117,RECARGAS!Z$16:Z$37)+SUMIF(REVENDIDOS!$B$16:$B$25,$A117,REVENDIDOS!Q$16:Q$25)</f>
        <v>89.60853998</v>
      </c>
      <c r="K117" s="13" t="n">
        <f aca="false">SUMIF(MANUALES!$B$16:$B$72,$A117,MANUALES!Q$16:Q$72)+SUMIF(RODANTES!$B$16:$B$72,$A117,RODANTES!Q$16:Q$72)+SUMIF(RECARGAS!$B$16:$B$37,$A117,RECARGAS!AA$16:AA$37)+SUMIF(REVENDIDOS!$B$16:$B$25,$A117,REVENDIDOS!R$16:R$25)</f>
        <v>150.7298529</v>
      </c>
      <c r="L117" s="13" t="n">
        <f aca="false">SUMIF(MANUALES!$B$16:$B$72,$A117,MANUALES!R$16:R$72)+SUMIF(RODANTES!$B$16:$B$72,$A117,RODANTES!R$16:R$72)+SUMIF(RECARGAS!$B$16:$B$37,$A117,RECARGAS!AB$16:AB$37)+SUMIF(REVENDIDOS!$B$16:$B$25,$A117,REVENDIDOS!S$16:S$25)</f>
        <v>248.8760035</v>
      </c>
      <c r="M117" s="13" t="n">
        <f aca="false">SUMIF(MANUALES!$B$16:$B$72,$A117,MANUALES!S$16:S$72)+SUMIF(RODANTES!$B$16:$B$72,$A117,RODANTES!S$16:S$72)+SUMIF(RECARGAS!$B$16:$B$37,$A117,RECARGAS!AC$16:AC$37)+SUMIF(REVENDIDOS!$B$16:$B$25,$A117,REVENDIDOS!T$16:T$25)</f>
        <v>346.9344827</v>
      </c>
      <c r="N117" s="13" t="n">
        <f aca="false">SUMIF(MANUALES!$B$16:$B$72,$A117,MANUALES!T$16:T$72)+SUMIF(RODANTES!$B$16:$B$72,$A117,RODANTES!T$16:T$72)+SUMIF(RECARGAS!$B$16:$B$37,$A117,RECARGAS!AD$16:AD$37)+SUMIF(REVENDIDOS!$B$16:$B$25,$A117,REVENDIDOS!U$16:U$25)</f>
        <v>463.6682332</v>
      </c>
      <c r="O117" s="13" t="n">
        <f aca="false">SUMIF(MANUALES!$B$16:$B$72,$A117,MANUALES!U$16:U$72)+SUMIF(RODANTES!$B$16:$B$72,$A117,RODANTES!U$16:U$72)+SUMIF(RECARGAS!$B$16:$B$37,$A117,RECARGAS!AE$16:AE$37)+SUMIF(REVENDIDOS!$B$16:$B$25,$A117,REVENDIDOS!V$16:V$25)</f>
        <v>584.8486707</v>
      </c>
      <c r="P117" s="13" t="n">
        <f aca="false">SUMIF(MANUALES!$B$16:$B$72,$A117,MANUALES!V$16:V$72)+SUMIF(RODANTES!$B$16:$B$72,$A117,RODANTES!V$16:V$72)+SUMIF(RECARGAS!$B$16:$B$37,$A117,RECARGAS!AF$16:AF$37)+SUMIF(REVENDIDOS!$B$16:$B$25,$A117,REVENDIDOS!W$16:W$25)</f>
        <v>670.6274156</v>
      </c>
      <c r="Q117" s="13" t="n">
        <f aca="false">SUMIF(MANUALES!$B$16:$B$72,$A117,MANUALES!W$16:W$72)+SUMIF(RODANTES!$B$16:$B$72,$A117,RODANTES!W$16:W$72)+SUMIF(RECARGAS!$B$16:$B$37,$A117,RECARGAS!AG$16:AG$37)+SUMIF(REVENDIDOS!$B$16:$B$25,$A117,REVENDIDOS!X$16:X$25)</f>
        <v>775.2705332</v>
      </c>
      <c r="R117" s="13" t="n">
        <f aca="false">SUMIF(MANUALES!$B$16:$B$72,$A117,MANUALES!X$16:X$72)+SUMIF(RODANTES!$B$16:$B$72,$A117,RODANTES!X$16:X$72)+SUMIF(RECARGAS!$B$16:$B$37,$A117,RECARGAS!AH$16:AH$37)+SUMIF(REVENDIDOS!$B$16:$B$25,$A117,REVENDIDOS!Y$16:Y$25)</f>
        <v>69.774347988</v>
      </c>
    </row>
    <row r="118" customFormat="false" ht="15" hidden="false" customHeight="false" outlineLevel="0" collapsed="false">
      <c r="A118" s="3" t="s">
        <v>418</v>
      </c>
      <c r="B118" s="3" t="s">
        <v>419</v>
      </c>
      <c r="C118" s="3" t="s">
        <v>214</v>
      </c>
      <c r="D118" s="13" t="n">
        <f aca="false">SUMIF(MANUALES!$B$16:$B$72,$A118,MANUALES!W$16:W$72)</f>
        <v>0</v>
      </c>
      <c r="E118" s="13" t="n">
        <f aca="false">SUMIF(RODANTES!$B$16:$B$72,$A118,RODANTES!W$16:W$72)</f>
        <v>1706.2599828204</v>
      </c>
      <c r="F118" s="13" t="n">
        <f aca="false">SUMIF(RECARGAS!$B$16:$B$37,$A118,RECARGAS!AG$16:AG$37)</f>
        <v>0</v>
      </c>
      <c r="G118" s="13" t="n">
        <f aca="false">SUMIF(REVENDIDOS!$B$16:$B$25,$A118,REVENDIDOS!X$16:X$25)</f>
        <v>0</v>
      </c>
      <c r="H118" s="13" t="n">
        <f aca="false">SUMIF(MANUALES!$B$16:$B$72,$A118,MANUALES!N$16:N$72)+SUMIF(RODANTES!$B$16:$B$72,$A118,RODANTES!N$16:N$72)+SUMIF(RECARGAS!$B$16:$B$37,$A118,RECARGAS!X$16:X$37)+SUMIF(REVENDIDOS!$B$16:$B$25,$A118,REVENDIDOS!O$16:O$25)</f>
        <v>75.2017274109201</v>
      </c>
      <c r="I118" s="13" t="n">
        <f aca="false">SUMIF(MANUALES!$B$16:$B$72,$A118,MANUALES!O$16:O$72)+SUMIF(RODANTES!$B$16:$B$72,$A118,RODANTES!O$16:O$72)+SUMIF(RECARGAS!$B$16:$B$37,$A118,RECARGAS!Y$16:Y$37)+SUMIF(REVENDIDOS!$B$16:$B$25,$A118,REVENDIDOS!P$16:P$25)</f>
        <v>129.206686542386</v>
      </c>
      <c r="J118" s="13" t="n">
        <f aca="false">SUMIF(MANUALES!$B$16:$B$72,$A118,MANUALES!P$16:P$72)+SUMIF(RODANTES!$B$16:$B$72,$A118,RODANTES!P$16:P$72)+SUMIF(RECARGAS!$B$16:$B$37,$A118,RECARGAS!Z$16:Z$37)+SUMIF(REVENDIDOS!$B$16:$B$25,$A118,REVENDIDOS!Q$16:Q$25)</f>
        <v>198.453101605318</v>
      </c>
      <c r="K118" s="13" t="n">
        <f aca="false">SUMIF(MANUALES!$B$16:$B$72,$A118,MANUALES!Q$16:Q$72)+SUMIF(RODANTES!$B$16:$B$72,$A118,RODANTES!Q$16:Q$72)+SUMIF(RECARGAS!$B$16:$B$37,$A118,RECARGAS!AA$16:AA$37)+SUMIF(REVENDIDOS!$B$16:$B$25,$A118,REVENDIDOS!R$16:R$25)</f>
        <v>333.505333798422</v>
      </c>
      <c r="L118" s="13" t="n">
        <f aca="false">SUMIF(MANUALES!$B$16:$B$72,$A118,MANUALES!R$16:R$72)+SUMIF(RODANTES!$B$16:$B$72,$A118,RODANTES!R$16:R$72)+SUMIF(RECARGAS!$B$16:$B$37,$A118,RECARGAS!AB$16:AB$37)+SUMIF(REVENDIDOS!$B$16:$B$25,$A118,REVENDIDOS!S$16:S$25)</f>
        <v>549.738811601152</v>
      </c>
      <c r="M118" s="13" t="n">
        <f aca="false">SUMIF(MANUALES!$B$16:$B$72,$A118,MANUALES!S$16:S$72)+SUMIF(RODANTES!$B$16:$B$72,$A118,RODANTES!S$16:S$72)+SUMIF(RECARGAS!$B$16:$B$37,$A118,RECARGAS!AC$16:AC$37)+SUMIF(REVENDIDOS!$B$16:$B$25,$A118,REVENDIDOS!T$16:T$25)</f>
        <v>765.827198914803</v>
      </c>
      <c r="N118" s="13" t="n">
        <f aca="false">SUMIF(MANUALES!$B$16:$B$72,$A118,MANUALES!T$16:T$72)+SUMIF(RODANTES!$B$16:$B$72,$A118,RODANTES!T$16:T$72)+SUMIF(RECARGAS!$B$16:$B$37,$A118,RECARGAS!AD$16:AD$37)+SUMIF(REVENDIDOS!$B$16:$B$25,$A118,REVENDIDOS!U$16:U$25)</f>
        <v>1022.43999932716</v>
      </c>
      <c r="O118" s="13" t="n">
        <f aca="false">SUMIF(MANUALES!$B$16:$B$72,$A118,MANUALES!U$16:U$72)+SUMIF(RODANTES!$B$16:$B$72,$A118,RODANTES!U$16:U$72)+SUMIF(RECARGAS!$B$16:$B$37,$A118,RECARGAS!AE$16:AE$37)+SUMIF(REVENDIDOS!$B$16:$B$25,$A118,REVENDIDOS!V$16:V$25)</f>
        <v>1288.53333580805</v>
      </c>
      <c r="P118" s="13" t="n">
        <f aca="false">SUMIF(MANUALES!$B$16:$B$72,$A118,MANUALES!V$16:V$72)+SUMIF(RODANTES!$B$16:$B$72,$A118,RODANTES!V$16:V$72)+SUMIF(RECARGAS!$B$16:$B$37,$A118,RECARGAS!AF$16:AF$37)+SUMIF(REVENDIDOS!$B$16:$B$25,$A118,REVENDIDOS!W$16:W$25)</f>
        <v>1476.88974246969</v>
      </c>
      <c r="Q118" s="13" t="n">
        <f aca="false">SUMIF(MANUALES!$B$16:$B$72,$A118,MANUALES!W$16:W$72)+SUMIF(RODANTES!$B$16:$B$72,$A118,RODANTES!W$16:W$72)+SUMIF(RECARGAS!$B$16:$B$37,$A118,RECARGAS!AG$16:AG$37)+SUMIF(REVENDIDOS!$B$16:$B$25,$A118,REVENDIDOS!X$16:X$25)</f>
        <v>1706.2599828204</v>
      </c>
      <c r="R118" s="13" t="n">
        <f aca="false">SUMIF(MANUALES!$B$16:$B$72,$A118,MANUALES!X$16:X$72)+SUMIF(RODANTES!$B$16:$B$72,$A118,RODANTES!X$16:X$72)+SUMIF(RECARGAS!$B$16:$B$37,$A118,RECARGAS!AH$16:AH$37)+SUMIF(REVENDIDOS!$B$16:$B$25,$A118,REVENDIDOS!Y$16:Y$25)</f>
        <v>153.563398453836</v>
      </c>
    </row>
    <row r="119" customFormat="false" ht="15" hidden="false" customHeight="false" outlineLevel="0" collapsed="false">
      <c r="A119" s="3" t="s">
        <v>421</v>
      </c>
      <c r="B119" s="3" t="s">
        <v>422</v>
      </c>
      <c r="C119" s="3" t="s">
        <v>214</v>
      </c>
      <c r="D119" s="13" t="n">
        <f aca="false">SUMIF(MANUALES!$B$16:$B$72,$A119,MANUALES!W$16:W$72)</f>
        <v>0</v>
      </c>
      <c r="E119" s="13" t="n">
        <f aca="false">SUMIF(RODANTES!$B$16:$B$72,$A119,RODANTES!W$16:W$72)</f>
        <v>372.569856</v>
      </c>
      <c r="F119" s="13" t="n">
        <f aca="false">SUMIF(RECARGAS!$B$16:$B$37,$A119,RECARGAS!AG$16:AG$37)</f>
        <v>0</v>
      </c>
      <c r="G119" s="13" t="n">
        <f aca="false">SUMIF(REVENDIDOS!$B$16:$B$25,$A119,REVENDIDOS!X$16:X$25)</f>
        <v>0</v>
      </c>
      <c r="H119" s="13" t="n">
        <f aca="false">SUMIF(MANUALES!$B$16:$B$72,$A119,MANUALES!N$16:N$72)+SUMIF(RODANTES!$B$16:$B$72,$A119,RODANTES!N$16:N$72)+SUMIF(RECARGAS!$B$16:$B$37,$A119,RECARGAS!X$16:X$37)+SUMIF(REVENDIDOS!$B$16:$B$25,$A119,REVENDIDOS!O$16:O$25)</f>
        <v>16.34485985</v>
      </c>
      <c r="I119" s="13" t="n">
        <f aca="false">SUMIF(MANUALES!$B$16:$B$72,$A119,MANUALES!O$16:O$72)+SUMIF(RODANTES!$B$16:$B$72,$A119,RODANTES!O$16:O$72)+SUMIF(RECARGAS!$B$16:$B$37,$A119,RECARGAS!Y$16:Y$37)+SUMIF(REVENDIDOS!$B$16:$B$25,$A119,REVENDIDOS!P$16:P$25)</f>
        <v>28.06183078</v>
      </c>
      <c r="J119" s="13" t="n">
        <f aca="false">SUMIF(MANUALES!$B$16:$B$72,$A119,MANUALES!P$16:P$72)+SUMIF(RODANTES!$B$16:$B$72,$A119,RODANTES!P$16:P$72)+SUMIF(RECARGAS!$B$16:$B$37,$A119,RECARGAS!Z$16:Z$37)+SUMIF(REVENDIDOS!$B$16:$B$25,$A119,REVENDIDOS!Q$16:Q$25)</f>
        <v>43.10009919</v>
      </c>
      <c r="K119" s="13" t="n">
        <f aca="false">SUMIF(MANUALES!$B$16:$B$72,$A119,MANUALES!Q$16:Q$72)+SUMIF(RODANTES!$B$16:$B$72,$A119,RODANTES!Q$16:Q$72)+SUMIF(RECARGAS!$B$16:$B$37,$A119,RECARGAS!AA$16:AA$37)+SUMIF(REVENDIDOS!$B$16:$B$25,$A119,REVENDIDOS!R$16:R$25)</f>
        <v>72.65432941</v>
      </c>
      <c r="L119" s="13" t="n">
        <f aca="false">SUMIF(MANUALES!$B$16:$B$72,$A119,MANUALES!R$16:R$72)+SUMIF(RODANTES!$B$16:$B$72,$A119,RODANTES!R$16:R$72)+SUMIF(RECARGAS!$B$16:$B$37,$A119,RECARGAS!AB$16:AB$37)+SUMIF(REVENDIDOS!$B$16:$B$25,$A119,REVENDIDOS!S$16:S$25)</f>
        <v>120.02048167</v>
      </c>
      <c r="M119" s="13" t="n">
        <f aca="false">SUMIF(MANUALES!$B$16:$B$72,$A119,MANUALES!S$16:S$72)+SUMIF(RODANTES!$B$16:$B$72,$A119,RODANTES!S$16:S$72)+SUMIF(RECARGAS!$B$16:$B$37,$A119,RECARGAS!AC$16:AC$37)+SUMIF(REVENDIDOS!$B$16:$B$25,$A119,REVENDIDOS!T$16:T$25)</f>
        <v>167.1285517</v>
      </c>
      <c r="N119" s="13" t="n">
        <f aca="false">SUMIF(MANUALES!$B$16:$B$72,$A119,MANUALES!T$16:T$72)+SUMIF(RODANTES!$B$16:$B$72,$A119,RODANTES!T$16:T$72)+SUMIF(RECARGAS!$B$16:$B$37,$A119,RECARGAS!AD$16:AD$37)+SUMIF(REVENDIDOS!$B$16:$B$25,$A119,REVENDIDOS!U$16:U$25)</f>
        <v>223.0807519</v>
      </c>
      <c r="O119" s="13" t="n">
        <f aca="false">SUMIF(MANUALES!$B$16:$B$72,$A119,MANUALES!U$16:U$72)+SUMIF(RODANTES!$B$16:$B$72,$A119,RODANTES!U$16:U$72)+SUMIF(RECARGAS!$B$16:$B$37,$A119,RECARGAS!AE$16:AE$37)+SUMIF(REVENDIDOS!$B$16:$B$25,$A119,REVENDIDOS!V$16:V$25)</f>
        <v>281.1673619</v>
      </c>
      <c r="P119" s="13" t="n">
        <f aca="false">SUMIF(MANUALES!$B$16:$B$72,$A119,MANUALES!V$16:V$72)+SUMIF(RODANTES!$B$16:$B$72,$A119,RODANTES!V$16:V$72)+SUMIF(RECARGAS!$B$16:$B$37,$A119,RECARGAS!AF$16:AF$37)+SUMIF(REVENDIDOS!$B$16:$B$25,$A119,REVENDIDOS!W$16:W$25)</f>
        <v>322.3411595</v>
      </c>
      <c r="Q119" s="13" t="n">
        <f aca="false">SUMIF(MANUALES!$B$16:$B$72,$A119,MANUALES!W$16:W$72)+SUMIF(RODANTES!$B$16:$B$72,$A119,RODANTES!W$16:W$72)+SUMIF(RECARGAS!$B$16:$B$37,$A119,RECARGAS!AG$16:AG$37)+SUMIF(REVENDIDOS!$B$16:$B$25,$A119,REVENDIDOS!X$16:X$25)</f>
        <v>372.569856</v>
      </c>
      <c r="R119" s="13" t="n">
        <f aca="false">SUMIF(MANUALES!$B$16:$B$72,$A119,MANUALES!X$16:X$72)+SUMIF(RODANTES!$B$16:$B$72,$A119,RODANTES!X$16:X$72)+SUMIF(RECARGAS!$B$16:$B$37,$A119,RECARGAS!AH$16:AH$37)+SUMIF(REVENDIDOS!$B$16:$B$25,$A119,REVENDIDOS!Y$16:Y$25)</f>
        <v>33.53128704</v>
      </c>
    </row>
    <row r="120" customFormat="false" ht="15" hidden="false" customHeight="false" outlineLevel="0" collapsed="false">
      <c r="A120" s="3" t="s">
        <v>424</v>
      </c>
      <c r="B120" s="3" t="s">
        <v>425</v>
      </c>
      <c r="C120" s="3" t="s">
        <v>214</v>
      </c>
      <c r="D120" s="13" t="n">
        <f aca="false">SUMIF(MANUALES!$B$16:$B$72,$A120,MANUALES!W$16:W$72)</f>
        <v>0</v>
      </c>
      <c r="E120" s="13" t="n">
        <f aca="false">SUMIF(RODANTES!$B$16:$B$72,$A120,RODANTES!W$16:W$72)</f>
        <v>247.176074484914</v>
      </c>
      <c r="F120" s="13" t="n">
        <f aca="false">SUMIF(RECARGAS!$B$16:$B$37,$A120,RECARGAS!AG$16:AG$37)</f>
        <v>0</v>
      </c>
      <c r="G120" s="13" t="n">
        <f aca="false">SUMIF(REVENDIDOS!$B$16:$B$25,$A120,REVENDIDOS!X$16:X$25)</f>
        <v>0</v>
      </c>
      <c r="H120" s="13" t="n">
        <f aca="false">SUMIF(MANUALES!$B$16:$B$72,$A120,MANUALES!N$16:N$72)+SUMIF(RODANTES!$B$16:$B$72,$A120,RODANTES!N$16:N$72)+SUMIF(RECARGAS!$B$16:$B$37,$A120,RECARGAS!X$16:X$37)+SUMIF(REVENDIDOS!$B$16:$B$25,$A120,REVENDIDOS!O$16:O$25)</f>
        <v>11.1843596509201</v>
      </c>
      <c r="I120" s="13" t="n">
        <f aca="false">SUMIF(MANUALES!$B$16:$B$72,$A120,MANUALES!O$16:O$72)+SUMIF(RODANTES!$B$16:$B$72,$A120,RODANTES!O$16:O$72)+SUMIF(RECARGAS!$B$16:$B$37,$A120,RECARGAS!Y$16:Y$37)+SUMIF(REVENDIDOS!$B$16:$B$25,$A120,REVENDIDOS!P$16:P$25)</f>
        <v>18.722276510546</v>
      </c>
      <c r="J120" s="13" t="n">
        <f aca="false">SUMIF(MANUALES!$B$16:$B$72,$A120,MANUALES!P$16:P$72)+SUMIF(RODANTES!$B$16:$B$72,$A120,RODANTES!P$16:P$72)+SUMIF(RECARGAS!$B$16:$B$37,$A120,RECARGAS!Z$16:Z$37)+SUMIF(REVENDIDOS!$B$16:$B$25,$A120,REVENDIDOS!Q$16:Q$25)</f>
        <v>28.9689085214661</v>
      </c>
      <c r="K120" s="13" t="n">
        <f aca="false">SUMIF(MANUALES!$B$16:$B$72,$A120,MANUALES!Q$16:Q$72)+SUMIF(RODANTES!$B$16:$B$72,$A120,RODANTES!Q$16:Q$72)+SUMIF(RECARGAS!$B$16:$B$37,$A120,RECARGAS!AA$16:AA$37)+SUMIF(REVENDIDOS!$B$16:$B$25,$A120,REVENDIDOS!R$16:R$25)</f>
        <v>48.4861179920121</v>
      </c>
      <c r="L120" s="13" t="n">
        <f aca="false">SUMIF(MANUALES!$B$16:$B$72,$A120,MANUALES!R$16:R$72)+SUMIF(RODANTES!$B$16:$B$72,$A120,RODANTES!R$16:R$72)+SUMIF(RECARGAS!$B$16:$B$37,$A120,RECARGAS!AB$16:AB$37)+SUMIF(REVENDIDOS!$B$16:$B$25,$A120,REVENDIDOS!S$16:S$25)</f>
        <v>80.0990619034781</v>
      </c>
      <c r="M120" s="13" t="n">
        <f aca="false">SUMIF(MANUALES!$B$16:$B$72,$A120,MANUALES!S$16:S$72)+SUMIF(RODANTES!$B$16:$B$72,$A120,RODANTES!S$16:S$72)+SUMIF(RECARGAS!$B$16:$B$37,$A120,RECARGAS!AC$16:AC$37)+SUMIF(REVENDIDOS!$B$16:$B$25,$A120,REVENDIDOS!T$16:T$25)</f>
        <v>110.97876748365</v>
      </c>
      <c r="N120" s="13" t="n">
        <f aca="false">SUMIF(MANUALES!$B$16:$B$72,$A120,MANUALES!T$16:T$72)+SUMIF(RODANTES!$B$16:$B$72,$A120,RODANTES!T$16:T$72)+SUMIF(RECARGAS!$B$16:$B$37,$A120,RECARGAS!AD$16:AD$37)+SUMIF(REVENDIDOS!$B$16:$B$25,$A120,REVENDIDOS!U$16:U$25)</f>
        <v>148.027956944196</v>
      </c>
      <c r="O120" s="13" t="n">
        <f aca="false">SUMIF(MANUALES!$B$16:$B$72,$A120,MANUALES!U$16:U$72)+SUMIF(RODANTES!$B$16:$B$72,$A120,RODANTES!U$16:U$72)+SUMIF(RECARGAS!$B$16:$B$37,$A120,RECARGAS!AE$16:AE$37)+SUMIF(REVENDIDOS!$B$16:$B$25,$A120,REVENDIDOS!V$16:V$25)</f>
        <v>186.500086254742</v>
      </c>
      <c r="P120" s="13" t="n">
        <f aca="false">SUMIF(MANUALES!$B$16:$B$72,$A120,MANUALES!V$16:V$72)+SUMIF(RODANTES!$B$16:$B$72,$A120,RODANTES!V$16:V$72)+SUMIF(RECARGAS!$B$16:$B$37,$A120,RECARGAS!AF$16:AF$37)+SUMIF(REVENDIDOS!$B$16:$B$25,$A120,REVENDIDOS!W$16:W$25)</f>
        <v>213.963673975288</v>
      </c>
      <c r="Q120" s="13" t="n">
        <f aca="false">SUMIF(MANUALES!$B$16:$B$72,$A120,MANUALES!W$16:W$72)+SUMIF(RODANTES!$B$16:$B$72,$A120,RODANTES!W$16:W$72)+SUMIF(RECARGAS!$B$16:$B$37,$A120,RECARGAS!AG$16:AG$37)+SUMIF(REVENDIDOS!$B$16:$B$25,$A120,REVENDIDOS!X$16:X$25)</f>
        <v>247.176074484914</v>
      </c>
      <c r="R120" s="13" t="n">
        <f aca="false">SUMIF(MANUALES!$B$16:$B$72,$A120,MANUALES!X$16:X$72)+SUMIF(RODANTES!$B$16:$B$72,$A120,RODANTES!X$16:X$72)+SUMIF(RECARGAS!$B$16:$B$37,$A120,RECARGAS!AH$16:AH$37)+SUMIF(REVENDIDOS!$B$16:$B$25,$A120,REVENDIDOS!Y$16:Y$25)</f>
        <v>22.2458467036423</v>
      </c>
    </row>
    <row r="121" customFormat="false" ht="15" hidden="false" customHeight="false" outlineLevel="0" collapsed="false">
      <c r="A121" s="3" t="s">
        <v>575</v>
      </c>
      <c r="B121" s="3" t="s">
        <v>576</v>
      </c>
      <c r="C121" s="3" t="s">
        <v>214</v>
      </c>
      <c r="D121" s="13" t="n">
        <f aca="false">SUMIF(MANUALES!$B$16:$B$72,$A121,MANUALES!W$16:W$72)</f>
        <v>0</v>
      </c>
      <c r="E121" s="13" t="n">
        <f aca="false">SUMIF(RODANTES!$B$16:$B$72,$A121,RODANTES!W$16:W$72)</f>
        <v>0</v>
      </c>
      <c r="F121" s="13" t="n">
        <f aca="false">SUMIF(RECARGAS!$B$16:$B$37,$A121,RECARGAS!AG$16:AG$37)</f>
        <v>0</v>
      </c>
      <c r="G121" s="13" t="n">
        <f aca="false">SUMIF(REVENDIDOS!$B$16:$B$25,$A121,REVENDIDOS!X$16:X$25)</f>
        <v>2908.13500312285</v>
      </c>
      <c r="H121" s="13" t="n">
        <f aca="false">SUMIF(MANUALES!$B$16:$B$72,$A121,MANUALES!N$16:N$72)+SUMIF(RODANTES!$B$16:$B$72,$A121,RODANTES!N$16:N$72)+SUMIF(RECARGAS!$B$16:$B$37,$A121,RECARGAS!X$16:X$37)+SUMIF(REVENDIDOS!$B$16:$B$25,$A121,REVENDIDOS!O$16:O$25)</f>
        <v>176.18353212184</v>
      </c>
      <c r="I121" s="13" t="n">
        <f aca="false">SUMIF(MANUALES!$B$16:$B$72,$A121,MANUALES!O$16:O$72)+SUMIF(RODANTES!$B$16:$B$72,$A121,RODANTES!O$16:O$72)+SUMIF(RECARGAS!$B$16:$B$37,$A121,RECARGAS!Y$16:Y$37)+SUMIF(REVENDIDOS!$B$16:$B$25,$A121,REVENDIDOS!P$16:P$25)</f>
        <v>321.858322195692</v>
      </c>
      <c r="J121" s="13" t="n">
        <f aca="false">SUMIF(MANUALES!$B$16:$B$72,$A121,MANUALES!P$16:P$72)+SUMIF(RODANTES!$B$16:$B$72,$A121,RODANTES!P$16:P$72)+SUMIF(RECARGAS!$B$16:$B$37,$A121,RECARGAS!Z$16:Z$37)+SUMIF(REVENDIDOS!$B$16:$B$25,$A121,REVENDIDOS!Q$16:Q$25)</f>
        <v>439.279583642103</v>
      </c>
      <c r="K121" s="13" t="n">
        <f aca="false">SUMIF(MANUALES!$B$16:$B$72,$A121,MANUALES!Q$16:Q$72)+SUMIF(RODANTES!$B$16:$B$72,$A121,RODANTES!Q$16:Q$72)+SUMIF(RECARGAS!$B$16:$B$37,$A121,RECARGAS!AA$16:AA$37)+SUMIF(REVENDIDOS!$B$16:$B$25,$A121,REVENDIDOS!R$16:R$25)</f>
        <v>606.545814581617</v>
      </c>
      <c r="L121" s="13" t="n">
        <f aca="false">SUMIF(MANUALES!$B$16:$B$72,$A121,MANUALES!R$16:R$72)+SUMIF(RODANTES!$B$16:$B$72,$A121,RODANTES!R$16:R$72)+SUMIF(RECARGAS!$B$16:$B$37,$A121,RECARGAS!AB$16:AB$37)+SUMIF(REVENDIDOS!$B$16:$B$25,$A121,REVENDIDOS!S$16:S$25)</f>
        <v>979.220064769261</v>
      </c>
      <c r="M121" s="13" t="n">
        <f aca="false">SUMIF(MANUALES!$B$16:$B$72,$A121,MANUALES!S$16:S$72)+SUMIF(RODANTES!$B$16:$B$72,$A121,RODANTES!S$16:S$72)+SUMIF(RECARGAS!$B$16:$B$37,$A121,RECARGAS!AC$16:AC$37)+SUMIF(REVENDIDOS!$B$16:$B$25,$A121,REVENDIDOS!T$16:T$25)</f>
        <v>1374.74346785691</v>
      </c>
      <c r="N121" s="13" t="n">
        <f aca="false">SUMIF(MANUALES!$B$16:$B$72,$A121,MANUALES!T$16:T$72)+SUMIF(RODANTES!$B$16:$B$72,$A121,RODANTES!T$16:T$72)+SUMIF(RECARGAS!$B$16:$B$37,$A121,RECARGAS!AD$16:AD$37)+SUMIF(REVENDIDOS!$B$16:$B$25,$A121,REVENDIDOS!U$16:U$25)</f>
        <v>1771.75917393363</v>
      </c>
      <c r="O121" s="13" t="n">
        <f aca="false">SUMIF(MANUALES!$B$16:$B$72,$A121,MANUALES!U$16:U$72)+SUMIF(RODANTES!$B$16:$B$72,$A121,RODANTES!U$16:U$72)+SUMIF(RECARGAS!$B$16:$B$37,$A121,RECARGAS!AE$16:AE$37)+SUMIF(REVENDIDOS!$B$16:$B$25,$A121,REVENDIDOS!V$16:V$25)</f>
        <v>2191.79065104613</v>
      </c>
      <c r="P121" s="13" t="n">
        <f aca="false">SUMIF(MANUALES!$B$16:$B$72,$A121,MANUALES!V$16:V$72)+SUMIF(RODANTES!$B$16:$B$72,$A121,RODANTES!V$16:V$72)+SUMIF(RECARGAS!$B$16:$B$37,$A121,RECARGAS!AF$16:AF$37)+SUMIF(REVENDIDOS!$B$16:$B$25,$A121,REVENDIDOS!W$16:W$25)</f>
        <v>2539.20672878865</v>
      </c>
      <c r="Q121" s="13" t="n">
        <f aca="false">SUMIF(MANUALES!$B$16:$B$72,$A121,MANUALES!W$16:W$72)+SUMIF(RODANTES!$B$16:$B$72,$A121,RODANTES!W$16:W$72)+SUMIF(RECARGAS!$B$16:$B$37,$A121,RECARGAS!AG$16:AG$37)+SUMIF(REVENDIDOS!$B$16:$B$25,$A121,REVENDIDOS!X$16:X$25)</f>
        <v>2908.13500312285</v>
      </c>
      <c r="R121" s="13" t="n">
        <f aca="false">SUMIF(MANUALES!$B$16:$B$72,$A121,MANUALES!X$16:X$72)+SUMIF(RODANTES!$B$16:$B$72,$A121,RODANTES!X$16:X$72)+SUMIF(RECARGAS!$B$16:$B$37,$A121,RECARGAS!AH$16:AH$37)+SUMIF(REVENDIDOS!$B$16:$B$25,$A121,REVENDIDOS!Y$16:Y$25)</f>
        <v>319.894850343514</v>
      </c>
    </row>
    <row r="122" customFormat="false" ht="15" hidden="false" customHeight="false" outlineLevel="0" collapsed="false">
      <c r="A122" s="3" t="s">
        <v>578</v>
      </c>
      <c r="B122" s="3" t="s">
        <v>579</v>
      </c>
      <c r="C122" s="3" t="s">
        <v>214</v>
      </c>
      <c r="D122" s="13" t="n">
        <f aca="false">SUMIF(MANUALES!$B$16:$B$72,$A122,MANUALES!W$16:W$72)</f>
        <v>0</v>
      </c>
      <c r="E122" s="13" t="n">
        <f aca="false">SUMIF(RODANTES!$B$16:$B$72,$A122,RODANTES!W$16:W$72)</f>
        <v>0</v>
      </c>
      <c r="F122" s="13" t="n">
        <f aca="false">SUMIF(RECARGAS!$B$16:$B$37,$A122,RECARGAS!AG$16:AG$37)</f>
        <v>0</v>
      </c>
      <c r="G122" s="13" t="n">
        <f aca="false">SUMIF(REVENDIDOS!$B$16:$B$25,$A122,REVENDIDOS!X$16:X$25)</f>
        <v>971.509933050576</v>
      </c>
      <c r="H122" s="13" t="n">
        <f aca="false">SUMIF(MANUALES!$B$16:$B$72,$A122,MANUALES!N$16:N$72)+SUMIF(RODANTES!$B$16:$B$72,$A122,RODANTES!N$16:N$72)+SUMIF(RECARGAS!$B$16:$B$37,$A122,RECARGAS!X$16:X$37)+SUMIF(REVENDIDOS!$B$16:$B$25,$A122,REVENDIDOS!O$16:O$25)</f>
        <v>99.7895717409201</v>
      </c>
      <c r="I122" s="13" t="n">
        <f aca="false">SUMIF(MANUALES!$B$16:$B$72,$A122,MANUALES!O$16:O$72)+SUMIF(RODANTES!$B$16:$B$72,$A122,RODANTES!O$16:O$72)+SUMIF(RECARGAS!$B$16:$B$37,$A122,RECARGAS!Y$16:Y$37)+SUMIF(REVENDIDOS!$B$16:$B$25,$A122,REVENDIDOS!P$16:P$25)</f>
        <v>160.189018131466</v>
      </c>
      <c r="J122" s="13" t="n">
        <f aca="false">SUMIF(MANUALES!$B$16:$B$72,$A122,MANUALES!P$16:P$72)+SUMIF(RODANTES!$B$16:$B$72,$A122,RODANTES!P$16:P$72)+SUMIF(RECARGAS!$B$16:$B$37,$A122,RECARGAS!Z$16:Z$37)+SUMIF(REVENDIDOS!$B$16:$B$25,$A122,REVENDIDOS!Q$16:Q$25)</f>
        <v>194.019501262932</v>
      </c>
      <c r="K122" s="13" t="n">
        <f aca="false">SUMIF(MANUALES!$B$16:$B$72,$A122,MANUALES!Q$16:Q$72)+SUMIF(RODANTES!$B$16:$B$72,$A122,RODANTES!Q$16:Q$72)+SUMIF(RECARGAS!$B$16:$B$37,$A122,RECARGAS!AA$16:AA$37)+SUMIF(REVENDIDOS!$B$16:$B$25,$A122,REVENDIDOS!R$16:R$25)</f>
        <v>248.515363004024</v>
      </c>
      <c r="L122" s="13" t="n">
        <f aca="false">SUMIF(MANUALES!$B$16:$B$72,$A122,MANUALES!R$16:R$72)+SUMIF(RODANTES!$B$16:$B$72,$A122,RODANTES!R$16:R$72)+SUMIF(RECARGAS!$B$16:$B$37,$A122,RECARGAS!AB$16:AB$37)+SUMIF(REVENDIDOS!$B$16:$B$25,$A122,REVENDIDOS!S$16:S$25)</f>
        <v>361.217338356036</v>
      </c>
      <c r="M122" s="13" t="n">
        <f aca="false">SUMIF(MANUALES!$B$16:$B$72,$A122,MANUALES!S$16:S$72)+SUMIF(RODANTES!$B$16:$B$72,$A122,RODANTES!S$16:S$72)+SUMIF(RECARGAS!$B$16:$B$37,$A122,RECARGAS!AC$16:AC$37)+SUMIF(REVENDIDOS!$B$16:$B$25,$A122,REVENDIDOS!T$16:T$25)</f>
        <v>448.574690006754</v>
      </c>
      <c r="N122" s="13" t="n">
        <f aca="false">SUMIF(MANUALES!$B$16:$B$72,$A122,MANUALES!T$16:T$72)+SUMIF(RODANTES!$B$16:$B$72,$A122,RODANTES!T$16:T$72)+SUMIF(RECARGAS!$B$16:$B$37,$A122,RECARGAS!AD$16:AD$37)+SUMIF(REVENDIDOS!$B$16:$B$25,$A122,REVENDIDOS!U$16:U$25)</f>
        <v>574.679834647846</v>
      </c>
      <c r="O122" s="13" t="n">
        <f aca="false">SUMIF(MANUALES!$B$16:$B$72,$A122,MANUALES!U$16:U$72)+SUMIF(RODANTES!$B$16:$B$72,$A122,RODANTES!U$16:U$72)+SUMIF(RECARGAS!$B$16:$B$37,$A122,RECARGAS!AE$16:AE$37)+SUMIF(REVENDIDOS!$B$16:$B$25,$A122,REVENDIDOS!V$16:V$25)</f>
        <v>712.493978988938</v>
      </c>
      <c r="P122" s="13" t="n">
        <f aca="false">SUMIF(MANUALES!$B$16:$B$72,$A122,MANUALES!V$16:V$72)+SUMIF(RODANTES!$B$16:$B$72,$A122,RODANTES!V$16:V$72)+SUMIF(RECARGAS!$B$16:$B$37,$A122,RECARGAS!AF$16:AF$37)+SUMIF(REVENDIDOS!$B$16:$B$25,$A122,REVENDIDOS!W$16:W$25)</f>
        <v>836.54818721911</v>
      </c>
      <c r="Q122" s="13" t="n">
        <f aca="false">SUMIF(MANUALES!$B$16:$B$72,$A122,MANUALES!W$16:W$72)+SUMIF(RODANTES!$B$16:$B$72,$A122,RODANTES!W$16:W$72)+SUMIF(RECARGAS!$B$16:$B$37,$A122,RECARGAS!AG$16:AG$37)+SUMIF(REVENDIDOS!$B$16:$B$25,$A122,REVENDIDOS!X$16:X$25)</f>
        <v>971.509933050576</v>
      </c>
      <c r="R122" s="13" t="n">
        <f aca="false">SUMIF(MANUALES!$B$16:$B$72,$A122,MANUALES!X$16:X$72)+SUMIF(RODANTES!$B$16:$B$72,$A122,RODANTES!X$16:X$72)+SUMIF(RECARGAS!$B$16:$B$37,$A122,RECARGAS!AH$16:AH$37)+SUMIF(REVENDIDOS!$B$16:$B$25,$A122,REVENDIDOS!Y$16:Y$25)</f>
        <v>106.866092635563</v>
      </c>
    </row>
    <row r="123" customFormat="false" ht="15" hidden="false" customHeight="false" outlineLevel="0" collapsed="false">
      <c r="A123" s="3" t="s">
        <v>581</v>
      </c>
      <c r="B123" s="3" t="s">
        <v>582</v>
      </c>
      <c r="C123" s="3" t="s">
        <v>214</v>
      </c>
      <c r="D123" s="13" t="n">
        <f aca="false">SUMIF(MANUALES!$B$16:$B$72,$A123,MANUALES!W$16:W$72)</f>
        <v>0</v>
      </c>
      <c r="E123" s="13" t="n">
        <f aca="false">SUMIF(RODANTES!$B$16:$B$72,$A123,RODANTES!W$16:W$72)</f>
        <v>0</v>
      </c>
      <c r="F123" s="13" t="n">
        <f aca="false">SUMIF(RECARGAS!$B$16:$B$37,$A123,RECARGAS!AG$16:AG$37)</f>
        <v>0</v>
      </c>
      <c r="G123" s="13" t="n">
        <f aca="false">SUMIF(REVENDIDOS!$B$16:$B$25,$A123,REVENDIDOS!X$16:X$25)</f>
        <v>416.433346495834</v>
      </c>
      <c r="H123" s="13" t="n">
        <f aca="false">SUMIF(MANUALES!$B$16:$B$72,$A123,MANUALES!N$16:N$72)+SUMIF(RODANTES!$B$16:$B$72,$A123,RODANTES!N$16:N$72)+SUMIF(RECARGAS!$B$16:$B$37,$A123,RECARGAS!X$16:X$37)+SUMIF(REVENDIDOS!$B$16:$B$25,$A123,REVENDIDOS!O$16:O$25)</f>
        <v>42.9314087009201</v>
      </c>
      <c r="I123" s="13" t="n">
        <f aca="false">SUMIF(MANUALES!$B$16:$B$72,$A123,MANUALES!O$16:O$72)+SUMIF(RODANTES!$B$16:$B$72,$A123,RODANTES!O$16:O$72)+SUMIF(RECARGAS!$B$16:$B$37,$A123,RECARGAS!Y$16:Y$37)+SUMIF(REVENDIDOS!$B$16:$B$25,$A123,REVENDIDOS!P$16:P$25)</f>
        <v>68.537321790546</v>
      </c>
      <c r="J123" s="13" t="n">
        <f aca="false">SUMIF(MANUALES!$B$16:$B$72,$A123,MANUALES!P$16:P$72)+SUMIF(RODANTES!$B$16:$B$72,$A123,RODANTES!P$16:P$72)+SUMIF(RECARGAS!$B$16:$B$37,$A123,RECARGAS!Z$16:Z$37)+SUMIF(REVENDIDOS!$B$16:$B$25,$A123,REVENDIDOS!Q$16:Q$25)</f>
        <v>83.1943828014661</v>
      </c>
      <c r="K123" s="13" t="n">
        <f aca="false">SUMIF(MANUALES!$B$16:$B$72,$A123,MANUALES!Q$16:Q$72)+SUMIF(RODANTES!$B$16:$B$72,$A123,RODANTES!Q$16:Q$72)+SUMIF(RECARGAS!$B$16:$B$37,$A123,RECARGAS!AA$16:AA$37)+SUMIF(REVENDIDOS!$B$16:$B$25,$A123,REVENDIDOS!R$16:R$25)</f>
        <v>106.839594162932</v>
      </c>
      <c r="L123" s="13" t="n">
        <f aca="false">SUMIF(MANUALES!$B$16:$B$72,$A123,MANUALES!R$16:R$72)+SUMIF(RODANTES!$B$16:$B$72,$A123,RODANTES!R$16:R$72)+SUMIF(RECARGAS!$B$16:$B$37,$A123,RECARGAS!AB$16:AB$37)+SUMIF(REVENDIDOS!$B$16:$B$25,$A123,REVENDIDOS!S$16:S$25)</f>
        <v>154.745762193104</v>
      </c>
      <c r="M123" s="13" t="n">
        <f aca="false">SUMIF(MANUALES!$B$16:$B$72,$A123,MANUALES!S$16:S$72)+SUMIF(RODANTES!$B$16:$B$72,$A123,RODANTES!S$16:S$72)+SUMIF(RECARGAS!$B$16:$B$37,$A123,RECARGAS!AC$16:AC$37)+SUMIF(REVENDIDOS!$B$16:$B$25,$A123,REVENDIDOS!T$16:T$25)</f>
        <v>192.30385301365</v>
      </c>
      <c r="N123" s="13" t="n">
        <f aca="false">SUMIF(MANUALES!$B$16:$B$72,$A123,MANUALES!T$16:T$72)+SUMIF(RODANTES!$B$16:$B$72,$A123,RODANTES!T$16:T$72)+SUMIF(RECARGAS!$B$16:$B$37,$A123,RECARGAS!AD$16:AD$37)+SUMIF(REVENDIDOS!$B$16:$B$25,$A123,REVENDIDOS!U$16:U$25)</f>
        <v>246.350970634196</v>
      </c>
      <c r="O123" s="13" t="n">
        <f aca="false">SUMIF(MANUALES!$B$16:$B$72,$A123,MANUALES!U$16:U$72)+SUMIF(RODANTES!$B$16:$B$72,$A123,RODANTES!U$16:U$72)+SUMIF(RECARGAS!$B$16:$B$37,$A123,RECARGAS!AE$16:AE$37)+SUMIF(REVENDIDOS!$B$16:$B$25,$A123,REVENDIDOS!V$16:V$25)</f>
        <v>305.416230954742</v>
      </c>
      <c r="P123" s="13" t="n">
        <f aca="false">SUMIF(MANUALES!$B$16:$B$72,$A123,MANUALES!V$16:V$72)+SUMIF(RODANTES!$B$16:$B$72,$A123,RODANTES!V$16:V$72)+SUMIF(RECARGAS!$B$16:$B$37,$A123,RECARGAS!AF$16:AF$37)+SUMIF(REVENDIDOS!$B$16:$B$25,$A123,REVENDIDOS!W$16:W$25)</f>
        <v>358.707712875288</v>
      </c>
      <c r="Q123" s="13" t="n">
        <f aca="false">SUMIF(MANUALES!$B$16:$B$72,$A123,MANUALES!W$16:W$72)+SUMIF(RODANTES!$B$16:$B$72,$A123,RODANTES!W$16:W$72)+SUMIF(RECARGAS!$B$16:$B$37,$A123,RECARGAS!AG$16:AG$37)+SUMIF(REVENDIDOS!$B$16:$B$25,$A123,REVENDIDOS!X$16:X$25)</f>
        <v>416.433346495834</v>
      </c>
      <c r="R123" s="13" t="n">
        <f aca="false">SUMIF(MANUALES!$B$16:$B$72,$A123,MANUALES!X$16:X$72)+SUMIF(RODANTES!$B$16:$B$72,$A123,RODANTES!X$16:X$72)+SUMIF(RECARGAS!$B$16:$B$37,$A123,RECARGAS!AH$16:AH$37)+SUMIF(REVENDIDOS!$B$16:$B$25,$A123,REVENDIDOS!Y$16:Y$25)</f>
        <v>37.4790011846251</v>
      </c>
    </row>
    <row r="124" customFormat="false" ht="15" hidden="false" customHeight="false" outlineLevel="0" collapsed="false">
      <c r="A124" s="3" t="s">
        <v>584</v>
      </c>
      <c r="B124" s="3" t="s">
        <v>585</v>
      </c>
      <c r="C124" s="3" t="s">
        <v>214</v>
      </c>
      <c r="D124" s="13" t="n">
        <f aca="false">SUMIF(MANUALES!$B$16:$B$72,$A124,MANUALES!W$16:W$72)</f>
        <v>0</v>
      </c>
      <c r="E124" s="13" t="n">
        <f aca="false">SUMIF(RODANTES!$B$16:$B$72,$A124,RODANTES!W$16:W$72)</f>
        <v>0</v>
      </c>
      <c r="F124" s="13" t="n">
        <f aca="false">SUMIF(RECARGAS!$B$16:$B$37,$A124,RECARGAS!AG$16:AG$37)</f>
        <v>0</v>
      </c>
      <c r="G124" s="13" t="n">
        <f aca="false">SUMIF(REVENDIDOS!$B$16:$B$25,$A124,REVENDIDOS!X$16:X$25)</f>
        <v>277.70377041365</v>
      </c>
      <c r="H124" s="13" t="n">
        <f aca="false">SUMIF(MANUALES!$B$16:$B$72,$A124,MANUALES!N$16:N$72)+SUMIF(RODANTES!$B$16:$B$72,$A124,RODANTES!N$16:N$72)+SUMIF(RECARGAS!$B$16:$B$37,$A124,RECARGAS!X$16:X$37)+SUMIF(REVENDIDOS!$B$16:$B$25,$A124,REVENDIDOS!O$16:O$25)</f>
        <v>28.7168679309201</v>
      </c>
      <c r="I124" s="13" t="n">
        <f aca="false">SUMIF(MANUALES!$B$16:$B$72,$A124,MANUALES!O$16:O$72)+SUMIF(RODANTES!$B$16:$B$72,$A124,RODANTES!O$16:O$72)+SUMIF(RECARGAS!$B$16:$B$37,$A124,RECARGAS!Y$16:Y$37)+SUMIF(REVENDIDOS!$B$16:$B$25,$A124,REVENDIDOS!P$16:P$25)</f>
        <v>45.696344300546</v>
      </c>
      <c r="J124" s="13" t="n">
        <f aca="false">SUMIF(MANUALES!$B$16:$B$72,$A124,MANUALES!P$16:P$72)+SUMIF(RODANTES!$B$16:$B$72,$A124,RODANTES!P$16:P$72)+SUMIF(RECARGAS!$B$16:$B$37,$A124,RECARGAS!Z$16:Z$37)+SUMIF(REVENDIDOS!$B$16:$B$25,$A124,REVENDIDOS!Q$16:Q$25)</f>
        <v>55.275860700546</v>
      </c>
      <c r="K124" s="13" t="n">
        <f aca="false">SUMIF(MANUALES!$B$16:$B$72,$A124,MANUALES!Q$16:Q$72)+SUMIF(RODANTES!$B$16:$B$72,$A124,RODANTES!Q$16:Q$72)+SUMIF(RECARGAS!$B$16:$B$37,$A124,RECARGAS!AA$16:AA$37)+SUMIF(REVENDIDOS!$B$16:$B$25,$A124,REVENDIDOS!R$16:R$25)</f>
        <v>71.1256708514661</v>
      </c>
      <c r="L124" s="13" t="n">
        <f aca="false">SUMIF(MANUALES!$B$16:$B$72,$A124,MANUALES!R$16:R$72)+SUMIF(RODANTES!$B$16:$B$72,$A124,RODANTES!R$16:R$72)+SUMIF(RECARGAS!$B$16:$B$37,$A124,RECARGAS!AB$16:AB$37)+SUMIF(REVENDIDOS!$B$16:$B$25,$A124,REVENDIDOS!S$16:S$25)</f>
        <v>103.250177352012</v>
      </c>
      <c r="M124" s="13" t="n">
        <f aca="false">SUMIF(MANUALES!$B$16:$B$72,$A124,MANUALES!S$16:S$72)+SUMIF(RODANTES!$B$16:$B$72,$A124,RODANTES!S$16:S$72)+SUMIF(RECARGAS!$B$16:$B$37,$A124,RECARGAS!AC$16:AC$37)+SUMIF(REVENDIDOS!$B$16:$B$25,$A124,REVENDIDOS!T$16:T$25)</f>
        <v>128.293701072558</v>
      </c>
      <c r="N124" s="13" t="n">
        <f aca="false">SUMIF(MANUALES!$B$16:$B$72,$A124,MANUALES!T$16:T$72)+SUMIF(RODANTES!$B$16:$B$72,$A124,RODANTES!T$16:T$72)+SUMIF(RECARGAS!$B$16:$B$37,$A124,RECARGAS!AD$16:AD$37)+SUMIF(REVENDIDOS!$B$16:$B$25,$A124,REVENDIDOS!U$16:U$25)</f>
        <v>164.042122782184</v>
      </c>
      <c r="O124" s="13" t="n">
        <f aca="false">SUMIF(MANUALES!$B$16:$B$72,$A124,MANUALES!U$16:U$72)+SUMIF(RODANTES!$B$16:$B$72,$A124,RODANTES!U$16:U$72)+SUMIF(RECARGAS!$B$16:$B$37,$A124,RECARGAS!AE$16:AE$37)+SUMIF(REVENDIDOS!$B$16:$B$25,$A124,REVENDIDOS!V$16:V$25)</f>
        <v>203.697156593104</v>
      </c>
      <c r="P124" s="13" t="n">
        <f aca="false">SUMIF(MANUALES!$B$16:$B$72,$A124,MANUALES!V$16:V$72)+SUMIF(RODANTES!$B$16:$B$72,$A124,RODANTES!V$16:V$72)+SUMIF(RECARGAS!$B$16:$B$37,$A124,RECARGAS!AF$16:AF$37)+SUMIF(REVENDIDOS!$B$16:$B$25,$A124,REVENDIDOS!W$16:W$25)</f>
        <v>238.94182120273</v>
      </c>
      <c r="Q124" s="13" t="n">
        <f aca="false">SUMIF(MANUALES!$B$16:$B$72,$A124,MANUALES!W$16:W$72)+SUMIF(RODANTES!$B$16:$B$72,$A124,RODANTES!W$16:W$72)+SUMIF(RECARGAS!$B$16:$B$37,$A124,RECARGAS!AG$16:AG$37)+SUMIF(REVENDIDOS!$B$16:$B$25,$A124,REVENDIDOS!X$16:X$25)</f>
        <v>277.70377041365</v>
      </c>
      <c r="R124" s="13" t="n">
        <f aca="false">SUMIF(MANUALES!$B$16:$B$72,$A124,MANUALES!X$16:X$72)+SUMIF(RODANTES!$B$16:$B$72,$A124,RODANTES!X$16:X$72)+SUMIF(RECARGAS!$B$16:$B$37,$A124,RECARGAS!AH$16:AH$37)+SUMIF(REVENDIDOS!$B$16:$B$25,$A124,REVENDIDOS!Y$16:Y$25)</f>
        <v>30.5474147455015</v>
      </c>
    </row>
    <row r="125" customFormat="false" ht="15" hidden="false" customHeight="false" outlineLevel="0" collapsed="false">
      <c r="A125" s="3" t="s">
        <v>587</v>
      </c>
      <c r="B125" s="3" t="s">
        <v>588</v>
      </c>
      <c r="C125" s="3" t="s">
        <v>214</v>
      </c>
      <c r="D125" s="13" t="n">
        <f aca="false">SUMIF(MANUALES!$B$16:$B$72,$A125,MANUALES!W$16:W$72)</f>
        <v>0</v>
      </c>
      <c r="E125" s="13" t="n">
        <f aca="false">SUMIF(RODANTES!$B$16:$B$72,$A125,RODANTES!W$16:W$72)</f>
        <v>0</v>
      </c>
      <c r="F125" s="13" t="n">
        <f aca="false">SUMIF(RECARGAS!$B$16:$B$37,$A125,RECARGAS!AG$16:AG$37)</f>
        <v>0</v>
      </c>
      <c r="G125" s="13" t="n">
        <f aca="false">SUMIF(REVENDIDOS!$B$16:$B$25,$A125,REVENDIDOS!X$16:X$25)</f>
        <v>1650.60330969569</v>
      </c>
      <c r="H125" s="13" t="n">
        <f aca="false">SUMIF(MANUALES!$B$16:$B$72,$A125,MANUALES!N$16:N$72)+SUMIF(RODANTES!$B$16:$B$72,$A125,RODANTES!N$16:N$72)+SUMIF(RECARGAS!$B$16:$B$37,$A125,RECARGAS!X$16:X$37)+SUMIF(REVENDIDOS!$B$16:$B$25,$A125,REVENDIDOS!O$16:O$25)</f>
        <v>100.89892011092</v>
      </c>
      <c r="I125" s="13" t="n">
        <f aca="false">SUMIF(MANUALES!$B$16:$B$72,$A125,MANUALES!O$16:O$72)+SUMIF(RODANTES!$B$16:$B$72,$A125,RODANTES!O$16:O$72)+SUMIF(RECARGAS!$B$16:$B$37,$A125,RECARGAS!Y$16:Y$37)+SUMIF(REVENDIDOS!$B$16:$B$25,$A125,REVENDIDOS!P$16:P$25)</f>
        <v>189.774975653306</v>
      </c>
      <c r="J125" s="13" t="n">
        <f aca="false">SUMIF(MANUALES!$B$16:$B$72,$A125,MANUALES!P$16:P$72)+SUMIF(RODANTES!$B$16:$B$72,$A125,RODANTES!P$16:P$72)+SUMIF(RECARGAS!$B$16:$B$37,$A125,RECARGAS!Z$16:Z$37)+SUMIF(REVENDIDOS!$B$16:$B$25,$A125,REVENDIDOS!Q$16:Q$25)</f>
        <v>250.485672536784</v>
      </c>
      <c r="K125" s="13" t="n">
        <f aca="false">SUMIF(MANUALES!$B$16:$B$72,$A125,MANUALES!Q$16:Q$72)+SUMIF(RODANTES!$B$16:$B$72,$A125,RODANTES!Q$16:Q$72)+SUMIF(RECARGAS!$B$16:$B$37,$A125,RECARGAS!AA$16:AA$37)+SUMIF(REVENDIDOS!$B$16:$B$25,$A125,REVENDIDOS!R$16:R$25)</f>
        <v>350.269968350434</v>
      </c>
      <c r="L125" s="13" t="n">
        <f aca="false">SUMIF(MANUALES!$B$16:$B$72,$A125,MANUALES!R$16:R$72)+SUMIF(RODANTES!$B$16:$B$72,$A125,RODANTES!R$16:R$72)+SUMIF(RECARGAS!$B$16:$B$37,$A125,RECARGAS!AB$16:AB$37)+SUMIF(REVENDIDOS!$B$16:$B$25,$A125,REVENDIDOS!S$16:S$25)</f>
        <v>548.407028784631</v>
      </c>
      <c r="M125" s="13" t="n">
        <f aca="false">SUMIF(MANUALES!$B$16:$B$72,$A125,MANUALES!S$16:S$72)+SUMIF(RODANTES!$B$16:$B$72,$A125,RODANTES!S$16:S$72)+SUMIF(RECARGAS!$B$16:$B$37,$A125,RECARGAS!AC$16:AC$37)+SUMIF(REVENDIDOS!$B$16:$B$25,$A125,REVENDIDOS!T$16:T$25)</f>
        <v>754.189149828453</v>
      </c>
      <c r="N125" s="13" t="n">
        <f aca="false">SUMIF(MANUALES!$B$16:$B$72,$A125,MANUALES!T$16:T$72)+SUMIF(RODANTES!$B$16:$B$72,$A125,RODANTES!T$16:T$72)+SUMIF(RECARGAS!$B$16:$B$37,$A125,RECARGAS!AD$16:AD$37)+SUMIF(REVENDIDOS!$B$16:$B$25,$A125,REVENDIDOS!U$16:U$25)</f>
        <v>962.191134061354</v>
      </c>
      <c r="O125" s="13" t="n">
        <f aca="false">SUMIF(MANUALES!$B$16:$B$72,$A125,MANUALES!U$16:U$72)+SUMIF(RODANTES!$B$16:$B$72,$A125,RODANTES!U$16:U$72)+SUMIF(RECARGAS!$B$16:$B$37,$A125,RECARGAS!AE$16:AE$37)+SUMIF(REVENDIDOS!$B$16:$B$25,$A125,REVENDIDOS!V$16:V$25)</f>
        <v>1193.07387486279</v>
      </c>
      <c r="P125" s="13" t="n">
        <f aca="false">SUMIF(MANUALES!$B$16:$B$72,$A125,MANUALES!V$16:V$72)+SUMIF(RODANTES!$B$16:$B$72,$A125,RODANTES!V$16:V$72)+SUMIF(RECARGAS!$B$16:$B$37,$A125,RECARGAS!AF$16:AF$37)+SUMIF(REVENDIDOS!$B$16:$B$25,$A125,REVENDIDOS!W$16:W$25)</f>
        <v>1411.35491673405</v>
      </c>
      <c r="Q125" s="13" t="n">
        <f aca="false">SUMIF(MANUALES!$B$16:$B$72,$A125,MANUALES!W$16:W$72)+SUMIF(RODANTES!$B$16:$B$72,$A125,RODANTES!W$16:W$72)+SUMIF(RECARGAS!$B$16:$B$37,$A125,RECARGAS!AG$16:AG$37)+SUMIF(REVENDIDOS!$B$16:$B$25,$A125,REVENDIDOS!X$16:X$25)</f>
        <v>1650.60330969569</v>
      </c>
      <c r="R125" s="13" t="n">
        <f aca="false">SUMIF(MANUALES!$B$16:$B$72,$A125,MANUALES!X$16:X$72)+SUMIF(RODANTES!$B$16:$B$72,$A125,RODANTES!X$16:X$72)+SUMIF(RECARGAS!$B$16:$B$37,$A125,RECARGAS!AH$16:AH$37)+SUMIF(REVENDIDOS!$B$16:$B$25,$A125,REVENDIDOS!Y$16:Y$25)</f>
        <v>181.566364066526</v>
      </c>
    </row>
    <row r="126" customFormat="false" ht="15" hidden="false" customHeight="false" outlineLevel="0" collapsed="false">
      <c r="A126" s="3" t="s">
        <v>590</v>
      </c>
      <c r="B126" s="3" t="s">
        <v>591</v>
      </c>
      <c r="C126" s="3" t="s">
        <v>214</v>
      </c>
      <c r="D126" s="13" t="n">
        <f aca="false">SUMIF(MANUALES!$B$16:$B$72,$A126,MANUALES!W$16:W$72)</f>
        <v>0</v>
      </c>
      <c r="E126" s="13" t="n">
        <f aca="false">SUMIF(RODANTES!$B$16:$B$72,$A126,RODANTES!W$16:W$72)</f>
        <v>0</v>
      </c>
      <c r="F126" s="13" t="n">
        <f aca="false">SUMIF(RECARGAS!$B$16:$B$37,$A126,RECARGAS!AG$16:AG$37)</f>
        <v>0</v>
      </c>
      <c r="G126" s="13" t="n">
        <f aca="false">SUMIF(REVENDIDOS!$B$16:$B$25,$A126,REVENDIDOS!X$16:X$25)</f>
        <v>7005.27737</v>
      </c>
      <c r="H126" s="13" t="n">
        <f aca="false">SUMIF(MANUALES!$B$16:$B$72,$A126,MANUALES!N$16:N$72)+SUMIF(RODANTES!$B$16:$B$72,$A126,RODANTES!N$16:N$72)+SUMIF(RECARGAS!$B$16:$B$37,$A126,RECARGAS!X$16:X$37)+SUMIF(REVENDIDOS!$B$16:$B$25,$A126,REVENDIDOS!O$16:O$25)</f>
        <v>421.9843726</v>
      </c>
      <c r="I126" s="13" t="n">
        <f aca="false">SUMIF(MANUALES!$B$16:$B$72,$A126,MANUALES!O$16:O$72)+SUMIF(RODANTES!$B$16:$B$72,$A126,RODANTES!O$16:O$72)+SUMIF(RECARGAS!$B$16:$B$37,$A126,RECARGAS!Y$16:Y$37)+SUMIF(REVENDIDOS!$B$16:$B$25,$A126,REVENDIDOS!P$16:P$25)</f>
        <v>772.3206222</v>
      </c>
      <c r="J126" s="13" t="n">
        <f aca="false">SUMIF(MANUALES!$B$16:$B$72,$A126,MANUALES!P$16:P$72)+SUMIF(RODANTES!$B$16:$B$72,$A126,RODANTES!P$16:P$72)+SUMIF(RECARGAS!$B$16:$B$37,$A126,RECARGAS!Z$16:Z$37)+SUMIF(REVENDIDOS!$B$16:$B$25,$A126,REVENDIDOS!Q$16:Q$25)</f>
        <v>1066.363722</v>
      </c>
      <c r="K126" s="13" t="n">
        <f aca="false">SUMIF(MANUALES!$B$16:$B$72,$A126,MANUALES!Q$16:Q$72)+SUMIF(RODANTES!$B$16:$B$72,$A126,RODANTES!Q$16:Q$72)+SUMIF(RECARGAS!$B$16:$B$37,$A126,RECARGAS!AA$16:AA$37)+SUMIF(REVENDIDOS!$B$16:$B$25,$A126,REVENDIDOS!R$16:R$25)</f>
        <v>1474.963344</v>
      </c>
      <c r="L126" s="13" t="n">
        <f aca="false">SUMIF(MANUALES!$B$16:$B$72,$A126,MANUALES!R$16:R$72)+SUMIF(RODANTES!$B$16:$B$72,$A126,RODANTES!R$16:R$72)+SUMIF(RECARGAS!$B$16:$B$37,$A126,RECARGAS!AB$16:AB$37)+SUMIF(REVENDIDOS!$B$16:$B$25,$A126,REVENDIDOS!S$16:S$25)</f>
        <v>2394.644883</v>
      </c>
      <c r="M126" s="13" t="n">
        <f aca="false">SUMIF(MANUALES!$B$16:$B$72,$A126,MANUALES!S$16:S$72)+SUMIF(RODANTES!$B$16:$B$72,$A126,RODANTES!S$16:S$72)+SUMIF(RECARGAS!$B$16:$B$37,$A126,RECARGAS!AC$16:AC$37)+SUMIF(REVENDIDOS!$B$16:$B$25,$A126,REVENDIDOS!T$16:T$25)</f>
        <v>3311.547454</v>
      </c>
      <c r="N126" s="13" t="n">
        <f aca="false">SUMIF(MANUALES!$B$16:$B$72,$A126,MANUALES!T$16:T$72)+SUMIF(RODANTES!$B$16:$B$72,$A126,RODANTES!T$16:T$72)+SUMIF(RECARGAS!$B$16:$B$37,$A126,RECARGAS!AD$16:AD$37)+SUMIF(REVENDIDOS!$B$16:$B$25,$A126,REVENDIDOS!U$16:U$25)</f>
        <v>4274.187843</v>
      </c>
      <c r="O126" s="13" t="n">
        <f aca="false">SUMIF(MANUALES!$B$16:$B$72,$A126,MANUALES!U$16:U$72)+SUMIF(RODANTES!$B$16:$B$72,$A126,RODANTES!U$16:U$72)+SUMIF(RECARGAS!$B$16:$B$37,$A126,RECARGAS!AE$16:AE$37)+SUMIF(REVENDIDOS!$B$16:$B$25,$A126,REVENDIDOS!V$16:V$25)</f>
        <v>5292.394724</v>
      </c>
      <c r="P126" s="13" t="n">
        <f aca="false">SUMIF(MANUALES!$B$16:$B$72,$A126,MANUALES!V$16:V$72)+SUMIF(RODANTES!$B$16:$B$72,$A126,RODANTES!V$16:V$72)+SUMIF(RECARGAS!$B$16:$B$37,$A126,RECARGAS!AF$16:AF$37)+SUMIF(REVENDIDOS!$B$16:$B$25,$A126,REVENDIDOS!W$16:W$25)</f>
        <v>6125.204809</v>
      </c>
      <c r="Q126" s="13" t="n">
        <f aca="false">SUMIF(MANUALES!$B$16:$B$72,$A126,MANUALES!W$16:W$72)+SUMIF(RODANTES!$B$16:$B$72,$A126,RODANTES!W$16:W$72)+SUMIF(RECARGAS!$B$16:$B$37,$A126,RECARGAS!AG$16:AG$37)+SUMIF(REVENDIDOS!$B$16:$B$25,$A126,REVENDIDOS!X$16:X$25)</f>
        <v>7005.27737</v>
      </c>
      <c r="R126" s="13" t="n">
        <f aca="false">SUMIF(MANUALES!$B$16:$B$72,$A126,MANUALES!X$16:X$72)+SUMIF(RODANTES!$B$16:$B$72,$A126,RODANTES!X$16:X$72)+SUMIF(RECARGAS!$B$16:$B$37,$A126,RECARGAS!AH$16:AH$37)+SUMIF(REVENDIDOS!$B$16:$B$25,$A126,REVENDIDOS!Y$16:Y$25)</f>
        <v>770.5805107</v>
      </c>
    </row>
    <row r="127" customFormat="false" ht="15" hidden="false" customHeight="false" outlineLevel="0" collapsed="false">
      <c r="A127" s="3" t="s">
        <v>593</v>
      </c>
      <c r="B127" s="3" t="s">
        <v>594</v>
      </c>
      <c r="C127" s="3" t="s">
        <v>214</v>
      </c>
      <c r="D127" s="13" t="n">
        <f aca="false">SUMIF(MANUALES!$B$16:$B$72,$A127,MANUALES!W$16:W$72)</f>
        <v>0</v>
      </c>
      <c r="E127" s="13" t="n">
        <f aca="false">SUMIF(RODANTES!$B$16:$B$72,$A127,RODANTES!W$16:W$72)</f>
        <v>0</v>
      </c>
      <c r="F127" s="13" t="n">
        <f aca="false">SUMIF(RECARGAS!$B$16:$B$37,$A127,RECARGAS!AG$16:AG$37)</f>
        <v>0</v>
      </c>
      <c r="G127" s="13" t="n">
        <f aca="false">SUMIF(REVENDIDOS!$B$16:$B$25,$A127,REVENDIDOS!X$16:X$25)</f>
        <v>3776.01776725347</v>
      </c>
      <c r="H127" s="13" t="n">
        <f aca="false">SUMIF(MANUALES!$B$16:$B$72,$A127,MANUALES!N$16:N$72)+SUMIF(RODANTES!$B$16:$B$72,$A127,RODANTES!N$16:N$72)+SUMIF(RECARGAS!$B$16:$B$37,$A127,RECARGAS!X$16:X$37)+SUMIF(REVENDIDOS!$B$16:$B$25,$A127,REVENDIDOS!O$16:O$25)</f>
        <v>286.05400997644</v>
      </c>
      <c r="I127" s="13" t="n">
        <f aca="false">SUMIF(MANUALES!$B$16:$B$72,$A127,MANUALES!O$16:O$72)+SUMIF(RODANTES!$B$16:$B$72,$A127,RODANTES!O$16:O$72)+SUMIF(RECARGAS!$B$16:$B$37,$A127,RECARGAS!Y$16:Y$37)+SUMIF(REVENDIDOS!$B$16:$B$25,$A127,REVENDIDOS!P$16:P$25)</f>
        <v>494.98806526907</v>
      </c>
      <c r="J127" s="13" t="n">
        <f aca="false">SUMIF(MANUALES!$B$16:$B$72,$A127,MANUALES!P$16:P$72)+SUMIF(RODANTES!$B$16:$B$72,$A127,RODANTES!P$16:P$72)+SUMIF(RECARGAS!$B$16:$B$37,$A127,RECARGAS!Z$16:Z$37)+SUMIF(REVENDIDOS!$B$16:$B$25,$A127,REVENDIDOS!Q$16:Q$25)</f>
        <v>634.889191439865</v>
      </c>
      <c r="K127" s="13" t="n">
        <f aca="false">SUMIF(MANUALES!$B$16:$B$72,$A127,MANUALES!Q$16:Q$72)+SUMIF(RODANTES!$B$16:$B$72,$A127,RODANTES!Q$16:Q$72)+SUMIF(RECARGAS!$B$16:$B$37,$A127,RECARGAS!AA$16:AA$37)+SUMIF(REVENDIDOS!$B$16:$B$25,$A127,REVENDIDOS!R$16:R$25)</f>
        <v>852.185361517076</v>
      </c>
      <c r="L127" s="13" t="n">
        <f aca="false">SUMIF(MANUALES!$B$16:$B$72,$A127,MANUALES!R$16:R$72)+SUMIF(RODANTES!$B$16:$B$72,$A127,RODANTES!R$16:R$72)+SUMIF(RECARGAS!$B$16:$B$37,$A127,RECARGAS!AB$16:AB$37)+SUMIF(REVENDIDOS!$B$16:$B$25,$A127,REVENDIDOS!S$16:S$25)</f>
        <v>1303.71490027196</v>
      </c>
      <c r="M127" s="13" t="n">
        <f aca="false">SUMIF(MANUALES!$B$16:$B$72,$A127,MANUALES!S$16:S$72)+SUMIF(RODANTES!$B$16:$B$72,$A127,RODANTES!S$16:S$72)+SUMIF(RECARGAS!$B$16:$B$37,$A127,RECARGAS!AC$16:AC$37)+SUMIF(REVENDIDOS!$B$16:$B$25,$A127,REVENDIDOS!T$16:T$25)</f>
        <v>1768.19709770463</v>
      </c>
      <c r="N127" s="13" t="n">
        <f aca="false">SUMIF(MANUALES!$B$16:$B$72,$A127,MANUALES!T$16:T$72)+SUMIF(RODANTES!$B$16:$B$72,$A127,RODANTES!T$16:T$72)+SUMIF(RECARGAS!$B$16:$B$37,$A127,RECARGAS!AD$16:AD$37)+SUMIF(REVENDIDOS!$B$16:$B$25,$A127,REVENDIDOS!U$16:U$25)</f>
        <v>2265.768348428</v>
      </c>
      <c r="O127" s="13" t="n">
        <f aca="false">SUMIF(MANUALES!$B$16:$B$72,$A127,MANUALES!U$16:U$72)+SUMIF(RODANTES!$B$16:$B$72,$A127,RODANTES!U$16:U$72)+SUMIF(RECARGAS!$B$16:$B$37,$A127,RECARGAS!AE$16:AE$37)+SUMIF(REVENDIDOS!$B$16:$B$25,$A127,REVENDIDOS!V$16:V$25)</f>
        <v>2799.56359799858</v>
      </c>
      <c r="P127" s="13" t="n">
        <f aca="false">SUMIF(MANUALES!$B$16:$B$72,$A127,MANUALES!V$16:V$72)+SUMIF(RODANTES!$B$16:$B$72,$A127,RODANTES!V$16:V$72)+SUMIF(RECARGAS!$B$16:$B$37,$A127,RECARGAS!AF$16:AF$37)+SUMIF(REVENDIDOS!$B$16:$B$25,$A127,REVENDIDOS!W$16:W$25)</f>
        <v>3269.30867659321</v>
      </c>
      <c r="Q127" s="13" t="n">
        <f aca="false">SUMIF(MANUALES!$B$16:$B$72,$A127,MANUALES!W$16:W$72)+SUMIF(RODANTES!$B$16:$B$72,$A127,RODANTES!W$16:W$72)+SUMIF(RECARGAS!$B$16:$B$37,$A127,RECARGAS!AG$16:AG$37)+SUMIF(REVENDIDOS!$B$16:$B$25,$A127,REVENDIDOS!X$16:X$25)</f>
        <v>3776.01776725347</v>
      </c>
      <c r="R127" s="13" t="n">
        <f aca="false">SUMIF(MANUALES!$B$16:$B$72,$A127,MANUALES!X$16:X$72)+SUMIF(RODANTES!$B$16:$B$72,$A127,RODANTES!X$16:X$72)+SUMIF(RECARGAS!$B$16:$B$37,$A127,RECARGAS!AH$16:AH$37)+SUMIF(REVENDIDOS!$B$16:$B$25,$A127,REVENDIDOS!Y$16:Y$25)</f>
        <v>415.361954397881</v>
      </c>
    </row>
    <row r="128" customFormat="false" ht="15" hidden="false" customHeight="false" outlineLevel="0" collapsed="false">
      <c r="A128" s="3" t="s">
        <v>596</v>
      </c>
      <c r="B128" s="3" t="s">
        <v>597</v>
      </c>
      <c r="C128" s="3" t="s">
        <v>214</v>
      </c>
      <c r="D128" s="13" t="n">
        <f aca="false">SUMIF(MANUALES!$B$16:$B$72,$A128,MANUALES!W$16:W$72)</f>
        <v>0</v>
      </c>
      <c r="E128" s="13" t="n">
        <f aca="false">SUMIF(RODANTES!$B$16:$B$72,$A128,RODANTES!W$16:W$72)</f>
        <v>0</v>
      </c>
      <c r="F128" s="13" t="n">
        <f aca="false">SUMIF(RECARGAS!$B$16:$B$37,$A128,RECARGAS!AG$16:AG$37)</f>
        <v>0</v>
      </c>
      <c r="G128" s="13" t="n">
        <f aca="false">SUMIF(REVENDIDOS!$B$16:$B$25,$A128,REVENDIDOS!X$16:X$25)</f>
        <v>744.120454978018</v>
      </c>
      <c r="H128" s="13" t="n">
        <f aca="false">SUMIF(MANUALES!$B$16:$B$72,$A128,MANUALES!N$16:N$72)+SUMIF(RODANTES!$B$16:$B$72,$A128,RODANTES!N$16:N$72)+SUMIF(RECARGAS!$B$16:$B$37,$A128,RECARGAS!X$16:X$37)+SUMIF(REVENDIDOS!$B$16:$B$25,$A128,REVENDIDOS!O$16:O$25)</f>
        <v>59.1473904809201</v>
      </c>
      <c r="I128" s="13" t="n">
        <f aca="false">SUMIF(MANUALES!$B$16:$B$72,$A128,MANUALES!O$16:O$72)+SUMIF(RODANTES!$B$16:$B$72,$A128,RODANTES!O$16:O$72)+SUMIF(RECARGAS!$B$16:$B$37,$A128,RECARGAS!Y$16:Y$37)+SUMIF(REVENDIDOS!$B$16:$B$25,$A128,REVENDIDOS!P$16:P$25)</f>
        <v>100.564071531466</v>
      </c>
      <c r="J128" s="13" t="n">
        <f aca="false">SUMIF(MANUALES!$B$16:$B$72,$A128,MANUALES!P$16:P$72)+SUMIF(RODANTES!$B$16:$B$72,$A128,RODANTES!P$16:P$72)+SUMIF(RECARGAS!$B$16:$B$37,$A128,RECARGAS!Z$16:Z$37)+SUMIF(REVENDIDOS!$B$16:$B$25,$A128,REVENDIDOS!Q$16:Q$25)</f>
        <v>126.846226852012</v>
      </c>
      <c r="K128" s="13" t="n">
        <f aca="false">SUMIF(MANUALES!$B$16:$B$72,$A128,MANUALES!Q$16:Q$72)+SUMIF(RODANTES!$B$16:$B$72,$A128,RODANTES!Q$16:Q$72)+SUMIF(RECARGAS!$B$16:$B$37,$A128,RECARGAS!AA$16:AA$37)+SUMIF(REVENDIDOS!$B$16:$B$25,$A128,REVENDIDOS!R$16:R$25)</f>
        <v>168.436733083478</v>
      </c>
      <c r="L128" s="13" t="n">
        <f aca="false">SUMIF(MANUALES!$B$16:$B$72,$A128,MANUALES!R$16:R$72)+SUMIF(RODANTES!$B$16:$B$72,$A128,RODANTES!R$16:R$72)+SUMIF(RECARGAS!$B$16:$B$37,$A128,RECARGAS!AB$16:AB$37)+SUMIF(REVENDIDOS!$B$16:$B$25,$A128,REVENDIDOS!S$16:S$25)</f>
        <v>257.23765972457</v>
      </c>
      <c r="M128" s="13" t="n">
        <f aca="false">SUMIF(MANUALES!$B$16:$B$72,$A128,MANUALES!S$16:S$72)+SUMIF(RODANTES!$B$16:$B$72,$A128,RODANTES!S$16:S$72)+SUMIF(RECARGAS!$B$16:$B$37,$A128,RECARGAS!AC$16:AC$37)+SUMIF(REVENDIDOS!$B$16:$B$25,$A128,REVENDIDOS!T$16:T$25)</f>
        <v>346.790874665662</v>
      </c>
      <c r="N128" s="13" t="n">
        <f aca="false">SUMIF(MANUALES!$B$16:$B$72,$A128,MANUALES!T$16:T$72)+SUMIF(RODANTES!$B$16:$B$72,$A128,RODANTES!T$16:T$72)+SUMIF(RECARGAS!$B$16:$B$37,$A128,RECARGAS!AD$16:AD$37)+SUMIF(REVENDIDOS!$B$16:$B$25,$A128,REVENDIDOS!U$16:U$25)</f>
        <v>445.403985406754</v>
      </c>
      <c r="O128" s="13" t="n">
        <f aca="false">SUMIF(MANUALES!$B$16:$B$72,$A128,MANUALES!U$16:U$72)+SUMIF(RODANTES!$B$16:$B$72,$A128,RODANTES!U$16:U$72)+SUMIF(RECARGAS!$B$16:$B$37,$A128,RECARGAS!AE$16:AE$37)+SUMIF(REVENDIDOS!$B$16:$B$25,$A128,REVENDIDOS!V$16:V$25)</f>
        <v>551.603913436926</v>
      </c>
      <c r="P128" s="13" t="n">
        <f aca="false">SUMIF(MANUALES!$B$16:$B$72,$A128,MANUALES!V$16:V$72)+SUMIF(RODANTES!$B$16:$B$72,$A128,RODANTES!V$16:V$72)+SUMIF(RECARGAS!$B$16:$B$37,$A128,RECARGAS!AF$16:AF$37)+SUMIF(REVENDIDOS!$B$16:$B$25,$A128,REVENDIDOS!W$16:W$25)</f>
        <v>644.417874757472</v>
      </c>
      <c r="Q128" s="13" t="n">
        <f aca="false">SUMIF(MANUALES!$B$16:$B$72,$A128,MANUALES!W$16:W$72)+SUMIF(RODANTES!$B$16:$B$72,$A128,RODANTES!W$16:W$72)+SUMIF(RECARGAS!$B$16:$B$37,$A128,RECARGAS!AG$16:AG$37)+SUMIF(REVENDIDOS!$B$16:$B$25,$A128,REVENDIDOS!X$16:X$25)</f>
        <v>744.120454978018</v>
      </c>
      <c r="R128" s="13" t="n">
        <f aca="false">SUMIF(MANUALES!$B$16:$B$72,$A128,MANUALES!X$16:X$72)+SUMIF(RODANTES!$B$16:$B$72,$A128,RODANTES!X$16:X$72)+SUMIF(RECARGAS!$B$16:$B$37,$A128,RECARGAS!AH$16:AH$37)+SUMIF(REVENDIDOS!$B$16:$B$25,$A128,REVENDIDOS!Y$16:Y$25)</f>
        <v>81.853250047582</v>
      </c>
    </row>
    <row r="129" customFormat="false" ht="15" hidden="false" customHeight="false" outlineLevel="0" collapsed="false">
      <c r="A129" s="3" t="s">
        <v>599</v>
      </c>
      <c r="B129" s="3" t="s">
        <v>600</v>
      </c>
      <c r="C129" s="3" t="s">
        <v>214</v>
      </c>
      <c r="D129" s="13" t="n">
        <f aca="false">SUMIF(MANUALES!$B$16:$B$72,$A129,MANUALES!W$16:W$72)</f>
        <v>0</v>
      </c>
      <c r="E129" s="13" t="n">
        <f aca="false">SUMIF(RODANTES!$B$16:$B$72,$A129,RODANTES!W$16:W$72)</f>
        <v>0</v>
      </c>
      <c r="F129" s="13" t="n">
        <f aca="false">SUMIF(RECARGAS!$B$16:$B$37,$A129,RECARGAS!AG$16:AG$37)</f>
        <v>0</v>
      </c>
      <c r="G129" s="13" t="n">
        <f aca="false">SUMIF(REVENDIDOS!$B$16:$B$25,$A129,REVENDIDOS!X$16:X$25)</f>
        <v>277.41598400273</v>
      </c>
      <c r="H129" s="13" t="n">
        <f aca="false">SUMIF(MANUALES!$B$16:$B$72,$A129,MANUALES!N$16:N$72)+SUMIF(RODANTES!$B$16:$B$72,$A129,RODANTES!N$16:N$72)+SUMIF(RECARGAS!$B$16:$B$37,$A129,RECARGAS!X$16:X$37)+SUMIF(REVENDIDOS!$B$16:$B$25,$A129,REVENDIDOS!O$16:O$25)</f>
        <v>28.7168679309201</v>
      </c>
      <c r="I129" s="13" t="n">
        <f aca="false">SUMIF(MANUALES!$B$16:$B$72,$A129,MANUALES!O$16:O$72)+SUMIF(RODANTES!$B$16:$B$72,$A129,RODANTES!O$16:O$72)+SUMIF(RECARGAS!$B$16:$B$37,$A129,RECARGAS!Y$16:Y$37)+SUMIF(REVENDIDOS!$B$16:$B$25,$A129,REVENDIDOS!P$16:P$25)</f>
        <v>45.696344300546</v>
      </c>
      <c r="J129" s="13" t="n">
        <f aca="false">SUMIF(MANUALES!$B$16:$B$72,$A129,MANUALES!P$16:P$72)+SUMIF(RODANTES!$B$16:$B$72,$A129,RODANTES!P$16:P$72)+SUMIF(RECARGAS!$B$16:$B$37,$A129,RECARGAS!Z$16:Z$37)+SUMIF(REVENDIDOS!$B$16:$B$25,$A129,REVENDIDOS!Q$16:Q$25)</f>
        <v>55.275860700546</v>
      </c>
      <c r="K129" s="13" t="n">
        <f aca="false">SUMIF(MANUALES!$B$16:$B$72,$A129,MANUALES!Q$16:Q$72)+SUMIF(RODANTES!$B$16:$B$72,$A129,RODANTES!Q$16:Q$72)+SUMIF(RECARGAS!$B$16:$B$37,$A129,RECARGAS!AA$16:AA$37)+SUMIF(REVENDIDOS!$B$16:$B$25,$A129,REVENDIDOS!R$16:R$25)</f>
        <v>71.1256708514661</v>
      </c>
      <c r="L129" s="13" t="n">
        <f aca="false">SUMIF(MANUALES!$B$16:$B$72,$A129,MANUALES!R$16:R$72)+SUMIF(RODANTES!$B$16:$B$72,$A129,RODANTES!R$16:R$72)+SUMIF(RECARGAS!$B$16:$B$37,$A129,RECARGAS!AB$16:AB$37)+SUMIF(REVENDIDOS!$B$16:$B$25,$A129,REVENDIDOS!S$16:S$25)</f>
        <v>103.250177352012</v>
      </c>
      <c r="M129" s="13" t="n">
        <f aca="false">SUMIF(MANUALES!$B$16:$B$72,$A129,MANUALES!S$16:S$72)+SUMIF(RODANTES!$B$16:$B$72,$A129,RODANTES!S$16:S$72)+SUMIF(RECARGAS!$B$16:$B$37,$A129,RECARGAS!AC$16:AC$37)+SUMIF(REVENDIDOS!$B$16:$B$25,$A129,REVENDIDOS!T$16:T$25)</f>
        <v>128.005914661638</v>
      </c>
      <c r="N129" s="13" t="n">
        <f aca="false">SUMIF(MANUALES!$B$16:$B$72,$A129,MANUALES!T$16:T$72)+SUMIF(RODANTES!$B$16:$B$72,$A129,RODANTES!T$16:T$72)+SUMIF(RECARGAS!$B$16:$B$37,$A129,RECARGAS!AD$16:AD$37)+SUMIF(REVENDIDOS!$B$16:$B$25,$A129,REVENDIDOS!U$16:U$25)</f>
        <v>164.315519872558</v>
      </c>
      <c r="O129" s="13" t="n">
        <f aca="false">SUMIF(MANUALES!$B$16:$B$72,$A129,MANUALES!U$16:U$72)+SUMIF(RODANTES!$B$16:$B$72,$A129,RODANTES!U$16:U$72)+SUMIF(RECARGAS!$B$16:$B$37,$A129,RECARGAS!AE$16:AE$37)+SUMIF(REVENDIDOS!$B$16:$B$25,$A129,REVENDIDOS!V$16:V$25)</f>
        <v>203.409370182184</v>
      </c>
      <c r="P129" s="13" t="n">
        <f aca="false">SUMIF(MANUALES!$B$16:$B$72,$A129,MANUALES!V$16:V$72)+SUMIF(RODANTES!$B$16:$B$72,$A129,RODANTES!V$16:V$72)+SUMIF(RECARGAS!$B$16:$B$37,$A129,RECARGAS!AF$16:AF$37)+SUMIF(REVENDIDOS!$B$16:$B$25,$A129,REVENDIDOS!W$16:W$25)</f>
        <v>239.215218293104</v>
      </c>
      <c r="Q129" s="13" t="n">
        <f aca="false">SUMIF(MANUALES!$B$16:$B$72,$A129,MANUALES!W$16:W$72)+SUMIF(RODANTES!$B$16:$B$72,$A129,RODANTES!W$16:W$72)+SUMIF(RECARGAS!$B$16:$B$37,$A129,RECARGAS!AG$16:AG$37)+SUMIF(REVENDIDOS!$B$16:$B$25,$A129,REVENDIDOS!X$16:X$25)</f>
        <v>277.41598400273</v>
      </c>
      <c r="R129" s="13" t="n">
        <f aca="false">SUMIF(MANUALES!$B$16:$B$72,$A129,MANUALES!X$16:X$72)+SUMIF(RODANTES!$B$16:$B$72,$A129,RODANTES!X$16:X$72)+SUMIF(RECARGAS!$B$16:$B$37,$A129,RECARGAS!AH$16:AH$37)+SUMIF(REVENDIDOS!$B$16:$B$25,$A129,REVENDIDOS!Y$16:Y$25)</f>
        <v>30.5157582403003</v>
      </c>
    </row>
  </sheetData>
  <autoFilter ref="A3:R12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0"/>
    <pageSetUpPr fitToPage="true"/>
  </sheetPr>
  <dimension ref="A1:W14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6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10" min="9" style="0" width="8"/>
    <col collapsed="false" customWidth="true" hidden="false" outlineLevel="0" max="11" min="11" style="0" width="70"/>
    <col collapsed="false" customWidth="true" hidden="false" outlineLevel="0" max="12" min="12" style="0" width="14"/>
    <col collapsed="false" customWidth="true" hidden="false" outlineLevel="0" max="14" min="13" style="0" width="16"/>
    <col collapsed="false" customWidth="true" hidden="false" outlineLevel="0" max="15" min="15" style="0" width="22"/>
    <col collapsed="false" customWidth="true" hidden="false" outlineLevel="0" max="18" min="16" style="0" width="11"/>
    <col collapsed="false" customWidth="true" hidden="false" outlineLevel="0" max="19" min="19" style="0" width="9"/>
    <col collapsed="false" customWidth="true" hidden="false" outlineLevel="0" max="20" min="20" style="0" width="15"/>
    <col collapsed="false" customWidth="true" hidden="false" outlineLevel="0" max="21" min="21" style="0" width="30"/>
    <col collapsed="false" customWidth="true" hidden="false" outlineLevel="0" max="22" min="22" style="0" width="12"/>
    <col collapsed="false" customWidth="true" hidden="false" outlineLevel="0" max="23" min="23" style="0" width="11"/>
  </cols>
  <sheetData>
    <row r="1" customFormat="false" ht="15" hidden="false" customHeight="false" outlineLevel="0" collapsed="false">
      <c r="A1" s="1" t="s">
        <v>607</v>
      </c>
    </row>
    <row r="3" customFormat="false" ht="15" hidden="false" customHeight="false" outlineLevel="0" collapsed="false">
      <c r="A3" s="14"/>
      <c r="B3" s="14"/>
      <c r="C3" s="14"/>
      <c r="D3" s="14"/>
      <c r="E3" s="14"/>
      <c r="F3" s="14" t="s">
        <v>608</v>
      </c>
      <c r="G3" s="14"/>
      <c r="H3" s="14"/>
      <c r="I3" s="14" t="s">
        <v>609</v>
      </c>
      <c r="J3" s="14"/>
      <c r="K3" s="14"/>
      <c r="L3" s="14" t="s">
        <v>610</v>
      </c>
      <c r="M3" s="14"/>
      <c r="N3" s="14"/>
      <c r="O3" s="14" t="s">
        <v>611</v>
      </c>
      <c r="P3" s="14"/>
      <c r="Q3" s="14"/>
      <c r="R3" s="14"/>
      <c r="S3" s="14"/>
      <c r="T3" s="14"/>
      <c r="U3" s="14" t="s">
        <v>612</v>
      </c>
      <c r="V3" s="14"/>
      <c r="W3" s="14"/>
    </row>
    <row r="4" customFormat="false" ht="66" hidden="false" customHeight="true" outlineLevel="0" collapsed="false">
      <c r="A4" s="2" t="s">
        <v>1</v>
      </c>
      <c r="B4" s="2" t="s">
        <v>140</v>
      </c>
      <c r="C4" s="2" t="s">
        <v>141</v>
      </c>
      <c r="D4" s="2" t="s">
        <v>142</v>
      </c>
      <c r="E4" s="2" t="s">
        <v>613</v>
      </c>
      <c r="F4" s="2" t="s">
        <v>614</v>
      </c>
      <c r="G4" s="2" t="s">
        <v>615</v>
      </c>
      <c r="H4" s="2" t="s">
        <v>616</v>
      </c>
      <c r="I4" s="2" t="s">
        <v>617</v>
      </c>
      <c r="J4" s="2" t="s">
        <v>618</v>
      </c>
      <c r="K4" s="2" t="s">
        <v>619</v>
      </c>
      <c r="L4" s="2" t="s">
        <v>620</v>
      </c>
      <c r="M4" s="2" t="s">
        <v>621</v>
      </c>
      <c r="N4" s="2" t="s">
        <v>622</v>
      </c>
      <c r="O4" s="2" t="s">
        <v>623</v>
      </c>
      <c r="P4" s="2" t="s">
        <v>624</v>
      </c>
      <c r="Q4" s="2" t="s">
        <v>625</v>
      </c>
      <c r="R4" s="2" t="s">
        <v>626</v>
      </c>
      <c r="S4" s="2" t="s">
        <v>627</v>
      </c>
      <c r="T4" s="2" t="s">
        <v>628</v>
      </c>
      <c r="U4" s="2" t="s">
        <v>629</v>
      </c>
      <c r="V4" s="2" t="s">
        <v>630</v>
      </c>
      <c r="W4" s="2" t="s">
        <v>631</v>
      </c>
    </row>
    <row r="5" customFormat="false" ht="15" hidden="false" customHeight="false" outlineLevel="0" collapsed="false">
      <c r="A5" s="3" t="s">
        <v>632</v>
      </c>
      <c r="B5" s="3" t="s">
        <v>176</v>
      </c>
      <c r="C5" s="3" t="s">
        <v>177</v>
      </c>
      <c r="D5" s="3" t="s">
        <v>178</v>
      </c>
      <c r="E5" s="3" t="s">
        <v>633</v>
      </c>
      <c r="F5" s="13" t="n">
        <f aca="false">CONSOLIDADO!Q4</f>
        <v>8809.59300565217</v>
      </c>
      <c r="G5" s="15" t="n">
        <f aca="false">F5/240</f>
        <v>36.7066375235507</v>
      </c>
      <c r="H5" s="15" t="n">
        <f aca="false">CONSOLIDADO!R4/20</f>
        <v>52.857558033913</v>
      </c>
      <c r="I5" s="3" t="n">
        <v>5</v>
      </c>
      <c r="J5" s="3" t="n">
        <v>5</v>
      </c>
      <c r="K5" s="3" t="s">
        <v>634</v>
      </c>
      <c r="L5" s="13" t="n">
        <f aca="false">G5*(I5+J5)/2</f>
        <v>183.533187617754</v>
      </c>
      <c r="M5" s="13" t="n">
        <f aca="false">H5*J5-L5</f>
        <v>80.7546025518116</v>
      </c>
      <c r="N5" s="13" t="n">
        <f aca="false">L5+M5</f>
        <v>264.287790169565</v>
      </c>
      <c r="O5" s="3" t="s">
        <v>635</v>
      </c>
      <c r="P5" s="16" t="n">
        <v>16</v>
      </c>
      <c r="Q5" s="3" t="n">
        <v>5</v>
      </c>
      <c r="R5" s="3" t="n">
        <f aca="false">MAX(1,CEILING(H5*Q5/P5,1))</f>
        <v>17</v>
      </c>
      <c r="S5" s="17" t="n">
        <f aca="false">F5/(R5*P5)</f>
        <v>32.3882095796036</v>
      </c>
      <c r="T5" s="13" t="n">
        <f aca="false">M5+R5*P5</f>
        <v>352.754602551812</v>
      </c>
      <c r="U5" s="3" t="s">
        <v>636</v>
      </c>
      <c r="V5" s="16" t="n">
        <v>61</v>
      </c>
      <c r="W5" s="17" t="n">
        <f aca="false">T5/V5</f>
        <v>5.78286233691494</v>
      </c>
    </row>
    <row r="6" customFormat="false" ht="15" hidden="false" customHeight="false" outlineLevel="0" collapsed="false">
      <c r="A6" s="3" t="s">
        <v>637</v>
      </c>
      <c r="B6" s="3" t="s">
        <v>180</v>
      </c>
      <c r="C6" s="3" t="s">
        <v>181</v>
      </c>
      <c r="D6" s="3" t="s">
        <v>182</v>
      </c>
      <c r="E6" s="3" t="s">
        <v>638</v>
      </c>
      <c r="F6" s="13" t="n">
        <f aca="false">CONSOLIDADO!Q5</f>
        <v>521.994757185185</v>
      </c>
      <c r="G6" s="15" t="n">
        <f aca="false">F6/240</f>
        <v>2.17497815493827</v>
      </c>
      <c r="H6" s="15" t="n">
        <f aca="false">CONSOLIDADO!R5/20</f>
        <v>2.87097116451852</v>
      </c>
      <c r="I6" s="3" t="n">
        <v>7</v>
      </c>
      <c r="J6" s="3" t="n">
        <v>10</v>
      </c>
      <c r="K6" s="3" t="s">
        <v>639</v>
      </c>
      <c r="L6" s="13" t="n">
        <f aca="false">G6*(I6+J6)/2</f>
        <v>18.4873143169753</v>
      </c>
      <c r="M6" s="13" t="n">
        <f aca="false">H6*J6-L6</f>
        <v>10.2223973282099</v>
      </c>
      <c r="N6" s="13" t="n">
        <f aca="false">L6+M6</f>
        <v>28.7097116451852</v>
      </c>
      <c r="O6" s="3" t="s">
        <v>640</v>
      </c>
      <c r="P6" s="16" t="n">
        <v>50</v>
      </c>
      <c r="Q6" s="3" t="n">
        <v>20</v>
      </c>
      <c r="R6" s="3" t="n">
        <f aca="false">MAX(1,CEILING(H6*Q6/P6,1))</f>
        <v>2</v>
      </c>
      <c r="S6" s="17" t="n">
        <f aca="false">F6/(R6*P6)</f>
        <v>5.21994757185185</v>
      </c>
      <c r="T6" s="13" t="n">
        <f aca="false">M6+R6*P6</f>
        <v>110.22239732821</v>
      </c>
      <c r="U6" s="3" t="s">
        <v>641</v>
      </c>
      <c r="V6" s="16" t="n">
        <v>136</v>
      </c>
      <c r="W6" s="17" t="n">
        <f aca="false">T6/V6</f>
        <v>0.810458803883896</v>
      </c>
    </row>
    <row r="7" customFormat="false" ht="15" hidden="false" customHeight="false" outlineLevel="0" collapsed="false">
      <c r="A7" s="3" t="s">
        <v>642</v>
      </c>
      <c r="B7" s="3" t="s">
        <v>184</v>
      </c>
      <c r="C7" s="3" t="s">
        <v>185</v>
      </c>
      <c r="D7" s="3" t="s">
        <v>182</v>
      </c>
      <c r="E7" s="3" t="s">
        <v>638</v>
      </c>
      <c r="F7" s="13" t="n">
        <f aca="false">CONSOLIDADO!Q6</f>
        <v>5445.31422385447</v>
      </c>
      <c r="G7" s="15" t="n">
        <f aca="false">F7/240</f>
        <v>22.6888092660603</v>
      </c>
      <c r="H7" s="15" t="n">
        <f aca="false">CONSOLIDADO!R6/20</f>
        <v>29.9492282311996</v>
      </c>
      <c r="I7" s="3" t="n">
        <v>7</v>
      </c>
      <c r="J7" s="3" t="n">
        <v>10</v>
      </c>
      <c r="K7" s="3" t="s">
        <v>639</v>
      </c>
      <c r="L7" s="13" t="n">
        <f aca="false">G7*(I7+J7)/2</f>
        <v>192.854878761512</v>
      </c>
      <c r="M7" s="13" t="n">
        <f aca="false">H7*J7-L7</f>
        <v>106.637403550483</v>
      </c>
      <c r="N7" s="13" t="n">
        <f aca="false">L7+M7</f>
        <v>299.492282311996</v>
      </c>
      <c r="O7" s="3" t="s">
        <v>643</v>
      </c>
      <c r="P7" s="16" t="n">
        <v>80</v>
      </c>
      <c r="Q7" s="3" t="n">
        <v>20</v>
      </c>
      <c r="R7" s="3" t="n">
        <f aca="false">MAX(1,CEILING(H7*Q7/P7,1))</f>
        <v>8</v>
      </c>
      <c r="S7" s="17" t="n">
        <f aca="false">F7/(R7*P7)</f>
        <v>8.50830347477261</v>
      </c>
      <c r="T7" s="13" t="n">
        <f aca="false">M7+R7*P7</f>
        <v>746.637403550483</v>
      </c>
      <c r="U7" s="3" t="s">
        <v>641</v>
      </c>
      <c r="V7" s="16" t="n">
        <v>158</v>
      </c>
      <c r="W7" s="17" t="n">
        <f aca="false">T7/V7</f>
        <v>4.72555318702838</v>
      </c>
    </row>
    <row r="8" customFormat="false" ht="15" hidden="false" customHeight="false" outlineLevel="0" collapsed="false">
      <c r="A8" s="3" t="s">
        <v>644</v>
      </c>
      <c r="B8" s="3" t="s">
        <v>187</v>
      </c>
      <c r="C8" s="3" t="s">
        <v>188</v>
      </c>
      <c r="D8" s="3" t="s">
        <v>182</v>
      </c>
      <c r="E8" s="3" t="s">
        <v>638</v>
      </c>
      <c r="F8" s="13" t="n">
        <f aca="false">CONSOLIDADO!Q7</f>
        <v>256.925131546466</v>
      </c>
      <c r="G8" s="15" t="n">
        <f aca="false">F8/240</f>
        <v>1.07052138144361</v>
      </c>
      <c r="H8" s="15" t="n">
        <f aca="false">CONSOLIDADO!R7/20</f>
        <v>1.41308822350556</v>
      </c>
      <c r="I8" s="3" t="n">
        <v>7</v>
      </c>
      <c r="J8" s="3" t="n">
        <v>10</v>
      </c>
      <c r="K8" s="3" t="s">
        <v>639</v>
      </c>
      <c r="L8" s="13" t="n">
        <f aca="false">G8*(I8+J8)/2</f>
        <v>9.09943174227066</v>
      </c>
      <c r="M8" s="13" t="n">
        <f aca="false">H8*J8-L8</f>
        <v>5.03145049278495</v>
      </c>
      <c r="N8" s="13" t="n">
        <f aca="false">L8+M8</f>
        <v>14.1308822350556</v>
      </c>
      <c r="O8" s="3" t="s">
        <v>645</v>
      </c>
      <c r="P8" s="16" t="n">
        <v>20</v>
      </c>
      <c r="Q8" s="3" t="n">
        <v>20</v>
      </c>
      <c r="R8" s="3" t="n">
        <f aca="false">MAX(1,CEILING(H8*Q8/P8,1))</f>
        <v>2</v>
      </c>
      <c r="S8" s="17" t="n">
        <f aca="false">F8/(R8*P8)</f>
        <v>6.42312828866164</v>
      </c>
      <c r="T8" s="13" t="n">
        <f aca="false">M8+R8*P8</f>
        <v>45.031450492785</v>
      </c>
      <c r="U8" s="3" t="s">
        <v>641</v>
      </c>
      <c r="V8" s="16" t="n">
        <v>56</v>
      </c>
      <c r="W8" s="17" t="n">
        <f aca="false">T8/V8</f>
        <v>0.804133044514017</v>
      </c>
    </row>
    <row r="9" customFormat="false" ht="15" hidden="false" customHeight="false" outlineLevel="0" collapsed="false">
      <c r="A9" s="3" t="s">
        <v>646</v>
      </c>
      <c r="B9" s="3" t="s">
        <v>190</v>
      </c>
      <c r="C9" s="3" t="s">
        <v>191</v>
      </c>
      <c r="D9" s="3" t="s">
        <v>192</v>
      </c>
      <c r="E9" s="3" t="s">
        <v>638</v>
      </c>
      <c r="F9" s="13" t="n">
        <f aca="false">CONSOLIDADO!Q8</f>
        <v>15992.8835182459</v>
      </c>
      <c r="G9" s="15" t="n">
        <f aca="false">F9/240</f>
        <v>66.6370146593581</v>
      </c>
      <c r="H9" s="15" t="n">
        <f aca="false">CONSOLIDADO!R8/20</f>
        <v>95.9573011094757</v>
      </c>
      <c r="I9" s="3" t="n">
        <v>7</v>
      </c>
      <c r="J9" s="3" t="n">
        <v>10</v>
      </c>
      <c r="K9" s="3" t="s">
        <v>647</v>
      </c>
      <c r="L9" s="13" t="n">
        <f aca="false">G9*(I9+J9)/2</f>
        <v>566.414624604544</v>
      </c>
      <c r="M9" s="13" t="n">
        <f aca="false">H9*J9-L9</f>
        <v>393.158386490213</v>
      </c>
      <c r="N9" s="13" t="n">
        <f aca="false">L9+M9</f>
        <v>959.573011094757</v>
      </c>
      <c r="O9" s="3" t="s">
        <v>648</v>
      </c>
      <c r="P9" s="16" t="n">
        <v>1900</v>
      </c>
      <c r="Q9" s="3" t="n">
        <v>5</v>
      </c>
      <c r="R9" s="3" t="n">
        <f aca="false">MAX(1,CEILING(H9*Q9/P9,1))</f>
        <v>1</v>
      </c>
      <c r="S9" s="17" t="n">
        <f aca="false">F9/(R9*P9)</f>
        <v>8.41730711486629</v>
      </c>
      <c r="T9" s="13" t="n">
        <f aca="false">M9+R9*P9</f>
        <v>2293.15838649021</v>
      </c>
      <c r="U9" s="3" t="s">
        <v>641</v>
      </c>
      <c r="V9" s="16" t="n">
        <v>1000</v>
      </c>
      <c r="W9" s="17" t="n">
        <f aca="false">T9/V9</f>
        <v>2.29315838649021</v>
      </c>
    </row>
    <row r="10" customFormat="false" ht="15" hidden="false" customHeight="false" outlineLevel="0" collapsed="false">
      <c r="A10" s="3" t="s">
        <v>649</v>
      </c>
      <c r="B10" s="3" t="s">
        <v>194</v>
      </c>
      <c r="C10" s="3" t="s">
        <v>195</v>
      </c>
      <c r="D10" s="3" t="s">
        <v>192</v>
      </c>
      <c r="E10" s="3" t="s">
        <v>638</v>
      </c>
      <c r="F10" s="13" t="n">
        <f aca="false">CONSOLIDADO!Q9</f>
        <v>30867.038208215</v>
      </c>
      <c r="G10" s="15" t="n">
        <f aca="false">F10/240</f>
        <v>128.612659200896</v>
      </c>
      <c r="H10" s="15" t="n">
        <f aca="false">CONSOLIDADO!R9/20</f>
        <v>185.20222924929</v>
      </c>
      <c r="I10" s="3" t="n">
        <v>7</v>
      </c>
      <c r="J10" s="3" t="n">
        <v>10</v>
      </c>
      <c r="K10" s="3" t="s">
        <v>647</v>
      </c>
      <c r="L10" s="13" t="n">
        <f aca="false">G10*(I10+J10)/2</f>
        <v>1093.20760320762</v>
      </c>
      <c r="M10" s="13" t="n">
        <f aca="false">H10*J10-L10</f>
        <v>758.814689285286</v>
      </c>
      <c r="N10" s="13" t="n">
        <f aca="false">L10+M10</f>
        <v>1852.0222924929</v>
      </c>
      <c r="O10" s="3" t="s">
        <v>648</v>
      </c>
      <c r="P10" s="16" t="n">
        <v>1900</v>
      </c>
      <c r="Q10" s="3" t="n">
        <v>5</v>
      </c>
      <c r="R10" s="3" t="n">
        <f aca="false">MAX(1,CEILING(H10*Q10/P10,1))</f>
        <v>1</v>
      </c>
      <c r="S10" s="17" t="n">
        <f aca="false">F10/(R10*P10)</f>
        <v>16.2458095832711</v>
      </c>
      <c r="T10" s="13" t="n">
        <f aca="false">M10+R10*P10</f>
        <v>2658.81468928529</v>
      </c>
      <c r="U10" s="3" t="s">
        <v>641</v>
      </c>
      <c r="V10" s="16" t="n">
        <v>1000</v>
      </c>
      <c r="W10" s="17" t="n">
        <f aca="false">T10/V10</f>
        <v>2.65881468928529</v>
      </c>
    </row>
    <row r="11" customFormat="false" ht="15" hidden="false" customHeight="false" outlineLevel="0" collapsed="false">
      <c r="A11" s="3" t="s">
        <v>650</v>
      </c>
      <c r="B11" s="3" t="s">
        <v>197</v>
      </c>
      <c r="C11" s="3" t="s">
        <v>198</v>
      </c>
      <c r="D11" s="3" t="s">
        <v>192</v>
      </c>
      <c r="E11" s="3" t="s">
        <v>651</v>
      </c>
      <c r="F11" s="13" t="n">
        <f aca="false">CONSOLIDADO!Q10</f>
        <v>9210.51266638455</v>
      </c>
      <c r="G11" s="15" t="n">
        <f aca="false">F11/240</f>
        <v>38.3771361099356</v>
      </c>
      <c r="H11" s="15" t="n">
        <f aca="false">CONSOLIDADO!R10/20</f>
        <v>50.657819665115</v>
      </c>
      <c r="I11" s="3" t="n">
        <v>7</v>
      </c>
      <c r="J11" s="3" t="n">
        <v>10</v>
      </c>
      <c r="K11" s="3" t="s">
        <v>652</v>
      </c>
      <c r="L11" s="13" t="n">
        <f aca="false">G11*(I11+J11)/2</f>
        <v>326.205656934453</v>
      </c>
      <c r="M11" s="13" t="n">
        <f aca="false">H11*J11-L11</f>
        <v>180.372539716698</v>
      </c>
      <c r="N11" s="13" t="n">
        <f aca="false">L11+M11</f>
        <v>506.57819665115</v>
      </c>
      <c r="O11" s="3" t="s">
        <v>653</v>
      </c>
      <c r="P11" s="16" t="n">
        <v>492</v>
      </c>
      <c r="Q11" s="3" t="n">
        <v>10</v>
      </c>
      <c r="R11" s="3" t="n">
        <f aca="false">MAX(1,CEILING(H11*Q11/P11,1))</f>
        <v>2</v>
      </c>
      <c r="S11" s="17" t="n">
        <f aca="false">F11/(R11*P11)</f>
        <v>9.3602770999843</v>
      </c>
      <c r="T11" s="13" t="n">
        <f aca="false">M11+R11*P11</f>
        <v>1164.3725397167</v>
      </c>
      <c r="U11" s="3" t="s">
        <v>641</v>
      </c>
      <c r="V11" s="16" t="n">
        <v>492</v>
      </c>
      <c r="W11" s="17" t="n">
        <f aca="false">T11/V11</f>
        <v>2.36661085308272</v>
      </c>
    </row>
    <row r="12" customFormat="false" ht="15" hidden="false" customHeight="false" outlineLevel="0" collapsed="false">
      <c r="A12" s="3" t="s">
        <v>654</v>
      </c>
      <c r="B12" s="3" t="s">
        <v>200</v>
      </c>
      <c r="C12" s="3" t="s">
        <v>201</v>
      </c>
      <c r="D12" s="3" t="s">
        <v>192</v>
      </c>
      <c r="E12" s="3" t="s">
        <v>651</v>
      </c>
      <c r="F12" s="13" t="n">
        <f aca="false">CONSOLIDADO!Q11</f>
        <v>45960.1945498834</v>
      </c>
      <c r="G12" s="15" t="n">
        <f aca="false">F12/240</f>
        <v>191.500810624514</v>
      </c>
      <c r="H12" s="15" t="n">
        <f aca="false">CONSOLIDADO!R11/20</f>
        <v>252.781070024358</v>
      </c>
      <c r="I12" s="3" t="n">
        <v>7</v>
      </c>
      <c r="J12" s="3" t="n">
        <v>10</v>
      </c>
      <c r="K12" s="3" t="s">
        <v>652</v>
      </c>
      <c r="L12" s="13" t="n">
        <f aca="false">G12*(I12+J12)/2</f>
        <v>1627.75689030837</v>
      </c>
      <c r="M12" s="13" t="n">
        <f aca="false">H12*J12-L12</f>
        <v>900.053809935216</v>
      </c>
      <c r="N12" s="13" t="n">
        <f aca="false">L12+M12</f>
        <v>2527.81070024359</v>
      </c>
      <c r="O12" s="3" t="s">
        <v>655</v>
      </c>
      <c r="P12" s="16" t="n">
        <v>615</v>
      </c>
      <c r="Q12" s="3" t="n">
        <v>5</v>
      </c>
      <c r="R12" s="3" t="n">
        <f aca="false">MAX(1,CEILING(H12*Q12/P12,1))</f>
        <v>3</v>
      </c>
      <c r="S12" s="17" t="n">
        <f aca="false">F12/(R12*P12)</f>
        <v>24.9106745527823</v>
      </c>
      <c r="T12" s="13" t="n">
        <f aca="false">M12+R12*P12</f>
        <v>2745.05380993522</v>
      </c>
      <c r="U12" s="3" t="s">
        <v>641</v>
      </c>
      <c r="V12" s="16" t="n">
        <v>615</v>
      </c>
      <c r="W12" s="17" t="n">
        <f aca="false">T12/V12</f>
        <v>4.46350212997596</v>
      </c>
    </row>
    <row r="13" customFormat="false" ht="15" hidden="false" customHeight="false" outlineLevel="0" collapsed="false">
      <c r="A13" s="3" t="s">
        <v>656</v>
      </c>
      <c r="B13" s="3" t="s">
        <v>203</v>
      </c>
      <c r="C13" s="3" t="s">
        <v>204</v>
      </c>
      <c r="D13" s="3" t="s">
        <v>192</v>
      </c>
      <c r="E13" s="3" t="s">
        <v>651</v>
      </c>
      <c r="F13" s="13" t="n">
        <f aca="false">CONSOLIDADO!Q12</f>
        <v>29545.8393534965</v>
      </c>
      <c r="G13" s="15" t="n">
        <f aca="false">F13/240</f>
        <v>123.107663972902</v>
      </c>
      <c r="H13" s="15" t="n">
        <f aca="false">CONSOLIDADO!R12/20</f>
        <v>162.50211644423</v>
      </c>
      <c r="I13" s="3" t="n">
        <v>7</v>
      </c>
      <c r="J13" s="3" t="n">
        <v>10</v>
      </c>
      <c r="K13" s="3" t="s">
        <v>652</v>
      </c>
      <c r="L13" s="13" t="n">
        <f aca="false">G13*(I13+J13)/2</f>
        <v>1046.41514376967</v>
      </c>
      <c r="M13" s="13" t="n">
        <f aca="false">H13*J13-L13</f>
        <v>578.606020672639</v>
      </c>
      <c r="N13" s="13" t="n">
        <f aca="false">L13+M13</f>
        <v>1625.0211644423</v>
      </c>
      <c r="O13" s="3" t="s">
        <v>653</v>
      </c>
      <c r="P13" s="16" t="n">
        <v>492</v>
      </c>
      <c r="Q13" s="3" t="n">
        <v>5</v>
      </c>
      <c r="R13" s="3" t="n">
        <f aca="false">MAX(1,CEILING(H13*Q13/P13,1))</f>
        <v>2</v>
      </c>
      <c r="S13" s="17" t="n">
        <f aca="false">F13/(R13*P13)</f>
        <v>30.0262595055858</v>
      </c>
      <c r="T13" s="13" t="n">
        <f aca="false">M13+R13*P13</f>
        <v>1562.60602067264</v>
      </c>
      <c r="U13" s="3" t="s">
        <v>641</v>
      </c>
      <c r="V13" s="16" t="n">
        <v>492</v>
      </c>
      <c r="W13" s="17" t="n">
        <f aca="false">T13/V13</f>
        <v>3.17602849730211</v>
      </c>
    </row>
    <row r="14" customFormat="false" ht="15" hidden="false" customHeight="false" outlineLevel="0" collapsed="false">
      <c r="A14" s="3" t="s">
        <v>657</v>
      </c>
      <c r="B14" s="3" t="s">
        <v>206</v>
      </c>
      <c r="C14" s="3" t="s">
        <v>207</v>
      </c>
      <c r="D14" s="3" t="s">
        <v>192</v>
      </c>
      <c r="E14" s="3" t="s">
        <v>651</v>
      </c>
      <c r="F14" s="13" t="n">
        <f aca="false">CONSOLIDADO!Q13</f>
        <v>3790.08760153663</v>
      </c>
      <c r="G14" s="15" t="n">
        <f aca="false">F14/240</f>
        <v>15.7920316730693</v>
      </c>
      <c r="H14" s="15" t="n">
        <f aca="false">CONSOLIDADO!R13/20</f>
        <v>20.8454818084515</v>
      </c>
      <c r="I14" s="3" t="n">
        <v>7</v>
      </c>
      <c r="J14" s="3" t="n">
        <v>10</v>
      </c>
      <c r="K14" s="3" t="s">
        <v>652</v>
      </c>
      <c r="L14" s="13" t="n">
        <f aca="false">G14*(I14+J14)/2</f>
        <v>134.232269221089</v>
      </c>
      <c r="M14" s="13" t="n">
        <f aca="false">H14*J14-L14</f>
        <v>74.2225488634257</v>
      </c>
      <c r="N14" s="13" t="n">
        <f aca="false">L14+M14</f>
        <v>208.454818084515</v>
      </c>
      <c r="O14" s="3" t="s">
        <v>658</v>
      </c>
      <c r="P14" s="16" t="n">
        <v>590</v>
      </c>
      <c r="Q14" s="3" t="n">
        <v>20</v>
      </c>
      <c r="R14" s="3" t="n">
        <f aca="false">MAX(1,CEILING(H14*Q14/P14,1))</f>
        <v>1</v>
      </c>
      <c r="S14" s="17" t="n">
        <f aca="false">F14/(R14*P14)</f>
        <v>6.42387729074005</v>
      </c>
      <c r="T14" s="13" t="n">
        <f aca="false">M14+R14*P14</f>
        <v>664.222548863426</v>
      </c>
      <c r="U14" s="3" t="s">
        <v>641</v>
      </c>
      <c r="V14" s="16" t="n">
        <v>738</v>
      </c>
      <c r="W14" s="17" t="n">
        <f aca="false">T14/V14</f>
        <v>0.900030554015482</v>
      </c>
    </row>
    <row r="15" customFormat="false" ht="15" hidden="false" customHeight="false" outlineLevel="0" collapsed="false">
      <c r="A15" s="3" t="s">
        <v>659</v>
      </c>
      <c r="B15" s="3" t="s">
        <v>209</v>
      </c>
      <c r="C15" s="3" t="s">
        <v>210</v>
      </c>
      <c r="D15" s="3" t="s">
        <v>192</v>
      </c>
      <c r="E15" s="3" t="s">
        <v>651</v>
      </c>
      <c r="F15" s="13" t="n">
        <f aca="false">CONSOLIDADO!Q14</f>
        <v>3133.71994027435</v>
      </c>
      <c r="G15" s="15" t="n">
        <f aca="false">F15/240</f>
        <v>13.0571664178098</v>
      </c>
      <c r="H15" s="15" t="n">
        <f aca="false">CONSOLIDADO!R14/20</f>
        <v>17.2354596715089</v>
      </c>
      <c r="I15" s="3" t="n">
        <v>7</v>
      </c>
      <c r="J15" s="3" t="n">
        <v>10</v>
      </c>
      <c r="K15" s="3" t="s">
        <v>652</v>
      </c>
      <c r="L15" s="13" t="n">
        <f aca="false">G15*(I15+J15)/2</f>
        <v>110.985914551383</v>
      </c>
      <c r="M15" s="13" t="n">
        <f aca="false">H15*J15-L15</f>
        <v>61.368682163706</v>
      </c>
      <c r="N15" s="13" t="n">
        <f aca="false">L15+M15</f>
        <v>172.354596715089</v>
      </c>
      <c r="O15" s="3" t="s">
        <v>660</v>
      </c>
      <c r="P15" s="16" t="n">
        <v>498</v>
      </c>
      <c r="Q15" s="3" t="n">
        <v>20</v>
      </c>
      <c r="R15" s="3" t="n">
        <f aca="false">MAX(1,CEILING(H15*Q15/P15,1))</f>
        <v>1</v>
      </c>
      <c r="S15" s="17" t="n">
        <f aca="false">F15/(R15*P15)</f>
        <v>6.29261032183604</v>
      </c>
      <c r="T15" s="13" t="n">
        <f aca="false">M15+R15*P15</f>
        <v>559.368682163706</v>
      </c>
      <c r="U15" s="3" t="s">
        <v>641</v>
      </c>
      <c r="V15" s="16" t="n">
        <v>498</v>
      </c>
      <c r="W15" s="17" t="n">
        <f aca="false">T15/V15</f>
        <v>1.12323028546929</v>
      </c>
    </row>
    <row r="16" customFormat="false" ht="15" hidden="false" customHeight="false" outlineLevel="0" collapsed="false">
      <c r="A16" s="3" t="s">
        <v>661</v>
      </c>
      <c r="B16" s="3" t="s">
        <v>363</v>
      </c>
      <c r="C16" s="3" t="s">
        <v>364</v>
      </c>
      <c r="D16" s="3" t="s">
        <v>182</v>
      </c>
      <c r="E16" s="3" t="s">
        <v>638</v>
      </c>
      <c r="F16" s="13" t="n">
        <f aca="false">CONSOLIDADO!Q15</f>
        <v>370.517834158956</v>
      </c>
      <c r="G16" s="15" t="n">
        <f aca="false">F16/240</f>
        <v>1.54382430899565</v>
      </c>
      <c r="H16" s="15" t="n">
        <f aca="false">CONSOLIDADO!R15/20</f>
        <v>1.6673302537153</v>
      </c>
      <c r="I16" s="3" t="n">
        <v>7</v>
      </c>
      <c r="J16" s="3" t="n">
        <v>10</v>
      </c>
      <c r="K16" s="3" t="s">
        <v>639</v>
      </c>
      <c r="L16" s="13" t="n">
        <f aca="false">G16*(I16+J16)/2</f>
        <v>13.122506626463</v>
      </c>
      <c r="M16" s="13" t="n">
        <f aca="false">H16*J16-L16</f>
        <v>3.55079591069</v>
      </c>
      <c r="N16" s="13" t="n">
        <f aca="false">L16+M16</f>
        <v>16.673302537153</v>
      </c>
      <c r="O16" s="3" t="s">
        <v>645</v>
      </c>
      <c r="P16" s="16" t="n">
        <v>20</v>
      </c>
      <c r="Q16" s="3" t="n">
        <v>20</v>
      </c>
      <c r="R16" s="3" t="n">
        <f aca="false">MAX(1,CEILING(H16*Q16/P16,1))</f>
        <v>2</v>
      </c>
      <c r="S16" s="17" t="n">
        <f aca="false">F16/(R16*P16)</f>
        <v>9.26294585397391</v>
      </c>
      <c r="T16" s="13" t="n">
        <f aca="false">M16+R16*P16</f>
        <v>43.55079591069</v>
      </c>
      <c r="U16" s="3" t="s">
        <v>662</v>
      </c>
      <c r="V16" s="16" t="n">
        <v>40</v>
      </c>
      <c r="W16" s="17" t="n">
        <f aca="false">T16/V16</f>
        <v>1.08876989776725</v>
      </c>
    </row>
    <row r="17" customFormat="false" ht="15" hidden="false" customHeight="false" outlineLevel="0" collapsed="false">
      <c r="A17" s="3" t="s">
        <v>663</v>
      </c>
      <c r="B17" s="3" t="s">
        <v>366</v>
      </c>
      <c r="C17" s="3" t="s">
        <v>367</v>
      </c>
      <c r="D17" s="3" t="s">
        <v>182</v>
      </c>
      <c r="E17" s="3" t="s">
        <v>638</v>
      </c>
      <c r="F17" s="13" t="n">
        <f aca="false">CONSOLIDADO!Q16</f>
        <v>165.185326161638</v>
      </c>
      <c r="G17" s="15" t="n">
        <f aca="false">F17/240</f>
        <v>0.688272192340158</v>
      </c>
      <c r="H17" s="15" t="n">
        <f aca="false">CONSOLIDADO!R16/20</f>
        <v>0.743333967727371</v>
      </c>
      <c r="I17" s="3" t="n">
        <v>7</v>
      </c>
      <c r="J17" s="3" t="n">
        <v>10</v>
      </c>
      <c r="K17" s="3" t="s">
        <v>639</v>
      </c>
      <c r="L17" s="13" t="n">
        <f aca="false">G17*(I17+J17)/2</f>
        <v>5.85031363489135</v>
      </c>
      <c r="M17" s="13" t="n">
        <f aca="false">H17*J17-L17</f>
        <v>1.58302604238236</v>
      </c>
      <c r="N17" s="13" t="n">
        <f aca="false">L17+M17</f>
        <v>7.43333967727371</v>
      </c>
      <c r="O17" s="3" t="s">
        <v>664</v>
      </c>
      <c r="P17" s="16" t="n">
        <v>15</v>
      </c>
      <c r="Q17" s="3" t="n">
        <v>20</v>
      </c>
      <c r="R17" s="3" t="n">
        <f aca="false">MAX(1,CEILING(H17*Q17/P17,1))</f>
        <v>1</v>
      </c>
      <c r="S17" s="17" t="n">
        <f aca="false">F17/(R17*P17)</f>
        <v>11.0123550774425</v>
      </c>
      <c r="T17" s="13" t="n">
        <f aca="false">M17+R17*P17</f>
        <v>16.5830260423824</v>
      </c>
      <c r="U17" s="3" t="s">
        <v>662</v>
      </c>
      <c r="V17" s="16" t="n">
        <v>30</v>
      </c>
      <c r="W17" s="17" t="n">
        <f aca="false">T17/V17</f>
        <v>0.552767534746079</v>
      </c>
    </row>
    <row r="18" customFormat="false" ht="15" hidden="false" customHeight="false" outlineLevel="0" collapsed="false">
      <c r="A18" s="3" t="s">
        <v>665</v>
      </c>
      <c r="B18" s="3" t="s">
        <v>369</v>
      </c>
      <c r="C18" s="3" t="s">
        <v>370</v>
      </c>
      <c r="D18" s="3" t="s">
        <v>214</v>
      </c>
      <c r="E18" s="3" t="s">
        <v>666</v>
      </c>
      <c r="F18" s="13" t="n">
        <f aca="false">CONSOLIDADO!Q17</f>
        <v>1550.5410664</v>
      </c>
      <c r="G18" s="15" t="n">
        <f aca="false">F18/240</f>
        <v>6.46058777666667</v>
      </c>
      <c r="H18" s="15" t="n">
        <f aca="false">CONSOLIDADO!R17/20</f>
        <v>6.9774347988</v>
      </c>
      <c r="I18" s="3" t="n">
        <v>54</v>
      </c>
      <c r="J18" s="3" t="n">
        <v>68</v>
      </c>
      <c r="K18" s="3" t="s">
        <v>667</v>
      </c>
      <c r="L18" s="13" t="n">
        <f aca="false">G18*(I18+J18)/2</f>
        <v>394.095854376667</v>
      </c>
      <c r="M18" s="13" t="n">
        <f aca="false">H18*J18-L18</f>
        <v>80.3697119417333</v>
      </c>
      <c r="N18" s="13" t="n">
        <f aca="false">L18+M18</f>
        <v>474.4655663184</v>
      </c>
      <c r="O18" s="3" t="s">
        <v>668</v>
      </c>
      <c r="P18" s="16" t="n">
        <v>400</v>
      </c>
      <c r="Q18" s="3" t="n">
        <v>40</v>
      </c>
      <c r="R18" s="3" t="n">
        <f aca="false">MAX(1,CEILING(H18*Q18/P18,1))</f>
        <v>1</v>
      </c>
      <c r="S18" s="17" t="n">
        <f aca="false">F18/(R18*P18)</f>
        <v>3.876352666</v>
      </c>
      <c r="T18" s="13" t="n">
        <f aca="false">M18+R18*P18</f>
        <v>480.369711941733</v>
      </c>
      <c r="U18" s="3" t="s">
        <v>669</v>
      </c>
      <c r="V18" s="16" t="n">
        <v>400</v>
      </c>
      <c r="W18" s="17" t="n">
        <f aca="false">T18/V18</f>
        <v>1.20092427985433</v>
      </c>
    </row>
    <row r="19" customFormat="false" ht="15" hidden="false" customHeight="false" outlineLevel="0" collapsed="false">
      <c r="A19" s="3" t="s">
        <v>670</v>
      </c>
      <c r="B19" s="3" t="s">
        <v>372</v>
      </c>
      <c r="C19" s="3" t="s">
        <v>373</v>
      </c>
      <c r="D19" s="3" t="s">
        <v>214</v>
      </c>
      <c r="E19" s="3" t="s">
        <v>666</v>
      </c>
      <c r="F19" s="13" t="n">
        <f aca="false">CONSOLIDADO!Q18</f>
        <v>3412.51996564081</v>
      </c>
      <c r="G19" s="15" t="n">
        <f aca="false">F19/240</f>
        <v>14.21883319017</v>
      </c>
      <c r="H19" s="15" t="n">
        <f aca="false">CONSOLIDADO!R18/20</f>
        <v>15.3563398453836</v>
      </c>
      <c r="I19" s="3" t="n">
        <v>54</v>
      </c>
      <c r="J19" s="3" t="n">
        <v>68</v>
      </c>
      <c r="K19" s="3" t="s">
        <v>667</v>
      </c>
      <c r="L19" s="13" t="n">
        <f aca="false">G19*(I19+J19)/2</f>
        <v>867.348824600372</v>
      </c>
      <c r="M19" s="13" t="n">
        <f aca="false">H19*J19-L19</f>
        <v>176.882284885715</v>
      </c>
      <c r="N19" s="13" t="n">
        <f aca="false">L19+M19</f>
        <v>1044.23110948609</v>
      </c>
      <c r="O19" s="3" t="s">
        <v>671</v>
      </c>
      <c r="P19" s="16" t="n">
        <v>300</v>
      </c>
      <c r="Q19" s="3" t="n">
        <v>40</v>
      </c>
      <c r="R19" s="3" t="n">
        <f aca="false">MAX(1,CEILING(H19*Q19/P19,1))</f>
        <v>3</v>
      </c>
      <c r="S19" s="17" t="n">
        <f aca="false">F19/(R19*P19)</f>
        <v>3.79168885071201</v>
      </c>
      <c r="T19" s="13" t="n">
        <f aca="false">M19+R19*P19</f>
        <v>1076.88228488572</v>
      </c>
      <c r="U19" s="3" t="s">
        <v>669</v>
      </c>
      <c r="V19" s="16" t="n">
        <v>300</v>
      </c>
      <c r="W19" s="17" t="n">
        <f aca="false">T19/V19</f>
        <v>3.58960761628572</v>
      </c>
    </row>
    <row r="20" customFormat="false" ht="15" hidden="false" customHeight="false" outlineLevel="0" collapsed="false">
      <c r="A20" s="3" t="s">
        <v>672</v>
      </c>
      <c r="B20" s="3" t="s">
        <v>375</v>
      </c>
      <c r="C20" s="3" t="s">
        <v>376</v>
      </c>
      <c r="D20" s="3" t="s">
        <v>214</v>
      </c>
      <c r="E20" s="3" t="s">
        <v>666</v>
      </c>
      <c r="F20" s="13" t="n">
        <f aca="false">CONSOLIDADO!Q19</f>
        <v>1239.49186096983</v>
      </c>
      <c r="G20" s="15" t="n">
        <f aca="false">F20/240</f>
        <v>5.16454942070762</v>
      </c>
      <c r="H20" s="15" t="n">
        <f aca="false">CONSOLIDADO!R19/20</f>
        <v>5.57771337436423</v>
      </c>
      <c r="I20" s="3" t="n">
        <v>54</v>
      </c>
      <c r="J20" s="3" t="n">
        <v>68</v>
      </c>
      <c r="K20" s="3" t="s">
        <v>667</v>
      </c>
      <c r="L20" s="13" t="n">
        <f aca="false">G20*(I20+J20)/2</f>
        <v>315.037514663165</v>
      </c>
      <c r="M20" s="13" t="n">
        <f aca="false">H20*J20-L20</f>
        <v>64.2469947936028</v>
      </c>
      <c r="N20" s="13" t="n">
        <f aca="false">L20+M20</f>
        <v>379.284509456767</v>
      </c>
      <c r="O20" s="3" t="s">
        <v>673</v>
      </c>
      <c r="P20" s="16" t="n">
        <v>150</v>
      </c>
      <c r="Q20" s="3" t="n">
        <v>40</v>
      </c>
      <c r="R20" s="3" t="n">
        <f aca="false">MAX(1,CEILING(H20*Q20/P20,1))</f>
        <v>2</v>
      </c>
      <c r="S20" s="17" t="n">
        <f aca="false">F20/(R20*P20)</f>
        <v>4.13163953656609</v>
      </c>
      <c r="T20" s="13" t="n">
        <f aca="false">M20+R20*P20</f>
        <v>364.246994793603</v>
      </c>
      <c r="U20" s="3" t="s">
        <v>669</v>
      </c>
      <c r="V20" s="16" t="n">
        <v>150</v>
      </c>
      <c r="W20" s="17" t="n">
        <f aca="false">T20/V20</f>
        <v>2.42831329862402</v>
      </c>
    </row>
    <row r="21" customFormat="false" ht="15" hidden="false" customHeight="false" outlineLevel="0" collapsed="false">
      <c r="A21" s="3" t="s">
        <v>674</v>
      </c>
      <c r="B21" s="3" t="s">
        <v>212</v>
      </c>
      <c r="C21" s="3" t="s">
        <v>213</v>
      </c>
      <c r="D21" s="3" t="s">
        <v>214</v>
      </c>
      <c r="E21" s="3" t="s">
        <v>675</v>
      </c>
      <c r="F21" s="13" t="n">
        <f aca="false">CONSOLIDADO!Q20</f>
        <v>202620.63913</v>
      </c>
      <c r="G21" s="15" t="n">
        <f aca="false">F21/240</f>
        <v>844.252663041667</v>
      </c>
      <c r="H21" s="15" t="n">
        <f aca="false">CONSOLIDADO!R20/20</f>
        <v>1215.72383478</v>
      </c>
      <c r="I21" s="3" t="n">
        <v>25</v>
      </c>
      <c r="J21" s="3" t="n">
        <v>29</v>
      </c>
      <c r="K21" s="3" t="s">
        <v>676</v>
      </c>
      <c r="L21" s="13" t="n">
        <f aca="false">G21*(I21+J21)/2</f>
        <v>22794.821902125</v>
      </c>
      <c r="M21" s="13" t="n">
        <f aca="false">H21*J21-L21</f>
        <v>12461.169306495</v>
      </c>
      <c r="N21" s="13" t="n">
        <f aca="false">L21+M21</f>
        <v>35255.99120862</v>
      </c>
      <c r="O21" s="3" t="s">
        <v>677</v>
      </c>
      <c r="P21" s="16" t="n">
        <v>1000</v>
      </c>
      <c r="Q21" s="3" t="n">
        <v>20</v>
      </c>
      <c r="R21" s="3" t="n">
        <f aca="false">MAX(1,CEILING(H21*Q21/P21,1))</f>
        <v>25</v>
      </c>
      <c r="S21" s="17" t="n">
        <f aca="false">F21/(R21*P21)</f>
        <v>8.1048255652</v>
      </c>
      <c r="T21" s="13" t="n">
        <f aca="false">M21+R21*P21</f>
        <v>37461.169306495</v>
      </c>
      <c r="U21" s="3" t="s">
        <v>678</v>
      </c>
      <c r="V21" s="16" t="n">
        <v>12000</v>
      </c>
      <c r="W21" s="17" t="n">
        <f aca="false">T21/V21</f>
        <v>3.12176410887458</v>
      </c>
    </row>
    <row r="22" customFormat="false" ht="15" hidden="false" customHeight="false" outlineLevel="0" collapsed="false">
      <c r="A22" s="3" t="s">
        <v>679</v>
      </c>
      <c r="B22" s="3" t="s">
        <v>216</v>
      </c>
      <c r="C22" s="3" t="s">
        <v>217</v>
      </c>
      <c r="D22" s="3" t="s">
        <v>214</v>
      </c>
      <c r="E22" s="3" t="s">
        <v>675</v>
      </c>
      <c r="F22" s="13" t="n">
        <f aca="false">CONSOLIDADO!Q21</f>
        <v>83291.5061034506</v>
      </c>
      <c r="G22" s="15" t="n">
        <f aca="false">F22/240</f>
        <v>347.047942097711</v>
      </c>
      <c r="H22" s="15" t="n">
        <f aca="false">CONSOLIDADO!R21/20</f>
        <v>458.103283568978</v>
      </c>
      <c r="I22" s="3" t="n">
        <v>25</v>
      </c>
      <c r="J22" s="3" t="n">
        <v>29</v>
      </c>
      <c r="K22" s="3" t="s">
        <v>676</v>
      </c>
      <c r="L22" s="13" t="n">
        <f aca="false">G22*(I22+J22)/2</f>
        <v>9370.2944366382</v>
      </c>
      <c r="M22" s="13" t="n">
        <f aca="false">H22*J22-L22</f>
        <v>3914.70078686218</v>
      </c>
      <c r="N22" s="13" t="n">
        <f aca="false">L22+M22</f>
        <v>13284.9952235004</v>
      </c>
      <c r="O22" s="3" t="s">
        <v>677</v>
      </c>
      <c r="P22" s="16" t="n">
        <v>1000</v>
      </c>
      <c r="Q22" s="3" t="n">
        <v>20</v>
      </c>
      <c r="R22" s="3" t="n">
        <f aca="false">MAX(1,CEILING(H22*Q22/P22,1))</f>
        <v>10</v>
      </c>
      <c r="S22" s="17" t="n">
        <f aca="false">F22/(R22*P22)</f>
        <v>8.32915061034506</v>
      </c>
      <c r="T22" s="13" t="n">
        <f aca="false">M22+R22*P22</f>
        <v>13914.7007868622</v>
      </c>
      <c r="U22" s="3" t="s">
        <v>678</v>
      </c>
      <c r="V22" s="16" t="n">
        <v>8000</v>
      </c>
      <c r="W22" s="17" t="n">
        <f aca="false">T22/V22</f>
        <v>1.73933759835777</v>
      </c>
    </row>
    <row r="23" customFormat="false" ht="15" hidden="false" customHeight="false" outlineLevel="0" collapsed="false">
      <c r="A23" s="3" t="s">
        <v>680</v>
      </c>
      <c r="B23" s="3" t="s">
        <v>378</v>
      </c>
      <c r="C23" s="3" t="s">
        <v>379</v>
      </c>
      <c r="D23" s="3" t="s">
        <v>214</v>
      </c>
      <c r="E23" s="3" t="s">
        <v>675</v>
      </c>
      <c r="F23" s="13" t="n">
        <f aca="false">CONSOLIDADO!Q22</f>
        <v>2481.5305160204</v>
      </c>
      <c r="G23" s="15" t="n">
        <f aca="false">F23/240</f>
        <v>10.3397104834184</v>
      </c>
      <c r="H23" s="15" t="n">
        <f aca="false">CONSOLIDADO!R22/20</f>
        <v>11.1668873220918</v>
      </c>
      <c r="I23" s="3" t="n">
        <v>25</v>
      </c>
      <c r="J23" s="3" t="n">
        <v>29</v>
      </c>
      <c r="K23" s="3" t="s">
        <v>676</v>
      </c>
      <c r="L23" s="13" t="n">
        <f aca="false">G23*(I23+J23)/2</f>
        <v>279.172183052295</v>
      </c>
      <c r="M23" s="13" t="n">
        <f aca="false">H23*J23-L23</f>
        <v>44.6675492883673</v>
      </c>
      <c r="N23" s="13" t="n">
        <f aca="false">L23+M23</f>
        <v>323.839732340663</v>
      </c>
      <c r="O23" s="3" t="s">
        <v>681</v>
      </c>
      <c r="P23" s="16" t="n">
        <v>100</v>
      </c>
      <c r="Q23" s="3" t="n">
        <v>40</v>
      </c>
      <c r="R23" s="3" t="n">
        <f aca="false">MAX(1,CEILING(H23*Q23/P23,1))</f>
        <v>5</v>
      </c>
      <c r="S23" s="17" t="n">
        <f aca="false">F23/(R23*P23)</f>
        <v>4.96306103204081</v>
      </c>
      <c r="T23" s="13" t="n">
        <f aca="false">M23+R23*P23</f>
        <v>544.667549288367</v>
      </c>
      <c r="U23" s="3" t="s">
        <v>669</v>
      </c>
      <c r="V23" s="16" t="n">
        <v>600</v>
      </c>
      <c r="W23" s="17" t="n">
        <f aca="false">T23/V23</f>
        <v>0.907779248813946</v>
      </c>
    </row>
    <row r="24" customFormat="false" ht="15" hidden="false" customHeight="false" outlineLevel="0" collapsed="false">
      <c r="A24" s="3" t="s">
        <v>682</v>
      </c>
      <c r="B24" s="3" t="s">
        <v>381</v>
      </c>
      <c r="C24" s="3" t="s">
        <v>382</v>
      </c>
      <c r="D24" s="3" t="s">
        <v>214</v>
      </c>
      <c r="E24" s="3" t="s">
        <v>675</v>
      </c>
      <c r="F24" s="13" t="n">
        <f aca="false">CONSOLIDADO!Q23</f>
        <v>619.745930484914</v>
      </c>
      <c r="G24" s="15" t="n">
        <f aca="false">F24/240</f>
        <v>2.58227471035381</v>
      </c>
      <c r="H24" s="15" t="n">
        <f aca="false">CONSOLIDADO!R23/20</f>
        <v>2.78885668718211</v>
      </c>
      <c r="I24" s="3" t="n">
        <v>25</v>
      </c>
      <c r="J24" s="3" t="n">
        <v>29</v>
      </c>
      <c r="K24" s="3" t="s">
        <v>676</v>
      </c>
      <c r="L24" s="13" t="n">
        <f aca="false">G24*(I24+J24)/2</f>
        <v>69.7214171795528</v>
      </c>
      <c r="M24" s="13" t="n">
        <f aca="false">H24*J24-L24</f>
        <v>11.1554267487285</v>
      </c>
      <c r="N24" s="13" t="n">
        <f aca="false">L24+M24</f>
        <v>80.8768439282813</v>
      </c>
      <c r="O24" s="3" t="s">
        <v>683</v>
      </c>
      <c r="P24" s="16" t="n">
        <v>40</v>
      </c>
      <c r="Q24" s="3" t="n">
        <v>40</v>
      </c>
      <c r="R24" s="3" t="n">
        <f aca="false">MAX(1,CEILING(H24*Q24/P24,1))</f>
        <v>3</v>
      </c>
      <c r="S24" s="17" t="n">
        <f aca="false">F24/(R24*P24)</f>
        <v>5.16454942070762</v>
      </c>
      <c r="T24" s="13" t="n">
        <f aca="false">M24+R24*P24</f>
        <v>131.155426748728</v>
      </c>
      <c r="U24" s="3" t="s">
        <v>669</v>
      </c>
      <c r="V24" s="16" t="n">
        <v>160</v>
      </c>
      <c r="W24" s="17" t="n">
        <f aca="false">T24/V24</f>
        <v>0.819721417179553</v>
      </c>
    </row>
    <row r="25" customFormat="false" ht="15" hidden="false" customHeight="false" outlineLevel="0" collapsed="false">
      <c r="A25" s="3" t="s">
        <v>684</v>
      </c>
      <c r="B25" s="3" t="s">
        <v>384</v>
      </c>
      <c r="C25" s="3" t="s">
        <v>385</v>
      </c>
      <c r="D25" s="3" t="s">
        <v>178</v>
      </c>
      <c r="E25" s="3" t="s">
        <v>685</v>
      </c>
      <c r="F25" s="13" t="n">
        <f aca="false">CONSOLIDADO!Q24</f>
        <v>510.050621038391</v>
      </c>
      <c r="G25" s="15" t="n">
        <f aca="false">F25/240</f>
        <v>2.1252109209933</v>
      </c>
      <c r="H25" s="15" t="n">
        <f aca="false">CONSOLIDADO!R24/20</f>
        <v>2.29522779467276</v>
      </c>
      <c r="I25" s="3" t="n">
        <v>5</v>
      </c>
      <c r="J25" s="3" t="n">
        <v>5</v>
      </c>
      <c r="K25" s="3" t="s">
        <v>634</v>
      </c>
      <c r="L25" s="13" t="n">
        <f aca="false">G25*(I25+J25)/2</f>
        <v>10.6260546049665</v>
      </c>
      <c r="M25" s="13" t="n">
        <f aca="false">H25*J25-L25</f>
        <v>0.850084368397319</v>
      </c>
      <c r="N25" s="13" t="n">
        <f aca="false">L25+M25</f>
        <v>11.4761389733638</v>
      </c>
      <c r="O25" s="3" t="s">
        <v>686</v>
      </c>
      <c r="P25" s="16" t="n">
        <v>1</v>
      </c>
      <c r="Q25" s="3" t="n">
        <v>60</v>
      </c>
      <c r="R25" s="3" t="n">
        <f aca="false">MAX(1,CEILING(H25*Q25/P25,1))</f>
        <v>138</v>
      </c>
      <c r="S25" s="17" t="n">
        <f aca="false">F25/(R25*P25)</f>
        <v>3.69601899303182</v>
      </c>
      <c r="T25" s="13" t="n">
        <f aca="false">M25+R25*P25</f>
        <v>138.850084368397</v>
      </c>
      <c r="U25" s="3" t="s">
        <v>636</v>
      </c>
      <c r="V25" s="16" t="n">
        <v>60</v>
      </c>
      <c r="W25" s="17" t="n">
        <f aca="false">T25/V25</f>
        <v>2.31416807280662</v>
      </c>
    </row>
    <row r="26" customFormat="false" ht="15" hidden="false" customHeight="false" outlineLevel="0" collapsed="false">
      <c r="A26" s="3" t="s">
        <v>687</v>
      </c>
      <c r="B26" s="3" t="s">
        <v>387</v>
      </c>
      <c r="C26" s="3" t="s">
        <v>388</v>
      </c>
      <c r="D26" s="3" t="s">
        <v>178</v>
      </c>
      <c r="E26" s="3" t="s">
        <v>685</v>
      </c>
      <c r="F26" s="13" t="n">
        <f aca="false">CONSOLIDADO!Q25</f>
        <v>89.6168013594519</v>
      </c>
      <c r="G26" s="15" t="n">
        <f aca="false">F26/240</f>
        <v>0.373403338997716</v>
      </c>
      <c r="H26" s="15" t="n">
        <f aca="false">CONSOLIDADO!R25/20</f>
        <v>0.403275606117534</v>
      </c>
      <c r="I26" s="3" t="n">
        <v>5</v>
      </c>
      <c r="J26" s="3" t="n">
        <v>5</v>
      </c>
      <c r="K26" s="3" t="s">
        <v>634</v>
      </c>
      <c r="L26" s="13" t="n">
        <f aca="false">G26*(I26+J26)/2</f>
        <v>1.86701669498858</v>
      </c>
      <c r="M26" s="13" t="n">
        <f aca="false">H26*J26-L26</f>
        <v>0.149361335599086</v>
      </c>
      <c r="N26" s="13" t="n">
        <f aca="false">L26+M26</f>
        <v>2.01637803058767</v>
      </c>
      <c r="O26" s="3" t="s">
        <v>686</v>
      </c>
      <c r="P26" s="16" t="n">
        <v>1</v>
      </c>
      <c r="Q26" s="3" t="n">
        <v>60</v>
      </c>
      <c r="R26" s="3" t="n">
        <f aca="false">MAX(1,CEILING(H26*Q26/P26,1))</f>
        <v>25</v>
      </c>
      <c r="S26" s="17" t="n">
        <f aca="false">F26/(R26*P26)</f>
        <v>3.58467205437808</v>
      </c>
      <c r="T26" s="13" t="n">
        <f aca="false">M26+R26*P26</f>
        <v>25.1493613355991</v>
      </c>
      <c r="U26" s="3" t="s">
        <v>636</v>
      </c>
      <c r="V26" s="16" t="n">
        <v>60</v>
      </c>
      <c r="W26" s="17" t="n">
        <f aca="false">T26/V26</f>
        <v>0.419156022259985</v>
      </c>
    </row>
    <row r="27" customFormat="false" ht="15" hidden="false" customHeight="false" outlineLevel="0" collapsed="false">
      <c r="A27" s="3" t="s">
        <v>688</v>
      </c>
      <c r="B27" s="3" t="s">
        <v>390</v>
      </c>
      <c r="C27" s="3" t="s">
        <v>391</v>
      </c>
      <c r="D27" s="3" t="s">
        <v>178</v>
      </c>
      <c r="E27" s="3" t="s">
        <v>689</v>
      </c>
      <c r="F27" s="13" t="n">
        <f aca="false">CONSOLIDADO!Q26</f>
        <v>56.65881665</v>
      </c>
      <c r="G27" s="15" t="n">
        <f aca="false">F27/240</f>
        <v>0.236078402708333</v>
      </c>
      <c r="H27" s="15" t="n">
        <f aca="false">CONSOLIDADO!R26/20</f>
        <v>0.254964674925</v>
      </c>
      <c r="I27" s="3" t="n">
        <v>1</v>
      </c>
      <c r="J27" s="3" t="n">
        <v>3</v>
      </c>
      <c r="K27" s="3" t="s">
        <v>690</v>
      </c>
      <c r="L27" s="13" t="n">
        <f aca="false">G27*(I27+J27)/2</f>
        <v>0.472156805416667</v>
      </c>
      <c r="M27" s="13" t="n">
        <f aca="false">H27*J27-L27</f>
        <v>0.292737219358333</v>
      </c>
      <c r="N27" s="13" t="n">
        <f aca="false">L27+M27</f>
        <v>0.764894024775</v>
      </c>
      <c r="O27" s="3" t="s">
        <v>691</v>
      </c>
      <c r="P27" s="16" t="n">
        <v>1</v>
      </c>
      <c r="Q27" s="3" t="n">
        <v>60</v>
      </c>
      <c r="R27" s="3" t="n">
        <f aca="false">MAX(1,CEILING(H27*Q27/P27,1))</f>
        <v>16</v>
      </c>
      <c r="S27" s="17" t="n">
        <f aca="false">F27/(R27*P27)</f>
        <v>3.541176040625</v>
      </c>
      <c r="T27" s="13" t="n">
        <f aca="false">M27+R27*P27</f>
        <v>16.2927372193583</v>
      </c>
      <c r="U27" s="3" t="s">
        <v>636</v>
      </c>
      <c r="V27" s="16" t="n">
        <v>60</v>
      </c>
      <c r="W27" s="17" t="n">
        <f aca="false">T27/V27</f>
        <v>0.271545620322639</v>
      </c>
    </row>
    <row r="28" customFormat="false" ht="15" hidden="false" customHeight="false" outlineLevel="0" collapsed="false">
      <c r="A28" s="3" t="s">
        <v>692</v>
      </c>
      <c r="B28" s="3" t="s">
        <v>393</v>
      </c>
      <c r="C28" s="3" t="s">
        <v>394</v>
      </c>
      <c r="D28" s="3" t="s">
        <v>178</v>
      </c>
      <c r="E28" s="3" t="s">
        <v>689</v>
      </c>
      <c r="F28" s="13" t="n">
        <f aca="false">CONSOLIDADO!Q27</f>
        <v>127.025500577619</v>
      </c>
      <c r="G28" s="15" t="n">
        <f aca="false">F28/240</f>
        <v>0.529272919073413</v>
      </c>
      <c r="H28" s="15" t="n">
        <f aca="false">CONSOLIDADO!R27/20</f>
        <v>0.571614752599286</v>
      </c>
      <c r="I28" s="3" t="n">
        <v>1</v>
      </c>
      <c r="J28" s="3" t="n">
        <v>3</v>
      </c>
      <c r="K28" s="3" t="s">
        <v>690</v>
      </c>
      <c r="L28" s="13" t="n">
        <f aca="false">G28*(I28+J28)/2</f>
        <v>1.05854583814683</v>
      </c>
      <c r="M28" s="13" t="n">
        <f aca="false">H28*J28-L28</f>
        <v>0.656298419651032</v>
      </c>
      <c r="N28" s="13" t="n">
        <f aca="false">L28+M28</f>
        <v>1.71484425779786</v>
      </c>
      <c r="O28" s="3" t="s">
        <v>686</v>
      </c>
      <c r="P28" s="16" t="n">
        <v>1</v>
      </c>
      <c r="Q28" s="3" t="n">
        <v>60</v>
      </c>
      <c r="R28" s="3" t="n">
        <f aca="false">MAX(1,CEILING(H28*Q28/P28,1))</f>
        <v>35</v>
      </c>
      <c r="S28" s="17" t="n">
        <f aca="false">F28/(R28*P28)</f>
        <v>3.6293000165034</v>
      </c>
      <c r="T28" s="13" t="n">
        <f aca="false">M28+R28*P28</f>
        <v>35.656298419651</v>
      </c>
      <c r="U28" s="3" t="s">
        <v>636</v>
      </c>
      <c r="V28" s="16" t="n">
        <v>60</v>
      </c>
      <c r="W28" s="17" t="n">
        <f aca="false">T28/V28</f>
        <v>0.594271640327517</v>
      </c>
    </row>
    <row r="29" customFormat="false" ht="15" hidden="false" customHeight="false" outlineLevel="0" collapsed="false">
      <c r="A29" s="3" t="s">
        <v>693</v>
      </c>
      <c r="B29" s="3" t="s">
        <v>431</v>
      </c>
      <c r="C29" s="3" t="s">
        <v>432</v>
      </c>
      <c r="D29" s="3" t="s">
        <v>214</v>
      </c>
      <c r="E29" s="3" t="s">
        <v>694</v>
      </c>
      <c r="F29" s="13" t="n">
        <f aca="false">CONSOLIDADO!Q28</f>
        <v>7257.10578602127</v>
      </c>
      <c r="G29" s="15" t="n">
        <f aca="false">F29/240</f>
        <v>30.2379407750886</v>
      </c>
      <c r="H29" s="15" t="n">
        <f aca="false">CONSOLIDADO!R28/20</f>
        <v>32.6569760370957</v>
      </c>
      <c r="I29" s="3" t="n">
        <v>3</v>
      </c>
      <c r="J29" s="3" t="n">
        <v>5</v>
      </c>
      <c r="K29" s="3" t="s">
        <v>695</v>
      </c>
      <c r="L29" s="13" t="n">
        <f aca="false">G29*(I29+J29)/2</f>
        <v>120.951763100355</v>
      </c>
      <c r="M29" s="13" t="n">
        <f aca="false">H29*J29-L29</f>
        <v>42.3331170851241</v>
      </c>
      <c r="N29" s="13" t="n">
        <f aca="false">L29+M29</f>
        <v>163.284880185479</v>
      </c>
      <c r="O29" s="3" t="s">
        <v>696</v>
      </c>
      <c r="P29" s="16" t="n">
        <v>1000</v>
      </c>
      <c r="Q29" s="3" t="n">
        <v>20</v>
      </c>
      <c r="R29" s="3" t="n">
        <f aca="false">MAX(1,CEILING(H29*Q29/P29,1))</f>
        <v>1</v>
      </c>
      <c r="S29" s="17" t="n">
        <f aca="false">F29/(R29*P29)</f>
        <v>7.25710578602127</v>
      </c>
      <c r="T29" s="13" t="n">
        <f aca="false">M29+R29*P29</f>
        <v>1042.33311708512</v>
      </c>
      <c r="U29" s="3" t="s">
        <v>697</v>
      </c>
      <c r="V29" s="16" t="n">
        <v>20000</v>
      </c>
      <c r="W29" s="17" t="n">
        <f aca="false">T29/V29</f>
        <v>0.0521166558542562</v>
      </c>
    </row>
    <row r="30" customFormat="false" ht="15" hidden="false" customHeight="false" outlineLevel="0" collapsed="false">
      <c r="A30" s="3" t="s">
        <v>698</v>
      </c>
      <c r="B30" s="3" t="s">
        <v>434</v>
      </c>
      <c r="C30" s="3" t="s">
        <v>435</v>
      </c>
      <c r="D30" s="3" t="s">
        <v>214</v>
      </c>
      <c r="E30" s="3" t="s">
        <v>694</v>
      </c>
      <c r="F30" s="13" t="n">
        <f aca="false">CONSOLIDADO!Q29</f>
        <v>3628.55289301064</v>
      </c>
      <c r="G30" s="15" t="n">
        <f aca="false">F30/240</f>
        <v>15.1189703875443</v>
      </c>
      <c r="H30" s="15" t="n">
        <f aca="false">CONSOLIDADO!R29/20</f>
        <v>16.3284880185479</v>
      </c>
      <c r="I30" s="3" t="n">
        <v>3</v>
      </c>
      <c r="J30" s="3" t="n">
        <v>5</v>
      </c>
      <c r="K30" s="3" t="s">
        <v>695</v>
      </c>
      <c r="L30" s="13" t="n">
        <f aca="false">G30*(I30+J30)/2</f>
        <v>60.4758815501773</v>
      </c>
      <c r="M30" s="13" t="n">
        <f aca="false">H30*J30-L30</f>
        <v>21.166558542562</v>
      </c>
      <c r="N30" s="13" t="n">
        <f aca="false">L30+M30</f>
        <v>81.6424400927393</v>
      </c>
      <c r="O30" s="3" t="s">
        <v>696</v>
      </c>
      <c r="P30" s="16" t="n">
        <v>1000</v>
      </c>
      <c r="Q30" s="3" t="n">
        <v>20</v>
      </c>
      <c r="R30" s="3" t="n">
        <f aca="false">MAX(1,CEILING(H30*Q30/P30,1))</f>
        <v>1</v>
      </c>
      <c r="S30" s="17" t="n">
        <f aca="false">F30/(R30*P30)</f>
        <v>3.62855289301064</v>
      </c>
      <c r="T30" s="13" t="n">
        <f aca="false">M30+R30*P30</f>
        <v>1021.16655854256</v>
      </c>
      <c r="U30" s="3" t="s">
        <v>697</v>
      </c>
      <c r="V30" s="16" t="n">
        <v>20000</v>
      </c>
      <c r="W30" s="17" t="n">
        <f aca="false">T30/V30</f>
        <v>0.0510583279271281</v>
      </c>
    </row>
    <row r="31" customFormat="false" ht="15" hidden="false" customHeight="false" outlineLevel="0" collapsed="false">
      <c r="A31" s="3" t="s">
        <v>699</v>
      </c>
      <c r="B31" s="3" t="s">
        <v>437</v>
      </c>
      <c r="C31" s="3" t="s">
        <v>438</v>
      </c>
      <c r="D31" s="3" t="s">
        <v>214</v>
      </c>
      <c r="E31" s="3" t="s">
        <v>700</v>
      </c>
      <c r="F31" s="13" t="n">
        <f aca="false">CONSOLIDADO!Q30</f>
        <v>906.5410664</v>
      </c>
      <c r="G31" s="15" t="n">
        <f aca="false">F31/240</f>
        <v>3.77725444333333</v>
      </c>
      <c r="H31" s="15" t="n">
        <f aca="false">CONSOLIDADO!R30/20</f>
        <v>4.0794347988</v>
      </c>
      <c r="I31" s="3" t="n">
        <v>3</v>
      </c>
      <c r="J31" s="3" t="n">
        <v>5</v>
      </c>
      <c r="K31" s="3" t="s">
        <v>701</v>
      </c>
      <c r="L31" s="13" t="n">
        <f aca="false">G31*(I31+J31)/2</f>
        <v>15.1090177733333</v>
      </c>
      <c r="M31" s="13" t="n">
        <f aca="false">H31*J31-L31</f>
        <v>5.28815622066667</v>
      </c>
      <c r="N31" s="13" t="n">
        <f aca="false">L31+M31</f>
        <v>20.397173994</v>
      </c>
      <c r="O31" s="3" t="s">
        <v>702</v>
      </c>
      <c r="P31" s="16" t="n">
        <v>72</v>
      </c>
      <c r="Q31" s="3" t="n">
        <v>20</v>
      </c>
      <c r="R31" s="3" t="n">
        <f aca="false">MAX(1,CEILING(H31*Q31/P31,1))</f>
        <v>2</v>
      </c>
      <c r="S31" s="17" t="n">
        <f aca="false">F31/(R31*P31)</f>
        <v>6.29542407222222</v>
      </c>
      <c r="T31" s="13" t="n">
        <f aca="false">M31+R31*P31</f>
        <v>149.288156220667</v>
      </c>
      <c r="U31" s="3" t="s">
        <v>697</v>
      </c>
      <c r="V31" s="16" t="n">
        <v>144</v>
      </c>
      <c r="W31" s="17" t="n">
        <f aca="false">T31/V31</f>
        <v>1.03672330708796</v>
      </c>
    </row>
    <row r="32" customFormat="false" ht="15" hidden="false" customHeight="false" outlineLevel="0" collapsed="false">
      <c r="A32" s="3" t="s">
        <v>703</v>
      </c>
      <c r="B32" s="3" t="s">
        <v>440</v>
      </c>
      <c r="C32" s="3" t="s">
        <v>441</v>
      </c>
      <c r="D32" s="3" t="s">
        <v>214</v>
      </c>
      <c r="E32" s="3" t="s">
        <v>700</v>
      </c>
      <c r="F32" s="13" t="n">
        <f aca="false">CONSOLIDADO!Q31</f>
        <v>1996.51996564081</v>
      </c>
      <c r="G32" s="15" t="n">
        <f aca="false">F32/240</f>
        <v>8.31883319017004</v>
      </c>
      <c r="H32" s="15" t="n">
        <f aca="false">CONSOLIDADO!R31/20</f>
        <v>8.98433984538364</v>
      </c>
      <c r="I32" s="3" t="n">
        <v>3</v>
      </c>
      <c r="J32" s="3" t="n">
        <v>5</v>
      </c>
      <c r="K32" s="3" t="s">
        <v>701</v>
      </c>
      <c r="L32" s="13" t="n">
        <f aca="false">G32*(I32+J32)/2</f>
        <v>33.2753327606801</v>
      </c>
      <c r="M32" s="13" t="n">
        <f aca="false">H32*J32-L32</f>
        <v>11.6463664662381</v>
      </c>
      <c r="N32" s="13" t="n">
        <f aca="false">L32+M32</f>
        <v>44.9216992269182</v>
      </c>
      <c r="O32" s="3" t="s">
        <v>702</v>
      </c>
      <c r="P32" s="16" t="n">
        <v>72</v>
      </c>
      <c r="Q32" s="3" t="n">
        <v>20</v>
      </c>
      <c r="R32" s="3" t="n">
        <f aca="false">MAX(1,CEILING(H32*Q32/P32,1))</f>
        <v>3</v>
      </c>
      <c r="S32" s="17" t="n">
        <f aca="false">F32/(R32*P32)</f>
        <v>9.24314798907782</v>
      </c>
      <c r="T32" s="13" t="n">
        <f aca="false">M32+R32*P32</f>
        <v>227.646366466238</v>
      </c>
      <c r="U32" s="3" t="s">
        <v>697</v>
      </c>
      <c r="V32" s="16" t="n">
        <v>144</v>
      </c>
      <c r="W32" s="17" t="n">
        <f aca="false">T32/V32</f>
        <v>1.58087754490443</v>
      </c>
    </row>
    <row r="33" customFormat="false" ht="15" hidden="false" customHeight="false" outlineLevel="0" collapsed="false">
      <c r="A33" s="3" t="s">
        <v>704</v>
      </c>
      <c r="B33" s="3" t="s">
        <v>443</v>
      </c>
      <c r="C33" s="3" t="s">
        <v>444</v>
      </c>
      <c r="D33" s="3" t="s">
        <v>214</v>
      </c>
      <c r="E33" s="3" t="s">
        <v>705</v>
      </c>
      <c r="F33" s="13" t="n">
        <f aca="false">CONSOLIDADO!Q32</f>
        <v>725.491860969828</v>
      </c>
      <c r="G33" s="15" t="n">
        <f aca="false">F33/240</f>
        <v>3.02288275404095</v>
      </c>
      <c r="H33" s="15" t="n">
        <f aca="false">CONSOLIDADO!R32/20</f>
        <v>3.26471337436423</v>
      </c>
      <c r="I33" s="3" t="n">
        <v>3</v>
      </c>
      <c r="J33" s="3" t="n">
        <v>5</v>
      </c>
      <c r="K33" s="3" t="s">
        <v>701</v>
      </c>
      <c r="L33" s="13" t="n">
        <f aca="false">G33*(I33+J33)/2</f>
        <v>12.0915310161638</v>
      </c>
      <c r="M33" s="13" t="n">
        <f aca="false">H33*J33-L33</f>
        <v>4.23203585565733</v>
      </c>
      <c r="N33" s="13" t="n">
        <f aca="false">L33+M33</f>
        <v>16.3235668718211</v>
      </c>
      <c r="O33" s="3" t="s">
        <v>702</v>
      </c>
      <c r="P33" s="16" t="n">
        <v>72</v>
      </c>
      <c r="Q33" s="3" t="n">
        <v>20</v>
      </c>
      <c r="R33" s="3" t="n">
        <f aca="false">MAX(1,CEILING(H33*Q33/P33,1))</f>
        <v>1</v>
      </c>
      <c r="S33" s="17" t="n">
        <f aca="false">F33/(R33*P33)</f>
        <v>10.0762758468032</v>
      </c>
      <c r="T33" s="13" t="n">
        <f aca="false">M33+R33*P33</f>
        <v>76.2320358556573</v>
      </c>
      <c r="U33" s="3" t="s">
        <v>697</v>
      </c>
      <c r="V33" s="16" t="n">
        <v>144</v>
      </c>
      <c r="W33" s="17" t="n">
        <f aca="false">T33/V33</f>
        <v>0.529389137886509</v>
      </c>
    </row>
    <row r="34" customFormat="false" ht="15" hidden="false" customHeight="false" outlineLevel="0" collapsed="false">
      <c r="A34" s="3" t="s">
        <v>706</v>
      </c>
      <c r="B34" s="3" t="s">
        <v>219</v>
      </c>
      <c r="C34" s="3" t="s">
        <v>220</v>
      </c>
      <c r="D34" s="3" t="s">
        <v>192</v>
      </c>
      <c r="E34" s="3" t="s">
        <v>707</v>
      </c>
      <c r="F34" s="13" t="n">
        <f aca="false">CONSOLIDADO!Q33</f>
        <v>6043.43512149988</v>
      </c>
      <c r="G34" s="15" t="n">
        <f aca="false">F34/240</f>
        <v>25.1809796729162</v>
      </c>
      <c r="H34" s="15" t="n">
        <f aca="false">CONSOLIDADO!R33/20</f>
        <v>34.7575348585287</v>
      </c>
      <c r="I34" s="3" t="n">
        <v>4</v>
      </c>
      <c r="J34" s="3" t="n">
        <v>5</v>
      </c>
      <c r="K34" s="3" t="s">
        <v>708</v>
      </c>
      <c r="L34" s="13" t="n">
        <f aca="false">G34*(I34+J34)/2</f>
        <v>113.314408528123</v>
      </c>
      <c r="M34" s="13" t="n">
        <f aca="false">H34*J34-L34</f>
        <v>60.4732657645207</v>
      </c>
      <c r="N34" s="13" t="n">
        <f aca="false">L34+M34</f>
        <v>173.787674292644</v>
      </c>
      <c r="O34" s="3" t="s">
        <v>709</v>
      </c>
      <c r="P34" s="16" t="n">
        <v>900</v>
      </c>
      <c r="Q34" s="3" t="n">
        <v>20</v>
      </c>
      <c r="R34" s="3" t="n">
        <f aca="false">MAX(1,CEILING(H34*Q34/P34,1))</f>
        <v>1</v>
      </c>
      <c r="S34" s="17" t="n">
        <f aca="false">F34/(R34*P34)</f>
        <v>6.71492791277765</v>
      </c>
      <c r="T34" s="13" t="n">
        <f aca="false">M34+R34*P34</f>
        <v>960.473265764521</v>
      </c>
      <c r="U34" s="3" t="s">
        <v>710</v>
      </c>
      <c r="V34" s="16" t="n">
        <v>900</v>
      </c>
      <c r="W34" s="17" t="n">
        <f aca="false">T34/V34</f>
        <v>1.06719251751613</v>
      </c>
    </row>
    <row r="35" customFormat="false" ht="15" hidden="false" customHeight="false" outlineLevel="0" collapsed="false">
      <c r="A35" s="3" t="s">
        <v>711</v>
      </c>
      <c r="B35" s="3" t="s">
        <v>396</v>
      </c>
      <c r="C35" s="3" t="s">
        <v>397</v>
      </c>
      <c r="D35" s="3" t="s">
        <v>192</v>
      </c>
      <c r="E35" s="3" t="s">
        <v>707</v>
      </c>
      <c r="F35" s="13" t="n">
        <f aca="false">CONSOLIDADO!Q34</f>
        <v>1388.19529361605</v>
      </c>
      <c r="G35" s="15" t="n">
        <f aca="false">F35/240</f>
        <v>5.78414705673356</v>
      </c>
      <c r="H35" s="15" t="n">
        <f aca="false">CONSOLIDADO!R34/20</f>
        <v>6.24687882127224</v>
      </c>
      <c r="I35" s="3" t="n">
        <v>4</v>
      </c>
      <c r="J35" s="3" t="n">
        <v>5</v>
      </c>
      <c r="K35" s="3" t="s">
        <v>708</v>
      </c>
      <c r="L35" s="13" t="n">
        <f aca="false">G35*(I35+J35)/2</f>
        <v>26.028661755301</v>
      </c>
      <c r="M35" s="13" t="n">
        <f aca="false">H35*J35-L35</f>
        <v>5.2057323510602</v>
      </c>
      <c r="N35" s="13" t="n">
        <f aca="false">L35+M35</f>
        <v>31.2343941063612</v>
      </c>
      <c r="O35" s="3" t="s">
        <v>709</v>
      </c>
      <c r="P35" s="16" t="n">
        <v>900</v>
      </c>
      <c r="Q35" s="3" t="n">
        <v>40</v>
      </c>
      <c r="R35" s="3" t="n">
        <f aca="false">MAX(1,CEILING(H35*Q35/P35,1))</f>
        <v>1</v>
      </c>
      <c r="S35" s="17" t="n">
        <f aca="false">F35/(R35*P35)</f>
        <v>1.54243921512895</v>
      </c>
      <c r="T35" s="13" t="n">
        <f aca="false">M35+R35*P35</f>
        <v>905.20573235106</v>
      </c>
      <c r="U35" s="3" t="s">
        <v>697</v>
      </c>
      <c r="V35" s="16" t="n">
        <v>900</v>
      </c>
      <c r="W35" s="17" t="n">
        <f aca="false">T35/V35</f>
        <v>1.00578414705673</v>
      </c>
    </row>
    <row r="36" customFormat="false" ht="15" hidden="false" customHeight="false" outlineLevel="0" collapsed="false">
      <c r="A36" s="3" t="s">
        <v>712</v>
      </c>
      <c r="B36" s="3" t="s">
        <v>222</v>
      </c>
      <c r="C36" s="3" t="s">
        <v>223</v>
      </c>
      <c r="D36" s="3" t="s">
        <v>224</v>
      </c>
      <c r="E36" s="3" t="s">
        <v>713</v>
      </c>
      <c r="F36" s="13" t="n">
        <f aca="false">CONSOLIDADO!Q35</f>
        <v>8024.76864225766</v>
      </c>
      <c r="G36" s="15" t="n">
        <f aca="false">F36/240</f>
        <v>33.4365360094069</v>
      </c>
      <c r="H36" s="15" t="n">
        <f aca="false">CONSOLIDADO!R35/20</f>
        <v>45.4516023297336</v>
      </c>
      <c r="I36" s="3" t="n">
        <v>1</v>
      </c>
      <c r="J36" s="3" t="n">
        <v>1</v>
      </c>
      <c r="K36" s="3" t="s">
        <v>714</v>
      </c>
      <c r="L36" s="13" t="n">
        <f aca="false">G36*(I36+J36)/2</f>
        <v>33.4365360094069</v>
      </c>
      <c r="M36" s="13" t="n">
        <f aca="false">H36*J36-L36</f>
        <v>12.0150663203266</v>
      </c>
      <c r="N36" s="13" t="n">
        <f aca="false">L36+M36</f>
        <v>45.4516023297336</v>
      </c>
      <c r="O36" s="3" t="s">
        <v>715</v>
      </c>
      <c r="P36" s="16" t="n">
        <v>115.5</v>
      </c>
      <c r="Q36" s="3" t="n">
        <v>5</v>
      </c>
      <c r="R36" s="3" t="n">
        <f aca="false">MAX(1,CEILING(H36*Q36/P36,1))</f>
        <v>2</v>
      </c>
      <c r="S36" s="17" t="n">
        <f aca="false">F36/(R36*P36)</f>
        <v>34.7392581915916</v>
      </c>
      <c r="T36" s="13" t="n">
        <f aca="false">M36+R36*P36</f>
        <v>243.015066320327</v>
      </c>
      <c r="U36" s="3" t="s">
        <v>716</v>
      </c>
      <c r="V36" s="16" t="n">
        <v>115.5</v>
      </c>
      <c r="W36" s="17" t="n">
        <f aca="false">T36/V36</f>
        <v>2.10402654822794</v>
      </c>
    </row>
    <row r="37" customFormat="false" ht="15" hidden="false" customHeight="false" outlineLevel="0" collapsed="false">
      <c r="A37" s="3" t="s">
        <v>717</v>
      </c>
      <c r="B37" s="3" t="s">
        <v>400</v>
      </c>
      <c r="C37" s="3" t="s">
        <v>401</v>
      </c>
      <c r="D37" s="3" t="s">
        <v>214</v>
      </c>
      <c r="E37" s="3" t="s">
        <v>694</v>
      </c>
      <c r="F37" s="13" t="n">
        <f aca="false">CONSOLIDADO!Q36</f>
        <v>27.2141466975798</v>
      </c>
      <c r="G37" s="15" t="n">
        <f aca="false">F37/240</f>
        <v>0.113392277906582</v>
      </c>
      <c r="H37" s="15" t="n">
        <f aca="false">CONSOLIDADO!R36/20</f>
        <v>0.122463660139109</v>
      </c>
      <c r="I37" s="3" t="n">
        <v>3</v>
      </c>
      <c r="J37" s="3" t="n">
        <v>5</v>
      </c>
      <c r="K37" s="3" t="s">
        <v>695</v>
      </c>
      <c r="L37" s="13" t="n">
        <f aca="false">G37*(I37+J37)/2</f>
        <v>0.45356911162633</v>
      </c>
      <c r="M37" s="13" t="n">
        <f aca="false">H37*J37-L37</f>
        <v>0.158749189069215</v>
      </c>
      <c r="N37" s="13" t="n">
        <f aca="false">L37+M37</f>
        <v>0.612318300695545</v>
      </c>
      <c r="O37" s="3" t="s">
        <v>718</v>
      </c>
      <c r="P37" s="16" t="n">
        <v>25</v>
      </c>
      <c r="Q37" s="3" t="n">
        <v>20</v>
      </c>
      <c r="R37" s="3" t="n">
        <f aca="false">MAX(1,CEILING(H37*Q37/P37,1))</f>
        <v>1</v>
      </c>
      <c r="S37" s="17" t="n">
        <f aca="false">F37/(R37*P37)</f>
        <v>1.08856586790319</v>
      </c>
      <c r="T37" s="13" t="n">
        <f aca="false">M37+R37*P37</f>
        <v>25.1587491890692</v>
      </c>
      <c r="U37" s="3" t="s">
        <v>710</v>
      </c>
      <c r="V37" s="16" t="n">
        <v>250</v>
      </c>
      <c r="W37" s="17" t="n">
        <f aca="false">T37/V37</f>
        <v>0.100634996756277</v>
      </c>
    </row>
    <row r="38" customFormat="false" ht="15" hidden="false" customHeight="false" outlineLevel="0" collapsed="false">
      <c r="A38" s="3" t="s">
        <v>719</v>
      </c>
      <c r="B38" s="3" t="s">
        <v>403</v>
      </c>
      <c r="C38" s="3" t="s">
        <v>404</v>
      </c>
      <c r="D38" s="3" t="s">
        <v>214</v>
      </c>
      <c r="E38" s="3" t="s">
        <v>720</v>
      </c>
      <c r="F38" s="13" t="n">
        <f aca="false">CONSOLIDADO!Q37</f>
        <v>99.5846800800629</v>
      </c>
      <c r="G38" s="15" t="n">
        <f aca="false">F38/240</f>
        <v>0.414936167000262</v>
      </c>
      <c r="H38" s="15" t="n">
        <f aca="false">CONSOLIDADO!R37/20</f>
        <v>0.448131060360283</v>
      </c>
      <c r="I38" s="3" t="n">
        <v>1</v>
      </c>
      <c r="J38" s="3" t="n">
        <v>1</v>
      </c>
      <c r="K38" s="3" t="s">
        <v>721</v>
      </c>
      <c r="L38" s="13" t="n">
        <f aca="false">G38*(I38+J38)/2</f>
        <v>0.414936167000262</v>
      </c>
      <c r="M38" s="13" t="n">
        <f aca="false">H38*J38-L38</f>
        <v>0.033194893360021</v>
      </c>
      <c r="N38" s="13" t="n">
        <f aca="false">L38+M38</f>
        <v>0.448131060360283</v>
      </c>
      <c r="O38" s="3" t="s">
        <v>718</v>
      </c>
      <c r="P38" s="16" t="n">
        <v>25</v>
      </c>
      <c r="Q38" s="3" t="n">
        <v>20</v>
      </c>
      <c r="R38" s="3" t="n">
        <f aca="false">MAX(1,CEILING(H38*Q38/P38,1))</f>
        <v>1</v>
      </c>
      <c r="S38" s="17" t="n">
        <f aca="false">F38/(R38*P38)</f>
        <v>3.98338720320252</v>
      </c>
      <c r="T38" s="13" t="n">
        <f aca="false">M38+R38*P38</f>
        <v>25.03319489336</v>
      </c>
      <c r="U38" s="3" t="s">
        <v>710</v>
      </c>
      <c r="V38" s="16" t="n">
        <v>250</v>
      </c>
      <c r="W38" s="17" t="n">
        <f aca="false">T38/V38</f>
        <v>0.10013277957344</v>
      </c>
    </row>
    <row r="39" customFormat="false" ht="15" hidden="false" customHeight="false" outlineLevel="0" collapsed="false">
      <c r="A39" s="3" t="s">
        <v>722</v>
      </c>
      <c r="B39" s="3" t="s">
        <v>406</v>
      </c>
      <c r="C39" s="3" t="s">
        <v>407</v>
      </c>
      <c r="D39" s="3" t="s">
        <v>214</v>
      </c>
      <c r="E39" s="3" t="s">
        <v>694</v>
      </c>
      <c r="F39" s="13" t="n">
        <f aca="false">CONSOLIDADO!Q38</f>
        <v>22.6283244618841</v>
      </c>
      <c r="G39" s="15" t="n">
        <f aca="false">F39/240</f>
        <v>0.0942846852578504</v>
      </c>
      <c r="H39" s="15" t="n">
        <f aca="false">CONSOLIDADO!R38/20</f>
        <v>0.101827460078478</v>
      </c>
      <c r="I39" s="3" t="n">
        <v>3</v>
      </c>
      <c r="J39" s="3" t="n">
        <v>5</v>
      </c>
      <c r="K39" s="3" t="s">
        <v>695</v>
      </c>
      <c r="L39" s="13" t="n">
        <f aca="false">G39*(I39+J39)/2</f>
        <v>0.377138741031401</v>
      </c>
      <c r="M39" s="13" t="n">
        <f aca="false">H39*J39-L39</f>
        <v>0.131998559360991</v>
      </c>
      <c r="N39" s="13" t="n">
        <f aca="false">L39+M39</f>
        <v>0.509137300392392</v>
      </c>
      <c r="O39" s="3" t="s">
        <v>718</v>
      </c>
      <c r="P39" s="16" t="n">
        <v>25</v>
      </c>
      <c r="Q39" s="3" t="n">
        <v>20</v>
      </c>
      <c r="R39" s="3" t="n">
        <f aca="false">MAX(1,CEILING(H39*Q39/P39,1))</f>
        <v>1</v>
      </c>
      <c r="S39" s="17" t="n">
        <f aca="false">F39/(R39*P39)</f>
        <v>0.905132978475363</v>
      </c>
      <c r="T39" s="13" t="n">
        <f aca="false">M39+R39*P39</f>
        <v>25.131998559361</v>
      </c>
      <c r="U39" s="3" t="s">
        <v>710</v>
      </c>
      <c r="V39" s="16" t="n">
        <v>250</v>
      </c>
      <c r="W39" s="17" t="n">
        <f aca="false">T39/V39</f>
        <v>0.100527994237444</v>
      </c>
    </row>
    <row r="40" customFormat="false" ht="15" hidden="false" customHeight="false" outlineLevel="0" collapsed="false">
      <c r="A40" s="3" t="s">
        <v>723</v>
      </c>
      <c r="B40" s="3" t="s">
        <v>409</v>
      </c>
      <c r="C40" s="3" t="s">
        <v>410</v>
      </c>
      <c r="D40" s="3" t="s">
        <v>214</v>
      </c>
      <c r="E40" s="3" t="s">
        <v>720</v>
      </c>
      <c r="F40" s="13" t="n">
        <f aca="false">CONSOLIDADO!Q39</f>
        <v>18.1427644650532</v>
      </c>
      <c r="G40" s="15" t="n">
        <f aca="false">F40/240</f>
        <v>0.0755948519377216</v>
      </c>
      <c r="H40" s="15" t="n">
        <f aca="false">CONSOLIDADO!R39/20</f>
        <v>0.0816424400927393</v>
      </c>
      <c r="I40" s="3" t="n">
        <v>1</v>
      </c>
      <c r="J40" s="3" t="n">
        <v>1</v>
      </c>
      <c r="K40" s="3" t="s">
        <v>721</v>
      </c>
      <c r="L40" s="13" t="n">
        <f aca="false">G40*(I40+J40)/2</f>
        <v>0.0755948519377216</v>
      </c>
      <c r="M40" s="13" t="n">
        <f aca="false">H40*J40-L40</f>
        <v>0.00604758815501773</v>
      </c>
      <c r="N40" s="13" t="n">
        <f aca="false">L40+M40</f>
        <v>0.0816424400927393</v>
      </c>
      <c r="O40" s="3" t="s">
        <v>718</v>
      </c>
      <c r="P40" s="16" t="n">
        <v>25</v>
      </c>
      <c r="Q40" s="3" t="n">
        <v>20</v>
      </c>
      <c r="R40" s="3" t="n">
        <f aca="false">MAX(1,CEILING(H40*Q40/P40,1))</f>
        <v>1</v>
      </c>
      <c r="S40" s="17" t="n">
        <f aca="false">F40/(R40*P40)</f>
        <v>0.725710578602127</v>
      </c>
      <c r="T40" s="13" t="n">
        <f aca="false">M40+R40*P40</f>
        <v>25.006047588155</v>
      </c>
      <c r="U40" s="3" t="s">
        <v>710</v>
      </c>
      <c r="V40" s="16" t="n">
        <v>250</v>
      </c>
      <c r="W40" s="17" t="n">
        <f aca="false">T40/V40</f>
        <v>0.10002419035262</v>
      </c>
    </row>
    <row r="41" customFormat="false" ht="15" hidden="false" customHeight="false" outlineLevel="0" collapsed="false">
      <c r="A41" s="3" t="s">
        <v>724</v>
      </c>
      <c r="B41" s="3" t="s">
        <v>412</v>
      </c>
      <c r="C41" s="3" t="s">
        <v>413</v>
      </c>
      <c r="D41" s="3" t="s">
        <v>214</v>
      </c>
      <c r="E41" s="3" t="s">
        <v>694</v>
      </c>
      <c r="F41" s="13" t="n">
        <f aca="false">CONSOLIDADO!Q40</f>
        <v>7.7531911162633</v>
      </c>
      <c r="G41" s="15" t="n">
        <f aca="false">F41/240</f>
        <v>0.0323049629844304</v>
      </c>
      <c r="H41" s="15" t="n">
        <f aca="false">CONSOLIDADO!R40/20</f>
        <v>0.0348893600231848</v>
      </c>
      <c r="I41" s="3" t="n">
        <v>3</v>
      </c>
      <c r="J41" s="3" t="n">
        <v>5</v>
      </c>
      <c r="K41" s="3" t="s">
        <v>695</v>
      </c>
      <c r="L41" s="13" t="n">
        <f aca="false">G41*(I41+J41)/2</f>
        <v>0.129219851937722</v>
      </c>
      <c r="M41" s="13" t="n">
        <f aca="false">H41*J41-L41</f>
        <v>0.0452269481782026</v>
      </c>
      <c r="N41" s="13" t="n">
        <f aca="false">L41+M41</f>
        <v>0.174446800115924</v>
      </c>
      <c r="O41" s="3" t="s">
        <v>718</v>
      </c>
      <c r="P41" s="16" t="n">
        <v>25</v>
      </c>
      <c r="Q41" s="3" t="n">
        <v>20</v>
      </c>
      <c r="R41" s="3" t="n">
        <f aca="false">MAX(1,CEILING(H41*Q41/P41,1))</f>
        <v>1</v>
      </c>
      <c r="S41" s="17" t="n">
        <f aca="false">F41/(R41*P41)</f>
        <v>0.310127644650532</v>
      </c>
      <c r="T41" s="13" t="n">
        <f aca="false">M41+R41*P41</f>
        <v>25.0452269481782</v>
      </c>
      <c r="U41" s="3" t="s">
        <v>710</v>
      </c>
      <c r="V41" s="16" t="n">
        <v>250</v>
      </c>
      <c r="W41" s="17" t="n">
        <f aca="false">T41/V41</f>
        <v>0.100180907792713</v>
      </c>
    </row>
    <row r="42" customFormat="false" ht="15" hidden="false" customHeight="false" outlineLevel="0" collapsed="false">
      <c r="A42" s="3" t="s">
        <v>725</v>
      </c>
      <c r="B42" s="3" t="s">
        <v>226</v>
      </c>
      <c r="C42" s="3" t="s">
        <v>227</v>
      </c>
      <c r="D42" s="3" t="s">
        <v>192</v>
      </c>
      <c r="E42" s="3" t="s">
        <v>726</v>
      </c>
      <c r="F42" s="13" t="n">
        <f aca="false">CONSOLIDADO!Q41</f>
        <v>22872.9716186761</v>
      </c>
      <c r="G42" s="15" t="n">
        <f aca="false">F42/240</f>
        <v>95.3040484111502</v>
      </c>
      <c r="H42" s="15" t="n">
        <f aca="false">CONSOLIDADO!R41/20</f>
        <v>133.906169467918</v>
      </c>
      <c r="I42" s="3" t="n">
        <v>1</v>
      </c>
      <c r="J42" s="3" t="n">
        <v>1</v>
      </c>
      <c r="K42" s="3" t="s">
        <v>727</v>
      </c>
      <c r="L42" s="13" t="n">
        <f aca="false">G42*(I42+J42)/2</f>
        <v>95.3040484111502</v>
      </c>
      <c r="M42" s="13" t="n">
        <f aca="false">H42*J42-L42</f>
        <v>38.6021210567681</v>
      </c>
      <c r="N42" s="13" t="n">
        <f aca="false">L42+M42</f>
        <v>133.906169467918</v>
      </c>
      <c r="O42" s="3" t="s">
        <v>728</v>
      </c>
      <c r="P42" s="16" t="n">
        <v>1000</v>
      </c>
      <c r="Q42" s="3" t="n">
        <v>60</v>
      </c>
      <c r="R42" s="3" t="n">
        <f aca="false">MAX(1,CEILING(H42*Q42/P42,1))</f>
        <v>9</v>
      </c>
      <c r="S42" s="17" t="n">
        <f aca="false">F42/(R42*P42)</f>
        <v>2.54144129096401</v>
      </c>
      <c r="T42" s="13" t="n">
        <f aca="false">M42+R42*P42</f>
        <v>9038.60212105677</v>
      </c>
      <c r="U42" s="3" t="s">
        <v>710</v>
      </c>
      <c r="V42" s="16" t="n">
        <v>1000</v>
      </c>
      <c r="W42" s="17" t="n">
        <f aca="false">T42/V42</f>
        <v>9.03860212105677</v>
      </c>
    </row>
    <row r="43" customFormat="false" ht="15" hidden="false" customHeight="false" outlineLevel="0" collapsed="false">
      <c r="A43" s="3" t="s">
        <v>729</v>
      </c>
      <c r="B43" s="3" t="s">
        <v>229</v>
      </c>
      <c r="C43" s="3" t="s">
        <v>230</v>
      </c>
      <c r="D43" s="3" t="s">
        <v>192</v>
      </c>
      <c r="E43" s="3" t="s">
        <v>730</v>
      </c>
      <c r="F43" s="13" t="n">
        <f aca="false">CONSOLIDADO!Q42</f>
        <v>3609.0147583921</v>
      </c>
      <c r="G43" s="15" t="n">
        <f aca="false">F43/240</f>
        <v>15.0375614933004</v>
      </c>
      <c r="H43" s="15" t="n">
        <f aca="false">CONSOLIDADO!R42/20</f>
        <v>20.7108372538055</v>
      </c>
      <c r="I43" s="3" t="n">
        <v>1</v>
      </c>
      <c r="J43" s="3" t="n">
        <v>1</v>
      </c>
      <c r="K43" s="3" t="s">
        <v>731</v>
      </c>
      <c r="L43" s="13" t="n">
        <f aca="false">G43*(I43+J43)/2</f>
        <v>15.0375614933004</v>
      </c>
      <c r="M43" s="13" t="n">
        <f aca="false">H43*J43-L43</f>
        <v>5.67327576050507</v>
      </c>
      <c r="N43" s="13" t="n">
        <f aca="false">L43+M43</f>
        <v>20.7108372538055</v>
      </c>
      <c r="O43" s="3" t="s">
        <v>732</v>
      </c>
      <c r="P43" s="16" t="n">
        <v>600</v>
      </c>
      <c r="Q43" s="3" t="n">
        <v>20</v>
      </c>
      <c r="R43" s="3" t="n">
        <f aca="false">MAX(1,CEILING(H43*Q43/P43,1))</f>
        <v>1</v>
      </c>
      <c r="S43" s="17" t="n">
        <f aca="false">F43/(R43*P43)</f>
        <v>6.01502459732016</v>
      </c>
      <c r="T43" s="13" t="n">
        <f aca="false">M43+R43*P43</f>
        <v>605.673275760505</v>
      </c>
      <c r="U43" s="3" t="s">
        <v>733</v>
      </c>
      <c r="V43" s="16" t="n">
        <v>600</v>
      </c>
      <c r="W43" s="17" t="n">
        <f aca="false">T43/V43</f>
        <v>1.00945545960084</v>
      </c>
    </row>
    <row r="44" customFormat="false" ht="15" hidden="false" customHeight="false" outlineLevel="0" collapsed="false">
      <c r="A44" s="3" t="s">
        <v>734</v>
      </c>
      <c r="B44" s="3" t="s">
        <v>232</v>
      </c>
      <c r="C44" s="3" t="s">
        <v>233</v>
      </c>
      <c r="D44" s="3" t="s">
        <v>192</v>
      </c>
      <c r="E44" s="3" t="s">
        <v>735</v>
      </c>
      <c r="F44" s="13" t="n">
        <f aca="false">CONSOLIDADO!Q43</f>
        <v>281029.602570039</v>
      </c>
      <c r="G44" s="15" t="n">
        <f aca="false">F44/240</f>
        <v>1170.95667737516</v>
      </c>
      <c r="H44" s="15" t="n">
        <f aca="false">CONSOLIDADO!R43/20</f>
        <v>1505.55885349289</v>
      </c>
      <c r="I44" s="3" t="n">
        <v>3</v>
      </c>
      <c r="J44" s="3" t="n">
        <v>6</v>
      </c>
      <c r="K44" s="3" t="s">
        <v>736</v>
      </c>
      <c r="L44" s="13" t="n">
        <f aca="false">G44*(I44+J44)/2</f>
        <v>5269.30504818823</v>
      </c>
      <c r="M44" s="13" t="n">
        <f aca="false">H44*J44-L44</f>
        <v>3764.04807276909</v>
      </c>
      <c r="N44" s="13" t="n">
        <f aca="false">L44+M44</f>
        <v>9033.35312095731</v>
      </c>
      <c r="O44" s="3" t="s">
        <v>737</v>
      </c>
      <c r="P44" s="16" t="n">
        <v>1000</v>
      </c>
      <c r="Q44" s="3" t="n">
        <v>5</v>
      </c>
      <c r="R44" s="3" t="n">
        <f aca="false">MAX(1,CEILING(H44*Q44/P44,1))</f>
        <v>8</v>
      </c>
      <c r="S44" s="17" t="n">
        <f aca="false">F44/(R44*P44)</f>
        <v>35.1287003212548</v>
      </c>
      <c r="T44" s="13" t="n">
        <f aca="false">M44+R44*P44</f>
        <v>11764.0480727691</v>
      </c>
      <c r="U44" s="3" t="s">
        <v>733</v>
      </c>
      <c r="V44" s="16" t="n">
        <v>2000</v>
      </c>
      <c r="W44" s="17" t="n">
        <f aca="false">T44/V44</f>
        <v>5.88202403638454</v>
      </c>
    </row>
    <row r="45" customFormat="false" ht="15" hidden="false" customHeight="false" outlineLevel="0" collapsed="false">
      <c r="A45" s="3" t="s">
        <v>738</v>
      </c>
      <c r="B45" s="3" t="s">
        <v>427</v>
      </c>
      <c r="C45" s="3" t="s">
        <v>428</v>
      </c>
      <c r="D45" s="3" t="s">
        <v>192</v>
      </c>
      <c r="E45" s="3" t="s">
        <v>735</v>
      </c>
      <c r="F45" s="13" t="n">
        <f aca="false">CONSOLIDADO!Q44</f>
        <v>102455.198498763</v>
      </c>
      <c r="G45" s="15" t="n">
        <f aca="false">F45/240</f>
        <v>426.896660411512</v>
      </c>
      <c r="H45" s="15" t="n">
        <f aca="false">CONSOLIDADO!R44/20</f>
        <v>457.530721224148</v>
      </c>
      <c r="I45" s="3" t="n">
        <v>3</v>
      </c>
      <c r="J45" s="3" t="n">
        <v>6</v>
      </c>
      <c r="K45" s="3" t="s">
        <v>736</v>
      </c>
      <c r="L45" s="13" t="n">
        <f aca="false">G45*(I45+J45)/2</f>
        <v>1921.03497185181</v>
      </c>
      <c r="M45" s="13" t="n">
        <f aca="false">H45*J45-L45</f>
        <v>824.149355493082</v>
      </c>
      <c r="N45" s="13" t="n">
        <f aca="false">L45+M45</f>
        <v>2745.18432734489</v>
      </c>
      <c r="O45" s="3" t="s">
        <v>737</v>
      </c>
      <c r="P45" s="16" t="n">
        <v>1000</v>
      </c>
      <c r="Q45" s="3" t="n">
        <v>5</v>
      </c>
      <c r="R45" s="3" t="n">
        <f aca="false">MAX(1,CEILING(H45*Q45/P45,1))</f>
        <v>3</v>
      </c>
      <c r="S45" s="17" t="n">
        <f aca="false">F45/(R45*P45)</f>
        <v>34.151732832921</v>
      </c>
      <c r="T45" s="13" t="n">
        <f aca="false">M45+R45*P45</f>
        <v>3824.14935549308</v>
      </c>
      <c r="U45" s="3" t="s">
        <v>733</v>
      </c>
      <c r="V45" s="16" t="n">
        <v>2000</v>
      </c>
      <c r="W45" s="17" t="n">
        <f aca="false">T45/V45</f>
        <v>1.91207467774654</v>
      </c>
    </row>
    <row r="46" customFormat="false" ht="15" hidden="false" customHeight="false" outlineLevel="0" collapsed="false">
      <c r="A46" s="3" t="s">
        <v>739</v>
      </c>
      <c r="B46" s="3" t="s">
        <v>235</v>
      </c>
      <c r="C46" s="3" t="s">
        <v>236</v>
      </c>
      <c r="D46" s="3" t="s">
        <v>224</v>
      </c>
      <c r="E46" s="3" t="s">
        <v>713</v>
      </c>
      <c r="F46" s="13" t="n">
        <f aca="false">CONSOLIDADO!Q45</f>
        <v>3706.10551362893</v>
      </c>
      <c r="G46" s="15" t="n">
        <f aca="false">F46/240</f>
        <v>15.4421063067872</v>
      </c>
      <c r="H46" s="15" t="n">
        <f aca="false">CONSOLIDADO!R45/20</f>
        <v>17.4616401802052</v>
      </c>
      <c r="I46" s="3" t="n">
        <v>1</v>
      </c>
      <c r="J46" s="3" t="n">
        <v>1</v>
      </c>
      <c r="K46" s="3" t="s">
        <v>714</v>
      </c>
      <c r="L46" s="13" t="n">
        <f aca="false">G46*(I46+J46)/2</f>
        <v>15.4421063067872</v>
      </c>
      <c r="M46" s="13" t="n">
        <f aca="false">H46*J46-L46</f>
        <v>2.01953387341796</v>
      </c>
      <c r="N46" s="13" t="n">
        <f aca="false">L46+M46</f>
        <v>17.4616401802052</v>
      </c>
      <c r="O46" s="3" t="s">
        <v>740</v>
      </c>
      <c r="P46" s="16" t="n">
        <v>110</v>
      </c>
      <c r="Q46" s="3" t="n">
        <v>10</v>
      </c>
      <c r="R46" s="3" t="n">
        <f aca="false">MAX(1,CEILING(H46*Q46/P46,1))</f>
        <v>2</v>
      </c>
      <c r="S46" s="17" t="n">
        <f aca="false">F46/(R46*P46)</f>
        <v>16.8459341528588</v>
      </c>
      <c r="T46" s="13" t="n">
        <f aca="false">M46+R46*P46</f>
        <v>222.019533873418</v>
      </c>
      <c r="U46" s="3" t="s">
        <v>716</v>
      </c>
      <c r="V46" s="16" t="n">
        <v>103</v>
      </c>
      <c r="W46" s="17" t="n">
        <f aca="false">T46/V46</f>
        <v>2.15552945508173</v>
      </c>
    </row>
    <row r="47" customFormat="false" ht="15" hidden="false" customHeight="false" outlineLevel="0" collapsed="false">
      <c r="A47" s="3" t="s">
        <v>741</v>
      </c>
      <c r="B47" s="3" t="s">
        <v>510</v>
      </c>
      <c r="C47" s="3" t="s">
        <v>511</v>
      </c>
      <c r="D47" s="3" t="s">
        <v>192</v>
      </c>
      <c r="E47" s="3" t="s">
        <v>742</v>
      </c>
      <c r="F47" s="13" t="n">
        <f aca="false">CONSOLIDADO!Q46</f>
        <v>725.457135307448</v>
      </c>
      <c r="G47" s="15" t="n">
        <f aca="false">F47/240</f>
        <v>3.02273806378103</v>
      </c>
      <c r="H47" s="15" t="n">
        <f aca="false">CONSOLIDADO!R46/20</f>
        <v>3.02273806378103</v>
      </c>
      <c r="I47" s="3" t="n">
        <v>3</v>
      </c>
      <c r="J47" s="3" t="n">
        <v>6</v>
      </c>
      <c r="K47" s="3" t="s">
        <v>736</v>
      </c>
      <c r="L47" s="13" t="n">
        <f aca="false">G47*(I47+J47)/2</f>
        <v>13.6023212870147</v>
      </c>
      <c r="M47" s="13" t="n">
        <f aca="false">H47*J47-L47</f>
        <v>4.53410709567155</v>
      </c>
      <c r="N47" s="13" t="n">
        <f aca="false">L47+M47</f>
        <v>18.1364283826862</v>
      </c>
      <c r="O47" s="3" t="s">
        <v>743</v>
      </c>
      <c r="P47" s="16" t="n">
        <v>25</v>
      </c>
      <c r="Q47" s="3" t="n">
        <v>60</v>
      </c>
      <c r="R47" s="3" t="n">
        <f aca="false">MAX(1,CEILING(H47*Q47/P47,1))</f>
        <v>8</v>
      </c>
      <c r="S47" s="17" t="n">
        <f aca="false">F47/(R47*P47)</f>
        <v>3.62728567653724</v>
      </c>
      <c r="T47" s="13" t="n">
        <f aca="false">M47+R47*P47</f>
        <v>204.534107095672</v>
      </c>
      <c r="U47" s="3" t="s">
        <v>733</v>
      </c>
      <c r="V47" s="16" t="n">
        <v>1000</v>
      </c>
      <c r="W47" s="17" t="n">
        <f aca="false">T47/V47</f>
        <v>0.204534107095672</v>
      </c>
    </row>
    <row r="48" customFormat="false" ht="15" hidden="false" customHeight="false" outlineLevel="0" collapsed="false">
      <c r="A48" s="3" t="s">
        <v>744</v>
      </c>
      <c r="B48" s="3" t="s">
        <v>513</v>
      </c>
      <c r="C48" s="3" t="s">
        <v>514</v>
      </c>
      <c r="D48" s="3" t="s">
        <v>192</v>
      </c>
      <c r="E48" s="3" t="s">
        <v>735</v>
      </c>
      <c r="F48" s="13" t="n">
        <f aca="false">CONSOLIDADO!Q47</f>
        <v>1163.06980253485</v>
      </c>
      <c r="G48" s="15" t="n">
        <f aca="false">F48/240</f>
        <v>4.84612417722856</v>
      </c>
      <c r="H48" s="15" t="n">
        <f aca="false">CONSOLIDADO!R47/20</f>
        <v>4.84612417722856</v>
      </c>
      <c r="I48" s="3" t="n">
        <v>3</v>
      </c>
      <c r="J48" s="3" t="n">
        <v>6</v>
      </c>
      <c r="K48" s="3" t="s">
        <v>736</v>
      </c>
      <c r="L48" s="13" t="n">
        <f aca="false">G48*(I48+J48)/2</f>
        <v>21.8075587975285</v>
      </c>
      <c r="M48" s="13" t="n">
        <f aca="false">H48*J48-L48</f>
        <v>7.26918626584283</v>
      </c>
      <c r="N48" s="13" t="n">
        <f aca="false">L48+M48</f>
        <v>29.0767450633713</v>
      </c>
      <c r="O48" s="3" t="s">
        <v>743</v>
      </c>
      <c r="P48" s="16" t="n">
        <v>25</v>
      </c>
      <c r="Q48" s="3" t="n">
        <v>120</v>
      </c>
      <c r="R48" s="3" t="n">
        <f aca="false">MAX(1,CEILING(H48*Q48/P48,1))</f>
        <v>24</v>
      </c>
      <c r="S48" s="17" t="n">
        <f aca="false">F48/(R48*P48)</f>
        <v>1.93844967089142</v>
      </c>
      <c r="T48" s="13" t="n">
        <f aca="false">M48+R48*P48</f>
        <v>607.269186265843</v>
      </c>
      <c r="U48" s="3" t="s">
        <v>733</v>
      </c>
      <c r="V48" s="16" t="n">
        <v>1000</v>
      </c>
      <c r="W48" s="17" t="n">
        <f aca="false">T48/V48</f>
        <v>0.607269186265843</v>
      </c>
    </row>
    <row r="49" customFormat="false" ht="15" hidden="false" customHeight="false" outlineLevel="0" collapsed="false">
      <c r="A49" s="3" t="s">
        <v>745</v>
      </c>
      <c r="B49" s="3" t="s">
        <v>516</v>
      </c>
      <c r="C49" s="3" t="s">
        <v>517</v>
      </c>
      <c r="D49" s="3" t="s">
        <v>192</v>
      </c>
      <c r="E49" s="3" t="s">
        <v>713</v>
      </c>
      <c r="F49" s="13" t="n">
        <f aca="false">CONSOLIDADO!Q48</f>
        <v>2474.01024591012</v>
      </c>
      <c r="G49" s="15" t="n">
        <f aca="false">F49/240</f>
        <v>10.3083760246255</v>
      </c>
      <c r="H49" s="15" t="n">
        <f aca="false">CONSOLIDADO!R48/20</f>
        <v>10.3083760246255</v>
      </c>
      <c r="I49" s="3" t="n">
        <v>1</v>
      </c>
      <c r="J49" s="3" t="n">
        <v>1</v>
      </c>
      <c r="K49" s="3" t="s">
        <v>714</v>
      </c>
      <c r="L49" s="13" t="n">
        <f aca="false">G49*(I49+J49)/2</f>
        <v>10.3083760246255</v>
      </c>
      <c r="M49" s="13" t="n">
        <f aca="false">H49*J49-L49</f>
        <v>0</v>
      </c>
      <c r="N49" s="13" t="n">
        <f aca="false">L49+M49</f>
        <v>10.3083760246255</v>
      </c>
      <c r="O49" s="3" t="s">
        <v>746</v>
      </c>
      <c r="P49" s="16" t="n">
        <v>25</v>
      </c>
      <c r="Q49" s="3" t="n">
        <v>10</v>
      </c>
      <c r="R49" s="3" t="n">
        <f aca="false">MAX(1,CEILING(H49*Q49/P49,1))</f>
        <v>5</v>
      </c>
      <c r="S49" s="17" t="n">
        <f aca="false">F49/(R49*P49)</f>
        <v>19.792081967281</v>
      </c>
      <c r="T49" s="13" t="n">
        <f aca="false">M49+R49*P49</f>
        <v>125</v>
      </c>
      <c r="U49" s="3" t="s">
        <v>716</v>
      </c>
      <c r="V49" s="16" t="n">
        <v>25</v>
      </c>
      <c r="W49" s="17" t="n">
        <f aca="false">T49/V49</f>
        <v>5</v>
      </c>
    </row>
    <row r="50" customFormat="false" ht="15" hidden="false" customHeight="false" outlineLevel="0" collapsed="false">
      <c r="A50" s="3" t="s">
        <v>747</v>
      </c>
      <c r="B50" s="3" t="s">
        <v>519</v>
      </c>
      <c r="C50" s="3" t="s">
        <v>520</v>
      </c>
      <c r="D50" s="3" t="s">
        <v>192</v>
      </c>
      <c r="E50" s="3" t="s">
        <v>748</v>
      </c>
      <c r="F50" s="13" t="n">
        <f aca="false">CONSOLIDADO!Q49</f>
        <v>185.038186767902</v>
      </c>
      <c r="G50" s="15" t="n">
        <f aca="false">F50/240</f>
        <v>0.770992444866259</v>
      </c>
      <c r="H50" s="15" t="n">
        <f aca="false">CONSOLIDADO!R49/20</f>
        <v>0.770992444866259</v>
      </c>
      <c r="I50" s="3" t="n">
        <v>3</v>
      </c>
      <c r="J50" s="3" t="n">
        <v>6</v>
      </c>
      <c r="K50" s="3" t="s">
        <v>736</v>
      </c>
      <c r="L50" s="13" t="n">
        <f aca="false">G50*(I50+J50)/2</f>
        <v>3.46946600189816</v>
      </c>
      <c r="M50" s="13" t="n">
        <f aca="false">H50*J50-L50</f>
        <v>1.15648866729939</v>
      </c>
      <c r="N50" s="13" t="n">
        <f aca="false">L50+M50</f>
        <v>4.62595466919755</v>
      </c>
      <c r="O50" s="3" t="s">
        <v>749</v>
      </c>
      <c r="P50" s="16" t="n">
        <v>50</v>
      </c>
      <c r="Q50" s="3" t="n">
        <v>60</v>
      </c>
      <c r="R50" s="3" t="n">
        <f aca="false">MAX(1,CEILING(H50*Q50/P50,1))</f>
        <v>1</v>
      </c>
      <c r="S50" s="17" t="n">
        <f aca="false">F50/(R50*P50)</f>
        <v>3.70076373535804</v>
      </c>
      <c r="T50" s="13" t="n">
        <f aca="false">M50+R50*P50</f>
        <v>51.1564886672994</v>
      </c>
      <c r="U50" s="3" t="s">
        <v>750</v>
      </c>
      <c r="V50" s="16" t="n">
        <v>50</v>
      </c>
      <c r="W50" s="17" t="n">
        <f aca="false">T50/V50</f>
        <v>1.02312977334599</v>
      </c>
    </row>
    <row r="51" customFormat="false" ht="15" hidden="false" customHeight="false" outlineLevel="0" collapsed="false">
      <c r="A51" s="3" t="s">
        <v>751</v>
      </c>
      <c r="B51" s="3" t="s">
        <v>522</v>
      </c>
      <c r="C51" s="3" t="s">
        <v>523</v>
      </c>
      <c r="D51" s="3" t="s">
        <v>524</v>
      </c>
      <c r="E51" s="3" t="s">
        <v>742</v>
      </c>
      <c r="F51" s="13" t="n">
        <f aca="false">CONSOLIDADO!Q50</f>
        <v>505.427368998169</v>
      </c>
      <c r="G51" s="15" t="n">
        <f aca="false">F51/240</f>
        <v>2.10594737082571</v>
      </c>
      <c r="H51" s="15" t="n">
        <f aca="false">CONSOLIDADO!R50/20</f>
        <v>2.10594737082571</v>
      </c>
      <c r="I51" s="3" t="n">
        <v>1</v>
      </c>
      <c r="J51" s="3" t="n">
        <v>1</v>
      </c>
      <c r="K51" s="3" t="s">
        <v>752</v>
      </c>
      <c r="L51" s="13" t="n">
        <f aca="false">G51*(I51+J51)/2</f>
        <v>2.10594737082571</v>
      </c>
      <c r="M51" s="13" t="n">
        <f aca="false">H51*J51-L51</f>
        <v>0</v>
      </c>
      <c r="N51" s="13" t="n">
        <f aca="false">L51+M51</f>
        <v>2.10594737082571</v>
      </c>
      <c r="O51" s="3" t="s">
        <v>753</v>
      </c>
      <c r="P51" s="16" t="n">
        <v>20</v>
      </c>
      <c r="Q51" s="3" t="n">
        <v>60</v>
      </c>
      <c r="R51" s="3" t="n">
        <f aca="false">MAX(1,CEILING(H51*Q51/P51,1))</f>
        <v>7</v>
      </c>
      <c r="S51" s="17" t="n">
        <f aca="false">F51/(R51*P51)</f>
        <v>3.61019549284407</v>
      </c>
      <c r="T51" s="13" t="n">
        <f aca="false">M51+R51*P51</f>
        <v>140</v>
      </c>
      <c r="U51" s="3" t="s">
        <v>750</v>
      </c>
      <c r="V51" s="16" t="n">
        <v>480</v>
      </c>
      <c r="W51" s="17" t="n">
        <f aca="false">T51/V51</f>
        <v>0.291666666666667</v>
      </c>
    </row>
    <row r="52" customFormat="false" ht="15" hidden="false" customHeight="false" outlineLevel="0" collapsed="false">
      <c r="A52" s="3" t="s">
        <v>754</v>
      </c>
      <c r="B52" s="3" t="s">
        <v>526</v>
      </c>
      <c r="C52" s="3" t="s">
        <v>527</v>
      </c>
      <c r="D52" s="3" t="s">
        <v>524</v>
      </c>
      <c r="E52" s="3" t="s">
        <v>742</v>
      </c>
      <c r="F52" s="13" t="n">
        <f aca="false">CONSOLIDADO!Q51</f>
        <v>7383.01305370899</v>
      </c>
      <c r="G52" s="15" t="n">
        <f aca="false">F52/240</f>
        <v>30.7625543904541</v>
      </c>
      <c r="H52" s="15" t="n">
        <f aca="false">CONSOLIDADO!R51/20</f>
        <v>30.7625543904541</v>
      </c>
      <c r="I52" s="3" t="n">
        <v>3</v>
      </c>
      <c r="J52" s="3" t="n">
        <v>6</v>
      </c>
      <c r="K52" s="3" t="s">
        <v>736</v>
      </c>
      <c r="L52" s="13" t="n">
        <f aca="false">G52*(I52+J52)/2</f>
        <v>138.431494757044</v>
      </c>
      <c r="M52" s="13" t="n">
        <f aca="false">H52*J52-L52</f>
        <v>46.1438315856812</v>
      </c>
      <c r="N52" s="13" t="n">
        <f aca="false">L52+M52</f>
        <v>184.575326342725</v>
      </c>
      <c r="O52" s="3" t="s">
        <v>753</v>
      </c>
      <c r="P52" s="16" t="n">
        <v>20</v>
      </c>
      <c r="Q52" s="3" t="n">
        <v>20</v>
      </c>
      <c r="R52" s="3" t="n">
        <f aca="false">MAX(1,CEILING(H52*Q52/P52,1))</f>
        <v>31</v>
      </c>
      <c r="S52" s="17" t="n">
        <f aca="false">F52/(R52*P52)</f>
        <v>11.9080855704984</v>
      </c>
      <c r="T52" s="13" t="n">
        <f aca="false">M52+R52*P52</f>
        <v>666.143831585681</v>
      </c>
      <c r="U52" s="3" t="s">
        <v>750</v>
      </c>
      <c r="V52" s="16" t="n">
        <v>480</v>
      </c>
      <c r="W52" s="17" t="n">
        <f aca="false">T52/V52</f>
        <v>1.38779964913684</v>
      </c>
    </row>
    <row r="53" customFormat="false" ht="15" hidden="false" customHeight="false" outlineLevel="0" collapsed="false">
      <c r="A53" s="3" t="s">
        <v>755</v>
      </c>
      <c r="B53" s="3" t="s">
        <v>238</v>
      </c>
      <c r="C53" s="3" t="s">
        <v>239</v>
      </c>
      <c r="D53" s="3" t="s">
        <v>214</v>
      </c>
      <c r="E53" s="3" t="s">
        <v>756</v>
      </c>
      <c r="F53" s="13" t="n">
        <f aca="false">CONSOLIDADO!Q52</f>
        <v>32072.63913</v>
      </c>
      <c r="G53" s="15" t="n">
        <f aca="false">F53/240</f>
        <v>133.635996375</v>
      </c>
      <c r="H53" s="15" t="n">
        <f aca="false">CONSOLIDADO!R52/20</f>
        <v>192.43583478</v>
      </c>
      <c r="I53" s="3" t="n">
        <v>4</v>
      </c>
      <c r="J53" s="3" t="n">
        <v>7</v>
      </c>
      <c r="K53" s="3" t="s">
        <v>757</v>
      </c>
      <c r="L53" s="13" t="n">
        <f aca="false">G53*(I53+J53)/2</f>
        <v>734.9979800625</v>
      </c>
      <c r="M53" s="13" t="n">
        <f aca="false">H53*J53-L53</f>
        <v>612.0528633975</v>
      </c>
      <c r="N53" s="13" t="n">
        <f aca="false">L53+M53</f>
        <v>1347.05084346</v>
      </c>
      <c r="O53" s="3" t="s">
        <v>758</v>
      </c>
      <c r="P53" s="16" t="n">
        <v>3000</v>
      </c>
      <c r="Q53" s="3" t="n">
        <v>20</v>
      </c>
      <c r="R53" s="3" t="n">
        <f aca="false">MAX(1,CEILING(H53*Q53/P53,1))</f>
        <v>2</v>
      </c>
      <c r="S53" s="17" t="n">
        <f aca="false">F53/(R53*P53)</f>
        <v>5.345439855</v>
      </c>
      <c r="T53" s="13" t="n">
        <f aca="false">M53+R53*P53</f>
        <v>6612.0528633975</v>
      </c>
      <c r="U53" s="3" t="s">
        <v>678</v>
      </c>
      <c r="V53" s="16" t="n">
        <v>3000</v>
      </c>
      <c r="W53" s="17" t="n">
        <f aca="false">T53/V53</f>
        <v>2.2040176211325</v>
      </c>
    </row>
    <row r="54" customFormat="false" ht="15" hidden="false" customHeight="false" outlineLevel="0" collapsed="false">
      <c r="A54" s="3" t="s">
        <v>759</v>
      </c>
      <c r="B54" s="3" t="s">
        <v>241</v>
      </c>
      <c r="C54" s="3" t="s">
        <v>242</v>
      </c>
      <c r="D54" s="3" t="s">
        <v>214</v>
      </c>
      <c r="E54" s="3" t="s">
        <v>756</v>
      </c>
      <c r="F54" s="13" t="n">
        <f aca="false">CONSOLIDADO!Q53</f>
        <v>41696.5061034506</v>
      </c>
      <c r="G54" s="15" t="n">
        <f aca="false">F54/240</f>
        <v>173.735442097711</v>
      </c>
      <c r="H54" s="15" t="n">
        <f aca="false">CONSOLIDADO!R53/20</f>
        <v>229.330783568979</v>
      </c>
      <c r="I54" s="3" t="n">
        <v>4</v>
      </c>
      <c r="J54" s="3" t="n">
        <v>7</v>
      </c>
      <c r="K54" s="3" t="s">
        <v>757</v>
      </c>
      <c r="L54" s="13" t="n">
        <f aca="false">G54*(I54+J54)/2</f>
        <v>955.54493153741</v>
      </c>
      <c r="M54" s="13" t="n">
        <f aca="false">H54*J54-L54</f>
        <v>649.770553445439</v>
      </c>
      <c r="N54" s="13" t="n">
        <f aca="false">L54+M54</f>
        <v>1605.31548498285</v>
      </c>
      <c r="O54" s="3" t="s">
        <v>760</v>
      </c>
      <c r="P54" s="16" t="n">
        <v>1500</v>
      </c>
      <c r="Q54" s="3" t="n">
        <v>20</v>
      </c>
      <c r="R54" s="3" t="n">
        <f aca="false">MAX(1,CEILING(H54*Q54/P54,1))</f>
        <v>4</v>
      </c>
      <c r="S54" s="17" t="n">
        <f aca="false">F54/(R54*P54)</f>
        <v>6.94941768390844</v>
      </c>
      <c r="T54" s="13" t="n">
        <f aca="false">M54+R54*P54</f>
        <v>6649.77055344544</v>
      </c>
      <c r="U54" s="3" t="s">
        <v>678</v>
      </c>
      <c r="V54" s="16" t="n">
        <v>1500</v>
      </c>
      <c r="W54" s="17" t="n">
        <f aca="false">T54/V54</f>
        <v>4.43318036896363</v>
      </c>
    </row>
    <row r="55" customFormat="false" ht="15" hidden="false" customHeight="false" outlineLevel="0" collapsed="false">
      <c r="A55" s="3" t="s">
        <v>761</v>
      </c>
      <c r="B55" s="3" t="s">
        <v>446</v>
      </c>
      <c r="C55" s="3" t="s">
        <v>447</v>
      </c>
      <c r="D55" s="3" t="s">
        <v>214</v>
      </c>
      <c r="E55" s="3" t="s">
        <v>756</v>
      </c>
      <c r="F55" s="13" t="n">
        <f aca="false">CONSOLIDADO!Q54</f>
        <v>453.2705332</v>
      </c>
      <c r="G55" s="15" t="n">
        <f aca="false">F55/240</f>
        <v>1.88862722166667</v>
      </c>
      <c r="H55" s="15" t="n">
        <f aca="false">CONSOLIDADO!R54/20</f>
        <v>2.0397173994</v>
      </c>
      <c r="I55" s="3" t="n">
        <v>4</v>
      </c>
      <c r="J55" s="3" t="n">
        <v>7</v>
      </c>
      <c r="K55" s="3" t="s">
        <v>757</v>
      </c>
      <c r="L55" s="13" t="n">
        <f aca="false">G55*(I55+J55)/2</f>
        <v>10.3874497191667</v>
      </c>
      <c r="M55" s="13" t="n">
        <f aca="false">H55*J55-L55</f>
        <v>3.89057207663333</v>
      </c>
      <c r="N55" s="13" t="n">
        <f aca="false">L55+M55</f>
        <v>14.2780217958</v>
      </c>
      <c r="O55" s="3" t="s">
        <v>762</v>
      </c>
      <c r="P55" s="16" t="n">
        <v>10</v>
      </c>
      <c r="Q55" s="3" t="n">
        <v>20</v>
      </c>
      <c r="R55" s="3" t="n">
        <f aca="false">MAX(1,CEILING(H55*Q55/P55,1))</f>
        <v>5</v>
      </c>
      <c r="S55" s="17" t="n">
        <f aca="false">F55/(R55*P55)</f>
        <v>9.065410664</v>
      </c>
      <c r="T55" s="13" t="n">
        <f aca="false">M55+R55*P55</f>
        <v>53.8905720766333</v>
      </c>
      <c r="U55" s="3" t="s">
        <v>697</v>
      </c>
      <c r="V55" s="16" t="n">
        <v>200</v>
      </c>
      <c r="W55" s="17" t="n">
        <f aca="false">T55/V55</f>
        <v>0.269452860383167</v>
      </c>
    </row>
    <row r="56" customFormat="false" ht="15" hidden="false" customHeight="false" outlineLevel="0" collapsed="false">
      <c r="A56" s="3" t="s">
        <v>763</v>
      </c>
      <c r="B56" s="3" t="s">
        <v>449</v>
      </c>
      <c r="C56" s="3" t="s">
        <v>450</v>
      </c>
      <c r="D56" s="3" t="s">
        <v>214</v>
      </c>
      <c r="E56" s="3" t="s">
        <v>756</v>
      </c>
      <c r="F56" s="13" t="n">
        <f aca="false">CONSOLIDADO!Q55</f>
        <v>1361.00591330532</v>
      </c>
      <c r="G56" s="15" t="n">
        <f aca="false">F56/240</f>
        <v>5.67085797210549</v>
      </c>
      <c r="H56" s="15" t="n">
        <f aca="false">CONSOLIDADO!R55/20</f>
        <v>6.12452660987393</v>
      </c>
      <c r="I56" s="3" t="n">
        <v>4</v>
      </c>
      <c r="J56" s="3" t="n">
        <v>7</v>
      </c>
      <c r="K56" s="3" t="s">
        <v>757</v>
      </c>
      <c r="L56" s="13" t="n">
        <f aca="false">G56*(I56+J56)/2</f>
        <v>31.1897188465802</v>
      </c>
      <c r="M56" s="13" t="n">
        <f aca="false">H56*J56-L56</f>
        <v>11.6819674225373</v>
      </c>
      <c r="N56" s="13" t="n">
        <f aca="false">L56+M56</f>
        <v>42.8716862691175</v>
      </c>
      <c r="O56" s="3" t="s">
        <v>762</v>
      </c>
      <c r="P56" s="16" t="n">
        <v>10</v>
      </c>
      <c r="Q56" s="3" t="n">
        <v>20</v>
      </c>
      <c r="R56" s="3" t="n">
        <f aca="false">MAX(1,CEILING(H56*Q56/P56,1))</f>
        <v>13</v>
      </c>
      <c r="S56" s="17" t="n">
        <f aca="false">F56/(R56*P56)</f>
        <v>10.4692762561948</v>
      </c>
      <c r="T56" s="13" t="n">
        <f aca="false">M56+R56*P56</f>
        <v>141.681967422537</v>
      </c>
      <c r="U56" s="3" t="s">
        <v>697</v>
      </c>
      <c r="V56" s="16" t="n">
        <v>200</v>
      </c>
      <c r="W56" s="17" t="n">
        <f aca="false">T56/V56</f>
        <v>0.708409837112687</v>
      </c>
    </row>
    <row r="57" customFormat="false" ht="15" hidden="false" customHeight="false" outlineLevel="0" collapsed="false">
      <c r="A57" s="3" t="s">
        <v>764</v>
      </c>
      <c r="B57" s="3" t="s">
        <v>244</v>
      </c>
      <c r="C57" s="3" t="s">
        <v>245</v>
      </c>
      <c r="D57" s="3" t="s">
        <v>214</v>
      </c>
      <c r="E57" s="3" t="s">
        <v>765</v>
      </c>
      <c r="F57" s="13" t="n">
        <f aca="false">CONSOLIDADO!Q56</f>
        <v>75583.421679956</v>
      </c>
      <c r="G57" s="15" t="n">
        <f aca="false">F57/240</f>
        <v>314.930923666483</v>
      </c>
      <c r="H57" s="15" t="n">
        <f aca="false">CONSOLIDADO!R56/20</f>
        <v>429.930862358252</v>
      </c>
      <c r="I57" s="3" t="n">
        <v>4</v>
      </c>
      <c r="J57" s="3" t="n">
        <v>7</v>
      </c>
      <c r="K57" s="3" t="s">
        <v>757</v>
      </c>
      <c r="L57" s="13" t="n">
        <f aca="false">G57*(I57+J57)/2</f>
        <v>1732.12008016566</v>
      </c>
      <c r="M57" s="13" t="n">
        <f aca="false">H57*J57-L57</f>
        <v>1277.39595634211</v>
      </c>
      <c r="N57" s="13" t="n">
        <f aca="false">L57+M57</f>
        <v>3009.51603650777</v>
      </c>
      <c r="O57" s="3" t="s">
        <v>681</v>
      </c>
      <c r="P57" s="16" t="n">
        <v>100</v>
      </c>
      <c r="Q57" s="3" t="n">
        <v>20</v>
      </c>
      <c r="R57" s="3" t="n">
        <f aca="false">MAX(1,CEILING(H57*Q57/P57,1))</f>
        <v>86</v>
      </c>
      <c r="S57" s="17" t="n">
        <f aca="false">F57/(R57*P57)</f>
        <v>8.78876996278558</v>
      </c>
      <c r="T57" s="13" t="n">
        <f aca="false">M57+R57*P57</f>
        <v>9877.39595634211</v>
      </c>
      <c r="U57" s="3" t="s">
        <v>678</v>
      </c>
      <c r="V57" s="16" t="n">
        <v>3000</v>
      </c>
      <c r="W57" s="17" t="n">
        <f aca="false">T57/V57</f>
        <v>3.2924653187807</v>
      </c>
    </row>
    <row r="58" customFormat="false" ht="15" hidden="false" customHeight="false" outlineLevel="0" collapsed="false">
      <c r="A58" s="3" t="s">
        <v>766</v>
      </c>
      <c r="B58" s="3" t="s">
        <v>247</v>
      </c>
      <c r="C58" s="3" t="s">
        <v>248</v>
      </c>
      <c r="D58" s="3" t="s">
        <v>214</v>
      </c>
      <c r="E58" s="3" t="s">
        <v>767</v>
      </c>
      <c r="F58" s="13" t="n">
        <f aca="false">CONSOLIDADO!Q57</f>
        <v>7424.858444</v>
      </c>
      <c r="G58" s="15" t="n">
        <f aca="false">F58/240</f>
        <v>30.9369101833333</v>
      </c>
      <c r="H58" s="15" t="n">
        <f aca="false">CONSOLIDADO!R57/20</f>
        <v>40.836721442</v>
      </c>
      <c r="I58" s="3" t="n">
        <v>4</v>
      </c>
      <c r="J58" s="3" t="n">
        <v>7</v>
      </c>
      <c r="K58" s="3" t="s">
        <v>757</v>
      </c>
      <c r="L58" s="13" t="n">
        <f aca="false">G58*(I58+J58)/2</f>
        <v>170.153006008333</v>
      </c>
      <c r="M58" s="13" t="n">
        <f aca="false">H58*J58-L58</f>
        <v>115.704044085667</v>
      </c>
      <c r="N58" s="13" t="n">
        <f aca="false">L58+M58</f>
        <v>285.857050094</v>
      </c>
      <c r="O58" s="3" t="s">
        <v>768</v>
      </c>
      <c r="P58" s="16" t="n">
        <v>200</v>
      </c>
      <c r="Q58" s="3" t="n">
        <v>20</v>
      </c>
      <c r="R58" s="3" t="n">
        <f aca="false">MAX(1,CEILING(H58*Q58/P58,1))</f>
        <v>5</v>
      </c>
      <c r="S58" s="17" t="n">
        <f aca="false">F58/(R58*P58)</f>
        <v>7.424858444</v>
      </c>
      <c r="T58" s="13" t="n">
        <f aca="false">M58+R58*P58</f>
        <v>1115.70404408567</v>
      </c>
      <c r="U58" s="3" t="s">
        <v>678</v>
      </c>
      <c r="V58" s="16" t="n">
        <v>6000</v>
      </c>
      <c r="W58" s="17" t="n">
        <f aca="false">T58/V58</f>
        <v>0.185950674014278</v>
      </c>
    </row>
    <row r="59" customFormat="false" ht="15" hidden="false" customHeight="false" outlineLevel="0" collapsed="false">
      <c r="A59" s="3" t="s">
        <v>769</v>
      </c>
      <c r="B59" s="3" t="s">
        <v>250</v>
      </c>
      <c r="C59" s="3" t="s">
        <v>251</v>
      </c>
      <c r="D59" s="3" t="s">
        <v>214</v>
      </c>
      <c r="E59" s="3" t="s">
        <v>767</v>
      </c>
      <c r="F59" s="13" t="n">
        <f aca="false">CONSOLIDADO!Q58</f>
        <v>32428.7706862536</v>
      </c>
      <c r="G59" s="15" t="n">
        <f aca="false">F59/240</f>
        <v>135.11987785939</v>
      </c>
      <c r="H59" s="15" t="n">
        <f aca="false">CONSOLIDADO!R58/20</f>
        <v>178.358238774395</v>
      </c>
      <c r="I59" s="3" t="n">
        <v>4</v>
      </c>
      <c r="J59" s="3" t="n">
        <v>7</v>
      </c>
      <c r="K59" s="3" t="s">
        <v>757</v>
      </c>
      <c r="L59" s="13" t="n">
        <f aca="false">G59*(I59+J59)/2</f>
        <v>743.159328226646</v>
      </c>
      <c r="M59" s="13" t="n">
        <f aca="false">H59*J59-L59</f>
        <v>505.348343194119</v>
      </c>
      <c r="N59" s="13" t="n">
        <f aca="false">L59+M59</f>
        <v>1248.50767142077</v>
      </c>
      <c r="O59" s="3" t="s">
        <v>768</v>
      </c>
      <c r="P59" s="16" t="n">
        <v>200</v>
      </c>
      <c r="Q59" s="3" t="n">
        <v>20</v>
      </c>
      <c r="R59" s="3" t="n">
        <f aca="false">MAX(1,CEILING(H59*Q59/P59,1))</f>
        <v>18</v>
      </c>
      <c r="S59" s="17" t="n">
        <f aca="false">F59/(R59*P59)</f>
        <v>9.00799185729268</v>
      </c>
      <c r="T59" s="13" t="n">
        <f aca="false">M59+R59*P59</f>
        <v>4105.34834319412</v>
      </c>
      <c r="U59" s="3" t="s">
        <v>678</v>
      </c>
      <c r="V59" s="16" t="n">
        <v>6000</v>
      </c>
      <c r="W59" s="17" t="n">
        <f aca="false">T59/V59</f>
        <v>0.684224723865687</v>
      </c>
    </row>
    <row r="60" customFormat="false" ht="15" hidden="false" customHeight="false" outlineLevel="0" collapsed="false">
      <c r="A60" s="3" t="s">
        <v>770</v>
      </c>
      <c r="B60" s="3" t="s">
        <v>253</v>
      </c>
      <c r="C60" s="3" t="s">
        <v>254</v>
      </c>
      <c r="D60" s="3" t="s">
        <v>214</v>
      </c>
      <c r="E60" s="3" t="s">
        <v>767</v>
      </c>
      <c r="F60" s="13" t="n">
        <f aca="false">CONSOLIDADO!Q59</f>
        <v>1842.87697319699</v>
      </c>
      <c r="G60" s="15" t="n">
        <f aca="false">F60/240</f>
        <v>7.67865405498744</v>
      </c>
      <c r="H60" s="15" t="n">
        <f aca="false">CONSOLIDADO!R59/20</f>
        <v>10.1358233525834</v>
      </c>
      <c r="I60" s="3" t="n">
        <v>4</v>
      </c>
      <c r="J60" s="3" t="n">
        <v>7</v>
      </c>
      <c r="K60" s="3" t="s">
        <v>757</v>
      </c>
      <c r="L60" s="13" t="n">
        <f aca="false">G60*(I60+J60)/2</f>
        <v>42.2325973024309</v>
      </c>
      <c r="M60" s="13" t="n">
        <f aca="false">H60*J60-L60</f>
        <v>28.718166165653</v>
      </c>
      <c r="N60" s="13" t="n">
        <f aca="false">L60+M60</f>
        <v>70.950763468084</v>
      </c>
      <c r="O60" s="3" t="s">
        <v>768</v>
      </c>
      <c r="P60" s="16" t="n">
        <v>200</v>
      </c>
      <c r="Q60" s="3" t="n">
        <v>20</v>
      </c>
      <c r="R60" s="3" t="n">
        <f aca="false">MAX(1,CEILING(H60*Q60/P60,1))</f>
        <v>2</v>
      </c>
      <c r="S60" s="17" t="n">
        <f aca="false">F60/(R60*P60)</f>
        <v>4.60719243299247</v>
      </c>
      <c r="T60" s="13" t="n">
        <f aca="false">M60+R60*P60</f>
        <v>428.718166165653</v>
      </c>
      <c r="U60" s="3" t="s">
        <v>678</v>
      </c>
      <c r="V60" s="16" t="n">
        <v>6000</v>
      </c>
      <c r="W60" s="17" t="n">
        <f aca="false">T60/V60</f>
        <v>0.0714530276942755</v>
      </c>
    </row>
    <row r="61" customFormat="false" ht="15" hidden="false" customHeight="false" outlineLevel="0" collapsed="false">
      <c r="A61" s="3" t="s">
        <v>771</v>
      </c>
      <c r="B61" s="3" t="s">
        <v>453</v>
      </c>
      <c r="C61" s="3" t="s">
        <v>454</v>
      </c>
      <c r="D61" s="3" t="s">
        <v>214</v>
      </c>
      <c r="E61" s="3" t="s">
        <v>772</v>
      </c>
      <c r="F61" s="13" t="n">
        <f aca="false">CONSOLIDADO!Q60</f>
        <v>453.2705332</v>
      </c>
      <c r="G61" s="15" t="n">
        <f aca="false">F61/240</f>
        <v>1.88862722166667</v>
      </c>
      <c r="H61" s="15" t="n">
        <f aca="false">CONSOLIDADO!R60/20</f>
        <v>2.0397173994</v>
      </c>
      <c r="I61" s="3" t="n">
        <v>4</v>
      </c>
      <c r="J61" s="3" t="n">
        <v>7</v>
      </c>
      <c r="K61" s="3" t="s">
        <v>757</v>
      </c>
      <c r="L61" s="13" t="n">
        <f aca="false">G61*(I61+J61)/2</f>
        <v>10.3874497191667</v>
      </c>
      <c r="M61" s="13" t="n">
        <f aca="false">H61*J61-L61</f>
        <v>3.89057207663333</v>
      </c>
      <c r="N61" s="13" t="n">
        <f aca="false">L61+M61</f>
        <v>14.2780217958</v>
      </c>
      <c r="O61" s="3" t="s">
        <v>773</v>
      </c>
      <c r="P61" s="16" t="n">
        <v>20</v>
      </c>
      <c r="Q61" s="3" t="n">
        <v>20</v>
      </c>
      <c r="R61" s="3" t="n">
        <f aca="false">MAX(1,CEILING(H61*Q61/P61,1))</f>
        <v>3</v>
      </c>
      <c r="S61" s="17" t="n">
        <f aca="false">F61/(R61*P61)</f>
        <v>7.55450888666667</v>
      </c>
      <c r="T61" s="13" t="n">
        <f aca="false">M61+R61*P61</f>
        <v>63.8905720766333</v>
      </c>
      <c r="U61" s="3" t="s">
        <v>697</v>
      </c>
      <c r="V61" s="16" t="n">
        <v>200</v>
      </c>
      <c r="W61" s="17" t="n">
        <f aca="false">T61/V61</f>
        <v>0.319452860383167</v>
      </c>
    </row>
    <row r="62" customFormat="false" ht="15" hidden="false" customHeight="false" outlineLevel="0" collapsed="false">
      <c r="A62" s="3" t="s">
        <v>774</v>
      </c>
      <c r="B62" s="3" t="s">
        <v>456</v>
      </c>
      <c r="C62" s="3" t="s">
        <v>457</v>
      </c>
      <c r="D62" s="3" t="s">
        <v>214</v>
      </c>
      <c r="E62" s="3" t="s">
        <v>772</v>
      </c>
      <c r="F62" s="13" t="n">
        <f aca="false">CONSOLIDADO!Q61</f>
        <v>998.259982820404</v>
      </c>
      <c r="G62" s="15" t="n">
        <f aca="false">F62/240</f>
        <v>4.15941659508502</v>
      </c>
      <c r="H62" s="15" t="n">
        <f aca="false">CONSOLIDADO!R61/20</f>
        <v>4.49216992269182</v>
      </c>
      <c r="I62" s="3" t="n">
        <v>4</v>
      </c>
      <c r="J62" s="3" t="n">
        <v>7</v>
      </c>
      <c r="K62" s="3" t="s">
        <v>757</v>
      </c>
      <c r="L62" s="13" t="n">
        <f aca="false">G62*(I62+J62)/2</f>
        <v>22.8767912729676</v>
      </c>
      <c r="M62" s="13" t="n">
        <f aca="false">H62*J62-L62</f>
        <v>8.56839818587514</v>
      </c>
      <c r="N62" s="13" t="n">
        <f aca="false">L62+M62</f>
        <v>31.4451894588427</v>
      </c>
      <c r="O62" s="3" t="s">
        <v>773</v>
      </c>
      <c r="P62" s="16" t="n">
        <v>20</v>
      </c>
      <c r="Q62" s="3" t="n">
        <v>20</v>
      </c>
      <c r="R62" s="3" t="n">
        <f aca="false">MAX(1,CEILING(H62*Q62/P62,1))</f>
        <v>5</v>
      </c>
      <c r="S62" s="17" t="n">
        <f aca="false">F62/(R62*P62)</f>
        <v>9.98259982820404</v>
      </c>
      <c r="T62" s="13" t="n">
        <f aca="false">M62+R62*P62</f>
        <v>108.568398185875</v>
      </c>
      <c r="U62" s="3" t="s">
        <v>697</v>
      </c>
      <c r="V62" s="16" t="n">
        <v>200</v>
      </c>
      <c r="W62" s="17" t="n">
        <f aca="false">T62/V62</f>
        <v>0.542841990929376</v>
      </c>
    </row>
    <row r="63" customFormat="false" ht="15" hidden="false" customHeight="false" outlineLevel="0" collapsed="false">
      <c r="A63" s="3" t="s">
        <v>775</v>
      </c>
      <c r="B63" s="3" t="s">
        <v>459</v>
      </c>
      <c r="C63" s="3" t="s">
        <v>460</v>
      </c>
      <c r="D63" s="3" t="s">
        <v>214</v>
      </c>
      <c r="E63" s="3" t="s">
        <v>772</v>
      </c>
      <c r="F63" s="13" t="n">
        <f aca="false">CONSOLIDADO!Q62</f>
        <v>217.569856</v>
      </c>
      <c r="G63" s="15" t="n">
        <f aca="false">F63/240</f>
        <v>0.906541066666667</v>
      </c>
      <c r="H63" s="15" t="n">
        <f aca="false">CONSOLIDADO!R62/20</f>
        <v>0.979064352</v>
      </c>
      <c r="I63" s="3" t="n">
        <v>4</v>
      </c>
      <c r="J63" s="3" t="n">
        <v>7</v>
      </c>
      <c r="K63" s="3" t="s">
        <v>757</v>
      </c>
      <c r="L63" s="13" t="n">
        <f aca="false">G63*(I63+J63)/2</f>
        <v>4.98597586666667</v>
      </c>
      <c r="M63" s="13" t="n">
        <f aca="false">H63*J63-L63</f>
        <v>1.86747459733333</v>
      </c>
      <c r="N63" s="13" t="n">
        <f aca="false">L63+M63</f>
        <v>6.853450464</v>
      </c>
      <c r="O63" s="3" t="s">
        <v>773</v>
      </c>
      <c r="P63" s="16" t="n">
        <v>20</v>
      </c>
      <c r="Q63" s="3" t="n">
        <v>20</v>
      </c>
      <c r="R63" s="3" t="n">
        <f aca="false">MAX(1,CEILING(H63*Q63/P63,1))</f>
        <v>1</v>
      </c>
      <c r="S63" s="17" t="n">
        <f aca="false">F63/(R63*P63)</f>
        <v>10.8784928</v>
      </c>
      <c r="T63" s="13" t="n">
        <f aca="false">M63+R63*P63</f>
        <v>21.8674745973333</v>
      </c>
      <c r="U63" s="3" t="s">
        <v>697</v>
      </c>
      <c r="V63" s="16" t="n">
        <v>200</v>
      </c>
      <c r="W63" s="17" t="n">
        <f aca="false">T63/V63</f>
        <v>0.109337372986667</v>
      </c>
    </row>
    <row r="64" customFormat="false" ht="15" hidden="false" customHeight="false" outlineLevel="0" collapsed="false">
      <c r="A64" s="3" t="s">
        <v>776</v>
      </c>
      <c r="B64" s="3" t="s">
        <v>462</v>
      </c>
      <c r="C64" s="3" t="s">
        <v>463</v>
      </c>
      <c r="D64" s="3" t="s">
        <v>214</v>
      </c>
      <c r="E64" s="3" t="s">
        <v>772</v>
      </c>
      <c r="F64" s="13" t="n">
        <f aca="false">CONSOLIDADO!Q63</f>
        <v>145.176074484914</v>
      </c>
      <c r="G64" s="15" t="n">
        <f aca="false">F64/240</f>
        <v>0.604900310353808</v>
      </c>
      <c r="H64" s="15" t="n">
        <f aca="false">CONSOLIDADO!R63/20</f>
        <v>0.653292335182113</v>
      </c>
      <c r="I64" s="3" t="n">
        <v>4</v>
      </c>
      <c r="J64" s="3" t="n">
        <v>7</v>
      </c>
      <c r="K64" s="3" t="s">
        <v>757</v>
      </c>
      <c r="L64" s="13" t="n">
        <f aca="false">G64*(I64+J64)/2</f>
        <v>3.32695170694595</v>
      </c>
      <c r="M64" s="13" t="n">
        <f aca="false">H64*J64-L64</f>
        <v>1.24609463932884</v>
      </c>
      <c r="N64" s="13" t="n">
        <f aca="false">L64+M64</f>
        <v>4.57304634627479</v>
      </c>
      <c r="O64" s="3" t="s">
        <v>773</v>
      </c>
      <c r="P64" s="16" t="n">
        <v>20</v>
      </c>
      <c r="Q64" s="3" t="n">
        <v>20</v>
      </c>
      <c r="R64" s="3" t="n">
        <f aca="false">MAX(1,CEILING(H64*Q64/P64,1))</f>
        <v>1</v>
      </c>
      <c r="S64" s="17" t="n">
        <f aca="false">F64/(R64*P64)</f>
        <v>7.2588037242457</v>
      </c>
      <c r="T64" s="13" t="n">
        <f aca="false">M64+R64*P64</f>
        <v>21.2460946393288</v>
      </c>
      <c r="U64" s="3" t="s">
        <v>697</v>
      </c>
      <c r="V64" s="16" t="n">
        <v>200</v>
      </c>
      <c r="W64" s="17" t="n">
        <f aca="false">T64/V64</f>
        <v>0.106230473196644</v>
      </c>
    </row>
    <row r="65" customFormat="false" ht="15" hidden="false" customHeight="false" outlineLevel="0" collapsed="false">
      <c r="A65" s="3" t="s">
        <v>777</v>
      </c>
      <c r="B65" s="3" t="s">
        <v>256</v>
      </c>
      <c r="C65" s="3" t="s">
        <v>257</v>
      </c>
      <c r="D65" s="3" t="s">
        <v>214</v>
      </c>
      <c r="E65" s="3" t="s">
        <v>765</v>
      </c>
      <c r="F65" s="13" t="n">
        <f aca="false">CONSOLIDADO!Q64</f>
        <v>32072.63913</v>
      </c>
      <c r="G65" s="15" t="n">
        <f aca="false">F65/240</f>
        <v>133.635996375</v>
      </c>
      <c r="H65" s="15" t="n">
        <f aca="false">CONSOLIDADO!R64/20</f>
        <v>192.43583478</v>
      </c>
      <c r="I65" s="3" t="n">
        <v>4</v>
      </c>
      <c r="J65" s="3" t="n">
        <v>7</v>
      </c>
      <c r="K65" s="3" t="s">
        <v>757</v>
      </c>
      <c r="L65" s="13" t="n">
        <f aca="false">G65*(I65+J65)/2</f>
        <v>734.9979800625</v>
      </c>
      <c r="M65" s="13" t="n">
        <f aca="false">H65*J65-L65</f>
        <v>612.0528633975</v>
      </c>
      <c r="N65" s="13" t="n">
        <f aca="false">L65+M65</f>
        <v>1347.05084346</v>
      </c>
      <c r="O65" s="3" t="s">
        <v>778</v>
      </c>
      <c r="P65" s="16" t="n">
        <v>50</v>
      </c>
      <c r="Q65" s="3" t="n">
        <v>20</v>
      </c>
      <c r="R65" s="3" t="n">
        <f aca="false">MAX(1,CEILING(H65*Q65/P65,1))</f>
        <v>77</v>
      </c>
      <c r="S65" s="17" t="n">
        <f aca="false">F65/(R65*P65)</f>
        <v>8.33055561818182</v>
      </c>
      <c r="T65" s="13" t="n">
        <f aca="false">M65+R65*P65</f>
        <v>4462.0528633975</v>
      </c>
      <c r="U65" s="3" t="s">
        <v>678</v>
      </c>
      <c r="V65" s="16" t="n">
        <v>1500</v>
      </c>
      <c r="W65" s="17" t="n">
        <f aca="false">T65/V65</f>
        <v>2.97470190893167</v>
      </c>
    </row>
    <row r="66" customFormat="false" ht="15" hidden="false" customHeight="false" outlineLevel="0" collapsed="false">
      <c r="A66" s="3" t="s">
        <v>779</v>
      </c>
      <c r="B66" s="3" t="s">
        <v>259</v>
      </c>
      <c r="C66" s="3" t="s">
        <v>260</v>
      </c>
      <c r="D66" s="3" t="s">
        <v>214</v>
      </c>
      <c r="E66" s="3" t="s">
        <v>765</v>
      </c>
      <c r="F66" s="13" t="n">
        <f aca="false">CONSOLIDADO!Q65</f>
        <v>7424.858444</v>
      </c>
      <c r="G66" s="15" t="n">
        <f aca="false">F66/240</f>
        <v>30.9369101833333</v>
      </c>
      <c r="H66" s="15" t="n">
        <f aca="false">CONSOLIDADO!R65/20</f>
        <v>40.836721442</v>
      </c>
      <c r="I66" s="3" t="n">
        <v>4</v>
      </c>
      <c r="J66" s="3" t="n">
        <v>7</v>
      </c>
      <c r="K66" s="3" t="s">
        <v>757</v>
      </c>
      <c r="L66" s="13" t="n">
        <f aca="false">G66*(I66+J66)/2</f>
        <v>170.153006008333</v>
      </c>
      <c r="M66" s="13" t="n">
        <f aca="false">H66*J66-L66</f>
        <v>115.704044085667</v>
      </c>
      <c r="N66" s="13" t="n">
        <f aca="false">L66+M66</f>
        <v>285.857050094</v>
      </c>
      <c r="O66" s="3" t="s">
        <v>778</v>
      </c>
      <c r="P66" s="16" t="n">
        <v>50</v>
      </c>
      <c r="Q66" s="3" t="n">
        <v>20</v>
      </c>
      <c r="R66" s="3" t="n">
        <f aca="false">MAX(1,CEILING(H66*Q66/P66,1))</f>
        <v>17</v>
      </c>
      <c r="S66" s="17" t="n">
        <f aca="false">F66/(R66*P66)</f>
        <v>8.73512758117647</v>
      </c>
      <c r="T66" s="13" t="n">
        <f aca="false">M66+R66*P66</f>
        <v>965.704044085667</v>
      </c>
      <c r="U66" s="3" t="s">
        <v>678</v>
      </c>
      <c r="V66" s="16" t="n">
        <v>1500</v>
      </c>
      <c r="W66" s="17" t="n">
        <f aca="false">T66/V66</f>
        <v>0.643802696057111</v>
      </c>
    </row>
    <row r="67" customFormat="false" ht="15" hidden="false" customHeight="false" outlineLevel="0" collapsed="false">
      <c r="A67" s="3" t="s">
        <v>780</v>
      </c>
      <c r="B67" s="3" t="s">
        <v>262</v>
      </c>
      <c r="C67" s="3" t="s">
        <v>263</v>
      </c>
      <c r="D67" s="3" t="s">
        <v>214</v>
      </c>
      <c r="E67" s="3" t="s">
        <v>765</v>
      </c>
      <c r="F67" s="13" t="n">
        <f aca="false">CONSOLIDADO!Q66</f>
        <v>32428.7706862536</v>
      </c>
      <c r="G67" s="15" t="n">
        <f aca="false">F67/240</f>
        <v>135.11987785939</v>
      </c>
      <c r="H67" s="15" t="n">
        <f aca="false">CONSOLIDADO!R66/20</f>
        <v>178.358238774395</v>
      </c>
      <c r="I67" s="3" t="n">
        <v>4</v>
      </c>
      <c r="J67" s="3" t="n">
        <v>7</v>
      </c>
      <c r="K67" s="3" t="s">
        <v>757</v>
      </c>
      <c r="L67" s="13" t="n">
        <f aca="false">G67*(I67+J67)/2</f>
        <v>743.159328226646</v>
      </c>
      <c r="M67" s="13" t="n">
        <f aca="false">H67*J67-L67</f>
        <v>505.348343194119</v>
      </c>
      <c r="N67" s="13" t="n">
        <f aca="false">L67+M67</f>
        <v>1248.50767142077</v>
      </c>
      <c r="O67" s="3" t="s">
        <v>778</v>
      </c>
      <c r="P67" s="16" t="n">
        <v>50</v>
      </c>
      <c r="Q67" s="3" t="n">
        <v>20</v>
      </c>
      <c r="R67" s="3" t="n">
        <f aca="false">MAX(1,CEILING(H67*Q67/P67,1))</f>
        <v>72</v>
      </c>
      <c r="S67" s="17" t="n">
        <f aca="false">F67/(R67*P67)</f>
        <v>9.00799185729268</v>
      </c>
      <c r="T67" s="13" t="n">
        <f aca="false">M67+R67*P67</f>
        <v>4105.34834319412</v>
      </c>
      <c r="U67" s="3" t="s">
        <v>678</v>
      </c>
      <c r="V67" s="16" t="n">
        <v>1500</v>
      </c>
      <c r="W67" s="17" t="n">
        <f aca="false">T67/V67</f>
        <v>2.73689889546275</v>
      </c>
    </row>
    <row r="68" customFormat="false" ht="15" hidden="false" customHeight="false" outlineLevel="0" collapsed="false">
      <c r="A68" s="3" t="s">
        <v>781</v>
      </c>
      <c r="B68" s="3" t="s">
        <v>265</v>
      </c>
      <c r="C68" s="3" t="s">
        <v>266</v>
      </c>
      <c r="D68" s="3" t="s">
        <v>214</v>
      </c>
      <c r="E68" s="3" t="s">
        <v>765</v>
      </c>
      <c r="F68" s="13" t="n">
        <f aca="false">CONSOLIDADO!Q67</f>
        <v>1842.87697319699</v>
      </c>
      <c r="G68" s="15" t="n">
        <f aca="false">F68/240</f>
        <v>7.67865405498744</v>
      </c>
      <c r="H68" s="15" t="n">
        <f aca="false">CONSOLIDADO!R67/20</f>
        <v>10.1358233525834</v>
      </c>
      <c r="I68" s="3" t="n">
        <v>4</v>
      </c>
      <c r="J68" s="3" t="n">
        <v>7</v>
      </c>
      <c r="K68" s="3" t="s">
        <v>757</v>
      </c>
      <c r="L68" s="13" t="n">
        <f aca="false">G68*(I68+J68)/2</f>
        <v>42.2325973024309</v>
      </c>
      <c r="M68" s="13" t="n">
        <f aca="false">H68*J68-L68</f>
        <v>28.718166165653</v>
      </c>
      <c r="N68" s="13" t="n">
        <f aca="false">L68+M68</f>
        <v>70.950763468084</v>
      </c>
      <c r="O68" s="3" t="s">
        <v>778</v>
      </c>
      <c r="P68" s="16" t="n">
        <v>50</v>
      </c>
      <c r="Q68" s="3" t="n">
        <v>20</v>
      </c>
      <c r="R68" s="3" t="n">
        <f aca="false">MAX(1,CEILING(H68*Q68/P68,1))</f>
        <v>5</v>
      </c>
      <c r="S68" s="17" t="n">
        <f aca="false">F68/(R68*P68)</f>
        <v>7.37150789278795</v>
      </c>
      <c r="T68" s="13" t="n">
        <f aca="false">M68+R68*P68</f>
        <v>278.718166165653</v>
      </c>
      <c r="U68" s="3" t="s">
        <v>678</v>
      </c>
      <c r="V68" s="16" t="n">
        <v>1500</v>
      </c>
      <c r="W68" s="17" t="n">
        <f aca="false">T68/V68</f>
        <v>0.185812110777102</v>
      </c>
    </row>
    <row r="69" customFormat="false" ht="15" hidden="false" customHeight="false" outlineLevel="0" collapsed="false">
      <c r="A69" s="3" t="s">
        <v>782</v>
      </c>
      <c r="B69" s="3" t="s">
        <v>465</v>
      </c>
      <c r="C69" s="3" t="s">
        <v>466</v>
      </c>
      <c r="D69" s="3" t="s">
        <v>214</v>
      </c>
      <c r="E69" s="3" t="s">
        <v>765</v>
      </c>
      <c r="F69" s="13" t="n">
        <f aca="false">CONSOLIDADO!Q68</f>
        <v>453.2705332</v>
      </c>
      <c r="G69" s="15" t="n">
        <f aca="false">F69/240</f>
        <v>1.88862722166667</v>
      </c>
      <c r="H69" s="15" t="n">
        <f aca="false">CONSOLIDADO!R68/20</f>
        <v>2.0397173994</v>
      </c>
      <c r="I69" s="3" t="n">
        <v>4</v>
      </c>
      <c r="J69" s="3" t="n">
        <v>7</v>
      </c>
      <c r="K69" s="3" t="s">
        <v>757</v>
      </c>
      <c r="L69" s="13" t="n">
        <f aca="false">G69*(I69+J69)/2</f>
        <v>10.3874497191667</v>
      </c>
      <c r="M69" s="13" t="n">
        <f aca="false">H69*J69-L69</f>
        <v>3.89057207663333</v>
      </c>
      <c r="N69" s="13" t="n">
        <f aca="false">L69+M69</f>
        <v>14.2780217958</v>
      </c>
      <c r="O69" s="3" t="s">
        <v>762</v>
      </c>
      <c r="P69" s="16" t="n">
        <v>10</v>
      </c>
      <c r="Q69" s="3" t="n">
        <v>20</v>
      </c>
      <c r="R69" s="3" t="n">
        <f aca="false">MAX(1,CEILING(H69*Q69/P69,1))</f>
        <v>5</v>
      </c>
      <c r="S69" s="17" t="n">
        <f aca="false">F69/(R69*P69)</f>
        <v>9.065410664</v>
      </c>
      <c r="T69" s="13" t="n">
        <f aca="false">M69+R69*P69</f>
        <v>53.8905720766333</v>
      </c>
      <c r="U69" s="3" t="s">
        <v>697</v>
      </c>
      <c r="V69" s="16" t="n">
        <v>120</v>
      </c>
      <c r="W69" s="17" t="n">
        <f aca="false">T69/V69</f>
        <v>0.449088100638611</v>
      </c>
    </row>
    <row r="70" customFormat="false" ht="15" hidden="false" customHeight="false" outlineLevel="0" collapsed="false">
      <c r="A70" s="3" t="s">
        <v>783</v>
      </c>
      <c r="B70" s="3" t="s">
        <v>468</v>
      </c>
      <c r="C70" s="3" t="s">
        <v>469</v>
      </c>
      <c r="D70" s="3" t="s">
        <v>214</v>
      </c>
      <c r="E70" s="3" t="s">
        <v>765</v>
      </c>
      <c r="F70" s="13" t="n">
        <f aca="false">CONSOLIDADO!Q69</f>
        <v>998.259982820404</v>
      </c>
      <c r="G70" s="15" t="n">
        <f aca="false">F70/240</f>
        <v>4.15941659508502</v>
      </c>
      <c r="H70" s="15" t="n">
        <f aca="false">CONSOLIDADO!R69/20</f>
        <v>4.49216992269182</v>
      </c>
      <c r="I70" s="3" t="n">
        <v>4</v>
      </c>
      <c r="J70" s="3" t="n">
        <v>7</v>
      </c>
      <c r="K70" s="3" t="s">
        <v>757</v>
      </c>
      <c r="L70" s="13" t="n">
        <f aca="false">G70*(I70+J70)/2</f>
        <v>22.8767912729676</v>
      </c>
      <c r="M70" s="13" t="n">
        <f aca="false">H70*J70-L70</f>
        <v>8.56839818587514</v>
      </c>
      <c r="N70" s="13" t="n">
        <f aca="false">L70+M70</f>
        <v>31.4451894588427</v>
      </c>
      <c r="O70" s="3" t="s">
        <v>762</v>
      </c>
      <c r="P70" s="16" t="n">
        <v>10</v>
      </c>
      <c r="Q70" s="3" t="n">
        <v>20</v>
      </c>
      <c r="R70" s="3" t="n">
        <f aca="false">MAX(1,CEILING(H70*Q70/P70,1))</f>
        <v>9</v>
      </c>
      <c r="S70" s="17" t="n">
        <f aca="false">F70/(R70*P70)</f>
        <v>11.0917775868934</v>
      </c>
      <c r="T70" s="13" t="n">
        <f aca="false">M70+R70*P70</f>
        <v>98.5683981858751</v>
      </c>
      <c r="U70" s="3" t="s">
        <v>697</v>
      </c>
      <c r="V70" s="16" t="n">
        <v>120</v>
      </c>
      <c r="W70" s="17" t="n">
        <f aca="false">T70/V70</f>
        <v>0.821403318215626</v>
      </c>
    </row>
    <row r="71" customFormat="false" ht="15" hidden="false" customHeight="false" outlineLevel="0" collapsed="false">
      <c r="A71" s="3" t="s">
        <v>784</v>
      </c>
      <c r="B71" s="3" t="s">
        <v>471</v>
      </c>
      <c r="C71" s="3" t="s">
        <v>472</v>
      </c>
      <c r="D71" s="3" t="s">
        <v>214</v>
      </c>
      <c r="E71" s="3" t="s">
        <v>765</v>
      </c>
      <c r="F71" s="13" t="n">
        <f aca="false">CONSOLIDADO!Q70</f>
        <v>217.569856</v>
      </c>
      <c r="G71" s="15" t="n">
        <f aca="false">F71/240</f>
        <v>0.906541066666667</v>
      </c>
      <c r="H71" s="15" t="n">
        <f aca="false">CONSOLIDADO!R70/20</f>
        <v>0.979064352</v>
      </c>
      <c r="I71" s="3" t="n">
        <v>4</v>
      </c>
      <c r="J71" s="3" t="n">
        <v>7</v>
      </c>
      <c r="K71" s="3" t="s">
        <v>757</v>
      </c>
      <c r="L71" s="13" t="n">
        <f aca="false">G71*(I71+J71)/2</f>
        <v>4.98597586666667</v>
      </c>
      <c r="M71" s="13" t="n">
        <f aca="false">H71*J71-L71</f>
        <v>1.86747459733333</v>
      </c>
      <c r="N71" s="13" t="n">
        <f aca="false">L71+M71</f>
        <v>6.853450464</v>
      </c>
      <c r="O71" s="3" t="s">
        <v>762</v>
      </c>
      <c r="P71" s="16" t="n">
        <v>10</v>
      </c>
      <c r="Q71" s="3" t="n">
        <v>20</v>
      </c>
      <c r="R71" s="3" t="n">
        <f aca="false">MAX(1,CEILING(H71*Q71/P71,1))</f>
        <v>2</v>
      </c>
      <c r="S71" s="17" t="n">
        <f aca="false">F71/(R71*P71)</f>
        <v>10.8784928</v>
      </c>
      <c r="T71" s="13" t="n">
        <f aca="false">M71+R71*P71</f>
        <v>21.8674745973333</v>
      </c>
      <c r="U71" s="3" t="s">
        <v>697</v>
      </c>
      <c r="V71" s="16" t="n">
        <v>120</v>
      </c>
      <c r="W71" s="17" t="n">
        <f aca="false">T71/V71</f>
        <v>0.182228954977778</v>
      </c>
    </row>
    <row r="72" customFormat="false" ht="15" hidden="false" customHeight="false" outlineLevel="0" collapsed="false">
      <c r="A72" s="3" t="s">
        <v>785</v>
      </c>
      <c r="B72" s="3" t="s">
        <v>474</v>
      </c>
      <c r="C72" s="3" t="s">
        <v>475</v>
      </c>
      <c r="D72" s="3" t="s">
        <v>214</v>
      </c>
      <c r="E72" s="3" t="s">
        <v>765</v>
      </c>
      <c r="F72" s="13" t="n">
        <f aca="false">CONSOLIDADO!Q71</f>
        <v>145.176074484914</v>
      </c>
      <c r="G72" s="15" t="n">
        <f aca="false">F72/240</f>
        <v>0.604900310353808</v>
      </c>
      <c r="H72" s="15" t="n">
        <f aca="false">CONSOLIDADO!R71/20</f>
        <v>0.653292335182113</v>
      </c>
      <c r="I72" s="3" t="n">
        <v>4</v>
      </c>
      <c r="J72" s="3" t="n">
        <v>7</v>
      </c>
      <c r="K72" s="3" t="s">
        <v>757</v>
      </c>
      <c r="L72" s="13" t="n">
        <f aca="false">G72*(I72+J72)/2</f>
        <v>3.32695170694595</v>
      </c>
      <c r="M72" s="13" t="n">
        <f aca="false">H72*J72-L72</f>
        <v>1.24609463932884</v>
      </c>
      <c r="N72" s="13" t="n">
        <f aca="false">L72+M72</f>
        <v>4.57304634627479</v>
      </c>
      <c r="O72" s="3" t="s">
        <v>762</v>
      </c>
      <c r="P72" s="16" t="n">
        <v>10</v>
      </c>
      <c r="Q72" s="3" t="n">
        <v>20</v>
      </c>
      <c r="R72" s="3" t="n">
        <f aca="false">MAX(1,CEILING(H72*Q72/P72,1))</f>
        <v>2</v>
      </c>
      <c r="S72" s="17" t="n">
        <f aca="false">F72/(R72*P72)</f>
        <v>7.2588037242457</v>
      </c>
      <c r="T72" s="13" t="n">
        <f aca="false">M72+R72*P72</f>
        <v>21.2460946393288</v>
      </c>
      <c r="U72" s="3" t="s">
        <v>697</v>
      </c>
      <c r="V72" s="16" t="n">
        <v>120</v>
      </c>
      <c r="W72" s="17" t="n">
        <f aca="false">T72/V72</f>
        <v>0.177050788661074</v>
      </c>
    </row>
    <row r="73" customFormat="false" ht="15" hidden="false" customHeight="false" outlineLevel="0" collapsed="false">
      <c r="A73" s="3" t="s">
        <v>786</v>
      </c>
      <c r="B73" s="3" t="s">
        <v>268</v>
      </c>
      <c r="C73" s="3" t="s">
        <v>269</v>
      </c>
      <c r="D73" s="3" t="s">
        <v>214</v>
      </c>
      <c r="E73" s="3" t="s">
        <v>787</v>
      </c>
      <c r="F73" s="13" t="n">
        <f aca="false">CONSOLIDADO!Q72</f>
        <v>32072.63913</v>
      </c>
      <c r="G73" s="15" t="n">
        <f aca="false">F73/240</f>
        <v>133.635996375</v>
      </c>
      <c r="H73" s="15" t="n">
        <f aca="false">CONSOLIDADO!R72/20</f>
        <v>192.43583478</v>
      </c>
      <c r="I73" s="3" t="n">
        <v>1</v>
      </c>
      <c r="J73" s="3" t="n">
        <v>3</v>
      </c>
      <c r="K73" s="3" t="s">
        <v>788</v>
      </c>
      <c r="L73" s="13" t="n">
        <f aca="false">G73*(I73+J73)/2</f>
        <v>267.27199275</v>
      </c>
      <c r="M73" s="13" t="n">
        <f aca="false">H73*J73-L73</f>
        <v>310.03551159</v>
      </c>
      <c r="N73" s="13" t="n">
        <f aca="false">L73+M73</f>
        <v>577.30750434</v>
      </c>
      <c r="O73" s="3" t="s">
        <v>696</v>
      </c>
      <c r="P73" s="16" t="n">
        <v>1000</v>
      </c>
      <c r="Q73" s="3" t="n">
        <v>20</v>
      </c>
      <c r="R73" s="3" t="n">
        <f aca="false">MAX(1,CEILING(H73*Q73/P73,1))</f>
        <v>4</v>
      </c>
      <c r="S73" s="17" t="n">
        <f aca="false">F73/(R73*P73)</f>
        <v>8.0181597825</v>
      </c>
      <c r="T73" s="13" t="n">
        <f aca="false">M73+R73*P73</f>
        <v>4310.03551159</v>
      </c>
      <c r="U73" s="3" t="s">
        <v>678</v>
      </c>
      <c r="V73" s="16" t="n">
        <v>20000</v>
      </c>
      <c r="W73" s="17" t="n">
        <f aca="false">T73/V73</f>
        <v>0.2155017755795</v>
      </c>
    </row>
    <row r="74" customFormat="false" ht="15" hidden="false" customHeight="false" outlineLevel="0" collapsed="false">
      <c r="A74" s="3" t="s">
        <v>789</v>
      </c>
      <c r="B74" s="3" t="s">
        <v>271</v>
      </c>
      <c r="C74" s="3" t="s">
        <v>272</v>
      </c>
      <c r="D74" s="3" t="s">
        <v>214</v>
      </c>
      <c r="E74" s="3" t="s">
        <v>787</v>
      </c>
      <c r="F74" s="13" t="n">
        <f aca="false">CONSOLIDADO!Q73</f>
        <v>43148.036619471</v>
      </c>
      <c r="G74" s="15" t="n">
        <f aca="false">F74/240</f>
        <v>179.783485914463</v>
      </c>
      <c r="H74" s="15" t="n">
        <f aca="false">CONSOLIDADO!R73/20</f>
        <v>235.86267089107</v>
      </c>
      <c r="I74" s="3" t="n">
        <v>1</v>
      </c>
      <c r="J74" s="3" t="n">
        <v>3</v>
      </c>
      <c r="K74" s="3" t="s">
        <v>788</v>
      </c>
      <c r="L74" s="13" t="n">
        <f aca="false">G74*(I74+J74)/2</f>
        <v>359.566971828925</v>
      </c>
      <c r="M74" s="13" t="n">
        <f aca="false">H74*J74-L74</f>
        <v>348.021040844286</v>
      </c>
      <c r="N74" s="13" t="n">
        <f aca="false">L74+M74</f>
        <v>707.588012673211</v>
      </c>
      <c r="O74" s="3" t="s">
        <v>696</v>
      </c>
      <c r="P74" s="16" t="n">
        <v>1000</v>
      </c>
      <c r="Q74" s="3" t="n">
        <v>20</v>
      </c>
      <c r="R74" s="3" t="n">
        <f aca="false">MAX(1,CEILING(H74*Q74/P74,1))</f>
        <v>5</v>
      </c>
      <c r="S74" s="17" t="n">
        <f aca="false">F74/(R74*P74)</f>
        <v>8.62960732389421</v>
      </c>
      <c r="T74" s="13" t="n">
        <f aca="false">M74+R74*P74</f>
        <v>5348.02104084429</v>
      </c>
      <c r="U74" s="3" t="s">
        <v>678</v>
      </c>
      <c r="V74" s="16" t="n">
        <v>20000</v>
      </c>
      <c r="W74" s="17" t="n">
        <f aca="false">T74/V74</f>
        <v>0.267401052042214</v>
      </c>
    </row>
    <row r="75" customFormat="false" ht="15" hidden="false" customHeight="false" outlineLevel="0" collapsed="false">
      <c r="A75" s="3" t="s">
        <v>790</v>
      </c>
      <c r="B75" s="3" t="s">
        <v>478</v>
      </c>
      <c r="C75" s="3" t="s">
        <v>479</v>
      </c>
      <c r="D75" s="3" t="s">
        <v>214</v>
      </c>
      <c r="E75" s="3" t="s">
        <v>787</v>
      </c>
      <c r="F75" s="13" t="n">
        <f aca="false">CONSOLIDADO!Q74</f>
        <v>362.745930484914</v>
      </c>
      <c r="G75" s="15" t="n">
        <f aca="false">F75/240</f>
        <v>1.51144137702047</v>
      </c>
      <c r="H75" s="15" t="n">
        <f aca="false">CONSOLIDADO!R74/20</f>
        <v>1.63235668718211</v>
      </c>
      <c r="I75" s="3" t="n">
        <v>1</v>
      </c>
      <c r="J75" s="3" t="n">
        <v>3</v>
      </c>
      <c r="K75" s="3" t="s">
        <v>788</v>
      </c>
      <c r="L75" s="13" t="n">
        <f aca="false">G75*(I75+J75)/2</f>
        <v>3.02288275404095</v>
      </c>
      <c r="M75" s="13" t="n">
        <f aca="false">H75*J75-L75</f>
        <v>1.87418730750539</v>
      </c>
      <c r="N75" s="13" t="n">
        <f aca="false">L75+M75</f>
        <v>4.89707006154634</v>
      </c>
      <c r="O75" s="3" t="s">
        <v>696</v>
      </c>
      <c r="P75" s="16" t="n">
        <v>1000</v>
      </c>
      <c r="Q75" s="3" t="n">
        <v>20</v>
      </c>
      <c r="R75" s="3" t="n">
        <f aca="false">MAX(1,CEILING(H75*Q75/P75,1))</f>
        <v>1</v>
      </c>
      <c r="S75" s="17" t="n">
        <f aca="false">F75/(R75*P75)</f>
        <v>0.362745930484914</v>
      </c>
      <c r="T75" s="13" t="n">
        <f aca="false">M75+R75*P75</f>
        <v>1001.87418730751</v>
      </c>
      <c r="U75" s="3" t="s">
        <v>697</v>
      </c>
      <c r="V75" s="16" t="n">
        <v>20000</v>
      </c>
      <c r="W75" s="17" t="n">
        <f aca="false">T75/V75</f>
        <v>0.0500937093653753</v>
      </c>
    </row>
    <row r="76" customFormat="false" ht="15" hidden="false" customHeight="false" outlineLevel="0" collapsed="false">
      <c r="A76" s="3" t="s">
        <v>791</v>
      </c>
      <c r="B76" s="3" t="s">
        <v>530</v>
      </c>
      <c r="C76" s="3" t="s">
        <v>531</v>
      </c>
      <c r="D76" s="3" t="s">
        <v>214</v>
      </c>
      <c r="E76" s="3" t="s">
        <v>694</v>
      </c>
      <c r="F76" s="13" t="n">
        <f aca="false">CONSOLIDADO!Q75</f>
        <v>102177.896561299</v>
      </c>
      <c r="G76" s="15" t="n">
        <f aca="false">F76/240</f>
        <v>425.741235672078</v>
      </c>
      <c r="H76" s="15" t="n">
        <f aca="false">CONSOLIDADO!R75/20</f>
        <v>425.741235672078</v>
      </c>
      <c r="I76" s="3" t="n">
        <v>3</v>
      </c>
      <c r="J76" s="3" t="n">
        <v>5</v>
      </c>
      <c r="K76" s="3" t="s">
        <v>695</v>
      </c>
      <c r="L76" s="13" t="n">
        <f aca="false">G76*(I76+J76)/2</f>
        <v>1702.96494268831</v>
      </c>
      <c r="M76" s="13" t="n">
        <f aca="false">H76*J76-L76</f>
        <v>425.741235672079</v>
      </c>
      <c r="N76" s="13" t="n">
        <f aca="false">L76+M76</f>
        <v>2128.70617836039</v>
      </c>
      <c r="O76" s="3" t="s">
        <v>696</v>
      </c>
      <c r="P76" s="16" t="n">
        <v>1000</v>
      </c>
      <c r="Q76" s="3" t="n">
        <v>20</v>
      </c>
      <c r="R76" s="3" t="n">
        <f aca="false">MAX(1,CEILING(H76*Q76/P76,1))</f>
        <v>9</v>
      </c>
      <c r="S76" s="17" t="n">
        <f aca="false">F76/(R76*P76)</f>
        <v>11.3530996179221</v>
      </c>
      <c r="T76" s="13" t="n">
        <f aca="false">M76+R76*P76</f>
        <v>9425.74123567208</v>
      </c>
      <c r="U76" s="3" t="s">
        <v>750</v>
      </c>
      <c r="V76" s="16" t="n">
        <v>20000</v>
      </c>
      <c r="W76" s="17" t="n">
        <f aca="false">T76/V76</f>
        <v>0.471287061783604</v>
      </c>
    </row>
    <row r="77" customFormat="false" ht="15" hidden="false" customHeight="false" outlineLevel="0" collapsed="false">
      <c r="A77" s="3" t="s">
        <v>792</v>
      </c>
      <c r="B77" s="3" t="s">
        <v>274</v>
      </c>
      <c r="C77" s="3" t="s">
        <v>275</v>
      </c>
      <c r="D77" s="3" t="s">
        <v>214</v>
      </c>
      <c r="E77" s="3" t="s">
        <v>793</v>
      </c>
      <c r="F77" s="13" t="n">
        <f aca="false">CONSOLIDADO!Q76</f>
        <v>7424.858444</v>
      </c>
      <c r="G77" s="15" t="n">
        <f aca="false">F77/240</f>
        <v>30.9369101833333</v>
      </c>
      <c r="H77" s="15" t="n">
        <f aca="false">CONSOLIDADO!R76/20</f>
        <v>40.836721442</v>
      </c>
      <c r="I77" s="3" t="n">
        <v>3</v>
      </c>
      <c r="J77" s="3" t="n">
        <v>7</v>
      </c>
      <c r="K77" s="3" t="s">
        <v>794</v>
      </c>
      <c r="L77" s="13" t="n">
        <f aca="false">G77*(I77+J77)/2</f>
        <v>154.684550916667</v>
      </c>
      <c r="M77" s="13" t="n">
        <f aca="false">H77*J77-L77</f>
        <v>131.172499177333</v>
      </c>
      <c r="N77" s="13" t="n">
        <f aca="false">L77+M77</f>
        <v>285.857050094</v>
      </c>
      <c r="O77" s="3" t="s">
        <v>681</v>
      </c>
      <c r="P77" s="16" t="n">
        <v>100</v>
      </c>
      <c r="Q77" s="3" t="n">
        <v>20</v>
      </c>
      <c r="R77" s="3" t="n">
        <f aca="false">MAX(1,CEILING(H77*Q77/P77,1))</f>
        <v>9</v>
      </c>
      <c r="S77" s="17" t="n">
        <f aca="false">F77/(R77*P77)</f>
        <v>8.24984271555556</v>
      </c>
      <c r="T77" s="13" t="n">
        <f aca="false">M77+R77*P77</f>
        <v>1031.17249917733</v>
      </c>
      <c r="U77" s="3" t="s">
        <v>678</v>
      </c>
      <c r="V77" s="16" t="n">
        <v>3000</v>
      </c>
      <c r="W77" s="17" t="n">
        <f aca="false">T77/V77</f>
        <v>0.343724166392444</v>
      </c>
    </row>
    <row r="78" customFormat="false" ht="15" hidden="false" customHeight="false" outlineLevel="0" collapsed="false">
      <c r="A78" s="3" t="s">
        <v>795</v>
      </c>
      <c r="B78" s="3" t="s">
        <v>277</v>
      </c>
      <c r="C78" s="3" t="s">
        <v>278</v>
      </c>
      <c r="D78" s="3" t="s">
        <v>214</v>
      </c>
      <c r="E78" s="3" t="s">
        <v>793</v>
      </c>
      <c r="F78" s="13" t="n">
        <f aca="false">CONSOLIDADO!Q77</f>
        <v>32428.7706862536</v>
      </c>
      <c r="G78" s="15" t="n">
        <f aca="false">F78/240</f>
        <v>135.11987785939</v>
      </c>
      <c r="H78" s="15" t="n">
        <f aca="false">CONSOLIDADO!R77/20</f>
        <v>178.358238774395</v>
      </c>
      <c r="I78" s="3" t="n">
        <v>3</v>
      </c>
      <c r="J78" s="3" t="n">
        <v>7</v>
      </c>
      <c r="K78" s="3" t="s">
        <v>794</v>
      </c>
      <c r="L78" s="13" t="n">
        <f aca="false">G78*(I78+J78)/2</f>
        <v>675.599389296951</v>
      </c>
      <c r="M78" s="13" t="n">
        <f aca="false">H78*J78-L78</f>
        <v>572.908282123814</v>
      </c>
      <c r="N78" s="13" t="n">
        <f aca="false">L78+M78</f>
        <v>1248.50767142077</v>
      </c>
      <c r="O78" s="3" t="s">
        <v>681</v>
      </c>
      <c r="P78" s="16" t="n">
        <v>100</v>
      </c>
      <c r="Q78" s="3" t="n">
        <v>20</v>
      </c>
      <c r="R78" s="3" t="n">
        <f aca="false">MAX(1,CEILING(H78*Q78/P78,1))</f>
        <v>36</v>
      </c>
      <c r="S78" s="17" t="n">
        <f aca="false">F78/(R78*P78)</f>
        <v>9.00799185729268</v>
      </c>
      <c r="T78" s="13" t="n">
        <f aca="false">M78+R78*P78</f>
        <v>4172.90828212381</v>
      </c>
      <c r="U78" s="3" t="s">
        <v>678</v>
      </c>
      <c r="V78" s="16" t="n">
        <v>3000</v>
      </c>
      <c r="W78" s="17" t="n">
        <f aca="false">T78/V78</f>
        <v>1.3909694273746</v>
      </c>
    </row>
    <row r="79" customFormat="false" ht="15" hidden="false" customHeight="false" outlineLevel="0" collapsed="false">
      <c r="A79" s="3" t="s">
        <v>796</v>
      </c>
      <c r="B79" s="3" t="s">
        <v>280</v>
      </c>
      <c r="C79" s="3" t="s">
        <v>281</v>
      </c>
      <c r="D79" s="3" t="s">
        <v>214</v>
      </c>
      <c r="E79" s="3" t="s">
        <v>793</v>
      </c>
      <c r="F79" s="13" t="n">
        <f aca="false">CONSOLIDADO!Q78</f>
        <v>1842.87697319699</v>
      </c>
      <c r="G79" s="15" t="n">
        <f aca="false">F79/240</f>
        <v>7.67865405498744</v>
      </c>
      <c r="H79" s="15" t="n">
        <f aca="false">CONSOLIDADO!R78/20</f>
        <v>10.1358233525834</v>
      </c>
      <c r="I79" s="3" t="n">
        <v>3</v>
      </c>
      <c r="J79" s="3" t="n">
        <v>7</v>
      </c>
      <c r="K79" s="3" t="s">
        <v>794</v>
      </c>
      <c r="L79" s="13" t="n">
        <f aca="false">G79*(I79+J79)/2</f>
        <v>38.3932702749372</v>
      </c>
      <c r="M79" s="13" t="n">
        <f aca="false">H79*J79-L79</f>
        <v>32.5574931931468</v>
      </c>
      <c r="N79" s="13" t="n">
        <f aca="false">L79+M79</f>
        <v>70.950763468084</v>
      </c>
      <c r="O79" s="3" t="s">
        <v>681</v>
      </c>
      <c r="P79" s="16" t="n">
        <v>100</v>
      </c>
      <c r="Q79" s="3" t="n">
        <v>20</v>
      </c>
      <c r="R79" s="3" t="n">
        <f aca="false">MAX(1,CEILING(H79*Q79/P79,1))</f>
        <v>3</v>
      </c>
      <c r="S79" s="17" t="n">
        <f aca="false">F79/(R79*P79)</f>
        <v>6.14292324398996</v>
      </c>
      <c r="T79" s="13" t="n">
        <f aca="false">M79+R79*P79</f>
        <v>332.557493193147</v>
      </c>
      <c r="U79" s="3" t="s">
        <v>678</v>
      </c>
      <c r="V79" s="16" t="n">
        <v>3000</v>
      </c>
      <c r="W79" s="17" t="n">
        <f aca="false">T79/V79</f>
        <v>0.110852497731049</v>
      </c>
    </row>
    <row r="80" customFormat="false" ht="15" hidden="false" customHeight="false" outlineLevel="0" collapsed="false">
      <c r="A80" s="3" t="s">
        <v>797</v>
      </c>
      <c r="B80" s="3" t="s">
        <v>283</v>
      </c>
      <c r="C80" s="3" t="s">
        <v>284</v>
      </c>
      <c r="D80" s="3" t="s">
        <v>214</v>
      </c>
      <c r="E80" s="3" t="s">
        <v>793</v>
      </c>
      <c r="F80" s="13" t="n">
        <f aca="false">CONSOLIDADO!Q79</f>
        <v>32072.63913</v>
      </c>
      <c r="G80" s="15" t="n">
        <f aca="false">F80/240</f>
        <v>133.635996375</v>
      </c>
      <c r="H80" s="15" t="n">
        <f aca="false">CONSOLIDADO!R79/20</f>
        <v>192.43583478</v>
      </c>
      <c r="I80" s="3" t="n">
        <v>3</v>
      </c>
      <c r="J80" s="3" t="n">
        <v>7</v>
      </c>
      <c r="K80" s="3" t="s">
        <v>794</v>
      </c>
      <c r="L80" s="13" t="n">
        <f aca="false">G80*(I80+J80)/2</f>
        <v>668.179981875</v>
      </c>
      <c r="M80" s="13" t="n">
        <f aca="false">H80*J80-L80</f>
        <v>678.870861585</v>
      </c>
      <c r="N80" s="13" t="n">
        <f aca="false">L80+M80</f>
        <v>1347.05084346</v>
      </c>
      <c r="O80" s="3" t="s">
        <v>681</v>
      </c>
      <c r="P80" s="16" t="n">
        <v>100</v>
      </c>
      <c r="Q80" s="3" t="n">
        <v>20</v>
      </c>
      <c r="R80" s="3" t="n">
        <f aca="false">MAX(1,CEILING(H80*Q80/P80,1))</f>
        <v>39</v>
      </c>
      <c r="S80" s="17" t="n">
        <f aca="false">F80/(R80*P80)</f>
        <v>8.22375362307692</v>
      </c>
      <c r="T80" s="13" t="n">
        <f aca="false">M80+R80*P80</f>
        <v>4578.870861585</v>
      </c>
      <c r="U80" s="3" t="s">
        <v>678</v>
      </c>
      <c r="V80" s="16" t="n">
        <v>3000</v>
      </c>
      <c r="W80" s="17" t="n">
        <f aca="false">T80/V80</f>
        <v>1.526290287195</v>
      </c>
    </row>
    <row r="81" customFormat="false" ht="15" hidden="false" customHeight="false" outlineLevel="0" collapsed="false">
      <c r="A81" s="3" t="s">
        <v>798</v>
      </c>
      <c r="B81" s="3" t="s">
        <v>286</v>
      </c>
      <c r="C81" s="3" t="s">
        <v>287</v>
      </c>
      <c r="D81" s="3" t="s">
        <v>214</v>
      </c>
      <c r="E81" s="3" t="s">
        <v>694</v>
      </c>
      <c r="F81" s="13" t="n">
        <f aca="false">CONSOLIDADO!Q80</f>
        <v>83393.0122069013</v>
      </c>
      <c r="G81" s="15" t="n">
        <f aca="false">F81/240</f>
        <v>347.470884195422</v>
      </c>
      <c r="H81" s="15" t="n">
        <f aca="false">CONSOLIDADO!R80/20</f>
        <v>458.661567137957</v>
      </c>
      <c r="I81" s="3" t="n">
        <v>3</v>
      </c>
      <c r="J81" s="3" t="n">
        <v>5</v>
      </c>
      <c r="K81" s="3" t="s">
        <v>695</v>
      </c>
      <c r="L81" s="13" t="n">
        <f aca="false">G81*(I81+J81)/2</f>
        <v>1389.88353678169</v>
      </c>
      <c r="M81" s="13" t="n">
        <f aca="false">H81*J81-L81</f>
        <v>903.424298908097</v>
      </c>
      <c r="N81" s="13" t="n">
        <f aca="false">L81+M81</f>
        <v>2293.30783568979</v>
      </c>
      <c r="O81" s="3" t="s">
        <v>696</v>
      </c>
      <c r="P81" s="16" t="n">
        <v>1000</v>
      </c>
      <c r="Q81" s="3" t="n">
        <v>20</v>
      </c>
      <c r="R81" s="3" t="n">
        <f aca="false">MAX(1,CEILING(H81*Q81/P81,1))</f>
        <v>10</v>
      </c>
      <c r="S81" s="17" t="n">
        <f aca="false">F81/(R81*P81)</f>
        <v>8.33930122069013</v>
      </c>
      <c r="T81" s="13" t="n">
        <f aca="false">M81+R81*P81</f>
        <v>10903.4242989081</v>
      </c>
      <c r="U81" s="3" t="s">
        <v>678</v>
      </c>
      <c r="V81" s="16" t="n">
        <v>20000</v>
      </c>
      <c r="W81" s="17" t="n">
        <f aca="false">T81/V81</f>
        <v>0.545171214945405</v>
      </c>
    </row>
    <row r="82" customFormat="false" ht="15" hidden="false" customHeight="false" outlineLevel="0" collapsed="false">
      <c r="A82" s="3" t="s">
        <v>799</v>
      </c>
      <c r="B82" s="3" t="s">
        <v>533</v>
      </c>
      <c r="C82" s="3" t="s">
        <v>534</v>
      </c>
      <c r="D82" s="3" t="s">
        <v>214</v>
      </c>
      <c r="E82" s="3" t="s">
        <v>800</v>
      </c>
      <c r="F82" s="13" t="n">
        <f aca="false">CONSOLIDADO!Q81</f>
        <v>3105.77010888421</v>
      </c>
      <c r="G82" s="15" t="n">
        <f aca="false">F82/240</f>
        <v>12.9407087870176</v>
      </c>
      <c r="H82" s="15" t="n">
        <f aca="false">CONSOLIDADO!R81/20</f>
        <v>12.9407087870176</v>
      </c>
      <c r="I82" s="3" t="n">
        <v>4</v>
      </c>
      <c r="J82" s="3" t="n">
        <v>7</v>
      </c>
      <c r="K82" s="3" t="s">
        <v>757</v>
      </c>
      <c r="L82" s="13" t="n">
        <f aca="false">G82*(I82+J82)/2</f>
        <v>71.1738983285966</v>
      </c>
      <c r="M82" s="13" t="n">
        <f aca="false">H82*J82-L82</f>
        <v>19.4110631805263</v>
      </c>
      <c r="N82" s="13" t="n">
        <f aca="false">L82+M82</f>
        <v>90.5849615091229</v>
      </c>
      <c r="O82" s="3" t="s">
        <v>801</v>
      </c>
      <c r="P82" s="16" t="n">
        <v>100</v>
      </c>
      <c r="Q82" s="3" t="n">
        <v>60</v>
      </c>
      <c r="R82" s="3" t="n">
        <f aca="false">MAX(1,CEILING(H82*Q82/P82,1))</f>
        <v>8</v>
      </c>
      <c r="S82" s="17" t="n">
        <f aca="false">F82/(R82*P82)</f>
        <v>3.88221263610527</v>
      </c>
      <c r="T82" s="13" t="n">
        <f aca="false">M82+R82*P82</f>
        <v>819.411063180526</v>
      </c>
      <c r="U82" s="3" t="s">
        <v>750</v>
      </c>
      <c r="V82" s="16" t="n">
        <v>2000</v>
      </c>
      <c r="W82" s="17" t="n">
        <f aca="false">T82/V82</f>
        <v>0.409705531590263</v>
      </c>
    </row>
    <row r="83" customFormat="false" ht="15" hidden="false" customHeight="false" outlineLevel="0" collapsed="false">
      <c r="A83" s="3" t="s">
        <v>802</v>
      </c>
      <c r="B83" s="3" t="s">
        <v>289</v>
      </c>
      <c r="C83" s="3" t="s">
        <v>290</v>
      </c>
      <c r="D83" s="3" t="s">
        <v>214</v>
      </c>
      <c r="E83" s="3" t="s">
        <v>803</v>
      </c>
      <c r="F83" s="13" t="n">
        <f aca="false">CONSOLIDADO!Q82</f>
        <v>32072.63913</v>
      </c>
      <c r="G83" s="15" t="n">
        <f aca="false">F83/240</f>
        <v>133.635996375</v>
      </c>
      <c r="H83" s="15" t="n">
        <f aca="false">CONSOLIDADO!R82/20</f>
        <v>192.43583478</v>
      </c>
      <c r="I83" s="3" t="n">
        <v>3</v>
      </c>
      <c r="J83" s="3" t="n">
        <v>7</v>
      </c>
      <c r="K83" s="3" t="s">
        <v>804</v>
      </c>
      <c r="L83" s="13" t="n">
        <f aca="false">G83*(I83+J83)/2</f>
        <v>668.179981875</v>
      </c>
      <c r="M83" s="13" t="n">
        <f aca="false">H83*J83-L83</f>
        <v>678.870861585</v>
      </c>
      <c r="N83" s="13" t="n">
        <f aca="false">L83+M83</f>
        <v>1347.05084346</v>
      </c>
      <c r="O83" s="3" t="s">
        <v>805</v>
      </c>
      <c r="P83" s="16" t="n">
        <v>1000</v>
      </c>
      <c r="Q83" s="3" t="n">
        <v>20</v>
      </c>
      <c r="R83" s="3" t="n">
        <f aca="false">MAX(1,CEILING(H83*Q83/P83,1))</f>
        <v>4</v>
      </c>
      <c r="S83" s="17" t="n">
        <f aca="false">F83/(R83*P83)</f>
        <v>8.0181597825</v>
      </c>
      <c r="T83" s="13" t="n">
        <f aca="false">M83+R83*P83</f>
        <v>4678.870861585</v>
      </c>
      <c r="U83" s="3" t="s">
        <v>806</v>
      </c>
      <c r="V83" s="16" t="n">
        <v>20000</v>
      </c>
      <c r="W83" s="17" t="n">
        <f aca="false">T83/V83</f>
        <v>0.23394354307925</v>
      </c>
    </row>
    <row r="84" customFormat="false" ht="15" hidden="false" customHeight="false" outlineLevel="0" collapsed="false">
      <c r="A84" s="3" t="s">
        <v>807</v>
      </c>
      <c r="B84" s="3" t="s">
        <v>292</v>
      </c>
      <c r="C84" s="3" t="s">
        <v>293</v>
      </c>
      <c r="D84" s="3" t="s">
        <v>214</v>
      </c>
      <c r="E84" s="3" t="s">
        <v>803</v>
      </c>
      <c r="F84" s="13" t="n">
        <f aca="false">CONSOLIDADO!Q83</f>
        <v>7424.858444</v>
      </c>
      <c r="G84" s="15" t="n">
        <f aca="false">F84/240</f>
        <v>30.9369101833333</v>
      </c>
      <c r="H84" s="15" t="n">
        <f aca="false">CONSOLIDADO!R83/20</f>
        <v>40.836721442</v>
      </c>
      <c r="I84" s="3" t="n">
        <v>3</v>
      </c>
      <c r="J84" s="3" t="n">
        <v>7</v>
      </c>
      <c r="K84" s="3" t="s">
        <v>804</v>
      </c>
      <c r="L84" s="13" t="n">
        <f aca="false">G84*(I84+J84)/2</f>
        <v>154.684550916667</v>
      </c>
      <c r="M84" s="13" t="n">
        <f aca="false">H84*J84-L84</f>
        <v>131.172499177333</v>
      </c>
      <c r="N84" s="13" t="n">
        <f aca="false">L84+M84</f>
        <v>285.857050094</v>
      </c>
      <c r="O84" s="3" t="s">
        <v>805</v>
      </c>
      <c r="P84" s="16" t="n">
        <v>1000</v>
      </c>
      <c r="Q84" s="3" t="n">
        <v>20</v>
      </c>
      <c r="R84" s="3" t="n">
        <f aca="false">MAX(1,CEILING(H84*Q84/P84,1))</f>
        <v>1</v>
      </c>
      <c r="S84" s="17" t="n">
        <f aca="false">F84/(R84*P84)</f>
        <v>7.424858444</v>
      </c>
      <c r="T84" s="13" t="n">
        <f aca="false">M84+R84*P84</f>
        <v>1131.17249917733</v>
      </c>
      <c r="U84" s="3" t="s">
        <v>806</v>
      </c>
      <c r="V84" s="16" t="n">
        <v>20000</v>
      </c>
      <c r="W84" s="17" t="n">
        <f aca="false">T84/V84</f>
        <v>0.0565586249588667</v>
      </c>
    </row>
    <row r="85" customFormat="false" ht="15" hidden="false" customHeight="false" outlineLevel="0" collapsed="false">
      <c r="A85" s="3" t="s">
        <v>808</v>
      </c>
      <c r="B85" s="3" t="s">
        <v>295</v>
      </c>
      <c r="C85" s="3" t="s">
        <v>296</v>
      </c>
      <c r="D85" s="3" t="s">
        <v>214</v>
      </c>
      <c r="E85" s="3" t="s">
        <v>803</v>
      </c>
      <c r="F85" s="13" t="n">
        <f aca="false">CONSOLIDADO!Q84</f>
        <v>32428.7706862536</v>
      </c>
      <c r="G85" s="15" t="n">
        <f aca="false">F85/240</f>
        <v>135.11987785939</v>
      </c>
      <c r="H85" s="15" t="n">
        <f aca="false">CONSOLIDADO!R84/20</f>
        <v>178.358238774395</v>
      </c>
      <c r="I85" s="3" t="n">
        <v>3</v>
      </c>
      <c r="J85" s="3" t="n">
        <v>7</v>
      </c>
      <c r="K85" s="3" t="s">
        <v>804</v>
      </c>
      <c r="L85" s="13" t="n">
        <f aca="false">G85*(I85+J85)/2</f>
        <v>675.599389296951</v>
      </c>
      <c r="M85" s="13" t="n">
        <f aca="false">H85*J85-L85</f>
        <v>572.908282123814</v>
      </c>
      <c r="N85" s="13" t="n">
        <f aca="false">L85+M85</f>
        <v>1248.50767142077</v>
      </c>
      <c r="O85" s="3" t="s">
        <v>805</v>
      </c>
      <c r="P85" s="16" t="n">
        <v>1000</v>
      </c>
      <c r="Q85" s="3" t="n">
        <v>20</v>
      </c>
      <c r="R85" s="3" t="n">
        <f aca="false">MAX(1,CEILING(H85*Q85/P85,1))</f>
        <v>4</v>
      </c>
      <c r="S85" s="17" t="n">
        <f aca="false">F85/(R85*P85)</f>
        <v>8.10719267156341</v>
      </c>
      <c r="T85" s="13" t="n">
        <f aca="false">M85+R85*P85</f>
        <v>4572.90828212381</v>
      </c>
      <c r="U85" s="3" t="s">
        <v>806</v>
      </c>
      <c r="V85" s="16" t="n">
        <v>20000</v>
      </c>
      <c r="W85" s="17" t="n">
        <f aca="false">T85/V85</f>
        <v>0.228645414106191</v>
      </c>
    </row>
    <row r="86" customFormat="false" ht="15" hidden="false" customHeight="false" outlineLevel="0" collapsed="false">
      <c r="A86" s="3" t="s">
        <v>809</v>
      </c>
      <c r="B86" s="3" t="s">
        <v>298</v>
      </c>
      <c r="C86" s="3" t="s">
        <v>299</v>
      </c>
      <c r="D86" s="3" t="s">
        <v>214</v>
      </c>
      <c r="E86" s="3" t="s">
        <v>810</v>
      </c>
      <c r="F86" s="13" t="n">
        <f aca="false">CONSOLIDADO!Q85</f>
        <v>1842.87697319699</v>
      </c>
      <c r="G86" s="15" t="n">
        <f aca="false">F86/240</f>
        <v>7.67865405498744</v>
      </c>
      <c r="H86" s="15" t="n">
        <f aca="false">CONSOLIDADO!R85/20</f>
        <v>10.1358233525834</v>
      </c>
      <c r="I86" s="3" t="n">
        <v>1</v>
      </c>
      <c r="J86" s="3" t="n">
        <v>2</v>
      </c>
      <c r="K86" s="3" t="s">
        <v>811</v>
      </c>
      <c r="L86" s="13" t="n">
        <f aca="false">G86*(I86+J86)/2</f>
        <v>11.5179810824812</v>
      </c>
      <c r="M86" s="13" t="n">
        <f aca="false">H86*J86-L86</f>
        <v>8.75366562268569</v>
      </c>
      <c r="N86" s="13" t="n">
        <f aca="false">L86+M86</f>
        <v>20.2716467051669</v>
      </c>
      <c r="O86" s="3" t="s">
        <v>805</v>
      </c>
      <c r="P86" s="16" t="n">
        <v>1000</v>
      </c>
      <c r="Q86" s="3" t="n">
        <v>20</v>
      </c>
      <c r="R86" s="3" t="n">
        <f aca="false">MAX(1,CEILING(H86*Q86/P86,1))</f>
        <v>1</v>
      </c>
      <c r="S86" s="17" t="n">
        <f aca="false">F86/(R86*P86)</f>
        <v>1.84287697319699</v>
      </c>
      <c r="T86" s="13" t="n">
        <f aca="false">M86+R86*P86</f>
        <v>1008.75366562269</v>
      </c>
      <c r="U86" s="3" t="s">
        <v>806</v>
      </c>
      <c r="V86" s="16" t="n">
        <v>20000</v>
      </c>
      <c r="W86" s="17" t="n">
        <f aca="false">T86/V86</f>
        <v>0.0504376832811343</v>
      </c>
    </row>
    <row r="87" customFormat="false" ht="15" hidden="false" customHeight="false" outlineLevel="0" collapsed="false">
      <c r="A87" s="3" t="s">
        <v>812</v>
      </c>
      <c r="B87" s="3" t="s">
        <v>481</v>
      </c>
      <c r="C87" s="3" t="s">
        <v>482</v>
      </c>
      <c r="D87" s="3" t="s">
        <v>214</v>
      </c>
      <c r="E87" s="3" t="s">
        <v>810</v>
      </c>
      <c r="F87" s="13" t="n">
        <f aca="false">CONSOLIDADO!Q86</f>
        <v>453.2705332</v>
      </c>
      <c r="G87" s="15" t="n">
        <f aca="false">F87/240</f>
        <v>1.88862722166667</v>
      </c>
      <c r="H87" s="15" t="n">
        <f aca="false">CONSOLIDADO!R86/20</f>
        <v>2.0397173994</v>
      </c>
      <c r="I87" s="3" t="n">
        <v>1</v>
      </c>
      <c r="J87" s="3" t="n">
        <v>2</v>
      </c>
      <c r="K87" s="3" t="s">
        <v>811</v>
      </c>
      <c r="L87" s="13" t="n">
        <f aca="false">G87*(I87+J87)/2</f>
        <v>2.8329408325</v>
      </c>
      <c r="M87" s="13" t="n">
        <f aca="false">H87*J87-L87</f>
        <v>1.2464939663</v>
      </c>
      <c r="N87" s="13" t="n">
        <f aca="false">L87+M87</f>
        <v>4.0794347988</v>
      </c>
      <c r="O87" s="3" t="s">
        <v>805</v>
      </c>
      <c r="P87" s="16" t="n">
        <v>1000</v>
      </c>
      <c r="Q87" s="3" t="n">
        <v>20</v>
      </c>
      <c r="R87" s="3" t="n">
        <f aca="false">MAX(1,CEILING(H87*Q87/P87,1))</f>
        <v>1</v>
      </c>
      <c r="S87" s="17" t="n">
        <f aca="false">F87/(R87*P87)</f>
        <v>0.4532705332</v>
      </c>
      <c r="T87" s="13" t="n">
        <f aca="false">M87+R87*P87</f>
        <v>1001.2464939663</v>
      </c>
      <c r="U87" s="3" t="s">
        <v>806</v>
      </c>
      <c r="V87" s="16" t="n">
        <v>20000</v>
      </c>
      <c r="W87" s="17" t="n">
        <f aca="false">T87/V87</f>
        <v>0.050062324698315</v>
      </c>
    </row>
    <row r="88" customFormat="false" ht="15" hidden="false" customHeight="false" outlineLevel="0" collapsed="false">
      <c r="A88" s="3" t="s">
        <v>813</v>
      </c>
      <c r="B88" s="3" t="s">
        <v>484</v>
      </c>
      <c r="C88" s="3" t="s">
        <v>485</v>
      </c>
      <c r="D88" s="3" t="s">
        <v>214</v>
      </c>
      <c r="E88" s="3" t="s">
        <v>810</v>
      </c>
      <c r="F88" s="13" t="n">
        <f aca="false">CONSOLIDADO!Q87</f>
        <v>998.259982820404</v>
      </c>
      <c r="G88" s="15" t="n">
        <f aca="false">F88/240</f>
        <v>4.15941659508502</v>
      </c>
      <c r="H88" s="15" t="n">
        <f aca="false">CONSOLIDADO!R87/20</f>
        <v>4.49216992269182</v>
      </c>
      <c r="I88" s="3" t="n">
        <v>1</v>
      </c>
      <c r="J88" s="3" t="n">
        <v>2</v>
      </c>
      <c r="K88" s="3" t="s">
        <v>811</v>
      </c>
      <c r="L88" s="13" t="n">
        <f aca="false">G88*(I88+J88)/2</f>
        <v>6.23912489262753</v>
      </c>
      <c r="M88" s="13" t="n">
        <f aca="false">H88*J88-L88</f>
        <v>2.74521495275611</v>
      </c>
      <c r="N88" s="13" t="n">
        <f aca="false">L88+M88</f>
        <v>8.98433984538364</v>
      </c>
      <c r="O88" s="3" t="s">
        <v>805</v>
      </c>
      <c r="P88" s="16" t="n">
        <v>1000</v>
      </c>
      <c r="Q88" s="3" t="n">
        <v>20</v>
      </c>
      <c r="R88" s="3" t="n">
        <f aca="false">MAX(1,CEILING(H88*Q88/P88,1))</f>
        <v>1</v>
      </c>
      <c r="S88" s="17" t="n">
        <f aca="false">F88/(R88*P88)</f>
        <v>0.998259982820404</v>
      </c>
      <c r="T88" s="13" t="n">
        <f aca="false">M88+R88*P88</f>
        <v>1002.74521495276</v>
      </c>
      <c r="U88" s="3" t="s">
        <v>806</v>
      </c>
      <c r="V88" s="16" t="n">
        <v>20000</v>
      </c>
      <c r="W88" s="17" t="n">
        <f aca="false">T88/V88</f>
        <v>0.0501372607476378</v>
      </c>
    </row>
    <row r="89" customFormat="false" ht="15" hidden="false" customHeight="false" outlineLevel="0" collapsed="false">
      <c r="A89" s="3" t="s">
        <v>814</v>
      </c>
      <c r="B89" s="3" t="s">
        <v>487</v>
      </c>
      <c r="C89" s="3" t="s">
        <v>488</v>
      </c>
      <c r="D89" s="3" t="s">
        <v>214</v>
      </c>
      <c r="E89" s="3" t="s">
        <v>810</v>
      </c>
      <c r="F89" s="13" t="n">
        <f aca="false">CONSOLIDADO!Q88</f>
        <v>217.569856</v>
      </c>
      <c r="G89" s="15" t="n">
        <f aca="false">F89/240</f>
        <v>0.906541066666667</v>
      </c>
      <c r="H89" s="15" t="n">
        <f aca="false">CONSOLIDADO!R88/20</f>
        <v>0.979064352</v>
      </c>
      <c r="I89" s="3" t="n">
        <v>1</v>
      </c>
      <c r="J89" s="3" t="n">
        <v>2</v>
      </c>
      <c r="K89" s="3" t="s">
        <v>811</v>
      </c>
      <c r="L89" s="13" t="n">
        <f aca="false">G89*(I89+J89)/2</f>
        <v>1.3598116</v>
      </c>
      <c r="M89" s="13" t="n">
        <f aca="false">H89*J89-L89</f>
        <v>0.598317104</v>
      </c>
      <c r="N89" s="13" t="n">
        <f aca="false">L89+M89</f>
        <v>1.958128704</v>
      </c>
      <c r="O89" s="3" t="s">
        <v>805</v>
      </c>
      <c r="P89" s="16" t="n">
        <v>1000</v>
      </c>
      <c r="Q89" s="3" t="n">
        <v>20</v>
      </c>
      <c r="R89" s="3" t="n">
        <f aca="false">MAX(1,CEILING(H89*Q89/P89,1))</f>
        <v>1</v>
      </c>
      <c r="S89" s="17" t="n">
        <f aca="false">F89/(R89*P89)</f>
        <v>0.217569856</v>
      </c>
      <c r="T89" s="13" t="n">
        <f aca="false">M89+R89*P89</f>
        <v>1000.598317104</v>
      </c>
      <c r="U89" s="3" t="s">
        <v>806</v>
      </c>
      <c r="V89" s="16" t="n">
        <v>20000</v>
      </c>
      <c r="W89" s="17" t="n">
        <f aca="false">T89/V89</f>
        <v>0.0500299158552</v>
      </c>
    </row>
    <row r="90" customFormat="false" ht="15" hidden="false" customHeight="false" outlineLevel="0" collapsed="false">
      <c r="A90" s="3" t="s">
        <v>815</v>
      </c>
      <c r="B90" s="3" t="s">
        <v>490</v>
      </c>
      <c r="C90" s="3" t="s">
        <v>491</v>
      </c>
      <c r="D90" s="3" t="s">
        <v>214</v>
      </c>
      <c r="E90" s="3" t="s">
        <v>810</v>
      </c>
      <c r="F90" s="13" t="n">
        <f aca="false">CONSOLIDADO!Q89</f>
        <v>145.176074484914</v>
      </c>
      <c r="G90" s="15" t="n">
        <f aca="false">F90/240</f>
        <v>0.604900310353808</v>
      </c>
      <c r="H90" s="15" t="n">
        <f aca="false">CONSOLIDADO!R89/20</f>
        <v>0.653292335182113</v>
      </c>
      <c r="I90" s="3" t="n">
        <v>1</v>
      </c>
      <c r="J90" s="3" t="n">
        <v>2</v>
      </c>
      <c r="K90" s="3" t="s">
        <v>811</v>
      </c>
      <c r="L90" s="13" t="n">
        <f aca="false">G90*(I90+J90)/2</f>
        <v>0.907350465530713</v>
      </c>
      <c r="M90" s="13" t="n">
        <f aca="false">H90*J90-L90</f>
        <v>0.399234204833513</v>
      </c>
      <c r="N90" s="13" t="n">
        <f aca="false">L90+M90</f>
        <v>1.30658467036423</v>
      </c>
      <c r="O90" s="3" t="s">
        <v>805</v>
      </c>
      <c r="P90" s="16" t="n">
        <v>1000</v>
      </c>
      <c r="Q90" s="3" t="n">
        <v>20</v>
      </c>
      <c r="R90" s="3" t="n">
        <f aca="false">MAX(1,CEILING(H90*Q90/P90,1))</f>
        <v>1</v>
      </c>
      <c r="S90" s="17" t="n">
        <f aca="false">F90/(R90*P90)</f>
        <v>0.145176074484914</v>
      </c>
      <c r="T90" s="13" t="n">
        <f aca="false">M90+R90*P90</f>
        <v>1000.39923420483</v>
      </c>
      <c r="U90" s="3" t="s">
        <v>806</v>
      </c>
      <c r="V90" s="16" t="n">
        <v>20000</v>
      </c>
      <c r="W90" s="17" t="n">
        <f aca="false">T90/V90</f>
        <v>0.0500199617102417</v>
      </c>
    </row>
    <row r="91" customFormat="false" ht="15" hidden="false" customHeight="false" outlineLevel="0" collapsed="false">
      <c r="A91" s="3" t="s">
        <v>816</v>
      </c>
      <c r="B91" s="3" t="s">
        <v>301</v>
      </c>
      <c r="C91" s="3" t="s">
        <v>302</v>
      </c>
      <c r="D91" s="3" t="s">
        <v>214</v>
      </c>
      <c r="E91" s="3" t="s">
        <v>817</v>
      </c>
      <c r="F91" s="13" t="n">
        <f aca="false">CONSOLIDADO!Q90</f>
        <v>57729.4710949858</v>
      </c>
      <c r="G91" s="15" t="n">
        <f aca="false">F91/240</f>
        <v>240.539462895774</v>
      </c>
      <c r="H91" s="15" t="n">
        <f aca="false">CONSOLIDADO!R90/20</f>
        <v>328.374671848642</v>
      </c>
      <c r="I91" s="3" t="n">
        <v>1</v>
      </c>
      <c r="J91" s="3" t="n">
        <v>1</v>
      </c>
      <c r="K91" s="3" t="s">
        <v>818</v>
      </c>
      <c r="L91" s="13" t="n">
        <f aca="false">G91*(I91+J91)/2</f>
        <v>240.539462895774</v>
      </c>
      <c r="M91" s="13" t="n">
        <f aca="false">H91*J91-L91</f>
        <v>87.8352089528677</v>
      </c>
      <c r="N91" s="13" t="n">
        <f aca="false">L91+M91</f>
        <v>328.374671848642</v>
      </c>
      <c r="O91" s="3" t="s">
        <v>819</v>
      </c>
      <c r="P91" s="16" t="n">
        <v>500</v>
      </c>
      <c r="Q91" s="3" t="n">
        <v>20</v>
      </c>
      <c r="R91" s="3" t="n">
        <f aca="false">MAX(1,CEILING(H91*Q91/P91,1))</f>
        <v>14</v>
      </c>
      <c r="S91" s="17" t="n">
        <f aca="false">F91/(R91*P91)</f>
        <v>8.24706729928369</v>
      </c>
      <c r="T91" s="13" t="n">
        <f aca="false">M91+R91*P91</f>
        <v>7087.83520895287</v>
      </c>
      <c r="U91" s="3" t="s">
        <v>806</v>
      </c>
      <c r="V91" s="16" t="n">
        <v>10000</v>
      </c>
      <c r="W91" s="17" t="n">
        <f aca="false">T91/V91</f>
        <v>0.708783520895287</v>
      </c>
    </row>
    <row r="92" customFormat="false" ht="15" hidden="false" customHeight="false" outlineLevel="0" collapsed="false">
      <c r="A92" s="3" t="s">
        <v>820</v>
      </c>
      <c r="B92" s="3" t="s">
        <v>305</v>
      </c>
      <c r="C92" s="3" t="s">
        <v>306</v>
      </c>
      <c r="D92" s="3" t="s">
        <v>214</v>
      </c>
      <c r="E92" s="3" t="s">
        <v>821</v>
      </c>
      <c r="F92" s="13" t="n">
        <f aca="false">CONSOLIDADO!Q91</f>
        <v>75583.421679956</v>
      </c>
      <c r="G92" s="15" t="n">
        <f aca="false">F92/240</f>
        <v>314.930923666483</v>
      </c>
      <c r="H92" s="15" t="n">
        <f aca="false">CONSOLIDADO!R91/20</f>
        <v>429.930862358252</v>
      </c>
      <c r="I92" s="3" t="n">
        <v>21</v>
      </c>
      <c r="J92" s="3" t="n">
        <v>21</v>
      </c>
      <c r="K92" s="3" t="s">
        <v>822</v>
      </c>
      <c r="L92" s="13" t="n">
        <f aca="false">G92*(I92+J92)/2</f>
        <v>6613.54939699615</v>
      </c>
      <c r="M92" s="13" t="n">
        <f aca="false">H92*J92-L92</f>
        <v>2414.99871252716</v>
      </c>
      <c r="N92" s="13" t="n">
        <f aca="false">L92+M92</f>
        <v>9028.5481095233</v>
      </c>
      <c r="O92" s="3" t="s">
        <v>819</v>
      </c>
      <c r="P92" s="16" t="n">
        <v>500</v>
      </c>
      <c r="Q92" s="3" t="n">
        <v>20</v>
      </c>
      <c r="R92" s="3" t="n">
        <f aca="false">MAX(1,CEILING(H92*Q92/P92,1))</f>
        <v>18</v>
      </c>
      <c r="S92" s="17" t="n">
        <f aca="false">F92/(R92*P92)</f>
        <v>8.39815796443955</v>
      </c>
      <c r="T92" s="13" t="n">
        <f aca="false">M92+R92*P92</f>
        <v>11414.9987125272</v>
      </c>
      <c r="U92" s="3" t="s">
        <v>806</v>
      </c>
      <c r="V92" s="16" t="n">
        <v>10000</v>
      </c>
      <c r="W92" s="17" t="n">
        <f aca="false">T92/V92</f>
        <v>1.14149987125272</v>
      </c>
    </row>
    <row r="93" customFormat="false" ht="15" hidden="false" customHeight="false" outlineLevel="0" collapsed="false">
      <c r="A93" s="3" t="s">
        <v>823</v>
      </c>
      <c r="B93" s="3" t="s">
        <v>308</v>
      </c>
      <c r="C93" s="3" t="s">
        <v>309</v>
      </c>
      <c r="D93" s="3" t="s">
        <v>214</v>
      </c>
      <c r="E93" s="3" t="s">
        <v>824</v>
      </c>
      <c r="F93" s="13" t="n">
        <f aca="false">CONSOLIDADO!Q92</f>
        <v>36987.9490552122</v>
      </c>
      <c r="G93" s="15" t="n">
        <f aca="false">F93/240</f>
        <v>154.116454396717</v>
      </c>
      <c r="H93" s="15" t="n">
        <f aca="false">CONSOLIDADO!R92/20</f>
        <v>172.971138689603</v>
      </c>
      <c r="I93" s="3" t="n">
        <v>1</v>
      </c>
      <c r="J93" s="3" t="n">
        <v>1</v>
      </c>
      <c r="K93" s="3" t="s">
        <v>825</v>
      </c>
      <c r="L93" s="13" t="n">
        <f aca="false">G93*(I93+J93)/2</f>
        <v>154.116454396717</v>
      </c>
      <c r="M93" s="13" t="n">
        <f aca="false">H93*J93-L93</f>
        <v>18.8546842928859</v>
      </c>
      <c r="N93" s="13" t="n">
        <f aca="false">L93+M93</f>
        <v>172.971138689603</v>
      </c>
      <c r="O93" s="3" t="s">
        <v>819</v>
      </c>
      <c r="P93" s="16" t="n">
        <v>500</v>
      </c>
      <c r="Q93" s="3" t="n">
        <v>20</v>
      </c>
      <c r="R93" s="3" t="n">
        <f aca="false">MAX(1,CEILING(H93*Q93/P93,1))</f>
        <v>7</v>
      </c>
      <c r="S93" s="17" t="n">
        <f aca="false">F93/(R93*P93)</f>
        <v>10.5679854443463</v>
      </c>
      <c r="T93" s="13" t="n">
        <f aca="false">M93+R93*P93</f>
        <v>3518.85468429289</v>
      </c>
      <c r="U93" s="3" t="s">
        <v>806</v>
      </c>
      <c r="V93" s="16" t="n">
        <v>10000</v>
      </c>
      <c r="W93" s="17" t="n">
        <f aca="false">T93/V93</f>
        <v>0.351885468429289</v>
      </c>
    </row>
    <row r="94" customFormat="false" ht="15" hidden="false" customHeight="false" outlineLevel="0" collapsed="false">
      <c r="A94" s="3" t="s">
        <v>826</v>
      </c>
      <c r="B94" s="3" t="s">
        <v>312</v>
      </c>
      <c r="C94" s="3" t="s">
        <v>313</v>
      </c>
      <c r="D94" s="3" t="s">
        <v>214</v>
      </c>
      <c r="E94" s="3" t="s">
        <v>803</v>
      </c>
      <c r="F94" s="13" t="n">
        <f aca="false">CONSOLIDADO!Q93</f>
        <v>75583.421679956</v>
      </c>
      <c r="G94" s="15" t="n">
        <f aca="false">F94/240</f>
        <v>314.930923666483</v>
      </c>
      <c r="H94" s="15" t="n">
        <f aca="false">CONSOLIDADO!R93/20</f>
        <v>429.930862358252</v>
      </c>
      <c r="I94" s="3" t="n">
        <v>3</v>
      </c>
      <c r="J94" s="3" t="n">
        <v>7</v>
      </c>
      <c r="K94" s="3" t="s">
        <v>804</v>
      </c>
      <c r="L94" s="13" t="n">
        <f aca="false">G94*(I94+J94)/2</f>
        <v>1574.65461833242</v>
      </c>
      <c r="M94" s="13" t="n">
        <f aca="false">H94*J94-L94</f>
        <v>1434.86141817535</v>
      </c>
      <c r="N94" s="13" t="n">
        <f aca="false">L94+M94</f>
        <v>3009.51603650777</v>
      </c>
      <c r="O94" s="3" t="s">
        <v>805</v>
      </c>
      <c r="P94" s="16" t="n">
        <v>1000</v>
      </c>
      <c r="Q94" s="3" t="n">
        <v>20</v>
      </c>
      <c r="R94" s="3" t="n">
        <f aca="false">MAX(1,CEILING(H94*Q94/P94,1))</f>
        <v>9</v>
      </c>
      <c r="S94" s="17" t="n">
        <f aca="false">F94/(R94*P94)</f>
        <v>8.39815796443955</v>
      </c>
      <c r="T94" s="13" t="n">
        <f aca="false">M94+R94*P94</f>
        <v>10434.8614181754</v>
      </c>
      <c r="U94" s="3" t="s">
        <v>806</v>
      </c>
      <c r="V94" s="16" t="n">
        <v>20000</v>
      </c>
      <c r="W94" s="17" t="n">
        <f aca="false">T94/V94</f>
        <v>0.521743070908768</v>
      </c>
    </row>
    <row r="95" customFormat="false" ht="15" hidden="false" customHeight="false" outlineLevel="0" collapsed="false">
      <c r="A95" s="3" t="s">
        <v>827</v>
      </c>
      <c r="B95" s="3" t="s">
        <v>315</v>
      </c>
      <c r="C95" s="3" t="s">
        <v>316</v>
      </c>
      <c r="D95" s="3" t="s">
        <v>214</v>
      </c>
      <c r="E95" s="3" t="s">
        <v>803</v>
      </c>
      <c r="F95" s="13" t="n">
        <f aca="false">CONSOLIDADO!Q94</f>
        <v>75583.421679956</v>
      </c>
      <c r="G95" s="15" t="n">
        <f aca="false">F95/240</f>
        <v>314.930923666483</v>
      </c>
      <c r="H95" s="15" t="n">
        <f aca="false">CONSOLIDADO!R94/20</f>
        <v>429.930862358252</v>
      </c>
      <c r="I95" s="3" t="n">
        <v>3</v>
      </c>
      <c r="J95" s="3" t="n">
        <v>7</v>
      </c>
      <c r="K95" s="3" t="s">
        <v>804</v>
      </c>
      <c r="L95" s="13" t="n">
        <f aca="false">G95*(I95+J95)/2</f>
        <v>1574.65461833242</v>
      </c>
      <c r="M95" s="13" t="n">
        <f aca="false">H95*J95-L95</f>
        <v>1434.86141817535</v>
      </c>
      <c r="N95" s="13" t="n">
        <f aca="false">L95+M95</f>
        <v>3009.51603650777</v>
      </c>
      <c r="O95" s="3" t="s">
        <v>805</v>
      </c>
      <c r="P95" s="16" t="n">
        <v>1000</v>
      </c>
      <c r="Q95" s="3" t="n">
        <v>20</v>
      </c>
      <c r="R95" s="3" t="n">
        <f aca="false">MAX(1,CEILING(H95*Q95/P95,1))</f>
        <v>9</v>
      </c>
      <c r="S95" s="17" t="n">
        <f aca="false">F95/(R95*P95)</f>
        <v>8.39815796443955</v>
      </c>
      <c r="T95" s="13" t="n">
        <f aca="false">M95+R95*P95</f>
        <v>10434.8614181754</v>
      </c>
      <c r="U95" s="3" t="s">
        <v>806</v>
      </c>
      <c r="V95" s="16" t="n">
        <v>20000</v>
      </c>
      <c r="W95" s="17" t="n">
        <f aca="false">T95/V95</f>
        <v>0.521743070908768</v>
      </c>
    </row>
    <row r="96" customFormat="false" ht="15" hidden="false" customHeight="false" outlineLevel="0" collapsed="false">
      <c r="A96" s="3" t="s">
        <v>828</v>
      </c>
      <c r="B96" s="3" t="s">
        <v>318</v>
      </c>
      <c r="C96" s="3" t="s">
        <v>319</v>
      </c>
      <c r="D96" s="3" t="s">
        <v>214</v>
      </c>
      <c r="E96" s="3" t="s">
        <v>829</v>
      </c>
      <c r="F96" s="13" t="n">
        <f aca="false">CONSOLIDADO!Q95</f>
        <v>75583.421679956</v>
      </c>
      <c r="G96" s="15" t="n">
        <f aca="false">F96/240</f>
        <v>314.930923666483</v>
      </c>
      <c r="H96" s="15" t="n">
        <f aca="false">CONSOLIDADO!R95/20</f>
        <v>429.930862358252</v>
      </c>
      <c r="I96" s="3" t="n">
        <v>3</v>
      </c>
      <c r="J96" s="3" t="n">
        <v>5</v>
      </c>
      <c r="K96" s="3" t="s">
        <v>830</v>
      </c>
      <c r="L96" s="13" t="n">
        <f aca="false">G96*(I96+J96)/2</f>
        <v>1259.72369466593</v>
      </c>
      <c r="M96" s="13" t="n">
        <f aca="false">H96*J96-L96</f>
        <v>889.93061712533</v>
      </c>
      <c r="N96" s="13" t="n">
        <f aca="false">L96+M96</f>
        <v>2149.65431179126</v>
      </c>
      <c r="O96" s="3" t="s">
        <v>696</v>
      </c>
      <c r="P96" s="16" t="n">
        <v>1000</v>
      </c>
      <c r="Q96" s="3" t="n">
        <v>20</v>
      </c>
      <c r="R96" s="3" t="n">
        <f aca="false">MAX(1,CEILING(H96*Q96/P96,1))</f>
        <v>9</v>
      </c>
      <c r="S96" s="17" t="n">
        <f aca="false">F96/(R96*P96)</f>
        <v>8.39815796443955</v>
      </c>
      <c r="T96" s="13" t="n">
        <f aca="false">M96+R96*P96</f>
        <v>9889.93061712533</v>
      </c>
      <c r="U96" s="3" t="s">
        <v>806</v>
      </c>
      <c r="V96" s="16" t="n">
        <v>20000</v>
      </c>
      <c r="W96" s="17" t="n">
        <f aca="false">T96/V96</f>
        <v>0.494496530856267</v>
      </c>
    </row>
    <row r="97" customFormat="false" ht="15" hidden="false" customHeight="false" outlineLevel="0" collapsed="false">
      <c r="A97" s="3" t="s">
        <v>831</v>
      </c>
      <c r="B97" s="3" t="s">
        <v>321</v>
      </c>
      <c r="C97" s="3" t="s">
        <v>322</v>
      </c>
      <c r="D97" s="3" t="s">
        <v>214</v>
      </c>
      <c r="E97" s="3" t="s">
        <v>803</v>
      </c>
      <c r="F97" s="13" t="n">
        <f aca="false">CONSOLIDADO!Q96</f>
        <v>213430</v>
      </c>
      <c r="G97" s="15" t="n">
        <f aca="false">F97/240</f>
        <v>889.291666666667</v>
      </c>
      <c r="H97" s="15" t="n">
        <f aca="false">CONSOLIDADO!R96/20</f>
        <v>1257.852</v>
      </c>
      <c r="I97" s="3" t="n">
        <v>3</v>
      </c>
      <c r="J97" s="3" t="n">
        <v>7</v>
      </c>
      <c r="K97" s="3" t="s">
        <v>804</v>
      </c>
      <c r="L97" s="13" t="n">
        <f aca="false">G97*(I97+J97)/2</f>
        <v>4446.45833333333</v>
      </c>
      <c r="M97" s="13" t="n">
        <f aca="false">H97*J97-L97</f>
        <v>4358.50566666667</v>
      </c>
      <c r="N97" s="13" t="n">
        <f aca="false">L97+M97</f>
        <v>8804.964</v>
      </c>
      <c r="O97" s="3" t="s">
        <v>805</v>
      </c>
      <c r="P97" s="16" t="n">
        <v>1000</v>
      </c>
      <c r="Q97" s="3" t="n">
        <v>20</v>
      </c>
      <c r="R97" s="3" t="n">
        <f aca="false">MAX(1,CEILING(H97*Q97/P97,1))</f>
        <v>26</v>
      </c>
      <c r="S97" s="17" t="n">
        <f aca="false">F97/(R97*P97)</f>
        <v>8.20884615384615</v>
      </c>
      <c r="T97" s="13" t="n">
        <f aca="false">M97+R97*P97</f>
        <v>30358.5056666667</v>
      </c>
      <c r="U97" s="3" t="s">
        <v>806</v>
      </c>
      <c r="V97" s="16" t="n">
        <v>20000</v>
      </c>
      <c r="W97" s="17" t="n">
        <f aca="false">T97/V97</f>
        <v>1.51792528333333</v>
      </c>
    </row>
    <row r="98" customFormat="false" ht="15" hidden="false" customHeight="false" outlineLevel="0" collapsed="false">
      <c r="A98" s="3" t="s">
        <v>832</v>
      </c>
      <c r="B98" s="3" t="s">
        <v>324</v>
      </c>
      <c r="C98" s="3" t="s">
        <v>325</v>
      </c>
      <c r="D98" s="3" t="s">
        <v>214</v>
      </c>
      <c r="E98" s="3" t="s">
        <v>833</v>
      </c>
      <c r="F98" s="13" t="n">
        <f aca="false">CONSOLIDADO!Q97</f>
        <v>170548</v>
      </c>
      <c r="G98" s="15" t="n">
        <f aca="false">F98/240</f>
        <v>710.616666666667</v>
      </c>
      <c r="H98" s="15" t="n">
        <f aca="false">CONSOLIDADO!R97/20</f>
        <v>1023.288</v>
      </c>
      <c r="I98" s="3" t="n">
        <v>3</v>
      </c>
      <c r="J98" s="3" t="n">
        <v>10</v>
      </c>
      <c r="K98" s="3" t="s">
        <v>834</v>
      </c>
      <c r="L98" s="13" t="n">
        <f aca="false">G98*(I98+J98)/2</f>
        <v>4619.00833333333</v>
      </c>
      <c r="M98" s="13" t="n">
        <f aca="false">H98*J98-L98</f>
        <v>5613.87166666667</v>
      </c>
      <c r="N98" s="13" t="n">
        <f aca="false">L98+M98</f>
        <v>10232.88</v>
      </c>
      <c r="O98" s="3" t="s">
        <v>835</v>
      </c>
      <c r="P98" s="16" t="n">
        <v>5000</v>
      </c>
      <c r="Q98" s="3" t="n">
        <v>20</v>
      </c>
      <c r="R98" s="3" t="n">
        <f aca="false">MAX(1,CEILING(H98*Q98/P98,1))</f>
        <v>5</v>
      </c>
      <c r="S98" s="17" t="n">
        <f aca="false">F98/(R98*P98)</f>
        <v>6.82192</v>
      </c>
      <c r="T98" s="13" t="n">
        <f aca="false">M98+R98*P98</f>
        <v>30613.8716666667</v>
      </c>
      <c r="U98" s="3" t="s">
        <v>836</v>
      </c>
      <c r="V98" s="16" t="n">
        <v>40000</v>
      </c>
      <c r="W98" s="17" t="n">
        <f aca="false">T98/V98</f>
        <v>0.765346791666667</v>
      </c>
    </row>
    <row r="99" customFormat="false" ht="15" hidden="false" customHeight="false" outlineLevel="0" collapsed="false">
      <c r="A99" s="3" t="s">
        <v>837</v>
      </c>
      <c r="B99" s="3" t="s">
        <v>327</v>
      </c>
      <c r="C99" s="3" t="s">
        <v>328</v>
      </c>
      <c r="D99" s="3" t="s">
        <v>214</v>
      </c>
      <c r="E99" s="3" t="s">
        <v>833</v>
      </c>
      <c r="F99" s="13" t="n">
        <f aca="false">CONSOLIDADO!Q98</f>
        <v>42625</v>
      </c>
      <c r="G99" s="15" t="n">
        <f aca="false">F99/240</f>
        <v>177.604166666667</v>
      </c>
      <c r="H99" s="15" t="n">
        <f aca="false">CONSOLIDADO!R98/20</f>
        <v>233.4075</v>
      </c>
      <c r="I99" s="3" t="n">
        <v>3</v>
      </c>
      <c r="J99" s="3" t="n">
        <v>10</v>
      </c>
      <c r="K99" s="3" t="s">
        <v>834</v>
      </c>
      <c r="L99" s="13" t="n">
        <f aca="false">G99*(I99+J99)/2</f>
        <v>1154.42708333333</v>
      </c>
      <c r="M99" s="13" t="n">
        <f aca="false">H99*J99-L99</f>
        <v>1179.64791666667</v>
      </c>
      <c r="N99" s="13" t="n">
        <f aca="false">L99+M99</f>
        <v>2334.075</v>
      </c>
      <c r="O99" s="3" t="s">
        <v>835</v>
      </c>
      <c r="P99" s="16" t="n">
        <v>5000</v>
      </c>
      <c r="Q99" s="3" t="n">
        <v>20</v>
      </c>
      <c r="R99" s="3" t="n">
        <f aca="false">MAX(1,CEILING(H99*Q99/P99,1))</f>
        <v>1</v>
      </c>
      <c r="S99" s="17" t="n">
        <f aca="false">F99/(R99*P99)</f>
        <v>8.525</v>
      </c>
      <c r="T99" s="13" t="n">
        <f aca="false">M99+R99*P99</f>
        <v>6179.64791666667</v>
      </c>
      <c r="U99" s="3" t="s">
        <v>836</v>
      </c>
      <c r="V99" s="16" t="n">
        <v>40000</v>
      </c>
      <c r="W99" s="17" t="n">
        <f aca="false">T99/V99</f>
        <v>0.154491197916667</v>
      </c>
    </row>
    <row r="100" customFormat="false" ht="15" hidden="false" customHeight="false" outlineLevel="0" collapsed="false">
      <c r="A100" s="3" t="s">
        <v>838</v>
      </c>
      <c r="B100" s="3" t="s">
        <v>501</v>
      </c>
      <c r="C100" s="3" t="s">
        <v>502</v>
      </c>
      <c r="D100" s="3" t="s">
        <v>214</v>
      </c>
      <c r="E100" s="3" t="s">
        <v>833</v>
      </c>
      <c r="F100" s="13" t="n">
        <f aca="false">CONSOLIDADO!Q99</f>
        <v>257</v>
      </c>
      <c r="G100" s="15" t="n">
        <f aca="false">F100/240</f>
        <v>1.07083333333333</v>
      </c>
      <c r="H100" s="15" t="n">
        <f aca="false">CONSOLIDADO!R99/20</f>
        <v>1.1565</v>
      </c>
      <c r="I100" s="3" t="n">
        <v>3</v>
      </c>
      <c r="J100" s="3" t="n">
        <v>10</v>
      </c>
      <c r="K100" s="3" t="s">
        <v>834</v>
      </c>
      <c r="L100" s="13" t="n">
        <f aca="false">G100*(I100+J100)/2</f>
        <v>6.96041666666667</v>
      </c>
      <c r="M100" s="13" t="n">
        <f aca="false">H100*J100-L100</f>
        <v>4.60458333333333</v>
      </c>
      <c r="N100" s="13" t="n">
        <f aca="false">L100+M100</f>
        <v>11.565</v>
      </c>
      <c r="O100" s="3" t="s">
        <v>835</v>
      </c>
      <c r="P100" s="16" t="n">
        <v>5000</v>
      </c>
      <c r="Q100" s="3" t="n">
        <v>20</v>
      </c>
      <c r="R100" s="3" t="n">
        <f aca="false">MAX(1,CEILING(H100*Q100/P100,1))</f>
        <v>1</v>
      </c>
      <c r="S100" s="17" t="n">
        <f aca="false">F100/(R100*P100)</f>
        <v>0.0514</v>
      </c>
      <c r="T100" s="13" t="n">
        <f aca="false">M100+R100*P100</f>
        <v>5004.60458333333</v>
      </c>
      <c r="U100" s="3" t="s">
        <v>836</v>
      </c>
      <c r="V100" s="16" t="n">
        <v>40000</v>
      </c>
      <c r="W100" s="17" t="n">
        <f aca="false">T100/V100</f>
        <v>0.125115114583333</v>
      </c>
    </row>
    <row r="101" customFormat="false" ht="15" hidden="false" customHeight="false" outlineLevel="0" collapsed="false">
      <c r="A101" s="3" t="s">
        <v>839</v>
      </c>
      <c r="B101" s="3" t="s">
        <v>330</v>
      </c>
      <c r="C101" s="3" t="s">
        <v>331</v>
      </c>
      <c r="D101" s="3" t="s">
        <v>214</v>
      </c>
      <c r="E101" s="3" t="s">
        <v>840</v>
      </c>
      <c r="F101" s="13" t="n">
        <f aca="false">CONSOLIDADO!Q100</f>
        <v>212272.892396569</v>
      </c>
      <c r="G101" s="15" t="n">
        <f aca="false">F101/240</f>
        <v>884.470384985703</v>
      </c>
      <c r="H101" s="15" t="n">
        <f aca="false">CONSOLIDADO!R100/20</f>
        <v>1252.60171831904</v>
      </c>
      <c r="I101" s="3" t="n">
        <v>1</v>
      </c>
      <c r="J101" s="3" t="n">
        <v>3</v>
      </c>
      <c r="K101" s="3" t="s">
        <v>841</v>
      </c>
      <c r="L101" s="13" t="n">
        <f aca="false">G101*(I101+J101)/2</f>
        <v>1768.94076997141</v>
      </c>
      <c r="M101" s="13" t="n">
        <f aca="false">H101*J101-L101</f>
        <v>1988.8643849857</v>
      </c>
      <c r="N101" s="13" t="n">
        <f aca="false">L101+M101</f>
        <v>3757.80515495711</v>
      </c>
      <c r="O101" s="3" t="s">
        <v>819</v>
      </c>
      <c r="P101" s="16" t="n">
        <v>500</v>
      </c>
      <c r="Q101" s="3" t="n">
        <v>20</v>
      </c>
      <c r="R101" s="3" t="n">
        <f aca="false">MAX(1,CEILING(H101*Q101/P101,1))</f>
        <v>51</v>
      </c>
      <c r="S101" s="17" t="n">
        <f aca="false">F101/(R101*P101)</f>
        <v>8.32442715280662</v>
      </c>
      <c r="T101" s="13" t="n">
        <f aca="false">M101+R101*P101</f>
        <v>27488.8643849857</v>
      </c>
      <c r="U101" s="3" t="s">
        <v>806</v>
      </c>
      <c r="V101" s="16" t="n">
        <v>10000</v>
      </c>
      <c r="W101" s="17" t="n">
        <f aca="false">T101/V101</f>
        <v>2.74888643849857</v>
      </c>
    </row>
    <row r="102" customFormat="false" ht="15" hidden="false" customHeight="false" outlineLevel="0" collapsed="false">
      <c r="A102" s="3" t="s">
        <v>842</v>
      </c>
      <c r="B102" s="3" t="s">
        <v>536</v>
      </c>
      <c r="C102" s="3" t="s">
        <v>537</v>
      </c>
      <c r="D102" s="3" t="s">
        <v>214</v>
      </c>
      <c r="E102" s="3" t="s">
        <v>803</v>
      </c>
      <c r="F102" s="13" t="n">
        <f aca="false">CONSOLIDADO!Q101</f>
        <v>108186.304977739</v>
      </c>
      <c r="G102" s="15" t="n">
        <f aca="false">F102/240</f>
        <v>450.77627074058</v>
      </c>
      <c r="H102" s="15" t="n">
        <f aca="false">CONSOLIDADO!R101/20</f>
        <v>450.77627074058</v>
      </c>
      <c r="I102" s="3" t="n">
        <v>3</v>
      </c>
      <c r="J102" s="3" t="n">
        <v>7</v>
      </c>
      <c r="K102" s="3" t="s">
        <v>804</v>
      </c>
      <c r="L102" s="13" t="n">
        <f aca="false">G102*(I102+J102)/2</f>
        <v>2253.8813537029</v>
      </c>
      <c r="M102" s="13" t="n">
        <f aca="false">H102*J102-L102</f>
        <v>901.55254148116</v>
      </c>
      <c r="N102" s="13" t="n">
        <f aca="false">L102+M102</f>
        <v>3155.43389518406</v>
      </c>
      <c r="O102" s="3" t="s">
        <v>843</v>
      </c>
      <c r="P102" s="16" t="n">
        <v>1000</v>
      </c>
      <c r="Q102" s="3" t="n">
        <v>20</v>
      </c>
      <c r="R102" s="3" t="n">
        <f aca="false">MAX(1,CEILING(H102*Q102/P102,1))</f>
        <v>10</v>
      </c>
      <c r="S102" s="17" t="n">
        <f aca="false">F102/(R102*P102)</f>
        <v>10.8186304977739</v>
      </c>
      <c r="T102" s="13" t="n">
        <f aca="false">M102+R102*P102</f>
        <v>10901.5525414812</v>
      </c>
      <c r="U102" s="3" t="s">
        <v>750</v>
      </c>
      <c r="V102" s="16" t="n">
        <v>20000</v>
      </c>
      <c r="W102" s="17" t="n">
        <f aca="false">T102/V102</f>
        <v>0.545077627074058</v>
      </c>
    </row>
    <row r="103" customFormat="false" ht="15" hidden="false" customHeight="false" outlineLevel="0" collapsed="false">
      <c r="A103" s="3" t="s">
        <v>844</v>
      </c>
      <c r="B103" s="3" t="s">
        <v>539</v>
      </c>
      <c r="C103" s="3" t="s">
        <v>540</v>
      </c>
      <c r="D103" s="3" t="s">
        <v>214</v>
      </c>
      <c r="E103" s="3" t="s">
        <v>829</v>
      </c>
      <c r="F103" s="13" t="n">
        <f aca="false">CONSOLIDADO!Q102</f>
        <v>108186.304977739</v>
      </c>
      <c r="G103" s="15" t="n">
        <f aca="false">F103/240</f>
        <v>450.77627074058</v>
      </c>
      <c r="H103" s="15" t="n">
        <f aca="false">CONSOLIDADO!R102/20</f>
        <v>450.77627074058</v>
      </c>
      <c r="I103" s="3" t="n">
        <v>3</v>
      </c>
      <c r="J103" s="3" t="n">
        <v>5</v>
      </c>
      <c r="K103" s="3" t="s">
        <v>830</v>
      </c>
      <c r="L103" s="13" t="n">
        <f aca="false">G103*(I103+J103)/2</f>
        <v>1803.10508296232</v>
      </c>
      <c r="M103" s="13" t="n">
        <f aca="false">H103*J103-L103</f>
        <v>450.77627074058</v>
      </c>
      <c r="N103" s="13" t="n">
        <f aca="false">L103+M103</f>
        <v>2253.8813537029</v>
      </c>
      <c r="O103" s="3" t="s">
        <v>696</v>
      </c>
      <c r="P103" s="16" t="n">
        <v>1000</v>
      </c>
      <c r="Q103" s="3" t="n">
        <v>20</v>
      </c>
      <c r="R103" s="3" t="n">
        <f aca="false">MAX(1,CEILING(H103*Q103/P103,1))</f>
        <v>10</v>
      </c>
      <c r="S103" s="17" t="n">
        <f aca="false">F103/(R103*P103)</f>
        <v>10.8186304977739</v>
      </c>
      <c r="T103" s="13" t="n">
        <f aca="false">M103+R103*P103</f>
        <v>10450.7762707406</v>
      </c>
      <c r="U103" s="3" t="s">
        <v>750</v>
      </c>
      <c r="V103" s="16" t="n">
        <v>20000</v>
      </c>
      <c r="W103" s="17" t="n">
        <f aca="false">T103/V103</f>
        <v>0.522538813537029</v>
      </c>
    </row>
    <row r="104" customFormat="false" ht="15" hidden="false" customHeight="false" outlineLevel="0" collapsed="false">
      <c r="A104" s="3" t="s">
        <v>845</v>
      </c>
      <c r="B104" s="3" t="s">
        <v>542</v>
      </c>
      <c r="C104" s="3" t="s">
        <v>543</v>
      </c>
      <c r="D104" s="3" t="s">
        <v>214</v>
      </c>
      <c r="E104" s="3" t="s">
        <v>803</v>
      </c>
      <c r="F104" s="13" t="n">
        <f aca="false">CONSOLIDADO!Q103</f>
        <v>108186.304977739</v>
      </c>
      <c r="G104" s="15" t="n">
        <f aca="false">F104/240</f>
        <v>450.77627074058</v>
      </c>
      <c r="H104" s="15" t="n">
        <f aca="false">CONSOLIDADO!R103/20</f>
        <v>450.77627074058</v>
      </c>
      <c r="I104" s="3" t="n">
        <v>3</v>
      </c>
      <c r="J104" s="3" t="n">
        <v>7</v>
      </c>
      <c r="K104" s="3" t="s">
        <v>804</v>
      </c>
      <c r="L104" s="13" t="n">
        <f aca="false">G104*(I104+J104)/2</f>
        <v>2253.8813537029</v>
      </c>
      <c r="M104" s="13" t="n">
        <f aca="false">H104*J104-L104</f>
        <v>901.55254148116</v>
      </c>
      <c r="N104" s="13" t="n">
        <f aca="false">L104+M104</f>
        <v>3155.43389518406</v>
      </c>
      <c r="O104" s="3" t="s">
        <v>805</v>
      </c>
      <c r="P104" s="16" t="n">
        <v>1000</v>
      </c>
      <c r="Q104" s="3" t="n">
        <v>20</v>
      </c>
      <c r="R104" s="3" t="n">
        <f aca="false">MAX(1,CEILING(H104*Q104/P104,1))</f>
        <v>10</v>
      </c>
      <c r="S104" s="17" t="n">
        <f aca="false">F104/(R104*P104)</f>
        <v>10.8186304977739</v>
      </c>
      <c r="T104" s="13" t="n">
        <f aca="false">M104+R104*P104</f>
        <v>10901.5525414812</v>
      </c>
      <c r="U104" s="3" t="s">
        <v>750</v>
      </c>
      <c r="V104" s="16" t="n">
        <v>20000</v>
      </c>
      <c r="W104" s="17" t="n">
        <f aca="false">T104/V104</f>
        <v>0.545077627074058</v>
      </c>
    </row>
    <row r="105" customFormat="false" ht="15" hidden="false" customHeight="false" outlineLevel="0" collapsed="false">
      <c r="A105" s="3" t="s">
        <v>846</v>
      </c>
      <c r="B105" s="3" t="s">
        <v>545</v>
      </c>
      <c r="C105" s="3" t="s">
        <v>546</v>
      </c>
      <c r="D105" s="3" t="s">
        <v>214</v>
      </c>
      <c r="E105" s="3" t="s">
        <v>817</v>
      </c>
      <c r="F105" s="13" t="n">
        <f aca="false">CONSOLIDADO!Q104</f>
        <v>85734.5647571335</v>
      </c>
      <c r="G105" s="15" t="n">
        <f aca="false">F105/240</f>
        <v>357.227353154723</v>
      </c>
      <c r="H105" s="15" t="n">
        <f aca="false">CONSOLIDADO!R104/20</f>
        <v>357.227353154723</v>
      </c>
      <c r="I105" s="3" t="n">
        <v>1</v>
      </c>
      <c r="J105" s="3" t="n">
        <v>1</v>
      </c>
      <c r="K105" s="3" t="s">
        <v>818</v>
      </c>
      <c r="L105" s="13" t="n">
        <f aca="false">G105*(I105+J105)/2</f>
        <v>357.227353154723</v>
      </c>
      <c r="M105" s="13" t="n">
        <f aca="false">H105*J105-L105</f>
        <v>0</v>
      </c>
      <c r="N105" s="13" t="n">
        <f aca="false">L105+M105</f>
        <v>357.227353154723</v>
      </c>
      <c r="O105" s="3" t="s">
        <v>819</v>
      </c>
      <c r="P105" s="16" t="n">
        <v>500</v>
      </c>
      <c r="Q105" s="3" t="n">
        <v>20</v>
      </c>
      <c r="R105" s="3" t="n">
        <f aca="false">MAX(1,CEILING(H105*Q105/P105,1))</f>
        <v>15</v>
      </c>
      <c r="S105" s="17" t="n">
        <f aca="false">F105/(R105*P105)</f>
        <v>11.4312753009511</v>
      </c>
      <c r="T105" s="13" t="n">
        <f aca="false">M105+R105*P105</f>
        <v>7500</v>
      </c>
      <c r="U105" s="3" t="s">
        <v>750</v>
      </c>
      <c r="V105" s="16" t="n">
        <v>10000</v>
      </c>
      <c r="W105" s="17" t="n">
        <f aca="false">T105/V105</f>
        <v>0.75</v>
      </c>
    </row>
    <row r="106" customFormat="false" ht="15" hidden="false" customHeight="false" outlineLevel="0" collapsed="false">
      <c r="A106" s="3" t="s">
        <v>847</v>
      </c>
      <c r="B106" s="3" t="s">
        <v>548</v>
      </c>
      <c r="C106" s="3" t="s">
        <v>549</v>
      </c>
      <c r="D106" s="3" t="s">
        <v>214</v>
      </c>
      <c r="E106" s="3" t="s">
        <v>817</v>
      </c>
      <c r="F106" s="13" t="n">
        <f aca="false">CONSOLIDADO!Q105</f>
        <v>85734.5647571335</v>
      </c>
      <c r="G106" s="15" t="n">
        <f aca="false">F106/240</f>
        <v>357.227353154723</v>
      </c>
      <c r="H106" s="15" t="n">
        <f aca="false">CONSOLIDADO!R105/20</f>
        <v>357.227353154723</v>
      </c>
      <c r="I106" s="3" t="n">
        <v>1</v>
      </c>
      <c r="J106" s="3" t="n">
        <v>1</v>
      </c>
      <c r="K106" s="3" t="s">
        <v>818</v>
      </c>
      <c r="L106" s="13" t="n">
        <f aca="false">G106*(I106+J106)/2</f>
        <v>357.227353154723</v>
      </c>
      <c r="M106" s="13" t="n">
        <f aca="false">H106*J106-L106</f>
        <v>0</v>
      </c>
      <c r="N106" s="13" t="n">
        <f aca="false">L106+M106</f>
        <v>357.227353154723</v>
      </c>
      <c r="O106" s="3" t="s">
        <v>819</v>
      </c>
      <c r="P106" s="16" t="n">
        <v>500</v>
      </c>
      <c r="Q106" s="3" t="n">
        <v>20</v>
      </c>
      <c r="R106" s="3" t="n">
        <f aca="false">MAX(1,CEILING(H106*Q106/P106,1))</f>
        <v>15</v>
      </c>
      <c r="S106" s="17" t="n">
        <f aca="false">F106/(R106*P106)</f>
        <v>11.4312753009511</v>
      </c>
      <c r="T106" s="13" t="n">
        <f aca="false">M106+R106*P106</f>
        <v>7500</v>
      </c>
      <c r="U106" s="3" t="s">
        <v>750</v>
      </c>
      <c r="V106" s="16" t="n">
        <v>10000</v>
      </c>
      <c r="W106" s="17" t="n">
        <f aca="false">T106/V106</f>
        <v>0.75</v>
      </c>
    </row>
    <row r="107" customFormat="false" ht="15" hidden="false" customHeight="false" outlineLevel="0" collapsed="false">
      <c r="A107" s="3" t="s">
        <v>848</v>
      </c>
      <c r="B107" s="3" t="s">
        <v>555</v>
      </c>
      <c r="C107" s="3" t="s">
        <v>556</v>
      </c>
      <c r="D107" s="3" t="s">
        <v>214</v>
      </c>
      <c r="E107" s="3" t="s">
        <v>803</v>
      </c>
      <c r="F107" s="13" t="n">
        <f aca="false">CONSOLIDADO!Q106</f>
        <v>129.892396568768</v>
      </c>
      <c r="G107" s="15" t="n">
        <f aca="false">F107/240</f>
        <v>0.541218319036533</v>
      </c>
      <c r="H107" s="15" t="n">
        <f aca="false">CONSOLIDADO!R106/20</f>
        <v>0.541218319036533</v>
      </c>
      <c r="I107" s="3" t="n">
        <v>3</v>
      </c>
      <c r="J107" s="3" t="n">
        <v>7</v>
      </c>
      <c r="K107" s="3" t="s">
        <v>804</v>
      </c>
      <c r="L107" s="13" t="n">
        <f aca="false">G107*(I107+J107)/2</f>
        <v>2.70609159518266</v>
      </c>
      <c r="M107" s="13" t="n">
        <f aca="false">H107*J107-L107</f>
        <v>1.08243663807307</v>
      </c>
      <c r="N107" s="13" t="n">
        <f aca="false">L107+M107</f>
        <v>3.78852823325573</v>
      </c>
      <c r="O107" s="3" t="s">
        <v>805</v>
      </c>
      <c r="P107" s="16" t="n">
        <v>1000</v>
      </c>
      <c r="Q107" s="3" t="n">
        <v>20</v>
      </c>
      <c r="R107" s="3" t="n">
        <f aca="false">MAX(1,CEILING(H107*Q107/P107,1))</f>
        <v>1</v>
      </c>
      <c r="S107" s="17" t="n">
        <f aca="false">F107/(R107*P107)</f>
        <v>0.129892396568768</v>
      </c>
      <c r="T107" s="13" t="n">
        <f aca="false">M107+R107*P107</f>
        <v>1001.08243663807</v>
      </c>
      <c r="U107" s="3" t="s">
        <v>750</v>
      </c>
      <c r="V107" s="16" t="n">
        <v>20000</v>
      </c>
      <c r="W107" s="17" t="n">
        <f aca="false">T107/V107</f>
        <v>0.0500541218319037</v>
      </c>
    </row>
    <row r="108" customFormat="false" ht="15" hidden="false" customHeight="false" outlineLevel="0" collapsed="false">
      <c r="A108" s="3" t="s">
        <v>849</v>
      </c>
      <c r="B108" s="3" t="s">
        <v>558</v>
      </c>
      <c r="C108" s="3" t="s">
        <v>559</v>
      </c>
      <c r="D108" s="3" t="s">
        <v>214</v>
      </c>
      <c r="E108" s="3" t="s">
        <v>817</v>
      </c>
      <c r="F108" s="13" t="n">
        <f aca="false">CONSOLIDADO!Q107</f>
        <v>102.93602399468</v>
      </c>
      <c r="G108" s="15" t="n">
        <f aca="false">F108/240</f>
        <v>0.428900099977832</v>
      </c>
      <c r="H108" s="15" t="n">
        <f aca="false">CONSOLIDADO!R107/20</f>
        <v>0.428900099977832</v>
      </c>
      <c r="I108" s="3" t="n">
        <v>1</v>
      </c>
      <c r="J108" s="3" t="n">
        <v>1</v>
      </c>
      <c r="K108" s="3" t="s">
        <v>818</v>
      </c>
      <c r="L108" s="13" t="n">
        <f aca="false">G108*(I108+J108)/2</f>
        <v>0.428900099977832</v>
      </c>
      <c r="M108" s="13" t="n">
        <f aca="false">H108*J108-L108</f>
        <v>0</v>
      </c>
      <c r="N108" s="13" t="n">
        <f aca="false">L108+M108</f>
        <v>0.428900099977832</v>
      </c>
      <c r="O108" s="3" t="s">
        <v>819</v>
      </c>
      <c r="P108" s="16" t="n">
        <v>500</v>
      </c>
      <c r="Q108" s="3" t="n">
        <v>20</v>
      </c>
      <c r="R108" s="3" t="n">
        <f aca="false">MAX(1,CEILING(H108*Q108/P108,1))</f>
        <v>1</v>
      </c>
      <c r="S108" s="17" t="n">
        <f aca="false">F108/(R108*P108)</f>
        <v>0.20587204798936</v>
      </c>
      <c r="T108" s="13" t="n">
        <f aca="false">M108+R108*P108</f>
        <v>500</v>
      </c>
      <c r="U108" s="3" t="s">
        <v>750</v>
      </c>
      <c r="V108" s="16" t="n">
        <v>10000</v>
      </c>
      <c r="W108" s="17" t="n">
        <f aca="false">T108/V108</f>
        <v>0.05</v>
      </c>
    </row>
    <row r="109" customFormat="false" ht="15" hidden="false" customHeight="false" outlineLevel="0" collapsed="false">
      <c r="A109" s="3" t="s">
        <v>850</v>
      </c>
      <c r="B109" s="3" t="s">
        <v>561</v>
      </c>
      <c r="C109" s="3" t="s">
        <v>562</v>
      </c>
      <c r="D109" s="3" t="s">
        <v>214</v>
      </c>
      <c r="E109" s="3" t="s">
        <v>824</v>
      </c>
      <c r="F109" s="13" t="n">
        <f aca="false">CONSOLIDADO!Q108</f>
        <v>26.9563725740881</v>
      </c>
      <c r="G109" s="15" t="n">
        <f aca="false">F109/240</f>
        <v>0.112318219058701</v>
      </c>
      <c r="H109" s="15" t="n">
        <f aca="false">CONSOLIDADO!R108/20</f>
        <v>0.112318219058701</v>
      </c>
      <c r="I109" s="3" t="n">
        <v>1</v>
      </c>
      <c r="J109" s="3" t="n">
        <v>1</v>
      </c>
      <c r="K109" s="3" t="s">
        <v>825</v>
      </c>
      <c r="L109" s="13" t="n">
        <f aca="false">G109*(I109+J109)/2</f>
        <v>0.112318219058701</v>
      </c>
      <c r="M109" s="13" t="n">
        <f aca="false">H109*J109-L109</f>
        <v>0</v>
      </c>
      <c r="N109" s="13" t="n">
        <f aca="false">L109+M109</f>
        <v>0.112318219058701</v>
      </c>
      <c r="O109" s="3" t="s">
        <v>819</v>
      </c>
      <c r="P109" s="16" t="n">
        <v>500</v>
      </c>
      <c r="Q109" s="3" t="n">
        <v>20</v>
      </c>
      <c r="R109" s="3" t="n">
        <f aca="false">MAX(1,CEILING(H109*Q109/P109,1))</f>
        <v>1</v>
      </c>
      <c r="S109" s="17" t="n">
        <f aca="false">F109/(R109*P109)</f>
        <v>0.0539127451481763</v>
      </c>
      <c r="T109" s="13" t="n">
        <f aca="false">M109+R109*P109</f>
        <v>500</v>
      </c>
      <c r="U109" s="3" t="s">
        <v>750</v>
      </c>
      <c r="V109" s="16" t="n">
        <v>10000</v>
      </c>
      <c r="W109" s="17" t="n">
        <f aca="false">T109/V109</f>
        <v>0.05</v>
      </c>
    </row>
    <row r="110" customFormat="false" ht="15" hidden="false" customHeight="false" outlineLevel="0" collapsed="false">
      <c r="A110" s="3" t="s">
        <v>851</v>
      </c>
      <c r="B110" s="3" t="s">
        <v>552</v>
      </c>
      <c r="C110" s="3" t="s">
        <v>553</v>
      </c>
      <c r="D110" s="3" t="s">
        <v>524</v>
      </c>
      <c r="E110" s="3" t="s">
        <v>730</v>
      </c>
      <c r="F110" s="13" t="n">
        <f aca="false">CONSOLIDADO!Q109</f>
        <v>277.761634222652</v>
      </c>
      <c r="G110" s="15" t="n">
        <f aca="false">F110/240</f>
        <v>1.15734014259438</v>
      </c>
      <c r="H110" s="15" t="n">
        <f aca="false">CONSOLIDADO!R109/20</f>
        <v>1.15734014259438</v>
      </c>
      <c r="I110" s="3" t="n">
        <v>2</v>
      </c>
      <c r="J110" s="3" t="n">
        <v>10</v>
      </c>
      <c r="K110" s="3" t="s">
        <v>852</v>
      </c>
      <c r="L110" s="13" t="n">
        <f aca="false">G110*(I110+J110)/2</f>
        <v>6.94404085556629</v>
      </c>
      <c r="M110" s="13" t="n">
        <f aca="false">H110*J110-L110</f>
        <v>4.62936057037753</v>
      </c>
      <c r="N110" s="13" t="n">
        <f aca="false">L110+M110</f>
        <v>11.5734014259438</v>
      </c>
      <c r="O110" s="3" t="s">
        <v>853</v>
      </c>
      <c r="P110" s="16" t="n">
        <v>4</v>
      </c>
      <c r="Q110" s="3" t="n">
        <v>20</v>
      </c>
      <c r="R110" s="3" t="n">
        <f aca="false">MAX(1,CEILING(H110*Q110/P110,1))</f>
        <v>6</v>
      </c>
      <c r="S110" s="17" t="n">
        <f aca="false">F110/(R110*P110)</f>
        <v>11.5734014259438</v>
      </c>
      <c r="T110" s="13" t="n">
        <f aca="false">M110+R110*P110</f>
        <v>28.6293605703775</v>
      </c>
      <c r="U110" s="3" t="s">
        <v>750</v>
      </c>
      <c r="V110" s="16" t="n">
        <v>200</v>
      </c>
      <c r="W110" s="17" t="n">
        <f aca="false">T110/V110</f>
        <v>0.143146802851888</v>
      </c>
    </row>
    <row r="111" customFormat="false" ht="15" hidden="false" customHeight="false" outlineLevel="0" collapsed="false">
      <c r="A111" s="3" t="s">
        <v>854</v>
      </c>
      <c r="B111" s="3" t="s">
        <v>333</v>
      </c>
      <c r="C111" s="3" t="s">
        <v>334</v>
      </c>
      <c r="D111" s="3" t="s">
        <v>214</v>
      </c>
      <c r="E111" s="3" t="s">
        <v>855</v>
      </c>
      <c r="F111" s="13" t="n">
        <f aca="false">CONSOLIDADO!Q110</f>
        <v>202620.63913</v>
      </c>
      <c r="G111" s="15" t="n">
        <f aca="false">F111/240</f>
        <v>844.252663041667</v>
      </c>
      <c r="H111" s="15" t="n">
        <f aca="false">CONSOLIDADO!R110/20</f>
        <v>1215.72383478</v>
      </c>
      <c r="I111" s="3" t="n">
        <v>10</v>
      </c>
      <c r="J111" s="3" t="n">
        <v>15</v>
      </c>
      <c r="K111" s="3" t="s">
        <v>856</v>
      </c>
      <c r="L111" s="13" t="n">
        <f aca="false">G111*(I111+J111)/2</f>
        <v>10553.1582880208</v>
      </c>
      <c r="M111" s="13" t="n">
        <f aca="false">H111*J111-L111</f>
        <v>7682.69923367916</v>
      </c>
      <c r="N111" s="13" t="n">
        <f aca="false">L111+M111</f>
        <v>18235.8575217</v>
      </c>
      <c r="O111" s="3" t="s">
        <v>857</v>
      </c>
      <c r="P111" s="16" t="n">
        <v>600</v>
      </c>
      <c r="Q111" s="3" t="n">
        <v>10</v>
      </c>
      <c r="R111" s="3" t="n">
        <f aca="false">MAX(1,CEILING(H111*Q111/P111,1))</f>
        <v>21</v>
      </c>
      <c r="S111" s="17" t="n">
        <f aca="false">F111/(R111*P111)</f>
        <v>16.0810031055556</v>
      </c>
      <c r="T111" s="13" t="n">
        <f aca="false">M111+R111*P111</f>
        <v>20282.6992336792</v>
      </c>
      <c r="U111" s="3" t="s">
        <v>836</v>
      </c>
      <c r="V111" s="16" t="n">
        <v>600</v>
      </c>
      <c r="W111" s="17" t="n">
        <f aca="false">T111/V111</f>
        <v>33.8044987227986</v>
      </c>
    </row>
    <row r="112" customFormat="false" ht="15" hidden="false" customHeight="false" outlineLevel="0" collapsed="false">
      <c r="A112" s="3" t="s">
        <v>858</v>
      </c>
      <c r="B112" s="3" t="s">
        <v>336</v>
      </c>
      <c r="C112" s="3" t="s">
        <v>337</v>
      </c>
      <c r="D112" s="3" t="s">
        <v>214</v>
      </c>
      <c r="E112" s="3" t="s">
        <v>855</v>
      </c>
      <c r="F112" s="13" t="n">
        <f aca="false">CONSOLIDADO!Q111</f>
        <v>14093.858444</v>
      </c>
      <c r="G112" s="15" t="n">
        <f aca="false">F112/240</f>
        <v>58.7244101833333</v>
      </c>
      <c r="H112" s="15" t="n">
        <f aca="false">CONSOLIDADO!R111/20</f>
        <v>77.516221442</v>
      </c>
      <c r="I112" s="3" t="n">
        <v>10</v>
      </c>
      <c r="J112" s="3" t="n">
        <v>15</v>
      </c>
      <c r="K112" s="3" t="s">
        <v>856</v>
      </c>
      <c r="L112" s="13" t="n">
        <f aca="false">G112*(I112+J112)/2</f>
        <v>734.055127291667</v>
      </c>
      <c r="M112" s="13" t="n">
        <f aca="false">H112*J112-L112</f>
        <v>428.688194338333</v>
      </c>
      <c r="N112" s="13" t="n">
        <f aca="false">L112+M112</f>
        <v>1162.74332163</v>
      </c>
      <c r="O112" s="3" t="s">
        <v>857</v>
      </c>
      <c r="P112" s="16" t="n">
        <v>600</v>
      </c>
      <c r="Q112" s="3" t="n">
        <v>10</v>
      </c>
      <c r="R112" s="3" t="n">
        <f aca="false">MAX(1,CEILING(H112*Q112/P112,1))</f>
        <v>2</v>
      </c>
      <c r="S112" s="17" t="n">
        <f aca="false">F112/(R112*P112)</f>
        <v>11.7448820366667</v>
      </c>
      <c r="T112" s="13" t="n">
        <f aca="false">M112+R112*P112</f>
        <v>1628.68819433833</v>
      </c>
      <c r="U112" s="3" t="s">
        <v>836</v>
      </c>
      <c r="V112" s="16" t="n">
        <v>600</v>
      </c>
      <c r="W112" s="17" t="n">
        <f aca="false">T112/V112</f>
        <v>2.71448032389722</v>
      </c>
    </row>
    <row r="113" customFormat="false" ht="15" hidden="false" customHeight="false" outlineLevel="0" collapsed="false">
      <c r="A113" s="3" t="s">
        <v>859</v>
      </c>
      <c r="B113" s="3" t="s">
        <v>339</v>
      </c>
      <c r="C113" s="3" t="s">
        <v>340</v>
      </c>
      <c r="D113" s="3" t="s">
        <v>214</v>
      </c>
      <c r="E113" s="3" t="s">
        <v>855</v>
      </c>
      <c r="F113" s="13" t="n">
        <f aca="false">CONSOLIDADO!Q112</f>
        <v>65343.7706862536</v>
      </c>
      <c r="G113" s="15" t="n">
        <f aca="false">F113/240</f>
        <v>272.265711192724</v>
      </c>
      <c r="H113" s="15" t="n">
        <f aca="false">CONSOLIDADO!R112/20</f>
        <v>359.390738774395</v>
      </c>
      <c r="I113" s="3" t="n">
        <v>10</v>
      </c>
      <c r="J113" s="3" t="n">
        <v>15</v>
      </c>
      <c r="K113" s="3" t="s">
        <v>856</v>
      </c>
      <c r="L113" s="13" t="n">
        <f aca="false">G113*(I113+J113)/2</f>
        <v>3403.32138990904</v>
      </c>
      <c r="M113" s="13" t="n">
        <f aca="false">H113*J113-L113</f>
        <v>1987.53969170688</v>
      </c>
      <c r="N113" s="13" t="n">
        <f aca="false">L113+M113</f>
        <v>5390.86108161593</v>
      </c>
      <c r="O113" s="3" t="s">
        <v>857</v>
      </c>
      <c r="P113" s="16" t="n">
        <v>600</v>
      </c>
      <c r="Q113" s="3" t="n">
        <v>10</v>
      </c>
      <c r="R113" s="3" t="n">
        <f aca="false">MAX(1,CEILING(H113*Q113/P113,1))</f>
        <v>6</v>
      </c>
      <c r="S113" s="17" t="n">
        <f aca="false">F113/(R113*P113)</f>
        <v>18.1510474128482</v>
      </c>
      <c r="T113" s="13" t="n">
        <f aca="false">M113+R113*P113</f>
        <v>5587.53969170688</v>
      </c>
      <c r="U113" s="3" t="s">
        <v>836</v>
      </c>
      <c r="V113" s="16" t="n">
        <v>600</v>
      </c>
      <c r="W113" s="17" t="n">
        <f aca="false">T113/V113</f>
        <v>9.3125661528448</v>
      </c>
    </row>
    <row r="114" customFormat="false" ht="15" hidden="false" customHeight="false" outlineLevel="0" collapsed="false">
      <c r="A114" s="3" t="s">
        <v>860</v>
      </c>
      <c r="B114" s="3" t="s">
        <v>342</v>
      </c>
      <c r="C114" s="3" t="s">
        <v>343</v>
      </c>
      <c r="D114" s="3" t="s">
        <v>214</v>
      </c>
      <c r="E114" s="3" t="s">
        <v>855</v>
      </c>
      <c r="F114" s="13" t="n">
        <f aca="false">CONSOLIDADO!Q113</f>
        <v>3853.87697319699</v>
      </c>
      <c r="G114" s="15" t="n">
        <f aca="false">F114/240</f>
        <v>16.0578207216541</v>
      </c>
      <c r="H114" s="15" t="n">
        <f aca="false">CONSOLIDADO!R113/20</f>
        <v>21.1963233525834</v>
      </c>
      <c r="I114" s="3" t="n">
        <v>10</v>
      </c>
      <c r="J114" s="3" t="n">
        <v>15</v>
      </c>
      <c r="K114" s="3" t="s">
        <v>856</v>
      </c>
      <c r="L114" s="13" t="n">
        <f aca="false">G114*(I114+J114)/2</f>
        <v>200.722759020676</v>
      </c>
      <c r="M114" s="13" t="n">
        <f aca="false">H114*J114-L114</f>
        <v>117.222091268075</v>
      </c>
      <c r="N114" s="13" t="n">
        <f aca="false">L114+M114</f>
        <v>317.944850288751</v>
      </c>
      <c r="O114" s="3" t="s">
        <v>857</v>
      </c>
      <c r="P114" s="16" t="n">
        <v>600</v>
      </c>
      <c r="Q114" s="3" t="n">
        <v>10</v>
      </c>
      <c r="R114" s="3" t="n">
        <f aca="false">MAX(1,CEILING(H114*Q114/P114,1))</f>
        <v>1</v>
      </c>
      <c r="S114" s="17" t="n">
        <f aca="false">F114/(R114*P114)</f>
        <v>6.42312828866164</v>
      </c>
      <c r="T114" s="13" t="n">
        <f aca="false">M114+R114*P114</f>
        <v>717.222091268075</v>
      </c>
      <c r="U114" s="3" t="s">
        <v>836</v>
      </c>
      <c r="V114" s="16" t="n">
        <v>600</v>
      </c>
      <c r="W114" s="17" t="n">
        <f aca="false">T114/V114</f>
        <v>1.19537015211346</v>
      </c>
    </row>
    <row r="115" customFormat="false" ht="15" hidden="false" customHeight="false" outlineLevel="0" collapsed="false">
      <c r="A115" s="3" t="s">
        <v>861</v>
      </c>
      <c r="B115" s="3" t="s">
        <v>345</v>
      </c>
      <c r="C115" s="3" t="s">
        <v>346</v>
      </c>
      <c r="D115" s="3" t="s">
        <v>214</v>
      </c>
      <c r="E115" s="3" t="s">
        <v>803</v>
      </c>
      <c r="F115" s="13" t="n">
        <f aca="false">CONSOLIDADO!Q114</f>
        <v>285912.145233451</v>
      </c>
      <c r="G115" s="15" t="n">
        <f aca="false">F115/240</f>
        <v>1191.30060513938</v>
      </c>
      <c r="H115" s="15" t="n">
        <f aca="false">CONSOLIDADO!R114/20</f>
        <v>1673.82711834898</v>
      </c>
      <c r="I115" s="3" t="n">
        <v>3</v>
      </c>
      <c r="J115" s="3" t="n">
        <v>7</v>
      </c>
      <c r="K115" s="3" t="s">
        <v>804</v>
      </c>
      <c r="L115" s="13" t="n">
        <f aca="false">G115*(I115+J115)/2</f>
        <v>5956.50302569689</v>
      </c>
      <c r="M115" s="13" t="n">
        <f aca="false">H115*J115-L115</f>
        <v>5760.28680274596</v>
      </c>
      <c r="N115" s="13" t="n">
        <f aca="false">L115+M115</f>
        <v>11716.7898284429</v>
      </c>
      <c r="O115" s="3" t="s">
        <v>805</v>
      </c>
      <c r="P115" s="16" t="n">
        <v>1000</v>
      </c>
      <c r="Q115" s="3" t="n">
        <v>20</v>
      </c>
      <c r="R115" s="3" t="n">
        <f aca="false">MAX(1,CEILING(H115*Q115/P115,1))</f>
        <v>34</v>
      </c>
      <c r="S115" s="17" t="n">
        <f aca="false">F115/(R115*P115)</f>
        <v>8.40918074216031</v>
      </c>
      <c r="T115" s="13" t="n">
        <f aca="false">M115+R115*P115</f>
        <v>39760.286802746</v>
      </c>
      <c r="U115" s="3" t="s">
        <v>836</v>
      </c>
      <c r="V115" s="16" t="n">
        <v>20000</v>
      </c>
      <c r="W115" s="17" t="n">
        <f aca="false">T115/V115</f>
        <v>1.9880143401373</v>
      </c>
    </row>
    <row r="116" customFormat="false" ht="15" hidden="false" customHeight="false" outlineLevel="0" collapsed="false">
      <c r="A116" s="3" t="s">
        <v>862</v>
      </c>
      <c r="B116" s="3" t="s">
        <v>348</v>
      </c>
      <c r="C116" s="3" t="s">
        <v>349</v>
      </c>
      <c r="D116" s="3" t="s">
        <v>214</v>
      </c>
      <c r="E116" s="3" t="s">
        <v>863</v>
      </c>
      <c r="F116" s="13" t="n">
        <f aca="false">CONSOLIDADO!Q115</f>
        <v>1548.25144727564</v>
      </c>
      <c r="G116" s="15" t="n">
        <f aca="false">F116/240</f>
        <v>6.45104769698184</v>
      </c>
      <c r="H116" s="15" t="n">
        <f aca="false">CONSOLIDADO!R115/20</f>
        <v>8.63374209226186</v>
      </c>
      <c r="I116" s="3" t="n">
        <v>1</v>
      </c>
      <c r="J116" s="3" t="n">
        <v>3</v>
      </c>
      <c r="K116" s="3" t="s">
        <v>864</v>
      </c>
      <c r="L116" s="13" t="n">
        <f aca="false">G116*(I116+J116)/2</f>
        <v>12.9020953939637</v>
      </c>
      <c r="M116" s="13" t="n">
        <f aca="false">H116*J116-L116</f>
        <v>12.9991308828219</v>
      </c>
      <c r="N116" s="13" t="n">
        <f aca="false">L116+M116</f>
        <v>25.9012262767856</v>
      </c>
      <c r="O116" s="3" t="s">
        <v>865</v>
      </c>
      <c r="P116" s="16" t="n">
        <v>15</v>
      </c>
      <c r="Q116" s="3" t="n">
        <v>10</v>
      </c>
      <c r="R116" s="3" t="n">
        <f aca="false">MAX(1,CEILING(H116*Q116/P116,1))</f>
        <v>6</v>
      </c>
      <c r="S116" s="17" t="n">
        <f aca="false">F116/(R116*P116)</f>
        <v>17.2027938586182</v>
      </c>
      <c r="T116" s="13" t="n">
        <f aca="false">M116+R116*P116</f>
        <v>102.999130882822</v>
      </c>
      <c r="U116" s="3" t="s">
        <v>836</v>
      </c>
      <c r="V116" s="16" t="n">
        <v>15</v>
      </c>
      <c r="W116" s="17" t="n">
        <f aca="false">T116/V116</f>
        <v>6.86660872552146</v>
      </c>
    </row>
    <row r="117" customFormat="false" ht="15" hidden="false" customHeight="false" outlineLevel="0" collapsed="false">
      <c r="A117" s="3" t="s">
        <v>866</v>
      </c>
      <c r="B117" s="3" t="s">
        <v>351</v>
      </c>
      <c r="C117" s="3" t="s">
        <v>352</v>
      </c>
      <c r="D117" s="3" t="s">
        <v>214</v>
      </c>
      <c r="E117" s="3" t="s">
        <v>803</v>
      </c>
      <c r="F117" s="13" t="n">
        <f aca="false">CONSOLIDADO!Q116</f>
        <v>1548.25144727564</v>
      </c>
      <c r="G117" s="15" t="n">
        <f aca="false">F117/240</f>
        <v>6.45104769698184</v>
      </c>
      <c r="H117" s="15" t="n">
        <f aca="false">CONSOLIDADO!R116/20</f>
        <v>8.63374209226186</v>
      </c>
      <c r="I117" s="3" t="n">
        <v>3</v>
      </c>
      <c r="J117" s="3" t="n">
        <v>7</v>
      </c>
      <c r="K117" s="3" t="s">
        <v>804</v>
      </c>
      <c r="L117" s="13" t="n">
        <f aca="false">G117*(I117+J117)/2</f>
        <v>32.2552384849092</v>
      </c>
      <c r="M117" s="13" t="n">
        <f aca="false">H117*J117-L117</f>
        <v>28.1809561609238</v>
      </c>
      <c r="N117" s="13" t="n">
        <f aca="false">L117+M117</f>
        <v>60.436194645833</v>
      </c>
      <c r="O117" s="3" t="s">
        <v>805</v>
      </c>
      <c r="P117" s="16" t="n">
        <v>1000</v>
      </c>
      <c r="Q117" s="3" t="n">
        <v>20</v>
      </c>
      <c r="R117" s="3" t="n">
        <f aca="false">MAX(1,CEILING(H117*Q117/P117,1))</f>
        <v>1</v>
      </c>
      <c r="S117" s="17" t="n">
        <f aca="false">F117/(R117*P117)</f>
        <v>1.54825144727564</v>
      </c>
      <c r="T117" s="13" t="n">
        <f aca="false">M117+R117*P117</f>
        <v>1028.18095616092</v>
      </c>
      <c r="U117" s="3" t="s">
        <v>836</v>
      </c>
      <c r="V117" s="16" t="n">
        <v>20000</v>
      </c>
      <c r="W117" s="17" t="n">
        <f aca="false">T117/V117</f>
        <v>0.0514090478080462</v>
      </c>
    </row>
    <row r="118" customFormat="false" ht="15" hidden="false" customHeight="false" outlineLevel="0" collapsed="false">
      <c r="A118" s="3" t="s">
        <v>867</v>
      </c>
      <c r="B118" s="3" t="s">
        <v>575</v>
      </c>
      <c r="C118" s="3" t="s">
        <v>576</v>
      </c>
      <c r="D118" s="3" t="s">
        <v>214</v>
      </c>
      <c r="E118" s="3" t="s">
        <v>868</v>
      </c>
      <c r="F118" s="13" t="n">
        <f aca="false">CONSOLIDADO!Q121</f>
        <v>2908.13500312285</v>
      </c>
      <c r="G118" s="15" t="n">
        <f aca="false">F118/240</f>
        <v>12.1172291796785</v>
      </c>
      <c r="H118" s="15" t="n">
        <f aca="false">CONSOLIDADO!R121/20</f>
        <v>15.9947425171757</v>
      </c>
      <c r="I118" s="3" t="n">
        <v>2</v>
      </c>
      <c r="J118" s="3" t="n">
        <v>2</v>
      </c>
      <c r="K118" s="3" t="s">
        <v>869</v>
      </c>
      <c r="L118" s="13" t="n">
        <f aca="false">G118*(I118+J118)/2</f>
        <v>24.2344583593571</v>
      </c>
      <c r="M118" s="13" t="n">
        <f aca="false">H118*J118-L118</f>
        <v>7.75502667499427</v>
      </c>
      <c r="N118" s="13" t="n">
        <f aca="false">L118+M118</f>
        <v>31.9894850343514</v>
      </c>
      <c r="O118" s="3" t="s">
        <v>870</v>
      </c>
      <c r="P118" s="16" t="n">
        <v>1</v>
      </c>
      <c r="Q118" s="3" t="n">
        <v>20</v>
      </c>
      <c r="R118" s="3" t="n">
        <f aca="false">MAX(1,CEILING(H118*Q118/P118,1))</f>
        <v>320</v>
      </c>
      <c r="S118" s="17" t="n">
        <f aca="false">F118/(R118*P118)</f>
        <v>9.08792188475891</v>
      </c>
      <c r="T118" s="13" t="n">
        <f aca="false">M118+R118*P118</f>
        <v>327.755026674994</v>
      </c>
      <c r="U118" s="3" t="s">
        <v>871</v>
      </c>
      <c r="V118" s="16" t="n">
        <v>180</v>
      </c>
      <c r="W118" s="17" t="n">
        <f aca="false">T118/V118</f>
        <v>1.82086125930552</v>
      </c>
    </row>
    <row r="119" customFormat="false" ht="15" hidden="false" customHeight="false" outlineLevel="0" collapsed="false">
      <c r="A119" s="3" t="s">
        <v>872</v>
      </c>
      <c r="B119" s="3" t="s">
        <v>578</v>
      </c>
      <c r="C119" s="3" t="s">
        <v>579</v>
      </c>
      <c r="D119" s="3" t="s">
        <v>214</v>
      </c>
      <c r="E119" s="3" t="s">
        <v>868</v>
      </c>
      <c r="F119" s="13" t="n">
        <f aca="false">CONSOLIDADO!Q122</f>
        <v>971.509933050576</v>
      </c>
      <c r="G119" s="15" t="n">
        <f aca="false">F119/240</f>
        <v>4.0479580543774</v>
      </c>
      <c r="H119" s="15" t="n">
        <f aca="false">CONSOLIDADO!R122/20</f>
        <v>5.34330463177817</v>
      </c>
      <c r="I119" s="3" t="n">
        <v>2</v>
      </c>
      <c r="J119" s="3" t="n">
        <v>2</v>
      </c>
      <c r="K119" s="3" t="s">
        <v>869</v>
      </c>
      <c r="L119" s="13" t="n">
        <f aca="false">G119*(I119+J119)/2</f>
        <v>8.0959161087548</v>
      </c>
      <c r="M119" s="13" t="n">
        <f aca="false">H119*J119-L119</f>
        <v>2.59069315480154</v>
      </c>
      <c r="N119" s="13" t="n">
        <f aca="false">L119+M119</f>
        <v>10.6866092635563</v>
      </c>
      <c r="O119" s="3" t="s">
        <v>870</v>
      </c>
      <c r="P119" s="16" t="n">
        <v>1</v>
      </c>
      <c r="Q119" s="3" t="n">
        <v>20</v>
      </c>
      <c r="R119" s="3" t="n">
        <f aca="false">MAX(1,CEILING(H119*Q119/P119,1))</f>
        <v>107</v>
      </c>
      <c r="S119" s="17" t="n">
        <f aca="false">F119/(R119*P119)</f>
        <v>9.07953208458483</v>
      </c>
      <c r="T119" s="13" t="n">
        <f aca="false">M119+R119*P119</f>
        <v>109.590693154802</v>
      </c>
      <c r="U119" s="3" t="s">
        <v>871</v>
      </c>
      <c r="V119" s="16" t="n">
        <v>180</v>
      </c>
      <c r="W119" s="17" t="n">
        <f aca="false">T119/V119</f>
        <v>0.608837184193342</v>
      </c>
    </row>
    <row r="120" customFormat="false" ht="15" hidden="false" customHeight="false" outlineLevel="0" collapsed="false">
      <c r="A120" s="3" t="s">
        <v>873</v>
      </c>
      <c r="B120" s="3" t="s">
        <v>581</v>
      </c>
      <c r="C120" s="3" t="s">
        <v>582</v>
      </c>
      <c r="D120" s="3" t="s">
        <v>214</v>
      </c>
      <c r="E120" s="3" t="s">
        <v>868</v>
      </c>
      <c r="F120" s="13" t="n">
        <f aca="false">CONSOLIDADO!Q123</f>
        <v>416.433346495834</v>
      </c>
      <c r="G120" s="15" t="n">
        <f aca="false">F120/240</f>
        <v>1.73513894373264</v>
      </c>
      <c r="H120" s="15" t="n">
        <f aca="false">CONSOLIDADO!R123/20</f>
        <v>1.87395005923125</v>
      </c>
      <c r="I120" s="3" t="n">
        <v>2</v>
      </c>
      <c r="J120" s="3" t="n">
        <v>2</v>
      </c>
      <c r="K120" s="3" t="s">
        <v>869</v>
      </c>
      <c r="L120" s="13" t="n">
        <f aca="false">G120*(I120+J120)/2</f>
        <v>3.47027788746528</v>
      </c>
      <c r="M120" s="13" t="n">
        <f aca="false">H120*J120-L120</f>
        <v>0.277622230997223</v>
      </c>
      <c r="N120" s="13" t="n">
        <f aca="false">L120+M120</f>
        <v>3.74790011846251</v>
      </c>
      <c r="O120" s="3" t="s">
        <v>870</v>
      </c>
      <c r="P120" s="16" t="n">
        <v>1</v>
      </c>
      <c r="Q120" s="3" t="n">
        <v>20</v>
      </c>
      <c r="R120" s="3" t="n">
        <f aca="false">MAX(1,CEILING(H120*Q120/P120,1))</f>
        <v>38</v>
      </c>
      <c r="S120" s="17" t="n">
        <f aca="false">F120/(R120*P120)</f>
        <v>10.9587722762062</v>
      </c>
      <c r="T120" s="13" t="n">
        <f aca="false">M120+R120*P120</f>
        <v>38.2776222309972</v>
      </c>
      <c r="U120" s="3" t="s">
        <v>871</v>
      </c>
      <c r="V120" s="16" t="n">
        <v>60</v>
      </c>
      <c r="W120" s="17" t="n">
        <f aca="false">T120/V120</f>
        <v>0.63796037051662</v>
      </c>
    </row>
    <row r="121" customFormat="false" ht="15" hidden="false" customHeight="false" outlineLevel="0" collapsed="false">
      <c r="A121" s="3" t="s">
        <v>874</v>
      </c>
      <c r="B121" s="3" t="s">
        <v>584</v>
      </c>
      <c r="C121" s="3" t="s">
        <v>585</v>
      </c>
      <c r="D121" s="3" t="s">
        <v>214</v>
      </c>
      <c r="E121" s="3" t="s">
        <v>868</v>
      </c>
      <c r="F121" s="13" t="n">
        <f aca="false">CONSOLIDADO!Q124</f>
        <v>277.70377041365</v>
      </c>
      <c r="G121" s="15" t="n">
        <f aca="false">F121/240</f>
        <v>1.15709904339021</v>
      </c>
      <c r="H121" s="15" t="n">
        <f aca="false">CONSOLIDADO!R124/20</f>
        <v>1.52737073727508</v>
      </c>
      <c r="I121" s="3" t="n">
        <v>2</v>
      </c>
      <c r="J121" s="3" t="n">
        <v>2</v>
      </c>
      <c r="K121" s="3" t="s">
        <v>869</v>
      </c>
      <c r="L121" s="13" t="n">
        <f aca="false">G121*(I121+J121)/2</f>
        <v>2.31419808678042</v>
      </c>
      <c r="M121" s="13" t="n">
        <f aca="false">H121*J121-L121</f>
        <v>0.740543387769734</v>
      </c>
      <c r="N121" s="13" t="n">
        <f aca="false">L121+M121</f>
        <v>3.05474147455015</v>
      </c>
      <c r="O121" s="3" t="s">
        <v>870</v>
      </c>
      <c r="P121" s="16" t="n">
        <v>1</v>
      </c>
      <c r="Q121" s="3" t="n">
        <v>20</v>
      </c>
      <c r="R121" s="3" t="n">
        <f aca="false">MAX(1,CEILING(H121*Q121/P121,1))</f>
        <v>31</v>
      </c>
      <c r="S121" s="17" t="n">
        <f aca="false">F121/(R121*P121)</f>
        <v>8.95818614237581</v>
      </c>
      <c r="T121" s="13" t="n">
        <f aca="false">M121+R121*P121</f>
        <v>31.7405433877697</v>
      </c>
      <c r="U121" s="3" t="s">
        <v>871</v>
      </c>
      <c r="V121" s="16" t="n">
        <v>180</v>
      </c>
      <c r="W121" s="17" t="n">
        <f aca="false">T121/V121</f>
        <v>0.176336352154276</v>
      </c>
    </row>
    <row r="122" customFormat="false" ht="15" hidden="false" customHeight="false" outlineLevel="0" collapsed="false">
      <c r="A122" s="3" t="s">
        <v>875</v>
      </c>
      <c r="B122" s="3" t="s">
        <v>587</v>
      </c>
      <c r="C122" s="3" t="s">
        <v>588</v>
      </c>
      <c r="D122" s="3" t="s">
        <v>214</v>
      </c>
      <c r="E122" s="3" t="s">
        <v>876</v>
      </c>
      <c r="F122" s="13" t="n">
        <f aca="false">CONSOLIDADO!Q125</f>
        <v>1650.60330969569</v>
      </c>
      <c r="G122" s="15" t="n">
        <f aca="false">F122/240</f>
        <v>6.87751379039872</v>
      </c>
      <c r="H122" s="15" t="n">
        <f aca="false">CONSOLIDADO!R125/20</f>
        <v>9.07831820332631</v>
      </c>
      <c r="I122" s="3" t="n">
        <v>1</v>
      </c>
      <c r="J122" s="3" t="n">
        <v>2</v>
      </c>
      <c r="K122" s="3" t="s">
        <v>877</v>
      </c>
      <c r="L122" s="13" t="n">
        <f aca="false">G122*(I122+J122)/2</f>
        <v>10.3162706855981</v>
      </c>
      <c r="M122" s="13" t="n">
        <f aca="false">H122*J122-L122</f>
        <v>7.84036572105454</v>
      </c>
      <c r="N122" s="13" t="n">
        <f aca="false">L122+M122</f>
        <v>18.1566364066526</v>
      </c>
      <c r="O122" s="3" t="s">
        <v>870</v>
      </c>
      <c r="P122" s="16" t="n">
        <v>1</v>
      </c>
      <c r="Q122" s="3" t="n">
        <v>20</v>
      </c>
      <c r="R122" s="3" t="n">
        <f aca="false">MAX(1,CEILING(H122*Q122/P122,1))</f>
        <v>182</v>
      </c>
      <c r="S122" s="17" t="n">
        <f aca="false">F122/(R122*P122)</f>
        <v>9.06924895437194</v>
      </c>
      <c r="T122" s="13" t="n">
        <f aca="false">M122+R122*P122</f>
        <v>189.840365721055</v>
      </c>
      <c r="U122" s="3" t="s">
        <v>871</v>
      </c>
      <c r="V122" s="16" t="n">
        <v>180</v>
      </c>
      <c r="W122" s="17" t="n">
        <f aca="false">T122/V122</f>
        <v>1.0546686984503</v>
      </c>
    </row>
    <row r="123" customFormat="false" ht="15" hidden="false" customHeight="false" outlineLevel="0" collapsed="false">
      <c r="A123" s="3" t="s">
        <v>878</v>
      </c>
      <c r="B123" s="3" t="s">
        <v>590</v>
      </c>
      <c r="C123" s="3" t="s">
        <v>591</v>
      </c>
      <c r="D123" s="3" t="s">
        <v>214</v>
      </c>
      <c r="E123" s="3" t="s">
        <v>868</v>
      </c>
      <c r="F123" s="13" t="n">
        <f aca="false">CONSOLIDADO!Q126</f>
        <v>7005.27737</v>
      </c>
      <c r="G123" s="15" t="n">
        <f aca="false">F123/240</f>
        <v>29.1886557083333</v>
      </c>
      <c r="H123" s="15" t="n">
        <f aca="false">CONSOLIDADO!R126/20</f>
        <v>38.529025535</v>
      </c>
      <c r="I123" s="3" t="n">
        <v>2</v>
      </c>
      <c r="J123" s="3" t="n">
        <v>2</v>
      </c>
      <c r="K123" s="3" t="s">
        <v>869</v>
      </c>
      <c r="L123" s="13" t="n">
        <f aca="false">G123*(I123+J123)/2</f>
        <v>58.3773114166667</v>
      </c>
      <c r="M123" s="13" t="n">
        <f aca="false">H123*J123-L123</f>
        <v>18.6807396533333</v>
      </c>
      <c r="N123" s="13" t="n">
        <f aca="false">L123+M123</f>
        <v>77.05805107</v>
      </c>
      <c r="O123" s="3" t="s">
        <v>870</v>
      </c>
      <c r="P123" s="16" t="n">
        <v>1</v>
      </c>
      <c r="Q123" s="3" t="n">
        <v>20</v>
      </c>
      <c r="R123" s="3" t="n">
        <f aca="false">MAX(1,CEILING(H123*Q123/P123,1))</f>
        <v>771</v>
      </c>
      <c r="S123" s="17" t="n">
        <f aca="false">F123/(R123*P123)</f>
        <v>9.08596286640726</v>
      </c>
      <c r="T123" s="13" t="n">
        <f aca="false">M123+R123*P123</f>
        <v>789.680739653333</v>
      </c>
      <c r="U123" s="3" t="s">
        <v>871</v>
      </c>
      <c r="V123" s="16" t="n">
        <v>180</v>
      </c>
      <c r="W123" s="17" t="n">
        <f aca="false">T123/V123</f>
        <v>4.3871152202963</v>
      </c>
    </row>
    <row r="124" customFormat="false" ht="15" hidden="false" customHeight="false" outlineLevel="0" collapsed="false">
      <c r="A124" s="3" t="s">
        <v>879</v>
      </c>
      <c r="B124" s="3" t="s">
        <v>593</v>
      </c>
      <c r="C124" s="3" t="s">
        <v>594</v>
      </c>
      <c r="D124" s="3" t="s">
        <v>214</v>
      </c>
      <c r="E124" s="3" t="s">
        <v>876</v>
      </c>
      <c r="F124" s="13" t="n">
        <f aca="false">CONSOLIDADO!Q127</f>
        <v>3776.01776725347</v>
      </c>
      <c r="G124" s="15" t="n">
        <f aca="false">F124/240</f>
        <v>15.7334073635561</v>
      </c>
      <c r="H124" s="15" t="n">
        <f aca="false">CONSOLIDADO!R127/20</f>
        <v>20.7680977198941</v>
      </c>
      <c r="I124" s="3" t="n">
        <v>1</v>
      </c>
      <c r="J124" s="3" t="n">
        <v>2</v>
      </c>
      <c r="K124" s="3" t="s">
        <v>877</v>
      </c>
      <c r="L124" s="13" t="n">
        <f aca="false">G124*(I124+J124)/2</f>
        <v>23.6001110453342</v>
      </c>
      <c r="M124" s="13" t="n">
        <f aca="false">H124*J124-L124</f>
        <v>17.936084394454</v>
      </c>
      <c r="N124" s="13" t="n">
        <f aca="false">L124+M124</f>
        <v>41.5361954397881</v>
      </c>
      <c r="O124" s="3" t="s">
        <v>870</v>
      </c>
      <c r="P124" s="16" t="n">
        <v>1</v>
      </c>
      <c r="Q124" s="3" t="n">
        <v>20</v>
      </c>
      <c r="R124" s="3" t="n">
        <f aca="false">MAX(1,CEILING(H124*Q124/P124,1))</f>
        <v>416</v>
      </c>
      <c r="S124" s="17" t="n">
        <f aca="false">F124/(R124*P124)</f>
        <v>9.07696578666699</v>
      </c>
      <c r="T124" s="13" t="n">
        <f aca="false">M124+R124*P124</f>
        <v>433.936084394454</v>
      </c>
      <c r="U124" s="3" t="s">
        <v>871</v>
      </c>
      <c r="V124" s="16" t="n">
        <v>180</v>
      </c>
      <c r="W124" s="17" t="n">
        <f aca="false">T124/V124</f>
        <v>2.41075602441363</v>
      </c>
    </row>
    <row r="125" customFormat="false" ht="15" hidden="false" customHeight="false" outlineLevel="0" collapsed="false">
      <c r="A125" s="3" t="s">
        <v>880</v>
      </c>
      <c r="B125" s="3" t="s">
        <v>596</v>
      </c>
      <c r="C125" s="3" t="s">
        <v>597</v>
      </c>
      <c r="D125" s="3" t="s">
        <v>214</v>
      </c>
      <c r="E125" s="3" t="s">
        <v>876</v>
      </c>
      <c r="F125" s="13" t="n">
        <f aca="false">CONSOLIDADO!Q128</f>
        <v>744.120454978018</v>
      </c>
      <c r="G125" s="15" t="n">
        <f aca="false">F125/240</f>
        <v>3.10050189574174</v>
      </c>
      <c r="H125" s="15" t="n">
        <f aca="false">CONSOLIDADO!R128/20</f>
        <v>4.0926625023791</v>
      </c>
      <c r="I125" s="3" t="n">
        <v>1</v>
      </c>
      <c r="J125" s="3" t="n">
        <v>2</v>
      </c>
      <c r="K125" s="3" t="s">
        <v>877</v>
      </c>
      <c r="L125" s="13" t="n">
        <f aca="false">G125*(I125+J125)/2</f>
        <v>4.65075284361261</v>
      </c>
      <c r="M125" s="13" t="n">
        <f aca="false">H125*J125-L125</f>
        <v>3.53457216114559</v>
      </c>
      <c r="N125" s="13" t="n">
        <f aca="false">L125+M125</f>
        <v>8.1853250047582</v>
      </c>
      <c r="O125" s="3" t="s">
        <v>870</v>
      </c>
      <c r="P125" s="16" t="n">
        <v>1</v>
      </c>
      <c r="Q125" s="3" t="n">
        <v>20</v>
      </c>
      <c r="R125" s="3" t="n">
        <f aca="false">MAX(1,CEILING(H125*Q125/P125,1))</f>
        <v>82</v>
      </c>
      <c r="S125" s="17" t="n">
        <f aca="false">F125/(R125*P125)</f>
        <v>9.07463969485388</v>
      </c>
      <c r="T125" s="13" t="n">
        <f aca="false">M125+R125*P125</f>
        <v>85.5345721611456</v>
      </c>
      <c r="U125" s="3" t="s">
        <v>871</v>
      </c>
      <c r="V125" s="16" t="n">
        <v>180</v>
      </c>
      <c r="W125" s="17" t="n">
        <f aca="false">T125/V125</f>
        <v>0.47519206756192</v>
      </c>
    </row>
    <row r="126" customFormat="false" ht="15" hidden="false" customHeight="false" outlineLevel="0" collapsed="false">
      <c r="A126" s="3" t="s">
        <v>881</v>
      </c>
      <c r="B126" s="3" t="s">
        <v>599</v>
      </c>
      <c r="C126" s="3" t="s">
        <v>600</v>
      </c>
      <c r="D126" s="3" t="s">
        <v>214</v>
      </c>
      <c r="E126" s="3" t="s">
        <v>882</v>
      </c>
      <c r="F126" s="13" t="n">
        <f aca="false">CONSOLIDADO!Q129</f>
        <v>277.41598400273</v>
      </c>
      <c r="G126" s="15" t="n">
        <f aca="false">F126/240</f>
        <v>1.15589993334471</v>
      </c>
      <c r="H126" s="15" t="n">
        <f aca="false">CONSOLIDADO!R129/20</f>
        <v>1.52578791201502</v>
      </c>
      <c r="I126" s="3" t="n">
        <v>3</v>
      </c>
      <c r="J126" s="3" t="n">
        <v>7</v>
      </c>
      <c r="K126" s="3" t="s">
        <v>883</v>
      </c>
      <c r="L126" s="13" t="n">
        <f aca="false">G126*(I126+J126)/2</f>
        <v>5.77949966672354</v>
      </c>
      <c r="M126" s="13" t="n">
        <f aca="false">H126*J126-L126</f>
        <v>4.90101571738156</v>
      </c>
      <c r="N126" s="13" t="n">
        <f aca="false">L126+M126</f>
        <v>10.6805153841051</v>
      </c>
      <c r="O126" s="3" t="s">
        <v>870</v>
      </c>
      <c r="P126" s="16" t="n">
        <v>1</v>
      </c>
      <c r="Q126" s="3" t="n">
        <v>20</v>
      </c>
      <c r="R126" s="3" t="n">
        <f aca="false">MAX(1,CEILING(H126*Q126/P126,1))</f>
        <v>31</v>
      </c>
      <c r="S126" s="17" t="n">
        <f aca="false">F126/(R126*P126)</f>
        <v>8.94890270976548</v>
      </c>
      <c r="T126" s="13" t="n">
        <f aca="false">M126+R126*P126</f>
        <v>35.9010157173816</v>
      </c>
      <c r="U126" s="3" t="s">
        <v>871</v>
      </c>
      <c r="V126" s="16" t="n">
        <v>180</v>
      </c>
      <c r="W126" s="17" t="n">
        <f aca="false">T126/V126</f>
        <v>0.199450087318786</v>
      </c>
    </row>
    <row r="129" customFormat="false" ht="30" hidden="false" customHeight="true" outlineLevel="0" collapsed="false">
      <c r="A129" s="2"/>
      <c r="B129" s="2" t="s">
        <v>629</v>
      </c>
      <c r="C129" s="2"/>
      <c r="D129" s="2"/>
      <c r="E129" s="2"/>
      <c r="F129" s="2" t="s">
        <v>631</v>
      </c>
      <c r="G129" s="2" t="s">
        <v>884</v>
      </c>
      <c r="H129" s="2" t="s">
        <v>885</v>
      </c>
    </row>
    <row r="130" customFormat="false" ht="15" hidden="false" customHeight="false" outlineLevel="0" collapsed="false">
      <c r="A130" s="3"/>
      <c r="B130" s="3" t="s">
        <v>871</v>
      </c>
      <c r="C130" s="3"/>
      <c r="D130" s="3"/>
      <c r="E130" s="3"/>
      <c r="F130" s="3" t="n">
        <f aca="false">ROUNDUP(SUMIF($U$5:$U$126,B130,$W$5:$W$126),0)</f>
        <v>12</v>
      </c>
      <c r="G130" s="3"/>
      <c r="H130" s="3"/>
    </row>
    <row r="131" customFormat="false" ht="15" hidden="false" customHeight="false" outlineLevel="0" collapsed="false">
      <c r="A131" s="3"/>
      <c r="B131" s="3" t="s">
        <v>662</v>
      </c>
      <c r="C131" s="3"/>
      <c r="D131" s="3"/>
      <c r="E131" s="3"/>
      <c r="F131" s="3" t="n">
        <f aca="false">ROUNDUP(SUMIF($U$5:$U$126,B131,$W$5:$W$126),0)</f>
        <v>2</v>
      </c>
      <c r="G131" s="3" t="n">
        <v>3</v>
      </c>
      <c r="H131" s="3" t="str">
        <f aca="false">IF(F131&lt;=G131,"Alcanza","No alcanza")</f>
        <v>Alcanza</v>
      </c>
    </row>
    <row r="132" customFormat="false" ht="15" hidden="false" customHeight="false" outlineLevel="0" collapsed="false">
      <c r="A132" s="3"/>
      <c r="B132" s="3" t="s">
        <v>636</v>
      </c>
      <c r="C132" s="3"/>
      <c r="D132" s="3"/>
      <c r="E132" s="3"/>
      <c r="F132" s="3" t="n">
        <f aca="false">ROUNDUP(SUMIF($U$5:$U$126,B132,$W$5:$W$126),0)</f>
        <v>10</v>
      </c>
      <c r="G132" s="3"/>
      <c r="H132" s="3"/>
    </row>
    <row r="133" customFormat="false" ht="15" hidden="false" customHeight="false" outlineLevel="0" collapsed="false">
      <c r="A133" s="3"/>
      <c r="B133" s="3" t="s">
        <v>641</v>
      </c>
      <c r="C133" s="3"/>
      <c r="D133" s="3"/>
      <c r="E133" s="3"/>
      <c r="F133" s="3" t="n">
        <f aca="false">ROUNDUP(SUMIF($U$5:$U$126,B133,$W$5:$W$126),0)</f>
        <v>24</v>
      </c>
      <c r="G133" s="3"/>
      <c r="H133" s="3"/>
    </row>
    <row r="134" customFormat="false" ht="15" hidden="false" customHeight="false" outlineLevel="0" collapsed="false">
      <c r="A134" s="3"/>
      <c r="B134" s="3" t="s">
        <v>733</v>
      </c>
      <c r="C134" s="3"/>
      <c r="D134" s="3"/>
      <c r="E134" s="3"/>
      <c r="F134" s="3" t="n">
        <f aca="false">ROUNDUP(SUMIF($U$5:$U$126,B134,$W$5:$W$126),0)</f>
        <v>10</v>
      </c>
      <c r="G134" s="3"/>
      <c r="H134" s="3"/>
    </row>
    <row r="135" customFormat="false" ht="15" hidden="false" customHeight="false" outlineLevel="0" collapsed="false">
      <c r="A135" s="3"/>
      <c r="B135" s="3" t="s">
        <v>836</v>
      </c>
      <c r="C135" s="3"/>
      <c r="D135" s="3"/>
      <c r="E135" s="3"/>
      <c r="F135" s="3" t="n">
        <f aca="false">ROUNDUP(SUMIF($U$5:$U$126,B135,$W$5:$W$126),0)</f>
        <v>57</v>
      </c>
      <c r="G135" s="3"/>
      <c r="H135" s="3"/>
    </row>
    <row r="136" customFormat="false" ht="15" hidden="false" customHeight="false" outlineLevel="0" collapsed="false">
      <c r="A136" s="3"/>
      <c r="B136" s="3" t="s">
        <v>806</v>
      </c>
      <c r="C136" s="3"/>
      <c r="D136" s="3"/>
      <c r="E136" s="3"/>
      <c r="F136" s="3" t="n">
        <f aca="false">ROUNDUP(SUMIF($U$5:$U$126,B136,$W$5:$W$126),0)</f>
        <v>9</v>
      </c>
      <c r="G136" s="3"/>
      <c r="H136" s="3"/>
    </row>
    <row r="137" customFormat="false" ht="15" hidden="false" customHeight="false" outlineLevel="0" collapsed="false">
      <c r="A137" s="3"/>
      <c r="B137" s="3" t="s">
        <v>678</v>
      </c>
      <c r="C137" s="3"/>
      <c r="D137" s="3"/>
      <c r="E137" s="3"/>
      <c r="F137" s="3" t="n">
        <f aca="false">ROUNDUP(SUMIF($U$5:$U$126,B137,$W$5:$W$126),0)</f>
        <v>27</v>
      </c>
      <c r="G137" s="3"/>
      <c r="H137" s="3"/>
    </row>
    <row r="138" customFormat="false" ht="15" hidden="false" customHeight="false" outlineLevel="0" collapsed="false">
      <c r="A138" s="3"/>
      <c r="B138" s="3" t="s">
        <v>750</v>
      </c>
      <c r="C138" s="3"/>
      <c r="D138" s="3"/>
      <c r="E138" s="3"/>
      <c r="F138" s="3" t="n">
        <f aca="false">ROUNDUP(SUMIF($U$5:$U$126,B138,$W$5:$W$126),0)</f>
        <v>7</v>
      </c>
      <c r="G138" s="3"/>
      <c r="H138" s="3"/>
    </row>
    <row r="139" customFormat="false" ht="15" hidden="false" customHeight="false" outlineLevel="0" collapsed="false">
      <c r="A139" s="3"/>
      <c r="B139" s="3" t="s">
        <v>710</v>
      </c>
      <c r="C139" s="3"/>
      <c r="D139" s="3"/>
      <c r="E139" s="3"/>
      <c r="F139" s="3" t="n">
        <f aca="false">ROUNDUP(SUMIF($U$5:$U$126,B139,$W$5:$W$126),0)</f>
        <v>11</v>
      </c>
      <c r="G139" s="3"/>
      <c r="H139" s="3"/>
    </row>
    <row r="140" customFormat="false" ht="15" hidden="false" customHeight="false" outlineLevel="0" collapsed="false">
      <c r="A140" s="3"/>
      <c r="B140" s="3" t="s">
        <v>716</v>
      </c>
      <c r="C140" s="3"/>
      <c r="D140" s="3"/>
      <c r="E140" s="3"/>
      <c r="F140" s="3" t="n">
        <f aca="false">ROUNDUP(SUMIF($U$5:$U$126,B140,$W$5:$W$126),0)</f>
        <v>10</v>
      </c>
      <c r="G140" s="3"/>
      <c r="H140" s="3"/>
    </row>
    <row r="141" customFormat="false" ht="15" hidden="false" customHeight="false" outlineLevel="0" collapsed="false">
      <c r="A141" s="3"/>
      <c r="B141" s="3" t="s">
        <v>669</v>
      </c>
      <c r="C141" s="3"/>
      <c r="D141" s="3"/>
      <c r="E141" s="3"/>
      <c r="F141" s="3" t="n">
        <f aca="false">ROUNDUP(SUMIF($U$5:$U$126,B141,$W$5:$W$126),0)</f>
        <v>9</v>
      </c>
      <c r="G141" s="3" t="n">
        <v>12</v>
      </c>
      <c r="H141" s="3" t="str">
        <f aca="false">IF(F141&lt;=G141,"Alcanza","No alcanza")</f>
        <v>Alcanza</v>
      </c>
    </row>
    <row r="142" customFormat="false" ht="15" hidden="false" customHeight="false" outlineLevel="0" collapsed="false">
      <c r="A142" s="3"/>
      <c r="B142" s="3" t="s">
        <v>697</v>
      </c>
      <c r="C142" s="3"/>
      <c r="D142" s="3"/>
      <c r="E142" s="3"/>
      <c r="F142" s="3" t="n">
        <f aca="false">ROUNDUP(SUMIF($U$5:$U$126,B142,$W$5:$W$126),0)</f>
        <v>8</v>
      </c>
      <c r="G142" s="3" t="n">
        <v>8</v>
      </c>
      <c r="H142" s="3" t="str">
        <f aca="false">IF(F142&lt;=G142,"Alcanza","No alcanza")</f>
        <v>Alcanza</v>
      </c>
    </row>
  </sheetData>
  <autoFilter ref="A4:W126"/>
  <mergeCells count="6">
    <mergeCell ref="A3:E3"/>
    <mergeCell ref="F3:H3"/>
    <mergeCell ref="I3:K3"/>
    <mergeCell ref="L3:N3"/>
    <mergeCell ref="O3:T3"/>
    <mergeCell ref="U3:W3"/>
  </mergeCells>
  <hyperlinks>
    <hyperlink ref="K5" r:id="rId2" display="Aproximado: AcerosYa (Sarandí): https://www.acerosya.com/preguntas_frecuentes/"/>
    <hyperlink ref="K18" r:id="rId3" display="Aproximado: Importa Fácil (China): https://importa-facil.com.ar/cuanto-cuesta-importar-de-china-argentina"/>
    <hyperlink ref="K19" r:id="rId4" display="Aproximado: Importa Fácil (China): https://importa-facil.com.ar/cuanto-cuesta-importar-de-china-argentina"/>
    <hyperlink ref="K20" r:id="rId5" display="Aproximado: Importa Fácil (China): https://importa-facil.com.ar/cuanto-cuesta-importar-de-china-argentina"/>
    <hyperlink ref="K25" r:id="rId6" display="Aproximado: AcerosYa (Sarandí): https://www.acerosya.com/preguntas_frecuentes/"/>
    <hyperlink ref="K26" r:id="rId7" display="Aproximado: AcerosYa (Sarandí): https://www.acerosya.com/preguntas_frecuentes/"/>
    <hyperlink ref="K27" r:id="rId8" display="Aproximado: Metapol (CABA): https://metapol.com.ar/productos/sae-1045.html"/>
    <hyperlink ref="K28" r:id="rId9" display="Aproximado: Metapol (CABA): https://metapol.com.ar/productos/sae-1045.html"/>
    <hyperlink ref="K29" r:id="rId10" display="Würth Argentina: https://www.wurth.com.ar/contenidos/preguntas-frecuentes/tiempos-de-entrega.html"/>
    <hyperlink ref="K30" r:id="rId11" display="Würth Argentina: https://www.wurth.com.ar/contenidos/preguntas-frecuentes/tiempos-de-entrega.html"/>
    <hyperlink ref="K31" r:id="rId12" display="Aproximado: Morshop: https://www.morshop.com.ar/envios-y-retiros/"/>
    <hyperlink ref="K32" r:id="rId13" display="Aproximado: Morshop: https://www.morshop.com.ar/envios-y-retiros/"/>
    <hyperlink ref="K33" r:id="rId14" display="Aproximado: Morshop: https://www.morshop.com.ar/envios-y-retiros/"/>
    <hyperlink ref="K34" r:id="rId15" display="Soldanet: https://soldanet.com/preguntasfrecuentes"/>
    <hyperlink ref="K35" r:id="rId16" display="Soldanet: https://soldanet.com/preguntasfrecuentes"/>
    <hyperlink ref="K37" r:id="rId17" display="Würth Argentina: https://www.wurth.com.ar/contenidos/preguntas-frecuentes/tiempos-de-entrega.html"/>
    <hyperlink ref="K38" r:id="rId18" display="Espacio Industria (Munro): https://espacio-industria.com/"/>
    <hyperlink ref="K39" r:id="rId19" display="Würth Argentina: https://www.wurth.com.ar/contenidos/preguntas-frecuentes/tiempos-de-entrega.html"/>
    <hyperlink ref="K40" r:id="rId20" display="Espacio Industria (Munro): https://espacio-industria.com/"/>
    <hyperlink ref="K41" r:id="rId21" display="Würth Argentina: https://www.wurth.com.ar/contenidos/preguntas-frecuentes/tiempos-de-entrega.html"/>
    <hyperlink ref="K42" r:id="rId22" display="Aproximado: EGM Trader (Florida): https://egmtrader.mercadoshops.com.ar/MLA-907638018-granalla-de-acero-al-carbono-esferica-varias-medidas-x-25-kg-_JM"/>
    <hyperlink ref="K43" r:id="rId23" display="Aproximado: Enamels (Lanús): https://www.enamels.com.ar/la-empresa/"/>
    <hyperlink ref="K44" r:id="rId24" display="Aproximado: Grupo Oxicas (Santa Fe): https://www.grupooxicas.com/content/9-envios"/>
    <hyperlink ref="K45" r:id="rId25" display="Aproximado: Grupo Oxicas (Santa Fe): https://www.grupooxicas.com/content/9-envios"/>
    <hyperlink ref="K47" r:id="rId26" display="Aproximado: Grupo Oxicas (Santa Fe): https://www.grupooxicas.com/content/9-envios"/>
    <hyperlink ref="K48" r:id="rId27" display="Aproximado: Grupo Oxicas (Santa Fe): https://www.grupooxicas.com/content/9-envios"/>
    <hyperlink ref="K50" r:id="rId28" display="Aproximado: Grupo Oxicas (Santa Fe): https://www.grupooxicas.com/content/9-envios"/>
    <hyperlink ref="K51" r:id="rId29" display="Aproximado: Vernassa (CABA): https://vernassa.com.ar/pt/producto/concentrado-espumigeno-de-baja-expansion-afff/"/>
    <hyperlink ref="K52" r:id="rId30" display="Aproximado: Grupo Oxicas (Santa Fe): https://www.grupooxicas.com/content/9-envios"/>
    <hyperlink ref="K53" r:id="rId31" display="Aproximado: El Galpón (Corrientes): https://seguridad.elgalponcorrientes.com.ar/informacion/"/>
    <hyperlink ref="K54" r:id="rId32" display="Aproximado: El Galpón (Corrientes): https://seguridad.elgalponcorrientes.com.ar/informacion/"/>
    <hyperlink ref="K55" r:id="rId33" display="Aproximado: El Galpón (Corrientes): https://seguridad.elgalponcorrientes.com.ar/informacion/"/>
    <hyperlink ref="K56" r:id="rId34" display="Aproximado: El Galpón (Corrientes): https://seguridad.elgalponcorrientes.com.ar/informacion/"/>
    <hyperlink ref="K57" r:id="rId35" display="Aproximado: El Galpón (Corrientes): https://seguridad.elgalponcorrientes.com.ar/informacion/"/>
    <hyperlink ref="K58" r:id="rId36" display="Aproximado: El Galpón (Corrientes): https://seguridad.elgalponcorrientes.com.ar/informacion/"/>
    <hyperlink ref="K59" r:id="rId37" display="Aproximado: El Galpón (Corrientes): https://seguridad.elgalponcorrientes.com.ar/informacion/"/>
    <hyperlink ref="K60" r:id="rId38" display="Aproximado: El Galpón (Corrientes): https://seguridad.elgalponcorrientes.com.ar/informacion/"/>
    <hyperlink ref="K61" r:id="rId39" display="Aproximado: El Galpón (Corrientes): https://seguridad.elgalponcorrientes.com.ar/informacion/"/>
    <hyperlink ref="K62" r:id="rId40" display="Aproximado: El Galpón (Corrientes): https://seguridad.elgalponcorrientes.com.ar/informacion/"/>
    <hyperlink ref="K63" r:id="rId41" display="Aproximado: El Galpón (Corrientes): https://seguridad.elgalponcorrientes.com.ar/informacion/"/>
    <hyperlink ref="K64" r:id="rId42" display="Aproximado: El Galpón (Corrientes): https://seguridad.elgalponcorrientes.com.ar/informacion/"/>
    <hyperlink ref="K65" r:id="rId43" display="Aproximado: El Galpón (Corrientes): https://seguridad.elgalponcorrientes.com.ar/informacion/"/>
    <hyperlink ref="K66" r:id="rId44" display="Aproximado: El Galpón (Corrientes): https://seguridad.elgalponcorrientes.com.ar/informacion/"/>
    <hyperlink ref="K67" r:id="rId45" display="Aproximado: El Galpón (Corrientes): https://seguridad.elgalponcorrientes.com.ar/informacion/"/>
    <hyperlink ref="K68" r:id="rId46" display="Aproximado: El Galpón (Corrientes): https://seguridad.elgalponcorrientes.com.ar/informacion/"/>
    <hyperlink ref="K69" r:id="rId47" display="Aproximado: El Galpón (Corrientes): https://seguridad.elgalponcorrientes.com.ar/informacion/"/>
    <hyperlink ref="K70" r:id="rId48" display="Aproximado: El Galpón (Corrientes): https://seguridad.elgalponcorrientes.com.ar/informacion/"/>
    <hyperlink ref="K71" r:id="rId49" display="Aproximado: El Galpón (Corrientes): https://seguridad.elgalponcorrientes.com.ar/informacion/"/>
    <hyperlink ref="K72" r:id="rId50" display="Aproximado: El Galpón (Corrientes): https://seguridad.elgalponcorrientes.com.ar/informacion/"/>
    <hyperlink ref="K73" r:id="rId51" display="Argensold (Lomas del Mirador): https://www.facebook.com/people/Argensold-el-nombre-del-Oring/100091676384453/"/>
    <hyperlink ref="K74" r:id="rId52" display="Argensold (Lomas del Mirador): https://www.facebook.com/people/Argensold-el-nombre-del-Oring/100091676384453/"/>
    <hyperlink ref="K75" r:id="rId53" display="Argensold (Lomas del Mirador): https://www.facebook.com/people/Argensold-el-nombre-del-Oring/100091676384453/"/>
    <hyperlink ref="K76" r:id="rId54" display="Würth Argentina: https://www.wurth.com.ar/contenidos/preguntas-frecuentes/tiempos-de-entrega.html"/>
    <hyperlink ref="K77" r:id="rId55" display="Matafuegos Aconcagua (J. C. Paz): https://www.matafuegosaconcagua.com/preguntas-frecuentes/"/>
    <hyperlink ref="K78" r:id="rId56" display="Matafuegos Aconcagua (J. C. Paz): https://www.matafuegosaconcagua.com/preguntas-frecuentes/"/>
    <hyperlink ref="K79" r:id="rId57" display="Matafuegos Aconcagua (J. C. Paz): https://www.matafuegosaconcagua.com/preguntas-frecuentes/"/>
    <hyperlink ref="K80" r:id="rId58" display="Matafuegos Aconcagua (J. C. Paz): https://www.matafuegosaconcagua.com/preguntas-frecuentes/"/>
    <hyperlink ref="K81" r:id="rId59" display="Würth Argentina: https://www.wurth.com.ar/contenidos/preguntas-frecuentes/tiempos-de-entrega.html"/>
    <hyperlink ref="K82" r:id="rId60" display="Aproximado: El Galpón (Corrientes): https://seguridad.elgalponcorrientes.com.ar/informacion/"/>
    <hyperlink ref="K83" r:id="rId61" display="Rotolan (Lanús): https://rotolan.com.ar/etiquetas-en-rollo.html"/>
    <hyperlink ref="K84" r:id="rId62" display="Rotolan (Lanús): https://rotolan.com.ar/etiquetas-en-rollo.html"/>
    <hyperlink ref="K85" r:id="rId63" display="Rotolan (Lanús): https://rotolan.com.ar/etiquetas-en-rollo.html"/>
    <hyperlink ref="K86" r:id="rId64" display="RotulArte (CABA): https://rotularte.com.ar/impresion-vinilo-autoadhesivo/"/>
    <hyperlink ref="K87" r:id="rId65" display="RotulArte (CABA): https://rotularte.com.ar/impresion-vinilo-autoadhesivo/"/>
    <hyperlink ref="K88" r:id="rId66" display="RotulArte (CABA): https://rotularte.com.ar/impresion-vinilo-autoadhesivo/"/>
    <hyperlink ref="K89" r:id="rId67" display="RotulArte (CABA): https://rotularte.com.ar/impresion-vinilo-autoadhesivo/"/>
    <hyperlink ref="K90" r:id="rId68" display="RotulArte (CABA): https://rotularte.com.ar/impresion-vinilo-autoadhesivo/"/>
    <hyperlink ref="K91" r:id="rId69" display="Trámite DPS (Res. 349/07): https://www.ambiente.gba.gob.ar/sites/default/files/RESOLUCION%20349%2007.pdf"/>
    <hyperlink ref="K92" r:id="rId70" display="IRAM (DC-PG-129): https://quesosespeciales.com/resources/img/quality/DC-PG_129_IRAM.pdf"/>
    <hyperlink ref="K93" r:id="rId71" display="Trámite AGC: https://www.buenosaires.gob.ar/tramites/registro-de-fabricacion-reparacion-recarga-instalacion-y-control-de-extintores-matafuegos-y"/>
    <hyperlink ref="K94" r:id="rId72" display="Rotolan (Lanús): https://rotolan.com.ar/etiquetas-en-rollo.html"/>
    <hyperlink ref="K95" r:id="rId73" display="Rotolan (Lanús): https://rotolan.com.ar/etiquetas-en-rollo.html"/>
    <hyperlink ref="K96" r:id="rId74" display="Papelera Damián: https://papeleradamian.com/presta/content/delivery.html"/>
    <hyperlink ref="K97" r:id="rId75" display="Rotolan (Lanús): https://rotolan.com.ar/etiquetas-en-rollo.html"/>
    <hyperlink ref="K98" r:id="rId76" display="Aproximado: Martin Morris (Coronel Suárez): https://www.martinmorris.ar/shipping-policies"/>
    <hyperlink ref="K99" r:id="rId77" display="Aproximado: Martin Morris (Coronel Suárez): https://www.martinmorris.ar/shipping-policies"/>
    <hyperlink ref="K100" r:id="rId78" display="Aproximado: Martin Morris (Coronel Suárez): https://www.martinmorris.ar/shipping-policies"/>
    <hyperlink ref="K101" r:id="rId79" display="Formas Visuales (Lanús): https://www.todolanus.com.ar/rubro/imprentas-talleres-graficos"/>
    <hyperlink ref="K102" r:id="rId80" display="Rotolan (Lanús): https://rotolan.com.ar/etiquetas-en-rollo.html"/>
    <hyperlink ref="K103" r:id="rId81" display="Papelera Damián: https://papeleradamian.com/presta/content/delivery.html"/>
    <hyperlink ref="K104" r:id="rId82" display="Rotolan (Lanús): https://rotolan.com.ar/etiquetas-en-rollo.html"/>
    <hyperlink ref="K105" r:id="rId83" display="Trámite DPS (Res. 349/07): https://www.ambiente.gba.gob.ar/sites/default/files/RESOLUCION%20349%2007.pdf"/>
    <hyperlink ref="K106" r:id="rId84" display="Trámite DPS (Res. 349/07): https://www.ambiente.gba.gob.ar/sites/default/files/RESOLUCION%20349%2007.pdf"/>
    <hyperlink ref="K107" r:id="rId85" display="Rotolan (Lanús): https://rotolan.com.ar/etiquetas-en-rollo.html"/>
    <hyperlink ref="K108" r:id="rId86" display="Trámite DPS (Res. 349/07): https://www.ambiente.gba.gob.ar/sites/default/files/RESOLUCION%20349%2007.pdf"/>
    <hyperlink ref="K109" r:id="rId87" display="Trámite AGC: https://www.buenosaires.gob.ar/tramites/registro-de-fabricacion-reparacion-recarga-instalacion-y-control-de-extintores-matafuegos-y"/>
    <hyperlink ref="K110" r:id="rId88" display="Aproximado: Pinturerías Mafer: https://www.pintureriasmafer.com.ar/terminos-y-condiciones/"/>
    <hyperlink ref="K111" r:id="rId89" display="Sellerpack (Pompeya): https://sellerpack.com.ar/industrias/construccion-industria/"/>
    <hyperlink ref="K112" r:id="rId90" display="Sellerpack (Pompeya): https://sellerpack.com.ar/industrias/construccion-industria/"/>
    <hyperlink ref="K113" r:id="rId91" display="Sellerpack (Pompeya): https://sellerpack.com.ar/industrias/construccion-industria/"/>
    <hyperlink ref="K114" r:id="rId92" display="Sellerpack (Pompeya): https://sellerpack.com.ar/industrias/construccion-industria/"/>
    <hyperlink ref="K115" r:id="rId93" display="Rotolan (Lanús): https://rotolan.com.ar/etiquetas-en-rollo.html"/>
    <hyperlink ref="K116" r:id="rId94" display="Aproximado: Depallet: https://depallet.com.ar/logistica/"/>
    <hyperlink ref="K117" r:id="rId95" display="Rotolan (Lanús): https://rotolan.com.ar/etiquetas-en-rollo.html"/>
    <hyperlink ref="K118" r:id="rId96" display="Maxiseguridad (Munro): https://www.maxiseguridad.com.ar/detalle-noticias-maxiseguridad/169/Venta-y-Recarga-de-Matafuegos-en-Forma-Online"/>
    <hyperlink ref="K119" r:id="rId97" display="Maxiseguridad (Munro): https://www.maxiseguridad.com.ar/detalle-noticias-maxiseguridad/169/Venta-y-Recarga-de-Matafuegos-en-Forma-Online"/>
    <hyperlink ref="K120" r:id="rId98" display="Maxiseguridad (Munro): https://www.maxiseguridad.com.ar/detalle-noticias-maxiseguridad/169/Venta-y-Recarga-de-Matafuegos-en-Forma-Online"/>
    <hyperlink ref="K121" r:id="rId99" display="Maxiseguridad (Munro): https://www.maxiseguridad.com.ar/detalle-noticias-maxiseguridad/169/Venta-y-Recarga-de-Matafuegos-en-Forma-Online"/>
    <hyperlink ref="K122" r:id="rId100" display="Matafuegos Rodo: https://www.matafuegosrodo.com/"/>
    <hyperlink ref="K123" r:id="rId101" display="Maxiseguridad (Munro): https://www.maxiseguridad.com.ar/detalle-noticias-maxiseguridad/169/Venta-y-Recarga-de-Matafuegos-en-Forma-Online"/>
    <hyperlink ref="K124" r:id="rId102" display="Matafuegos Rodo: https://www.matafuegosrodo.com/"/>
    <hyperlink ref="K125" r:id="rId103" display="Matafuegos Rodo: https://www.matafuegosrodo.com/"/>
    <hyperlink ref="K126" r:id="rId104" display="Aproximado: Matafuegos Aconcagua (J. C. Paz): https://www.matafuegosaconcagua.com/preguntas-frecuente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5"/>
  <legacyDrawing r:id="rId106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0"/>
    <pageSetUpPr fitToPage="false"/>
  </sheetPr>
  <dimension ref="A1:V9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.13"/>
    <col collapsed="false" customWidth="true" hidden="false" outlineLevel="0" max="2" min="2" style="0" width="15.63"/>
    <col collapsed="false" customWidth="true" hidden="false" outlineLevel="0" max="8" min="8" style="0" width="13.5"/>
    <col collapsed="false" customWidth="true" hidden="false" outlineLevel="0" max="11" min="11" style="0" width="14.38"/>
    <col collapsed="false" customWidth="true" hidden="false" outlineLevel="0" max="12" min="12" style="0" width="17.13"/>
    <col collapsed="false" customWidth="true" hidden="false" outlineLevel="0" max="13" min="13" style="0" width="15.38"/>
  </cols>
  <sheetData>
    <row r="1" customFormat="false" ht="15" hidden="false" customHeight="false" outlineLevel="0" collapsed="false">
      <c r="A1" s="18" t="s">
        <v>886</v>
      </c>
    </row>
    <row r="2" customFormat="false" ht="15" hidden="false" customHeight="false" outlineLevel="0" collapsed="false">
      <c r="A2" s="18" t="s">
        <v>887</v>
      </c>
      <c r="B2" s="18" t="n">
        <v>2026</v>
      </c>
      <c r="C2" s="18" t="n">
        <v>2027</v>
      </c>
      <c r="D2" s="18" t="n">
        <v>2028</v>
      </c>
      <c r="E2" s="18" t="n">
        <v>2029</v>
      </c>
      <c r="F2" s="18" t="n">
        <v>2030</v>
      </c>
      <c r="G2" s="18" t="n">
        <v>2031</v>
      </c>
      <c r="H2" s="18" t="n">
        <v>2032</v>
      </c>
      <c r="I2" s="18" t="n">
        <v>2033</v>
      </c>
      <c r="J2" s="18" t="n">
        <v>2034</v>
      </c>
      <c r="K2" s="18" t="n">
        <v>2035</v>
      </c>
      <c r="L2" s="18" t="s">
        <v>888</v>
      </c>
    </row>
    <row r="3" customFormat="false" ht="15" hidden="false" customHeight="false" outlineLevel="0" collapsed="false">
      <c r="A3" s="19" t="s">
        <v>144</v>
      </c>
      <c r="B3" s="20" t="n">
        <v>4178.736543</v>
      </c>
      <c r="C3" s="20" t="n">
        <v>5997.303977</v>
      </c>
      <c r="D3" s="20" t="n">
        <v>6851.747758</v>
      </c>
      <c r="E3" s="20" t="n">
        <v>8467.135549</v>
      </c>
      <c r="F3" s="20" t="n">
        <v>12680.63271</v>
      </c>
      <c r="G3" s="20" t="n">
        <v>15620.25307</v>
      </c>
      <c r="H3" s="20" t="n">
        <v>20332.55326</v>
      </c>
      <c r="I3" s="20" t="n">
        <v>25132.07848</v>
      </c>
      <c r="J3" s="20" t="n">
        <v>28573.33614</v>
      </c>
      <c r="K3" s="20" t="n">
        <v>32072.63913</v>
      </c>
      <c r="L3" s="21" t="n">
        <v>0.4339875715</v>
      </c>
    </row>
    <row r="4" customFormat="false" ht="15" hidden="false" customHeight="false" outlineLevel="0" collapsed="false">
      <c r="A4" s="19" t="s">
        <v>145</v>
      </c>
      <c r="B4" s="20" t="n">
        <v>295.0303572</v>
      </c>
      <c r="C4" s="20" t="n">
        <v>709.7274503</v>
      </c>
      <c r="D4" s="20" t="n">
        <v>986.8680576</v>
      </c>
      <c r="E4" s="20" t="n">
        <v>1500.638174</v>
      </c>
      <c r="F4" s="20" t="n">
        <v>2312.627726</v>
      </c>
      <c r="G4" s="20" t="n">
        <v>3252.869887</v>
      </c>
      <c r="H4" s="20" t="n">
        <v>4102.315524</v>
      </c>
      <c r="I4" s="20" t="n">
        <v>5104.306587</v>
      </c>
      <c r="J4" s="20" t="n">
        <v>6195.186243</v>
      </c>
      <c r="K4" s="20" t="n">
        <v>7424.858444</v>
      </c>
      <c r="L4" s="21" t="n">
        <v>0.1004686977</v>
      </c>
    </row>
    <row r="5" customFormat="false" ht="15" hidden="false" customHeight="false" outlineLevel="0" collapsed="false">
      <c r="A5" s="19" t="s">
        <v>146</v>
      </c>
      <c r="B5" s="20" t="n">
        <v>2255.773025</v>
      </c>
      <c r="C5" s="20" t="n">
        <v>3846.978881</v>
      </c>
      <c r="D5" s="20" t="n">
        <v>5093.537591</v>
      </c>
      <c r="E5" s="20" t="n">
        <v>6823.115313</v>
      </c>
      <c r="F5" s="20" t="n">
        <v>10819.30694</v>
      </c>
      <c r="G5" s="20" t="n">
        <v>14605.96411</v>
      </c>
      <c r="H5" s="20" t="n">
        <v>18877.75984</v>
      </c>
      <c r="I5" s="20" t="n">
        <v>23368.18637</v>
      </c>
      <c r="J5" s="20" t="n">
        <v>26967.72455</v>
      </c>
      <c r="K5" s="20" t="n">
        <v>30750.77872</v>
      </c>
      <c r="L5" s="21" t="n">
        <v>0.4161009552</v>
      </c>
    </row>
    <row r="6" customFormat="false" ht="15" hidden="false" customHeight="false" outlineLevel="0" collapsed="false">
      <c r="A6" s="19" t="s">
        <v>147</v>
      </c>
      <c r="B6" s="20" t="n">
        <v>91.83318153</v>
      </c>
      <c r="C6" s="20" t="n">
        <v>177.2472967</v>
      </c>
      <c r="D6" s="20" t="n">
        <v>252.9787798</v>
      </c>
      <c r="E6" s="20" t="n">
        <v>358.0204941</v>
      </c>
      <c r="F6" s="20" t="n">
        <v>602.7181519</v>
      </c>
      <c r="G6" s="20" t="n">
        <v>872.605032</v>
      </c>
      <c r="H6" s="20" t="n">
        <v>1127.160545</v>
      </c>
      <c r="I6" s="20" t="n">
        <v>1395.444812</v>
      </c>
      <c r="J6" s="20" t="n">
        <v>1612.350054</v>
      </c>
      <c r="K6" s="20" t="n">
        <v>1840.848079</v>
      </c>
      <c r="L6" s="21" t="n">
        <v>0.02490924379</v>
      </c>
    </row>
    <row r="7" customFormat="false" ht="15" hidden="false" customHeight="false" outlineLevel="0" collapsed="false">
      <c r="A7" s="19" t="s">
        <v>889</v>
      </c>
      <c r="B7" s="20" t="n">
        <v>34.05179136</v>
      </c>
      <c r="C7" s="20" t="n">
        <v>58.46214745</v>
      </c>
      <c r="D7" s="20" t="n">
        <v>75.20853998</v>
      </c>
      <c r="E7" s="20" t="n">
        <v>100.5298529</v>
      </c>
      <c r="F7" s="20" t="n">
        <v>155.8760035</v>
      </c>
      <c r="G7" s="20" t="n">
        <v>211.9344827</v>
      </c>
      <c r="H7" s="20" t="n">
        <v>272.6682332</v>
      </c>
      <c r="I7" s="20" t="n">
        <v>337.8486707</v>
      </c>
      <c r="J7" s="20" t="n">
        <v>393.6274156</v>
      </c>
      <c r="K7" s="20" t="n">
        <v>453.2705332</v>
      </c>
      <c r="L7" s="21" t="n">
        <v>0.006133382949</v>
      </c>
    </row>
    <row r="8" customFormat="false" ht="15" hidden="false" customHeight="false" outlineLevel="0" collapsed="false">
      <c r="A8" s="19" t="s">
        <v>890</v>
      </c>
      <c r="B8" s="20" t="n">
        <v>74.913941</v>
      </c>
      <c r="C8" s="20" t="n">
        <v>128.6167244</v>
      </c>
      <c r="D8" s="20" t="n">
        <v>165.458788</v>
      </c>
      <c r="E8" s="20" t="n">
        <v>221.1656765</v>
      </c>
      <c r="F8" s="20" t="n">
        <v>342.9272077</v>
      </c>
      <c r="G8" s="20" t="n">
        <v>466.255862</v>
      </c>
      <c r="H8" s="20" t="n">
        <v>599.8701129</v>
      </c>
      <c r="I8" s="20" t="n">
        <v>743.2670756</v>
      </c>
      <c r="J8" s="20" t="n">
        <v>865.9803143</v>
      </c>
      <c r="K8" s="20" t="n">
        <v>997.1951731</v>
      </c>
      <c r="L8" s="21" t="n">
        <v>0.01349344249</v>
      </c>
    </row>
    <row r="9" customFormat="false" ht="15" hidden="false" customHeight="false" outlineLevel="0" collapsed="false">
      <c r="A9" s="19" t="s">
        <v>891</v>
      </c>
      <c r="B9" s="20" t="n">
        <v>16.34485985</v>
      </c>
      <c r="C9" s="20" t="n">
        <v>28.06183078</v>
      </c>
      <c r="D9" s="20" t="n">
        <v>36.10009919</v>
      </c>
      <c r="E9" s="20" t="n">
        <v>48.25432941</v>
      </c>
      <c r="F9" s="20" t="n">
        <v>74.82048167</v>
      </c>
      <c r="G9" s="20" t="n">
        <v>101.7285517</v>
      </c>
      <c r="H9" s="20" t="n">
        <v>130.8807519</v>
      </c>
      <c r="I9" s="20" t="n">
        <v>162.1673619</v>
      </c>
      <c r="J9" s="20" t="n">
        <v>188.9411595</v>
      </c>
      <c r="K9" s="20" t="n">
        <v>217.569856</v>
      </c>
      <c r="L9" s="21" t="n">
        <v>0.002944023815</v>
      </c>
    </row>
    <row r="10" customFormat="false" ht="15" hidden="false" customHeight="false" outlineLevel="0" collapsed="false">
      <c r="A10" s="19" t="s">
        <v>892</v>
      </c>
      <c r="B10" s="20" t="n">
        <v>10.89657324</v>
      </c>
      <c r="C10" s="20" t="n">
        <v>18.70788719</v>
      </c>
      <c r="D10" s="20" t="n">
        <v>24.06673279</v>
      </c>
      <c r="E10" s="20" t="n">
        <v>32.16955294</v>
      </c>
      <c r="F10" s="20" t="n">
        <v>49.88032112</v>
      </c>
      <c r="G10" s="20" t="n">
        <v>67.81903447</v>
      </c>
      <c r="H10" s="20" t="n">
        <v>87.25383461</v>
      </c>
      <c r="I10" s="20" t="n">
        <v>108.1115746</v>
      </c>
      <c r="J10" s="20" t="n">
        <v>125.960773</v>
      </c>
      <c r="K10" s="20" t="n">
        <v>145.0465706</v>
      </c>
      <c r="L10" s="21" t="n">
        <v>0.001962682544</v>
      </c>
    </row>
    <row r="11" customFormat="false" ht="15" hidden="false" customHeight="false" outlineLevel="0" collapsed="false">
      <c r="A11" s="18" t="s">
        <v>893</v>
      </c>
      <c r="B11" s="22" t="n">
        <v>6957.580272</v>
      </c>
      <c r="C11" s="22" t="n">
        <v>10965.10619</v>
      </c>
      <c r="D11" s="22" t="n">
        <v>13485.96635</v>
      </c>
      <c r="E11" s="22" t="n">
        <v>17551.02894</v>
      </c>
      <c r="F11" s="22" t="n">
        <v>27038.78955</v>
      </c>
      <c r="G11" s="22" t="n">
        <v>35199.43004</v>
      </c>
      <c r="H11" s="22" t="n">
        <v>45530.46211</v>
      </c>
      <c r="I11" s="22" t="n">
        <v>56351.41093</v>
      </c>
      <c r="J11" s="22" t="n">
        <v>64923.10665</v>
      </c>
      <c r="K11" s="22" t="n">
        <v>73902.20651</v>
      </c>
      <c r="L11" s="23" t="n">
        <v>1</v>
      </c>
    </row>
    <row r="13" customFormat="false" ht="15" hidden="false" customHeight="false" outlineLevel="0" collapsed="false">
      <c r="A13" s="18" t="s">
        <v>894</v>
      </c>
    </row>
    <row r="14" customFormat="false" ht="15" hidden="false" customHeight="false" outlineLevel="0" collapsed="false">
      <c r="A14" s="18" t="s">
        <v>887</v>
      </c>
      <c r="B14" s="18" t="n">
        <v>2026</v>
      </c>
      <c r="C14" s="18" t="n">
        <v>2027</v>
      </c>
      <c r="D14" s="18" t="n">
        <v>2028</v>
      </c>
      <c r="E14" s="18" t="n">
        <v>2029</v>
      </c>
      <c r="F14" s="18" t="n">
        <v>2030</v>
      </c>
      <c r="G14" s="18" t="n">
        <v>2031</v>
      </c>
      <c r="H14" s="18" t="n">
        <v>2032</v>
      </c>
      <c r="I14" s="18" t="n">
        <v>2033</v>
      </c>
      <c r="J14" s="18" t="n">
        <v>2034</v>
      </c>
      <c r="K14" s="18" t="n">
        <v>2035</v>
      </c>
      <c r="L14" s="18" t="s">
        <v>888</v>
      </c>
    </row>
    <row r="15" customFormat="false" ht="15" hidden="false" customHeight="false" outlineLevel="0" collapsed="false">
      <c r="A15" s="19" t="s">
        <v>895</v>
      </c>
      <c r="B15" s="20" t="n">
        <v>0</v>
      </c>
      <c r="C15" s="20" t="n">
        <v>0</v>
      </c>
      <c r="D15" s="20" t="n">
        <v>7662.4</v>
      </c>
      <c r="E15" s="20" t="n">
        <v>26694.8</v>
      </c>
      <c r="F15" s="20" t="n">
        <v>49434.8</v>
      </c>
      <c r="G15" s="20" t="n">
        <v>71680.2</v>
      </c>
      <c r="H15" s="20" t="n">
        <v>101340.6</v>
      </c>
      <c r="I15" s="20" t="n">
        <v>131001</v>
      </c>
      <c r="J15" s="20" t="n">
        <v>146819.8</v>
      </c>
      <c r="K15" s="20" t="n">
        <v>170548</v>
      </c>
      <c r="L15" s="21" t="n">
        <v>0.7990816661</v>
      </c>
    </row>
    <row r="16" customFormat="false" ht="15" hidden="false" customHeight="false" outlineLevel="0" collapsed="false">
      <c r="A16" s="19" t="s">
        <v>896</v>
      </c>
      <c r="B16" s="20" t="n">
        <v>0</v>
      </c>
      <c r="C16" s="20" t="n">
        <v>0</v>
      </c>
      <c r="D16" s="20" t="n">
        <v>299.6</v>
      </c>
      <c r="E16" s="20" t="n">
        <v>1043.8</v>
      </c>
      <c r="F16" s="20" t="n">
        <v>1933</v>
      </c>
      <c r="G16" s="20" t="n">
        <v>2803</v>
      </c>
      <c r="H16" s="20" t="n">
        <v>3963</v>
      </c>
      <c r="I16" s="20" t="n">
        <v>5123</v>
      </c>
      <c r="J16" s="20" t="n">
        <v>5741.4</v>
      </c>
      <c r="K16" s="20" t="n">
        <v>6669</v>
      </c>
      <c r="L16" s="21" t="n">
        <v>0.0312467788</v>
      </c>
    </row>
    <row r="17" customFormat="false" ht="15" hidden="false" customHeight="false" outlineLevel="0" collapsed="false">
      <c r="A17" s="19" t="s">
        <v>897</v>
      </c>
      <c r="B17" s="20" t="n">
        <v>0</v>
      </c>
      <c r="C17" s="20" t="n">
        <v>0</v>
      </c>
      <c r="D17" s="20" t="n">
        <v>1478.8</v>
      </c>
      <c r="E17" s="20" t="n">
        <v>5152</v>
      </c>
      <c r="F17" s="20" t="n">
        <v>9540.8</v>
      </c>
      <c r="G17" s="20" t="n">
        <v>13834.2</v>
      </c>
      <c r="H17" s="20" t="n">
        <v>19558.6</v>
      </c>
      <c r="I17" s="20" t="n">
        <v>25283</v>
      </c>
      <c r="J17" s="20" t="n">
        <v>28335.8</v>
      </c>
      <c r="K17" s="20" t="n">
        <v>32915</v>
      </c>
      <c r="L17" s="21" t="n">
        <v>0.1542191819</v>
      </c>
    </row>
    <row r="18" customFormat="false" ht="15" hidden="false" customHeight="false" outlineLevel="0" collapsed="false">
      <c r="A18" s="19" t="s">
        <v>898</v>
      </c>
      <c r="B18" s="20" t="n">
        <v>0</v>
      </c>
      <c r="C18" s="20" t="n">
        <v>0</v>
      </c>
      <c r="D18" s="20" t="n">
        <v>90.4</v>
      </c>
      <c r="E18" s="20" t="n">
        <v>315</v>
      </c>
      <c r="F18" s="20" t="n">
        <v>583.4</v>
      </c>
      <c r="G18" s="20" t="n">
        <v>845.8</v>
      </c>
      <c r="H18" s="20" t="n">
        <v>1195.4</v>
      </c>
      <c r="I18" s="20" t="n">
        <v>1545</v>
      </c>
      <c r="J18" s="20" t="n">
        <v>1731.4</v>
      </c>
      <c r="K18" s="20" t="n">
        <v>2011</v>
      </c>
      <c r="L18" s="21" t="n">
        <v>0.009422293023</v>
      </c>
    </row>
    <row r="19" customFormat="false" ht="15" hidden="false" customHeight="false" outlineLevel="0" collapsed="false">
      <c r="A19" s="19" t="s">
        <v>899</v>
      </c>
      <c r="B19" s="20" t="n">
        <v>0</v>
      </c>
      <c r="C19" s="20" t="n">
        <v>0</v>
      </c>
      <c r="D19" s="20" t="n">
        <v>14.4</v>
      </c>
      <c r="E19" s="20" t="n">
        <v>50.2</v>
      </c>
      <c r="F19" s="20" t="n">
        <v>93</v>
      </c>
      <c r="G19" s="20" t="n">
        <v>135</v>
      </c>
      <c r="H19" s="20" t="n">
        <v>191</v>
      </c>
      <c r="I19" s="20" t="n">
        <v>247</v>
      </c>
      <c r="J19" s="20" t="n">
        <v>277</v>
      </c>
      <c r="K19" s="20" t="n">
        <v>322</v>
      </c>
      <c r="L19" s="21" t="n">
        <v>0.001508691374</v>
      </c>
    </row>
    <row r="20" customFormat="false" ht="15" hidden="false" customHeight="false" outlineLevel="0" collapsed="false">
      <c r="A20" s="19" t="s">
        <v>900</v>
      </c>
      <c r="B20" s="20" t="n">
        <v>0</v>
      </c>
      <c r="C20" s="20" t="n">
        <v>0</v>
      </c>
      <c r="D20" s="20" t="n">
        <v>31.8</v>
      </c>
      <c r="E20" s="20" t="n">
        <v>110.8</v>
      </c>
      <c r="F20" s="20" t="n">
        <v>205.2</v>
      </c>
      <c r="G20" s="20" t="n">
        <v>297.6</v>
      </c>
      <c r="H20" s="20" t="n">
        <v>420.8</v>
      </c>
      <c r="I20" s="20" t="n">
        <v>544</v>
      </c>
      <c r="J20" s="20" t="n">
        <v>609.6</v>
      </c>
      <c r="K20" s="20" t="n">
        <v>708</v>
      </c>
      <c r="L20" s="21" t="n">
        <v>0.003317246873</v>
      </c>
    </row>
    <row r="21" customFormat="false" ht="15" hidden="false" customHeight="false" outlineLevel="0" collapsed="false">
      <c r="A21" s="19" t="s">
        <v>901</v>
      </c>
      <c r="B21" s="20" t="n">
        <v>0</v>
      </c>
      <c r="C21" s="20" t="n">
        <v>0</v>
      </c>
      <c r="D21" s="20" t="n">
        <v>7</v>
      </c>
      <c r="E21" s="20" t="n">
        <v>24.4</v>
      </c>
      <c r="F21" s="20" t="n">
        <v>45.2</v>
      </c>
      <c r="G21" s="20" t="n">
        <v>65.4</v>
      </c>
      <c r="H21" s="20" t="n">
        <v>92.2</v>
      </c>
      <c r="I21" s="20" t="n">
        <v>119</v>
      </c>
      <c r="J21" s="20" t="n">
        <v>133.4</v>
      </c>
      <c r="K21" s="20" t="n">
        <v>155</v>
      </c>
      <c r="L21" s="21" t="n">
        <v>0.0007262334255</v>
      </c>
    </row>
    <row r="22" customFormat="false" ht="15" hidden="false" customHeight="false" outlineLevel="0" collapsed="false">
      <c r="A22" s="19" t="s">
        <v>902</v>
      </c>
      <c r="B22" s="20" t="n">
        <v>0</v>
      </c>
      <c r="C22" s="20" t="n">
        <v>0</v>
      </c>
      <c r="D22" s="20" t="n">
        <v>4.6</v>
      </c>
      <c r="E22" s="20" t="n">
        <v>16</v>
      </c>
      <c r="F22" s="20" t="n">
        <v>29.6</v>
      </c>
      <c r="G22" s="20" t="n">
        <v>42.8</v>
      </c>
      <c r="H22" s="20" t="n">
        <v>60.4</v>
      </c>
      <c r="I22" s="20" t="n">
        <v>78</v>
      </c>
      <c r="J22" s="20" t="n">
        <v>87.6</v>
      </c>
      <c r="K22" s="20" t="n">
        <v>102</v>
      </c>
      <c r="L22" s="21" t="n">
        <v>0.0004779084477</v>
      </c>
    </row>
    <row r="23" customFormat="false" ht="15" hidden="false" customHeight="false" outlineLevel="0" collapsed="false">
      <c r="A23" s="18" t="s">
        <v>903</v>
      </c>
      <c r="B23" s="22" t="n">
        <v>0</v>
      </c>
      <c r="C23" s="22" t="n">
        <v>0</v>
      </c>
      <c r="D23" s="22" t="n">
        <v>9589</v>
      </c>
      <c r="E23" s="22" t="n">
        <v>33407</v>
      </c>
      <c r="F23" s="22" t="n">
        <v>61865</v>
      </c>
      <c r="G23" s="22" t="n">
        <v>89704</v>
      </c>
      <c r="H23" s="22" t="n">
        <v>126822</v>
      </c>
      <c r="I23" s="22" t="n">
        <v>163940</v>
      </c>
      <c r="J23" s="22" t="n">
        <v>183736</v>
      </c>
      <c r="K23" s="22" t="n">
        <v>213430</v>
      </c>
      <c r="L23" s="23" t="n">
        <v>1</v>
      </c>
    </row>
    <row r="25" customFormat="false" ht="15" hidden="false" customHeight="false" outlineLevel="0" collapsed="false">
      <c r="A25" s="18" t="s">
        <v>5</v>
      </c>
    </row>
    <row r="26" customFormat="false" ht="15" hidden="false" customHeight="false" outlineLevel="0" collapsed="false">
      <c r="A26" s="18" t="s">
        <v>887</v>
      </c>
      <c r="B26" s="18" t="n">
        <v>2026</v>
      </c>
      <c r="C26" s="18" t="n">
        <v>2027</v>
      </c>
      <c r="D26" s="18" t="n">
        <v>2028</v>
      </c>
      <c r="E26" s="18" t="n">
        <v>2029</v>
      </c>
      <c r="F26" s="18" t="n">
        <v>2030</v>
      </c>
      <c r="G26" s="18" t="n">
        <v>2031</v>
      </c>
      <c r="H26" s="18" t="n">
        <v>2032</v>
      </c>
      <c r="I26" s="18" t="n">
        <v>2033</v>
      </c>
      <c r="J26" s="18" t="n">
        <v>2034</v>
      </c>
      <c r="K26" s="18" t="n">
        <v>2035</v>
      </c>
      <c r="L26" s="18" t="s">
        <v>888</v>
      </c>
    </row>
    <row r="27" customFormat="false" ht="15" hidden="false" customHeight="false" outlineLevel="0" collapsed="false">
      <c r="A27" s="19" t="s">
        <v>144</v>
      </c>
      <c r="B27" s="20" t="n">
        <v>3477.482124</v>
      </c>
      <c r="C27" s="20" t="n">
        <v>16970.58564</v>
      </c>
      <c r="D27" s="20" t="n">
        <v>30546.08951</v>
      </c>
      <c r="E27" s="20" t="n">
        <v>56048.31106</v>
      </c>
      <c r="F27" s="20" t="n">
        <v>84270.22613</v>
      </c>
      <c r="G27" s="20" t="n">
        <v>117407.8231</v>
      </c>
      <c r="H27" s="20" t="n">
        <v>147610.6356</v>
      </c>
      <c r="I27" s="20" t="n">
        <v>171404.3607</v>
      </c>
      <c r="J27" s="20" t="n">
        <v>183690.566</v>
      </c>
      <c r="K27" s="20" t="n">
        <v>196282.6907</v>
      </c>
      <c r="L27" s="21" t="n">
        <v>0.5277726064</v>
      </c>
    </row>
    <row r="28" customFormat="false" ht="15" hidden="false" customHeight="false" outlineLevel="0" collapsed="false">
      <c r="A28" s="19" t="s">
        <v>145</v>
      </c>
      <c r="B28" s="20" t="n">
        <v>329.9966675</v>
      </c>
      <c r="C28" s="20" t="n">
        <v>1287.414024</v>
      </c>
      <c r="D28" s="20" t="n">
        <v>2947.169216</v>
      </c>
      <c r="E28" s="20" t="n">
        <v>5426.043269</v>
      </c>
      <c r="F28" s="20" t="n">
        <v>7850.875806</v>
      </c>
      <c r="G28" s="20" t="n">
        <v>10423.94365</v>
      </c>
      <c r="H28" s="20" t="n">
        <v>12809.89571</v>
      </c>
      <c r="I28" s="20" t="n">
        <v>14263.06831</v>
      </c>
      <c r="J28" s="20" t="n">
        <v>15432.86983</v>
      </c>
      <c r="K28" s="20" t="n">
        <v>16620.76117</v>
      </c>
      <c r="L28" s="21" t="n">
        <v>0.04469055529</v>
      </c>
    </row>
    <row r="29" customFormat="false" ht="15" hidden="false" customHeight="false" outlineLevel="0" collapsed="false">
      <c r="A29" s="19" t="s">
        <v>146</v>
      </c>
      <c r="B29" s="20" t="n">
        <v>1950.394097</v>
      </c>
      <c r="C29" s="20" t="n">
        <v>7852.61852</v>
      </c>
      <c r="D29" s="20" t="n">
        <v>17775.85701</v>
      </c>
      <c r="E29" s="20" t="n">
        <v>33605.56835</v>
      </c>
      <c r="F29" s="20" t="n">
        <v>48407.57189</v>
      </c>
      <c r="G29" s="20" t="n">
        <v>64323.04276</v>
      </c>
      <c r="H29" s="20" t="n">
        <v>78721.10039</v>
      </c>
      <c r="I29" s="20" t="n">
        <v>87237.2124</v>
      </c>
      <c r="J29" s="20" t="n">
        <v>94103.66761</v>
      </c>
      <c r="K29" s="20" t="n">
        <v>101095.1762</v>
      </c>
      <c r="L29" s="21" t="n">
        <v>0.2718286797</v>
      </c>
    </row>
    <row r="30" customFormat="false" ht="15" hidden="false" customHeight="false" outlineLevel="0" collapsed="false">
      <c r="A30" s="19" t="s">
        <v>147</v>
      </c>
      <c r="B30" s="20" t="n">
        <v>118.3436325</v>
      </c>
      <c r="C30" s="20" t="n">
        <v>437.7165779</v>
      </c>
      <c r="D30" s="20" t="n">
        <v>1024.974821</v>
      </c>
      <c r="E30" s="20" t="n">
        <v>1960.409862</v>
      </c>
      <c r="F30" s="20" t="n">
        <v>2844.976846</v>
      </c>
      <c r="G30" s="20" t="n">
        <v>3810.390622</v>
      </c>
      <c r="H30" s="20" t="n">
        <v>4663.67807</v>
      </c>
      <c r="I30" s="20" t="n">
        <v>5164.514584</v>
      </c>
      <c r="J30" s="20" t="n">
        <v>5571.544328</v>
      </c>
      <c r="K30" s="20" t="n">
        <v>5985.950855</v>
      </c>
      <c r="L30" s="21" t="n">
        <v>0.01609525972</v>
      </c>
    </row>
    <row r="31" customFormat="false" ht="15" hidden="false" customHeight="false" outlineLevel="0" collapsed="false">
      <c r="A31" s="19" t="s">
        <v>565</v>
      </c>
      <c r="B31" s="20" t="n">
        <v>159.308736</v>
      </c>
      <c r="C31" s="20" t="n">
        <v>643.4235418</v>
      </c>
      <c r="D31" s="20" t="n">
        <v>1474.362741</v>
      </c>
      <c r="E31" s="20" t="n">
        <v>2766.451205</v>
      </c>
      <c r="F31" s="20" t="n">
        <v>3991.465221</v>
      </c>
      <c r="G31" s="20" t="n">
        <v>5335.75578</v>
      </c>
      <c r="H31" s="20" t="n">
        <v>6538.958887</v>
      </c>
      <c r="I31" s="20" t="n">
        <v>7269.819681</v>
      </c>
      <c r="J31" s="20" t="n">
        <v>7855.44139</v>
      </c>
      <c r="K31" s="20" t="n">
        <v>8450.814081</v>
      </c>
      <c r="L31" s="21" t="n">
        <v>0.02272288075</v>
      </c>
    </row>
    <row r="32" customFormat="false" ht="15" hidden="false" customHeight="false" outlineLevel="0" collapsed="false">
      <c r="A32" s="19" t="s">
        <v>566</v>
      </c>
      <c r="B32" s="20" t="n">
        <v>22.75839086</v>
      </c>
      <c r="C32" s="20" t="n">
        <v>161.315751</v>
      </c>
      <c r="D32" s="20" t="n">
        <v>316.6072761</v>
      </c>
      <c r="E32" s="20" t="n">
        <v>527.3946199</v>
      </c>
      <c r="F32" s="20" t="n">
        <v>743.7889463</v>
      </c>
      <c r="G32" s="20" t="n">
        <v>962.8743352</v>
      </c>
      <c r="H32" s="20" t="n">
        <v>1194.942207</v>
      </c>
      <c r="I32" s="20" t="n">
        <v>1351.617183</v>
      </c>
      <c r="J32" s="20" t="n">
        <v>1477.54886</v>
      </c>
      <c r="K32" s="20" t="n">
        <v>1604.441422</v>
      </c>
      <c r="L32" s="21" t="n">
        <v>0.0043140851</v>
      </c>
    </row>
    <row r="33" customFormat="false" ht="15" hidden="false" customHeight="false" outlineLevel="0" collapsed="false">
      <c r="A33" s="19" t="s">
        <v>904</v>
      </c>
      <c r="B33" s="20" t="n">
        <v>11.37919543</v>
      </c>
      <c r="C33" s="20" t="n">
        <v>83.22351964</v>
      </c>
      <c r="D33" s="20" t="n">
        <v>164.4638337</v>
      </c>
      <c r="E33" s="20" t="n">
        <v>281.3411453</v>
      </c>
      <c r="F33" s="20" t="n">
        <v>398.9025091</v>
      </c>
      <c r="G33" s="20" t="n">
        <v>514.5272844</v>
      </c>
      <c r="H33" s="20" t="n">
        <v>629.0655051</v>
      </c>
      <c r="I33" s="20" t="n">
        <v>711.1780237</v>
      </c>
      <c r="J33" s="20" t="n">
        <v>773.4109798</v>
      </c>
      <c r="K33" s="20" t="n">
        <v>836.3508051</v>
      </c>
      <c r="L33" s="21" t="n">
        <v>0.002248812887</v>
      </c>
    </row>
    <row r="34" customFormat="false" ht="15" hidden="false" customHeight="false" outlineLevel="0" collapsed="false">
      <c r="A34" s="19" t="s">
        <v>568</v>
      </c>
      <c r="B34" s="20" t="n">
        <v>6.827517259</v>
      </c>
      <c r="C34" s="20" t="n">
        <v>47.07311209</v>
      </c>
      <c r="D34" s="20" t="n">
        <v>88.88967623</v>
      </c>
      <c r="E34" s="20" t="n">
        <v>159.5024913</v>
      </c>
      <c r="F34" s="20" t="n">
        <v>219.7962019</v>
      </c>
      <c r="G34" s="20" t="n">
        <v>291.8698531</v>
      </c>
      <c r="H34" s="20" t="n">
        <v>368.8441692</v>
      </c>
      <c r="I34" s="20" t="n">
        <v>408.4089531</v>
      </c>
      <c r="J34" s="20" t="n">
        <v>445.7819443</v>
      </c>
      <c r="K34" s="20" t="n">
        <v>483.4792034</v>
      </c>
      <c r="L34" s="21" t="n">
        <v>0.001299997867</v>
      </c>
    </row>
    <row r="35" customFormat="false" ht="15" hidden="false" customHeight="false" outlineLevel="0" collapsed="false">
      <c r="A35" s="19" t="s">
        <v>905</v>
      </c>
      <c r="B35" s="20" t="n">
        <v>81.93020711</v>
      </c>
      <c r="C35" s="20" t="n">
        <v>335.3988553</v>
      </c>
      <c r="D35" s="20" t="n">
        <v>746.5983521</v>
      </c>
      <c r="E35" s="20" t="n">
        <v>1358.899837</v>
      </c>
      <c r="F35" s="20" t="n">
        <v>1961.125522</v>
      </c>
      <c r="G35" s="20" t="n">
        <v>2598.541412</v>
      </c>
      <c r="H35" s="20" t="n">
        <v>3197.263477</v>
      </c>
      <c r="I35" s="20" t="n">
        <v>3578.539452</v>
      </c>
      <c r="J35" s="20" t="n">
        <v>3870.747997</v>
      </c>
      <c r="K35" s="20" t="n">
        <v>4167.559622</v>
      </c>
      <c r="L35" s="21" t="n">
        <v>0.01120589796</v>
      </c>
    </row>
    <row r="36" customFormat="false" ht="15" hidden="false" customHeight="false" outlineLevel="0" collapsed="false">
      <c r="A36" s="19" t="s">
        <v>570</v>
      </c>
      <c r="B36" s="20" t="n">
        <v>450.6161391</v>
      </c>
      <c r="C36" s="20" t="n">
        <v>1697.18149</v>
      </c>
      <c r="D36" s="20" t="n">
        <v>3955.196858</v>
      </c>
      <c r="E36" s="20" t="n">
        <v>7561.26033</v>
      </c>
      <c r="F36" s="20" t="n">
        <v>10920.14481</v>
      </c>
      <c r="G36" s="20" t="n">
        <v>14514.88522</v>
      </c>
      <c r="H36" s="20" t="n">
        <v>17746.49927</v>
      </c>
      <c r="I36" s="20" t="n">
        <v>19617.20546</v>
      </c>
      <c r="J36" s="20" t="n">
        <v>21161.80625</v>
      </c>
      <c r="K36" s="20" t="n">
        <v>22734.50171</v>
      </c>
      <c r="L36" s="21" t="n">
        <v>0.06112942093</v>
      </c>
    </row>
    <row r="37" customFormat="false" ht="15" hidden="false" customHeight="false" outlineLevel="0" collapsed="false">
      <c r="A37" s="19" t="s">
        <v>571</v>
      </c>
      <c r="B37" s="20" t="n">
        <v>125.1711497</v>
      </c>
      <c r="C37" s="20" t="n">
        <v>643.6303708</v>
      </c>
      <c r="D37" s="20" t="n">
        <v>1375.626719</v>
      </c>
      <c r="E37" s="20" t="n">
        <v>2460.284265</v>
      </c>
      <c r="F37" s="20" t="n">
        <v>3545.257683</v>
      </c>
      <c r="G37" s="20" t="n">
        <v>4723.461784</v>
      </c>
      <c r="H37" s="20" t="n">
        <v>5853.905178</v>
      </c>
      <c r="I37" s="20" t="n">
        <v>6608.459909</v>
      </c>
      <c r="J37" s="20" t="n">
        <v>7185.708397</v>
      </c>
      <c r="K37" s="20" t="n">
        <v>7769.577127</v>
      </c>
      <c r="L37" s="21" t="n">
        <v>0.02089114408</v>
      </c>
    </row>
    <row r="38" customFormat="false" ht="15" hidden="false" customHeight="false" outlineLevel="0" collapsed="false">
      <c r="A38" s="19" t="s">
        <v>906</v>
      </c>
      <c r="B38" s="20" t="n">
        <v>18.20671269</v>
      </c>
      <c r="C38" s="20" t="n">
        <v>112.0751219</v>
      </c>
      <c r="D38" s="20" t="n">
        <v>230.8540412</v>
      </c>
      <c r="E38" s="20" t="n">
        <v>400.7153345</v>
      </c>
      <c r="F38" s="20" t="n">
        <v>574.5077895</v>
      </c>
      <c r="G38" s="20" t="n">
        <v>754.3456228</v>
      </c>
      <c r="H38" s="20" t="n">
        <v>944.8488404</v>
      </c>
      <c r="I38" s="20" t="n">
        <v>1072.234671</v>
      </c>
      <c r="J38" s="20" t="n">
        <v>1171.695753</v>
      </c>
      <c r="K38" s="20" t="n">
        <v>1271.941099</v>
      </c>
      <c r="L38" s="21" t="n">
        <v>0.003420045173</v>
      </c>
    </row>
    <row r="39" customFormat="false" ht="15" hidden="false" customHeight="false" outlineLevel="0" collapsed="false">
      <c r="A39" s="19" t="s">
        <v>573</v>
      </c>
      <c r="B39" s="20" t="n">
        <v>6.827517259</v>
      </c>
      <c r="C39" s="20" t="n">
        <v>47.07311209</v>
      </c>
      <c r="D39" s="20" t="n">
        <v>88.88967623</v>
      </c>
      <c r="E39" s="20" t="n">
        <v>148.2791824</v>
      </c>
      <c r="F39" s="20" t="n">
        <v>205.2260532</v>
      </c>
      <c r="G39" s="20" t="n">
        <v>255.765145</v>
      </c>
      <c r="H39" s="20" t="n">
        <v>328.4179018</v>
      </c>
      <c r="I39" s="20" t="n">
        <v>366.9080713</v>
      </c>
      <c r="J39" s="20" t="n">
        <v>401.6817071</v>
      </c>
      <c r="K39" s="20" t="n">
        <v>436.6867823</v>
      </c>
      <c r="L39" s="21" t="n">
        <v>0.001174180568</v>
      </c>
    </row>
    <row r="40" customFormat="false" ht="15" hidden="false" customHeight="false" outlineLevel="0" collapsed="false">
      <c r="A40" s="19" t="s">
        <v>889</v>
      </c>
      <c r="B40" s="20" t="n">
        <v>17.63775292</v>
      </c>
      <c r="C40" s="20" t="n">
        <v>85.9878194</v>
      </c>
      <c r="D40" s="20" t="n">
        <v>186.8695673</v>
      </c>
      <c r="E40" s="20" t="n">
        <v>336.5836208</v>
      </c>
      <c r="F40" s="20" t="n">
        <v>484.1325977</v>
      </c>
      <c r="G40" s="20" t="n">
        <v>643.2203854</v>
      </c>
      <c r="H40" s="20" t="n">
        <v>792.4317423</v>
      </c>
      <c r="I40" s="20" t="n">
        <v>889.677707</v>
      </c>
      <c r="J40" s="20" t="n">
        <v>965.3111095</v>
      </c>
      <c r="K40" s="20" t="n">
        <v>1041.939702</v>
      </c>
      <c r="L40" s="21" t="n">
        <v>0.002801608385</v>
      </c>
    </row>
    <row r="41" customFormat="false" ht="15" hidden="false" customHeight="false" outlineLevel="0" collapsed="false">
      <c r="A41" s="19" t="s">
        <v>890</v>
      </c>
      <c r="B41" s="20" t="n">
        <v>38.80305642</v>
      </c>
      <c r="C41" s="20" t="n">
        <v>189.1732027</v>
      </c>
      <c r="D41" s="20" t="n">
        <v>411.113048</v>
      </c>
      <c r="E41" s="20" t="n">
        <v>740.4839657</v>
      </c>
      <c r="F41" s="20" t="n">
        <v>1065.091715</v>
      </c>
      <c r="G41" s="20" t="n">
        <v>1415.084848</v>
      </c>
      <c r="H41" s="20" t="n">
        <v>1743.349833</v>
      </c>
      <c r="I41" s="20" t="n">
        <v>1957.290955</v>
      </c>
      <c r="J41" s="20" t="n">
        <v>2123.684441</v>
      </c>
      <c r="K41" s="20" t="n">
        <v>2292.267343</v>
      </c>
      <c r="L41" s="21" t="n">
        <v>0.006163538446</v>
      </c>
    </row>
    <row r="42" customFormat="false" ht="15" hidden="false" customHeight="false" outlineLevel="0" collapsed="false">
      <c r="A42" s="19" t="s">
        <v>891</v>
      </c>
      <c r="B42" s="20" t="n">
        <v>8.466121401</v>
      </c>
      <c r="C42" s="20" t="n">
        <v>41.27415331</v>
      </c>
      <c r="D42" s="20" t="n">
        <v>89.69739229</v>
      </c>
      <c r="E42" s="20" t="n">
        <v>161.560138</v>
      </c>
      <c r="F42" s="20" t="n">
        <v>232.3836469</v>
      </c>
      <c r="G42" s="20" t="n">
        <v>308.745785</v>
      </c>
      <c r="H42" s="20" t="n">
        <v>380.3672363</v>
      </c>
      <c r="I42" s="20" t="n">
        <v>427.0452993</v>
      </c>
      <c r="J42" s="20" t="n">
        <v>463.3493326</v>
      </c>
      <c r="K42" s="20" t="n">
        <v>500.1310567</v>
      </c>
      <c r="L42" s="21" t="n">
        <v>0.001344772025</v>
      </c>
    </row>
    <row r="43" customFormat="false" ht="15" hidden="false" customHeight="false" outlineLevel="0" collapsed="false">
      <c r="A43" s="19" t="s">
        <v>892</v>
      </c>
      <c r="B43" s="20" t="n">
        <v>5.644080934</v>
      </c>
      <c r="C43" s="20" t="n">
        <v>27.51610221</v>
      </c>
      <c r="D43" s="20" t="n">
        <v>59.79826153</v>
      </c>
      <c r="E43" s="20" t="n">
        <v>107.7067586</v>
      </c>
      <c r="F43" s="20" t="n">
        <v>154.9224313</v>
      </c>
      <c r="G43" s="20" t="n">
        <v>205.8305233</v>
      </c>
      <c r="H43" s="20" t="n">
        <v>253.5781575</v>
      </c>
      <c r="I43" s="20" t="n">
        <v>284.6968662</v>
      </c>
      <c r="J43" s="20" t="n">
        <v>308.899555</v>
      </c>
      <c r="K43" s="20" t="n">
        <v>333.4207045</v>
      </c>
      <c r="L43" s="21" t="n">
        <v>0.0008965146831</v>
      </c>
    </row>
    <row r="44" customFormat="false" ht="15" hidden="false" customHeight="false" outlineLevel="0" collapsed="false">
      <c r="A44" s="18" t="s">
        <v>907</v>
      </c>
      <c r="B44" s="22" t="n">
        <v>6829.793098</v>
      </c>
      <c r="C44" s="22" t="n">
        <v>30662.68091</v>
      </c>
      <c r="D44" s="22" t="n">
        <v>61483.058</v>
      </c>
      <c r="E44" s="22" t="n">
        <v>114050.7954</v>
      </c>
      <c r="F44" s="22" t="n">
        <v>167870.3958</v>
      </c>
      <c r="G44" s="22" t="n">
        <v>228490.1081</v>
      </c>
      <c r="H44" s="22" t="n">
        <v>283777.7821</v>
      </c>
      <c r="I44" s="22" t="n">
        <v>322612.2382</v>
      </c>
      <c r="J44" s="22" t="n">
        <v>347003.7155</v>
      </c>
      <c r="K44" s="22" t="n">
        <v>371907.6896</v>
      </c>
      <c r="L44" s="23" t="n">
        <v>1</v>
      </c>
    </row>
    <row r="46" customFormat="false" ht="15" hidden="false" customHeight="false" outlineLevel="0" collapsed="false">
      <c r="A46" s="18" t="s">
        <v>908</v>
      </c>
    </row>
    <row r="47" customFormat="false" ht="15" hidden="false" customHeight="false" outlineLevel="0" collapsed="false">
      <c r="A47" s="18" t="s">
        <v>887</v>
      </c>
      <c r="B47" s="18" t="n">
        <v>2026</v>
      </c>
      <c r="C47" s="18" t="n">
        <v>2027</v>
      </c>
      <c r="D47" s="18" t="n">
        <v>2028</v>
      </c>
      <c r="E47" s="18" t="n">
        <v>2029</v>
      </c>
      <c r="F47" s="18" t="n">
        <v>2030</v>
      </c>
      <c r="G47" s="18" t="n">
        <v>2031</v>
      </c>
      <c r="H47" s="18" t="n">
        <v>2032</v>
      </c>
      <c r="I47" s="18" t="n">
        <v>2033</v>
      </c>
      <c r="J47" s="18" t="n">
        <v>2034</v>
      </c>
      <c r="K47" s="18" t="n">
        <v>2035</v>
      </c>
      <c r="L47" s="18" t="s">
        <v>888</v>
      </c>
    </row>
    <row r="48" customFormat="false" ht="15" hidden="false" customHeight="false" outlineLevel="0" collapsed="false">
      <c r="A48" s="19" t="s">
        <v>565</v>
      </c>
      <c r="B48" s="20" t="n">
        <v>175.6079593</v>
      </c>
      <c r="C48" s="20" t="n">
        <v>320.3906115</v>
      </c>
      <c r="D48" s="20" t="n">
        <v>436.5887807</v>
      </c>
      <c r="E48" s="20" t="n">
        <v>602.2865757</v>
      </c>
      <c r="F48" s="20" t="n">
        <v>974.7593754</v>
      </c>
      <c r="G48" s="20" t="n">
        <v>1370.081328</v>
      </c>
      <c r="H48" s="20" t="n">
        <v>1767.18337</v>
      </c>
      <c r="I48" s="20" t="n">
        <v>2188.466718</v>
      </c>
      <c r="J48" s="20" t="n">
        <v>2536.343254</v>
      </c>
      <c r="K48" s="20" t="n">
        <v>2904.897406</v>
      </c>
      <c r="L48" s="21" t="n">
        <v>0.1612887482</v>
      </c>
    </row>
    <row r="49" customFormat="false" ht="15" hidden="false" customHeight="false" outlineLevel="0" collapsed="false">
      <c r="A49" s="19" t="s">
        <v>566</v>
      </c>
      <c r="B49" s="20" t="n">
        <v>99.50178533</v>
      </c>
      <c r="C49" s="20" t="n">
        <v>159.8868424</v>
      </c>
      <c r="D49" s="20" t="n">
        <v>193.4151498</v>
      </c>
      <c r="E49" s="20" t="n">
        <v>247.8822329</v>
      </c>
      <c r="F49" s="20" t="n">
        <v>360.2676432</v>
      </c>
      <c r="G49" s="20" t="n">
        <v>447.8696133</v>
      </c>
      <c r="H49" s="20" t="n">
        <v>573.9459793</v>
      </c>
      <c r="I49" s="20" t="n">
        <v>711.731345</v>
      </c>
      <c r="J49" s="20" t="n">
        <v>836.044561</v>
      </c>
      <c r="K49" s="20" t="n">
        <v>970.7041311</v>
      </c>
      <c r="L49" s="21" t="n">
        <v>0.05389644876</v>
      </c>
    </row>
    <row r="50" customFormat="false" ht="15" hidden="false" customHeight="false" outlineLevel="0" collapsed="false">
      <c r="A50" s="19" t="s">
        <v>904</v>
      </c>
      <c r="B50" s="20" t="n">
        <v>42.64362229</v>
      </c>
      <c r="C50" s="20" t="n">
        <v>68.52293247</v>
      </c>
      <c r="D50" s="20" t="n">
        <v>82.89220707</v>
      </c>
      <c r="E50" s="20" t="n">
        <v>106.2352427</v>
      </c>
      <c r="F50" s="20" t="n">
        <v>154.4004185</v>
      </c>
      <c r="G50" s="20" t="n">
        <v>191.94412</v>
      </c>
      <c r="H50" s="20" t="n">
        <v>245.9768483</v>
      </c>
      <c r="I50" s="20" t="n">
        <v>305.0277193</v>
      </c>
      <c r="J50" s="20" t="n">
        <v>358.3048119</v>
      </c>
      <c r="K50" s="20" t="n">
        <v>416.0160562</v>
      </c>
      <c r="L50" s="21" t="n">
        <v>0.02309847804</v>
      </c>
    </row>
    <row r="51" customFormat="false" ht="15" hidden="false" customHeight="false" outlineLevel="0" collapsed="false">
      <c r="A51" s="19" t="s">
        <v>568</v>
      </c>
      <c r="B51" s="20" t="n">
        <v>28.42908152</v>
      </c>
      <c r="C51" s="20" t="n">
        <v>45.68195498</v>
      </c>
      <c r="D51" s="20" t="n">
        <v>55.26147138</v>
      </c>
      <c r="E51" s="20" t="n">
        <v>70.82349512</v>
      </c>
      <c r="F51" s="20" t="n">
        <v>102.9336123</v>
      </c>
      <c r="G51" s="20" t="n">
        <v>127.9627467</v>
      </c>
      <c r="H51" s="20" t="n">
        <v>163.9845655</v>
      </c>
      <c r="I51" s="20" t="n">
        <v>203.3518129</v>
      </c>
      <c r="J51" s="20" t="n">
        <v>238.8698746</v>
      </c>
      <c r="K51" s="20" t="n">
        <v>277.3440374</v>
      </c>
      <c r="L51" s="21" t="n">
        <v>0.01539898536</v>
      </c>
    </row>
    <row r="52" customFormat="false" ht="15" hidden="false" customHeight="false" outlineLevel="0" collapsed="false">
      <c r="A52" s="19" t="s">
        <v>905</v>
      </c>
      <c r="B52" s="20" t="n">
        <v>100.6111337</v>
      </c>
      <c r="C52" s="20" t="n">
        <v>188.8972271</v>
      </c>
      <c r="D52" s="20" t="n">
        <v>248.9891832</v>
      </c>
      <c r="E52" s="20" t="n">
        <v>348.413746</v>
      </c>
      <c r="F52" s="20" t="n">
        <v>546.1766841</v>
      </c>
      <c r="G52" s="20" t="n">
        <v>751.8580799</v>
      </c>
      <c r="H52" s="20" t="n">
        <v>960.0471253</v>
      </c>
      <c r="I52" s="20" t="n">
        <v>1191.419103</v>
      </c>
      <c r="J52" s="20" t="n">
        <v>1409.930374</v>
      </c>
      <c r="K52" s="20" t="n">
        <v>1649.135599</v>
      </c>
      <c r="L52" s="21" t="n">
        <v>0.0915650294</v>
      </c>
    </row>
    <row r="53" customFormat="false" ht="15" hidden="false" customHeight="false" outlineLevel="0" collapsed="false">
      <c r="A53" s="19" t="s">
        <v>570</v>
      </c>
      <c r="B53" s="20" t="n">
        <v>421.9843726</v>
      </c>
      <c r="C53" s="20" t="n">
        <v>772.3206222</v>
      </c>
      <c r="D53" s="20" t="n">
        <v>1066.363722</v>
      </c>
      <c r="E53" s="20" t="n">
        <v>1474.963344</v>
      </c>
      <c r="F53" s="20" t="n">
        <v>2394.644883</v>
      </c>
      <c r="G53" s="20" t="n">
        <v>3311.547454</v>
      </c>
      <c r="H53" s="20" t="n">
        <v>4274.187843</v>
      </c>
      <c r="I53" s="20" t="n">
        <v>5292.394724</v>
      </c>
      <c r="J53" s="20" t="n">
        <v>6125.204809</v>
      </c>
      <c r="K53" s="20" t="n">
        <v>7005.27737</v>
      </c>
      <c r="L53" s="21" t="n">
        <v>0.3889543279</v>
      </c>
    </row>
    <row r="54" customFormat="false" ht="15" hidden="false" customHeight="false" outlineLevel="0" collapsed="false">
      <c r="A54" s="19" t="s">
        <v>571</v>
      </c>
      <c r="B54" s="20" t="n">
        <v>284.0395051</v>
      </c>
      <c r="C54" s="20" t="n">
        <v>489.4529733</v>
      </c>
      <c r="D54" s="20" t="n">
        <v>625.4306114</v>
      </c>
      <c r="E54" s="20" t="n">
        <v>836.9518675</v>
      </c>
      <c r="F54" s="20" t="n">
        <v>1289.143315</v>
      </c>
      <c r="G54" s="20" t="n">
        <v>1751.735715</v>
      </c>
      <c r="H54" s="20" t="n">
        <v>2250.247068</v>
      </c>
      <c r="I54" s="20" t="n">
        <v>2789.059394</v>
      </c>
      <c r="J54" s="20" t="n">
        <v>3259.974804</v>
      </c>
      <c r="K54" s="20" t="n">
        <v>3766.175472</v>
      </c>
      <c r="L54" s="21" t="n">
        <v>0.2091095287</v>
      </c>
    </row>
    <row r="55" customFormat="false" ht="15" hidden="false" customHeight="false" outlineLevel="0" collapsed="false">
      <c r="A55" s="24" t="s">
        <v>906</v>
      </c>
      <c r="B55" s="20" t="n">
        <v>58.85960407</v>
      </c>
      <c r="C55" s="20" t="n">
        <v>100.2618958</v>
      </c>
      <c r="D55" s="20" t="n">
        <v>126.5296618</v>
      </c>
      <c r="E55" s="20" t="n">
        <v>167.8179923</v>
      </c>
      <c r="F55" s="20" t="n">
        <v>256.5901403</v>
      </c>
      <c r="G55" s="20" t="n">
        <v>346.1145766</v>
      </c>
      <c r="H55" s="20" t="n">
        <v>444.6989087</v>
      </c>
      <c r="I55" s="20" t="n">
        <v>551.1578445</v>
      </c>
      <c r="J55" s="20" t="n">
        <v>643.9574165</v>
      </c>
      <c r="K55" s="20" t="n">
        <v>743.6456074</v>
      </c>
      <c r="L55" s="21" t="n">
        <v>0.04128946823</v>
      </c>
    </row>
    <row r="56" customFormat="false" ht="15" hidden="false" customHeight="false" outlineLevel="0" collapsed="false">
      <c r="A56" s="24" t="s">
        <v>573</v>
      </c>
      <c r="B56" s="20" t="n">
        <v>28.42908152</v>
      </c>
      <c r="C56" s="20" t="n">
        <v>45.68195498</v>
      </c>
      <c r="D56" s="20" t="n">
        <v>55.26147138</v>
      </c>
      <c r="E56" s="20" t="n">
        <v>70.82349512</v>
      </c>
      <c r="F56" s="20" t="n">
        <v>102.9336123</v>
      </c>
      <c r="G56" s="20" t="n">
        <v>127.9627467</v>
      </c>
      <c r="H56" s="20" t="n">
        <v>163.9845655</v>
      </c>
      <c r="I56" s="20" t="n">
        <v>203.3518129</v>
      </c>
      <c r="J56" s="20" t="n">
        <v>238.8698746</v>
      </c>
      <c r="K56" s="20" t="n">
        <v>277.3440374</v>
      </c>
      <c r="L56" s="21" t="n">
        <v>0.01539898536</v>
      </c>
    </row>
    <row r="57" customFormat="false" ht="15" hidden="false" customHeight="false" outlineLevel="0" collapsed="false">
      <c r="A57" s="18" t="s">
        <v>909</v>
      </c>
      <c r="B57" s="22" t="n">
        <v>1240.106145</v>
      </c>
      <c r="C57" s="22" t="n">
        <v>2191.097015</v>
      </c>
      <c r="D57" s="22" t="n">
        <v>2890.732259</v>
      </c>
      <c r="E57" s="22" t="n">
        <v>3926.197991</v>
      </c>
      <c r="F57" s="22" t="n">
        <v>6181.849685</v>
      </c>
      <c r="G57" s="22" t="n">
        <v>8427.076381</v>
      </c>
      <c r="H57" s="22" t="n">
        <v>10844.25627</v>
      </c>
      <c r="I57" s="22" t="n">
        <v>13435.96047</v>
      </c>
      <c r="J57" s="22" t="n">
        <v>15647.49978</v>
      </c>
      <c r="K57" s="22" t="n">
        <v>18010.53972</v>
      </c>
      <c r="L57" s="23" t="n">
        <v>1</v>
      </c>
    </row>
    <row r="59" customFormat="false" ht="15" hidden="false" customHeight="false" outlineLevel="0" collapsed="false">
      <c r="A59" s="18" t="s">
        <v>910</v>
      </c>
    </row>
    <row r="60" customFormat="false" ht="15" hidden="false" customHeight="false" outlineLevel="0" collapsed="false">
      <c r="A60" s="18" t="s">
        <v>911</v>
      </c>
      <c r="B60" s="18" t="n">
        <v>2026</v>
      </c>
      <c r="C60" s="18" t="n">
        <v>2027</v>
      </c>
      <c r="D60" s="18" t="n">
        <v>2028</v>
      </c>
      <c r="E60" s="18" t="n">
        <v>2029</v>
      </c>
      <c r="F60" s="18" t="n">
        <v>2030</v>
      </c>
      <c r="G60" s="18" t="n">
        <v>2031</v>
      </c>
      <c r="H60" s="18" t="n">
        <v>2032</v>
      </c>
      <c r="I60" s="18" t="n">
        <v>2033</v>
      </c>
      <c r="J60" s="18" t="n">
        <v>2034</v>
      </c>
      <c r="K60" s="18" t="n">
        <v>2035</v>
      </c>
      <c r="L60" s="18" t="s">
        <v>912</v>
      </c>
      <c r="M60" s="18" t="s">
        <v>913</v>
      </c>
      <c r="N60" s="18" t="s">
        <v>914</v>
      </c>
      <c r="O60" s="18" t="s">
        <v>915</v>
      </c>
      <c r="P60" s="18" t="s">
        <v>916</v>
      </c>
      <c r="Q60" s="18" t="s">
        <v>917</v>
      </c>
      <c r="R60" s="18" t="s">
        <v>918</v>
      </c>
      <c r="S60" s="18" t="s">
        <v>919</v>
      </c>
      <c r="T60" s="18" t="s">
        <v>920</v>
      </c>
      <c r="U60" s="18" t="s">
        <v>921</v>
      </c>
      <c r="V60" s="18" t="s">
        <v>922</v>
      </c>
    </row>
    <row r="61" customFormat="false" ht="15" hidden="false" customHeight="false" outlineLevel="0" collapsed="false">
      <c r="A61" s="20" t="s">
        <v>923</v>
      </c>
      <c r="B61" s="20" t="n">
        <v>372.5578681</v>
      </c>
      <c r="C61" s="20" t="n">
        <v>1662.24271</v>
      </c>
      <c r="D61" s="20" t="n">
        <v>3313.049363</v>
      </c>
      <c r="E61" s="20" t="n">
        <v>6110.276863</v>
      </c>
      <c r="F61" s="20" t="n">
        <v>8944.56445</v>
      </c>
      <c r="G61" s="20" t="n">
        <v>12112.06552</v>
      </c>
      <c r="H61" s="20" t="n">
        <v>14971.75851</v>
      </c>
      <c r="I61" s="20" t="n">
        <v>16948.14182</v>
      </c>
      <c r="J61" s="20" t="n">
        <v>18162.04352</v>
      </c>
      <c r="K61" s="20" t="n">
        <v>19406.04652</v>
      </c>
      <c r="L61" s="21" t="n">
        <v>0.0545489245</v>
      </c>
      <c r="M61" s="21" t="n">
        <v>0.05421061239</v>
      </c>
      <c r="N61" s="21" t="n">
        <v>0.05388556572</v>
      </c>
      <c r="O61" s="21" t="n">
        <v>0.0535750482</v>
      </c>
      <c r="P61" s="21" t="n">
        <v>0.05328256008</v>
      </c>
      <c r="Q61" s="21" t="n">
        <v>0.0530091461</v>
      </c>
      <c r="R61" s="21" t="n">
        <v>0.05275874102</v>
      </c>
      <c r="S61" s="21" t="n">
        <v>0.05253409453</v>
      </c>
      <c r="T61" s="21" t="n">
        <v>0.05233962263</v>
      </c>
      <c r="U61" s="21" t="n">
        <v>0.05217973992</v>
      </c>
      <c r="V61" s="25" t="n">
        <v>0.3848886263</v>
      </c>
    </row>
    <row r="62" customFormat="false" ht="15" hidden="false" customHeight="false" outlineLevel="0" collapsed="false">
      <c r="A62" s="20" t="s">
        <v>924</v>
      </c>
      <c r="B62" s="20" t="n">
        <v>528.0264245</v>
      </c>
      <c r="C62" s="20" t="n">
        <v>2376.820601</v>
      </c>
      <c r="D62" s="20" t="n">
        <v>4779.184318</v>
      </c>
      <c r="E62" s="20" t="n">
        <v>8891.842726</v>
      </c>
      <c r="F62" s="20" t="n">
        <v>13129.92165</v>
      </c>
      <c r="G62" s="20" t="n">
        <v>17933.54836</v>
      </c>
      <c r="H62" s="20" t="n">
        <v>22357.66155</v>
      </c>
      <c r="I62" s="20" t="n">
        <v>25523.28074</v>
      </c>
      <c r="J62" s="20" t="n">
        <v>27579.27179</v>
      </c>
      <c r="K62" s="20" t="n">
        <v>29709.33113</v>
      </c>
      <c r="L62" s="21" t="n">
        <v>0.07731221384</v>
      </c>
      <c r="M62" s="21" t="n">
        <v>0.07751509424</v>
      </c>
      <c r="N62" s="21" t="n">
        <v>0.07773172762</v>
      </c>
      <c r="O62" s="21" t="n">
        <v>0.07796388173</v>
      </c>
      <c r="P62" s="21" t="n">
        <v>0.07821463451</v>
      </c>
      <c r="Q62" s="21" t="n">
        <v>0.07848719801</v>
      </c>
      <c r="R62" s="21" t="n">
        <v>0.07878580691</v>
      </c>
      <c r="S62" s="21" t="n">
        <v>0.07911442193</v>
      </c>
      <c r="T62" s="21" t="n">
        <v>0.0794783184</v>
      </c>
      <c r="U62" s="21" t="n">
        <v>0.07988361617</v>
      </c>
      <c r="V62" s="18" t="s">
        <v>925</v>
      </c>
    </row>
    <row r="63" customFormat="false" ht="15" hidden="false" customHeight="false" outlineLevel="0" collapsed="false">
      <c r="A63" s="20" t="s">
        <v>926</v>
      </c>
      <c r="B63" s="20" t="n">
        <v>415.7960908</v>
      </c>
      <c r="C63" s="20" t="n">
        <v>1860.58443</v>
      </c>
      <c r="D63" s="20" t="n">
        <v>3719.281371</v>
      </c>
      <c r="E63" s="20" t="n">
        <v>6879.802354</v>
      </c>
      <c r="F63" s="20" t="n">
        <v>10100.91475</v>
      </c>
      <c r="G63" s="20" t="n">
        <v>13718.7249</v>
      </c>
      <c r="H63" s="20" t="n">
        <v>17008.50253</v>
      </c>
      <c r="I63" s="20" t="n">
        <v>19311.75536</v>
      </c>
      <c r="J63" s="20" t="n">
        <v>20757.43519</v>
      </c>
      <c r="K63" s="20" t="n">
        <v>22246.50863</v>
      </c>
      <c r="L63" s="21" t="n">
        <v>0.06087974919</v>
      </c>
      <c r="M63" s="21" t="n">
        <v>0.06067911789</v>
      </c>
      <c r="N63" s="21" t="n">
        <v>0.06049278438</v>
      </c>
      <c r="O63" s="21" t="n">
        <v>0.06032226542</v>
      </c>
      <c r="P63" s="21" t="n">
        <v>0.06017091164</v>
      </c>
      <c r="Q63" s="21" t="n">
        <v>0.06004078256</v>
      </c>
      <c r="R63" s="21" t="n">
        <v>0.05993599077</v>
      </c>
      <c r="S63" s="21" t="n">
        <v>0.05986057895</v>
      </c>
      <c r="T63" s="21" t="n">
        <v>0.05981905743</v>
      </c>
      <c r="U63" s="21" t="n">
        <v>0.05981728598</v>
      </c>
      <c r="V63" s="25" t="n">
        <v>0.6151113737</v>
      </c>
    </row>
    <row r="64" customFormat="false" ht="15" hidden="false" customHeight="false" outlineLevel="0" collapsed="false">
      <c r="A64" s="20" t="s">
        <v>927</v>
      </c>
      <c r="B64" s="20" t="n">
        <v>441.4477156</v>
      </c>
      <c r="C64" s="20" t="n">
        <v>1978.434974</v>
      </c>
      <c r="D64" s="20" t="n">
        <v>3960.259954</v>
      </c>
      <c r="E64" s="20" t="n">
        <v>7334.101502</v>
      </c>
      <c r="F64" s="20" t="n">
        <v>10777.69972</v>
      </c>
      <c r="G64" s="20" t="n">
        <v>14647.07918</v>
      </c>
      <c r="H64" s="20" t="n">
        <v>18164.61357</v>
      </c>
      <c r="I64" s="20" t="n">
        <v>20621.86791</v>
      </c>
      <c r="J64" s="20" t="n">
        <v>22152.69484</v>
      </c>
      <c r="K64" s="20" t="n">
        <v>23714.72031</v>
      </c>
      <c r="L64" s="21" t="n">
        <v>0.06463559134</v>
      </c>
      <c r="M64" s="21" t="n">
        <v>0.06452256993</v>
      </c>
      <c r="N64" s="21" t="n">
        <v>0.06441221504</v>
      </c>
      <c r="O64" s="21" t="n">
        <v>0.06430557081</v>
      </c>
      <c r="P64" s="21" t="n">
        <v>0.06420250377</v>
      </c>
      <c r="Q64" s="21" t="n">
        <v>0.06410377808</v>
      </c>
      <c r="R64" s="21" t="n">
        <v>0.06400999202</v>
      </c>
      <c r="S64" s="21" t="n">
        <v>0.06392153014</v>
      </c>
      <c r="T64" s="21" t="n">
        <v>0.06383993555</v>
      </c>
      <c r="U64" s="21" t="n">
        <v>0.0637650712</v>
      </c>
    </row>
    <row r="65" customFormat="false" ht="15" hidden="false" customHeight="false" outlineLevel="0" collapsed="false">
      <c r="A65" s="20" t="s">
        <v>928</v>
      </c>
      <c r="B65" s="20" t="n">
        <v>458.7077749</v>
      </c>
      <c r="C65" s="20" t="n">
        <v>2061.932829</v>
      </c>
      <c r="D65" s="20" t="n">
        <v>4139.299058</v>
      </c>
      <c r="E65" s="20" t="n">
        <v>7686.812477</v>
      </c>
      <c r="F65" s="20" t="n">
        <v>11325.45979</v>
      </c>
      <c r="G65" s="20" t="n">
        <v>15429.1071</v>
      </c>
      <c r="H65" s="20" t="n">
        <v>19177.45706</v>
      </c>
      <c r="I65" s="20" t="n">
        <v>21816.32819</v>
      </c>
      <c r="J65" s="20" t="n">
        <v>23477.64602</v>
      </c>
      <c r="K65" s="20" t="n">
        <v>25170.76644</v>
      </c>
      <c r="L65" s="21" t="n">
        <v>0.06716276296</v>
      </c>
      <c r="M65" s="21" t="n">
        <v>0.06724568</v>
      </c>
      <c r="N65" s="21" t="n">
        <v>0.06732422219</v>
      </c>
      <c r="O65" s="21" t="n">
        <v>0.06739814876</v>
      </c>
      <c r="P65" s="21" t="n">
        <v>0.06746549764</v>
      </c>
      <c r="Q65" s="21" t="n">
        <v>0.06752636789</v>
      </c>
      <c r="R65" s="21" t="n">
        <v>0.06757913505</v>
      </c>
      <c r="S65" s="21" t="n">
        <v>0.0676239944</v>
      </c>
      <c r="T65" s="21" t="n">
        <v>0.0676581978</v>
      </c>
      <c r="U65" s="21" t="n">
        <v>0.06768014522</v>
      </c>
    </row>
    <row r="66" customFormat="false" ht="15" hidden="false" customHeight="false" outlineLevel="0" collapsed="false">
      <c r="A66" s="20" t="s">
        <v>929</v>
      </c>
      <c r="B66" s="20" t="n">
        <v>636.3885052</v>
      </c>
      <c r="C66" s="20" t="n">
        <v>2858.302353</v>
      </c>
      <c r="D66" s="20" t="n">
        <v>5733.315478</v>
      </c>
      <c r="E66" s="20" t="n">
        <v>10638.22032</v>
      </c>
      <c r="F66" s="20" t="n">
        <v>15661.31817</v>
      </c>
      <c r="G66" s="20" t="n">
        <v>21318.84853</v>
      </c>
      <c r="H66" s="20" t="n">
        <v>26476.85412</v>
      </c>
      <c r="I66" s="20" t="n">
        <v>30095.90856</v>
      </c>
      <c r="J66" s="20" t="n">
        <v>32361.71713</v>
      </c>
      <c r="K66" s="20" t="n">
        <v>34668.23012</v>
      </c>
      <c r="L66" s="21" t="n">
        <v>0.09317829927</v>
      </c>
      <c r="M66" s="21" t="n">
        <v>0.09321762703</v>
      </c>
      <c r="N66" s="21" t="n">
        <v>0.09325033048</v>
      </c>
      <c r="O66" s="21" t="n">
        <v>0.09327616065</v>
      </c>
      <c r="P66" s="21" t="n">
        <v>0.09329410402</v>
      </c>
      <c r="Q66" s="21" t="n">
        <v>0.09330315747</v>
      </c>
      <c r="R66" s="21" t="n">
        <v>0.09330136391</v>
      </c>
      <c r="S66" s="21" t="n">
        <v>0.09328818003</v>
      </c>
      <c r="T66" s="21" t="n">
        <v>0.09326043405</v>
      </c>
      <c r="U66" s="21" t="n">
        <v>0.0932172985</v>
      </c>
    </row>
    <row r="67" customFormat="false" ht="15" hidden="false" customHeight="false" outlineLevel="0" collapsed="false">
      <c r="A67" s="20" t="s">
        <v>930</v>
      </c>
      <c r="B67" s="20" t="n">
        <v>454.6292721</v>
      </c>
      <c r="C67" s="20" t="n">
        <v>2045.10724</v>
      </c>
      <c r="D67" s="20" t="n">
        <v>4108.556483</v>
      </c>
      <c r="E67" s="20" t="n">
        <v>7635.29826</v>
      </c>
      <c r="F67" s="20" t="n">
        <v>11257.83942</v>
      </c>
      <c r="G67" s="20" t="n">
        <v>15348.23912</v>
      </c>
      <c r="H67" s="20" t="n">
        <v>19090.97627</v>
      </c>
      <c r="I67" s="20" t="n">
        <v>21733.53584</v>
      </c>
      <c r="J67" s="20" t="n">
        <v>23405.61598</v>
      </c>
      <c r="K67" s="20" t="n">
        <v>25111.86765</v>
      </c>
      <c r="L67" s="21" t="n">
        <v>0.06656559951</v>
      </c>
      <c r="M67" s="21" t="n">
        <v>0.06669694817</v>
      </c>
      <c r="N67" s="21" t="n">
        <v>0.06682420518</v>
      </c>
      <c r="O67" s="21" t="n">
        <v>0.06694647092</v>
      </c>
      <c r="P67" s="21" t="n">
        <v>0.0670626847</v>
      </c>
      <c r="Q67" s="21" t="n">
        <v>0.06717244456</v>
      </c>
      <c r="R67" s="21" t="n">
        <v>0.06727438677</v>
      </c>
      <c r="S67" s="21" t="n">
        <v>0.06736736325</v>
      </c>
      <c r="T67" s="21" t="n">
        <v>0.06745062065</v>
      </c>
      <c r="U67" s="21" t="n">
        <v>0.06752177585</v>
      </c>
    </row>
    <row r="68" customFormat="false" ht="15" hidden="false" customHeight="false" outlineLevel="0" collapsed="false">
      <c r="A68" s="20" t="s">
        <v>931</v>
      </c>
      <c r="B68" s="20" t="n">
        <v>359.9487589</v>
      </c>
      <c r="C68" s="20" t="n">
        <v>1618.861915</v>
      </c>
      <c r="D68" s="20" t="n">
        <v>3251.547844</v>
      </c>
      <c r="E68" s="20" t="n">
        <v>6041.286981</v>
      </c>
      <c r="F68" s="20" t="n">
        <v>8905.631366</v>
      </c>
      <c r="G68" s="20" t="n">
        <v>12138.70505</v>
      </c>
      <c r="H68" s="20" t="n">
        <v>15095.51626</v>
      </c>
      <c r="I68" s="20" t="n">
        <v>17181.35364</v>
      </c>
      <c r="J68" s="20" t="n">
        <v>18499.25584</v>
      </c>
      <c r="K68" s="20" t="n">
        <v>19843.46332</v>
      </c>
      <c r="L68" s="21" t="n">
        <v>0.05270273253</v>
      </c>
      <c r="M68" s="21" t="n">
        <v>0.05279583736</v>
      </c>
      <c r="N68" s="21" t="n">
        <v>0.05288526547</v>
      </c>
      <c r="O68" s="21" t="n">
        <v>0.05297014333</v>
      </c>
      <c r="P68" s="21" t="n">
        <v>0.05305063661</v>
      </c>
      <c r="Q68" s="21" t="n">
        <v>0.05312573551</v>
      </c>
      <c r="R68" s="21" t="n">
        <v>0.05319484896</v>
      </c>
      <c r="S68" s="21" t="n">
        <v>0.05325698037</v>
      </c>
      <c r="T68" s="21" t="n">
        <v>0.05331140566</v>
      </c>
      <c r="U68" s="21" t="n">
        <v>0.05335588339</v>
      </c>
    </row>
    <row r="69" customFormat="false" ht="15" hidden="false" customHeight="false" outlineLevel="0" collapsed="false">
      <c r="A69" s="20" t="s">
        <v>932</v>
      </c>
      <c r="B69" s="20" t="n">
        <v>597.3416232</v>
      </c>
      <c r="C69" s="20" t="n">
        <v>2686.667428</v>
      </c>
      <c r="D69" s="20" t="n">
        <v>5396.521871</v>
      </c>
      <c r="E69" s="20" t="n">
        <v>10027.09856</v>
      </c>
      <c r="F69" s="20" t="n">
        <v>14781.80777</v>
      </c>
      <c r="G69" s="20" t="n">
        <v>20148.82106</v>
      </c>
      <c r="H69" s="20" t="n">
        <v>25057.42855</v>
      </c>
      <c r="I69" s="20" t="n">
        <v>28520.16121</v>
      </c>
      <c r="J69" s="20" t="n">
        <v>30707.69594</v>
      </c>
      <c r="K69" s="20" t="n">
        <v>32939.19647</v>
      </c>
      <c r="L69" s="21" t="n">
        <v>0.08746115946</v>
      </c>
      <c r="M69" s="21" t="n">
        <v>0.08762010848</v>
      </c>
      <c r="N69" s="21" t="n">
        <v>0.08777250263</v>
      </c>
      <c r="O69" s="21" t="n">
        <v>0.08791783102</v>
      </c>
      <c r="P69" s="21" t="n">
        <v>0.08805488129</v>
      </c>
      <c r="Q69" s="21" t="n">
        <v>0.08818246544</v>
      </c>
      <c r="R69" s="21" t="n">
        <v>0.08829947277</v>
      </c>
      <c r="S69" s="21" t="n">
        <v>0.08840384162</v>
      </c>
      <c r="T69" s="21" t="n">
        <v>0.08849385342</v>
      </c>
      <c r="U69" s="21" t="n">
        <v>0.08856820492</v>
      </c>
    </row>
    <row r="70" customFormat="false" ht="15" hidden="false" customHeight="false" outlineLevel="0" collapsed="false">
      <c r="A70" s="20" t="s">
        <v>933</v>
      </c>
      <c r="B70" s="20" t="n">
        <v>319.1232273</v>
      </c>
      <c r="C70" s="20" t="n">
        <v>1434.662368</v>
      </c>
      <c r="D70" s="20" t="n">
        <v>2880.380922</v>
      </c>
      <c r="E70" s="20" t="n">
        <v>5349.543623</v>
      </c>
      <c r="F70" s="20" t="n">
        <v>7882.759521</v>
      </c>
      <c r="G70" s="20" t="n">
        <v>10740.34523</v>
      </c>
      <c r="H70" s="20" t="n">
        <v>13351.32928</v>
      </c>
      <c r="I70" s="20" t="n">
        <v>15190.192</v>
      </c>
      <c r="J70" s="20" t="n">
        <v>16349.03157</v>
      </c>
      <c r="K70" s="20" t="n">
        <v>17530.28203</v>
      </c>
      <c r="L70" s="21" t="n">
        <v>0.04672516762</v>
      </c>
      <c r="M70" s="21" t="n">
        <v>0.04678854965</v>
      </c>
      <c r="N70" s="21" t="n">
        <v>0.04684836791</v>
      </c>
      <c r="O70" s="21" t="n">
        <v>0.04690492164</v>
      </c>
      <c r="P70" s="21" t="n">
        <v>0.04695741309</v>
      </c>
      <c r="Q70" s="21" t="n">
        <v>0.04700573396</v>
      </c>
      <c r="R70" s="21" t="n">
        <v>0.04704853629</v>
      </c>
      <c r="S70" s="21" t="n">
        <v>0.04708498378</v>
      </c>
      <c r="T70" s="21" t="n">
        <v>0.04711486028</v>
      </c>
      <c r="U70" s="21" t="n">
        <v>0.04713611071</v>
      </c>
    </row>
    <row r="71" customFormat="false" ht="15" hidden="false" customHeight="false" outlineLevel="0" collapsed="false">
      <c r="A71" s="20" t="s">
        <v>934</v>
      </c>
      <c r="B71" s="20" t="n">
        <v>584.1099198</v>
      </c>
      <c r="C71" s="20" t="n">
        <v>2621.157122</v>
      </c>
      <c r="D71" s="20" t="n">
        <v>5253.002382</v>
      </c>
      <c r="E71" s="20" t="n">
        <v>9738.39993</v>
      </c>
      <c r="F71" s="20" t="n">
        <v>14324.08353</v>
      </c>
      <c r="G71" s="20" t="n">
        <v>19481.48607</v>
      </c>
      <c r="H71" s="20" t="n">
        <v>24173.9614</v>
      </c>
      <c r="I71" s="20" t="n">
        <v>27454.47796</v>
      </c>
      <c r="J71" s="20" t="n">
        <v>29496.08899</v>
      </c>
      <c r="K71" s="20" t="n">
        <v>31571.26847</v>
      </c>
      <c r="L71" s="21" t="n">
        <v>0.08552380891</v>
      </c>
      <c r="M71" s="21" t="n">
        <v>0.08548362517</v>
      </c>
      <c r="N71" s="21" t="n">
        <v>0.08543820936</v>
      </c>
      <c r="O71" s="21" t="n">
        <v>0.08538651478</v>
      </c>
      <c r="P71" s="21" t="n">
        <v>0.08532822871</v>
      </c>
      <c r="Q71" s="21" t="n">
        <v>0.08526183577</v>
      </c>
      <c r="R71" s="21" t="n">
        <v>0.08518623698</v>
      </c>
      <c r="S71" s="21" t="n">
        <v>0.08510054706</v>
      </c>
      <c r="T71" s="21" t="n">
        <v>0.08500222812</v>
      </c>
      <c r="U71" s="21" t="n">
        <v>0.08489006641</v>
      </c>
    </row>
    <row r="72" customFormat="false" ht="15" hidden="false" customHeight="false" outlineLevel="0" collapsed="false">
      <c r="A72" s="20" t="s">
        <v>935</v>
      </c>
      <c r="B72" s="20" t="n">
        <v>456.2408143</v>
      </c>
      <c r="C72" s="20" t="n">
        <v>2050.713914</v>
      </c>
      <c r="D72" s="20" t="n">
        <v>4116.48809</v>
      </c>
      <c r="E72" s="20" t="n">
        <v>7643.861156</v>
      </c>
      <c r="F72" s="20" t="n">
        <v>11261.27727</v>
      </c>
      <c r="G72" s="20" t="n">
        <v>15340.40022</v>
      </c>
      <c r="H72" s="20" t="n">
        <v>19065.60463</v>
      </c>
      <c r="I72" s="20" t="n">
        <v>21686.68762</v>
      </c>
      <c r="J72" s="20" t="n">
        <v>23335.73245</v>
      </c>
      <c r="K72" s="20" t="n">
        <v>25016.1113</v>
      </c>
      <c r="L72" s="21" t="n">
        <v>0.0668015572</v>
      </c>
      <c r="M72" s="21" t="n">
        <v>0.06687979828</v>
      </c>
      <c r="N72" s="21" t="n">
        <v>0.06695320993</v>
      </c>
      <c r="O72" s="21" t="n">
        <v>0.06702155059</v>
      </c>
      <c r="P72" s="21" t="n">
        <v>0.06708316389</v>
      </c>
      <c r="Q72" s="21" t="n">
        <v>0.06713813719</v>
      </c>
      <c r="R72" s="21" t="n">
        <v>0.06718498003</v>
      </c>
      <c r="S72" s="21" t="n">
        <v>0.06722214799</v>
      </c>
      <c r="T72" s="21" t="n">
        <v>0.06724922936</v>
      </c>
      <c r="U72" s="21" t="n">
        <v>0.0672643024</v>
      </c>
    </row>
    <row r="73" customFormat="false" ht="15" hidden="false" customHeight="false" outlineLevel="0" collapsed="false">
      <c r="A73" s="20" t="s">
        <v>936</v>
      </c>
      <c r="B73" s="20" t="n">
        <v>117.0880233</v>
      </c>
      <c r="C73" s="20" t="n">
        <v>527.0142639</v>
      </c>
      <c r="D73" s="20" t="n">
        <v>1059.361861</v>
      </c>
      <c r="E73" s="20" t="n">
        <v>1969.844752</v>
      </c>
      <c r="F73" s="20" t="n">
        <v>2906.005078</v>
      </c>
      <c r="G73" s="20" t="n">
        <v>3964.086353</v>
      </c>
      <c r="H73" s="20" t="n">
        <v>4933.53607</v>
      </c>
      <c r="I73" s="20" t="n">
        <v>5619.423908</v>
      </c>
      <c r="J73" s="20" t="n">
        <v>6054.902822</v>
      </c>
      <c r="K73" s="20" t="n">
        <v>6499.735416</v>
      </c>
      <c r="L73" s="21" t="n">
        <v>0.01714371455</v>
      </c>
      <c r="M73" s="21" t="n">
        <v>0.0171874816</v>
      </c>
      <c r="N73" s="21" t="n">
        <v>0.01723014267</v>
      </c>
      <c r="O73" s="21" t="n">
        <v>0.01727164413</v>
      </c>
      <c r="P73" s="21" t="n">
        <v>0.01731100391</v>
      </c>
      <c r="Q73" s="21" t="n">
        <v>0.01734905019</v>
      </c>
      <c r="R73" s="21" t="n">
        <v>0.01738520906</v>
      </c>
      <c r="S73" s="21" t="n">
        <v>0.01741850817</v>
      </c>
      <c r="T73" s="21" t="n">
        <v>0.01744910083</v>
      </c>
      <c r="U73" s="21" t="n">
        <v>0.01747674382</v>
      </c>
    </row>
    <row r="74" customFormat="false" ht="15" hidden="false" customHeight="false" outlineLevel="0" collapsed="false">
      <c r="A74" s="20" t="s">
        <v>937</v>
      </c>
      <c r="B74" s="20" t="n">
        <v>1088.38708</v>
      </c>
      <c r="C74" s="20" t="n">
        <v>4880.178768</v>
      </c>
      <c r="D74" s="20" t="n">
        <v>9772.80901</v>
      </c>
      <c r="E74" s="20" t="n">
        <v>18104.40593</v>
      </c>
      <c r="F74" s="20" t="n">
        <v>26611.1133</v>
      </c>
      <c r="G74" s="20" t="n">
        <v>36168.65139</v>
      </c>
      <c r="H74" s="20" t="n">
        <v>44852.58234</v>
      </c>
      <c r="I74" s="20" t="n">
        <v>50909.12347</v>
      </c>
      <c r="J74" s="20" t="n">
        <v>54664.58344</v>
      </c>
      <c r="K74" s="20" t="n">
        <v>58480.16182</v>
      </c>
      <c r="L74" s="21" t="n">
        <v>0.1593587191</v>
      </c>
      <c r="M74" s="21" t="n">
        <v>0.1591569498</v>
      </c>
      <c r="N74" s="21" t="n">
        <v>0.1589512514</v>
      </c>
      <c r="O74" s="21" t="n">
        <v>0.158739848</v>
      </c>
      <c r="P74" s="21" t="n">
        <v>0.1585217761</v>
      </c>
      <c r="Q74" s="21" t="n">
        <v>0.1582941673</v>
      </c>
      <c r="R74" s="21" t="n">
        <v>0.1580552995</v>
      </c>
      <c r="S74" s="21" t="n">
        <v>0.1578028278</v>
      </c>
      <c r="T74" s="21" t="n">
        <v>0.1575331358</v>
      </c>
      <c r="U74" s="21" t="n">
        <v>0.1572437555</v>
      </c>
    </row>
    <row r="75" customFormat="false" ht="15" hidden="false" customHeight="false" outlineLevel="0" collapsed="false">
      <c r="A75" s="18" t="s">
        <v>938</v>
      </c>
      <c r="B75" s="22" t="n">
        <v>6829.793098</v>
      </c>
      <c r="C75" s="22" t="n">
        <v>30662.68091</v>
      </c>
      <c r="D75" s="22" t="n">
        <v>61483.058</v>
      </c>
      <c r="E75" s="22" t="n">
        <v>114050.7954</v>
      </c>
      <c r="F75" s="22" t="n">
        <v>167870.3958</v>
      </c>
      <c r="G75" s="22" t="n">
        <v>228490.1081</v>
      </c>
      <c r="H75" s="22" t="n">
        <v>283777.7821</v>
      </c>
      <c r="I75" s="22" t="n">
        <v>322612.2382</v>
      </c>
      <c r="J75" s="22" t="n">
        <v>347003.7155</v>
      </c>
      <c r="K75" s="22" t="n">
        <v>371907.6896</v>
      </c>
      <c r="L75" s="23" t="n">
        <v>1</v>
      </c>
      <c r="M75" s="23" t="n">
        <v>1</v>
      </c>
      <c r="N75" s="23" t="n">
        <v>1</v>
      </c>
      <c r="O75" s="23" t="n">
        <v>1</v>
      </c>
      <c r="P75" s="23" t="n">
        <v>1</v>
      </c>
      <c r="Q75" s="23" t="n">
        <v>1</v>
      </c>
      <c r="R75" s="23" t="n">
        <v>1</v>
      </c>
      <c r="S75" s="23" t="n">
        <v>1</v>
      </c>
      <c r="T75" s="23" t="n">
        <v>1</v>
      </c>
      <c r="U75" s="23" t="n">
        <v>1</v>
      </c>
    </row>
    <row r="77" customFormat="false" ht="15" hidden="false" customHeight="false" outlineLevel="0" collapsed="false">
      <c r="A77" s="18" t="s">
        <v>939</v>
      </c>
    </row>
    <row r="78" customFormat="false" ht="15" hidden="false" customHeight="false" outlineLevel="0" collapsed="false">
      <c r="A78" s="18" t="s">
        <v>911</v>
      </c>
      <c r="B78" s="18" t="n">
        <v>2026</v>
      </c>
      <c r="C78" s="18" t="n">
        <v>2027</v>
      </c>
      <c r="D78" s="18" t="n">
        <v>2028</v>
      </c>
      <c r="E78" s="18" t="n">
        <v>2029</v>
      </c>
      <c r="F78" s="18" t="n">
        <v>2030</v>
      </c>
      <c r="G78" s="18" t="n">
        <v>2031</v>
      </c>
      <c r="H78" s="18" t="n">
        <v>2032</v>
      </c>
      <c r="I78" s="18" t="n">
        <v>2033</v>
      </c>
      <c r="J78" s="18" t="n">
        <v>2034</v>
      </c>
      <c r="K78" s="18" t="n">
        <v>2035</v>
      </c>
      <c r="L78" s="18" t="s">
        <v>912</v>
      </c>
      <c r="M78" s="18" t="s">
        <v>913</v>
      </c>
      <c r="N78" s="18" t="s">
        <v>914</v>
      </c>
      <c r="O78" s="18" t="s">
        <v>915</v>
      </c>
      <c r="P78" s="18" t="s">
        <v>916</v>
      </c>
      <c r="Q78" s="18" t="s">
        <v>917</v>
      </c>
      <c r="R78" s="18" t="s">
        <v>918</v>
      </c>
      <c r="S78" s="18" t="s">
        <v>919</v>
      </c>
      <c r="T78" s="18" t="s">
        <v>920</v>
      </c>
      <c r="U78" s="18" t="s">
        <v>921</v>
      </c>
      <c r="V78" s="18" t="s">
        <v>922</v>
      </c>
    </row>
    <row r="79" customFormat="false" ht="15" hidden="false" customHeight="false" outlineLevel="0" collapsed="false">
      <c r="A79" s="20" t="s">
        <v>923</v>
      </c>
      <c r="B79" s="20" t="n">
        <v>44.57232481</v>
      </c>
      <c r="C79" s="20" t="n">
        <v>78.37282962</v>
      </c>
      <c r="D79" s="20" t="n">
        <v>102.947211</v>
      </c>
      <c r="E79" s="20" t="n">
        <v>139.3121874</v>
      </c>
      <c r="F79" s="20" t="n">
        <v>218.746109</v>
      </c>
      <c r="G79" s="20" t="n">
        <v>297.6324488</v>
      </c>
      <c r="H79" s="20" t="n">
        <v>382.6430286</v>
      </c>
      <c r="I79" s="20" t="n">
        <v>474.378255</v>
      </c>
      <c r="J79" s="20" t="n">
        <v>553.5231369</v>
      </c>
      <c r="K79" s="20" t="n">
        <v>639.3736032</v>
      </c>
      <c r="L79" s="21" t="n">
        <v>0.03594234653</v>
      </c>
      <c r="M79" s="21" t="n">
        <v>0.0357687629</v>
      </c>
      <c r="N79" s="21" t="n">
        <v>0.03561284885</v>
      </c>
      <c r="O79" s="21" t="n">
        <v>0.03548272087</v>
      </c>
      <c r="P79" s="21" t="n">
        <v>0.03538521965</v>
      </c>
      <c r="Q79" s="21" t="n">
        <v>0.03531858919</v>
      </c>
      <c r="R79" s="21" t="n">
        <v>0.03528531777</v>
      </c>
      <c r="S79" s="21" t="n">
        <v>0.03530661287</v>
      </c>
      <c r="T79" s="21" t="n">
        <v>0.03537454192</v>
      </c>
      <c r="U79" s="21" t="n">
        <v>0.03549996909</v>
      </c>
      <c r="V79" s="25" t="n">
        <v>0.3873481014</v>
      </c>
    </row>
    <row r="80" customFormat="false" ht="15" hidden="false" customHeight="false" outlineLevel="0" collapsed="false">
      <c r="A80" s="20" t="s">
        <v>924</v>
      </c>
      <c r="B80" s="20" t="n">
        <v>104.5860924</v>
      </c>
      <c r="C80" s="20" t="n">
        <v>185.2896162</v>
      </c>
      <c r="D80" s="20" t="n">
        <v>245.1882686</v>
      </c>
      <c r="E80" s="20" t="n">
        <v>334.1236697</v>
      </c>
      <c r="F80" s="20" t="n">
        <v>527.9603228</v>
      </c>
      <c r="G80" s="20" t="n">
        <v>722.6195017</v>
      </c>
      <c r="H80" s="20" t="n">
        <v>934.1104719</v>
      </c>
      <c r="I80" s="20" t="n">
        <v>1163.211854</v>
      </c>
      <c r="J80" s="20" t="n">
        <v>1362.367719</v>
      </c>
      <c r="K80" s="20" t="n">
        <v>1578.186148</v>
      </c>
      <c r="L80" s="21" t="n">
        <v>0.08433640363</v>
      </c>
      <c r="M80" s="21" t="n">
        <v>0.08456477048</v>
      </c>
      <c r="N80" s="21" t="n">
        <v>0.08481874025</v>
      </c>
      <c r="O80" s="21" t="n">
        <v>0.08510107499</v>
      </c>
      <c r="P80" s="21" t="n">
        <v>0.0854049111</v>
      </c>
      <c r="Q80" s="21" t="n">
        <v>0.08574972732</v>
      </c>
      <c r="R80" s="21" t="n">
        <v>0.0861387308</v>
      </c>
      <c r="S80" s="21" t="n">
        <v>0.08657452191</v>
      </c>
      <c r="T80" s="21" t="n">
        <v>0.08706615999</v>
      </c>
      <c r="U80" s="21" t="n">
        <v>0.08762569987</v>
      </c>
      <c r="V80" s="18" t="s">
        <v>925</v>
      </c>
    </row>
    <row r="81" customFormat="false" ht="15" hidden="false" customHeight="false" outlineLevel="0" collapsed="false">
      <c r="A81" s="20" t="s">
        <v>926</v>
      </c>
      <c r="B81" s="20" t="n">
        <v>64.37273051</v>
      </c>
      <c r="C81" s="20" t="n">
        <v>113.5654226</v>
      </c>
      <c r="D81" s="20" t="n">
        <v>149.6931426</v>
      </c>
      <c r="E81" s="20" t="n">
        <v>203.207132</v>
      </c>
      <c r="F81" s="20" t="n">
        <v>320.0214767</v>
      </c>
      <c r="G81" s="20" t="n">
        <v>436.6129788</v>
      </c>
      <c r="H81" s="20" t="n">
        <v>562.8399986</v>
      </c>
      <c r="I81" s="20" t="n">
        <v>699.1598608</v>
      </c>
      <c r="J81" s="20" t="n">
        <v>817.2415568</v>
      </c>
      <c r="K81" s="20" t="n">
        <v>945.396208</v>
      </c>
      <c r="L81" s="21" t="n">
        <v>0.05190904887</v>
      </c>
      <c r="M81" s="21" t="n">
        <v>0.05183039449</v>
      </c>
      <c r="N81" s="21" t="n">
        <v>0.05178381435</v>
      </c>
      <c r="O81" s="21" t="n">
        <v>0.05175672047</v>
      </c>
      <c r="P81" s="21" t="n">
        <v>0.05176791623</v>
      </c>
      <c r="Q81" s="21" t="n">
        <v>0.05181072998</v>
      </c>
      <c r="R81" s="21" t="n">
        <v>0.05190212997</v>
      </c>
      <c r="S81" s="21" t="n">
        <v>0.05203646305</v>
      </c>
      <c r="T81" s="21" t="n">
        <v>0.05222825169</v>
      </c>
      <c r="U81" s="21" t="n">
        <v>0.05249127582</v>
      </c>
      <c r="V81" s="25" t="n">
        <v>0.6126518986</v>
      </c>
    </row>
    <row r="82" customFormat="false" ht="15" hidden="false" customHeight="false" outlineLevel="0" collapsed="false">
      <c r="A82" s="20" t="s">
        <v>927</v>
      </c>
      <c r="B82" s="20" t="n">
        <v>75.60330764</v>
      </c>
      <c r="C82" s="20" t="n">
        <v>133.439625</v>
      </c>
      <c r="D82" s="20" t="n">
        <v>175.8846186</v>
      </c>
      <c r="E82" s="20" t="n">
        <v>238.652681</v>
      </c>
      <c r="F82" s="20" t="n">
        <v>375.4326138</v>
      </c>
      <c r="G82" s="20" t="n">
        <v>511.4349273</v>
      </c>
      <c r="H82" s="20" t="n">
        <v>657.7518254</v>
      </c>
      <c r="I82" s="20" t="n">
        <v>814.5451861</v>
      </c>
      <c r="J82" s="20" t="n">
        <v>948.3301762</v>
      </c>
      <c r="K82" s="20" t="n">
        <v>1091.406691</v>
      </c>
      <c r="L82" s="21" t="n">
        <v>0.0609651907</v>
      </c>
      <c r="M82" s="21" t="n">
        <v>0.06090082918</v>
      </c>
      <c r="N82" s="21" t="n">
        <v>0.06084431308</v>
      </c>
      <c r="O82" s="21" t="n">
        <v>0.06078467808</v>
      </c>
      <c r="P82" s="21" t="n">
        <v>0.06073143686</v>
      </c>
      <c r="Q82" s="21" t="n">
        <v>0.0606894852</v>
      </c>
      <c r="R82" s="21" t="n">
        <v>0.06065439702</v>
      </c>
      <c r="S82" s="21" t="n">
        <v>0.06062426186</v>
      </c>
      <c r="T82" s="21" t="n">
        <v>0.0606058597</v>
      </c>
      <c r="U82" s="21" t="n">
        <v>0.0605982224</v>
      </c>
    </row>
    <row r="83" customFormat="false" ht="15" hidden="false" customHeight="false" outlineLevel="0" collapsed="false">
      <c r="A83" s="20" t="s">
        <v>928</v>
      </c>
      <c r="B83" s="20" t="n">
        <v>87.61934294</v>
      </c>
      <c r="C83" s="20" t="n">
        <v>154.8932639</v>
      </c>
      <c r="D83" s="20" t="n">
        <v>204.4283337</v>
      </c>
      <c r="E83" s="20" t="n">
        <v>277.74315</v>
      </c>
      <c r="F83" s="20" t="n">
        <v>437.3829629</v>
      </c>
      <c r="G83" s="20" t="n">
        <v>596.2237952</v>
      </c>
      <c r="H83" s="20" t="n">
        <v>767.1033326</v>
      </c>
      <c r="I83" s="20" t="n">
        <v>950.0922739</v>
      </c>
      <c r="J83" s="20" t="n">
        <v>1105.817813</v>
      </c>
      <c r="K83" s="20" t="n">
        <v>1271.665928</v>
      </c>
      <c r="L83" s="21" t="n">
        <v>0.07065471231</v>
      </c>
      <c r="M83" s="21" t="n">
        <v>0.07069210669</v>
      </c>
      <c r="N83" s="21" t="n">
        <v>0.0707185292</v>
      </c>
      <c r="O83" s="21" t="n">
        <v>0.07074099436</v>
      </c>
      <c r="P83" s="21" t="n">
        <v>0.07075276579</v>
      </c>
      <c r="Q83" s="21" t="n">
        <v>0.07075096608</v>
      </c>
      <c r="R83" s="21" t="n">
        <v>0.07073821508</v>
      </c>
      <c r="S83" s="21" t="n">
        <v>0.07071264282</v>
      </c>
      <c r="T83" s="21" t="n">
        <v>0.07067057541</v>
      </c>
      <c r="U83" s="21" t="n">
        <v>0.07060676402</v>
      </c>
    </row>
    <row r="84" customFormat="false" ht="15" hidden="false" customHeight="false" outlineLevel="0" collapsed="false">
      <c r="A84" s="20" t="s">
        <v>929</v>
      </c>
      <c r="B84" s="20" t="n">
        <v>118.210211</v>
      </c>
      <c r="C84" s="20" t="n">
        <v>208.8518295</v>
      </c>
      <c r="D84" s="20" t="n">
        <v>275.504676</v>
      </c>
      <c r="E84" s="20" t="n">
        <v>374.0934341</v>
      </c>
      <c r="F84" s="20" t="n">
        <v>588.7935271</v>
      </c>
      <c r="G84" s="20" t="n">
        <v>802.2680655</v>
      </c>
      <c r="H84" s="20" t="n">
        <v>1031.629148</v>
      </c>
      <c r="I84" s="20" t="n">
        <v>1277.042694</v>
      </c>
      <c r="J84" s="20" t="n">
        <v>1485.561175</v>
      </c>
      <c r="K84" s="20" t="n">
        <v>1707.547136</v>
      </c>
      <c r="L84" s="21" t="n">
        <v>0.0953226556</v>
      </c>
      <c r="M84" s="21" t="n">
        <v>0.09531838532</v>
      </c>
      <c r="N84" s="21" t="n">
        <v>0.09530618934</v>
      </c>
      <c r="O84" s="21" t="n">
        <v>0.09528134722</v>
      </c>
      <c r="P84" s="21" t="n">
        <v>0.09524552635</v>
      </c>
      <c r="Q84" s="21" t="n">
        <v>0.09520123341</v>
      </c>
      <c r="R84" s="21" t="n">
        <v>0.09513138771</v>
      </c>
      <c r="S84" s="21" t="n">
        <v>0.09504662483</v>
      </c>
      <c r="T84" s="21" t="n">
        <v>0.09493920406</v>
      </c>
      <c r="U84" s="21" t="n">
        <v>0.0948082158</v>
      </c>
    </row>
    <row r="85" customFormat="false" ht="15" hidden="false" customHeight="false" outlineLevel="0" collapsed="false">
      <c r="A85" s="20" t="s">
        <v>930</v>
      </c>
      <c r="B85" s="20" t="n">
        <v>91.96465879</v>
      </c>
      <c r="C85" s="20" t="n">
        <v>162.6521432</v>
      </c>
      <c r="D85" s="20" t="n">
        <v>214.7869864</v>
      </c>
      <c r="E85" s="20" t="n">
        <v>291.9583575</v>
      </c>
      <c r="F85" s="20" t="n">
        <v>460.003771</v>
      </c>
      <c r="G85" s="20" t="n">
        <v>627.4148263</v>
      </c>
      <c r="H85" s="20" t="n">
        <v>807.6147204</v>
      </c>
      <c r="I85" s="20" t="n">
        <v>1000.749373</v>
      </c>
      <c r="J85" s="20" t="n">
        <v>1165.34522</v>
      </c>
      <c r="K85" s="20" t="n">
        <v>1340.821442</v>
      </c>
      <c r="L85" s="21" t="n">
        <v>0.07415869934</v>
      </c>
      <c r="M85" s="21" t="n">
        <v>0.07423320013</v>
      </c>
      <c r="N85" s="21" t="n">
        <v>0.07430193015</v>
      </c>
      <c r="O85" s="21" t="n">
        <v>0.07436159821</v>
      </c>
      <c r="P85" s="21" t="n">
        <v>0.07441199552</v>
      </c>
      <c r="Q85" s="21" t="n">
        <v>0.07445225342</v>
      </c>
      <c r="R85" s="21" t="n">
        <v>0.07447396115</v>
      </c>
      <c r="S85" s="21" t="n">
        <v>0.07448290542</v>
      </c>
      <c r="T85" s="21" t="n">
        <v>0.07447485135</v>
      </c>
      <c r="U85" s="21" t="n">
        <v>0.07444648871</v>
      </c>
    </row>
    <row r="86" customFormat="false" ht="15" hidden="false" customHeight="false" outlineLevel="0" collapsed="false">
      <c r="A86" s="20" t="s">
        <v>931</v>
      </c>
      <c r="B86" s="20" t="n">
        <v>68.8442948</v>
      </c>
      <c r="C86" s="20" t="n">
        <v>121.7294831</v>
      </c>
      <c r="D86" s="20" t="n">
        <v>160.7182483</v>
      </c>
      <c r="E86" s="20" t="n">
        <v>218.4025459</v>
      </c>
      <c r="F86" s="20" t="n">
        <v>344.0538105</v>
      </c>
      <c r="G86" s="20" t="n">
        <v>469.1276303</v>
      </c>
      <c r="H86" s="20" t="n">
        <v>603.7723845</v>
      </c>
      <c r="I86" s="20" t="n">
        <v>747.9773314</v>
      </c>
      <c r="J86" s="20" t="n">
        <v>870.8130385</v>
      </c>
      <c r="K86" s="20" t="n">
        <v>1001.699796</v>
      </c>
      <c r="L86" s="21" t="n">
        <v>0.05551484045</v>
      </c>
      <c r="M86" s="21" t="n">
        <v>0.05555640955</v>
      </c>
      <c r="N86" s="21" t="n">
        <v>0.05559776342</v>
      </c>
      <c r="O86" s="21" t="n">
        <v>0.05562698222</v>
      </c>
      <c r="P86" s="21" t="n">
        <v>0.05565547983</v>
      </c>
      <c r="Q86" s="21" t="n">
        <v>0.05566908488</v>
      </c>
      <c r="R86" s="21" t="n">
        <v>0.05567669827</v>
      </c>
      <c r="S86" s="21" t="n">
        <v>0.05566980737</v>
      </c>
      <c r="T86" s="21" t="n">
        <v>0.05565189652</v>
      </c>
      <c r="U86" s="21" t="n">
        <v>0.05561742243</v>
      </c>
    </row>
    <row r="87" customFormat="false" ht="15" hidden="false" customHeight="false" outlineLevel="0" collapsed="false">
      <c r="A87" s="20" t="s">
        <v>932</v>
      </c>
      <c r="B87" s="20" t="n">
        <v>120.7137646</v>
      </c>
      <c r="C87" s="20" t="n">
        <v>213.4859608</v>
      </c>
      <c r="D87" s="20" t="n">
        <v>281.8742302</v>
      </c>
      <c r="E87" s="20" t="n">
        <v>383.1068383</v>
      </c>
      <c r="F87" s="20" t="n">
        <v>603.528202</v>
      </c>
      <c r="G87" s="20" t="n">
        <v>823.0395331</v>
      </c>
      <c r="H87" s="20" t="n">
        <v>1059.318806</v>
      </c>
      <c r="I87" s="20" t="n">
        <v>1312.476308</v>
      </c>
      <c r="J87" s="20" t="n">
        <v>1528.060817</v>
      </c>
      <c r="K87" s="20" t="n">
        <v>1757.868142</v>
      </c>
      <c r="L87" s="21" t="n">
        <v>0.09734147764</v>
      </c>
      <c r="M87" s="21" t="n">
        <v>0.09743336756</v>
      </c>
      <c r="N87" s="21" t="n">
        <v>0.09750962902</v>
      </c>
      <c r="O87" s="21" t="n">
        <v>0.09757705523</v>
      </c>
      <c r="P87" s="21" t="n">
        <v>0.09762906457</v>
      </c>
      <c r="Q87" s="21" t="n">
        <v>0.09766608203</v>
      </c>
      <c r="R87" s="21" t="n">
        <v>0.09768478167</v>
      </c>
      <c r="S87" s="21" t="n">
        <v>0.09768384706</v>
      </c>
      <c r="T87" s="21" t="n">
        <v>0.09765527005</v>
      </c>
      <c r="U87" s="21" t="n">
        <v>0.09760219124</v>
      </c>
    </row>
    <row r="88" customFormat="false" ht="15" hidden="false" customHeight="false" outlineLevel="0" collapsed="false">
      <c r="A88" s="20" t="s">
        <v>933</v>
      </c>
      <c r="B88" s="20" t="n">
        <v>62.48272333</v>
      </c>
      <c r="C88" s="20" t="n">
        <v>110.4726846</v>
      </c>
      <c r="D88" s="20" t="n">
        <v>145.8197094</v>
      </c>
      <c r="E88" s="20" t="n">
        <v>198.1360452</v>
      </c>
      <c r="F88" s="20" t="n">
        <v>312.071875</v>
      </c>
      <c r="G88" s="20" t="n">
        <v>425.4388951</v>
      </c>
      <c r="H88" s="20" t="n">
        <v>547.4474048</v>
      </c>
      <c r="I88" s="20" t="n">
        <v>678.0753001</v>
      </c>
      <c r="J88" s="20" t="n">
        <v>789.3445277</v>
      </c>
      <c r="K88" s="20" t="n">
        <v>907.8139843</v>
      </c>
      <c r="L88" s="21" t="n">
        <v>0.05038497999</v>
      </c>
      <c r="M88" s="21" t="n">
        <v>0.05041889238</v>
      </c>
      <c r="N88" s="21" t="n">
        <v>0.05044386556</v>
      </c>
      <c r="O88" s="21" t="n">
        <v>0.05046511807</v>
      </c>
      <c r="P88" s="21" t="n">
        <v>0.05048195782</v>
      </c>
      <c r="Q88" s="21" t="n">
        <v>0.05048475603</v>
      </c>
      <c r="R88" s="21" t="n">
        <v>0.05048270633</v>
      </c>
      <c r="S88" s="21" t="n">
        <v>0.05046719968</v>
      </c>
      <c r="T88" s="21" t="n">
        <v>0.0504454091</v>
      </c>
      <c r="U88" s="21" t="n">
        <v>0.05040459634</v>
      </c>
    </row>
    <row r="89" customFormat="false" ht="15" hidden="false" customHeight="false" outlineLevel="0" collapsed="false">
      <c r="A89" s="20" t="s">
        <v>934</v>
      </c>
      <c r="B89" s="20" t="n">
        <v>100.4011767</v>
      </c>
      <c r="C89" s="20" t="n">
        <v>177.2511495</v>
      </c>
      <c r="D89" s="20" t="n">
        <v>233.6376462</v>
      </c>
      <c r="E89" s="20" t="n">
        <v>317.0088743</v>
      </c>
      <c r="F89" s="20" t="n">
        <v>498.5738242</v>
      </c>
      <c r="G89" s="20" t="n">
        <v>678.7937902</v>
      </c>
      <c r="H89" s="20" t="n">
        <v>872.2414836</v>
      </c>
      <c r="I89" s="20" t="n">
        <v>1078.97369</v>
      </c>
      <c r="J89" s="20" t="n">
        <v>1254.266342</v>
      </c>
      <c r="K89" s="20" t="n">
        <v>1440.638811</v>
      </c>
      <c r="L89" s="21" t="n">
        <v>0.08096176046</v>
      </c>
      <c r="M89" s="21" t="n">
        <v>0.08089607548</v>
      </c>
      <c r="N89" s="21" t="n">
        <v>0.08082299751</v>
      </c>
      <c r="O89" s="21" t="n">
        <v>0.08074194805</v>
      </c>
      <c r="P89" s="21" t="n">
        <v>0.08065123703</v>
      </c>
      <c r="Q89" s="21" t="n">
        <v>0.08054914415</v>
      </c>
      <c r="R89" s="21" t="n">
        <v>0.08043349968</v>
      </c>
      <c r="S89" s="21" t="n">
        <v>0.08030491699</v>
      </c>
      <c r="T89" s="21" t="n">
        <v>0.08015762002</v>
      </c>
      <c r="U89" s="21" t="n">
        <v>0.07998865298</v>
      </c>
    </row>
    <row r="90" customFormat="false" ht="15" hidden="false" customHeight="false" outlineLevel="0" collapsed="false">
      <c r="A90" s="20" t="s">
        <v>935</v>
      </c>
      <c r="B90" s="20" t="n">
        <v>90.02768737</v>
      </c>
      <c r="C90" s="20" t="n">
        <v>159.1493825</v>
      </c>
      <c r="D90" s="20" t="n">
        <v>210.04307</v>
      </c>
      <c r="E90" s="20" t="n">
        <v>285.3710161</v>
      </c>
      <c r="F90" s="20" t="n">
        <v>449.3715257</v>
      </c>
      <c r="G90" s="20" t="n">
        <v>612.5504926</v>
      </c>
      <c r="H90" s="20" t="n">
        <v>788.1413372</v>
      </c>
      <c r="I90" s="20" t="n">
        <v>976.08346</v>
      </c>
      <c r="J90" s="20" t="n">
        <v>1136.017916</v>
      </c>
      <c r="K90" s="20" t="n">
        <v>1306.365887</v>
      </c>
      <c r="L90" s="21" t="n">
        <v>0.07259675932</v>
      </c>
      <c r="M90" s="21" t="n">
        <v>0.0726345668</v>
      </c>
      <c r="N90" s="21" t="n">
        <v>0.0726608524</v>
      </c>
      <c r="O90" s="21" t="n">
        <v>0.07268380675</v>
      </c>
      <c r="P90" s="21" t="n">
        <v>0.07269208225</v>
      </c>
      <c r="Q90" s="21" t="n">
        <v>0.07268837553</v>
      </c>
      <c r="R90" s="21" t="n">
        <v>0.07267822867</v>
      </c>
      <c r="S90" s="21" t="n">
        <v>0.07264709225</v>
      </c>
      <c r="T90" s="21" t="n">
        <v>0.07260060281</v>
      </c>
      <c r="U90" s="21" t="n">
        <v>0.07253341143</v>
      </c>
    </row>
    <row r="91" customFormat="false" ht="15" hidden="false" customHeight="false" outlineLevel="0" collapsed="false">
      <c r="A91" s="20" t="s">
        <v>936</v>
      </c>
      <c r="B91" s="20" t="n">
        <v>24.64853976</v>
      </c>
      <c r="C91" s="20" t="n">
        <v>43.60594865</v>
      </c>
      <c r="D91" s="20" t="n">
        <v>57.6078999</v>
      </c>
      <c r="E91" s="20" t="n">
        <v>78.33167997</v>
      </c>
      <c r="F91" s="20" t="n">
        <v>123.4504894</v>
      </c>
      <c r="G91" s="20" t="n">
        <v>168.4604717</v>
      </c>
      <c r="H91" s="20" t="n">
        <v>216.9159325</v>
      </c>
      <c r="I91" s="20" t="n">
        <v>268.8936344</v>
      </c>
      <c r="J91" s="20" t="n">
        <v>313.1558848</v>
      </c>
      <c r="K91" s="20" t="n">
        <v>360.4409941</v>
      </c>
      <c r="L91" s="21" t="n">
        <v>0.01987615322</v>
      </c>
      <c r="M91" s="21" t="n">
        <v>0.01990142306</v>
      </c>
      <c r="N91" s="21" t="n">
        <v>0.01992847996</v>
      </c>
      <c r="O91" s="21" t="n">
        <v>0.01995102645</v>
      </c>
      <c r="P91" s="21" t="n">
        <v>0.01996983034</v>
      </c>
      <c r="Q91" s="21" t="n">
        <v>0.01999038149</v>
      </c>
      <c r="R91" s="21" t="n">
        <v>0.02000284086</v>
      </c>
      <c r="S91" s="21" t="n">
        <v>0.02001298195</v>
      </c>
      <c r="T91" s="21" t="n">
        <v>0.02001315796</v>
      </c>
      <c r="U91" s="21" t="n">
        <v>0.02001278139</v>
      </c>
    </row>
    <row r="92" customFormat="false" ht="15" hidden="false" customHeight="false" outlineLevel="0" collapsed="false">
      <c r="A92" s="20" t="s">
        <v>937</v>
      </c>
      <c r="B92" s="20" t="n">
        <v>186.0592907</v>
      </c>
      <c r="C92" s="20" t="n">
        <v>328.3376756</v>
      </c>
      <c r="D92" s="20" t="n">
        <v>432.5982182</v>
      </c>
      <c r="E92" s="20" t="n">
        <v>586.7503802</v>
      </c>
      <c r="F92" s="20" t="n">
        <v>922.4591747</v>
      </c>
      <c r="G92" s="20" t="n">
        <v>1255.459024</v>
      </c>
      <c r="H92" s="20" t="n">
        <v>1612.726399</v>
      </c>
      <c r="I92" s="20" t="n">
        <v>1994.301252</v>
      </c>
      <c r="J92" s="20" t="n">
        <v>2317.654457</v>
      </c>
      <c r="K92" s="20" t="n">
        <v>2661.314947</v>
      </c>
      <c r="L92" s="21" t="n">
        <v>0.1500349719</v>
      </c>
      <c r="M92" s="21" t="n">
        <v>0.149850816</v>
      </c>
      <c r="N92" s="21" t="n">
        <v>0.1496500469</v>
      </c>
      <c r="O92" s="21" t="n">
        <v>0.149444929</v>
      </c>
      <c r="P92" s="21" t="n">
        <v>0.1492205766</v>
      </c>
      <c r="Q92" s="21" t="n">
        <v>0.1489791913</v>
      </c>
      <c r="R92" s="21" t="n">
        <v>0.148717105</v>
      </c>
      <c r="S92" s="21" t="n">
        <v>0.1484301219</v>
      </c>
      <c r="T92" s="21" t="n">
        <v>0.1481165994</v>
      </c>
      <c r="U92" s="21" t="n">
        <v>0.1477643085</v>
      </c>
    </row>
    <row r="93" customFormat="false" ht="15" hidden="false" customHeight="false" outlineLevel="0" collapsed="false">
      <c r="A93" s="18" t="s">
        <v>938</v>
      </c>
      <c r="B93" s="22" t="n">
        <v>1240.106145</v>
      </c>
      <c r="C93" s="22" t="n">
        <v>2191.097015</v>
      </c>
      <c r="D93" s="22" t="n">
        <v>2890.732259</v>
      </c>
      <c r="E93" s="22" t="n">
        <v>3926.197991</v>
      </c>
      <c r="F93" s="22" t="n">
        <v>6181.849685</v>
      </c>
      <c r="G93" s="22" t="n">
        <v>8427.076381</v>
      </c>
      <c r="H93" s="22" t="n">
        <v>10844.25627</v>
      </c>
      <c r="I93" s="22" t="n">
        <v>13435.96047</v>
      </c>
      <c r="J93" s="22" t="n">
        <v>15647.49978</v>
      </c>
      <c r="K93" s="22" t="n">
        <v>18010.53972</v>
      </c>
      <c r="L93" s="25" t="n">
        <v>1</v>
      </c>
      <c r="M93" s="23" t="n">
        <v>1</v>
      </c>
      <c r="N93" s="23" t="n">
        <v>1</v>
      </c>
      <c r="O93" s="25" t="n">
        <v>1</v>
      </c>
      <c r="P93" s="23" t="n">
        <v>1</v>
      </c>
      <c r="Q93" s="23" t="n">
        <v>1</v>
      </c>
      <c r="R93" s="23" t="n">
        <v>1</v>
      </c>
      <c r="S93" s="23" t="n">
        <v>1</v>
      </c>
      <c r="T93" s="23" t="n">
        <v>1</v>
      </c>
      <c r="U93" s="2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0"/>
    <pageSetUpPr fitToPage="false"/>
  </sheetPr>
  <dimension ref="A1:L8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8" t="s">
        <v>940</v>
      </c>
    </row>
    <row r="2" customFormat="false" ht="15" hidden="false" customHeight="false" outlineLevel="0" collapsed="false">
      <c r="A2" s="19" t="s">
        <v>941</v>
      </c>
    </row>
    <row r="3" customFormat="false" ht="15" hidden="false" customHeight="false" outlineLevel="0" collapsed="false">
      <c r="A3" s="19" t="s">
        <v>942</v>
      </c>
    </row>
    <row r="5" customFormat="false" ht="15" hidden="false" customHeight="false" outlineLevel="0" collapsed="false">
      <c r="A5" s="18" t="s">
        <v>943</v>
      </c>
    </row>
    <row r="6" customFormat="false" ht="15" hidden="false" customHeight="false" outlineLevel="0" collapsed="false">
      <c r="A6" s="19" t="s">
        <v>944</v>
      </c>
      <c r="B6" s="20" t="n">
        <v>260</v>
      </c>
      <c r="E6" s="19" t="s">
        <v>945</v>
      </c>
      <c r="L6" s="19" t="s">
        <v>946</v>
      </c>
    </row>
    <row r="7" customFormat="false" ht="15" hidden="false" customHeight="false" outlineLevel="0" collapsed="false">
      <c r="A7" s="19" t="s">
        <v>947</v>
      </c>
      <c r="B7" s="20" t="n">
        <v>3</v>
      </c>
      <c r="L7" s="19" t="s">
        <v>948</v>
      </c>
    </row>
    <row r="8" customFormat="false" ht="15" hidden="false" customHeight="false" outlineLevel="0" collapsed="false">
      <c r="A8" s="19" t="s">
        <v>949</v>
      </c>
      <c r="B8" s="21" t="n">
        <v>0.1</v>
      </c>
      <c r="L8" s="19" t="s">
        <v>950</v>
      </c>
    </row>
    <row r="9" customFormat="false" ht="15" hidden="false" customHeight="false" outlineLevel="0" collapsed="false">
      <c r="A9" s="19" t="s">
        <v>951</v>
      </c>
      <c r="B9" s="26" t="n">
        <v>20</v>
      </c>
      <c r="L9" s="19" t="s">
        <v>952</v>
      </c>
    </row>
    <row r="10" customFormat="false" ht="15" hidden="false" customHeight="false" outlineLevel="0" collapsed="false">
      <c r="A10" s="19" t="s">
        <v>953</v>
      </c>
      <c r="B10" s="26" t="n">
        <v>30</v>
      </c>
      <c r="L10" s="19" t="s">
        <v>952</v>
      </c>
    </row>
    <row r="12" customFormat="false" ht="15" hidden="false" customHeight="false" outlineLevel="0" collapsed="false">
      <c r="A12" s="18" t="s">
        <v>954</v>
      </c>
      <c r="B12" s="27" t="n">
        <v>2026</v>
      </c>
      <c r="C12" s="27" t="n">
        <v>2027</v>
      </c>
      <c r="D12" s="27" t="n">
        <v>2028</v>
      </c>
      <c r="E12" s="27" t="n">
        <v>2029</v>
      </c>
      <c r="F12" s="27" t="n">
        <v>2030</v>
      </c>
      <c r="G12" s="27" t="n">
        <v>2031</v>
      </c>
      <c r="H12" s="27" t="n">
        <v>2032</v>
      </c>
      <c r="I12" s="27" t="n">
        <v>2033</v>
      </c>
      <c r="J12" s="27" t="n">
        <v>2034</v>
      </c>
      <c r="K12" s="27" t="n">
        <v>2035</v>
      </c>
    </row>
    <row r="14" customFormat="false" ht="15" hidden="false" customHeight="false" outlineLevel="0" collapsed="false">
      <c r="A14" s="18" t="s">
        <v>955</v>
      </c>
    </row>
    <row r="15" customFormat="false" ht="15" hidden="false" customHeight="false" outlineLevel="0" collapsed="false">
      <c r="A15" s="19" t="s">
        <v>956</v>
      </c>
      <c r="B15" s="20" t="n">
        <v>39725</v>
      </c>
      <c r="C15" s="20" t="n">
        <v>39940</v>
      </c>
      <c r="D15" s="20" t="n">
        <v>40154</v>
      </c>
      <c r="E15" s="20" t="n">
        <v>40369</v>
      </c>
      <c r="F15" s="20" t="n">
        <v>40593</v>
      </c>
      <c r="G15" s="20" t="n">
        <v>40811</v>
      </c>
      <c r="H15" s="20" t="n">
        <v>41042</v>
      </c>
      <c r="I15" s="20" t="n">
        <v>41258</v>
      </c>
      <c r="J15" s="20" t="n">
        <v>41486</v>
      </c>
      <c r="K15" s="20" t="n">
        <v>41707</v>
      </c>
    </row>
    <row r="16" customFormat="false" ht="15" hidden="false" customHeight="false" outlineLevel="0" collapsed="false">
      <c r="A16" s="19" t="s">
        <v>957</v>
      </c>
      <c r="B16" s="20" t="n">
        <v>3393423</v>
      </c>
      <c r="C16" s="20" t="n">
        <v>3525669</v>
      </c>
      <c r="D16" s="20" t="n">
        <v>3663072</v>
      </c>
      <c r="E16" s="20" t="n">
        <v>3805830</v>
      </c>
      <c r="F16" s="20" t="n">
        <v>3954150</v>
      </c>
      <c r="G16" s="20" t="n">
        <v>4108248</v>
      </c>
      <c r="H16" s="20" t="n">
        <v>4268358</v>
      </c>
      <c r="I16" s="20" t="n">
        <v>4434705</v>
      </c>
      <c r="J16" s="20" t="n">
        <v>4607532</v>
      </c>
      <c r="K16" s="20" t="n">
        <v>4787100</v>
      </c>
    </row>
    <row r="17" customFormat="false" ht="15" hidden="false" customHeight="false" outlineLevel="0" collapsed="false">
      <c r="A17" s="19" t="s">
        <v>958</v>
      </c>
      <c r="B17" s="20" t="n">
        <v>703633</v>
      </c>
      <c r="C17" s="20" t="n">
        <v>704099</v>
      </c>
      <c r="D17" s="20" t="n">
        <v>704578</v>
      </c>
      <c r="E17" s="20" t="n">
        <v>705077</v>
      </c>
      <c r="F17" s="20" t="n">
        <v>705582</v>
      </c>
      <c r="G17" s="20" t="n">
        <v>706103</v>
      </c>
      <c r="H17" s="20" t="n">
        <v>706636</v>
      </c>
      <c r="I17" s="20" t="n">
        <v>707181</v>
      </c>
      <c r="J17" s="20" t="n">
        <v>707746</v>
      </c>
      <c r="K17" s="20" t="n">
        <v>708321</v>
      </c>
    </row>
    <row r="18" customFormat="false" ht="15" hidden="false" customHeight="false" outlineLevel="0" collapsed="false">
      <c r="A18" s="19" t="s">
        <v>959</v>
      </c>
      <c r="B18" s="20" t="n">
        <v>12094003</v>
      </c>
      <c r="C18" s="20" t="n">
        <v>12355237</v>
      </c>
      <c r="D18" s="20" t="n">
        <v>12622105</v>
      </c>
      <c r="E18" s="20" t="n">
        <v>12894744</v>
      </c>
      <c r="F18" s="20" t="n">
        <v>13173268</v>
      </c>
      <c r="G18" s="20" t="n">
        <v>13457809</v>
      </c>
      <c r="H18" s="20" t="n">
        <v>13748498</v>
      </c>
      <c r="I18" s="20" t="n">
        <v>14045462</v>
      </c>
      <c r="J18" s="20" t="n">
        <v>14348845</v>
      </c>
      <c r="K18" s="20" t="n">
        <v>14658783</v>
      </c>
    </row>
    <row r="19" customFormat="false" ht="15" hidden="false" customHeight="false" outlineLevel="0" collapsed="false">
      <c r="A19" s="19" t="s">
        <v>960</v>
      </c>
      <c r="B19" s="20" t="n">
        <v>480202</v>
      </c>
      <c r="C19" s="20" t="n">
        <v>491487</v>
      </c>
      <c r="D19" s="20" t="n">
        <v>503046</v>
      </c>
      <c r="E19" s="20" t="n">
        <v>514886</v>
      </c>
      <c r="F19" s="20" t="n">
        <v>527016</v>
      </c>
      <c r="G19" s="20" t="n">
        <v>539450</v>
      </c>
      <c r="H19" s="20" t="n">
        <v>552192</v>
      </c>
      <c r="I19" s="20" t="n">
        <v>565246</v>
      </c>
      <c r="J19" s="20" t="n">
        <v>578626</v>
      </c>
      <c r="K19" s="20" t="n">
        <v>592334</v>
      </c>
    </row>
    <row r="20" customFormat="false" ht="15" hidden="false" customHeight="false" outlineLevel="0" collapsed="false">
      <c r="A20" s="19" t="s">
        <v>961</v>
      </c>
      <c r="B20" s="20" t="n">
        <v>18972632</v>
      </c>
      <c r="C20" s="20" t="n">
        <v>19153968</v>
      </c>
      <c r="D20" s="20" t="n">
        <v>19337280</v>
      </c>
      <c r="E20" s="20" t="n">
        <v>19522464</v>
      </c>
      <c r="F20" s="20" t="n">
        <v>19709624</v>
      </c>
      <c r="G20" s="20" t="n">
        <v>19898792</v>
      </c>
      <c r="H20" s="20" t="n">
        <v>20089920</v>
      </c>
      <c r="I20" s="20" t="n">
        <v>20283056</v>
      </c>
      <c r="J20" s="20" t="n">
        <v>20478312</v>
      </c>
      <c r="K20" s="20" t="n">
        <v>20675608</v>
      </c>
    </row>
    <row r="21" customFormat="false" ht="15" hidden="false" customHeight="false" outlineLevel="0" collapsed="false">
      <c r="A21" s="19" t="s">
        <v>962</v>
      </c>
      <c r="B21" s="20" t="n">
        <v>327007</v>
      </c>
      <c r="C21" s="20" t="n">
        <v>330622</v>
      </c>
      <c r="D21" s="20" t="n">
        <v>334864</v>
      </c>
      <c r="E21" s="20" t="n">
        <v>339841</v>
      </c>
      <c r="F21" s="20" t="n">
        <v>345690</v>
      </c>
      <c r="G21" s="20" t="n">
        <v>352567</v>
      </c>
      <c r="H21" s="20" t="n">
        <v>360658</v>
      </c>
      <c r="I21" s="20" t="n">
        <v>370183</v>
      </c>
      <c r="J21" s="20" t="n">
        <v>381402</v>
      </c>
      <c r="K21" s="20" t="n">
        <v>394627</v>
      </c>
    </row>
    <row r="22" customFormat="false" ht="15" hidden="false" customHeight="false" outlineLevel="0" collapsed="false">
      <c r="A22" s="18" t="s">
        <v>963</v>
      </c>
      <c r="B22" s="22" t="n">
        <v>36010625</v>
      </c>
      <c r="C22" s="22" t="n">
        <v>36601022</v>
      </c>
      <c r="D22" s="22" t="n">
        <v>37205099</v>
      </c>
      <c r="E22" s="22" t="n">
        <v>37823211</v>
      </c>
      <c r="F22" s="22" t="n">
        <v>38455923</v>
      </c>
      <c r="G22" s="22" t="n">
        <v>39103780</v>
      </c>
      <c r="H22" s="22" t="n">
        <v>39767304</v>
      </c>
      <c r="I22" s="22" t="n">
        <v>40447091</v>
      </c>
      <c r="J22" s="22" t="n">
        <v>41143949</v>
      </c>
      <c r="K22" s="22" t="n">
        <v>41858480</v>
      </c>
    </row>
    <row r="23" customFormat="false" ht="15" hidden="false" customHeight="false" outlineLevel="0" collapsed="false">
      <c r="A23" s="19" t="s">
        <v>964</v>
      </c>
      <c r="B23" s="20" t="n">
        <v>23916622</v>
      </c>
      <c r="C23" s="20" t="n">
        <v>24245785</v>
      </c>
      <c r="D23" s="20" t="n">
        <v>24582994</v>
      </c>
      <c r="E23" s="20" t="n">
        <v>24928467</v>
      </c>
      <c r="F23" s="20" t="n">
        <v>25282655</v>
      </c>
      <c r="G23" s="20" t="n">
        <v>25645971</v>
      </c>
      <c r="H23" s="20" t="n">
        <v>26018806</v>
      </c>
      <c r="I23" s="20" t="n">
        <v>26401629</v>
      </c>
      <c r="J23" s="20" t="n">
        <v>26795104</v>
      </c>
      <c r="K23" s="20" t="n">
        <v>27199697</v>
      </c>
    </row>
    <row r="24" customFormat="false" ht="15" hidden="false" customHeight="false" outlineLevel="0" collapsed="false">
      <c r="A24" s="19" t="s">
        <v>965</v>
      </c>
      <c r="B24" s="21" t="n">
        <v>0.6641545933</v>
      </c>
      <c r="C24" s="21" t="n">
        <v>0.6624346446</v>
      </c>
      <c r="D24" s="21" t="n">
        <v>0.6607426041</v>
      </c>
      <c r="E24" s="21" t="n">
        <v>0.6590785484</v>
      </c>
      <c r="F24" s="21" t="n">
        <v>0.6574450183</v>
      </c>
      <c r="G24" s="21" t="n">
        <v>0.6558437829</v>
      </c>
      <c r="H24" s="21" t="n">
        <v>0.6542763372</v>
      </c>
      <c r="I24" s="21" t="n">
        <v>0.6527448167</v>
      </c>
      <c r="J24" s="21" t="n">
        <v>0.6512526058</v>
      </c>
      <c r="K24" s="21" t="n">
        <v>0.6498013545</v>
      </c>
      <c r="L24" s="19" t="s">
        <v>966</v>
      </c>
    </row>
    <row r="26" customFormat="false" ht="15" hidden="false" customHeight="false" outlineLevel="0" collapsed="false">
      <c r="A26" s="18" t="s">
        <v>967</v>
      </c>
    </row>
    <row r="27" customFormat="false" ht="15" hidden="false" customHeight="false" outlineLevel="0" collapsed="false">
      <c r="A27" s="19" t="s">
        <v>968</v>
      </c>
      <c r="B27" s="20" t="n">
        <v>6829.793098</v>
      </c>
      <c r="C27" s="20" t="n">
        <v>30662.68091</v>
      </c>
      <c r="D27" s="20" t="n">
        <v>61483.058</v>
      </c>
      <c r="E27" s="20" t="n">
        <v>114050.7954</v>
      </c>
      <c r="F27" s="20" t="n">
        <v>167870.3958</v>
      </c>
      <c r="G27" s="20" t="n">
        <v>228490.1081</v>
      </c>
      <c r="H27" s="20" t="n">
        <v>283777.7821</v>
      </c>
      <c r="I27" s="20" t="n">
        <v>322612.2382</v>
      </c>
      <c r="J27" s="20" t="n">
        <v>347003.7155</v>
      </c>
      <c r="K27" s="20" t="n">
        <v>371907.6896</v>
      </c>
      <c r="L27" s="19" t="s">
        <v>969</v>
      </c>
    </row>
    <row r="28" customFormat="false" ht="15" hidden="false" customHeight="false" outlineLevel="0" collapsed="false">
      <c r="A28" s="19" t="s">
        <v>970</v>
      </c>
      <c r="B28" s="20" t="n">
        <v>4536.038457</v>
      </c>
      <c r="C28" s="20" t="n">
        <v>20312.02213</v>
      </c>
      <c r="D28" s="20" t="n">
        <v>40624.47586</v>
      </c>
      <c r="E28" s="20" t="n">
        <v>75168.43269</v>
      </c>
      <c r="F28" s="20" t="n">
        <v>110365.5554</v>
      </c>
      <c r="G28" s="20" t="n">
        <v>149853.8168</v>
      </c>
      <c r="H28" s="20" t="n">
        <v>185669.0879</v>
      </c>
      <c r="I28" s="20" t="n">
        <v>210583.4663</v>
      </c>
      <c r="J28" s="20" t="n">
        <v>225987.074</v>
      </c>
      <c r="K28" s="20" t="n">
        <v>241666.1205</v>
      </c>
    </row>
    <row r="29" customFormat="false" ht="15" hidden="false" customHeight="false" outlineLevel="0" collapsed="false">
      <c r="A29" s="18" t="s">
        <v>971</v>
      </c>
      <c r="B29" s="22" t="n">
        <v>454</v>
      </c>
      <c r="C29" s="22" t="n">
        <v>2032</v>
      </c>
      <c r="D29" s="22" t="n">
        <v>4063</v>
      </c>
      <c r="E29" s="22" t="n">
        <v>7517</v>
      </c>
      <c r="F29" s="22" t="n">
        <v>11037</v>
      </c>
      <c r="G29" s="22" t="n">
        <v>14986</v>
      </c>
      <c r="H29" s="22" t="n">
        <v>18567</v>
      </c>
      <c r="I29" s="22" t="n">
        <v>21059</v>
      </c>
      <c r="J29" s="22" t="n">
        <v>22599</v>
      </c>
      <c r="K29" s="22" t="n">
        <v>24167</v>
      </c>
      <c r="L29" s="19" t="s">
        <v>972</v>
      </c>
    </row>
    <row r="30" customFormat="false" ht="15" hidden="false" customHeight="false" outlineLevel="0" collapsed="false">
      <c r="A30" s="18" t="s">
        <v>973</v>
      </c>
      <c r="B30" s="22" t="n">
        <v>454</v>
      </c>
      <c r="C30" s="22" t="n">
        <v>1578</v>
      </c>
      <c r="D30" s="22" t="n">
        <v>2031</v>
      </c>
      <c r="E30" s="22" t="n">
        <v>3454</v>
      </c>
      <c r="F30" s="22" t="n">
        <v>3520</v>
      </c>
      <c r="G30" s="22" t="n">
        <v>3949</v>
      </c>
      <c r="H30" s="22" t="n">
        <v>3581</v>
      </c>
      <c r="I30" s="22" t="n">
        <v>2492</v>
      </c>
      <c r="J30" s="22" t="n">
        <v>1540</v>
      </c>
      <c r="K30" s="22" t="n">
        <v>1568</v>
      </c>
    </row>
    <row r="32" customFormat="false" ht="15" hidden="false" customHeight="false" outlineLevel="0" collapsed="false">
      <c r="A32" s="18" t="s">
        <v>974</v>
      </c>
    </row>
    <row r="33" customFormat="false" ht="15" hidden="false" customHeight="false" outlineLevel="0" collapsed="false">
      <c r="A33" s="19" t="s">
        <v>975</v>
      </c>
      <c r="B33" s="21" t="n">
        <v>0.06647346318</v>
      </c>
      <c r="C33" s="21" t="n">
        <v>0.06626948262</v>
      </c>
      <c r="D33" s="21" t="n">
        <v>0.06608324524</v>
      </c>
      <c r="E33" s="21" t="n">
        <v>0.06590922905</v>
      </c>
      <c r="F33" s="21" t="n">
        <v>0.06574714945</v>
      </c>
      <c r="G33" s="21" t="n">
        <v>0.06558708439</v>
      </c>
      <c r="H33" s="21" t="n">
        <v>0.06542795514</v>
      </c>
      <c r="I33" s="21" t="n">
        <v>0.06527650691</v>
      </c>
      <c r="J33" s="21" t="n">
        <v>0.06512610381</v>
      </c>
      <c r="K33" s="21" t="n">
        <v>0.06498117859</v>
      </c>
      <c r="L33" s="19" t="s">
        <v>976</v>
      </c>
    </row>
    <row r="34" customFormat="false" ht="15" hidden="false" customHeight="false" outlineLevel="0" collapsed="false">
      <c r="A34" s="18" t="s">
        <v>977</v>
      </c>
    </row>
    <row r="35" customFormat="false" ht="15" hidden="false" customHeight="false" outlineLevel="0" collapsed="false">
      <c r="A35" s="19" t="s">
        <v>144</v>
      </c>
      <c r="B35" s="28" t="n">
        <v>37.45755974</v>
      </c>
      <c r="C35" s="28" t="n">
        <v>182.8379274</v>
      </c>
      <c r="D35" s="28" t="n">
        <v>329.1635168</v>
      </c>
      <c r="E35" s="28" t="n">
        <v>604.0870395</v>
      </c>
      <c r="F35" s="28" t="n">
        <v>908.4196036</v>
      </c>
      <c r="G35" s="28" t="n">
        <v>1265.854457</v>
      </c>
      <c r="H35" s="28" t="n">
        <v>1591.762771</v>
      </c>
      <c r="I35" s="28" t="n">
        <v>1848.642494</v>
      </c>
      <c r="J35" s="28" t="n">
        <v>1981.471329</v>
      </c>
      <c r="K35" s="28" t="n">
        <v>2117.630886</v>
      </c>
    </row>
    <row r="36" customFormat="false" ht="15" hidden="false" customHeight="false" outlineLevel="0" collapsed="false">
      <c r="A36" s="19" t="s">
        <v>145</v>
      </c>
      <c r="B36" s="28" t="n">
        <v>3.554545917</v>
      </c>
      <c r="C36" s="28" t="n">
        <v>13.8703588</v>
      </c>
      <c r="D36" s="28" t="n">
        <v>31.75858511</v>
      </c>
      <c r="E36" s="28" t="n">
        <v>58.48173393</v>
      </c>
      <c r="F36" s="28" t="n">
        <v>84.63118963</v>
      </c>
      <c r="G36" s="28" t="n">
        <v>112.3877028</v>
      </c>
      <c r="H36" s="28" t="n">
        <v>138.1358126</v>
      </c>
      <c r="I36" s="28" t="n">
        <v>153.831058</v>
      </c>
      <c r="J36" s="28" t="n">
        <v>166.4744671</v>
      </c>
      <c r="K36" s="28" t="n">
        <v>179.3160521</v>
      </c>
    </row>
    <row r="37" customFormat="false" ht="15" hidden="false" customHeight="false" outlineLevel="0" collapsed="false">
      <c r="A37" s="19" t="s">
        <v>146</v>
      </c>
      <c r="B37" s="28" t="n">
        <v>21.00859208</v>
      </c>
      <c r="C37" s="28" t="n">
        <v>84.6026487</v>
      </c>
      <c r="D37" s="28" t="n">
        <v>191.5519695</v>
      </c>
      <c r="E37" s="28" t="n">
        <v>362.1998221</v>
      </c>
      <c r="F37" s="28" t="n">
        <v>521.825908</v>
      </c>
      <c r="G37" s="28" t="n">
        <v>693.5109453</v>
      </c>
      <c r="H37" s="28" t="n">
        <v>848.8908434</v>
      </c>
      <c r="I37" s="28" t="n">
        <v>940.8769835</v>
      </c>
      <c r="J37" s="28" t="n">
        <v>1015.096874</v>
      </c>
      <c r="K37" s="28" t="n">
        <v>1090.683375</v>
      </c>
    </row>
    <row r="38" customFormat="false" ht="15" hidden="false" customHeight="false" outlineLevel="0" collapsed="false">
      <c r="A38" s="19" t="s">
        <v>147</v>
      </c>
      <c r="B38" s="28" t="n">
        <v>1.274733708</v>
      </c>
      <c r="C38" s="28" t="n">
        <v>4.715876847</v>
      </c>
      <c r="D38" s="28" t="n">
        <v>11.04509029</v>
      </c>
      <c r="E38" s="28" t="n">
        <v>21.12923953</v>
      </c>
      <c r="F38" s="28" t="n">
        <v>30.66839686</v>
      </c>
      <c r="G38" s="28" t="n">
        <v>41.08244089</v>
      </c>
      <c r="H38" s="28" t="n">
        <v>50.29088251</v>
      </c>
      <c r="I38" s="28" t="n">
        <v>55.70068976</v>
      </c>
      <c r="J38" s="28" t="n">
        <v>60.10028485</v>
      </c>
      <c r="K38" s="28" t="n">
        <v>64.58050054</v>
      </c>
    </row>
    <row r="39" customFormat="false" ht="15" hidden="false" customHeight="false" outlineLevel="0" collapsed="false">
      <c r="A39" s="19" t="s">
        <v>565</v>
      </c>
      <c r="B39" s="28" t="n">
        <v>1.715987684</v>
      </c>
      <c r="C39" s="28" t="n">
        <v>6.932125345</v>
      </c>
      <c r="D39" s="28" t="n">
        <v>15.88767769</v>
      </c>
      <c r="E39" s="28" t="n">
        <v>29.8167293</v>
      </c>
      <c r="F39" s="28" t="n">
        <v>43.02735878</v>
      </c>
      <c r="G39" s="28" t="n">
        <v>57.52845133</v>
      </c>
      <c r="H39" s="28" t="n">
        <v>70.51301744</v>
      </c>
      <c r="I39" s="28" t="n">
        <v>78.40697592</v>
      </c>
      <c r="J39" s="28" t="n">
        <v>84.73669729</v>
      </c>
      <c r="K39" s="28" t="n">
        <v>91.17311795</v>
      </c>
    </row>
    <row r="40" customFormat="false" ht="15" hidden="false" customHeight="false" outlineLevel="0" collapsed="false">
      <c r="A40" s="19" t="s">
        <v>566</v>
      </c>
      <c r="B40" s="28" t="n">
        <v>0.2451410978</v>
      </c>
      <c r="C40" s="28" t="n">
        <v>1.737985842</v>
      </c>
      <c r="D40" s="28" t="n">
        <v>3.411748152</v>
      </c>
      <c r="E40" s="28" t="n">
        <v>5.684243621</v>
      </c>
      <c r="F40" s="28" t="n">
        <v>8.017926269</v>
      </c>
      <c r="G40" s="28" t="n">
        <v>10.38141017</v>
      </c>
      <c r="H40" s="28" t="n">
        <v>12.88568749</v>
      </c>
      <c r="I40" s="28" t="n">
        <v>14.5775577</v>
      </c>
      <c r="J40" s="28" t="n">
        <v>15.93832915</v>
      </c>
      <c r="K40" s="28" t="n">
        <v>17.30980301</v>
      </c>
    </row>
    <row r="41" customFormat="false" ht="15" hidden="false" customHeight="false" outlineLevel="0" collapsed="false">
      <c r="A41" s="19" t="s">
        <v>904</v>
      </c>
      <c r="B41" s="28" t="n">
        <v>0.1225705489</v>
      </c>
      <c r="C41" s="28" t="n">
        <v>0.8966346929</v>
      </c>
      <c r="D41" s="28" t="n">
        <v>1.772256113</v>
      </c>
      <c r="E41" s="28" t="n">
        <v>3.032286546</v>
      </c>
      <c r="F41" s="28" t="n">
        <v>4.300105456</v>
      </c>
      <c r="G41" s="28" t="n">
        <v>5.547472384</v>
      </c>
      <c r="H41" s="28" t="n">
        <v>6.783542717</v>
      </c>
      <c r="I41" s="28" t="n">
        <v>7.670247767</v>
      </c>
      <c r="J41" s="28" t="n">
        <v>8.342789262</v>
      </c>
      <c r="K41" s="28" t="n">
        <v>9.023120124</v>
      </c>
    </row>
    <row r="42" customFormat="false" ht="15" hidden="false" customHeight="false" outlineLevel="0" collapsed="false">
      <c r="A42" s="19" t="s">
        <v>568</v>
      </c>
      <c r="B42" s="28" t="n">
        <v>0.07354232933</v>
      </c>
      <c r="C42" s="28" t="n">
        <v>0.5071569382</v>
      </c>
      <c r="D42" s="28" t="n">
        <v>0.9578718226</v>
      </c>
      <c r="E42" s="28" t="n">
        <v>1.719113135</v>
      </c>
      <c r="F42" s="28" t="n">
        <v>2.369368017</v>
      </c>
      <c r="G42" s="28" t="n">
        <v>3.146849543</v>
      </c>
      <c r="H42" s="28" t="n">
        <v>3.977439801</v>
      </c>
      <c r="I42" s="28" t="n">
        <v>4.404801268</v>
      </c>
      <c r="J42" s="28" t="n">
        <v>4.808652728</v>
      </c>
      <c r="K42" s="28" t="n">
        <v>5.216101788</v>
      </c>
    </row>
    <row r="43" customFormat="false" ht="15" hidden="false" customHeight="false" outlineLevel="0" collapsed="false">
      <c r="A43" s="19" t="s">
        <v>905</v>
      </c>
      <c r="B43" s="28" t="n">
        <v>0.8825079519</v>
      </c>
      <c r="C43" s="28" t="n">
        <v>3.613524769</v>
      </c>
      <c r="D43" s="28" t="n">
        <v>8.045315885</v>
      </c>
      <c r="E43" s="28" t="n">
        <v>14.64618227</v>
      </c>
      <c r="F43" s="28" t="n">
        <v>21.14062049</v>
      </c>
      <c r="G43" s="28" t="n">
        <v>28.01666142</v>
      </c>
      <c r="H43" s="28" t="n">
        <v>34.47776614</v>
      </c>
      <c r="I43" s="28" t="n">
        <v>38.59551804</v>
      </c>
      <c r="J43" s="28" t="n">
        <v>41.75378378</v>
      </c>
      <c r="K43" s="28" t="n">
        <v>44.96246176</v>
      </c>
    </row>
    <row r="44" customFormat="false" ht="15" hidden="false" customHeight="false" outlineLevel="0" collapsed="false">
      <c r="A44" s="19" t="s">
        <v>570</v>
      </c>
      <c r="B44" s="28" t="n">
        <v>4.853793736</v>
      </c>
      <c r="C44" s="28" t="n">
        <v>18.28511713</v>
      </c>
      <c r="D44" s="28" t="n">
        <v>42.62105324</v>
      </c>
      <c r="E44" s="28" t="n">
        <v>81.49504029</v>
      </c>
      <c r="F44" s="28" t="n">
        <v>117.7174202</v>
      </c>
      <c r="G44" s="28" t="n">
        <v>156.4949564</v>
      </c>
      <c r="H44" s="28" t="n">
        <v>191.3697936</v>
      </c>
      <c r="I44" s="28" t="n">
        <v>211.5768786</v>
      </c>
      <c r="J44" s="28" t="n">
        <v>228.2725415</v>
      </c>
      <c r="K44" s="28" t="n">
        <v>245.2752345</v>
      </c>
    </row>
    <row r="45" customFormat="false" ht="15" hidden="false" customHeight="false" outlineLevel="0" collapsed="false">
      <c r="A45" s="19" t="s">
        <v>571</v>
      </c>
      <c r="B45" s="28" t="n">
        <v>1.348276038</v>
      </c>
      <c r="C45" s="28" t="n">
        <v>6.934353682</v>
      </c>
      <c r="D45" s="28" t="n">
        <v>14.82370201</v>
      </c>
      <c r="E45" s="28" t="n">
        <v>26.51687107</v>
      </c>
      <c r="F45" s="28" t="n">
        <v>38.21731265</v>
      </c>
      <c r="G45" s="28" t="n">
        <v>50.92688882</v>
      </c>
      <c r="H45" s="28" t="n">
        <v>63.12572461</v>
      </c>
      <c r="I45" s="28" t="n">
        <v>71.2740315</v>
      </c>
      <c r="J45" s="28" t="n">
        <v>77.51228315</v>
      </c>
      <c r="K45" s="28" t="n">
        <v>83.82347133</v>
      </c>
    </row>
    <row r="46" customFormat="false" ht="15" hidden="false" customHeight="false" outlineLevel="0" collapsed="false">
      <c r="A46" s="19" t="s">
        <v>906</v>
      </c>
      <c r="B46" s="28" t="n">
        <v>0.1961128782</v>
      </c>
      <c r="C46" s="28" t="n">
        <v>1.20747648</v>
      </c>
      <c r="D46" s="28" t="n">
        <v>2.487674503</v>
      </c>
      <c r="E46" s="28" t="n">
        <v>4.318898028</v>
      </c>
      <c r="F46" s="28" t="n">
        <v>6.193102385</v>
      </c>
      <c r="G46" s="28" t="n">
        <v>8.133118763</v>
      </c>
      <c r="H46" s="28" t="n">
        <v>10.18879976</v>
      </c>
      <c r="I46" s="28" t="n">
        <v>11.56434158</v>
      </c>
      <c r="J46" s="28" t="n">
        <v>12.63908969</v>
      </c>
      <c r="K46" s="28" t="n">
        <v>13.72256385</v>
      </c>
    </row>
    <row r="47" customFormat="false" ht="15" hidden="false" customHeight="false" outlineLevel="0" collapsed="false">
      <c r="A47" s="19" t="s">
        <v>573</v>
      </c>
      <c r="B47" s="28" t="n">
        <v>0.07354232933</v>
      </c>
      <c r="C47" s="28" t="n">
        <v>0.5071569382</v>
      </c>
      <c r="D47" s="28" t="n">
        <v>0.9578718226</v>
      </c>
      <c r="E47" s="28" t="n">
        <v>1.598148643</v>
      </c>
      <c r="F47" s="28" t="n">
        <v>2.212304137</v>
      </c>
      <c r="G47" s="28" t="n">
        <v>2.757579864</v>
      </c>
      <c r="H47" s="28" t="n">
        <v>3.541502193</v>
      </c>
      <c r="I47" s="28" t="n">
        <v>3.957203009</v>
      </c>
      <c r="J47" s="28" t="n">
        <v>4.332943183</v>
      </c>
      <c r="K47" s="28" t="n">
        <v>4.711273391</v>
      </c>
    </row>
    <row r="48" customFormat="false" ht="15" hidden="false" customHeight="false" outlineLevel="0" collapsed="false">
      <c r="A48" s="19" t="s">
        <v>889</v>
      </c>
      <c r="B48" s="28" t="n">
        <v>0.1899843508</v>
      </c>
      <c r="C48" s="28" t="n">
        <v>0.9264167434</v>
      </c>
      <c r="D48" s="28" t="n">
        <v>2.01369946</v>
      </c>
      <c r="E48" s="28" t="n">
        <v>3.627688313</v>
      </c>
      <c r="F48" s="28" t="n">
        <v>5.218872224</v>
      </c>
      <c r="G48" s="28" t="n">
        <v>6.935001181</v>
      </c>
      <c r="H48" s="28" t="n">
        <v>8.54520639</v>
      </c>
      <c r="I48" s="28" t="n">
        <v>9.595415238</v>
      </c>
      <c r="J48" s="28" t="n">
        <v>10.41281721</v>
      </c>
      <c r="K48" s="28" t="n">
        <v>11.24115267</v>
      </c>
    </row>
    <row r="49" customFormat="false" ht="15" hidden="false" customHeight="false" outlineLevel="0" collapsed="false">
      <c r="A49" s="19" t="s">
        <v>890</v>
      </c>
      <c r="B49" s="28" t="n">
        <v>0.4179655717</v>
      </c>
      <c r="C49" s="28" t="n">
        <v>2.038116836</v>
      </c>
      <c r="D49" s="28" t="n">
        <v>4.430138811</v>
      </c>
      <c r="E49" s="28" t="n">
        <v>7.980914289</v>
      </c>
      <c r="F49" s="28" t="n">
        <v>11.48151889</v>
      </c>
      <c r="G49" s="28" t="n">
        <v>15.2570026</v>
      </c>
      <c r="H49" s="28" t="n">
        <v>18.79945406</v>
      </c>
      <c r="I49" s="28" t="n">
        <v>21.10991352</v>
      </c>
      <c r="J49" s="28" t="n">
        <v>22.90819786</v>
      </c>
      <c r="K49" s="28" t="n">
        <v>24.73053588</v>
      </c>
    </row>
    <row r="50" customFormat="false" ht="15" hidden="false" customHeight="false" outlineLevel="0" collapsed="false">
      <c r="A50" s="19" t="s">
        <v>891</v>
      </c>
      <c r="B50" s="28" t="n">
        <v>0.09119248837</v>
      </c>
      <c r="C50" s="28" t="n">
        <v>0.4446800368</v>
      </c>
      <c r="D50" s="28" t="n">
        <v>0.9665757406</v>
      </c>
      <c r="E50" s="28" t="n">
        <v>1.74129039</v>
      </c>
      <c r="F50" s="28" t="n">
        <v>2.505058668</v>
      </c>
      <c r="G50" s="28" t="n">
        <v>3.328800567</v>
      </c>
      <c r="H50" s="28" t="n">
        <v>4.101699067</v>
      </c>
      <c r="I50" s="28" t="n">
        <v>4.605799314</v>
      </c>
      <c r="J50" s="28" t="n">
        <v>4.99815226</v>
      </c>
      <c r="K50" s="28" t="n">
        <v>5.395753283</v>
      </c>
    </row>
    <row r="51" customFormat="false" ht="15" hidden="false" customHeight="false" outlineLevel="0" collapsed="false">
      <c r="A51" s="19" t="s">
        <v>892</v>
      </c>
      <c r="B51" s="28" t="n">
        <v>0.06079499224</v>
      </c>
      <c r="C51" s="28" t="n">
        <v>0.2964533579</v>
      </c>
      <c r="D51" s="28" t="n">
        <v>0.6443838271</v>
      </c>
      <c r="E51" s="28" t="n">
        <v>1.16086026</v>
      </c>
      <c r="F51" s="28" t="n">
        <v>1.670039112</v>
      </c>
      <c r="G51" s="28" t="n">
        <v>2.219200378</v>
      </c>
      <c r="H51" s="28" t="n">
        <v>2.734466045</v>
      </c>
      <c r="I51" s="28" t="n">
        <v>3.070532876</v>
      </c>
      <c r="J51" s="28" t="n">
        <v>3.332101506</v>
      </c>
      <c r="K51" s="28" t="n">
        <v>3.597168856</v>
      </c>
    </row>
    <row r="53" customFormat="false" ht="15" hidden="false" customHeight="false" outlineLevel="0" collapsed="false">
      <c r="A53" s="18" t="s">
        <v>978</v>
      </c>
    </row>
    <row r="54" customFormat="false" ht="15" hidden="false" customHeight="false" outlineLevel="0" collapsed="false">
      <c r="A54" s="19" t="s">
        <v>979</v>
      </c>
      <c r="B54" s="20" t="n">
        <v>63</v>
      </c>
      <c r="C54" s="20" t="n">
        <v>282</v>
      </c>
      <c r="D54" s="20" t="n">
        <v>553</v>
      </c>
      <c r="E54" s="20" t="n">
        <v>1025</v>
      </c>
      <c r="F54" s="20" t="n">
        <v>1515</v>
      </c>
      <c r="G54" s="20" t="n">
        <v>2072</v>
      </c>
      <c r="H54" s="20" t="n">
        <v>2579</v>
      </c>
      <c r="I54" s="20" t="n">
        <v>2944</v>
      </c>
      <c r="J54" s="20" t="n">
        <v>3164</v>
      </c>
      <c r="K54" s="20" t="n">
        <v>3388</v>
      </c>
    </row>
    <row r="55" customFormat="false" ht="15" hidden="false" customHeight="false" outlineLevel="0" collapsed="false">
      <c r="A55" s="19" t="s">
        <v>147</v>
      </c>
      <c r="B55" s="20" t="n">
        <v>2</v>
      </c>
      <c r="C55" s="20" t="n">
        <v>5</v>
      </c>
      <c r="D55" s="20" t="n">
        <v>12</v>
      </c>
      <c r="E55" s="20" t="n">
        <v>22</v>
      </c>
      <c r="F55" s="20" t="n">
        <v>31</v>
      </c>
      <c r="G55" s="20" t="n">
        <v>42</v>
      </c>
      <c r="H55" s="20" t="n">
        <v>51</v>
      </c>
      <c r="I55" s="20" t="n">
        <v>56</v>
      </c>
      <c r="J55" s="20" t="n">
        <v>61</v>
      </c>
      <c r="K55" s="20" t="n">
        <v>65</v>
      </c>
    </row>
    <row r="56" customFormat="false" ht="15" hidden="false" customHeight="false" outlineLevel="0" collapsed="false">
      <c r="A56" s="19" t="s">
        <v>565</v>
      </c>
      <c r="B56" s="20" t="n">
        <v>2</v>
      </c>
      <c r="C56" s="20" t="n">
        <v>7</v>
      </c>
      <c r="D56" s="20" t="n">
        <v>16</v>
      </c>
      <c r="E56" s="20" t="n">
        <v>30</v>
      </c>
      <c r="F56" s="20" t="n">
        <v>44</v>
      </c>
      <c r="G56" s="20" t="n">
        <v>58</v>
      </c>
      <c r="H56" s="20" t="n">
        <v>71</v>
      </c>
      <c r="I56" s="20" t="n">
        <v>79</v>
      </c>
      <c r="J56" s="20" t="n">
        <v>85</v>
      </c>
      <c r="K56" s="20" t="n">
        <v>92</v>
      </c>
    </row>
    <row r="57" customFormat="false" ht="15" hidden="false" customHeight="false" outlineLevel="0" collapsed="false">
      <c r="A57" s="19" t="s">
        <v>566</v>
      </c>
      <c r="B57" s="20" t="n">
        <v>1</v>
      </c>
      <c r="C57" s="20" t="n">
        <v>2</v>
      </c>
      <c r="D57" s="20" t="n">
        <v>4</v>
      </c>
      <c r="E57" s="20" t="n">
        <v>6</v>
      </c>
      <c r="F57" s="20" t="n">
        <v>9</v>
      </c>
      <c r="G57" s="20" t="n">
        <v>11</v>
      </c>
      <c r="H57" s="20" t="n">
        <v>13</v>
      </c>
      <c r="I57" s="20" t="n">
        <v>15</v>
      </c>
      <c r="J57" s="20" t="n">
        <v>16</v>
      </c>
      <c r="K57" s="20" t="n">
        <v>18</v>
      </c>
    </row>
    <row r="58" customFormat="false" ht="15" hidden="false" customHeight="false" outlineLevel="0" collapsed="false">
      <c r="A58" s="19" t="s">
        <v>904</v>
      </c>
      <c r="B58" s="20" t="n">
        <v>1</v>
      </c>
      <c r="C58" s="20" t="n">
        <v>1</v>
      </c>
      <c r="D58" s="20" t="n">
        <v>2</v>
      </c>
      <c r="E58" s="20" t="n">
        <v>4</v>
      </c>
      <c r="F58" s="20" t="n">
        <v>5</v>
      </c>
      <c r="G58" s="20" t="n">
        <v>6</v>
      </c>
      <c r="H58" s="20" t="n">
        <v>7</v>
      </c>
      <c r="I58" s="20" t="n">
        <v>8</v>
      </c>
      <c r="J58" s="20" t="n">
        <v>9</v>
      </c>
      <c r="K58" s="20" t="n">
        <v>10</v>
      </c>
    </row>
    <row r="59" customFormat="false" ht="15" hidden="false" customHeight="false" outlineLevel="0" collapsed="false">
      <c r="A59" s="19" t="s">
        <v>568</v>
      </c>
      <c r="B59" s="20" t="n">
        <v>1</v>
      </c>
      <c r="C59" s="20" t="n">
        <v>1</v>
      </c>
      <c r="D59" s="20" t="n">
        <v>1</v>
      </c>
      <c r="E59" s="20" t="n">
        <v>2</v>
      </c>
      <c r="F59" s="20" t="n">
        <v>3</v>
      </c>
      <c r="G59" s="20" t="n">
        <v>4</v>
      </c>
      <c r="H59" s="20" t="n">
        <v>4</v>
      </c>
      <c r="I59" s="20" t="n">
        <v>5</v>
      </c>
      <c r="J59" s="20" t="n">
        <v>5</v>
      </c>
      <c r="K59" s="20" t="n">
        <v>6</v>
      </c>
    </row>
    <row r="60" customFormat="false" ht="15" hidden="false" customHeight="false" outlineLevel="0" collapsed="false">
      <c r="A60" s="19" t="s">
        <v>905</v>
      </c>
      <c r="B60" s="20" t="n">
        <v>1</v>
      </c>
      <c r="C60" s="20" t="n">
        <v>4</v>
      </c>
      <c r="D60" s="20" t="n">
        <v>9</v>
      </c>
      <c r="E60" s="20" t="n">
        <v>15</v>
      </c>
      <c r="F60" s="20" t="n">
        <v>22</v>
      </c>
      <c r="G60" s="20" t="n">
        <v>29</v>
      </c>
      <c r="H60" s="20" t="n">
        <v>35</v>
      </c>
      <c r="I60" s="20" t="n">
        <v>39</v>
      </c>
      <c r="J60" s="20" t="n">
        <v>42</v>
      </c>
      <c r="K60" s="20" t="n">
        <v>45</v>
      </c>
    </row>
    <row r="61" customFormat="false" ht="15" hidden="false" customHeight="false" outlineLevel="0" collapsed="false">
      <c r="A61" s="19" t="s">
        <v>980</v>
      </c>
      <c r="B61" s="20" t="n">
        <v>7</v>
      </c>
      <c r="C61" s="20" t="n">
        <v>26</v>
      </c>
      <c r="D61" s="20" t="n">
        <v>58</v>
      </c>
      <c r="E61" s="20" t="n">
        <v>109</v>
      </c>
      <c r="F61" s="20" t="n">
        <v>156</v>
      </c>
      <c r="G61" s="20" t="n">
        <v>208</v>
      </c>
      <c r="H61" s="20" t="n">
        <v>255</v>
      </c>
      <c r="I61" s="20" t="n">
        <v>283</v>
      </c>
      <c r="J61" s="20" t="n">
        <v>306</v>
      </c>
      <c r="K61" s="20" t="n">
        <v>330</v>
      </c>
    </row>
    <row r="62" customFormat="false" ht="15" hidden="false" customHeight="false" outlineLevel="0" collapsed="false">
      <c r="A62" s="19" t="s">
        <v>906</v>
      </c>
      <c r="B62" s="20" t="n">
        <v>1</v>
      </c>
      <c r="C62" s="20" t="n">
        <v>2</v>
      </c>
      <c r="D62" s="20" t="n">
        <v>3</v>
      </c>
      <c r="E62" s="20" t="n">
        <v>5</v>
      </c>
      <c r="F62" s="20" t="n">
        <v>7</v>
      </c>
      <c r="G62" s="20" t="n">
        <v>9</v>
      </c>
      <c r="H62" s="20" t="n">
        <v>11</v>
      </c>
      <c r="I62" s="20" t="n">
        <v>12</v>
      </c>
      <c r="J62" s="20" t="n">
        <v>13</v>
      </c>
      <c r="K62" s="20" t="n">
        <v>14</v>
      </c>
    </row>
    <row r="63" customFormat="false" ht="15" hidden="false" customHeight="false" outlineLevel="0" collapsed="false">
      <c r="A63" s="19" t="s">
        <v>573</v>
      </c>
      <c r="B63" s="20" t="n">
        <v>1</v>
      </c>
      <c r="C63" s="20" t="n">
        <v>1</v>
      </c>
      <c r="D63" s="20" t="n">
        <v>1</v>
      </c>
      <c r="E63" s="20" t="n">
        <v>2</v>
      </c>
      <c r="F63" s="20" t="n">
        <v>3</v>
      </c>
      <c r="G63" s="20" t="n">
        <v>3</v>
      </c>
      <c r="H63" s="20" t="n">
        <v>4</v>
      </c>
      <c r="I63" s="20" t="n">
        <v>4</v>
      </c>
      <c r="J63" s="20" t="n">
        <v>5</v>
      </c>
      <c r="K63" s="20" t="n">
        <v>5</v>
      </c>
    </row>
    <row r="64" customFormat="false" ht="15" hidden="false" customHeight="false" outlineLevel="0" collapsed="false">
      <c r="A64" s="19" t="s">
        <v>981</v>
      </c>
      <c r="B64" s="20" t="n">
        <v>1</v>
      </c>
      <c r="C64" s="20" t="n">
        <v>3</v>
      </c>
      <c r="D64" s="20" t="n">
        <v>7</v>
      </c>
      <c r="E64" s="20" t="n">
        <v>12</v>
      </c>
      <c r="F64" s="20" t="n">
        <v>17</v>
      </c>
      <c r="G64" s="20" t="n">
        <v>23</v>
      </c>
      <c r="H64" s="20" t="n">
        <v>28</v>
      </c>
      <c r="I64" s="20" t="n">
        <v>31</v>
      </c>
      <c r="J64" s="20" t="n">
        <v>34</v>
      </c>
      <c r="K64" s="20" t="n">
        <v>36</v>
      </c>
    </row>
    <row r="65" customFormat="false" ht="15" hidden="false" customHeight="false" outlineLevel="0" collapsed="false">
      <c r="A65" s="19" t="s">
        <v>982</v>
      </c>
      <c r="B65" s="20" t="n">
        <v>1</v>
      </c>
      <c r="C65" s="20" t="n">
        <v>1</v>
      </c>
      <c r="D65" s="20" t="n">
        <v>2</v>
      </c>
      <c r="E65" s="20" t="n">
        <v>3</v>
      </c>
      <c r="F65" s="20" t="n">
        <v>5</v>
      </c>
      <c r="G65" s="20" t="n">
        <v>6</v>
      </c>
      <c r="H65" s="20" t="n">
        <v>7</v>
      </c>
      <c r="I65" s="20" t="n">
        <v>8</v>
      </c>
      <c r="J65" s="20" t="n">
        <v>9</v>
      </c>
      <c r="K65" s="20" t="n">
        <v>9</v>
      </c>
    </row>
    <row r="66" customFormat="false" ht="15" hidden="false" customHeight="false" outlineLevel="0" collapsed="false">
      <c r="A66" s="18" t="s">
        <v>983</v>
      </c>
      <c r="B66" s="22" t="n">
        <v>82</v>
      </c>
      <c r="C66" s="22" t="n">
        <v>335</v>
      </c>
      <c r="D66" s="22" t="n">
        <v>668</v>
      </c>
      <c r="E66" s="22" t="n">
        <v>1235</v>
      </c>
      <c r="F66" s="22" t="n">
        <v>1817</v>
      </c>
      <c r="G66" s="22" t="n">
        <v>2471</v>
      </c>
      <c r="H66" s="22" t="n">
        <v>3065</v>
      </c>
      <c r="I66" s="22" t="n">
        <v>3484</v>
      </c>
      <c r="J66" s="22" t="n">
        <v>3749</v>
      </c>
      <c r="K66" s="22" t="n">
        <v>4018</v>
      </c>
    </row>
    <row r="68" customFormat="false" ht="15" hidden="false" customHeight="false" outlineLevel="0" collapsed="false">
      <c r="A68" s="18" t="s">
        <v>984</v>
      </c>
    </row>
    <row r="69" customFormat="false" ht="15" hidden="false" customHeight="false" outlineLevel="0" collapsed="false">
      <c r="A69" s="19" t="s">
        <v>979</v>
      </c>
      <c r="B69" s="20" t="n">
        <v>63</v>
      </c>
      <c r="C69" s="20" t="n">
        <v>222.15</v>
      </c>
      <c r="D69" s="20" t="n">
        <v>285.1</v>
      </c>
      <c r="E69" s="20" t="n">
        <v>499.65</v>
      </c>
      <c r="F69" s="20" t="n">
        <v>541.25</v>
      </c>
      <c r="G69" s="20" t="n">
        <v>632.75</v>
      </c>
      <c r="H69" s="20" t="n">
        <v>610.6</v>
      </c>
      <c r="I69" s="20" t="n">
        <v>493.95</v>
      </c>
      <c r="J69" s="20" t="n">
        <v>367.2</v>
      </c>
      <c r="K69" s="20" t="n">
        <v>382.2</v>
      </c>
    </row>
    <row r="70" customFormat="false" ht="15" hidden="false" customHeight="false" outlineLevel="0" collapsed="false">
      <c r="A70" s="19" t="s">
        <v>147</v>
      </c>
      <c r="B70" s="20" t="n">
        <v>2</v>
      </c>
      <c r="C70" s="20" t="n">
        <v>3.1</v>
      </c>
      <c r="D70" s="20" t="n">
        <v>7.25</v>
      </c>
      <c r="E70" s="20" t="n">
        <v>10.6</v>
      </c>
      <c r="F70" s="20" t="n">
        <v>10.1</v>
      </c>
      <c r="G70" s="20" t="n">
        <v>12.55</v>
      </c>
      <c r="H70" s="20" t="n">
        <v>11.1</v>
      </c>
      <c r="I70" s="20" t="n">
        <v>7.55</v>
      </c>
      <c r="J70" s="20" t="n">
        <v>7.8</v>
      </c>
      <c r="K70" s="20" t="n">
        <v>7.05</v>
      </c>
    </row>
    <row r="71" customFormat="false" ht="15" hidden="false" customHeight="false" outlineLevel="0" collapsed="false">
      <c r="A71" s="19" t="s">
        <v>565</v>
      </c>
      <c r="B71" s="20" t="n">
        <v>2</v>
      </c>
      <c r="C71" s="20" t="n">
        <v>5.1</v>
      </c>
      <c r="D71" s="20" t="n">
        <v>9.35</v>
      </c>
      <c r="E71" s="20" t="n">
        <v>14.8</v>
      </c>
      <c r="F71" s="20" t="n">
        <v>15.5</v>
      </c>
      <c r="G71" s="20" t="n">
        <v>16.2</v>
      </c>
      <c r="H71" s="20" t="n">
        <v>15.9</v>
      </c>
      <c r="I71" s="20" t="n">
        <v>11.55</v>
      </c>
      <c r="J71" s="20" t="n">
        <v>9.95</v>
      </c>
      <c r="K71" s="20" t="n">
        <v>11.25</v>
      </c>
    </row>
    <row r="72" customFormat="false" ht="15" hidden="false" customHeight="false" outlineLevel="0" collapsed="false">
      <c r="A72" s="19" t="s">
        <v>566</v>
      </c>
      <c r="B72" s="20" t="n">
        <v>1</v>
      </c>
      <c r="C72" s="20" t="n">
        <v>1.05</v>
      </c>
      <c r="D72" s="20" t="n">
        <v>2.1</v>
      </c>
      <c r="E72" s="20" t="n">
        <v>2.2</v>
      </c>
      <c r="F72" s="20" t="n">
        <v>3.3</v>
      </c>
      <c r="G72" s="20" t="n">
        <v>2.45</v>
      </c>
      <c r="H72" s="20" t="n">
        <v>2.55</v>
      </c>
      <c r="I72" s="20" t="n">
        <v>2.65</v>
      </c>
      <c r="J72" s="20" t="n">
        <v>1.75</v>
      </c>
      <c r="K72" s="20" t="n">
        <v>2.8</v>
      </c>
    </row>
    <row r="73" customFormat="false" ht="15" hidden="false" customHeight="false" outlineLevel="0" collapsed="false">
      <c r="A73" s="19" t="s">
        <v>904</v>
      </c>
      <c r="B73" s="20" t="n">
        <v>1</v>
      </c>
      <c r="C73" s="20" t="n">
        <v>0.05</v>
      </c>
      <c r="D73" s="20" t="n">
        <v>1.05</v>
      </c>
      <c r="E73" s="20" t="n">
        <v>2.1</v>
      </c>
      <c r="F73" s="20" t="n">
        <v>1.2</v>
      </c>
      <c r="G73" s="20" t="n">
        <v>1.25</v>
      </c>
      <c r="H73" s="20" t="n">
        <v>1.3</v>
      </c>
      <c r="I73" s="20" t="n">
        <v>1.35</v>
      </c>
      <c r="J73" s="20" t="n">
        <v>1.4</v>
      </c>
      <c r="K73" s="20" t="n">
        <v>1.45</v>
      </c>
    </row>
    <row r="74" customFormat="false" ht="15" hidden="false" customHeight="false" outlineLevel="0" collapsed="false">
      <c r="A74" s="19" t="s">
        <v>568</v>
      </c>
      <c r="B74" s="20" t="n">
        <v>1</v>
      </c>
      <c r="C74" s="20" t="n">
        <v>0.05</v>
      </c>
      <c r="D74" s="20" t="n">
        <v>0.05</v>
      </c>
      <c r="E74" s="20" t="n">
        <v>1.05</v>
      </c>
      <c r="F74" s="20" t="n">
        <v>1.1</v>
      </c>
      <c r="G74" s="20" t="n">
        <v>1.15</v>
      </c>
      <c r="H74" s="20" t="n">
        <v>0.2</v>
      </c>
      <c r="I74" s="20" t="n">
        <v>1.2</v>
      </c>
      <c r="J74" s="20" t="n">
        <v>0.25</v>
      </c>
      <c r="K74" s="20" t="n">
        <v>1.25</v>
      </c>
    </row>
    <row r="75" customFormat="false" ht="15" hidden="false" customHeight="false" outlineLevel="0" collapsed="false">
      <c r="A75" s="19" t="s">
        <v>905</v>
      </c>
      <c r="B75" s="20" t="n">
        <v>1</v>
      </c>
      <c r="C75" s="20" t="n">
        <v>3.05</v>
      </c>
      <c r="D75" s="20" t="n">
        <v>5.2</v>
      </c>
      <c r="E75" s="20" t="n">
        <v>6.45</v>
      </c>
      <c r="F75" s="20" t="n">
        <v>7.75</v>
      </c>
      <c r="G75" s="20" t="n">
        <v>8.1</v>
      </c>
      <c r="H75" s="20" t="n">
        <v>7.45</v>
      </c>
      <c r="I75" s="20" t="n">
        <v>5.75</v>
      </c>
      <c r="J75" s="20" t="n">
        <v>4.95</v>
      </c>
      <c r="K75" s="20" t="n">
        <v>5.1</v>
      </c>
    </row>
    <row r="76" customFormat="false" ht="15" hidden="false" customHeight="false" outlineLevel="0" collapsed="false">
      <c r="A76" s="19" t="s">
        <v>980</v>
      </c>
      <c r="B76" s="20" t="n">
        <v>7</v>
      </c>
      <c r="C76" s="20" t="n">
        <v>19.23333333</v>
      </c>
      <c r="D76" s="20" t="n">
        <v>32.86666667</v>
      </c>
      <c r="E76" s="20" t="n">
        <v>52.93333333</v>
      </c>
      <c r="F76" s="20" t="n">
        <v>50.63333333</v>
      </c>
      <c r="G76" s="20" t="n">
        <v>57.2</v>
      </c>
      <c r="H76" s="20" t="n">
        <v>53.93333333</v>
      </c>
      <c r="I76" s="20" t="n">
        <v>36.5</v>
      </c>
      <c r="J76" s="20" t="n">
        <v>32.43333333</v>
      </c>
      <c r="K76" s="20" t="n">
        <v>34.2</v>
      </c>
    </row>
    <row r="77" customFormat="false" ht="15" hidden="false" customHeight="false" outlineLevel="0" collapsed="false">
      <c r="A77" s="19" t="s">
        <v>906</v>
      </c>
      <c r="B77" s="20" t="n">
        <v>1</v>
      </c>
      <c r="C77" s="20" t="n">
        <v>1.05</v>
      </c>
      <c r="D77" s="20" t="n">
        <v>1.1</v>
      </c>
      <c r="E77" s="20" t="n">
        <v>2.15</v>
      </c>
      <c r="F77" s="20" t="n">
        <v>2.25</v>
      </c>
      <c r="G77" s="20" t="n">
        <v>2.35</v>
      </c>
      <c r="H77" s="20" t="n">
        <v>2.45</v>
      </c>
      <c r="I77" s="20" t="n">
        <v>1.55</v>
      </c>
      <c r="J77" s="20" t="n">
        <v>1.6</v>
      </c>
      <c r="K77" s="20" t="n">
        <v>1.65</v>
      </c>
    </row>
    <row r="78" customFormat="false" ht="15" hidden="false" customHeight="false" outlineLevel="0" collapsed="false">
      <c r="A78" s="19" t="s">
        <v>573</v>
      </c>
      <c r="B78" s="20" t="n">
        <v>1</v>
      </c>
      <c r="C78" s="20" t="n">
        <v>0.05</v>
      </c>
      <c r="D78" s="20" t="n">
        <v>0.05</v>
      </c>
      <c r="E78" s="20" t="n">
        <v>1.05</v>
      </c>
      <c r="F78" s="20" t="n">
        <v>1.1</v>
      </c>
      <c r="G78" s="20" t="n">
        <v>0.15</v>
      </c>
      <c r="H78" s="20" t="n">
        <v>1.15</v>
      </c>
      <c r="I78" s="20" t="n">
        <v>0.2</v>
      </c>
      <c r="J78" s="20" t="n">
        <v>1.2</v>
      </c>
      <c r="K78" s="20" t="n">
        <v>0.25</v>
      </c>
    </row>
    <row r="79" customFormat="false" ht="15" hidden="false" customHeight="false" outlineLevel="0" collapsed="false">
      <c r="A79" s="19" t="s">
        <v>981</v>
      </c>
      <c r="B79" s="20" t="n">
        <v>1</v>
      </c>
      <c r="C79" s="20" t="n">
        <v>2.05</v>
      </c>
      <c r="D79" s="20" t="n">
        <v>4.15</v>
      </c>
      <c r="E79" s="20" t="n">
        <v>5.35</v>
      </c>
      <c r="F79" s="20" t="n">
        <v>5.6</v>
      </c>
      <c r="G79" s="20" t="n">
        <v>6.85</v>
      </c>
      <c r="H79" s="20" t="n">
        <v>6.15</v>
      </c>
      <c r="I79" s="20" t="n">
        <v>4.4</v>
      </c>
      <c r="J79" s="20" t="n">
        <v>4.55</v>
      </c>
      <c r="K79" s="20" t="n">
        <v>3.7</v>
      </c>
    </row>
    <row r="80" customFormat="false" ht="15" hidden="false" customHeight="false" outlineLevel="0" collapsed="false">
      <c r="A80" s="19" t="s">
        <v>982</v>
      </c>
      <c r="B80" s="20" t="n">
        <v>1</v>
      </c>
      <c r="C80" s="20" t="n">
        <v>0.05</v>
      </c>
      <c r="D80" s="20" t="n">
        <v>1.05</v>
      </c>
      <c r="E80" s="20" t="n">
        <v>1.1</v>
      </c>
      <c r="F80" s="20" t="n">
        <v>2.15</v>
      </c>
      <c r="G80" s="20" t="n">
        <v>1.25</v>
      </c>
      <c r="H80" s="20" t="n">
        <v>1.3</v>
      </c>
      <c r="I80" s="20" t="n">
        <v>1.35</v>
      </c>
      <c r="J80" s="20" t="n">
        <v>1.4</v>
      </c>
      <c r="K80" s="20" t="n">
        <v>0.45</v>
      </c>
    </row>
    <row r="81" customFormat="false" ht="15" hidden="false" customHeight="false" outlineLevel="0" collapsed="false">
      <c r="A81" s="18" t="s">
        <v>985</v>
      </c>
      <c r="B81" s="22" t="n">
        <v>82</v>
      </c>
      <c r="C81" s="22" t="n">
        <v>256.9833333</v>
      </c>
      <c r="D81" s="22" t="n">
        <v>349.3166667</v>
      </c>
      <c r="E81" s="22" t="n">
        <v>599.4333333</v>
      </c>
      <c r="F81" s="22" t="n">
        <v>641.9333333</v>
      </c>
      <c r="G81" s="22" t="n">
        <v>742.25</v>
      </c>
      <c r="H81" s="22" t="n">
        <v>714.0833333</v>
      </c>
      <c r="I81" s="22" t="n">
        <v>568</v>
      </c>
      <c r="J81" s="22" t="n">
        <v>434.4833333</v>
      </c>
      <c r="K81" s="22" t="n">
        <v>451.35</v>
      </c>
    </row>
    <row r="82" customFormat="false" ht="15" hidden="false" customHeight="false" outlineLevel="0" collapsed="false">
      <c r="A82" s="19" t="s">
        <v>986</v>
      </c>
      <c r="B82" s="20" t="n">
        <v>82</v>
      </c>
      <c r="C82" s="20" t="n">
        <v>335</v>
      </c>
      <c r="D82" s="20" t="n">
        <v>668</v>
      </c>
      <c r="E82" s="20" t="n">
        <v>1235</v>
      </c>
      <c r="F82" s="20" t="n">
        <v>1817</v>
      </c>
      <c r="G82" s="20" t="n">
        <v>2471</v>
      </c>
      <c r="H82" s="20" t="n">
        <v>3065</v>
      </c>
      <c r="I82" s="20" t="n">
        <v>3484</v>
      </c>
      <c r="J82" s="20" t="n">
        <v>3749</v>
      </c>
      <c r="K82" s="20" t="n">
        <v>4018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0"/>
    <pageSetUpPr fitToPage="false"/>
  </sheetPr>
  <dimension ref="A1:X79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6" min="2" style="0" width="12"/>
  </cols>
  <sheetData>
    <row r="1" customFormat="false" ht="15" hidden="false" customHeight="false" outlineLevel="0" collapsed="false">
      <c r="A1" s="1" t="s">
        <v>987</v>
      </c>
    </row>
    <row r="2" customFormat="false" ht="15" hidden="false" customHeight="false" outlineLevel="0" collapsed="false">
      <c r="A2" s="0" t="s">
        <v>988</v>
      </c>
    </row>
    <row r="4" customFormat="false" ht="45" hidden="false" customHeight="true" outlineLevel="0" collapsed="false">
      <c r="A4" s="2" t="s">
        <v>954</v>
      </c>
      <c r="B4" s="2" t="s">
        <v>989</v>
      </c>
      <c r="C4" s="2" t="s">
        <v>990</v>
      </c>
      <c r="D4" s="2" t="s">
        <v>991</v>
      </c>
      <c r="E4" s="2" t="s">
        <v>992</v>
      </c>
      <c r="F4" s="2" t="s">
        <v>993</v>
      </c>
      <c r="G4" s="2" t="s">
        <v>994</v>
      </c>
      <c r="H4" s="2" t="s">
        <v>995</v>
      </c>
      <c r="I4" s="2" t="s">
        <v>996</v>
      </c>
      <c r="J4" s="2" t="s">
        <v>997</v>
      </c>
      <c r="K4" s="2" t="s">
        <v>128</v>
      </c>
      <c r="L4" s="2" t="s">
        <v>998</v>
      </c>
      <c r="M4" s="2" t="s">
        <v>999</v>
      </c>
      <c r="N4" s="2" t="s">
        <v>1000</v>
      </c>
      <c r="O4" s="2" t="s">
        <v>1001</v>
      </c>
      <c r="P4" s="2" t="s">
        <v>1002</v>
      </c>
      <c r="Q4" s="2" t="s">
        <v>1003</v>
      </c>
    </row>
    <row r="5" customFormat="false" ht="15" hidden="false" customHeight="false" outlineLevel="0" collapsed="false">
      <c r="A5" s="3" t="n">
        <v>2026</v>
      </c>
      <c r="B5" s="6" t="n">
        <f aca="false">SUMIF($A$19:$A$3258,$A5,$B$19:$B$3258)</f>
        <v>18852.349999676</v>
      </c>
      <c r="C5" s="6" t="n">
        <f aca="false">SUMIF($A$19:$A$3258,$A5,$C$19:$C$3258)</f>
        <v>395899.35000721</v>
      </c>
      <c r="D5" s="6" t="n">
        <f aca="false">SUMIF($E$19:$E$2898,$A5,$F$19:$F$2898)</f>
        <v>35199</v>
      </c>
      <c r="E5" s="6" t="n">
        <f aca="false">SUMIF($E$19:$E$2898,$A5,$G$19:$G$2898)</f>
        <v>738831.999994</v>
      </c>
      <c r="F5" s="6" t="n">
        <f aca="false">SUMIF($I$19:$I$7938,$A5,$J$19:$J$7938)</f>
        <v>24015</v>
      </c>
      <c r="G5" s="6" t="n">
        <f aca="false">SUMIF($I$19:$I$7938,$A5,$K$19:$K$7938)</f>
        <v>504217</v>
      </c>
      <c r="H5" s="6" t="n">
        <f aca="false">SUMIF($M$19:$M$3018,$A5,$N$19:$N$3018)</f>
        <v>16372</v>
      </c>
      <c r="I5" s="6" t="n">
        <f aca="false">SUMIF($M$19:$M$3018,$A5,$O$19:$O$3018)</f>
        <v>343379</v>
      </c>
      <c r="J5" s="6" t="n">
        <f aca="false">B5+D5+F5+H5</f>
        <v>94438.349999676</v>
      </c>
      <c r="K5" s="6" t="n">
        <f aca="false">C5+E5+G5+I5</f>
        <v>1982327.35000121</v>
      </c>
      <c r="L5" s="5" t="n">
        <f aca="false">J5/K5</f>
        <v>0.047640138748839</v>
      </c>
      <c r="M5" s="6" t="n">
        <f aca="false">SUMIF($Q$19:$Q$2178,$A5,$R$19:$R$2178)</f>
        <v>42749</v>
      </c>
      <c r="N5" s="6" t="n">
        <f aca="false">SUMIF($T$19:$T$738,$A5,$U$19:$U$738)</f>
        <v>7256404</v>
      </c>
      <c r="O5" s="6" t="n">
        <f aca="false">SUMIF($W$19:$W$2898,$A5,$X$19:$X$2898)</f>
        <v>2490175</v>
      </c>
      <c r="P5" s="6" t="n">
        <f aca="false">K5+M5+N5+O5</f>
        <v>11771655.3500012</v>
      </c>
      <c r="Q5" s="4" t="n">
        <f aca="false">K5/P5</f>
        <v>0.168398351044232</v>
      </c>
    </row>
    <row r="6" customFormat="false" ht="15" hidden="false" customHeight="false" outlineLevel="0" collapsed="false">
      <c r="A6" s="3" t="n">
        <v>2027</v>
      </c>
      <c r="B6" s="6" t="n">
        <f aca="false">SUMIF($A$19:$A$3258,$A6,$B$19:$B$3258)</f>
        <v>19587.050000306</v>
      </c>
      <c r="C6" s="6" t="n">
        <f aca="false">SUMIF($A$19:$A$3258,$A6,$C$19:$C$3258)</f>
        <v>411328.0500029</v>
      </c>
      <c r="D6" s="6" t="n">
        <f aca="false">SUMIF($E$19:$E$2898,$A6,$F$19:$F$2898)</f>
        <v>35221</v>
      </c>
      <c r="E6" s="6" t="n">
        <f aca="false">SUMIF($E$19:$E$2898,$A6,$G$19:$G$2898)</f>
        <v>739320.000003</v>
      </c>
      <c r="F6" s="6" t="n">
        <f aca="false">SUMIF($I$19:$I$7938,$A6,$J$19:$J$7938)</f>
        <v>24573</v>
      </c>
      <c r="G6" s="6" t="n">
        <f aca="false">SUMIF($I$19:$I$7938,$A6,$K$19:$K$7938)</f>
        <v>516060</v>
      </c>
      <c r="H6" s="6" t="n">
        <f aca="false">SUMIF($M$19:$M$3018,$A6,$N$19:$N$3018)</f>
        <v>16552</v>
      </c>
      <c r="I6" s="6" t="n">
        <f aca="false">SUMIF($M$19:$M$3018,$A6,$O$19:$O$3018)</f>
        <v>347174</v>
      </c>
      <c r="J6" s="6" t="n">
        <f aca="false">B6+D6+F6+H6</f>
        <v>95933.050000306</v>
      </c>
      <c r="K6" s="6" t="n">
        <f aca="false">C6+E6+G6+I6</f>
        <v>2013882.0500059</v>
      </c>
      <c r="L6" s="5" t="n">
        <f aca="false">J6/K6</f>
        <v>0.0476358831442114</v>
      </c>
      <c r="M6" s="6" t="n">
        <f aca="false">SUMIF($Q$19:$Q$2178,$A6,$R$19:$R$2178)</f>
        <v>42982</v>
      </c>
      <c r="N6" s="6" t="n">
        <f aca="false">SUMIF($T$19:$T$738,$A6,$U$19:$U$738)</f>
        <v>7413143</v>
      </c>
      <c r="O6" s="6" t="n">
        <f aca="false">SUMIF($W$19:$W$2898,$A6,$X$19:$X$2898)</f>
        <v>2513974</v>
      </c>
      <c r="P6" s="6" t="n">
        <f aca="false">K6+M6+N6+O6</f>
        <v>11983981.0500059</v>
      </c>
      <c r="Q6" s="4" t="n">
        <f aca="false">K6/P6</f>
        <v>0.168047833320373</v>
      </c>
    </row>
    <row r="7" customFormat="false" ht="15" hidden="false" customHeight="false" outlineLevel="0" collapsed="false">
      <c r="A7" s="3" t="n">
        <v>2028</v>
      </c>
      <c r="B7" s="6" t="n">
        <f aca="false">SUMIF($A$19:$A$3258,$A7,$B$19:$B$3258)</f>
        <v>20350.399999941</v>
      </c>
      <c r="C7" s="6" t="n">
        <f aca="false">SUMIF($A$19:$A$3258,$A7,$C$19:$C$3258)</f>
        <v>427358.39998547</v>
      </c>
      <c r="D7" s="6" t="n">
        <f aca="false">SUMIF($E$19:$E$2898,$A7,$F$19:$F$2898)</f>
        <v>35247</v>
      </c>
      <c r="E7" s="6" t="n">
        <f aca="false">SUMIF($E$19:$E$2898,$A7,$G$19:$G$2898)</f>
        <v>739825.000012</v>
      </c>
      <c r="F7" s="6" t="n">
        <f aca="false">SUMIF($I$19:$I$7938,$A7,$J$19:$J$7938)</f>
        <v>25151</v>
      </c>
      <c r="G7" s="6" t="n">
        <f aca="false">SUMIF($I$19:$I$7938,$A7,$K$19:$K$7938)</f>
        <v>528197</v>
      </c>
      <c r="H7" s="6" t="n">
        <f aca="false">SUMIF($M$19:$M$3018,$A7,$N$19:$N$3018)</f>
        <v>16764</v>
      </c>
      <c r="I7" s="6" t="n">
        <f aca="false">SUMIF($M$19:$M$3018,$A7,$O$19:$O$3018)</f>
        <v>351628</v>
      </c>
      <c r="J7" s="6" t="n">
        <f aca="false">B7+D7+F7+H7</f>
        <v>97512.399999941</v>
      </c>
      <c r="K7" s="6" t="n">
        <f aca="false">C7+E7+G7+I7</f>
        <v>2047008.39999747</v>
      </c>
      <c r="L7" s="5" t="n">
        <f aca="false">J7/K7</f>
        <v>0.0476365412081658</v>
      </c>
      <c r="M7" s="6" t="n">
        <f aca="false">SUMIF($Q$19:$Q$2178,$A7,$R$19:$R$2178)</f>
        <v>43216</v>
      </c>
      <c r="N7" s="6" t="n">
        <f aca="false">SUMIF($T$19:$T$738,$A7,$U$19:$U$738)</f>
        <v>7573268</v>
      </c>
      <c r="O7" s="6" t="n">
        <f aca="false">SUMIF($W$19:$W$2898,$A7,$X$19:$X$2898)</f>
        <v>2538033</v>
      </c>
      <c r="P7" s="6" t="n">
        <f aca="false">K7+M7+N7+O7</f>
        <v>12201525.3999975</v>
      </c>
      <c r="Q7" s="4" t="n">
        <f aca="false">K7/P7</f>
        <v>0.167766597445094</v>
      </c>
    </row>
    <row r="8" customFormat="false" ht="15" hidden="false" customHeight="false" outlineLevel="0" collapsed="false">
      <c r="A8" s="3" t="n">
        <v>2029</v>
      </c>
      <c r="B8" s="6" t="n">
        <f aca="false">SUMIF($A$19:$A$3258,$A8,$B$19:$B$3258)</f>
        <v>21143.499999912</v>
      </c>
      <c r="C8" s="6" t="n">
        <f aca="false">SUMIF($A$19:$A$3258,$A8,$C$19:$C$3258)</f>
        <v>444013.50000286</v>
      </c>
      <c r="D8" s="6" t="n">
        <f aca="false">SUMIF($E$19:$E$2898,$A8,$F$19:$F$2898)</f>
        <v>35272</v>
      </c>
      <c r="E8" s="6" t="n">
        <f aca="false">SUMIF($E$19:$E$2898,$A8,$G$19:$G$2898)</f>
        <v>740349.000025</v>
      </c>
      <c r="F8" s="6" t="n">
        <f aca="false">SUMIF($I$19:$I$7938,$A8,$J$19:$J$7938)</f>
        <v>25747</v>
      </c>
      <c r="G8" s="6" t="n">
        <f aca="false">SUMIF($I$19:$I$7938,$A8,$K$19:$K$7938)</f>
        <v>540633</v>
      </c>
      <c r="H8" s="6" t="n">
        <f aca="false">SUMIF($M$19:$M$3018,$A8,$N$19:$N$3018)</f>
        <v>17014</v>
      </c>
      <c r="I8" s="6" t="n">
        <f aca="false">SUMIF($M$19:$M$3018,$A8,$O$19:$O$3018)</f>
        <v>356855</v>
      </c>
      <c r="J8" s="6" t="n">
        <f aca="false">B8+D8+F8+H8</f>
        <v>99176.499999912</v>
      </c>
      <c r="K8" s="6" t="n">
        <f aca="false">C8+E8+G8+I8</f>
        <v>2081850.50002786</v>
      </c>
      <c r="L8" s="5" t="n">
        <f aca="false">J8/K8</f>
        <v>0.0476386272686655</v>
      </c>
      <c r="M8" s="6" t="n">
        <f aca="false">SUMIF($Q$19:$Q$2178,$A8,$R$19:$R$2178)</f>
        <v>43447</v>
      </c>
      <c r="N8" s="6" t="n">
        <f aca="false">SUMIF($T$19:$T$738,$A8,$U$19:$U$738)</f>
        <v>7736851</v>
      </c>
      <c r="O8" s="6" t="n">
        <f aca="false">SUMIF($W$19:$W$2898,$A8,$X$19:$X$2898)</f>
        <v>2562339</v>
      </c>
      <c r="P8" s="6" t="n">
        <f aca="false">K8+M8+N8+O8</f>
        <v>12424487.5000279</v>
      </c>
      <c r="Q8" s="4" t="n">
        <f aca="false">K8/P8</f>
        <v>0.167560271602607</v>
      </c>
    </row>
    <row r="9" customFormat="false" ht="15" hidden="false" customHeight="false" outlineLevel="0" collapsed="false">
      <c r="A9" s="3" t="n">
        <v>2030</v>
      </c>
      <c r="B9" s="6" t="n">
        <f aca="false">SUMIF($A$19:$A$3258,$A9,$B$19:$B$3258)</f>
        <v>21967.500000224</v>
      </c>
      <c r="C9" s="6" t="n">
        <f aca="false">SUMIF($A$19:$A$3258,$A9,$C$19:$C$3258)</f>
        <v>461317.50000669</v>
      </c>
      <c r="D9" s="6" t="n">
        <f aca="false">SUMIF($E$19:$E$2898,$A9,$F$19:$F$2898)</f>
        <v>35292</v>
      </c>
      <c r="E9" s="6" t="n">
        <f aca="false">SUMIF($E$19:$E$2898,$A9,$G$19:$G$2898)</f>
        <v>740874.000006</v>
      </c>
      <c r="F9" s="6" t="n">
        <f aca="false">SUMIF($I$19:$I$7938,$A9,$J$19:$J$7938)</f>
        <v>26353</v>
      </c>
      <c r="G9" s="6" t="n">
        <f aca="false">SUMIF($I$19:$I$7938,$A9,$K$19:$K$7938)</f>
        <v>553369</v>
      </c>
      <c r="H9" s="6" t="n">
        <f aca="false">SUMIF($M$19:$M$3018,$A9,$N$19:$N$3018)</f>
        <v>17306</v>
      </c>
      <c r="I9" s="6" t="n">
        <f aca="false">SUMIF($M$19:$M$3018,$A9,$O$19:$O$3018)</f>
        <v>362996</v>
      </c>
      <c r="J9" s="6" t="n">
        <f aca="false">B9+D9+F9+H9</f>
        <v>100918.500000224</v>
      </c>
      <c r="K9" s="6" t="n">
        <f aca="false">C9+E9+G9+I9</f>
        <v>2118556.50001269</v>
      </c>
      <c r="L9" s="5" t="n">
        <f aca="false">J9/K9</f>
        <v>0.0476355008703424</v>
      </c>
      <c r="M9" s="6" t="n">
        <f aca="false">SUMIF($Q$19:$Q$2178,$A9,$R$19:$R$2178)</f>
        <v>43681</v>
      </c>
      <c r="N9" s="6" t="n">
        <f aca="false">SUMIF($T$19:$T$738,$A9,$U$19:$U$738)</f>
        <v>7903960</v>
      </c>
      <c r="O9" s="6" t="n">
        <f aca="false">SUMIF($W$19:$W$2898,$A9,$X$19:$X$2898)</f>
        <v>2586907</v>
      </c>
      <c r="P9" s="6" t="n">
        <f aca="false">K9+M9+N9+O9</f>
        <v>12653104.5000127</v>
      </c>
      <c r="Q9" s="4" t="n">
        <f aca="false">K9/P9</f>
        <v>0.167433731382726</v>
      </c>
    </row>
    <row r="10" customFormat="false" ht="15" hidden="false" customHeight="false" outlineLevel="0" collapsed="false">
      <c r="A10" s="3" t="n">
        <v>2031</v>
      </c>
      <c r="B10" s="6" t="n">
        <f aca="false">SUMIF($A$19:$A$3258,$A10,$B$19:$B$3258)</f>
        <v>22823.599999192</v>
      </c>
      <c r="C10" s="6" t="n">
        <f aca="false">SUMIF($A$19:$A$3258,$A10,$C$19:$C$3258)</f>
        <v>479295.59998653</v>
      </c>
      <c r="D10" s="6" t="n">
        <f aca="false">SUMIF($E$19:$E$2898,$A10,$F$19:$F$2898)</f>
        <v>35325</v>
      </c>
      <c r="E10" s="6" t="n">
        <f aca="false">SUMIF($E$19:$E$2898,$A10,$G$19:$G$2898)</f>
        <v>741428.000019</v>
      </c>
      <c r="F10" s="6" t="n">
        <f aca="false">SUMIF($I$19:$I$7938,$A10,$J$19:$J$7938)</f>
        <v>26972</v>
      </c>
      <c r="G10" s="6" t="n">
        <f aca="false">SUMIF($I$19:$I$7938,$A10,$K$19:$K$7938)</f>
        <v>566422</v>
      </c>
      <c r="H10" s="6" t="n">
        <f aca="false">SUMIF($M$19:$M$3018,$A10,$N$19:$N$3018)</f>
        <v>17650</v>
      </c>
      <c r="I10" s="6" t="n">
        <f aca="false">SUMIF($M$19:$M$3018,$A10,$O$19:$O$3018)</f>
        <v>370217</v>
      </c>
      <c r="J10" s="6" t="n">
        <f aca="false">B10+D10+F10+H10</f>
        <v>102770.599999192</v>
      </c>
      <c r="K10" s="6" t="n">
        <f aca="false">C10+E10+G10+I10</f>
        <v>2157362.60000553</v>
      </c>
      <c r="L10" s="5" t="n">
        <f aca="false">J10/K10</f>
        <v>0.0476371473200326</v>
      </c>
      <c r="M10" s="6" t="n">
        <f aca="false">SUMIF($Q$19:$Q$2178,$A10,$R$19:$R$2178)</f>
        <v>43915</v>
      </c>
      <c r="N10" s="6" t="n">
        <f aca="false">SUMIF($T$19:$T$738,$A10,$U$19:$U$738)</f>
        <v>8074683</v>
      </c>
      <c r="O10" s="6" t="n">
        <f aca="false">SUMIF($W$19:$W$2898,$A10,$X$19:$X$2898)</f>
        <v>2611734</v>
      </c>
      <c r="P10" s="6" t="n">
        <f aca="false">K10+M10+N10+O10</f>
        <v>12887694.6000055</v>
      </c>
      <c r="Q10" s="4" t="n">
        <f aca="false">K10/P10</f>
        <v>0.167397092107118</v>
      </c>
    </row>
    <row r="11" customFormat="false" ht="15" hidden="false" customHeight="false" outlineLevel="0" collapsed="false">
      <c r="A11" s="3" t="n">
        <v>2032</v>
      </c>
      <c r="B11" s="6" t="n">
        <f aca="false">SUMIF($A$19:$A$3258,$A11,$B$19:$B$3258)</f>
        <v>23713.09999995</v>
      </c>
      <c r="C11" s="6" t="n">
        <f aca="false">SUMIF($A$19:$A$3258,$A11,$C$19:$C$3258)</f>
        <v>497975.09999362</v>
      </c>
      <c r="D11" s="6" t="n">
        <f aca="false">SUMIF($E$19:$E$2898,$A11,$F$19:$F$2898)</f>
        <v>35347</v>
      </c>
      <c r="E11" s="6" t="n">
        <f aca="false">SUMIF($E$19:$E$2898,$A11,$G$19:$G$2898)</f>
        <v>741983.00002</v>
      </c>
      <c r="F11" s="6" t="n">
        <f aca="false">SUMIF($I$19:$I$7938,$A11,$J$19:$J$7938)</f>
        <v>27613</v>
      </c>
      <c r="G11" s="6" t="n">
        <f aca="false">SUMIF($I$19:$I$7938,$A11,$K$19:$K$7938)</f>
        <v>579805</v>
      </c>
      <c r="H11" s="6" t="n">
        <f aca="false">SUMIF($M$19:$M$3018,$A11,$N$19:$N$3018)</f>
        <v>18054</v>
      </c>
      <c r="I11" s="6" t="n">
        <f aca="false">SUMIF($M$19:$M$3018,$A11,$O$19:$O$3018)</f>
        <v>378712</v>
      </c>
      <c r="J11" s="6" t="n">
        <f aca="false">B11+D11+F11+H11</f>
        <v>104727.09999995</v>
      </c>
      <c r="K11" s="6" t="n">
        <f aca="false">C11+E11+G11+I11</f>
        <v>2198475.10001362</v>
      </c>
      <c r="L11" s="5" t="n">
        <f aca="false">J11/K11</f>
        <v>0.0476362456865221</v>
      </c>
      <c r="M11" s="6" t="n">
        <f aca="false">SUMIF($Q$19:$Q$2178,$A11,$R$19:$R$2178)</f>
        <v>44164</v>
      </c>
      <c r="N11" s="6" t="n">
        <f aca="false">SUMIF($T$19:$T$738,$A11,$U$19:$U$738)</f>
        <v>8249099</v>
      </c>
      <c r="O11" s="6" t="n">
        <f aca="false">SUMIF($W$19:$W$2898,$A11,$X$19:$X$2898)</f>
        <v>2636821</v>
      </c>
      <c r="P11" s="6" t="n">
        <f aca="false">K11+M11+N11+O11</f>
        <v>13128559.1000136</v>
      </c>
      <c r="Q11" s="4" t="n">
        <f aca="false">K11/P11</f>
        <v>0.167457455404328</v>
      </c>
    </row>
    <row r="12" customFormat="false" ht="15" hidden="false" customHeight="false" outlineLevel="0" collapsed="false">
      <c r="A12" s="3" t="n">
        <v>2033</v>
      </c>
      <c r="B12" s="6" t="n">
        <f aca="false">SUMIF($A$19:$A$3258,$A12,$B$19:$B$3258)</f>
        <v>24637.250000495</v>
      </c>
      <c r="C12" s="6" t="n">
        <f aca="false">SUMIF($A$19:$A$3258,$A12,$C$19:$C$3258)</f>
        <v>517382.25001077</v>
      </c>
      <c r="D12" s="6" t="n">
        <f aca="false">SUMIF($E$19:$E$2898,$A12,$F$19:$F$2898)</f>
        <v>35380</v>
      </c>
      <c r="E12" s="6" t="n">
        <f aca="false">SUMIF($E$19:$E$2898,$A12,$G$19:$G$2898)</f>
        <v>742561.000004</v>
      </c>
      <c r="F12" s="6" t="n">
        <f aca="false">SUMIF($I$19:$I$7938,$A12,$J$19:$J$7938)</f>
        <v>28264</v>
      </c>
      <c r="G12" s="6" t="n">
        <f aca="false">SUMIF($I$19:$I$7938,$A12,$K$19:$K$7938)</f>
        <v>593510</v>
      </c>
      <c r="H12" s="6" t="n">
        <f aca="false">SUMIF($M$19:$M$3018,$A12,$N$19:$N$3018)</f>
        <v>18530</v>
      </c>
      <c r="I12" s="6" t="n">
        <f aca="false">SUMIF($M$19:$M$3018,$A12,$O$19:$O$3018)</f>
        <v>388713</v>
      </c>
      <c r="J12" s="6" t="n">
        <f aca="false">B12+D12+F12+H12</f>
        <v>106811.250000495</v>
      </c>
      <c r="K12" s="6" t="n">
        <f aca="false">C12+E12+G12+I12</f>
        <v>2242166.25001477</v>
      </c>
      <c r="L12" s="5" t="n">
        <f aca="false">J12/K12</f>
        <v>0.0476375246482242</v>
      </c>
      <c r="M12" s="6" t="n">
        <f aca="false">SUMIF($Q$19:$Q$2178,$A12,$R$19:$R$2178)</f>
        <v>44396</v>
      </c>
      <c r="N12" s="6" t="n">
        <f aca="false">SUMIF($T$19:$T$738,$A12,$U$19:$U$738)</f>
        <v>8427279</v>
      </c>
      <c r="O12" s="6" t="n">
        <f aca="false">SUMIF($W$19:$W$2898,$A12,$X$19:$X$2898)</f>
        <v>2662167</v>
      </c>
      <c r="P12" s="6" t="n">
        <f aca="false">K12+M12+N12+O12</f>
        <v>13376008.2500148</v>
      </c>
      <c r="Q12" s="4" t="n">
        <f aca="false">K12/P12</f>
        <v>0.167625961954105</v>
      </c>
    </row>
    <row r="13" customFormat="false" ht="15" hidden="false" customHeight="false" outlineLevel="0" collapsed="false">
      <c r="A13" s="3" t="n">
        <v>2034</v>
      </c>
      <c r="B13" s="6" t="n">
        <f aca="false">SUMIF($A$19:$A$3258,$A13,$B$19:$B$3258)</f>
        <v>25597.400000728</v>
      </c>
      <c r="C13" s="6" t="n">
        <f aca="false">SUMIF($A$19:$A$3258,$A13,$C$19:$C$3258)</f>
        <v>537545.39999743</v>
      </c>
      <c r="D13" s="6" t="n">
        <f aca="false">SUMIF($E$19:$E$2898,$A13,$F$19:$F$2898)</f>
        <v>35405</v>
      </c>
      <c r="E13" s="6" t="n">
        <f aca="false">SUMIF($E$19:$E$2898,$A13,$G$19:$G$2898)</f>
        <v>743151.000001</v>
      </c>
      <c r="F13" s="6" t="n">
        <f aca="false">SUMIF($I$19:$I$7938,$A13,$J$19:$J$7938)</f>
        <v>28933</v>
      </c>
      <c r="G13" s="6" t="n">
        <f aca="false">SUMIF($I$19:$I$7938,$A13,$K$19:$K$7938)</f>
        <v>607559</v>
      </c>
      <c r="H13" s="6" t="n">
        <f aca="false">SUMIF($M$19:$M$3018,$A13,$N$19:$N$3018)</f>
        <v>19091</v>
      </c>
      <c r="I13" s="6" t="n">
        <f aca="false">SUMIF($M$19:$M$3018,$A13,$O$19:$O$3018)</f>
        <v>400493</v>
      </c>
      <c r="J13" s="6" t="n">
        <f aca="false">B13+D13+F13+H13</f>
        <v>109026.400000728</v>
      </c>
      <c r="K13" s="6" t="n">
        <f aca="false">C13+E13+G13+I13</f>
        <v>2288748.39999843</v>
      </c>
      <c r="L13" s="5" t="n">
        <f aca="false">J13/K13</f>
        <v>0.0476358170259356</v>
      </c>
      <c r="M13" s="6" t="n">
        <f aca="false">SUMIF($Q$19:$Q$2178,$A13,$R$19:$R$2178)</f>
        <v>44640</v>
      </c>
      <c r="N13" s="6" t="n">
        <f aca="false">SUMIF($T$19:$T$738,$A13,$U$19:$U$738)</f>
        <v>8609312</v>
      </c>
      <c r="O13" s="6" t="n">
        <f aca="false">SUMIF($W$19:$W$2898,$A13,$X$19:$X$2898)</f>
        <v>2687793</v>
      </c>
      <c r="P13" s="6" t="n">
        <f aca="false">K13+M13+N13+O13</f>
        <v>13630493.3999984</v>
      </c>
      <c r="Q13" s="4" t="n">
        <f aca="false">K13/P13</f>
        <v>0.16791383355196</v>
      </c>
    </row>
    <row r="14" customFormat="false" ht="15" hidden="false" customHeight="false" outlineLevel="0" collapsed="false">
      <c r="A14" s="3" t="n">
        <v>2035</v>
      </c>
      <c r="B14" s="6" t="n">
        <f aca="false">SUMIF($A$19:$A$3258,$A14,$B$19:$B$3258)</f>
        <v>26595.000000465</v>
      </c>
      <c r="C14" s="6" t="n">
        <f aca="false">SUMIF($A$19:$A$3258,$A14,$C$19:$C$3258)</f>
        <v>558495.00000038</v>
      </c>
      <c r="D14" s="6" t="n">
        <f aca="false">SUMIF($E$19:$E$2898,$A14,$F$19:$F$2898)</f>
        <v>35431</v>
      </c>
      <c r="E14" s="6" t="n">
        <f aca="false">SUMIF($E$19:$E$2898,$A14,$G$19:$G$2898)</f>
        <v>743752.000025</v>
      </c>
      <c r="F14" s="6" t="n">
        <f aca="false">SUMIF($I$19:$I$7938,$A14,$J$19:$J$7938)</f>
        <v>29616</v>
      </c>
      <c r="G14" s="6" t="n">
        <f aca="false">SUMIF($I$19:$I$7938,$A14,$K$19:$K$7938)</f>
        <v>621950</v>
      </c>
      <c r="H14" s="6" t="n">
        <f aca="false">SUMIF($M$19:$M$3018,$A14,$N$19:$N$3018)</f>
        <v>19752</v>
      </c>
      <c r="I14" s="6" t="n">
        <f aca="false">SUMIF($M$19:$M$3018,$A14,$O$19:$O$3018)</f>
        <v>414379</v>
      </c>
      <c r="J14" s="6" t="n">
        <f aca="false">B14+D14+F14+H14</f>
        <v>111394.000000465</v>
      </c>
      <c r="K14" s="6" t="n">
        <f aca="false">C14+E14+G14+I14</f>
        <v>2338576.00002538</v>
      </c>
      <c r="L14" s="5" t="n">
        <f aca="false">J14/K14</f>
        <v>0.0476332605821902</v>
      </c>
      <c r="M14" s="6" t="n">
        <f aca="false">SUMIF($Q$19:$Q$2178,$A14,$R$19:$R$2178)</f>
        <v>44883</v>
      </c>
      <c r="N14" s="6" t="n">
        <f aca="false">SUMIF($T$19:$T$738,$A14,$U$19:$U$738)</f>
        <v>8795277</v>
      </c>
      <c r="O14" s="6" t="n">
        <f aca="false">SUMIF($W$19:$W$2898,$A14,$X$19:$X$2898)</f>
        <v>2713691</v>
      </c>
      <c r="P14" s="6" t="n">
        <f aca="false">K14+M14+N14+O14</f>
        <v>13892427.0000254</v>
      </c>
      <c r="Q14" s="4" t="n">
        <f aca="false">K14/P14</f>
        <v>0.168334589774782</v>
      </c>
    </row>
    <row r="17" customFormat="false" ht="15" hidden="false" customHeight="false" outlineLevel="0" collapsed="false">
      <c r="A17" s="18" t="s">
        <v>1004</v>
      </c>
      <c r="E17" s="18" t="s">
        <v>1005</v>
      </c>
      <c r="I17" s="18" t="s">
        <v>1006</v>
      </c>
      <c r="M17" s="18" t="s">
        <v>1007</v>
      </c>
      <c r="Q17" s="18" t="s">
        <v>1008</v>
      </c>
      <c r="T17" s="18" t="s">
        <v>1009</v>
      </c>
      <c r="W17" s="18" t="s">
        <v>1010</v>
      </c>
    </row>
    <row r="18" customFormat="false" ht="15" hidden="false" customHeight="false" outlineLevel="0" collapsed="false">
      <c r="A18" s="18" t="s">
        <v>954</v>
      </c>
      <c r="B18" s="18" t="s">
        <v>1011</v>
      </c>
      <c r="C18" s="18" t="s">
        <v>1012</v>
      </c>
      <c r="E18" s="18" t="s">
        <v>954</v>
      </c>
      <c r="F18" s="18" t="s">
        <v>1011</v>
      </c>
      <c r="G18" s="18" t="s">
        <v>1012</v>
      </c>
      <c r="I18" s="18" t="s">
        <v>954</v>
      </c>
      <c r="J18" s="18" t="s">
        <v>1011</v>
      </c>
      <c r="K18" s="18" t="s">
        <v>1012</v>
      </c>
      <c r="M18" s="18" t="s">
        <v>954</v>
      </c>
      <c r="N18" s="18" t="s">
        <v>1011</v>
      </c>
      <c r="O18" s="18" t="s">
        <v>1012</v>
      </c>
      <c r="Q18" s="18" t="s">
        <v>954</v>
      </c>
      <c r="R18" s="18" t="s">
        <v>5</v>
      </c>
      <c r="T18" s="18" t="s">
        <v>954</v>
      </c>
      <c r="U18" s="18" t="s">
        <v>5</v>
      </c>
      <c r="W18" s="18" t="s">
        <v>954</v>
      </c>
      <c r="X18" s="18" t="s">
        <v>5</v>
      </c>
    </row>
    <row r="19" customFormat="false" ht="15" hidden="false" customHeight="false" outlineLevel="0" collapsed="false">
      <c r="A19" s="0" t="n">
        <v>2026</v>
      </c>
      <c r="B19" s="0" t="n">
        <v>179.7894451</v>
      </c>
      <c r="C19" s="0" t="n">
        <v>3775.578348</v>
      </c>
      <c r="E19" s="0" t="n">
        <v>2026</v>
      </c>
      <c r="F19" s="0" t="n">
        <v>261.600041</v>
      </c>
      <c r="G19" s="0" t="n">
        <v>5488.461371</v>
      </c>
      <c r="I19" s="0" t="n">
        <v>2026</v>
      </c>
      <c r="J19" s="0" t="n">
        <v>755.52</v>
      </c>
      <c r="K19" s="0" t="n">
        <v>15865.44</v>
      </c>
      <c r="M19" s="0" t="n">
        <v>2026</v>
      </c>
      <c r="N19" s="0" t="n">
        <v>6.84</v>
      </c>
      <c r="O19" s="0" t="n">
        <v>142.12</v>
      </c>
      <c r="Q19" s="0" t="n">
        <v>2026</v>
      </c>
      <c r="R19" s="0" t="n">
        <v>1419</v>
      </c>
      <c r="T19" s="0" t="n">
        <v>2026</v>
      </c>
      <c r="U19" s="0" t="n">
        <v>194243</v>
      </c>
      <c r="W19" s="0" t="n">
        <v>2026</v>
      </c>
      <c r="X19" s="0" t="n">
        <v>157357.24</v>
      </c>
    </row>
    <row r="20" customFormat="false" ht="15" hidden="false" customHeight="false" outlineLevel="0" collapsed="false">
      <c r="A20" s="0" t="n">
        <v>2026</v>
      </c>
      <c r="B20" s="0" t="n">
        <v>45.3482145</v>
      </c>
      <c r="C20" s="0" t="n">
        <v>952.3125046</v>
      </c>
      <c r="E20" s="0" t="n">
        <v>2026</v>
      </c>
      <c r="F20" s="0" t="n">
        <v>70.242509</v>
      </c>
      <c r="G20" s="0" t="n">
        <v>1473.712679</v>
      </c>
      <c r="I20" s="0" t="n">
        <v>2026</v>
      </c>
      <c r="J20" s="0" t="n">
        <v>251.84</v>
      </c>
      <c r="K20" s="0" t="n">
        <v>5288.48</v>
      </c>
      <c r="M20" s="0" t="n">
        <v>2026</v>
      </c>
      <c r="N20" s="0" t="n">
        <v>4.5</v>
      </c>
      <c r="O20" s="0" t="n">
        <v>93.5</v>
      </c>
      <c r="Q20" s="0" t="n">
        <v>2026</v>
      </c>
      <c r="R20" s="0" t="n">
        <v>1348</v>
      </c>
      <c r="T20" s="0" t="n">
        <v>2026</v>
      </c>
      <c r="U20" s="0" t="n">
        <v>6008</v>
      </c>
      <c r="W20" s="0" t="n">
        <v>2026</v>
      </c>
      <c r="X20" s="0" t="n">
        <v>39339.31</v>
      </c>
    </row>
    <row r="21" customFormat="false" ht="15" hidden="false" customHeight="false" outlineLevel="0" collapsed="false">
      <c r="A21" s="0" t="n">
        <v>2026</v>
      </c>
      <c r="B21" s="0" t="n">
        <v>40.43952249</v>
      </c>
      <c r="C21" s="0" t="n">
        <v>849.2299723</v>
      </c>
      <c r="E21" s="0" t="n">
        <v>2026</v>
      </c>
      <c r="F21" s="0" t="n">
        <v>28.115633</v>
      </c>
      <c r="G21" s="0" t="n">
        <v>589.875923</v>
      </c>
      <c r="I21" s="0" t="n">
        <v>2026</v>
      </c>
      <c r="J21" s="0" t="n">
        <v>110.18</v>
      </c>
      <c r="K21" s="0" t="n">
        <v>2313.71</v>
      </c>
      <c r="M21" s="0" t="n">
        <v>2026</v>
      </c>
      <c r="N21" s="0" t="n">
        <v>1.8</v>
      </c>
      <c r="O21" s="0" t="n">
        <v>37.4</v>
      </c>
      <c r="Q21" s="0" t="n">
        <v>2026</v>
      </c>
      <c r="R21" s="0" t="n">
        <v>639</v>
      </c>
      <c r="T21" s="0" t="n">
        <v>2026</v>
      </c>
      <c r="U21" s="0" t="n">
        <v>375218</v>
      </c>
      <c r="W21" s="0" t="n">
        <v>2026</v>
      </c>
      <c r="X21" s="0" t="n">
        <v>12182.496</v>
      </c>
    </row>
    <row r="22" customFormat="false" ht="15" hidden="false" customHeight="false" outlineLevel="0" collapsed="false">
      <c r="A22" s="0" t="n">
        <v>2026</v>
      </c>
      <c r="B22" s="0" t="n">
        <v>28.12329127</v>
      </c>
      <c r="C22" s="0" t="n">
        <v>590.5891166</v>
      </c>
      <c r="E22" s="0" t="n">
        <v>2026</v>
      </c>
      <c r="F22" s="0" t="n">
        <v>3.949331</v>
      </c>
      <c r="G22" s="0" t="n">
        <v>82.858361</v>
      </c>
      <c r="I22" s="0" t="n">
        <v>2026</v>
      </c>
      <c r="J22" s="0" t="n">
        <v>62.96</v>
      </c>
      <c r="K22" s="0" t="n">
        <v>1322.12</v>
      </c>
      <c r="M22" s="0" t="n">
        <v>2026</v>
      </c>
      <c r="N22" s="0" t="n">
        <v>1.8</v>
      </c>
      <c r="O22" s="0" t="n">
        <v>37.4</v>
      </c>
      <c r="Q22" s="0" t="n">
        <v>2026</v>
      </c>
      <c r="R22" s="0" t="n">
        <v>142</v>
      </c>
      <c r="T22" s="0" t="n">
        <v>2026</v>
      </c>
      <c r="U22" s="0" t="n">
        <v>11605</v>
      </c>
      <c r="W22" s="0" t="n">
        <v>2026</v>
      </c>
      <c r="X22" s="0" t="n">
        <v>21573.17</v>
      </c>
    </row>
    <row r="23" customFormat="false" ht="15" hidden="false" customHeight="false" outlineLevel="0" collapsed="false">
      <c r="A23" s="0" t="n">
        <v>2026</v>
      </c>
      <c r="B23" s="0" t="n">
        <v>20.91904426</v>
      </c>
      <c r="C23" s="0" t="n">
        <v>439.2999294</v>
      </c>
      <c r="E23" s="0" t="n">
        <v>2026</v>
      </c>
      <c r="F23" s="0" t="n">
        <v>94.408811</v>
      </c>
      <c r="G23" s="0" t="n">
        <v>1980.730241</v>
      </c>
      <c r="I23" s="0" t="n">
        <v>2026</v>
      </c>
      <c r="J23" s="0" t="n">
        <v>62.96</v>
      </c>
      <c r="K23" s="0" t="n">
        <v>1322.12</v>
      </c>
      <c r="M23" s="0" t="n">
        <v>2026</v>
      </c>
      <c r="N23" s="0" t="n">
        <v>1.08</v>
      </c>
      <c r="O23" s="0" t="n">
        <v>22.44</v>
      </c>
      <c r="Q23" s="0" t="n">
        <v>2026</v>
      </c>
      <c r="R23" s="0" t="n">
        <v>131</v>
      </c>
      <c r="T23" s="0" t="n">
        <v>2026</v>
      </c>
      <c r="U23" s="0" t="n">
        <v>185751</v>
      </c>
      <c r="W23" s="0" t="n">
        <v>2026</v>
      </c>
      <c r="X23" s="0" t="n">
        <v>9644.476</v>
      </c>
    </row>
    <row r="24" customFormat="false" ht="15" hidden="false" customHeight="false" outlineLevel="0" collapsed="false">
      <c r="A24" s="0" t="n">
        <v>2026</v>
      </c>
      <c r="B24" s="0" t="n">
        <v>9.297353004</v>
      </c>
      <c r="C24" s="0" t="n">
        <v>195.2444131</v>
      </c>
      <c r="E24" s="0" t="n">
        <v>2026</v>
      </c>
      <c r="F24" s="0" t="n">
        <v>4.419647</v>
      </c>
      <c r="G24" s="0" t="n">
        <v>92.725757</v>
      </c>
      <c r="I24" s="0" t="n">
        <v>2026</v>
      </c>
      <c r="J24" s="0" t="n">
        <v>31.48</v>
      </c>
      <c r="K24" s="0" t="n">
        <v>661.06</v>
      </c>
      <c r="M24" s="0" t="n">
        <v>2026</v>
      </c>
      <c r="N24" s="0" t="n">
        <v>0.9</v>
      </c>
      <c r="O24" s="0" t="n">
        <v>18.7</v>
      </c>
      <c r="Q24" s="0" t="n">
        <v>2026</v>
      </c>
      <c r="R24" s="0" t="n">
        <v>131</v>
      </c>
      <c r="T24" s="0" t="n">
        <v>2026</v>
      </c>
      <c r="U24" s="0" t="n">
        <v>5745</v>
      </c>
      <c r="W24" s="0" t="n">
        <v>2026</v>
      </c>
      <c r="X24" s="0" t="n">
        <v>3807.03</v>
      </c>
    </row>
    <row r="25" customFormat="false" ht="15" hidden="false" customHeight="false" outlineLevel="0" collapsed="false">
      <c r="A25" s="0" t="n">
        <v>2026</v>
      </c>
      <c r="B25" s="0" t="n">
        <v>34.3405105</v>
      </c>
      <c r="C25" s="0" t="n">
        <v>721.1507204</v>
      </c>
      <c r="E25" s="0" t="n">
        <v>2026</v>
      </c>
      <c r="F25" s="0" t="n">
        <v>24.166302</v>
      </c>
      <c r="G25" s="0" t="n">
        <v>507.017562</v>
      </c>
      <c r="I25" s="0" t="n">
        <v>2026</v>
      </c>
      <c r="J25" s="0" t="n">
        <v>31.48</v>
      </c>
      <c r="K25" s="0" t="n">
        <v>661.06</v>
      </c>
      <c r="M25" s="0" t="n">
        <v>2026</v>
      </c>
      <c r="N25" s="0" t="n">
        <v>0.72</v>
      </c>
      <c r="O25" s="0" t="n">
        <v>14.96</v>
      </c>
      <c r="Q25" s="0" t="n">
        <v>2026</v>
      </c>
      <c r="R25" s="0" t="n">
        <v>416</v>
      </c>
      <c r="T25" s="0" t="n">
        <v>2026</v>
      </c>
      <c r="U25" s="0" t="n">
        <v>239619</v>
      </c>
      <c r="W25" s="0" t="n">
        <v>2026</v>
      </c>
      <c r="X25" s="0" t="n">
        <v>5583.644</v>
      </c>
    </row>
    <row r="26" customFormat="false" ht="15" hidden="false" customHeight="false" outlineLevel="0" collapsed="false">
      <c r="A26" s="0" t="n">
        <v>2026</v>
      </c>
      <c r="B26" s="0" t="n">
        <v>10.74977895</v>
      </c>
      <c r="C26" s="0" t="n">
        <v>225.7453579</v>
      </c>
      <c r="E26" s="0" t="n">
        <v>2026</v>
      </c>
      <c r="F26" s="0" t="n">
        <v>22.097726</v>
      </c>
      <c r="G26" s="0" t="n">
        <v>463.618106</v>
      </c>
      <c r="I26" s="0" t="n">
        <v>2026</v>
      </c>
      <c r="J26" s="0" t="n">
        <v>62.96</v>
      </c>
      <c r="K26" s="0" t="n">
        <v>1322.12</v>
      </c>
      <c r="M26" s="0" t="n">
        <v>2026</v>
      </c>
      <c r="N26" s="0" t="n">
        <v>0.36</v>
      </c>
      <c r="O26" s="0" t="n">
        <v>7.48</v>
      </c>
      <c r="Q26" s="0" t="n">
        <v>2026</v>
      </c>
      <c r="R26" s="0" t="n">
        <v>395</v>
      </c>
      <c r="T26" s="0" t="n">
        <v>2026</v>
      </c>
      <c r="U26" s="0" t="n">
        <v>7411</v>
      </c>
      <c r="W26" s="0" t="n">
        <v>2026</v>
      </c>
      <c r="X26" s="0" t="n">
        <v>4314.634</v>
      </c>
    </row>
    <row r="27" customFormat="false" ht="15" hidden="false" customHeight="false" outlineLevel="0" collapsed="false">
      <c r="A27" s="0" t="n">
        <v>2026</v>
      </c>
      <c r="B27" s="0" t="n">
        <v>24.0358488</v>
      </c>
      <c r="C27" s="0" t="n">
        <v>504.7528249</v>
      </c>
      <c r="E27" s="0" t="n">
        <v>2026</v>
      </c>
      <c r="F27" s="0" t="n">
        <v>351.541116</v>
      </c>
      <c r="G27" s="0" t="n">
        <v>7381.335538</v>
      </c>
      <c r="I27" s="0" t="n">
        <v>2026</v>
      </c>
      <c r="J27" s="0" t="n">
        <v>110.18</v>
      </c>
      <c r="K27" s="0" t="n">
        <v>2313.71</v>
      </c>
      <c r="M27" s="0" t="n">
        <v>2026</v>
      </c>
      <c r="N27" s="0" t="n">
        <v>17.86</v>
      </c>
      <c r="O27" s="0" t="n">
        <v>371.26</v>
      </c>
      <c r="Q27" s="0" t="n">
        <v>2026</v>
      </c>
      <c r="R27" s="0" t="n">
        <v>187</v>
      </c>
      <c r="T27" s="0" t="n">
        <v>2026</v>
      </c>
      <c r="U27" s="0" t="n">
        <v>272789</v>
      </c>
      <c r="W27" s="0" t="n">
        <v>2026</v>
      </c>
      <c r="X27" s="0" t="n">
        <v>59597.5</v>
      </c>
    </row>
    <row r="28" customFormat="false" ht="15" hidden="false" customHeight="false" outlineLevel="0" collapsed="false">
      <c r="A28" s="0" t="n">
        <v>2026</v>
      </c>
      <c r="B28" s="0" t="n">
        <v>181.1676883</v>
      </c>
      <c r="C28" s="0" t="n">
        <v>3804.521454</v>
      </c>
      <c r="E28" s="0" t="n">
        <v>2026</v>
      </c>
      <c r="F28" s="0" t="n">
        <v>94.392684</v>
      </c>
      <c r="G28" s="0" t="n">
        <v>1981.970362</v>
      </c>
      <c r="I28" s="0" t="n">
        <v>2026</v>
      </c>
      <c r="J28" s="0" t="n">
        <v>47.22</v>
      </c>
      <c r="K28" s="0" t="n">
        <v>991.59</v>
      </c>
      <c r="M28" s="0" t="n">
        <v>2026</v>
      </c>
      <c r="N28" s="0" t="n">
        <v>11.75</v>
      </c>
      <c r="O28" s="0" t="n">
        <v>244.25</v>
      </c>
      <c r="Q28" s="0" t="n">
        <v>2026</v>
      </c>
      <c r="R28" s="0" t="n">
        <v>42</v>
      </c>
      <c r="T28" s="0" t="n">
        <v>2026</v>
      </c>
      <c r="U28" s="0" t="n">
        <v>8437</v>
      </c>
      <c r="W28" s="0" t="n">
        <v>2026</v>
      </c>
      <c r="X28" s="0" t="n">
        <v>14899.375</v>
      </c>
    </row>
    <row r="29" customFormat="false" ht="15" hidden="false" customHeight="false" outlineLevel="0" collapsed="false">
      <c r="A29" s="0" t="n">
        <v>2026</v>
      </c>
      <c r="B29" s="0" t="n">
        <v>45.69584819</v>
      </c>
      <c r="C29" s="0" t="n">
        <v>959.6128119</v>
      </c>
      <c r="E29" s="0" t="n">
        <v>2026</v>
      </c>
      <c r="F29" s="0" t="n">
        <v>37.782108</v>
      </c>
      <c r="G29" s="0" t="n">
        <v>793.313794</v>
      </c>
      <c r="I29" s="0" t="n">
        <v>2026</v>
      </c>
      <c r="J29" s="0" t="n">
        <v>47.22</v>
      </c>
      <c r="K29" s="0" t="n">
        <v>991.59</v>
      </c>
      <c r="M29" s="0" t="n">
        <v>2026</v>
      </c>
      <c r="N29" s="0" t="n">
        <v>4.7</v>
      </c>
      <c r="O29" s="0" t="n">
        <v>97.7</v>
      </c>
      <c r="Q29" s="0" t="n">
        <v>2026</v>
      </c>
      <c r="R29" s="0" t="n">
        <v>39</v>
      </c>
      <c r="T29" s="0" t="n">
        <v>2026</v>
      </c>
      <c r="U29" s="0" t="n">
        <v>80404</v>
      </c>
      <c r="W29" s="0" t="n">
        <v>2026</v>
      </c>
      <c r="X29" s="0" t="n">
        <v>4614</v>
      </c>
    </row>
    <row r="30" customFormat="false" ht="15" hidden="false" customHeight="false" outlineLevel="0" collapsed="false">
      <c r="A30" s="0" t="n">
        <v>2026</v>
      </c>
      <c r="B30" s="0" t="n">
        <v>40.74952676</v>
      </c>
      <c r="C30" s="0" t="n">
        <v>855.7400619</v>
      </c>
      <c r="E30" s="0" t="n">
        <v>2026</v>
      </c>
      <c r="F30" s="0" t="n">
        <v>5.307156</v>
      </c>
      <c r="G30" s="0" t="n">
        <v>111.434758</v>
      </c>
      <c r="I30" s="0" t="n">
        <v>2026</v>
      </c>
      <c r="J30" s="0" t="n">
        <v>47.32</v>
      </c>
      <c r="K30" s="0" t="n">
        <v>991.64</v>
      </c>
      <c r="M30" s="0" t="n">
        <v>2026</v>
      </c>
      <c r="N30" s="0" t="n">
        <v>4.7</v>
      </c>
      <c r="O30" s="0" t="n">
        <v>97.7</v>
      </c>
      <c r="Q30" s="0" t="n">
        <v>2026</v>
      </c>
      <c r="R30" s="0" t="n">
        <v>39</v>
      </c>
      <c r="T30" s="0" t="n">
        <v>2026</v>
      </c>
      <c r="U30" s="0" t="n">
        <v>2487</v>
      </c>
      <c r="W30" s="0" t="n">
        <v>2026</v>
      </c>
      <c r="X30" s="0" t="n">
        <v>8170.625</v>
      </c>
    </row>
    <row r="31" customFormat="false" ht="15" hidden="false" customHeight="false" outlineLevel="0" collapsed="false">
      <c r="A31" s="0" t="n">
        <v>2026</v>
      </c>
      <c r="B31" s="0" t="n">
        <v>28.33888086</v>
      </c>
      <c r="C31" s="0" t="n">
        <v>595.1164981</v>
      </c>
      <c r="E31" s="0" t="n">
        <v>2026</v>
      </c>
      <c r="F31" s="0" t="n">
        <v>126.867636</v>
      </c>
      <c r="G31" s="0" t="n">
        <v>2663.849398</v>
      </c>
      <c r="I31" s="0" t="n">
        <v>2026</v>
      </c>
      <c r="J31" s="0" t="n">
        <v>7.28</v>
      </c>
      <c r="K31" s="0" t="n">
        <v>152.56</v>
      </c>
      <c r="M31" s="0" t="n">
        <v>2026</v>
      </c>
      <c r="N31" s="0" t="n">
        <v>2.82</v>
      </c>
      <c r="O31" s="0" t="n">
        <v>58.62</v>
      </c>
      <c r="Q31" s="0" t="n">
        <v>2026</v>
      </c>
      <c r="R31" s="0" t="n">
        <v>1793</v>
      </c>
      <c r="T31" s="0" t="n">
        <v>2026</v>
      </c>
      <c r="U31" s="0" t="n">
        <v>249968</v>
      </c>
      <c r="W31" s="0" t="n">
        <v>2026</v>
      </c>
      <c r="X31" s="0" t="n">
        <v>3652.75</v>
      </c>
    </row>
    <row r="32" customFormat="false" ht="15" hidden="false" customHeight="false" outlineLevel="0" collapsed="false">
      <c r="A32" s="0" t="n">
        <v>2026</v>
      </c>
      <c r="B32" s="0" t="n">
        <v>21.07940701</v>
      </c>
      <c r="C32" s="0" t="n">
        <v>442.6675472</v>
      </c>
      <c r="E32" s="0" t="n">
        <v>2026</v>
      </c>
      <c r="F32" s="0" t="n">
        <v>5.939172</v>
      </c>
      <c r="G32" s="0" t="n">
        <v>124.705246</v>
      </c>
      <c r="I32" s="0" t="n">
        <v>2026</v>
      </c>
      <c r="J32" s="0" t="n">
        <v>5.46</v>
      </c>
      <c r="K32" s="0" t="n">
        <v>114.42</v>
      </c>
      <c r="M32" s="0" t="n">
        <v>2026</v>
      </c>
      <c r="N32" s="0" t="n">
        <v>2.35</v>
      </c>
      <c r="O32" s="0" t="n">
        <v>48.85</v>
      </c>
      <c r="Q32" s="0" t="n">
        <v>2026</v>
      </c>
      <c r="R32" s="0" t="n">
        <v>1704</v>
      </c>
      <c r="T32" s="0" t="n">
        <v>2026</v>
      </c>
      <c r="U32" s="0" t="n">
        <v>7731</v>
      </c>
      <c r="W32" s="0" t="n">
        <v>2026</v>
      </c>
      <c r="X32" s="0" t="n">
        <v>1441.875</v>
      </c>
    </row>
    <row r="33" customFormat="false" ht="15" hidden="false" customHeight="false" outlineLevel="0" collapsed="false">
      <c r="A33" s="0" t="n">
        <v>2026</v>
      </c>
      <c r="B33" s="0" t="n">
        <v>9.368625337</v>
      </c>
      <c r="C33" s="0" t="n">
        <v>196.7411321</v>
      </c>
      <c r="E33" s="0" t="n">
        <v>2026</v>
      </c>
      <c r="F33" s="0" t="n">
        <v>32.474952</v>
      </c>
      <c r="G33" s="0" t="n">
        <v>681.879036</v>
      </c>
      <c r="I33" s="0" t="n">
        <v>2026</v>
      </c>
      <c r="J33" s="0" t="n">
        <v>9.1</v>
      </c>
      <c r="K33" s="0" t="n">
        <v>190.7</v>
      </c>
      <c r="M33" s="0" t="n">
        <v>2026</v>
      </c>
      <c r="N33" s="0" t="n">
        <v>1.88</v>
      </c>
      <c r="O33" s="0" t="n">
        <v>39.08</v>
      </c>
      <c r="Q33" s="0" t="n">
        <v>2026</v>
      </c>
      <c r="R33" s="0" t="n">
        <v>807</v>
      </c>
      <c r="T33" s="0" t="n">
        <v>2026</v>
      </c>
      <c r="U33" s="0" t="n">
        <v>327188</v>
      </c>
      <c r="W33" s="0" t="n">
        <v>2026</v>
      </c>
      <c r="X33" s="0" t="n">
        <v>2114.75</v>
      </c>
    </row>
    <row r="34" customFormat="false" ht="15" hidden="false" customHeight="false" outlineLevel="0" collapsed="false">
      <c r="A34" s="0" t="n">
        <v>2026</v>
      </c>
      <c r="B34" s="0" t="n">
        <v>34.60376051</v>
      </c>
      <c r="C34" s="0" t="n">
        <v>726.6789707</v>
      </c>
      <c r="E34" s="0" t="n">
        <v>2026</v>
      </c>
      <c r="F34" s="0" t="n">
        <v>29.695176</v>
      </c>
      <c r="G34" s="0" t="n">
        <v>623.511868</v>
      </c>
      <c r="I34" s="0" t="n">
        <v>2026</v>
      </c>
      <c r="J34" s="0" t="n">
        <v>1.82</v>
      </c>
      <c r="K34" s="0" t="n">
        <v>38.14</v>
      </c>
      <c r="M34" s="0" t="n">
        <v>2026</v>
      </c>
      <c r="N34" s="0" t="n">
        <v>0.94</v>
      </c>
      <c r="O34" s="0" t="n">
        <v>19.54</v>
      </c>
      <c r="Q34" s="0" t="n">
        <v>2026</v>
      </c>
      <c r="R34" s="0" t="n">
        <v>179</v>
      </c>
      <c r="T34" s="0" t="n">
        <v>2026</v>
      </c>
      <c r="U34" s="0" t="n">
        <v>10119</v>
      </c>
      <c r="W34" s="0" t="n">
        <v>2026</v>
      </c>
      <c r="X34" s="0" t="n">
        <v>1634.125</v>
      </c>
    </row>
    <row r="35" customFormat="false" ht="15" hidden="false" customHeight="false" outlineLevel="0" collapsed="false">
      <c r="A35" s="0" t="n">
        <v>2026</v>
      </c>
      <c r="B35" s="0" t="n">
        <v>10.8321854</v>
      </c>
      <c r="C35" s="0" t="n">
        <v>227.4758933</v>
      </c>
      <c r="E35" s="0" t="n">
        <v>2026</v>
      </c>
      <c r="F35" s="0" t="n">
        <v>267.767429</v>
      </c>
      <c r="G35" s="0" t="n">
        <v>5620.546264</v>
      </c>
      <c r="I35" s="0" t="n">
        <v>2026</v>
      </c>
      <c r="J35" s="0" t="n">
        <v>1.82</v>
      </c>
      <c r="K35" s="0" t="n">
        <v>38.14</v>
      </c>
      <c r="M35" s="0" t="n">
        <v>2026</v>
      </c>
      <c r="N35" s="0" t="n">
        <v>67.26</v>
      </c>
      <c r="O35" s="0" t="n">
        <v>1410.18</v>
      </c>
      <c r="Q35" s="0" t="n">
        <v>2026</v>
      </c>
      <c r="R35" s="0" t="n">
        <v>171</v>
      </c>
      <c r="T35" s="0" t="n">
        <v>2026</v>
      </c>
      <c r="U35" s="0" t="n">
        <v>286323</v>
      </c>
      <c r="W35" s="0" t="n">
        <v>2026</v>
      </c>
      <c r="X35" s="0" t="n">
        <v>116205.98</v>
      </c>
    </row>
    <row r="36" customFormat="false" ht="15" hidden="false" customHeight="false" outlineLevel="0" collapsed="false">
      <c r="A36" s="0" t="n">
        <v>2026</v>
      </c>
      <c r="B36" s="0" t="n">
        <v>24.22010458</v>
      </c>
      <c r="C36" s="0" t="n">
        <v>508.6221962</v>
      </c>
      <c r="E36" s="0" t="n">
        <v>2026</v>
      </c>
      <c r="F36" s="0" t="n">
        <v>71.898521</v>
      </c>
      <c r="G36" s="0" t="n">
        <v>1509.178936</v>
      </c>
      <c r="I36" s="0" t="n">
        <v>2026</v>
      </c>
      <c r="J36" s="0" t="n">
        <v>0</v>
      </c>
      <c r="K36" s="0" t="n">
        <v>0</v>
      </c>
      <c r="M36" s="0" t="n">
        <v>2026</v>
      </c>
      <c r="N36" s="0" t="n">
        <v>44.25</v>
      </c>
      <c r="O36" s="0" t="n">
        <v>927.75</v>
      </c>
      <c r="Q36" s="0" t="n">
        <v>2026</v>
      </c>
      <c r="R36" s="0" t="n">
        <v>171</v>
      </c>
      <c r="T36" s="0" t="n">
        <v>2026</v>
      </c>
      <c r="U36" s="0" t="n">
        <v>8855</v>
      </c>
      <c r="W36" s="0" t="n">
        <v>2026</v>
      </c>
      <c r="X36" s="0" t="n">
        <v>29051.495</v>
      </c>
    </row>
    <row r="37" customFormat="false" ht="15" hidden="false" customHeight="false" outlineLevel="0" collapsed="false">
      <c r="A37" s="0" t="n">
        <v>2026</v>
      </c>
      <c r="B37" s="0" t="n">
        <v>147.4957819</v>
      </c>
      <c r="C37" s="0" t="n">
        <v>3097.41142</v>
      </c>
      <c r="E37" s="0" t="n">
        <v>2026</v>
      </c>
      <c r="F37" s="0" t="n">
        <v>28.778477</v>
      </c>
      <c r="G37" s="0" t="n">
        <v>604.071832</v>
      </c>
      <c r="I37" s="0" t="n">
        <v>2026</v>
      </c>
      <c r="J37" s="0" t="n">
        <v>3.64</v>
      </c>
      <c r="K37" s="0" t="n">
        <v>76.28</v>
      </c>
      <c r="M37" s="0" t="n">
        <v>2026</v>
      </c>
      <c r="N37" s="0" t="n">
        <v>17.7</v>
      </c>
      <c r="O37" s="0" t="n">
        <v>371.1</v>
      </c>
      <c r="Q37" s="0" t="n">
        <v>2026</v>
      </c>
      <c r="R37" s="0" t="n">
        <v>1140</v>
      </c>
      <c r="T37" s="0" t="n">
        <v>2026</v>
      </c>
      <c r="U37" s="0" t="n">
        <v>442354</v>
      </c>
      <c r="W37" s="0" t="n">
        <v>2026</v>
      </c>
      <c r="X37" s="0" t="n">
        <v>8996.592</v>
      </c>
    </row>
    <row r="38" customFormat="false" ht="15" hidden="false" customHeight="false" outlineLevel="0" collapsed="false">
      <c r="A38" s="0" t="n">
        <v>2026</v>
      </c>
      <c r="B38" s="0" t="n">
        <v>37.2027977</v>
      </c>
      <c r="C38" s="0" t="n">
        <v>781.2587518</v>
      </c>
      <c r="E38" s="0" t="n">
        <v>2026</v>
      </c>
      <c r="F38" s="0" t="n">
        <v>4.042439</v>
      </c>
      <c r="G38" s="0" t="n">
        <v>84.852424</v>
      </c>
      <c r="I38" s="0" t="n">
        <v>2026</v>
      </c>
      <c r="J38" s="0" t="n">
        <v>6.37</v>
      </c>
      <c r="K38" s="0" t="n">
        <v>133.49</v>
      </c>
      <c r="M38" s="0" t="n">
        <v>2026</v>
      </c>
      <c r="N38" s="0" t="n">
        <v>17.7</v>
      </c>
      <c r="O38" s="0" t="n">
        <v>371.1</v>
      </c>
      <c r="Q38" s="0" t="n">
        <v>2026</v>
      </c>
      <c r="R38" s="0" t="n">
        <v>1083</v>
      </c>
      <c r="T38" s="0" t="n">
        <v>2026</v>
      </c>
      <c r="U38" s="0" t="n">
        <v>13407</v>
      </c>
      <c r="W38" s="0" t="n">
        <v>2026</v>
      </c>
      <c r="X38" s="0" t="n">
        <v>15931.465</v>
      </c>
    </row>
    <row r="39" customFormat="false" ht="15" hidden="false" customHeight="false" outlineLevel="0" collapsed="false">
      <c r="A39" s="0" t="n">
        <v>2026</v>
      </c>
      <c r="B39" s="0" t="n">
        <v>33.17580176</v>
      </c>
      <c r="C39" s="0" t="n">
        <v>696.6918369</v>
      </c>
      <c r="E39" s="0" t="n">
        <v>2026</v>
      </c>
      <c r="F39" s="0" t="n">
        <v>96.634559</v>
      </c>
      <c r="G39" s="0" t="n">
        <v>2028.398344</v>
      </c>
      <c r="I39" s="0" t="n">
        <v>2026</v>
      </c>
      <c r="J39" s="0" t="n">
        <v>1.82</v>
      </c>
      <c r="K39" s="0" t="n">
        <v>38.14</v>
      </c>
      <c r="M39" s="0" t="n">
        <v>2026</v>
      </c>
      <c r="N39" s="0" t="n">
        <v>10.62</v>
      </c>
      <c r="O39" s="0" t="n">
        <v>222.66</v>
      </c>
      <c r="Q39" s="0" t="n">
        <v>2026</v>
      </c>
      <c r="R39" s="0" t="n">
        <v>513</v>
      </c>
      <c r="T39" s="0" t="n">
        <v>2026</v>
      </c>
      <c r="U39" s="0" t="n">
        <v>19044</v>
      </c>
      <c r="W39" s="0" t="n">
        <v>2026</v>
      </c>
      <c r="X39" s="0" t="n">
        <v>7122.302</v>
      </c>
    </row>
    <row r="40" customFormat="false" ht="15" hidden="false" customHeight="false" outlineLevel="0" collapsed="false">
      <c r="A40" s="0" t="n">
        <v>2026</v>
      </c>
      <c r="B40" s="0" t="n">
        <v>23.07180398</v>
      </c>
      <c r="C40" s="0" t="n">
        <v>484.5078835</v>
      </c>
      <c r="E40" s="0" t="n">
        <v>2026</v>
      </c>
      <c r="F40" s="0" t="n">
        <v>4.523843</v>
      </c>
      <c r="G40" s="0" t="n">
        <v>94.957288</v>
      </c>
      <c r="I40" s="0" t="n">
        <v>2026</v>
      </c>
      <c r="J40" s="0" t="n">
        <v>6.37</v>
      </c>
      <c r="K40" s="0" t="n">
        <v>133.49</v>
      </c>
      <c r="M40" s="0" t="n">
        <v>2026</v>
      </c>
      <c r="N40" s="0" t="n">
        <v>8.85</v>
      </c>
      <c r="O40" s="0" t="n">
        <v>185.55</v>
      </c>
      <c r="Q40" s="0" t="n">
        <v>2026</v>
      </c>
      <c r="R40" s="0" t="n">
        <v>114</v>
      </c>
      <c r="T40" s="0" t="n">
        <v>2026</v>
      </c>
      <c r="U40" s="0" t="n">
        <v>589</v>
      </c>
      <c r="W40" s="0" t="n">
        <v>2026</v>
      </c>
      <c r="X40" s="0" t="n">
        <v>2811.435</v>
      </c>
    </row>
    <row r="41" customFormat="false" ht="15" hidden="false" customHeight="false" outlineLevel="0" collapsed="false">
      <c r="A41" s="0" t="n">
        <v>2026</v>
      </c>
      <c r="B41" s="0" t="n">
        <v>17.16157913</v>
      </c>
      <c r="C41" s="0" t="n">
        <v>360.3931618</v>
      </c>
      <c r="E41" s="0" t="n">
        <v>2026</v>
      </c>
      <c r="F41" s="0" t="n">
        <v>24.736038</v>
      </c>
      <c r="G41" s="0" t="n">
        <v>519.219408</v>
      </c>
      <c r="I41" s="0" t="n">
        <v>2026</v>
      </c>
      <c r="J41" s="0" t="n">
        <v>320.16</v>
      </c>
      <c r="K41" s="0" t="n">
        <v>6723.36</v>
      </c>
      <c r="M41" s="0" t="n">
        <v>2026</v>
      </c>
      <c r="N41" s="0" t="n">
        <v>7.08</v>
      </c>
      <c r="O41" s="0" t="n">
        <v>148.44</v>
      </c>
      <c r="Q41" s="0" t="n">
        <v>2026</v>
      </c>
      <c r="R41" s="0" t="n">
        <v>108</v>
      </c>
      <c r="T41" s="0" t="n">
        <v>2026</v>
      </c>
      <c r="U41" s="0" t="n">
        <v>307773</v>
      </c>
      <c r="W41" s="0" t="n">
        <v>2026</v>
      </c>
      <c r="X41" s="0" t="n">
        <v>4123.438</v>
      </c>
    </row>
    <row r="42" customFormat="false" ht="15" hidden="false" customHeight="false" outlineLevel="0" collapsed="false">
      <c r="A42" s="0" t="n">
        <v>2026</v>
      </c>
      <c r="B42" s="0" t="n">
        <v>7.627368503</v>
      </c>
      <c r="C42" s="0" t="n">
        <v>160.1747386</v>
      </c>
      <c r="E42" s="0" t="n">
        <v>2026</v>
      </c>
      <c r="F42" s="0" t="n">
        <v>22.618694</v>
      </c>
      <c r="G42" s="0" t="n">
        <v>474.775504</v>
      </c>
      <c r="I42" s="0" t="n">
        <v>2026</v>
      </c>
      <c r="J42" s="0" t="n">
        <v>106.72</v>
      </c>
      <c r="K42" s="0" t="n">
        <v>2241.12</v>
      </c>
      <c r="M42" s="0" t="n">
        <v>2026</v>
      </c>
      <c r="N42" s="0" t="n">
        <v>3.54</v>
      </c>
      <c r="O42" s="0" t="n">
        <v>74.22</v>
      </c>
      <c r="Q42" s="0" t="n">
        <v>2026</v>
      </c>
      <c r="R42" s="0" t="n">
        <v>108</v>
      </c>
      <c r="T42" s="0" t="n">
        <v>2026</v>
      </c>
      <c r="U42" s="0" t="n">
        <v>9519</v>
      </c>
      <c r="W42" s="0" t="n">
        <v>2026</v>
      </c>
      <c r="X42" s="0" t="n">
        <v>3186.293</v>
      </c>
    </row>
    <row r="43" customFormat="false" ht="15" hidden="false" customHeight="false" outlineLevel="0" collapsed="false">
      <c r="A43" s="0" t="n">
        <v>2026</v>
      </c>
      <c r="B43" s="0" t="n">
        <v>28.17229033</v>
      </c>
      <c r="C43" s="0" t="n">
        <v>591.6180969</v>
      </c>
      <c r="E43" s="0" t="n">
        <v>2026</v>
      </c>
      <c r="F43" s="0" t="n">
        <v>587.957656</v>
      </c>
      <c r="G43" s="0" t="n">
        <v>12338.88759</v>
      </c>
      <c r="I43" s="0" t="n">
        <v>2026</v>
      </c>
      <c r="J43" s="0" t="n">
        <v>46.69</v>
      </c>
      <c r="K43" s="0" t="n">
        <v>980.49</v>
      </c>
      <c r="M43" s="0" t="n">
        <v>2026</v>
      </c>
      <c r="N43" s="0" t="n">
        <v>7.6</v>
      </c>
      <c r="O43" s="0" t="n">
        <v>155.04</v>
      </c>
      <c r="Q43" s="0" t="n">
        <v>2026</v>
      </c>
      <c r="R43" s="0" t="n">
        <v>326</v>
      </c>
      <c r="T43" s="0" t="n">
        <v>2026</v>
      </c>
      <c r="U43" s="0" t="n">
        <v>117208</v>
      </c>
      <c r="W43" s="0" t="n">
        <v>2026</v>
      </c>
      <c r="X43" s="0" t="n">
        <v>110010.32</v>
      </c>
    </row>
    <row r="44" customFormat="false" ht="15" hidden="false" customHeight="false" outlineLevel="0" collapsed="false">
      <c r="A44" s="0" t="n">
        <v>2026</v>
      </c>
      <c r="B44" s="0" t="n">
        <v>8.818910645</v>
      </c>
      <c r="C44" s="0" t="n">
        <v>185.1971235</v>
      </c>
      <c r="E44" s="0" t="n">
        <v>2026</v>
      </c>
      <c r="F44" s="0" t="n">
        <v>157.873144</v>
      </c>
      <c r="G44" s="0" t="n">
        <v>3313.128008</v>
      </c>
      <c r="I44" s="0" t="n">
        <v>2026</v>
      </c>
      <c r="J44" s="0" t="n">
        <v>26.68</v>
      </c>
      <c r="K44" s="0" t="n">
        <v>560.28</v>
      </c>
      <c r="M44" s="0" t="n">
        <v>2026</v>
      </c>
      <c r="N44" s="0" t="n">
        <v>5</v>
      </c>
      <c r="O44" s="0" t="n">
        <v>102</v>
      </c>
      <c r="Q44" s="0" t="n">
        <v>2026</v>
      </c>
      <c r="R44" s="0" t="n">
        <v>310</v>
      </c>
      <c r="T44" s="0" t="n">
        <v>2026</v>
      </c>
      <c r="U44" s="0" t="n">
        <v>3625</v>
      </c>
      <c r="W44" s="0" t="n">
        <v>2026</v>
      </c>
      <c r="X44" s="0" t="n">
        <v>27502.58</v>
      </c>
    </row>
    <row r="45" customFormat="false" ht="15" hidden="false" customHeight="false" outlineLevel="0" collapsed="false">
      <c r="A45" s="0" t="n">
        <v>2026</v>
      </c>
      <c r="B45" s="0" t="n">
        <v>19.71854527</v>
      </c>
      <c r="C45" s="0" t="n">
        <v>414.0894507</v>
      </c>
      <c r="E45" s="0" t="n">
        <v>2026</v>
      </c>
      <c r="F45" s="0" t="n">
        <v>63.191128</v>
      </c>
      <c r="G45" s="0" t="n">
        <v>1326.129896</v>
      </c>
      <c r="I45" s="0" t="n">
        <v>2026</v>
      </c>
      <c r="J45" s="0" t="n">
        <v>26.68</v>
      </c>
      <c r="K45" s="0" t="n">
        <v>560.28</v>
      </c>
      <c r="M45" s="0" t="n">
        <v>2026</v>
      </c>
      <c r="N45" s="0" t="n">
        <v>2</v>
      </c>
      <c r="O45" s="0" t="n">
        <v>40.8</v>
      </c>
      <c r="Q45" s="0" t="n">
        <v>2026</v>
      </c>
      <c r="R45" s="0" t="n">
        <v>147</v>
      </c>
      <c r="T45" s="0" t="n">
        <v>2026</v>
      </c>
      <c r="U45" s="0" t="n">
        <v>182421</v>
      </c>
      <c r="W45" s="0" t="n">
        <v>2026</v>
      </c>
      <c r="X45" s="0" t="n">
        <v>8516.928</v>
      </c>
    </row>
    <row r="46" customFormat="false" ht="15" hidden="false" customHeight="false" outlineLevel="0" collapsed="false">
      <c r="A46" s="0" t="n">
        <v>2026</v>
      </c>
      <c r="B46" s="0" t="n">
        <v>269.3039627</v>
      </c>
      <c r="C46" s="0" t="n">
        <v>5655.383216</v>
      </c>
      <c r="E46" s="0" t="n">
        <v>2026</v>
      </c>
      <c r="F46" s="0" t="n">
        <v>8.876296</v>
      </c>
      <c r="G46" s="0" t="n">
        <v>186.278072</v>
      </c>
      <c r="I46" s="0" t="n">
        <v>2026</v>
      </c>
      <c r="J46" s="0" t="n">
        <v>13.34</v>
      </c>
      <c r="K46" s="0" t="n">
        <v>280.14</v>
      </c>
      <c r="M46" s="0" t="n">
        <v>2026</v>
      </c>
      <c r="N46" s="0" t="n">
        <v>2</v>
      </c>
      <c r="O46" s="0" t="n">
        <v>40.8</v>
      </c>
      <c r="Q46" s="0" t="n">
        <v>2026</v>
      </c>
      <c r="R46" s="0" t="n">
        <v>33</v>
      </c>
      <c r="T46" s="0" t="n">
        <v>2026</v>
      </c>
      <c r="U46" s="0" t="n">
        <v>5642</v>
      </c>
      <c r="W46" s="0" t="n">
        <v>2026</v>
      </c>
      <c r="X46" s="0" t="n">
        <v>15082.06</v>
      </c>
    </row>
    <row r="47" customFormat="false" ht="15" hidden="false" customHeight="false" outlineLevel="0" collapsed="false">
      <c r="A47" s="0" t="n">
        <v>2026</v>
      </c>
      <c r="B47" s="0" t="n">
        <v>67.92642281</v>
      </c>
      <c r="C47" s="0" t="n">
        <v>1426.454879</v>
      </c>
      <c r="E47" s="0" t="n">
        <v>2026</v>
      </c>
      <c r="F47" s="0" t="n">
        <v>212.187976</v>
      </c>
      <c r="G47" s="0" t="n">
        <v>4452.979832</v>
      </c>
      <c r="I47" s="0" t="n">
        <v>2026</v>
      </c>
      <c r="J47" s="0" t="n">
        <v>13.34</v>
      </c>
      <c r="K47" s="0" t="n">
        <v>280.14</v>
      </c>
      <c r="M47" s="0" t="n">
        <v>2026</v>
      </c>
      <c r="N47" s="0" t="n">
        <v>1.2</v>
      </c>
      <c r="O47" s="0" t="n">
        <v>24.48</v>
      </c>
      <c r="Q47" s="0" t="n">
        <v>2026</v>
      </c>
      <c r="R47" s="0" t="n">
        <v>30</v>
      </c>
      <c r="T47" s="0" t="n">
        <v>2026</v>
      </c>
      <c r="U47" s="0" t="n">
        <v>49271</v>
      </c>
      <c r="W47" s="0" t="n">
        <v>2026</v>
      </c>
      <c r="X47" s="0" t="n">
        <v>6742.568</v>
      </c>
    </row>
    <row r="48" customFormat="false" ht="15" hidden="false" customHeight="false" outlineLevel="0" collapsed="false">
      <c r="A48" s="0" t="n">
        <v>2026</v>
      </c>
      <c r="B48" s="0" t="n">
        <v>60.57376532</v>
      </c>
      <c r="C48" s="0" t="n">
        <v>1272.049072</v>
      </c>
      <c r="E48" s="0" t="n">
        <v>2026</v>
      </c>
      <c r="F48" s="0" t="n">
        <v>9.933352</v>
      </c>
      <c r="G48" s="0" t="n">
        <v>208.461464</v>
      </c>
      <c r="I48" s="0" t="n">
        <v>2026</v>
      </c>
      <c r="J48" s="0" t="n">
        <v>26.68</v>
      </c>
      <c r="K48" s="0" t="n">
        <v>560.28</v>
      </c>
      <c r="M48" s="0" t="n">
        <v>2026</v>
      </c>
      <c r="N48" s="0" t="n">
        <v>1</v>
      </c>
      <c r="O48" s="0" t="n">
        <v>20.4</v>
      </c>
      <c r="Q48" s="0" t="n">
        <v>2026</v>
      </c>
      <c r="R48" s="0" t="n">
        <v>30</v>
      </c>
      <c r="T48" s="0" t="n">
        <v>2026</v>
      </c>
      <c r="U48" s="0" t="n">
        <v>1524</v>
      </c>
      <c r="W48" s="0" t="n">
        <v>2026</v>
      </c>
      <c r="X48" s="0" t="n">
        <v>2661.54</v>
      </c>
    </row>
    <row r="49" customFormat="false" ht="15" hidden="false" customHeight="false" outlineLevel="0" collapsed="false">
      <c r="A49" s="0" t="n">
        <v>2026</v>
      </c>
      <c r="B49" s="0" t="n">
        <v>42.12546391</v>
      </c>
      <c r="C49" s="0" t="n">
        <v>884.634742</v>
      </c>
      <c r="E49" s="0" t="n">
        <v>2026</v>
      </c>
      <c r="F49" s="0" t="n">
        <v>54.314832</v>
      </c>
      <c r="G49" s="0" t="n">
        <v>1139.851824</v>
      </c>
      <c r="I49" s="0" t="n">
        <v>2026</v>
      </c>
      <c r="J49" s="0" t="n">
        <v>46.69</v>
      </c>
      <c r="K49" s="0" t="n">
        <v>980.49</v>
      </c>
      <c r="M49" s="0" t="n">
        <v>2026</v>
      </c>
      <c r="N49" s="0" t="n">
        <v>0.8</v>
      </c>
      <c r="O49" s="0" t="n">
        <v>16.32</v>
      </c>
      <c r="Q49" s="0" t="n">
        <v>2026</v>
      </c>
      <c r="R49" s="0" t="n">
        <v>451</v>
      </c>
      <c r="T49" s="0" t="n">
        <v>2026</v>
      </c>
      <c r="U49" s="0" t="n">
        <v>119658</v>
      </c>
      <c r="W49" s="0" t="n">
        <v>2026</v>
      </c>
      <c r="X49" s="0" t="n">
        <v>3903.592</v>
      </c>
    </row>
    <row r="50" customFormat="false" ht="15" hidden="false" customHeight="false" outlineLevel="0" collapsed="false">
      <c r="A50" s="0" t="n">
        <v>2026</v>
      </c>
      <c r="B50" s="0" t="n">
        <v>31.33432839</v>
      </c>
      <c r="C50" s="0" t="n">
        <v>658.0208962</v>
      </c>
      <c r="E50" s="0" t="n">
        <v>2026</v>
      </c>
      <c r="F50" s="0" t="n">
        <v>49.665616</v>
      </c>
      <c r="G50" s="0" t="n">
        <v>1042.283312</v>
      </c>
      <c r="I50" s="0" t="n">
        <v>2026</v>
      </c>
      <c r="J50" s="0" t="n">
        <v>20.01</v>
      </c>
      <c r="K50" s="0" t="n">
        <v>420.21</v>
      </c>
      <c r="M50" s="0" t="n">
        <v>2026</v>
      </c>
      <c r="N50" s="0" t="n">
        <v>0.4</v>
      </c>
      <c r="O50" s="0" t="n">
        <v>8.16</v>
      </c>
      <c r="Q50" s="0" t="n">
        <v>2026</v>
      </c>
      <c r="R50" s="0" t="n">
        <v>428</v>
      </c>
      <c r="T50" s="0" t="n">
        <v>2026</v>
      </c>
      <c r="U50" s="0" t="n">
        <v>3701</v>
      </c>
      <c r="W50" s="0" t="n">
        <v>2026</v>
      </c>
      <c r="X50" s="0" t="n">
        <v>3016.412</v>
      </c>
    </row>
    <row r="51" customFormat="false" ht="15" hidden="false" customHeight="false" outlineLevel="0" collapsed="false">
      <c r="A51" s="0" t="n">
        <v>2026</v>
      </c>
      <c r="B51" s="0" t="n">
        <v>13.92636817</v>
      </c>
      <c r="C51" s="0" t="n">
        <v>292.4537316</v>
      </c>
      <c r="E51" s="0" t="n">
        <v>2026</v>
      </c>
      <c r="F51" s="0" t="n">
        <v>323.273921</v>
      </c>
      <c r="G51" s="0" t="n">
        <v>6783.612851</v>
      </c>
      <c r="I51" s="0" t="n">
        <v>2026</v>
      </c>
      <c r="J51" s="0" t="n">
        <v>20.01</v>
      </c>
      <c r="K51" s="0" t="n">
        <v>420.21</v>
      </c>
      <c r="M51" s="0" t="n">
        <v>2026</v>
      </c>
      <c r="N51" s="0" t="n">
        <v>20.9</v>
      </c>
      <c r="O51" s="0" t="n">
        <v>432.44</v>
      </c>
      <c r="Q51" s="0" t="n">
        <v>2026</v>
      </c>
      <c r="R51" s="0" t="n">
        <v>203</v>
      </c>
      <c r="T51" s="0" t="n">
        <v>2026</v>
      </c>
      <c r="U51" s="0" t="n">
        <v>140775</v>
      </c>
      <c r="W51" s="0" t="n">
        <v>2026</v>
      </c>
      <c r="X51" s="0" t="n">
        <v>44697.04</v>
      </c>
    </row>
    <row r="52" customFormat="false" ht="15" hidden="false" customHeight="false" outlineLevel="0" collapsed="false">
      <c r="A52" s="0" t="n">
        <v>2026</v>
      </c>
      <c r="B52" s="0" t="n">
        <v>51.43814505</v>
      </c>
      <c r="C52" s="0" t="n">
        <v>1080.201046</v>
      </c>
      <c r="E52" s="0" t="n">
        <v>2026</v>
      </c>
      <c r="F52" s="0" t="n">
        <v>86.802629</v>
      </c>
      <c r="G52" s="0" t="n">
        <v>1821.475199</v>
      </c>
      <c r="I52" s="0" t="n">
        <v>2026</v>
      </c>
      <c r="J52" s="0" t="n">
        <v>56.68</v>
      </c>
      <c r="K52" s="0" t="n">
        <v>1189.24</v>
      </c>
      <c r="M52" s="0" t="n">
        <v>2026</v>
      </c>
      <c r="N52" s="0" t="n">
        <v>13.75</v>
      </c>
      <c r="O52" s="0" t="n">
        <v>284.5</v>
      </c>
      <c r="Q52" s="0" t="n">
        <v>2026</v>
      </c>
      <c r="R52" s="0" t="n">
        <v>45</v>
      </c>
      <c r="T52" s="0" t="n">
        <v>2026</v>
      </c>
      <c r="U52" s="0" t="n">
        <v>4354</v>
      </c>
      <c r="W52" s="0" t="n">
        <v>2026</v>
      </c>
      <c r="X52" s="0" t="n">
        <v>11174.26</v>
      </c>
    </row>
    <row r="53" customFormat="false" ht="15" hidden="false" customHeight="false" outlineLevel="0" collapsed="false">
      <c r="A53" s="0" t="n">
        <v>2026</v>
      </c>
      <c r="B53" s="0" t="n">
        <v>16.10193561</v>
      </c>
      <c r="C53" s="0" t="n">
        <v>338.1406478</v>
      </c>
      <c r="E53" s="0" t="n">
        <v>2026</v>
      </c>
      <c r="F53" s="0" t="n">
        <v>34.744073</v>
      </c>
      <c r="G53" s="0" t="n">
        <v>729.073163</v>
      </c>
      <c r="I53" s="0" t="n">
        <v>2026</v>
      </c>
      <c r="J53" s="0" t="n">
        <v>8.72</v>
      </c>
      <c r="K53" s="0" t="n">
        <v>182.96</v>
      </c>
      <c r="M53" s="0" t="n">
        <v>2026</v>
      </c>
      <c r="N53" s="0" t="n">
        <v>5.5</v>
      </c>
      <c r="O53" s="0" t="n">
        <v>113.8</v>
      </c>
      <c r="Q53" s="0" t="n">
        <v>2026</v>
      </c>
      <c r="R53" s="0" t="n">
        <v>44</v>
      </c>
      <c r="T53" s="0" t="n">
        <v>2026</v>
      </c>
      <c r="U53" s="0" t="n">
        <v>710909</v>
      </c>
      <c r="W53" s="0" t="n">
        <v>2026</v>
      </c>
      <c r="X53" s="0" t="n">
        <v>3460.416</v>
      </c>
    </row>
    <row r="54" customFormat="false" ht="15" hidden="false" customHeight="false" outlineLevel="0" collapsed="false">
      <c r="A54" s="0" t="n">
        <v>2026</v>
      </c>
      <c r="B54" s="0" t="n">
        <v>36.00294402</v>
      </c>
      <c r="C54" s="0" t="n">
        <v>756.0618245</v>
      </c>
      <c r="E54" s="0" t="n">
        <v>2026</v>
      </c>
      <c r="F54" s="0" t="n">
        <v>4.880411</v>
      </c>
      <c r="G54" s="0" t="n">
        <v>102.411041</v>
      </c>
      <c r="I54" s="0" t="n">
        <v>2026</v>
      </c>
      <c r="J54" s="0" t="n">
        <v>6.54</v>
      </c>
      <c r="K54" s="0" t="n">
        <v>137.22</v>
      </c>
      <c r="M54" s="0" t="n">
        <v>2026</v>
      </c>
      <c r="N54" s="0" t="n">
        <v>5.5</v>
      </c>
      <c r="O54" s="0" t="n">
        <v>113.8</v>
      </c>
      <c r="Q54" s="0" t="n">
        <v>2026</v>
      </c>
      <c r="R54" s="0" t="n">
        <v>44</v>
      </c>
      <c r="T54" s="0" t="n">
        <v>2026</v>
      </c>
      <c r="U54" s="0" t="n">
        <v>21987</v>
      </c>
      <c r="W54" s="0" t="n">
        <v>2026</v>
      </c>
      <c r="X54" s="0" t="n">
        <v>6127.82</v>
      </c>
    </row>
    <row r="55" customFormat="false" ht="15" hidden="false" customHeight="false" outlineLevel="0" collapsed="false">
      <c r="A55" s="0" t="n">
        <v>2026</v>
      </c>
      <c r="B55" s="0" t="n">
        <v>129.2934669</v>
      </c>
      <c r="C55" s="0" t="n">
        <v>2715.162806</v>
      </c>
      <c r="E55" s="0" t="n">
        <v>2026</v>
      </c>
      <c r="F55" s="0" t="n">
        <v>116.666291</v>
      </c>
      <c r="G55" s="0" t="n">
        <v>2448.137321</v>
      </c>
      <c r="I55" s="0" t="n">
        <v>2026</v>
      </c>
      <c r="J55" s="0" t="n">
        <v>10.9</v>
      </c>
      <c r="K55" s="0" t="n">
        <v>228.7</v>
      </c>
      <c r="M55" s="0" t="n">
        <v>2026</v>
      </c>
      <c r="N55" s="0" t="n">
        <v>3.3</v>
      </c>
      <c r="O55" s="0" t="n">
        <v>68.28</v>
      </c>
      <c r="Q55" s="0" t="n">
        <v>2026</v>
      </c>
      <c r="R55" s="0" t="n">
        <v>249</v>
      </c>
      <c r="T55" s="0" t="n">
        <v>2026</v>
      </c>
      <c r="U55" s="0" t="n">
        <v>140775</v>
      </c>
      <c r="W55" s="0" t="n">
        <v>2026</v>
      </c>
      <c r="X55" s="0" t="n">
        <v>2739.496</v>
      </c>
    </row>
    <row r="56" customFormat="false" ht="15" hidden="false" customHeight="false" outlineLevel="0" collapsed="false">
      <c r="A56" s="0" t="n">
        <v>2026</v>
      </c>
      <c r="B56" s="0" t="n">
        <v>32.61163562</v>
      </c>
      <c r="C56" s="0" t="n">
        <v>684.8443481</v>
      </c>
      <c r="E56" s="0" t="n">
        <v>2026</v>
      </c>
      <c r="F56" s="0" t="n">
        <v>5.461607</v>
      </c>
      <c r="G56" s="0" t="n">
        <v>114.606917</v>
      </c>
      <c r="I56" s="0" t="n">
        <v>2026</v>
      </c>
      <c r="J56" s="0" t="n">
        <v>2.18</v>
      </c>
      <c r="K56" s="0" t="n">
        <v>45.74</v>
      </c>
      <c r="M56" s="0" t="n">
        <v>2026</v>
      </c>
      <c r="N56" s="0" t="n">
        <v>2.75</v>
      </c>
      <c r="O56" s="0" t="n">
        <v>56.9</v>
      </c>
      <c r="Q56" s="0" t="n">
        <v>2026</v>
      </c>
      <c r="R56" s="0" t="n">
        <v>236</v>
      </c>
      <c r="T56" s="0" t="n">
        <v>2026</v>
      </c>
      <c r="U56" s="0" t="n">
        <v>4354</v>
      </c>
      <c r="W56" s="0" t="n">
        <v>2026</v>
      </c>
      <c r="X56" s="0" t="n">
        <v>1081.38</v>
      </c>
    </row>
    <row r="57" customFormat="false" ht="15" hidden="false" customHeight="false" outlineLevel="0" collapsed="false">
      <c r="A57" s="0" t="n">
        <v>2026</v>
      </c>
      <c r="B57" s="0" t="n">
        <v>29.08160744</v>
      </c>
      <c r="C57" s="0" t="n">
        <v>610.7137562</v>
      </c>
      <c r="E57" s="0" t="n">
        <v>2026</v>
      </c>
      <c r="F57" s="0" t="n">
        <v>29.863662</v>
      </c>
      <c r="G57" s="0" t="n">
        <v>626.662122</v>
      </c>
      <c r="I57" s="0" t="n">
        <v>2026</v>
      </c>
      <c r="J57" s="0" t="n">
        <v>2.18</v>
      </c>
      <c r="K57" s="0" t="n">
        <v>45.74</v>
      </c>
      <c r="M57" s="0" t="n">
        <v>2026</v>
      </c>
      <c r="N57" s="0" t="n">
        <v>2.2</v>
      </c>
      <c r="O57" s="0" t="n">
        <v>45.52</v>
      </c>
      <c r="Q57" s="0" t="n">
        <v>2026</v>
      </c>
      <c r="R57" s="0" t="n">
        <v>112</v>
      </c>
      <c r="T57" s="0" t="n">
        <v>2026</v>
      </c>
      <c r="U57" s="0" t="n">
        <v>239316</v>
      </c>
      <c r="W57" s="0" t="n">
        <v>2026</v>
      </c>
      <c r="X57" s="0" t="n">
        <v>1586.024</v>
      </c>
    </row>
    <row r="58" customFormat="false" ht="15" hidden="false" customHeight="false" outlineLevel="0" collapsed="false">
      <c r="A58" s="0" t="n">
        <v>2026</v>
      </c>
      <c r="B58" s="0" t="n">
        <v>20.22453447</v>
      </c>
      <c r="C58" s="0" t="n">
        <v>424.7152238</v>
      </c>
      <c r="E58" s="0" t="n">
        <v>2026</v>
      </c>
      <c r="F58" s="0" t="n">
        <v>27.307406</v>
      </c>
      <c r="G58" s="0" t="n">
        <v>573.021386</v>
      </c>
      <c r="I58" s="0" t="n">
        <v>2026</v>
      </c>
      <c r="J58" s="0" t="n">
        <v>0</v>
      </c>
      <c r="K58" s="0" t="n">
        <v>0</v>
      </c>
      <c r="M58" s="0" t="n">
        <v>2026</v>
      </c>
      <c r="N58" s="0" t="n">
        <v>1.1</v>
      </c>
      <c r="O58" s="0" t="n">
        <v>22.76</v>
      </c>
      <c r="Q58" s="0" t="n">
        <v>2026</v>
      </c>
      <c r="R58" s="0" t="n">
        <v>25</v>
      </c>
      <c r="T58" s="0" t="n">
        <v>2026</v>
      </c>
      <c r="U58" s="0" t="n">
        <v>7402</v>
      </c>
      <c r="W58" s="0" t="n">
        <v>2026</v>
      </c>
      <c r="X58" s="0" t="n">
        <v>1225.564</v>
      </c>
    </row>
    <row r="59" customFormat="false" ht="15" hidden="false" customHeight="false" outlineLevel="0" collapsed="false">
      <c r="A59" s="0" t="n">
        <v>2026</v>
      </c>
      <c r="B59" s="0" t="n">
        <v>15.04368488</v>
      </c>
      <c r="C59" s="0" t="n">
        <v>315.9173825</v>
      </c>
      <c r="E59" s="0" t="n">
        <v>2026</v>
      </c>
      <c r="F59" s="0" t="n">
        <v>103.303749</v>
      </c>
      <c r="G59" s="0" t="n">
        <v>2168.350831</v>
      </c>
      <c r="I59" s="0" t="n">
        <v>2026</v>
      </c>
      <c r="J59" s="0" t="n">
        <v>4.36</v>
      </c>
      <c r="K59" s="0" t="n">
        <v>91.48</v>
      </c>
      <c r="M59" s="0" t="n">
        <v>2026</v>
      </c>
      <c r="N59" s="0" t="n">
        <v>12.92</v>
      </c>
      <c r="O59" s="0" t="n">
        <v>269.42</v>
      </c>
      <c r="Q59" s="0" t="n">
        <v>2026</v>
      </c>
      <c r="R59" s="0" t="n">
        <v>23</v>
      </c>
      <c r="T59" s="0" t="n">
        <v>2026</v>
      </c>
      <c r="U59" s="0" t="n">
        <v>49271</v>
      </c>
      <c r="W59" s="0" t="n">
        <v>2026</v>
      </c>
      <c r="X59" s="0" t="n">
        <v>70511.98</v>
      </c>
    </row>
    <row r="60" customFormat="false" ht="15" hidden="false" customHeight="false" outlineLevel="0" collapsed="false">
      <c r="A60" s="0" t="n">
        <v>2026</v>
      </c>
      <c r="B60" s="0" t="n">
        <v>6.68608217</v>
      </c>
      <c r="C60" s="0" t="n">
        <v>140.4077256</v>
      </c>
      <c r="E60" s="0" t="n">
        <v>2026</v>
      </c>
      <c r="F60" s="0" t="n">
        <v>27.738201</v>
      </c>
      <c r="G60" s="0" t="n">
        <v>582.226219</v>
      </c>
      <c r="I60" s="0" t="n">
        <v>2026</v>
      </c>
      <c r="J60" s="0" t="n">
        <v>7.63</v>
      </c>
      <c r="K60" s="0" t="n">
        <v>160.09</v>
      </c>
      <c r="M60" s="0" t="n">
        <v>2026</v>
      </c>
      <c r="N60" s="0" t="n">
        <v>8.5</v>
      </c>
      <c r="O60" s="0" t="n">
        <v>177.25</v>
      </c>
      <c r="Q60" s="0" t="n">
        <v>2026</v>
      </c>
      <c r="R60" s="0" t="n">
        <v>23</v>
      </c>
      <c r="T60" s="0" t="n">
        <v>2026</v>
      </c>
      <c r="U60" s="0" t="n">
        <v>1524</v>
      </c>
      <c r="W60" s="0" t="n">
        <v>2026</v>
      </c>
      <c r="X60" s="0" t="n">
        <v>17627.995</v>
      </c>
    </row>
    <row r="61" customFormat="false" ht="15" hidden="false" customHeight="false" outlineLevel="0" collapsed="false">
      <c r="A61" s="0" t="n">
        <v>2026</v>
      </c>
      <c r="B61" s="0" t="n">
        <v>24.69557462</v>
      </c>
      <c r="C61" s="0" t="n">
        <v>518.6070671</v>
      </c>
      <c r="E61" s="0" t="n">
        <v>2026</v>
      </c>
      <c r="F61" s="0" t="n">
        <v>11.102637</v>
      </c>
      <c r="G61" s="0" t="n">
        <v>233.044903</v>
      </c>
      <c r="I61" s="0" t="n">
        <v>2026</v>
      </c>
      <c r="J61" s="0" t="n">
        <v>2.18</v>
      </c>
      <c r="K61" s="0" t="n">
        <v>45.74</v>
      </c>
      <c r="M61" s="0" t="n">
        <v>2026</v>
      </c>
      <c r="N61" s="0" t="n">
        <v>3.4</v>
      </c>
      <c r="O61" s="0" t="n">
        <v>70.9</v>
      </c>
      <c r="Q61" s="0" t="n">
        <v>2026</v>
      </c>
      <c r="R61" s="0" t="n">
        <v>890</v>
      </c>
      <c r="T61" s="0" t="n">
        <v>2026</v>
      </c>
      <c r="U61" s="0" t="n">
        <v>84465</v>
      </c>
      <c r="W61" s="0" t="n">
        <v>2026</v>
      </c>
      <c r="X61" s="0" t="n">
        <v>5458.992</v>
      </c>
    </row>
    <row r="62" customFormat="false" ht="15" hidden="false" customHeight="false" outlineLevel="0" collapsed="false">
      <c r="A62" s="0" t="n">
        <v>2026</v>
      </c>
      <c r="B62" s="0" t="n">
        <v>7.730577223</v>
      </c>
      <c r="C62" s="0" t="n">
        <v>162.3421217</v>
      </c>
      <c r="E62" s="0" t="n">
        <v>2026</v>
      </c>
      <c r="F62" s="0" t="n">
        <v>1.559559</v>
      </c>
      <c r="G62" s="0" t="n">
        <v>32.735221</v>
      </c>
      <c r="I62" s="0" t="n">
        <v>2026</v>
      </c>
      <c r="J62" s="0" t="n">
        <v>7.63</v>
      </c>
      <c r="K62" s="0" t="n">
        <v>160.09</v>
      </c>
      <c r="M62" s="0" t="n">
        <v>2026</v>
      </c>
      <c r="N62" s="0" t="n">
        <v>3.4</v>
      </c>
      <c r="O62" s="0" t="n">
        <v>70.9</v>
      </c>
      <c r="Q62" s="0" t="n">
        <v>2026</v>
      </c>
      <c r="R62" s="0" t="n">
        <v>845</v>
      </c>
      <c r="T62" s="0" t="n">
        <v>2026</v>
      </c>
      <c r="U62" s="0" t="n">
        <v>2612</v>
      </c>
      <c r="W62" s="0" t="n">
        <v>2026</v>
      </c>
      <c r="X62" s="0" t="n">
        <v>9666.965</v>
      </c>
    </row>
    <row r="63" customFormat="false" ht="15" hidden="false" customHeight="false" outlineLevel="0" collapsed="false">
      <c r="A63" s="0" t="n">
        <v>2026</v>
      </c>
      <c r="B63" s="0" t="n">
        <v>17.28509825</v>
      </c>
      <c r="C63" s="0" t="n">
        <v>362.9870632</v>
      </c>
      <c r="E63" s="0" t="n">
        <v>2026</v>
      </c>
      <c r="F63" s="0" t="n">
        <v>37.281279</v>
      </c>
      <c r="G63" s="0" t="n">
        <v>782.535901</v>
      </c>
      <c r="I63" s="0" t="n">
        <v>2026</v>
      </c>
      <c r="J63" s="0" t="n">
        <v>204</v>
      </c>
      <c r="K63" s="0" t="n">
        <v>4287.36</v>
      </c>
      <c r="M63" s="0" t="n">
        <v>2026</v>
      </c>
      <c r="N63" s="0" t="n">
        <v>2.04</v>
      </c>
      <c r="O63" s="0" t="n">
        <v>42.54</v>
      </c>
      <c r="Q63" s="0" t="n">
        <v>2026</v>
      </c>
      <c r="R63" s="0" t="n">
        <v>400</v>
      </c>
      <c r="T63" s="0" t="n">
        <v>2026</v>
      </c>
      <c r="U63" s="0" t="n">
        <v>84465</v>
      </c>
      <c r="W63" s="0" t="n">
        <v>2026</v>
      </c>
      <c r="X63" s="0" t="n">
        <v>4321.702</v>
      </c>
    </row>
    <row r="64" customFormat="false" ht="15" hidden="false" customHeight="false" outlineLevel="0" collapsed="false">
      <c r="A64" s="0" t="n">
        <v>2026</v>
      </c>
      <c r="B64" s="0" t="n">
        <v>54.25050267</v>
      </c>
      <c r="C64" s="0" t="n">
        <v>1139.260556</v>
      </c>
      <c r="E64" s="0" t="n">
        <v>2026</v>
      </c>
      <c r="F64" s="0" t="n">
        <v>1.745283</v>
      </c>
      <c r="G64" s="0" t="n">
        <v>36.633577</v>
      </c>
      <c r="I64" s="0" t="n">
        <v>2026</v>
      </c>
      <c r="J64" s="0" t="n">
        <v>68</v>
      </c>
      <c r="K64" s="0" t="n">
        <v>1429.12</v>
      </c>
      <c r="M64" s="0" t="n">
        <v>2026</v>
      </c>
      <c r="N64" s="0" t="n">
        <v>1.7</v>
      </c>
      <c r="O64" s="0" t="n">
        <v>35.45</v>
      </c>
      <c r="Q64" s="0" t="n">
        <v>2026</v>
      </c>
      <c r="R64" s="0" t="n">
        <v>89</v>
      </c>
      <c r="T64" s="0" t="n">
        <v>2026</v>
      </c>
      <c r="U64" s="0" t="n">
        <v>2612</v>
      </c>
      <c r="W64" s="0" t="n">
        <v>2026</v>
      </c>
      <c r="X64" s="0" t="n">
        <v>1705.935</v>
      </c>
    </row>
    <row r="65" customFormat="false" ht="15" hidden="false" customHeight="false" outlineLevel="0" collapsed="false">
      <c r="A65" s="0" t="n">
        <v>2026</v>
      </c>
      <c r="B65" s="0" t="n">
        <v>13.68358098</v>
      </c>
      <c r="C65" s="0" t="n">
        <v>287.3552006</v>
      </c>
      <c r="E65" s="0" t="n">
        <v>2026</v>
      </c>
      <c r="F65" s="0" t="n">
        <v>9.543078</v>
      </c>
      <c r="G65" s="0" t="n">
        <v>200.309682</v>
      </c>
      <c r="I65" s="0" t="n">
        <v>2026</v>
      </c>
      <c r="J65" s="0" t="n">
        <v>29.75</v>
      </c>
      <c r="K65" s="0" t="n">
        <v>625.24</v>
      </c>
      <c r="M65" s="0" t="n">
        <v>2026</v>
      </c>
      <c r="N65" s="0" t="n">
        <v>1.36</v>
      </c>
      <c r="O65" s="0" t="n">
        <v>28.36</v>
      </c>
      <c r="Q65" s="0" t="n">
        <v>2026</v>
      </c>
      <c r="R65" s="0" t="n">
        <v>85</v>
      </c>
      <c r="T65" s="0" t="n">
        <v>2026</v>
      </c>
      <c r="U65" s="0" t="n">
        <v>42232</v>
      </c>
      <c r="W65" s="0" t="n">
        <v>2026</v>
      </c>
      <c r="X65" s="0" t="n">
        <v>2502.038</v>
      </c>
    </row>
    <row r="66" customFormat="false" ht="15" hidden="false" customHeight="false" outlineLevel="0" collapsed="false">
      <c r="A66" s="0" t="n">
        <v>2026</v>
      </c>
      <c r="B66" s="0" t="n">
        <v>12.20240944</v>
      </c>
      <c r="C66" s="0" t="n">
        <v>256.2505983</v>
      </c>
      <c r="E66" s="0" t="n">
        <v>2026</v>
      </c>
      <c r="F66" s="0" t="n">
        <v>8.726214</v>
      </c>
      <c r="G66" s="0" t="n">
        <v>183.163666</v>
      </c>
      <c r="I66" s="0" t="n">
        <v>2026</v>
      </c>
      <c r="J66" s="0" t="n">
        <v>17</v>
      </c>
      <c r="K66" s="0" t="n">
        <v>357.28</v>
      </c>
      <c r="M66" s="0" t="n">
        <v>2026</v>
      </c>
      <c r="N66" s="0" t="n">
        <v>0.68</v>
      </c>
      <c r="O66" s="0" t="n">
        <v>14.18</v>
      </c>
      <c r="Q66" s="0" t="n">
        <v>2026</v>
      </c>
      <c r="R66" s="0" t="n">
        <v>85</v>
      </c>
      <c r="T66" s="0" t="n">
        <v>2026</v>
      </c>
      <c r="U66" s="0" t="n">
        <v>1306</v>
      </c>
      <c r="W66" s="0" t="n">
        <v>2026</v>
      </c>
      <c r="X66" s="0" t="n">
        <v>1933.393</v>
      </c>
    </row>
    <row r="67" customFormat="false" ht="15" hidden="false" customHeight="false" outlineLevel="0" collapsed="false">
      <c r="A67" s="0" t="n">
        <v>2026</v>
      </c>
      <c r="B67" s="0" t="n">
        <v>8.486052598</v>
      </c>
      <c r="C67" s="0" t="n">
        <v>178.2071046</v>
      </c>
      <c r="E67" s="0" t="n">
        <v>2026</v>
      </c>
      <c r="F67" s="0" t="n">
        <v>383.405954</v>
      </c>
      <c r="G67" s="0" t="n">
        <v>8046.899493</v>
      </c>
      <c r="I67" s="0" t="n">
        <v>2026</v>
      </c>
      <c r="J67" s="0" t="n">
        <v>17</v>
      </c>
      <c r="K67" s="0" t="n">
        <v>357.28</v>
      </c>
      <c r="M67" s="0" t="n">
        <v>2026</v>
      </c>
      <c r="N67" s="0" t="n">
        <v>2.28</v>
      </c>
      <c r="O67" s="0" t="n">
        <v>45.98</v>
      </c>
      <c r="Q67" s="0" t="n">
        <v>2026</v>
      </c>
      <c r="R67" s="0" t="n">
        <v>412</v>
      </c>
      <c r="T67" s="0" t="n">
        <v>2026</v>
      </c>
      <c r="U67" s="0" t="n">
        <v>351935</v>
      </c>
      <c r="W67" s="0" t="n">
        <v>2026</v>
      </c>
      <c r="X67" s="0" t="n">
        <v>40524.44</v>
      </c>
    </row>
    <row r="68" customFormat="false" ht="15" hidden="false" customHeight="false" outlineLevel="0" collapsed="false">
      <c r="A68" s="0" t="n">
        <v>2026</v>
      </c>
      <c r="B68" s="0" t="n">
        <v>6.312209628</v>
      </c>
      <c r="C68" s="0" t="n">
        <v>132.5564022</v>
      </c>
      <c r="E68" s="0" t="n">
        <v>2026</v>
      </c>
      <c r="F68" s="0" t="n">
        <v>102.948746</v>
      </c>
      <c r="G68" s="0" t="n">
        <v>2160.681657</v>
      </c>
      <c r="I68" s="0" t="n">
        <v>2026</v>
      </c>
      <c r="J68" s="0" t="n">
        <v>8.5</v>
      </c>
      <c r="K68" s="0" t="n">
        <v>178.64</v>
      </c>
      <c r="M68" s="0" t="n">
        <v>2026</v>
      </c>
      <c r="N68" s="0" t="n">
        <v>1.5</v>
      </c>
      <c r="O68" s="0" t="n">
        <v>30.25</v>
      </c>
      <c r="Q68" s="0" t="n">
        <v>2026</v>
      </c>
      <c r="R68" s="0" t="n">
        <v>392</v>
      </c>
      <c r="T68" s="0" t="n">
        <v>2026</v>
      </c>
      <c r="U68" s="0" t="n">
        <v>10885</v>
      </c>
      <c r="W68" s="0" t="n">
        <v>2026</v>
      </c>
      <c r="X68" s="0" t="n">
        <v>10131.11</v>
      </c>
    </row>
    <row r="69" customFormat="false" ht="15" hidden="false" customHeight="false" outlineLevel="0" collapsed="false">
      <c r="A69" s="0" t="n">
        <v>2026</v>
      </c>
      <c r="B69" s="0" t="n">
        <v>2.805426501</v>
      </c>
      <c r="C69" s="0" t="n">
        <v>58.91395653</v>
      </c>
      <c r="E69" s="0" t="n">
        <v>2026</v>
      </c>
      <c r="F69" s="0" t="n">
        <v>41.206802</v>
      </c>
      <c r="G69" s="0" t="n">
        <v>864.845709</v>
      </c>
      <c r="I69" s="0" t="n">
        <v>2026</v>
      </c>
      <c r="J69" s="0" t="n">
        <v>8.5</v>
      </c>
      <c r="K69" s="0" t="n">
        <v>178.64</v>
      </c>
      <c r="M69" s="0" t="n">
        <v>2026</v>
      </c>
      <c r="N69" s="0" t="n">
        <v>0.6</v>
      </c>
      <c r="O69" s="0" t="n">
        <v>12.1</v>
      </c>
      <c r="Q69" s="0" t="n">
        <v>2026</v>
      </c>
      <c r="R69" s="0" t="n">
        <v>186</v>
      </c>
      <c r="T69" s="0" t="n">
        <v>2026</v>
      </c>
      <c r="U69" s="0" t="n">
        <v>133735</v>
      </c>
      <c r="W69" s="0" t="n">
        <v>2026</v>
      </c>
      <c r="X69" s="0" t="n">
        <v>3137.376</v>
      </c>
    </row>
    <row r="70" customFormat="false" ht="15" hidden="false" customHeight="false" outlineLevel="0" collapsed="false">
      <c r="A70" s="0" t="n">
        <v>2026</v>
      </c>
      <c r="B70" s="0" t="n">
        <v>10.36206522</v>
      </c>
      <c r="C70" s="0" t="n">
        <v>217.6033696</v>
      </c>
      <c r="E70" s="0" t="n">
        <v>2026</v>
      </c>
      <c r="F70" s="0" t="n">
        <v>5.788214</v>
      </c>
      <c r="G70" s="0" t="n">
        <v>121.482663</v>
      </c>
      <c r="I70" s="0" t="n">
        <v>2026</v>
      </c>
      <c r="J70" s="0" t="n">
        <v>17</v>
      </c>
      <c r="K70" s="0" t="n">
        <v>357.28</v>
      </c>
      <c r="M70" s="0" t="n">
        <v>2026</v>
      </c>
      <c r="N70" s="0" t="n">
        <v>0.6</v>
      </c>
      <c r="O70" s="0" t="n">
        <v>12.1</v>
      </c>
      <c r="Q70" s="0" t="n">
        <v>2026</v>
      </c>
      <c r="R70" s="0" t="n">
        <v>41</v>
      </c>
      <c r="T70" s="0" t="n">
        <v>2026</v>
      </c>
      <c r="U70" s="0" t="n">
        <v>4136</v>
      </c>
      <c r="W70" s="0" t="n">
        <v>2026</v>
      </c>
      <c r="X70" s="0" t="n">
        <v>5555.77</v>
      </c>
    </row>
    <row r="71" customFormat="false" ht="15" hidden="false" customHeight="false" outlineLevel="0" collapsed="false">
      <c r="A71" s="0" t="n">
        <v>2026</v>
      </c>
      <c r="B71" s="0" t="n">
        <v>3.243688256</v>
      </c>
      <c r="C71" s="0" t="n">
        <v>68.11745337</v>
      </c>
      <c r="E71" s="0" t="n">
        <v>2026</v>
      </c>
      <c r="F71" s="0" t="n">
        <v>138.367334</v>
      </c>
      <c r="G71" s="0" t="n">
        <v>2904.044703</v>
      </c>
      <c r="I71" s="0" t="n">
        <v>2026</v>
      </c>
      <c r="J71" s="0" t="n">
        <v>29.75</v>
      </c>
      <c r="K71" s="0" t="n">
        <v>625.24</v>
      </c>
      <c r="M71" s="0" t="n">
        <v>2026</v>
      </c>
      <c r="N71" s="0" t="n">
        <v>0.36</v>
      </c>
      <c r="O71" s="0" t="n">
        <v>7.26</v>
      </c>
      <c r="Q71" s="0" t="n">
        <v>2026</v>
      </c>
      <c r="R71" s="0" t="n">
        <v>39</v>
      </c>
      <c r="T71" s="0" t="n">
        <v>2026</v>
      </c>
      <c r="U71" s="0" t="n">
        <v>154851</v>
      </c>
      <c r="W71" s="0" t="n">
        <v>2026</v>
      </c>
      <c r="X71" s="0" t="n">
        <v>2483.756</v>
      </c>
    </row>
    <row r="72" customFormat="false" ht="15" hidden="false" customHeight="false" outlineLevel="0" collapsed="false">
      <c r="A72" s="0" t="n">
        <v>2026</v>
      </c>
      <c r="B72" s="0" t="n">
        <v>7.252688715</v>
      </c>
      <c r="C72" s="0" t="n">
        <v>152.306463</v>
      </c>
      <c r="E72" s="0" t="n">
        <v>2026</v>
      </c>
      <c r="F72" s="0" t="n">
        <v>6.477518</v>
      </c>
      <c r="G72" s="0" t="n">
        <v>135.949731</v>
      </c>
      <c r="I72" s="0" t="n">
        <v>2026</v>
      </c>
      <c r="J72" s="0" t="n">
        <v>12.75</v>
      </c>
      <c r="K72" s="0" t="n">
        <v>267.96</v>
      </c>
      <c r="M72" s="0" t="n">
        <v>2026</v>
      </c>
      <c r="N72" s="0" t="n">
        <v>0.3</v>
      </c>
      <c r="O72" s="0" t="n">
        <v>6.05</v>
      </c>
      <c r="Q72" s="0" t="n">
        <v>2026</v>
      </c>
      <c r="R72" s="0" t="n">
        <v>39</v>
      </c>
      <c r="T72" s="0" t="n">
        <v>2026</v>
      </c>
      <c r="U72" s="0" t="n">
        <v>4789</v>
      </c>
      <c r="W72" s="0" t="n">
        <v>2026</v>
      </c>
      <c r="X72" s="0" t="n">
        <v>980.43</v>
      </c>
    </row>
    <row r="73" customFormat="false" ht="15" hidden="false" customHeight="false" outlineLevel="0" collapsed="false">
      <c r="A73" s="0" t="n">
        <v>2026</v>
      </c>
      <c r="B73" s="0" t="n">
        <v>216.835671</v>
      </c>
      <c r="C73" s="0" t="n">
        <v>4553.549091</v>
      </c>
      <c r="E73" s="0" t="n">
        <v>2026</v>
      </c>
      <c r="F73" s="0" t="n">
        <v>35.418588</v>
      </c>
      <c r="G73" s="0" t="n">
        <v>743.363046</v>
      </c>
      <c r="I73" s="0" t="n">
        <v>2026</v>
      </c>
      <c r="J73" s="0" t="n">
        <v>12.75</v>
      </c>
      <c r="K73" s="0" t="n">
        <v>267.96</v>
      </c>
      <c r="M73" s="0" t="n">
        <v>2026</v>
      </c>
      <c r="N73" s="0" t="n">
        <v>0.24</v>
      </c>
      <c r="O73" s="0" t="n">
        <v>4.84</v>
      </c>
      <c r="Q73" s="0" t="n">
        <v>2026</v>
      </c>
      <c r="R73" s="0" t="n">
        <v>54</v>
      </c>
      <c r="T73" s="0" t="n">
        <v>2026</v>
      </c>
      <c r="U73" s="0" t="n">
        <v>147812</v>
      </c>
      <c r="W73" s="0" t="n">
        <v>2026</v>
      </c>
      <c r="X73" s="0" t="n">
        <v>1437.964</v>
      </c>
    </row>
    <row r="74" customFormat="false" ht="15" hidden="false" customHeight="false" outlineLevel="0" collapsed="false">
      <c r="A74" s="0" t="n">
        <v>2026</v>
      </c>
      <c r="B74" s="0" t="n">
        <v>54.69236814</v>
      </c>
      <c r="C74" s="0" t="n">
        <v>1148.539731</v>
      </c>
      <c r="E74" s="0" t="n">
        <v>2026</v>
      </c>
      <c r="F74" s="0" t="n">
        <v>32.386844</v>
      </c>
      <c r="G74" s="0" t="n">
        <v>679.732998</v>
      </c>
      <c r="I74" s="0" t="n">
        <v>2026</v>
      </c>
      <c r="J74" s="0" t="n">
        <v>46.8</v>
      </c>
      <c r="K74" s="0" t="n">
        <v>986.44</v>
      </c>
      <c r="M74" s="0" t="n">
        <v>2026</v>
      </c>
      <c r="N74" s="0" t="n">
        <v>0.12</v>
      </c>
      <c r="O74" s="0" t="n">
        <v>2.42</v>
      </c>
      <c r="Q74" s="0" t="n">
        <v>2026</v>
      </c>
      <c r="R74" s="0" t="n">
        <v>51</v>
      </c>
      <c r="T74" s="0" t="n">
        <v>2026</v>
      </c>
      <c r="U74" s="0" t="n">
        <v>4572</v>
      </c>
      <c r="W74" s="0" t="n">
        <v>2026</v>
      </c>
      <c r="X74" s="0" t="n">
        <v>1111.154</v>
      </c>
    </row>
    <row r="75" customFormat="false" ht="15" hidden="false" customHeight="false" outlineLevel="0" collapsed="false">
      <c r="A75" s="0" t="n">
        <v>2026</v>
      </c>
      <c r="B75" s="0" t="n">
        <v>48.77222346</v>
      </c>
      <c r="C75" s="0" t="n">
        <v>1024.216693</v>
      </c>
      <c r="E75" s="0" t="n">
        <v>2026</v>
      </c>
      <c r="F75" s="0" t="n">
        <v>556.092818</v>
      </c>
      <c r="G75" s="0" t="n">
        <v>11670.23994</v>
      </c>
      <c r="I75" s="0" t="n">
        <v>2026</v>
      </c>
      <c r="J75" s="0" t="n">
        <v>7.2</v>
      </c>
      <c r="K75" s="0" t="n">
        <v>151.76</v>
      </c>
      <c r="M75" s="0" t="n">
        <v>2026</v>
      </c>
      <c r="N75" s="0" t="n">
        <v>10.26</v>
      </c>
      <c r="O75" s="0" t="n">
        <v>208.62</v>
      </c>
      <c r="Q75" s="0" t="n">
        <v>2026</v>
      </c>
      <c r="R75" s="0" t="n">
        <v>24</v>
      </c>
      <c r="T75" s="0" t="n">
        <v>2026</v>
      </c>
      <c r="U75" s="0" t="n">
        <v>140775</v>
      </c>
      <c r="W75" s="0" t="n">
        <v>2026</v>
      </c>
      <c r="X75" s="0" t="n">
        <v>125933.16</v>
      </c>
    </row>
    <row r="76" customFormat="false" ht="15" hidden="false" customHeight="false" outlineLevel="0" collapsed="false">
      <c r="A76" s="0" t="n">
        <v>2026</v>
      </c>
      <c r="B76" s="0" t="n">
        <v>33.91819096</v>
      </c>
      <c r="C76" s="0" t="n">
        <v>712.2820102</v>
      </c>
      <c r="E76" s="0" t="n">
        <v>2026</v>
      </c>
      <c r="F76" s="0" t="n">
        <v>149.317082</v>
      </c>
      <c r="G76" s="0" t="n">
        <v>3133.588707</v>
      </c>
      <c r="I76" s="0" t="n">
        <v>2026</v>
      </c>
      <c r="J76" s="0" t="n">
        <v>5.4</v>
      </c>
      <c r="K76" s="0" t="n">
        <v>113.82</v>
      </c>
      <c r="M76" s="0" t="n">
        <v>2026</v>
      </c>
      <c r="N76" s="0" t="n">
        <v>6.75</v>
      </c>
      <c r="O76" s="0" t="n">
        <v>137.25</v>
      </c>
      <c r="Q76" s="0" t="n">
        <v>2026</v>
      </c>
      <c r="R76" s="0" t="n">
        <v>5</v>
      </c>
      <c r="T76" s="0" t="n">
        <v>2026</v>
      </c>
      <c r="U76" s="0" t="n">
        <v>4354</v>
      </c>
      <c r="W76" s="0" t="n">
        <v>2026</v>
      </c>
      <c r="X76" s="0" t="n">
        <v>31483.29</v>
      </c>
    </row>
    <row r="77" customFormat="false" ht="15" hidden="false" customHeight="false" outlineLevel="0" collapsed="false">
      <c r="A77" s="0" t="n">
        <v>2026</v>
      </c>
      <c r="B77" s="0" t="n">
        <v>25.22948439</v>
      </c>
      <c r="C77" s="0" t="n">
        <v>529.8191721</v>
      </c>
      <c r="E77" s="0" t="n">
        <v>2026</v>
      </c>
      <c r="F77" s="0" t="n">
        <v>59.766434</v>
      </c>
      <c r="G77" s="0" t="n">
        <v>1254.266559</v>
      </c>
      <c r="I77" s="0" t="n">
        <v>2026</v>
      </c>
      <c r="J77" s="0" t="n">
        <v>9</v>
      </c>
      <c r="K77" s="0" t="n">
        <v>189.7</v>
      </c>
      <c r="M77" s="0" t="n">
        <v>2026</v>
      </c>
      <c r="N77" s="0" t="n">
        <v>2.7</v>
      </c>
      <c r="O77" s="0" t="n">
        <v>54.9</v>
      </c>
      <c r="Q77" s="0" t="n">
        <v>2026</v>
      </c>
      <c r="R77" s="0" t="n">
        <v>5</v>
      </c>
      <c r="T77" s="0" t="n">
        <v>2026</v>
      </c>
      <c r="U77" s="0" t="n">
        <v>105581</v>
      </c>
      <c r="W77" s="0" t="n">
        <v>2026</v>
      </c>
      <c r="X77" s="0" t="n">
        <v>9749.664</v>
      </c>
    </row>
    <row r="78" customFormat="false" ht="15" hidden="false" customHeight="false" outlineLevel="0" collapsed="false">
      <c r="A78" s="0" t="n">
        <v>2026</v>
      </c>
      <c r="B78" s="0" t="n">
        <v>11.21310417</v>
      </c>
      <c r="C78" s="0" t="n">
        <v>235.4751876</v>
      </c>
      <c r="E78" s="0" t="n">
        <v>2026</v>
      </c>
      <c r="F78" s="0" t="n">
        <v>8.395238</v>
      </c>
      <c r="G78" s="0" t="n">
        <v>176.183613</v>
      </c>
      <c r="I78" s="0" t="n">
        <v>2026</v>
      </c>
      <c r="J78" s="0" t="n">
        <v>1.8</v>
      </c>
      <c r="K78" s="0" t="n">
        <v>37.94</v>
      </c>
      <c r="M78" s="0" t="n">
        <v>2026</v>
      </c>
      <c r="N78" s="0" t="n">
        <v>2.7</v>
      </c>
      <c r="O78" s="0" t="n">
        <v>54.9</v>
      </c>
      <c r="Q78" s="0" t="n">
        <v>2026</v>
      </c>
      <c r="R78" s="0" t="n">
        <v>5</v>
      </c>
      <c r="T78" s="0" t="n">
        <v>2026</v>
      </c>
      <c r="U78" s="0" t="n">
        <v>3265</v>
      </c>
      <c r="W78" s="0" t="n">
        <v>2026</v>
      </c>
      <c r="X78" s="0" t="n">
        <v>17265.03</v>
      </c>
    </row>
    <row r="79" customFormat="false" ht="15" hidden="false" customHeight="false" outlineLevel="0" collapsed="false">
      <c r="A79" s="0" t="n">
        <v>2026</v>
      </c>
      <c r="B79" s="0" t="n">
        <v>41.41648933</v>
      </c>
      <c r="C79" s="0" t="n">
        <v>869.7462759</v>
      </c>
      <c r="E79" s="0" t="n">
        <v>2026</v>
      </c>
      <c r="F79" s="0" t="n">
        <v>200.688278</v>
      </c>
      <c r="G79" s="0" t="n">
        <v>4211.671653</v>
      </c>
      <c r="I79" s="0" t="n">
        <v>2026</v>
      </c>
      <c r="J79" s="0" t="n">
        <v>1.8</v>
      </c>
      <c r="K79" s="0" t="n">
        <v>37.94</v>
      </c>
      <c r="M79" s="0" t="n">
        <v>2026</v>
      </c>
      <c r="N79" s="0" t="n">
        <v>1.62</v>
      </c>
      <c r="O79" s="0" t="n">
        <v>32.94</v>
      </c>
      <c r="Q79" s="0" t="n">
        <v>2026</v>
      </c>
      <c r="R79" s="0" t="n">
        <v>448</v>
      </c>
      <c r="T79" s="0" t="n">
        <v>2026</v>
      </c>
      <c r="U79" s="0" t="n">
        <v>91504</v>
      </c>
      <c r="W79" s="0" t="n">
        <v>2026</v>
      </c>
      <c r="X79" s="0" t="n">
        <v>7718.484</v>
      </c>
    </row>
    <row r="80" customFormat="false" ht="15" hidden="false" customHeight="false" outlineLevel="0" collapsed="false">
      <c r="A80" s="0" t="n">
        <v>2026</v>
      </c>
      <c r="B80" s="0" t="n">
        <v>12.96480742</v>
      </c>
      <c r="C80" s="0" t="n">
        <v>272.2609558</v>
      </c>
      <c r="E80" s="0" t="n">
        <v>2026</v>
      </c>
      <c r="F80" s="0" t="n">
        <v>9.395006</v>
      </c>
      <c r="G80" s="0" t="n">
        <v>197.164881</v>
      </c>
      <c r="I80" s="0" t="n">
        <v>2026</v>
      </c>
      <c r="J80" s="0" t="n">
        <v>0</v>
      </c>
      <c r="K80" s="0" t="n">
        <v>0</v>
      </c>
      <c r="M80" s="0" t="n">
        <v>2026</v>
      </c>
      <c r="N80" s="0" t="n">
        <v>1.35</v>
      </c>
      <c r="O80" s="0" t="n">
        <v>27.45</v>
      </c>
      <c r="Q80" s="0" t="n">
        <v>2026</v>
      </c>
      <c r="R80" s="0" t="n">
        <v>426</v>
      </c>
      <c r="T80" s="0" t="n">
        <v>2026</v>
      </c>
      <c r="U80" s="0" t="n">
        <v>2830</v>
      </c>
      <c r="W80" s="0" t="n">
        <v>2026</v>
      </c>
      <c r="X80" s="0" t="n">
        <v>3046.77</v>
      </c>
    </row>
    <row r="81" customFormat="false" ht="15" hidden="false" customHeight="false" outlineLevel="0" collapsed="false">
      <c r="A81" s="0" t="n">
        <v>2026</v>
      </c>
      <c r="B81" s="0" t="n">
        <v>28.98851709</v>
      </c>
      <c r="C81" s="0" t="n">
        <v>608.7588589</v>
      </c>
      <c r="E81" s="0" t="n">
        <v>2026</v>
      </c>
      <c r="F81" s="0" t="n">
        <v>51.371196</v>
      </c>
      <c r="G81" s="0" t="n">
        <v>1078.082946</v>
      </c>
      <c r="I81" s="0" t="n">
        <v>2026</v>
      </c>
      <c r="J81" s="0" t="n">
        <v>3.6</v>
      </c>
      <c r="K81" s="0" t="n">
        <v>75.88</v>
      </c>
      <c r="M81" s="0" t="n">
        <v>2026</v>
      </c>
      <c r="N81" s="0" t="n">
        <v>1.08</v>
      </c>
      <c r="O81" s="0" t="n">
        <v>21.96</v>
      </c>
      <c r="Q81" s="0" t="n">
        <v>2026</v>
      </c>
      <c r="R81" s="0" t="n">
        <v>202</v>
      </c>
      <c r="T81" s="0" t="n">
        <v>2026</v>
      </c>
      <c r="U81" s="0" t="n">
        <v>77426</v>
      </c>
      <c r="W81" s="0" t="n">
        <v>2026</v>
      </c>
      <c r="X81" s="0" t="n">
        <v>4468.596</v>
      </c>
    </row>
    <row r="82" customFormat="false" ht="15" hidden="false" customHeight="false" outlineLevel="0" collapsed="false">
      <c r="A82" s="0" t="n">
        <v>2026</v>
      </c>
      <c r="B82" s="0" t="n">
        <v>276.5991463</v>
      </c>
      <c r="C82" s="0" t="n">
        <v>5808.582073</v>
      </c>
      <c r="E82" s="0" t="n">
        <v>2026</v>
      </c>
      <c r="F82" s="0" t="n">
        <v>46.973948</v>
      </c>
      <c r="G82" s="0" t="n">
        <v>985.801698</v>
      </c>
      <c r="I82" s="0" t="n">
        <v>2026</v>
      </c>
      <c r="J82" s="0" t="n">
        <v>6.3</v>
      </c>
      <c r="K82" s="0" t="n">
        <v>132.79</v>
      </c>
      <c r="M82" s="0" t="n">
        <v>2026</v>
      </c>
      <c r="N82" s="0" t="n">
        <v>0.54</v>
      </c>
      <c r="O82" s="0" t="n">
        <v>10.98</v>
      </c>
      <c r="Q82" s="0" t="n">
        <v>2026</v>
      </c>
      <c r="R82" s="0" t="n">
        <v>45</v>
      </c>
      <c r="T82" s="0" t="n">
        <v>2026</v>
      </c>
      <c r="U82" s="0" t="n">
        <v>2395</v>
      </c>
      <c r="W82" s="0" t="n">
        <v>2026</v>
      </c>
      <c r="X82" s="0" t="n">
        <v>3453.006</v>
      </c>
    </row>
    <row r="83" customFormat="false" ht="15" hidden="false" customHeight="false" outlineLevel="0" collapsed="false">
      <c r="A83" s="0" t="n">
        <v>2026</v>
      </c>
      <c r="B83" s="0" t="n">
        <v>69.76648385</v>
      </c>
      <c r="C83" s="0" t="n">
        <v>1465.096161</v>
      </c>
      <c r="E83" s="0" t="n">
        <v>2026</v>
      </c>
      <c r="F83" s="0" t="n">
        <v>355.652708</v>
      </c>
      <c r="G83" s="0" t="n">
        <v>7466.651072</v>
      </c>
      <c r="I83" s="0" t="n">
        <v>2026</v>
      </c>
      <c r="J83" s="0" t="n">
        <v>1.8</v>
      </c>
      <c r="K83" s="0" t="n">
        <v>37.94</v>
      </c>
      <c r="M83" s="0" t="n">
        <v>2026</v>
      </c>
      <c r="N83" s="0" t="n">
        <v>34.58</v>
      </c>
      <c r="O83" s="0" t="n">
        <v>725.8</v>
      </c>
      <c r="Q83" s="0" t="n">
        <v>2026</v>
      </c>
      <c r="R83" s="0" t="n">
        <v>43</v>
      </c>
      <c r="T83" s="0" t="n">
        <v>2026</v>
      </c>
      <c r="U83" s="0" t="n">
        <v>591252</v>
      </c>
      <c r="W83" s="0" t="n">
        <v>2026</v>
      </c>
      <c r="X83" s="0" t="n">
        <v>64222.7</v>
      </c>
    </row>
    <row r="84" customFormat="false" ht="15" hidden="false" customHeight="false" outlineLevel="0" collapsed="false">
      <c r="A84" s="0" t="n">
        <v>2026</v>
      </c>
      <c r="B84" s="0" t="n">
        <v>62.21464998</v>
      </c>
      <c r="C84" s="0" t="n">
        <v>1306.50765</v>
      </c>
      <c r="E84" s="0" t="n">
        <v>2026</v>
      </c>
      <c r="F84" s="0" t="n">
        <v>95.496692</v>
      </c>
      <c r="G84" s="0" t="n">
        <v>2004.878528</v>
      </c>
      <c r="I84" s="0" t="n">
        <v>2026</v>
      </c>
      <c r="J84" s="0" t="n">
        <v>6.3</v>
      </c>
      <c r="K84" s="0" t="n">
        <v>132.79</v>
      </c>
      <c r="M84" s="0" t="n">
        <v>2026</v>
      </c>
      <c r="N84" s="0" t="n">
        <v>22.75</v>
      </c>
      <c r="O84" s="0" t="n">
        <v>477.5</v>
      </c>
      <c r="Q84" s="0" t="n">
        <v>2026</v>
      </c>
      <c r="R84" s="0" t="n">
        <v>43</v>
      </c>
      <c r="T84" s="0" t="n">
        <v>2026</v>
      </c>
      <c r="U84" s="0" t="n">
        <v>18286</v>
      </c>
      <c r="W84" s="0" t="n">
        <v>2026</v>
      </c>
      <c r="X84" s="0" t="n">
        <v>16055.675</v>
      </c>
    </row>
    <row r="85" customFormat="false" ht="15" hidden="false" customHeight="false" outlineLevel="0" collapsed="false">
      <c r="A85" s="0" t="n">
        <v>2026</v>
      </c>
      <c r="B85" s="0" t="n">
        <v>43.26660195</v>
      </c>
      <c r="C85" s="0" t="n">
        <v>908.5986409</v>
      </c>
      <c r="E85" s="0" t="n">
        <v>2026</v>
      </c>
      <c r="F85" s="0" t="n">
        <v>38.224004</v>
      </c>
      <c r="G85" s="0" t="n">
        <v>802.483136</v>
      </c>
      <c r="I85" s="0" t="n">
        <v>2026</v>
      </c>
      <c r="J85" s="0" t="n">
        <v>912.96</v>
      </c>
      <c r="K85" s="0" t="n">
        <v>19170.24</v>
      </c>
      <c r="M85" s="0" t="n">
        <v>2026</v>
      </c>
      <c r="N85" s="0" t="n">
        <v>9.1</v>
      </c>
      <c r="O85" s="0" t="n">
        <v>191</v>
      </c>
      <c r="Q85" s="0" t="n">
        <v>2026</v>
      </c>
      <c r="R85" s="0" t="n">
        <v>730</v>
      </c>
      <c r="T85" s="0" t="n">
        <v>2026</v>
      </c>
      <c r="U85" s="0" t="n">
        <v>84465</v>
      </c>
      <c r="W85" s="0" t="n">
        <v>2026</v>
      </c>
      <c r="X85" s="0" t="n">
        <v>4972.08</v>
      </c>
    </row>
    <row r="86" customFormat="false" ht="15" hidden="false" customHeight="false" outlineLevel="0" collapsed="false">
      <c r="A86" s="0" t="n">
        <v>2026</v>
      </c>
      <c r="B86" s="0" t="n">
        <v>32.18314501</v>
      </c>
      <c r="C86" s="0" t="n">
        <v>675.8460453</v>
      </c>
      <c r="E86" s="0" t="n">
        <v>2026</v>
      </c>
      <c r="F86" s="0" t="n">
        <v>5.369228</v>
      </c>
      <c r="G86" s="0" t="n">
        <v>112.722752</v>
      </c>
      <c r="I86" s="0" t="n">
        <v>2026</v>
      </c>
      <c r="J86" s="0" t="n">
        <v>304.32</v>
      </c>
      <c r="K86" s="0" t="n">
        <v>6390.08</v>
      </c>
      <c r="M86" s="0" t="n">
        <v>2026</v>
      </c>
      <c r="N86" s="0" t="n">
        <v>9.1</v>
      </c>
      <c r="O86" s="0" t="n">
        <v>191</v>
      </c>
      <c r="Q86" s="0" t="n">
        <v>2026</v>
      </c>
      <c r="R86" s="0" t="n">
        <v>694</v>
      </c>
      <c r="T86" s="0" t="n">
        <v>2026</v>
      </c>
      <c r="U86" s="0" t="n">
        <v>2612</v>
      </c>
      <c r="W86" s="0" t="n">
        <v>2026</v>
      </c>
      <c r="X86" s="0" t="n">
        <v>8804.725</v>
      </c>
    </row>
    <row r="87" customFormat="false" ht="15" hidden="false" customHeight="false" outlineLevel="0" collapsed="false">
      <c r="A87" s="0" t="n">
        <v>2026</v>
      </c>
      <c r="B87" s="0" t="n">
        <v>14.30362001</v>
      </c>
      <c r="C87" s="0" t="n">
        <v>300.3760201</v>
      </c>
      <c r="E87" s="0" t="n">
        <v>2026</v>
      </c>
      <c r="F87" s="0" t="n">
        <v>128.351468</v>
      </c>
      <c r="G87" s="0" t="n">
        <v>2694.638912</v>
      </c>
      <c r="I87" s="0" t="n">
        <v>2026</v>
      </c>
      <c r="J87" s="0" t="n">
        <v>133.14</v>
      </c>
      <c r="K87" s="0" t="n">
        <v>2795.66</v>
      </c>
      <c r="M87" s="0" t="n">
        <v>2026</v>
      </c>
      <c r="N87" s="0" t="n">
        <v>5.46</v>
      </c>
      <c r="O87" s="0" t="n">
        <v>114.6</v>
      </c>
      <c r="Q87" s="0" t="n">
        <v>2026</v>
      </c>
      <c r="R87" s="0" t="n">
        <v>329</v>
      </c>
      <c r="T87" s="0" t="n">
        <v>2026</v>
      </c>
      <c r="U87" s="0" t="n">
        <v>42232</v>
      </c>
      <c r="W87" s="0" t="n">
        <v>2026</v>
      </c>
      <c r="X87" s="0" t="n">
        <v>3936.23</v>
      </c>
    </row>
    <row r="88" customFormat="false" ht="15" hidden="false" customHeight="false" outlineLevel="0" collapsed="false">
      <c r="A88" s="0" t="n">
        <v>2026</v>
      </c>
      <c r="B88" s="0" t="n">
        <v>52.83155461</v>
      </c>
      <c r="C88" s="0" t="n">
        <v>1109.462647</v>
      </c>
      <c r="E88" s="0" t="n">
        <v>2026</v>
      </c>
      <c r="F88" s="0" t="n">
        <v>6.008636</v>
      </c>
      <c r="G88" s="0" t="n">
        <v>126.146624</v>
      </c>
      <c r="I88" s="0" t="n">
        <v>2026</v>
      </c>
      <c r="J88" s="0" t="n">
        <v>76.08</v>
      </c>
      <c r="K88" s="0" t="n">
        <v>1597.52</v>
      </c>
      <c r="M88" s="0" t="n">
        <v>2026</v>
      </c>
      <c r="N88" s="0" t="n">
        <v>4.55</v>
      </c>
      <c r="O88" s="0" t="n">
        <v>95.5</v>
      </c>
      <c r="Q88" s="0" t="n">
        <v>2026</v>
      </c>
      <c r="R88" s="0" t="n">
        <v>73</v>
      </c>
      <c r="T88" s="0" t="n">
        <v>2026</v>
      </c>
      <c r="U88" s="0" t="n">
        <v>1306</v>
      </c>
      <c r="W88" s="0" t="n">
        <v>2026</v>
      </c>
      <c r="X88" s="0" t="n">
        <v>1553.775</v>
      </c>
    </row>
    <row r="89" customFormat="false" ht="15" hidden="false" customHeight="false" outlineLevel="0" collapsed="false">
      <c r="A89" s="0" t="n">
        <v>2026</v>
      </c>
      <c r="B89" s="0" t="n">
        <v>16.53812146</v>
      </c>
      <c r="C89" s="0" t="n">
        <v>347.3005507</v>
      </c>
      <c r="E89" s="0" t="n">
        <v>2026</v>
      </c>
      <c r="F89" s="0" t="n">
        <v>32.854776</v>
      </c>
      <c r="G89" s="0" t="n">
        <v>689.760384</v>
      </c>
      <c r="I89" s="0" t="n">
        <v>2026</v>
      </c>
      <c r="J89" s="0" t="n">
        <v>76.08</v>
      </c>
      <c r="K89" s="0" t="n">
        <v>1597.52</v>
      </c>
      <c r="M89" s="0" t="n">
        <v>2026</v>
      </c>
      <c r="N89" s="0" t="n">
        <v>3.64</v>
      </c>
      <c r="O89" s="0" t="n">
        <v>76.4</v>
      </c>
      <c r="Q89" s="0" t="n">
        <v>2026</v>
      </c>
      <c r="R89" s="0" t="n">
        <v>70</v>
      </c>
      <c r="T89" s="0" t="n">
        <v>2026</v>
      </c>
      <c r="U89" s="0" t="n">
        <v>175968</v>
      </c>
      <c r="W89" s="0" t="n">
        <v>2026</v>
      </c>
      <c r="X89" s="0" t="n">
        <v>2278.87</v>
      </c>
    </row>
    <row r="90" customFormat="false" ht="15" hidden="false" customHeight="false" outlineLevel="0" collapsed="false">
      <c r="A90" s="0" t="n">
        <v>2026</v>
      </c>
      <c r="B90" s="0" t="n">
        <v>36.97822893</v>
      </c>
      <c r="C90" s="0" t="n">
        <v>776.5428075</v>
      </c>
      <c r="E90" s="0" t="n">
        <v>2026</v>
      </c>
      <c r="F90" s="0" t="n">
        <v>30.042488</v>
      </c>
      <c r="G90" s="0" t="n">
        <v>630.718592</v>
      </c>
      <c r="I90" s="0" t="n">
        <v>2026</v>
      </c>
      <c r="J90" s="0" t="n">
        <v>38.04</v>
      </c>
      <c r="K90" s="0" t="n">
        <v>798.76</v>
      </c>
      <c r="M90" s="0" t="n">
        <v>2026</v>
      </c>
      <c r="N90" s="0" t="n">
        <v>1.82</v>
      </c>
      <c r="O90" s="0" t="n">
        <v>38.2</v>
      </c>
      <c r="Q90" s="0" t="n">
        <v>2026</v>
      </c>
      <c r="R90" s="0" t="n">
        <v>70</v>
      </c>
      <c r="T90" s="0" t="n">
        <v>2026</v>
      </c>
      <c r="U90" s="0" t="n">
        <v>5442</v>
      </c>
      <c r="W90" s="0" t="n">
        <v>2026</v>
      </c>
      <c r="X90" s="0" t="n">
        <v>1760.945</v>
      </c>
    </row>
    <row r="91" customFormat="false" ht="15" hidden="false" customHeight="false" outlineLevel="0" collapsed="false">
      <c r="A91" s="0" t="n">
        <v>2026</v>
      </c>
      <c r="B91" s="0" t="n">
        <v>272.2980771</v>
      </c>
      <c r="C91" s="0" t="n">
        <v>5718.25962</v>
      </c>
      <c r="E91" s="0" t="n">
        <v>2026</v>
      </c>
      <c r="F91" s="0" t="n">
        <v>1973.56416</v>
      </c>
      <c r="G91" s="0" t="n">
        <v>41436.62418</v>
      </c>
      <c r="I91" s="0" t="n">
        <v>2026</v>
      </c>
      <c r="J91" s="0" t="n">
        <v>38.04</v>
      </c>
      <c r="K91" s="0" t="n">
        <v>798.76</v>
      </c>
      <c r="M91" s="0" t="n">
        <v>2026</v>
      </c>
      <c r="N91" s="0" t="n">
        <v>1480.48</v>
      </c>
      <c r="O91" s="0" t="n">
        <v>31088.56</v>
      </c>
      <c r="Q91" s="0" t="n">
        <v>2026</v>
      </c>
      <c r="R91" s="0" t="n">
        <v>326</v>
      </c>
      <c r="T91" s="0" t="n">
        <v>2027</v>
      </c>
      <c r="U91" s="0" t="n">
        <v>198439</v>
      </c>
      <c r="W91" s="0" t="n">
        <v>2026</v>
      </c>
      <c r="X91" s="0" t="n">
        <v>8452.46</v>
      </c>
    </row>
    <row r="92" customFormat="false" ht="15" hidden="false" customHeight="false" outlineLevel="0" collapsed="false">
      <c r="A92" s="0" t="n">
        <v>2026</v>
      </c>
      <c r="B92" s="0" t="n">
        <v>68.68162702</v>
      </c>
      <c r="C92" s="0" t="n">
        <v>1442.314167</v>
      </c>
      <c r="E92" s="0" t="n">
        <v>2026</v>
      </c>
      <c r="F92" s="0" t="n">
        <v>529.92384</v>
      </c>
      <c r="G92" s="0" t="n">
        <v>11126.19262</v>
      </c>
      <c r="I92" s="0" t="n">
        <v>2026</v>
      </c>
      <c r="J92" s="0" t="n">
        <v>76.08</v>
      </c>
      <c r="K92" s="0" t="n">
        <v>1597.52</v>
      </c>
      <c r="M92" s="0" t="n">
        <v>2026</v>
      </c>
      <c r="N92" s="0" t="n">
        <v>974</v>
      </c>
      <c r="O92" s="0" t="n">
        <v>20453</v>
      </c>
      <c r="Q92" s="0" t="n">
        <v>2026</v>
      </c>
      <c r="R92" s="0" t="n">
        <v>309</v>
      </c>
      <c r="T92" s="0" t="n">
        <v>2027</v>
      </c>
      <c r="U92" s="0" t="n">
        <v>6138</v>
      </c>
      <c r="W92" s="0" t="n">
        <v>2026</v>
      </c>
      <c r="X92" s="0" t="n">
        <v>2113.115</v>
      </c>
    </row>
    <row r="93" customFormat="false" ht="15" hidden="false" customHeight="false" outlineLevel="0" collapsed="false">
      <c r="A93" s="0" t="n">
        <v>2026</v>
      </c>
      <c r="B93" s="0" t="n">
        <v>61.24722287</v>
      </c>
      <c r="C93" s="0" t="n">
        <v>1286.19168</v>
      </c>
      <c r="E93" s="0" t="n">
        <v>2026</v>
      </c>
      <c r="F93" s="0" t="n">
        <v>212.11008</v>
      </c>
      <c r="G93" s="0" t="n">
        <v>4453.427888</v>
      </c>
      <c r="I93" s="0" t="n">
        <v>2026</v>
      </c>
      <c r="J93" s="0" t="n">
        <v>133.14</v>
      </c>
      <c r="K93" s="0" t="n">
        <v>2795.66</v>
      </c>
      <c r="M93" s="0" t="n">
        <v>2026</v>
      </c>
      <c r="N93" s="0" t="n">
        <v>389.6</v>
      </c>
      <c r="O93" s="0" t="n">
        <v>8181.2</v>
      </c>
      <c r="Q93" s="0" t="n">
        <v>2026</v>
      </c>
      <c r="R93" s="0" t="n">
        <v>147</v>
      </c>
      <c r="T93" s="0" t="n">
        <v>2027</v>
      </c>
      <c r="U93" s="0" t="n">
        <v>383323</v>
      </c>
      <c r="W93" s="0" t="n">
        <v>2026</v>
      </c>
      <c r="X93" s="0" t="n">
        <v>654.384</v>
      </c>
    </row>
    <row r="94" customFormat="false" ht="15" hidden="false" customHeight="false" outlineLevel="0" collapsed="false">
      <c r="A94" s="0" t="n">
        <v>2026</v>
      </c>
      <c r="B94" s="0" t="n">
        <v>42.59381372</v>
      </c>
      <c r="C94" s="0" t="n">
        <v>894.4700881</v>
      </c>
      <c r="E94" s="0" t="n">
        <v>2026</v>
      </c>
      <c r="F94" s="0" t="n">
        <v>29.79456</v>
      </c>
      <c r="G94" s="0" t="n">
        <v>625.561616</v>
      </c>
      <c r="I94" s="0" t="n">
        <v>2026</v>
      </c>
      <c r="J94" s="0" t="n">
        <v>57.06</v>
      </c>
      <c r="K94" s="0" t="n">
        <v>1198.14</v>
      </c>
      <c r="M94" s="0" t="n">
        <v>2026</v>
      </c>
      <c r="N94" s="0" t="n">
        <v>389.6</v>
      </c>
      <c r="O94" s="0" t="n">
        <v>8181.2</v>
      </c>
      <c r="Q94" s="0" t="n">
        <v>2026</v>
      </c>
      <c r="R94" s="0" t="n">
        <v>33</v>
      </c>
      <c r="T94" s="0" t="n">
        <v>2027</v>
      </c>
      <c r="U94" s="0" t="n">
        <v>11856</v>
      </c>
      <c r="W94" s="0" t="n">
        <v>2026</v>
      </c>
      <c r="X94" s="0" t="n">
        <v>1158.805</v>
      </c>
    </row>
    <row r="95" customFormat="false" ht="15" hidden="false" customHeight="false" outlineLevel="0" collapsed="false">
      <c r="A95" s="0" t="n">
        <v>2026</v>
      </c>
      <c r="B95" s="0" t="n">
        <v>31.68270264</v>
      </c>
      <c r="C95" s="0" t="n">
        <v>665.3367554</v>
      </c>
      <c r="E95" s="0" t="n">
        <v>2026</v>
      </c>
      <c r="F95" s="0" t="n">
        <v>712.23936</v>
      </c>
      <c r="G95" s="0" t="n">
        <v>14954.0589</v>
      </c>
      <c r="I95" s="0" t="n">
        <v>2026</v>
      </c>
      <c r="J95" s="0" t="n">
        <v>57.06</v>
      </c>
      <c r="K95" s="0" t="n">
        <v>1198.14</v>
      </c>
      <c r="M95" s="0" t="n">
        <v>2026</v>
      </c>
      <c r="N95" s="0" t="n">
        <v>233.76</v>
      </c>
      <c r="O95" s="0" t="n">
        <v>4908.72</v>
      </c>
      <c r="Q95" s="0" t="n">
        <v>2026</v>
      </c>
      <c r="R95" s="0" t="n">
        <v>30</v>
      </c>
      <c r="T95" s="0" t="n">
        <v>2027</v>
      </c>
      <c r="U95" s="0" t="n">
        <v>189763</v>
      </c>
      <c r="W95" s="0" t="n">
        <v>2026</v>
      </c>
      <c r="X95" s="0" t="n">
        <v>518.054</v>
      </c>
    </row>
    <row r="96" customFormat="false" ht="15" hidden="false" customHeight="false" outlineLevel="0" collapsed="false">
      <c r="A96" s="0" t="n">
        <v>2026</v>
      </c>
      <c r="B96" s="0" t="n">
        <v>14.08120117</v>
      </c>
      <c r="C96" s="0" t="n">
        <v>295.7052246</v>
      </c>
      <c r="E96" s="0" t="n">
        <v>2026</v>
      </c>
      <c r="F96" s="0" t="n">
        <v>33.34272</v>
      </c>
      <c r="G96" s="0" t="n">
        <v>700.058192</v>
      </c>
      <c r="I96" s="0" t="n">
        <v>2026</v>
      </c>
      <c r="J96" s="0" t="n">
        <v>59.28</v>
      </c>
      <c r="K96" s="0" t="n">
        <v>1243.84</v>
      </c>
      <c r="M96" s="0" t="n">
        <v>2026</v>
      </c>
      <c r="N96" s="0" t="n">
        <v>194.8</v>
      </c>
      <c r="O96" s="0" t="n">
        <v>4090.6</v>
      </c>
      <c r="Q96" s="0" t="n">
        <v>2026</v>
      </c>
      <c r="R96" s="0" t="n">
        <v>30</v>
      </c>
      <c r="T96" s="0" t="n">
        <v>2027</v>
      </c>
      <c r="U96" s="0" t="n">
        <v>5869</v>
      </c>
      <c r="W96" s="0" t="n">
        <v>2026</v>
      </c>
      <c r="X96" s="0" t="n">
        <v>204.495</v>
      </c>
    </row>
    <row r="97" customFormat="false" ht="15" hidden="false" customHeight="false" outlineLevel="0" collapsed="false">
      <c r="A97" s="0" t="n">
        <v>2026</v>
      </c>
      <c r="B97" s="0" t="n">
        <v>52.01003301</v>
      </c>
      <c r="C97" s="0" t="n">
        <v>1092.210693</v>
      </c>
      <c r="E97" s="0" t="n">
        <v>2026</v>
      </c>
      <c r="F97" s="0" t="n">
        <v>182.31552</v>
      </c>
      <c r="G97" s="0" t="n">
        <v>3827.866272</v>
      </c>
      <c r="I97" s="0" t="n">
        <v>2026</v>
      </c>
      <c r="J97" s="0" t="n">
        <v>9.12</v>
      </c>
      <c r="K97" s="0" t="n">
        <v>191.36</v>
      </c>
      <c r="M97" s="0" t="n">
        <v>2026</v>
      </c>
      <c r="N97" s="0" t="n">
        <v>155.84</v>
      </c>
      <c r="O97" s="0" t="n">
        <v>3272.48</v>
      </c>
      <c r="Q97" s="0" t="n">
        <v>2026</v>
      </c>
      <c r="R97" s="0" t="n">
        <v>813</v>
      </c>
      <c r="T97" s="0" t="n">
        <v>2027</v>
      </c>
      <c r="U97" s="0" t="n">
        <v>244795</v>
      </c>
      <c r="W97" s="0" t="n">
        <v>2026</v>
      </c>
      <c r="X97" s="0" t="n">
        <v>299.926</v>
      </c>
    </row>
    <row r="98" customFormat="false" ht="15" hidden="false" customHeight="false" outlineLevel="0" collapsed="false">
      <c r="A98" s="0" t="n">
        <v>2026</v>
      </c>
      <c r="B98" s="0" t="n">
        <v>16.28095651</v>
      </c>
      <c r="C98" s="0" t="n">
        <v>341.9000868</v>
      </c>
      <c r="E98" s="0" t="n">
        <v>2026</v>
      </c>
      <c r="F98" s="0" t="n">
        <v>166.70976</v>
      </c>
      <c r="G98" s="0" t="n">
        <v>3500.210336</v>
      </c>
      <c r="I98" s="0" t="n">
        <v>2026</v>
      </c>
      <c r="J98" s="0" t="n">
        <v>6.84</v>
      </c>
      <c r="K98" s="0" t="n">
        <v>143.52</v>
      </c>
      <c r="M98" s="0" t="n">
        <v>2026</v>
      </c>
      <c r="N98" s="0" t="n">
        <v>77.92</v>
      </c>
      <c r="O98" s="0" t="n">
        <v>1636.24</v>
      </c>
      <c r="Q98" s="0" t="n">
        <v>2026</v>
      </c>
      <c r="R98" s="0" t="n">
        <v>772</v>
      </c>
      <c r="T98" s="0" t="n">
        <v>2027</v>
      </c>
      <c r="U98" s="0" t="n">
        <v>7571</v>
      </c>
      <c r="W98" s="0" t="n">
        <v>2026</v>
      </c>
      <c r="X98" s="0" t="n">
        <v>231.761</v>
      </c>
    </row>
    <row r="99" customFormat="false" ht="15" hidden="false" customHeight="false" outlineLevel="0" collapsed="false">
      <c r="A99" s="0" t="n">
        <v>2026</v>
      </c>
      <c r="B99" s="0" t="n">
        <v>36.40322382</v>
      </c>
      <c r="C99" s="0" t="n">
        <v>764.4677002</v>
      </c>
      <c r="E99" s="0" t="n">
        <v>2026</v>
      </c>
      <c r="F99" s="0" t="n">
        <v>249.265265</v>
      </c>
      <c r="G99" s="0" t="n">
        <v>5227.375279</v>
      </c>
      <c r="I99" s="0" t="n">
        <v>2026</v>
      </c>
      <c r="J99" s="0" t="n">
        <v>11.4</v>
      </c>
      <c r="K99" s="0" t="n">
        <v>239.2</v>
      </c>
      <c r="M99" s="0" t="n">
        <v>2026</v>
      </c>
      <c r="N99" s="0" t="n">
        <v>215.08</v>
      </c>
      <c r="O99" s="0" t="n">
        <v>4511.36</v>
      </c>
      <c r="Q99" s="0" t="n">
        <v>2026</v>
      </c>
      <c r="R99" s="0" t="n">
        <v>366</v>
      </c>
      <c r="T99" s="0" t="n">
        <v>2027</v>
      </c>
      <c r="U99" s="0" t="n">
        <v>278681</v>
      </c>
      <c r="W99" s="0" t="n">
        <v>2026</v>
      </c>
      <c r="X99" s="0" t="n">
        <v>65920.26</v>
      </c>
    </row>
    <row r="100" customFormat="false" ht="15" hidden="false" customHeight="false" outlineLevel="0" collapsed="false">
      <c r="A100" s="0" t="n">
        <v>2026</v>
      </c>
      <c r="B100" s="0" t="n">
        <v>1022.941585</v>
      </c>
      <c r="C100" s="0" t="n">
        <v>21481.77329</v>
      </c>
      <c r="E100" s="0" t="n">
        <v>2026</v>
      </c>
      <c r="F100" s="0" t="n">
        <v>66.930485</v>
      </c>
      <c r="G100" s="0" t="n">
        <v>1403.608171</v>
      </c>
      <c r="I100" s="0" t="n">
        <v>2026</v>
      </c>
      <c r="J100" s="0" t="n">
        <v>2.28</v>
      </c>
      <c r="K100" s="0" t="n">
        <v>47.84</v>
      </c>
      <c r="M100" s="0" t="n">
        <v>2026</v>
      </c>
      <c r="N100" s="0" t="n">
        <v>141.5</v>
      </c>
      <c r="O100" s="0" t="n">
        <v>2968</v>
      </c>
      <c r="Q100" s="0" t="n">
        <v>2026</v>
      </c>
      <c r="R100" s="0" t="n">
        <v>81</v>
      </c>
      <c r="T100" s="0" t="n">
        <v>2027</v>
      </c>
      <c r="U100" s="0" t="n">
        <v>8619</v>
      </c>
      <c r="W100" s="0" t="n">
        <v>2026</v>
      </c>
      <c r="X100" s="0" t="n">
        <v>16480.065</v>
      </c>
    </row>
    <row r="101" customFormat="false" ht="15" hidden="false" customHeight="false" outlineLevel="0" collapsed="false">
      <c r="A101" s="0" t="n">
        <v>2026</v>
      </c>
      <c r="B101" s="0" t="n">
        <v>258.0161166</v>
      </c>
      <c r="C101" s="0" t="n">
        <v>5418.338448</v>
      </c>
      <c r="E101" s="0" t="n">
        <v>2026</v>
      </c>
      <c r="F101" s="0" t="n">
        <v>26.789945</v>
      </c>
      <c r="G101" s="0" t="n">
        <v>561.815527</v>
      </c>
      <c r="I101" s="0" t="n">
        <v>2026</v>
      </c>
      <c r="J101" s="0" t="n">
        <v>2.28</v>
      </c>
      <c r="K101" s="0" t="n">
        <v>47.84</v>
      </c>
      <c r="M101" s="0" t="n">
        <v>2026</v>
      </c>
      <c r="N101" s="0" t="n">
        <v>56.6</v>
      </c>
      <c r="O101" s="0" t="n">
        <v>1187.2</v>
      </c>
      <c r="Q101" s="0" t="n">
        <v>2026</v>
      </c>
      <c r="R101" s="0" t="n">
        <v>78</v>
      </c>
      <c r="T101" s="0" t="n">
        <v>2027</v>
      </c>
      <c r="U101" s="0" t="n">
        <v>82141</v>
      </c>
      <c r="W101" s="0" t="n">
        <v>2026</v>
      </c>
      <c r="X101" s="0" t="n">
        <v>5103.504</v>
      </c>
    </row>
    <row r="102" customFormat="false" ht="15" hidden="false" customHeight="false" outlineLevel="0" collapsed="false">
      <c r="A102" s="0" t="n">
        <v>2026</v>
      </c>
      <c r="B102" s="0" t="n">
        <v>230.0873069</v>
      </c>
      <c r="C102" s="0" t="n">
        <v>4831.833445</v>
      </c>
      <c r="E102" s="0" t="n">
        <v>2026</v>
      </c>
      <c r="F102" s="0" t="n">
        <v>3.763115</v>
      </c>
      <c r="G102" s="0" t="n">
        <v>78.916789</v>
      </c>
      <c r="I102" s="0" t="n">
        <v>2026</v>
      </c>
      <c r="J102" s="0" t="n">
        <v>0</v>
      </c>
      <c r="K102" s="0" t="n">
        <v>0</v>
      </c>
      <c r="M102" s="0" t="n">
        <v>2026</v>
      </c>
      <c r="N102" s="0" t="n">
        <v>56.6</v>
      </c>
      <c r="O102" s="0" t="n">
        <v>1187.2</v>
      </c>
      <c r="Q102" s="0" t="n">
        <v>2026</v>
      </c>
      <c r="R102" s="0" t="n">
        <v>78</v>
      </c>
      <c r="T102" s="0" t="n">
        <v>2027</v>
      </c>
      <c r="U102" s="0" t="n">
        <v>2541</v>
      </c>
      <c r="W102" s="0" t="n">
        <v>2026</v>
      </c>
      <c r="X102" s="0" t="n">
        <v>9037.455</v>
      </c>
    </row>
    <row r="103" customFormat="false" ht="15" hidden="false" customHeight="false" outlineLevel="0" collapsed="false">
      <c r="A103" s="0" t="n">
        <v>2026</v>
      </c>
      <c r="B103" s="0" t="n">
        <v>160.012086</v>
      </c>
      <c r="C103" s="0" t="n">
        <v>3360.253805</v>
      </c>
      <c r="E103" s="0" t="n">
        <v>2026</v>
      </c>
      <c r="F103" s="0" t="n">
        <v>89.957315</v>
      </c>
      <c r="G103" s="0" t="n">
        <v>1886.506909</v>
      </c>
      <c r="I103" s="0" t="n">
        <v>2026</v>
      </c>
      <c r="J103" s="0" t="n">
        <v>4.56</v>
      </c>
      <c r="K103" s="0" t="n">
        <v>95.68</v>
      </c>
      <c r="M103" s="0" t="n">
        <v>2026</v>
      </c>
      <c r="N103" s="0" t="n">
        <v>33.96</v>
      </c>
      <c r="O103" s="0" t="n">
        <v>712.32</v>
      </c>
      <c r="Q103" s="0" t="n">
        <v>2026</v>
      </c>
      <c r="R103" s="0" t="n">
        <v>54</v>
      </c>
      <c r="T103" s="0" t="n">
        <v>2027</v>
      </c>
      <c r="U103" s="0" t="n">
        <v>255367</v>
      </c>
      <c r="W103" s="0" t="n">
        <v>2026</v>
      </c>
      <c r="X103" s="0" t="n">
        <v>4040.274</v>
      </c>
    </row>
    <row r="104" customFormat="false" ht="15" hidden="false" customHeight="false" outlineLevel="0" collapsed="false">
      <c r="A104" s="0" t="n">
        <v>2026</v>
      </c>
      <c r="B104" s="0" t="n">
        <v>119.0223391</v>
      </c>
      <c r="C104" s="0" t="n">
        <v>2499.46912</v>
      </c>
      <c r="E104" s="0" t="n">
        <v>2026</v>
      </c>
      <c r="F104" s="0" t="n">
        <v>4.211255</v>
      </c>
      <c r="G104" s="0" t="n">
        <v>88.314793</v>
      </c>
      <c r="I104" s="0" t="n">
        <v>2026</v>
      </c>
      <c r="J104" s="0" t="n">
        <v>7.98</v>
      </c>
      <c r="K104" s="0" t="n">
        <v>167.44</v>
      </c>
      <c r="M104" s="0" t="n">
        <v>2026</v>
      </c>
      <c r="N104" s="0" t="n">
        <v>28.3</v>
      </c>
      <c r="O104" s="0" t="n">
        <v>593.6</v>
      </c>
      <c r="Q104" s="0" t="n">
        <v>2026</v>
      </c>
      <c r="R104" s="0" t="n">
        <v>52</v>
      </c>
      <c r="T104" s="0" t="n">
        <v>2027</v>
      </c>
      <c r="U104" s="0" t="n">
        <v>7898</v>
      </c>
      <c r="W104" s="0" t="n">
        <v>2026</v>
      </c>
      <c r="X104" s="0" t="n">
        <v>1594.845</v>
      </c>
    </row>
    <row r="105" customFormat="false" ht="15" hidden="false" customHeight="false" outlineLevel="0" collapsed="false">
      <c r="A105" s="0" t="n">
        <v>2026</v>
      </c>
      <c r="B105" s="0" t="n">
        <v>52.89881736</v>
      </c>
      <c r="C105" s="0" t="n">
        <v>1110.875164</v>
      </c>
      <c r="E105" s="0" t="n">
        <v>2026</v>
      </c>
      <c r="F105" s="0" t="n">
        <v>23.02683</v>
      </c>
      <c r="G105" s="0" t="n">
        <v>482.898738</v>
      </c>
      <c r="I105" s="0" t="n">
        <v>2026</v>
      </c>
      <c r="J105" s="0" t="n">
        <v>2.28</v>
      </c>
      <c r="K105" s="0" t="n">
        <v>47.84</v>
      </c>
      <c r="M105" s="0" t="n">
        <v>2026</v>
      </c>
      <c r="N105" s="0" t="n">
        <v>22.64</v>
      </c>
      <c r="O105" s="0" t="n">
        <v>474.88</v>
      </c>
      <c r="Q105" s="0" t="n">
        <v>2026</v>
      </c>
      <c r="R105" s="0" t="n">
        <v>24</v>
      </c>
      <c r="T105" s="0" t="n">
        <v>2027</v>
      </c>
      <c r="U105" s="0" t="n">
        <v>334255</v>
      </c>
      <c r="W105" s="0" t="n">
        <v>2026</v>
      </c>
      <c r="X105" s="0" t="n">
        <v>2339.106</v>
      </c>
    </row>
    <row r="106" customFormat="false" ht="15" hidden="false" customHeight="false" outlineLevel="0" collapsed="false">
      <c r="A106" s="0" t="n">
        <v>2026</v>
      </c>
      <c r="B106" s="0" t="n">
        <v>195.3859762</v>
      </c>
      <c r="C106" s="0" t="n">
        <v>4103.1055</v>
      </c>
      <c r="E106" s="0" t="n">
        <v>2026</v>
      </c>
      <c r="F106" s="0" t="n">
        <v>21.05579</v>
      </c>
      <c r="G106" s="0" t="n">
        <v>441.563794</v>
      </c>
      <c r="I106" s="0" t="n">
        <v>2026</v>
      </c>
      <c r="J106" s="0" t="n">
        <v>7.98</v>
      </c>
      <c r="K106" s="0" t="n">
        <v>167.44</v>
      </c>
      <c r="M106" s="0" t="n">
        <v>2026</v>
      </c>
      <c r="N106" s="0" t="n">
        <v>11.32</v>
      </c>
      <c r="O106" s="0" t="n">
        <v>237.44</v>
      </c>
      <c r="Q106" s="0" t="n">
        <v>2026</v>
      </c>
      <c r="R106" s="0" t="n">
        <v>5</v>
      </c>
      <c r="T106" s="0" t="n">
        <v>2027</v>
      </c>
      <c r="U106" s="0" t="n">
        <v>10338</v>
      </c>
      <c r="W106" s="0" t="n">
        <v>2026</v>
      </c>
      <c r="X106" s="0" t="n">
        <v>1807.491</v>
      </c>
    </row>
    <row r="107" customFormat="false" ht="15" hidden="false" customHeight="false" outlineLevel="0" collapsed="false">
      <c r="A107" s="0" t="n">
        <v>2026</v>
      </c>
      <c r="B107" s="0" t="n">
        <v>61.16263339</v>
      </c>
      <c r="C107" s="0" t="n">
        <v>1284.415301</v>
      </c>
      <c r="E107" s="0" t="n">
        <v>2026</v>
      </c>
      <c r="F107" s="0" t="n">
        <v>163.949731</v>
      </c>
      <c r="G107" s="0" t="n">
        <v>3441.916453</v>
      </c>
      <c r="I107" s="0" t="n">
        <v>2026</v>
      </c>
      <c r="J107" s="0" t="n">
        <v>152.16</v>
      </c>
      <c r="K107" s="0" t="n">
        <v>3196.32</v>
      </c>
      <c r="M107" s="0" t="n">
        <v>2026</v>
      </c>
      <c r="N107" s="0" t="n">
        <v>257.64</v>
      </c>
      <c r="O107" s="0" t="n">
        <v>5407.78</v>
      </c>
      <c r="Q107" s="0" t="n">
        <v>2026</v>
      </c>
      <c r="R107" s="0" t="n">
        <v>5</v>
      </c>
      <c r="T107" s="0" t="n">
        <v>2027</v>
      </c>
      <c r="U107" s="0" t="n">
        <v>292508</v>
      </c>
      <c r="W107" s="0" t="n">
        <v>2026</v>
      </c>
      <c r="X107" s="0" t="n">
        <v>113390.56</v>
      </c>
    </row>
    <row r="108" customFormat="false" ht="15" hidden="false" customHeight="false" outlineLevel="0" collapsed="false">
      <c r="A108" s="0" t="n">
        <v>2026</v>
      </c>
      <c r="B108" s="0" t="n">
        <v>136.7559106</v>
      </c>
      <c r="C108" s="0" t="n">
        <v>2871.874122</v>
      </c>
      <c r="E108" s="0" t="n">
        <v>2026</v>
      </c>
      <c r="F108" s="0" t="n">
        <v>44.022319</v>
      </c>
      <c r="G108" s="0" t="n">
        <v>924.192697</v>
      </c>
      <c r="I108" s="0" t="n">
        <v>2026</v>
      </c>
      <c r="J108" s="0" t="n">
        <v>50.72</v>
      </c>
      <c r="K108" s="0" t="n">
        <v>1065.44</v>
      </c>
      <c r="M108" s="0" t="n">
        <v>2026</v>
      </c>
      <c r="N108" s="0" t="n">
        <v>169.5</v>
      </c>
      <c r="O108" s="0" t="n">
        <v>3557.75</v>
      </c>
      <c r="Q108" s="0" t="n">
        <v>2026</v>
      </c>
      <c r="R108" s="0" t="n">
        <v>5</v>
      </c>
      <c r="T108" s="0" t="n">
        <v>2027</v>
      </c>
      <c r="U108" s="0" t="n">
        <v>9046</v>
      </c>
      <c r="W108" s="0" t="n">
        <v>2026</v>
      </c>
      <c r="X108" s="0" t="n">
        <v>28347.64</v>
      </c>
    </row>
    <row r="109" customFormat="false" ht="15" hidden="false" customHeight="false" outlineLevel="0" collapsed="false">
      <c r="A109" s="0" t="n">
        <v>2026</v>
      </c>
      <c r="B109" s="0" t="n">
        <v>283.9418556</v>
      </c>
      <c r="C109" s="0" t="n">
        <v>5962.778968</v>
      </c>
      <c r="E109" s="0" t="n">
        <v>2026</v>
      </c>
      <c r="F109" s="0" t="n">
        <v>17.620603</v>
      </c>
      <c r="G109" s="0" t="n">
        <v>369.922189</v>
      </c>
      <c r="I109" s="0" t="n">
        <v>2026</v>
      </c>
      <c r="J109" s="0" t="n">
        <v>22.19</v>
      </c>
      <c r="K109" s="0" t="n">
        <v>466.13</v>
      </c>
      <c r="M109" s="0" t="n">
        <v>2026</v>
      </c>
      <c r="N109" s="0" t="n">
        <v>67.8</v>
      </c>
      <c r="O109" s="0" t="n">
        <v>1423.1</v>
      </c>
      <c r="Q109" s="0" t="n">
        <v>2026</v>
      </c>
      <c r="R109" s="0" t="n">
        <v>145</v>
      </c>
      <c r="T109" s="0" t="n">
        <v>2027</v>
      </c>
      <c r="U109" s="0" t="n">
        <v>451909</v>
      </c>
      <c r="W109" s="0" t="n">
        <v>2026</v>
      </c>
      <c r="X109" s="0" t="n">
        <v>8778.624</v>
      </c>
    </row>
    <row r="110" customFormat="false" ht="15" hidden="false" customHeight="false" outlineLevel="0" collapsed="false">
      <c r="A110" s="0" t="n">
        <v>2026</v>
      </c>
      <c r="B110" s="0" t="n">
        <v>71.61853227</v>
      </c>
      <c r="C110" s="0" t="n">
        <v>1503.989178</v>
      </c>
      <c r="E110" s="0" t="n">
        <v>2026</v>
      </c>
      <c r="F110" s="0" t="n">
        <v>2.475121</v>
      </c>
      <c r="G110" s="0" t="n">
        <v>51.962023</v>
      </c>
      <c r="I110" s="0" t="n">
        <v>2026</v>
      </c>
      <c r="J110" s="0" t="n">
        <v>12.68</v>
      </c>
      <c r="K110" s="0" t="n">
        <v>266.36</v>
      </c>
      <c r="M110" s="0" t="n">
        <v>2026</v>
      </c>
      <c r="N110" s="0" t="n">
        <v>67.8</v>
      </c>
      <c r="O110" s="0" t="n">
        <v>1423.1</v>
      </c>
      <c r="Q110" s="0" t="n">
        <v>2026</v>
      </c>
      <c r="R110" s="0" t="n">
        <v>138</v>
      </c>
      <c r="T110" s="0" t="n">
        <v>2027</v>
      </c>
      <c r="U110" s="0" t="n">
        <v>13697</v>
      </c>
      <c r="W110" s="0" t="n">
        <v>2026</v>
      </c>
      <c r="X110" s="0" t="n">
        <v>15545.48</v>
      </c>
    </row>
    <row r="111" customFormat="false" ht="15" hidden="false" customHeight="false" outlineLevel="0" collapsed="false">
      <c r="A111" s="0" t="n">
        <v>2026</v>
      </c>
      <c r="B111" s="0" t="n">
        <v>63.86622446</v>
      </c>
      <c r="C111" s="0" t="n">
        <v>1341.190714</v>
      </c>
      <c r="E111" s="0" t="n">
        <v>2026</v>
      </c>
      <c r="F111" s="0" t="n">
        <v>59.167801</v>
      </c>
      <c r="G111" s="0" t="n">
        <v>1242.152863</v>
      </c>
      <c r="I111" s="0" t="n">
        <v>2026</v>
      </c>
      <c r="J111" s="0" t="n">
        <v>12.68</v>
      </c>
      <c r="K111" s="0" t="n">
        <v>266.36</v>
      </c>
      <c r="M111" s="0" t="n">
        <v>2026</v>
      </c>
      <c r="N111" s="0" t="n">
        <v>40.68</v>
      </c>
      <c r="O111" s="0" t="n">
        <v>853.86</v>
      </c>
      <c r="Q111" s="0" t="n">
        <v>2026</v>
      </c>
      <c r="R111" s="0" t="n">
        <v>65</v>
      </c>
      <c r="T111" s="0" t="n">
        <v>2027</v>
      </c>
      <c r="U111" s="0" t="n">
        <v>19455</v>
      </c>
      <c r="W111" s="0" t="n">
        <v>2026</v>
      </c>
      <c r="X111" s="0" t="n">
        <v>6949.744</v>
      </c>
    </row>
    <row r="112" customFormat="false" ht="15" hidden="false" customHeight="false" outlineLevel="0" collapsed="false">
      <c r="A112" s="0" t="n">
        <v>2026</v>
      </c>
      <c r="B112" s="0" t="n">
        <v>44.41517411</v>
      </c>
      <c r="C112" s="0" t="n">
        <v>932.7186564</v>
      </c>
      <c r="E112" s="0" t="n">
        <v>2026</v>
      </c>
      <c r="F112" s="0" t="n">
        <v>2.769877</v>
      </c>
      <c r="G112" s="0" t="n">
        <v>58.150051</v>
      </c>
      <c r="I112" s="0" t="n">
        <v>2026</v>
      </c>
      <c r="J112" s="0" t="n">
        <v>6.34</v>
      </c>
      <c r="K112" s="0" t="n">
        <v>133.18</v>
      </c>
      <c r="M112" s="0" t="n">
        <v>2026</v>
      </c>
      <c r="N112" s="0" t="n">
        <v>33.9</v>
      </c>
      <c r="O112" s="0" t="n">
        <v>711.55</v>
      </c>
      <c r="Q112" s="0" t="n">
        <v>2026</v>
      </c>
      <c r="R112" s="0" t="n">
        <v>14</v>
      </c>
      <c r="T112" s="0" t="n">
        <v>2027</v>
      </c>
      <c r="U112" s="0" t="n">
        <v>602</v>
      </c>
      <c r="W112" s="0" t="n">
        <v>2026</v>
      </c>
      <c r="X112" s="0" t="n">
        <v>2743.32</v>
      </c>
    </row>
    <row r="113" customFormat="false" ht="15" hidden="false" customHeight="false" outlineLevel="0" collapsed="false">
      <c r="A113" s="0" t="n">
        <v>2026</v>
      </c>
      <c r="B113" s="0" t="n">
        <v>33.03749139</v>
      </c>
      <c r="C113" s="0" t="n">
        <v>693.7873192</v>
      </c>
      <c r="E113" s="0" t="n">
        <v>2026</v>
      </c>
      <c r="F113" s="0" t="n">
        <v>15.145482</v>
      </c>
      <c r="G113" s="0" t="n">
        <v>317.960166</v>
      </c>
      <c r="I113" s="0" t="n">
        <v>2026</v>
      </c>
      <c r="J113" s="0" t="n">
        <v>6.34</v>
      </c>
      <c r="K113" s="0" t="n">
        <v>133.18</v>
      </c>
      <c r="M113" s="0" t="n">
        <v>2026</v>
      </c>
      <c r="N113" s="0" t="n">
        <v>27.12</v>
      </c>
      <c r="O113" s="0" t="n">
        <v>569.24</v>
      </c>
      <c r="Q113" s="0" t="n">
        <v>2026</v>
      </c>
      <c r="R113" s="0" t="n">
        <v>14</v>
      </c>
      <c r="T113" s="0" t="n">
        <v>2027</v>
      </c>
      <c r="U113" s="0" t="n">
        <v>314421</v>
      </c>
      <c r="W113" s="0" t="n">
        <v>2026</v>
      </c>
      <c r="X113" s="0" t="n">
        <v>4023.536</v>
      </c>
    </row>
    <row r="114" customFormat="false" ht="15" hidden="false" customHeight="false" outlineLevel="0" collapsed="false">
      <c r="A114" s="0" t="n">
        <v>2026</v>
      </c>
      <c r="B114" s="0" t="n">
        <v>14.68332951</v>
      </c>
      <c r="C114" s="0" t="n">
        <v>308.3499196</v>
      </c>
      <c r="E114" s="0" t="n">
        <v>2026</v>
      </c>
      <c r="F114" s="0" t="n">
        <v>13.849066</v>
      </c>
      <c r="G114" s="0" t="n">
        <v>290.743558</v>
      </c>
      <c r="I114" s="0" t="n">
        <v>2026</v>
      </c>
      <c r="J114" s="0" t="n">
        <v>12.68</v>
      </c>
      <c r="K114" s="0" t="n">
        <v>266.36</v>
      </c>
      <c r="M114" s="0" t="n">
        <v>2026</v>
      </c>
      <c r="N114" s="0" t="n">
        <v>13.56</v>
      </c>
      <c r="O114" s="0" t="n">
        <v>284.62</v>
      </c>
      <c r="Q114" s="0" t="n">
        <v>2026</v>
      </c>
      <c r="R114" s="0" t="n">
        <v>14</v>
      </c>
      <c r="T114" s="0" t="n">
        <v>2027</v>
      </c>
      <c r="U114" s="0" t="n">
        <v>9725</v>
      </c>
      <c r="W114" s="0" t="n">
        <v>2026</v>
      </c>
      <c r="X114" s="0" t="n">
        <v>3109.096</v>
      </c>
    </row>
    <row r="115" customFormat="false" ht="15" hidden="false" customHeight="false" outlineLevel="0" collapsed="false">
      <c r="A115" s="0" t="n">
        <v>2026</v>
      </c>
      <c r="B115" s="0" t="n">
        <v>54.23404175</v>
      </c>
      <c r="C115" s="0" t="n">
        <v>1138.914877</v>
      </c>
      <c r="E115" s="0" t="n">
        <v>2026</v>
      </c>
      <c r="F115" s="0" t="n">
        <v>230.249152</v>
      </c>
      <c r="G115" s="0" t="n">
        <v>4830.606651</v>
      </c>
      <c r="I115" s="0" t="n">
        <v>2026</v>
      </c>
      <c r="J115" s="0" t="n">
        <v>22.19</v>
      </c>
      <c r="K115" s="0" t="n">
        <v>466.13</v>
      </c>
      <c r="M115" s="0" t="n">
        <v>2026</v>
      </c>
      <c r="N115" s="0" t="n">
        <v>427.88</v>
      </c>
      <c r="O115" s="0" t="n">
        <v>8979.78</v>
      </c>
      <c r="Q115" s="0" t="n">
        <v>2026</v>
      </c>
      <c r="R115" s="0" t="n">
        <v>275</v>
      </c>
      <c r="T115" s="0" t="n">
        <v>2027</v>
      </c>
      <c r="U115" s="0" t="n">
        <v>119740</v>
      </c>
      <c r="W115" s="0" t="n">
        <v>2026</v>
      </c>
      <c r="X115" s="0" t="n">
        <v>50604.4</v>
      </c>
    </row>
    <row r="116" customFormat="false" ht="15" hidden="false" customHeight="false" outlineLevel="0" collapsed="false">
      <c r="A116" s="0" t="n">
        <v>2026</v>
      </c>
      <c r="B116" s="0" t="n">
        <v>16.97714891</v>
      </c>
      <c r="C116" s="0" t="n">
        <v>356.5201272</v>
      </c>
      <c r="E116" s="0" t="n">
        <v>2026</v>
      </c>
      <c r="F116" s="0" t="n">
        <v>61.824448</v>
      </c>
      <c r="G116" s="0" t="n">
        <v>1297.071399</v>
      </c>
      <c r="I116" s="0" t="n">
        <v>2026</v>
      </c>
      <c r="J116" s="0" t="n">
        <v>9.51</v>
      </c>
      <c r="K116" s="0" t="n">
        <v>199.77</v>
      </c>
      <c r="M116" s="0" t="n">
        <v>2026</v>
      </c>
      <c r="N116" s="0" t="n">
        <v>281.5</v>
      </c>
      <c r="O116" s="0" t="n">
        <v>5907.75</v>
      </c>
      <c r="Q116" s="0" t="n">
        <v>2026</v>
      </c>
      <c r="R116" s="0" t="n">
        <v>262</v>
      </c>
      <c r="T116" s="0" t="n">
        <v>2027</v>
      </c>
      <c r="U116" s="0" t="n">
        <v>3703</v>
      </c>
      <c r="W116" s="0" t="n">
        <v>2026</v>
      </c>
      <c r="X116" s="0" t="n">
        <v>12651.1</v>
      </c>
    </row>
    <row r="117" customFormat="false" ht="15" hidden="false" customHeight="false" outlineLevel="0" collapsed="false">
      <c r="A117" s="0" t="n">
        <v>2026</v>
      </c>
      <c r="B117" s="0" t="n">
        <v>37.95986748</v>
      </c>
      <c r="C117" s="0" t="n">
        <v>797.157217</v>
      </c>
      <c r="E117" s="0" t="n">
        <v>2026</v>
      </c>
      <c r="F117" s="0" t="n">
        <v>24.746176</v>
      </c>
      <c r="G117" s="0" t="n">
        <v>519.172563</v>
      </c>
      <c r="I117" s="0" t="n">
        <v>2026</v>
      </c>
      <c r="J117" s="0" t="n">
        <v>9.51</v>
      </c>
      <c r="K117" s="0" t="n">
        <v>199.77</v>
      </c>
      <c r="M117" s="0" t="n">
        <v>2026</v>
      </c>
      <c r="N117" s="0" t="n">
        <v>112.6</v>
      </c>
      <c r="O117" s="0" t="n">
        <v>2363.1</v>
      </c>
      <c r="Q117" s="0" t="n">
        <v>2026</v>
      </c>
      <c r="R117" s="0" t="n">
        <v>124</v>
      </c>
      <c r="T117" s="0" t="n">
        <v>2027</v>
      </c>
      <c r="U117" s="0" t="n">
        <v>186361</v>
      </c>
      <c r="W117" s="0" t="n">
        <v>2026</v>
      </c>
      <c r="X117" s="0" t="n">
        <v>3917.76</v>
      </c>
    </row>
    <row r="118" customFormat="false" ht="15" hidden="false" customHeight="false" outlineLevel="0" collapsed="false">
      <c r="A118" s="0" t="n">
        <v>2026</v>
      </c>
      <c r="B118" s="0" t="n">
        <v>157.8801313</v>
      </c>
      <c r="C118" s="0" t="n">
        <v>3315.482757</v>
      </c>
      <c r="E118" s="0" t="n">
        <v>2026</v>
      </c>
      <c r="F118" s="0" t="n">
        <v>3.476032</v>
      </c>
      <c r="G118" s="0" t="n">
        <v>72.926841</v>
      </c>
      <c r="I118" s="0" t="n">
        <v>2026</v>
      </c>
      <c r="J118" s="0" t="n">
        <v>18.72</v>
      </c>
      <c r="K118" s="0" t="n">
        <v>390.52</v>
      </c>
      <c r="M118" s="0" t="n">
        <v>2026</v>
      </c>
      <c r="N118" s="0" t="n">
        <v>112.6</v>
      </c>
      <c r="O118" s="0" t="n">
        <v>2363.1</v>
      </c>
      <c r="Q118" s="0" t="n">
        <v>2026</v>
      </c>
      <c r="R118" s="0" t="n">
        <v>28</v>
      </c>
      <c r="T118" s="0" t="n">
        <v>2027</v>
      </c>
      <c r="U118" s="0" t="n">
        <v>5764</v>
      </c>
      <c r="W118" s="0" t="n">
        <v>2026</v>
      </c>
      <c r="X118" s="0" t="n">
        <v>6937.7</v>
      </c>
    </row>
    <row r="119" customFormat="false" ht="15" hidden="false" customHeight="false" outlineLevel="0" collapsed="false">
      <c r="A119" s="0" t="n">
        <v>2026</v>
      </c>
      <c r="B119" s="0" t="n">
        <v>39.82203769</v>
      </c>
      <c r="C119" s="0" t="n">
        <v>836.2627915</v>
      </c>
      <c r="E119" s="0" t="n">
        <v>2026</v>
      </c>
      <c r="F119" s="0" t="n">
        <v>83.094592</v>
      </c>
      <c r="G119" s="0" t="n">
        <v>1743.317121</v>
      </c>
      <c r="I119" s="0" t="n">
        <v>2026</v>
      </c>
      <c r="J119" s="0" t="n">
        <v>2.88</v>
      </c>
      <c r="K119" s="0" t="n">
        <v>60.08</v>
      </c>
      <c r="M119" s="0" t="n">
        <v>2026</v>
      </c>
      <c r="N119" s="0" t="n">
        <v>67.56</v>
      </c>
      <c r="O119" s="0" t="n">
        <v>1417.86</v>
      </c>
      <c r="Q119" s="0" t="n">
        <v>2026</v>
      </c>
      <c r="R119" s="0" t="n">
        <v>26</v>
      </c>
      <c r="T119" s="0" t="n">
        <v>2027</v>
      </c>
      <c r="U119" s="0" t="n">
        <v>50335</v>
      </c>
      <c r="W119" s="0" t="n">
        <v>2026</v>
      </c>
      <c r="X119" s="0" t="n">
        <v>3101.56</v>
      </c>
    </row>
    <row r="120" customFormat="false" ht="15" hidden="false" customHeight="false" outlineLevel="0" collapsed="false">
      <c r="A120" s="0" t="n">
        <v>2026</v>
      </c>
      <c r="B120" s="0" t="n">
        <v>35.51152358</v>
      </c>
      <c r="C120" s="0" t="n">
        <v>745.7419952</v>
      </c>
      <c r="E120" s="0" t="n">
        <v>2026</v>
      </c>
      <c r="F120" s="0" t="n">
        <v>3.889984</v>
      </c>
      <c r="G120" s="0" t="n">
        <v>81.611517</v>
      </c>
      <c r="I120" s="0" t="n">
        <v>2026</v>
      </c>
      <c r="J120" s="0" t="n">
        <v>2.16</v>
      </c>
      <c r="K120" s="0" t="n">
        <v>45.06</v>
      </c>
      <c r="M120" s="0" t="n">
        <v>2026</v>
      </c>
      <c r="N120" s="0" t="n">
        <v>56.3</v>
      </c>
      <c r="O120" s="0" t="n">
        <v>1181.55</v>
      </c>
      <c r="Q120" s="0" t="n">
        <v>2026</v>
      </c>
      <c r="R120" s="0" t="n">
        <v>26</v>
      </c>
      <c r="T120" s="0" t="n">
        <v>2027</v>
      </c>
      <c r="U120" s="0" t="n">
        <v>1557</v>
      </c>
      <c r="W120" s="0" t="n">
        <v>2026</v>
      </c>
      <c r="X120" s="0" t="n">
        <v>1224.3</v>
      </c>
    </row>
    <row r="121" customFormat="false" ht="15" hidden="false" customHeight="false" outlineLevel="0" collapsed="false">
      <c r="A121" s="0" t="n">
        <v>2026</v>
      </c>
      <c r="B121" s="0" t="n">
        <v>24.69616008</v>
      </c>
      <c r="C121" s="0" t="n">
        <v>518.6193617</v>
      </c>
      <c r="E121" s="0" t="n">
        <v>2026</v>
      </c>
      <c r="F121" s="0" t="n">
        <v>21.270144</v>
      </c>
      <c r="G121" s="0" t="n">
        <v>446.245722</v>
      </c>
      <c r="I121" s="0" t="n">
        <v>2026</v>
      </c>
      <c r="J121" s="0" t="n">
        <v>3.6</v>
      </c>
      <c r="K121" s="0" t="n">
        <v>75.1</v>
      </c>
      <c r="M121" s="0" t="n">
        <v>2026</v>
      </c>
      <c r="N121" s="0" t="n">
        <v>45.04</v>
      </c>
      <c r="O121" s="0" t="n">
        <v>945.24</v>
      </c>
      <c r="Q121" s="0" t="n">
        <v>2026</v>
      </c>
      <c r="R121" s="0" t="n">
        <v>1326</v>
      </c>
      <c r="T121" s="0" t="n">
        <v>2027</v>
      </c>
      <c r="U121" s="0" t="n">
        <v>122243</v>
      </c>
      <c r="W121" s="0" t="n">
        <v>2026</v>
      </c>
      <c r="X121" s="0" t="n">
        <v>1795.64</v>
      </c>
    </row>
    <row r="122" customFormat="false" ht="15" hidden="false" customHeight="false" outlineLevel="0" collapsed="false">
      <c r="A122" s="0" t="n">
        <v>2026</v>
      </c>
      <c r="B122" s="0" t="n">
        <v>18.36982951</v>
      </c>
      <c r="C122" s="0" t="n">
        <v>385.7664197</v>
      </c>
      <c r="E122" s="0" t="n">
        <v>2026</v>
      </c>
      <c r="F122" s="0" t="n">
        <v>19.449472</v>
      </c>
      <c r="G122" s="0" t="n">
        <v>408.048186</v>
      </c>
      <c r="I122" s="0" t="n">
        <v>2026</v>
      </c>
      <c r="J122" s="0" t="n">
        <v>0.72</v>
      </c>
      <c r="K122" s="0" t="n">
        <v>15.02</v>
      </c>
      <c r="M122" s="0" t="n">
        <v>2026</v>
      </c>
      <c r="N122" s="0" t="n">
        <v>22.52</v>
      </c>
      <c r="O122" s="0" t="n">
        <v>472.62</v>
      </c>
      <c r="Q122" s="0" t="n">
        <v>2026</v>
      </c>
      <c r="R122" s="0" t="n">
        <v>1260</v>
      </c>
      <c r="T122" s="0" t="n">
        <v>2027</v>
      </c>
      <c r="U122" s="0" t="n">
        <v>3781</v>
      </c>
      <c r="W122" s="0" t="n">
        <v>2026</v>
      </c>
      <c r="X122" s="0" t="n">
        <v>1387.54</v>
      </c>
    </row>
    <row r="123" customFormat="false" ht="15" hidden="false" customHeight="false" outlineLevel="0" collapsed="false">
      <c r="A123" s="0" t="n">
        <v>2026</v>
      </c>
      <c r="B123" s="0" t="n">
        <v>8.16436867</v>
      </c>
      <c r="C123" s="0" t="n">
        <v>171.4517421</v>
      </c>
      <c r="E123" s="0" t="n">
        <v>2026</v>
      </c>
      <c r="F123" s="0" t="n">
        <v>182.451895</v>
      </c>
      <c r="G123" s="0" t="n">
        <v>3826.864254</v>
      </c>
      <c r="I123" s="0" t="n">
        <v>2026</v>
      </c>
      <c r="J123" s="0" t="n">
        <v>0.72</v>
      </c>
      <c r="K123" s="0" t="n">
        <v>15.02</v>
      </c>
      <c r="M123" s="0" t="n">
        <v>2026</v>
      </c>
      <c r="N123" s="0" t="n">
        <v>27.74</v>
      </c>
      <c r="O123" s="0" t="n">
        <v>578.74</v>
      </c>
      <c r="Q123" s="0" t="n">
        <v>2026</v>
      </c>
      <c r="R123" s="0" t="n">
        <v>597</v>
      </c>
      <c r="T123" s="0" t="n">
        <v>2027</v>
      </c>
      <c r="U123" s="0" t="n">
        <v>143816</v>
      </c>
      <c r="W123" s="0" t="n">
        <v>2026</v>
      </c>
      <c r="X123" s="0" t="n">
        <v>176099.84</v>
      </c>
    </row>
    <row r="124" customFormat="false" ht="15" hidden="false" customHeight="false" outlineLevel="0" collapsed="false">
      <c r="A124" s="0" t="n">
        <v>2026</v>
      </c>
      <c r="B124" s="0" t="n">
        <v>30.15574303</v>
      </c>
      <c r="C124" s="0" t="n">
        <v>633.2706035</v>
      </c>
      <c r="E124" s="0" t="n">
        <v>2026</v>
      </c>
      <c r="F124" s="0" t="n">
        <v>48.990355</v>
      </c>
      <c r="G124" s="0" t="n">
        <v>1027.555446</v>
      </c>
      <c r="I124" s="0" t="n">
        <v>2026</v>
      </c>
      <c r="J124" s="0" t="n">
        <v>0</v>
      </c>
      <c r="K124" s="0" t="n">
        <v>0</v>
      </c>
      <c r="M124" s="0" t="n">
        <v>2026</v>
      </c>
      <c r="N124" s="0" t="n">
        <v>18.25</v>
      </c>
      <c r="O124" s="0" t="n">
        <v>380.75</v>
      </c>
      <c r="Q124" s="0" t="n">
        <v>2026</v>
      </c>
      <c r="R124" s="0" t="n">
        <v>133</v>
      </c>
      <c r="T124" s="0" t="n">
        <v>2027</v>
      </c>
      <c r="U124" s="0" t="n">
        <v>4448</v>
      </c>
      <c r="W124" s="0" t="n">
        <v>2026</v>
      </c>
      <c r="X124" s="0" t="n">
        <v>44024.96</v>
      </c>
    </row>
    <row r="125" customFormat="false" ht="15" hidden="false" customHeight="false" outlineLevel="0" collapsed="false">
      <c r="A125" s="0" t="n">
        <v>2026</v>
      </c>
      <c r="B125" s="0" t="n">
        <v>9.4398006</v>
      </c>
      <c r="C125" s="0" t="n">
        <v>198.2358126</v>
      </c>
      <c r="E125" s="0" t="n">
        <v>2026</v>
      </c>
      <c r="F125" s="0" t="n">
        <v>19.609135</v>
      </c>
      <c r="G125" s="0" t="n">
        <v>411.294702</v>
      </c>
      <c r="I125" s="0" t="n">
        <v>2026</v>
      </c>
      <c r="J125" s="0" t="n">
        <v>1.44</v>
      </c>
      <c r="K125" s="0" t="n">
        <v>30.04</v>
      </c>
      <c r="M125" s="0" t="n">
        <v>2026</v>
      </c>
      <c r="N125" s="0" t="n">
        <v>7.3</v>
      </c>
      <c r="O125" s="0" t="n">
        <v>152.3</v>
      </c>
      <c r="Q125" s="0" t="n">
        <v>2026</v>
      </c>
      <c r="R125" s="0" t="n">
        <v>128</v>
      </c>
      <c r="T125" s="0" t="n">
        <v>2027</v>
      </c>
      <c r="U125" s="0" t="n">
        <v>726265</v>
      </c>
      <c r="W125" s="0" t="n">
        <v>2026</v>
      </c>
      <c r="X125" s="0" t="n">
        <v>13633.536</v>
      </c>
    </row>
    <row r="126" customFormat="false" ht="15" hidden="false" customHeight="false" outlineLevel="0" collapsed="false">
      <c r="A126" s="0" t="n">
        <v>2026</v>
      </c>
      <c r="B126" s="0" t="n">
        <v>21.10681727</v>
      </c>
      <c r="C126" s="0" t="n">
        <v>443.2431626</v>
      </c>
      <c r="E126" s="0" t="n">
        <v>2026</v>
      </c>
      <c r="F126" s="0" t="n">
        <v>2.754445</v>
      </c>
      <c r="G126" s="0" t="n">
        <v>57.773514</v>
      </c>
      <c r="I126" s="0" t="n">
        <v>2026</v>
      </c>
      <c r="J126" s="0" t="n">
        <v>2.52</v>
      </c>
      <c r="K126" s="0" t="n">
        <v>52.57</v>
      </c>
      <c r="M126" s="0" t="n">
        <v>2026</v>
      </c>
      <c r="N126" s="0" t="n">
        <v>7.3</v>
      </c>
      <c r="O126" s="0" t="n">
        <v>152.3</v>
      </c>
      <c r="Q126" s="0" t="n">
        <v>2026</v>
      </c>
      <c r="R126" s="0" t="n">
        <v>128</v>
      </c>
      <c r="T126" s="0" t="n">
        <v>2027</v>
      </c>
      <c r="U126" s="0" t="n">
        <v>22462</v>
      </c>
      <c r="W126" s="0" t="n">
        <v>2026</v>
      </c>
      <c r="X126" s="0" t="n">
        <v>24142.72</v>
      </c>
    </row>
    <row r="127" customFormat="false" ht="15" hidden="false" customHeight="false" outlineLevel="0" collapsed="false">
      <c r="A127" s="0" t="n">
        <v>2026</v>
      </c>
      <c r="B127" s="0" t="n">
        <v>134.8777281</v>
      </c>
      <c r="C127" s="0" t="n">
        <v>2832.432289</v>
      </c>
      <c r="E127" s="0" t="n">
        <v>2026</v>
      </c>
      <c r="F127" s="0" t="n">
        <v>65.845045</v>
      </c>
      <c r="G127" s="0" t="n">
        <v>1381.076634</v>
      </c>
      <c r="I127" s="0" t="n">
        <v>2026</v>
      </c>
      <c r="J127" s="0" t="n">
        <v>0.72</v>
      </c>
      <c r="K127" s="0" t="n">
        <v>15.02</v>
      </c>
      <c r="M127" s="0" t="n">
        <v>2026</v>
      </c>
      <c r="N127" s="0" t="n">
        <v>4.38</v>
      </c>
      <c r="O127" s="0" t="n">
        <v>91.38</v>
      </c>
      <c r="Q127" s="0" t="n">
        <v>2026</v>
      </c>
      <c r="R127" s="0" t="n">
        <v>282</v>
      </c>
      <c r="T127" s="0" t="n">
        <v>2027</v>
      </c>
      <c r="U127" s="0" t="n">
        <v>143816</v>
      </c>
      <c r="W127" s="0" t="n">
        <v>2026</v>
      </c>
      <c r="X127" s="0" t="n">
        <v>10793.216</v>
      </c>
    </row>
    <row r="128" customFormat="false" ht="15" hidden="false" customHeight="false" outlineLevel="0" collapsed="false">
      <c r="A128" s="0" t="n">
        <v>2026</v>
      </c>
      <c r="B128" s="0" t="n">
        <v>34.0201514</v>
      </c>
      <c r="C128" s="0" t="n">
        <v>714.4231795</v>
      </c>
      <c r="E128" s="0" t="n">
        <v>2026</v>
      </c>
      <c r="F128" s="0" t="n">
        <v>3.082465</v>
      </c>
      <c r="G128" s="0" t="n">
        <v>64.653618</v>
      </c>
      <c r="I128" s="0" t="n">
        <v>2026</v>
      </c>
      <c r="J128" s="0" t="n">
        <v>2.52</v>
      </c>
      <c r="K128" s="0" t="n">
        <v>52.57</v>
      </c>
      <c r="M128" s="0" t="n">
        <v>2026</v>
      </c>
      <c r="N128" s="0" t="n">
        <v>3.65</v>
      </c>
      <c r="O128" s="0" t="n">
        <v>76.15</v>
      </c>
      <c r="Q128" s="0" t="n">
        <v>2026</v>
      </c>
      <c r="R128" s="0" t="n">
        <v>267</v>
      </c>
      <c r="T128" s="0" t="n">
        <v>2027</v>
      </c>
      <c r="U128" s="0" t="n">
        <v>4448</v>
      </c>
      <c r="W128" s="0" t="n">
        <v>2026</v>
      </c>
      <c r="X128" s="0" t="n">
        <v>4260.48</v>
      </c>
    </row>
    <row r="129" customFormat="false" ht="15" hidden="false" customHeight="false" outlineLevel="0" collapsed="false">
      <c r="A129" s="0" t="n">
        <v>2026</v>
      </c>
      <c r="B129" s="0" t="n">
        <v>30.33765922</v>
      </c>
      <c r="C129" s="0" t="n">
        <v>637.0908436</v>
      </c>
      <c r="E129" s="0" t="n">
        <v>2026</v>
      </c>
      <c r="F129" s="0" t="n">
        <v>16.85469</v>
      </c>
      <c r="G129" s="0" t="n">
        <v>353.521188</v>
      </c>
      <c r="I129" s="0" t="n">
        <v>2026</v>
      </c>
      <c r="J129" s="0" t="n">
        <v>45.6</v>
      </c>
      <c r="K129" s="0" t="n">
        <v>958.56</v>
      </c>
      <c r="M129" s="0" t="n">
        <v>2026</v>
      </c>
      <c r="N129" s="0" t="n">
        <v>2.92</v>
      </c>
      <c r="O129" s="0" t="n">
        <v>60.92</v>
      </c>
      <c r="Q129" s="0" t="n">
        <v>2026</v>
      </c>
      <c r="R129" s="0" t="n">
        <v>127</v>
      </c>
      <c r="T129" s="0" t="n">
        <v>2027</v>
      </c>
      <c r="U129" s="0" t="n">
        <v>244485</v>
      </c>
      <c r="W129" s="0" t="n">
        <v>2026</v>
      </c>
      <c r="X129" s="0" t="n">
        <v>6248.704</v>
      </c>
    </row>
    <row r="130" customFormat="false" ht="15" hidden="false" customHeight="false" outlineLevel="0" collapsed="false">
      <c r="A130" s="0" t="n">
        <v>2026</v>
      </c>
      <c r="B130" s="0" t="n">
        <v>21.09804404</v>
      </c>
      <c r="C130" s="0" t="n">
        <v>443.0589249</v>
      </c>
      <c r="E130" s="0" t="n">
        <v>2026</v>
      </c>
      <c r="F130" s="0" t="n">
        <v>15.41197</v>
      </c>
      <c r="G130" s="0" t="n">
        <v>323.260644</v>
      </c>
      <c r="I130" s="0" t="n">
        <v>2026</v>
      </c>
      <c r="J130" s="0" t="n">
        <v>15.2</v>
      </c>
      <c r="K130" s="0" t="n">
        <v>319.52</v>
      </c>
      <c r="M130" s="0" t="n">
        <v>2026</v>
      </c>
      <c r="N130" s="0" t="n">
        <v>1.46</v>
      </c>
      <c r="O130" s="0" t="n">
        <v>30.46</v>
      </c>
      <c r="Q130" s="0" t="n">
        <v>2026</v>
      </c>
      <c r="R130" s="0" t="n">
        <v>28</v>
      </c>
      <c r="T130" s="0" t="n">
        <v>2027</v>
      </c>
      <c r="U130" s="0" t="n">
        <v>7562</v>
      </c>
      <c r="W130" s="0" t="n">
        <v>2026</v>
      </c>
      <c r="X130" s="0" t="n">
        <v>4828.544</v>
      </c>
    </row>
    <row r="131" customFormat="false" ht="15" hidden="false" customHeight="false" outlineLevel="0" collapsed="false">
      <c r="A131" s="0" t="n">
        <v>2026</v>
      </c>
      <c r="B131" s="0" t="n">
        <v>15.69343051</v>
      </c>
      <c r="C131" s="0" t="n">
        <v>329.5620406</v>
      </c>
      <c r="E131" s="0" t="n">
        <v>2026</v>
      </c>
      <c r="F131" s="0" t="n">
        <v>266.739531</v>
      </c>
      <c r="G131" s="0" t="n">
        <v>5592.279069</v>
      </c>
      <c r="I131" s="0" t="n">
        <v>2026</v>
      </c>
      <c r="J131" s="0" t="n">
        <v>6.65</v>
      </c>
      <c r="K131" s="0" t="n">
        <v>139.79</v>
      </c>
      <c r="M131" s="0" t="n">
        <v>2026</v>
      </c>
      <c r="N131" s="0" t="n">
        <v>49.02</v>
      </c>
      <c r="O131" s="0" t="n">
        <v>1022.96</v>
      </c>
      <c r="Q131" s="0" t="n">
        <v>2026</v>
      </c>
      <c r="R131" s="0" t="n">
        <v>27</v>
      </c>
      <c r="T131" s="0" t="n">
        <v>2027</v>
      </c>
      <c r="U131" s="0" t="n">
        <v>50335</v>
      </c>
      <c r="W131" s="0" t="n">
        <v>2026</v>
      </c>
      <c r="X131" s="0" t="n">
        <v>4958.14</v>
      </c>
    </row>
    <row r="132" customFormat="false" ht="15" hidden="false" customHeight="false" outlineLevel="0" collapsed="false">
      <c r="A132" s="0" t="n">
        <v>2026</v>
      </c>
      <c r="B132" s="0" t="n">
        <v>6.974858003</v>
      </c>
      <c r="C132" s="0" t="n">
        <v>146.4720181</v>
      </c>
      <c r="E132" s="0" t="n">
        <v>2026</v>
      </c>
      <c r="F132" s="0" t="n">
        <v>71.622519</v>
      </c>
      <c r="G132" s="0" t="n">
        <v>1501.588881</v>
      </c>
      <c r="I132" s="0" t="n">
        <v>2026</v>
      </c>
      <c r="J132" s="0" t="n">
        <v>3.8</v>
      </c>
      <c r="K132" s="0" t="n">
        <v>79.88</v>
      </c>
      <c r="M132" s="0" t="n">
        <v>2026</v>
      </c>
      <c r="N132" s="0" t="n">
        <v>32.25</v>
      </c>
      <c r="O132" s="0" t="n">
        <v>673</v>
      </c>
      <c r="Q132" s="0" t="n">
        <v>2026</v>
      </c>
      <c r="R132" s="0" t="n">
        <v>27</v>
      </c>
      <c r="T132" s="0" t="n">
        <v>2027</v>
      </c>
      <c r="U132" s="0" t="n">
        <v>1557</v>
      </c>
      <c r="W132" s="0" t="n">
        <v>2026</v>
      </c>
      <c r="X132" s="0" t="n">
        <v>1239.535</v>
      </c>
    </row>
    <row r="133" customFormat="false" ht="15" hidden="false" customHeight="false" outlineLevel="0" collapsed="false">
      <c r="A133" s="0" t="n">
        <v>2026</v>
      </c>
      <c r="B133" s="0" t="n">
        <v>25.76219106</v>
      </c>
      <c r="C133" s="0" t="n">
        <v>541.0060123</v>
      </c>
      <c r="E133" s="0" t="n">
        <v>2026</v>
      </c>
      <c r="F133" s="0" t="n">
        <v>28.668003</v>
      </c>
      <c r="G133" s="0" t="n">
        <v>601.033797</v>
      </c>
      <c r="I133" s="0" t="n">
        <v>2026</v>
      </c>
      <c r="J133" s="0" t="n">
        <v>3.8</v>
      </c>
      <c r="K133" s="0" t="n">
        <v>79.88</v>
      </c>
      <c r="M133" s="0" t="n">
        <v>2026</v>
      </c>
      <c r="N133" s="0" t="n">
        <v>12.9</v>
      </c>
      <c r="O133" s="0" t="n">
        <v>269.2</v>
      </c>
      <c r="Q133" s="0" t="n">
        <v>2026</v>
      </c>
      <c r="R133" s="0" t="n">
        <v>513</v>
      </c>
      <c r="T133" s="0" t="n">
        <v>2027</v>
      </c>
      <c r="U133" s="0" t="n">
        <v>86289</v>
      </c>
      <c r="W133" s="0" t="n">
        <v>2026</v>
      </c>
      <c r="X133" s="0" t="n">
        <v>383.856</v>
      </c>
    </row>
    <row r="134" customFormat="false" ht="15" hidden="false" customHeight="false" outlineLevel="0" collapsed="false">
      <c r="A134" s="0" t="n">
        <v>2026</v>
      </c>
      <c r="B134" s="0" t="n">
        <v>8.064465414</v>
      </c>
      <c r="C134" s="0" t="n">
        <v>169.3537737</v>
      </c>
      <c r="E134" s="0" t="n">
        <v>2026</v>
      </c>
      <c r="F134" s="0" t="n">
        <v>4.026921</v>
      </c>
      <c r="G134" s="0" t="n">
        <v>84.425679</v>
      </c>
      <c r="I134" s="0" t="n">
        <v>2026</v>
      </c>
      <c r="J134" s="0" t="n">
        <v>1.9</v>
      </c>
      <c r="K134" s="0" t="n">
        <v>39.94</v>
      </c>
      <c r="M134" s="0" t="n">
        <v>2026</v>
      </c>
      <c r="N134" s="0" t="n">
        <v>12.9</v>
      </c>
      <c r="O134" s="0" t="n">
        <v>269.2</v>
      </c>
      <c r="Q134" s="0" t="n">
        <v>2026</v>
      </c>
      <c r="R134" s="0" t="n">
        <v>488</v>
      </c>
      <c r="T134" s="0" t="n">
        <v>2027</v>
      </c>
      <c r="U134" s="0" t="n">
        <v>2668</v>
      </c>
      <c r="W134" s="0" t="n">
        <v>2026</v>
      </c>
      <c r="X134" s="0" t="n">
        <v>679.745</v>
      </c>
    </row>
    <row r="135" customFormat="false" ht="15" hidden="false" customHeight="false" outlineLevel="0" collapsed="false">
      <c r="A135" s="0" t="n">
        <v>2026</v>
      </c>
      <c r="B135" s="0" t="n">
        <v>18.03165184</v>
      </c>
      <c r="C135" s="0" t="n">
        <v>378.6646886</v>
      </c>
      <c r="E135" s="0" t="n">
        <v>2026</v>
      </c>
      <c r="F135" s="0" t="n">
        <v>96.263601</v>
      </c>
      <c r="G135" s="0" t="n">
        <v>2018.196999</v>
      </c>
      <c r="I135" s="0" t="n">
        <v>2026</v>
      </c>
      <c r="J135" s="0" t="n">
        <v>1.9</v>
      </c>
      <c r="K135" s="0" t="n">
        <v>39.94</v>
      </c>
      <c r="M135" s="0" t="n">
        <v>2026</v>
      </c>
      <c r="N135" s="0" t="n">
        <v>7.74</v>
      </c>
      <c r="O135" s="0" t="n">
        <v>161.52</v>
      </c>
      <c r="Q135" s="0" t="n">
        <v>2026</v>
      </c>
      <c r="R135" s="0" t="n">
        <v>231</v>
      </c>
      <c r="T135" s="0" t="n">
        <v>2027</v>
      </c>
      <c r="U135" s="0" t="n">
        <v>86289</v>
      </c>
      <c r="W135" s="0" t="n">
        <v>2026</v>
      </c>
      <c r="X135" s="0" t="n">
        <v>303.886</v>
      </c>
    </row>
    <row r="136" customFormat="false" ht="15" hidden="false" customHeight="false" outlineLevel="0" collapsed="false">
      <c r="A136" s="0" t="n">
        <v>2026</v>
      </c>
      <c r="B136" s="0" t="n">
        <v>180.1458873</v>
      </c>
      <c r="C136" s="0" t="n">
        <v>3783.063634</v>
      </c>
      <c r="E136" s="0" t="n">
        <v>2026</v>
      </c>
      <c r="F136" s="0" t="n">
        <v>4.506477</v>
      </c>
      <c r="G136" s="0" t="n">
        <v>94.479723</v>
      </c>
      <c r="I136" s="0" t="n">
        <v>2026</v>
      </c>
      <c r="J136" s="0" t="n">
        <v>3.8</v>
      </c>
      <c r="K136" s="0" t="n">
        <v>79.88</v>
      </c>
      <c r="M136" s="0" t="n">
        <v>2026</v>
      </c>
      <c r="N136" s="0" t="n">
        <v>6.45</v>
      </c>
      <c r="O136" s="0" t="n">
        <v>134.6</v>
      </c>
      <c r="Q136" s="0" t="n">
        <v>2026</v>
      </c>
      <c r="R136" s="0" t="n">
        <v>51</v>
      </c>
      <c r="T136" s="0" t="n">
        <v>2027</v>
      </c>
      <c r="U136" s="0" t="n">
        <v>2668</v>
      </c>
      <c r="W136" s="0" t="n">
        <v>2026</v>
      </c>
      <c r="X136" s="0" t="n">
        <v>119.955</v>
      </c>
    </row>
    <row r="137" customFormat="false" ht="15" hidden="false" customHeight="false" outlineLevel="0" collapsed="false">
      <c r="A137" s="0" t="n">
        <v>2026</v>
      </c>
      <c r="B137" s="0" t="n">
        <v>45.43811977</v>
      </c>
      <c r="C137" s="0" t="n">
        <v>954.2005151</v>
      </c>
      <c r="E137" s="0" t="n">
        <v>2026</v>
      </c>
      <c r="F137" s="0" t="n">
        <v>24.641082</v>
      </c>
      <c r="G137" s="0" t="n">
        <v>516.608118</v>
      </c>
      <c r="I137" s="0" t="n">
        <v>2026</v>
      </c>
      <c r="J137" s="0" t="n">
        <v>6.65</v>
      </c>
      <c r="K137" s="0" t="n">
        <v>139.79</v>
      </c>
      <c r="M137" s="0" t="n">
        <v>2026</v>
      </c>
      <c r="N137" s="0" t="n">
        <v>5.16</v>
      </c>
      <c r="O137" s="0" t="n">
        <v>107.68</v>
      </c>
      <c r="Q137" s="0" t="n">
        <v>2026</v>
      </c>
      <c r="R137" s="0" t="n">
        <v>50</v>
      </c>
      <c r="T137" s="0" t="n">
        <v>2027</v>
      </c>
      <c r="U137" s="0" t="n">
        <v>43144</v>
      </c>
      <c r="W137" s="0" t="n">
        <v>2026</v>
      </c>
      <c r="X137" s="0" t="n">
        <v>175.934</v>
      </c>
    </row>
    <row r="138" customFormat="false" ht="15" hidden="false" customHeight="false" outlineLevel="0" collapsed="false">
      <c r="A138" s="0" t="n">
        <v>2026</v>
      </c>
      <c r="B138" s="0" t="n">
        <v>40.51969601</v>
      </c>
      <c r="C138" s="0" t="n">
        <v>850.9136162</v>
      </c>
      <c r="E138" s="0" t="n">
        <v>2026</v>
      </c>
      <c r="F138" s="0" t="n">
        <v>22.531866</v>
      </c>
      <c r="G138" s="0" t="n">
        <v>472.387734</v>
      </c>
      <c r="I138" s="0" t="n">
        <v>2026</v>
      </c>
      <c r="J138" s="0" t="n">
        <v>2.85</v>
      </c>
      <c r="K138" s="0" t="n">
        <v>59.91</v>
      </c>
      <c r="M138" s="0" t="n">
        <v>2026</v>
      </c>
      <c r="N138" s="0" t="n">
        <v>2.58</v>
      </c>
      <c r="O138" s="0" t="n">
        <v>53.84</v>
      </c>
      <c r="Q138" s="0" t="n">
        <v>2026</v>
      </c>
      <c r="R138" s="0" t="n">
        <v>50</v>
      </c>
      <c r="T138" s="0" t="n">
        <v>2027</v>
      </c>
      <c r="U138" s="0" t="n">
        <v>1334</v>
      </c>
      <c r="W138" s="0" t="n">
        <v>2026</v>
      </c>
      <c r="X138" s="0" t="n">
        <v>135.949</v>
      </c>
    </row>
    <row r="139" customFormat="false" ht="15" hidden="false" customHeight="false" outlineLevel="0" collapsed="false">
      <c r="A139" s="0" t="n">
        <v>2026</v>
      </c>
      <c r="B139" s="0" t="n">
        <v>28.1790472</v>
      </c>
      <c r="C139" s="0" t="n">
        <v>591.7599911</v>
      </c>
      <c r="E139" s="0" t="n">
        <v>2026</v>
      </c>
      <c r="F139" s="0" t="n">
        <v>741.628407</v>
      </c>
      <c r="G139" s="0" t="n">
        <v>15565.97336</v>
      </c>
      <c r="I139" s="0" t="n">
        <v>2026</v>
      </c>
      <c r="J139" s="0" t="n">
        <v>2.85</v>
      </c>
      <c r="K139" s="0" t="n">
        <v>59.91</v>
      </c>
      <c r="M139" s="0" t="n">
        <v>2026</v>
      </c>
      <c r="N139" s="0" t="n">
        <v>57.76</v>
      </c>
      <c r="O139" s="0" t="n">
        <v>1207.26</v>
      </c>
      <c r="Q139" s="0" t="n">
        <v>2026</v>
      </c>
      <c r="R139" s="0" t="n">
        <v>83</v>
      </c>
      <c r="T139" s="0" t="n">
        <v>2027</v>
      </c>
      <c r="U139" s="0" t="n">
        <v>359537</v>
      </c>
      <c r="W139" s="0" t="n">
        <v>2026</v>
      </c>
      <c r="X139" s="0" t="n">
        <v>7500.76</v>
      </c>
    </row>
    <row r="140" customFormat="false" ht="15" hidden="false" customHeight="false" outlineLevel="0" collapsed="false">
      <c r="A140" s="0" t="n">
        <v>2026</v>
      </c>
      <c r="B140" s="0" t="n">
        <v>20.96051738</v>
      </c>
      <c r="C140" s="0" t="n">
        <v>440.1708651</v>
      </c>
      <c r="E140" s="0" t="n">
        <v>2026</v>
      </c>
      <c r="F140" s="0" t="n">
        <v>199.135443</v>
      </c>
      <c r="G140" s="0" t="n">
        <v>4179.636287</v>
      </c>
      <c r="I140" s="0" t="n">
        <v>2026</v>
      </c>
      <c r="J140" s="0" t="n">
        <v>4.16</v>
      </c>
      <c r="K140" s="0" t="n">
        <v>83.2</v>
      </c>
      <c r="M140" s="0" t="n">
        <v>2026</v>
      </c>
      <c r="N140" s="0" t="n">
        <v>38</v>
      </c>
      <c r="O140" s="0" t="n">
        <v>794.25</v>
      </c>
      <c r="Q140" s="0" t="n">
        <v>2026</v>
      </c>
      <c r="R140" s="0" t="n">
        <v>79</v>
      </c>
      <c r="T140" s="0" t="n">
        <v>2027</v>
      </c>
      <c r="U140" s="0" t="n">
        <v>11120</v>
      </c>
      <c r="W140" s="0" t="n">
        <v>2026</v>
      </c>
      <c r="X140" s="0" t="n">
        <v>1875.19</v>
      </c>
    </row>
    <row r="141" customFormat="false" ht="15" hidden="false" customHeight="false" outlineLevel="0" collapsed="false">
      <c r="A141" s="0" t="n">
        <v>2026</v>
      </c>
      <c r="B141" s="0" t="n">
        <v>9.315785504</v>
      </c>
      <c r="C141" s="0" t="n">
        <v>195.6314956</v>
      </c>
      <c r="E141" s="0" t="n">
        <v>2026</v>
      </c>
      <c r="F141" s="0" t="n">
        <v>79.706991</v>
      </c>
      <c r="G141" s="0" t="n">
        <v>1672.963019</v>
      </c>
      <c r="I141" s="0" t="n">
        <v>2026</v>
      </c>
      <c r="J141" s="0" t="n">
        <v>0.64</v>
      </c>
      <c r="K141" s="0" t="n">
        <v>12.8</v>
      </c>
      <c r="M141" s="0" t="n">
        <v>2026</v>
      </c>
      <c r="N141" s="0" t="n">
        <v>15.2</v>
      </c>
      <c r="O141" s="0" t="n">
        <v>317.7</v>
      </c>
      <c r="Q141" s="0" t="n">
        <v>2026</v>
      </c>
      <c r="R141" s="0" t="n">
        <v>38</v>
      </c>
      <c r="T141" s="0" t="n">
        <v>2027</v>
      </c>
      <c r="U141" s="0" t="n">
        <v>136624</v>
      </c>
      <c r="W141" s="0" t="n">
        <v>2026</v>
      </c>
      <c r="X141" s="0" t="n">
        <v>580.704</v>
      </c>
    </row>
    <row r="142" customFormat="false" ht="15" hidden="false" customHeight="false" outlineLevel="0" collapsed="false">
      <c r="A142" s="0" t="n">
        <v>2026</v>
      </c>
      <c r="B142" s="0" t="n">
        <v>34.4085924</v>
      </c>
      <c r="C142" s="0" t="n">
        <v>722.5804403</v>
      </c>
      <c r="E142" s="0" t="n">
        <v>2026</v>
      </c>
      <c r="F142" s="0" t="n">
        <v>11.196237</v>
      </c>
      <c r="G142" s="0" t="n">
        <v>234.996833</v>
      </c>
      <c r="I142" s="0" t="n">
        <v>2026</v>
      </c>
      <c r="J142" s="0" t="n">
        <v>0.48</v>
      </c>
      <c r="K142" s="0" t="n">
        <v>9.6</v>
      </c>
      <c r="M142" s="0" t="n">
        <v>2026</v>
      </c>
      <c r="N142" s="0" t="n">
        <v>15.2</v>
      </c>
      <c r="O142" s="0" t="n">
        <v>317.7</v>
      </c>
      <c r="Q142" s="0" t="n">
        <v>2026</v>
      </c>
      <c r="R142" s="0" t="n">
        <v>8</v>
      </c>
      <c r="T142" s="0" t="n">
        <v>2027</v>
      </c>
      <c r="U142" s="0" t="n">
        <v>4225</v>
      </c>
      <c r="W142" s="0" t="n">
        <v>2026</v>
      </c>
      <c r="X142" s="0" t="n">
        <v>1028.33</v>
      </c>
    </row>
    <row r="143" customFormat="false" ht="15" hidden="false" customHeight="false" outlineLevel="0" collapsed="false">
      <c r="A143" s="0" t="n">
        <v>2026</v>
      </c>
      <c r="B143" s="0" t="n">
        <v>10.77109096</v>
      </c>
      <c r="C143" s="0" t="n">
        <v>226.1929102</v>
      </c>
      <c r="E143" s="0" t="n">
        <v>2026</v>
      </c>
      <c r="F143" s="0" t="n">
        <v>267.646197</v>
      </c>
      <c r="G143" s="0" t="n">
        <v>5617.602473</v>
      </c>
      <c r="I143" s="0" t="n">
        <v>2026</v>
      </c>
      <c r="J143" s="0" t="n">
        <v>0.8</v>
      </c>
      <c r="K143" s="0" t="n">
        <v>16</v>
      </c>
      <c r="M143" s="0" t="n">
        <v>2026</v>
      </c>
      <c r="N143" s="0" t="n">
        <v>9.12</v>
      </c>
      <c r="O143" s="0" t="n">
        <v>190.62</v>
      </c>
      <c r="Q143" s="0" t="n">
        <v>2026</v>
      </c>
      <c r="R143" s="0" t="n">
        <v>8</v>
      </c>
      <c r="T143" s="0" t="n">
        <v>2027</v>
      </c>
      <c r="U143" s="0" t="n">
        <v>158196</v>
      </c>
      <c r="W143" s="0" t="n">
        <v>2026</v>
      </c>
      <c r="X143" s="0" t="n">
        <v>459.724</v>
      </c>
    </row>
    <row r="144" customFormat="false" ht="15" hidden="false" customHeight="false" outlineLevel="0" collapsed="false">
      <c r="A144" s="0" t="n">
        <v>2026</v>
      </c>
      <c r="B144" s="0" t="n">
        <v>24.08350116</v>
      </c>
      <c r="C144" s="0" t="n">
        <v>505.7535243</v>
      </c>
      <c r="E144" s="0" t="n">
        <v>2026</v>
      </c>
      <c r="F144" s="0" t="n">
        <v>12.529569</v>
      </c>
      <c r="G144" s="0" t="n">
        <v>262.982021</v>
      </c>
      <c r="I144" s="0" t="n">
        <v>2026</v>
      </c>
      <c r="J144" s="0" t="n">
        <v>0.16</v>
      </c>
      <c r="K144" s="0" t="n">
        <v>3.2</v>
      </c>
      <c r="M144" s="0" t="n">
        <v>2026</v>
      </c>
      <c r="N144" s="0" t="n">
        <v>7.6</v>
      </c>
      <c r="O144" s="0" t="n">
        <v>158.85</v>
      </c>
      <c r="Q144" s="0" t="n">
        <v>2026</v>
      </c>
      <c r="R144" s="0" t="n">
        <v>8</v>
      </c>
      <c r="T144" s="0" t="n">
        <v>2027</v>
      </c>
      <c r="U144" s="0" t="n">
        <v>4892</v>
      </c>
      <c r="W144" s="0" t="n">
        <v>2026</v>
      </c>
      <c r="X144" s="0" t="n">
        <v>181.47</v>
      </c>
    </row>
    <row r="145" customFormat="false" ht="15" hidden="false" customHeight="false" outlineLevel="0" collapsed="false">
      <c r="A145" s="0" t="n">
        <v>2026</v>
      </c>
      <c r="B145" s="0" t="n">
        <v>143.1709499</v>
      </c>
      <c r="C145" s="0" t="n">
        <v>3006.589948</v>
      </c>
      <c r="E145" s="0" t="n">
        <v>2026</v>
      </c>
      <c r="F145" s="0" t="n">
        <v>68.510754</v>
      </c>
      <c r="G145" s="0" t="n">
        <v>1437.966186</v>
      </c>
      <c r="I145" s="0" t="n">
        <v>2026</v>
      </c>
      <c r="J145" s="0" t="n">
        <v>0.16</v>
      </c>
      <c r="K145" s="0" t="n">
        <v>3.2</v>
      </c>
      <c r="M145" s="0" t="n">
        <v>2026</v>
      </c>
      <c r="N145" s="0" t="n">
        <v>6.08</v>
      </c>
      <c r="O145" s="0" t="n">
        <v>127.08</v>
      </c>
      <c r="Q145" s="0" t="n">
        <v>2026</v>
      </c>
      <c r="R145" s="0" t="n">
        <v>213</v>
      </c>
      <c r="T145" s="0" t="n">
        <v>2027</v>
      </c>
      <c r="U145" s="0" t="n">
        <v>151005</v>
      </c>
      <c r="W145" s="0" t="n">
        <v>2026</v>
      </c>
      <c r="X145" s="0" t="n">
        <v>266.156</v>
      </c>
    </row>
    <row r="146" customFormat="false" ht="15" hidden="false" customHeight="false" outlineLevel="0" collapsed="false">
      <c r="A146" s="0" t="n">
        <v>2026</v>
      </c>
      <c r="B146" s="0" t="n">
        <v>36.11194718</v>
      </c>
      <c r="C146" s="0" t="n">
        <v>758.3508909</v>
      </c>
      <c r="E146" s="0" t="n">
        <v>2026</v>
      </c>
      <c r="F146" s="0" t="n">
        <v>62.646402</v>
      </c>
      <c r="G146" s="0" t="n">
        <v>1314.879818</v>
      </c>
      <c r="I146" s="0" t="n">
        <v>2026</v>
      </c>
      <c r="J146" s="0" t="n">
        <v>0</v>
      </c>
      <c r="K146" s="0" t="n">
        <v>0</v>
      </c>
      <c r="M146" s="0" t="n">
        <v>2026</v>
      </c>
      <c r="N146" s="0" t="n">
        <v>3.04</v>
      </c>
      <c r="O146" s="0" t="n">
        <v>63.54</v>
      </c>
      <c r="Q146" s="0" t="n">
        <v>2026</v>
      </c>
      <c r="R146" s="0" t="n">
        <v>202</v>
      </c>
      <c r="T146" s="0" t="n">
        <v>2027</v>
      </c>
      <c r="U146" s="0" t="n">
        <v>4671</v>
      </c>
      <c r="W146" s="0" t="n">
        <v>2026</v>
      </c>
      <c r="X146" s="0" t="n">
        <v>205.666</v>
      </c>
    </row>
    <row r="147" customFormat="false" ht="15" hidden="false" customHeight="false" outlineLevel="0" collapsed="false">
      <c r="A147" s="0" t="n">
        <v>2026</v>
      </c>
      <c r="B147" s="0" t="n">
        <v>32.20302974</v>
      </c>
      <c r="C147" s="0" t="n">
        <v>676.2636245</v>
      </c>
      <c r="E147" s="0" t="n">
        <v>2026</v>
      </c>
      <c r="F147" s="0" t="n">
        <v>234.360744</v>
      </c>
      <c r="G147" s="0" t="n">
        <v>4915.408236</v>
      </c>
      <c r="I147" s="0" t="n">
        <v>2026</v>
      </c>
      <c r="J147" s="0" t="n">
        <v>0.32</v>
      </c>
      <c r="K147" s="0" t="n">
        <v>6.4</v>
      </c>
      <c r="M147" s="0" t="n">
        <v>2026</v>
      </c>
      <c r="N147" s="0" t="n">
        <v>110.96</v>
      </c>
      <c r="O147" s="0" t="n">
        <v>2324.84</v>
      </c>
      <c r="Q147" s="0" t="n">
        <v>2026</v>
      </c>
      <c r="R147" s="0" t="n">
        <v>96</v>
      </c>
      <c r="T147" s="0" t="n">
        <v>2027</v>
      </c>
      <c r="U147" s="0" t="n">
        <v>143816</v>
      </c>
      <c r="W147" s="0" t="n">
        <v>2026</v>
      </c>
      <c r="X147" s="0" t="n">
        <v>7192</v>
      </c>
    </row>
    <row r="148" customFormat="false" ht="15" hidden="false" customHeight="false" outlineLevel="0" collapsed="false">
      <c r="A148" s="0" t="n">
        <v>2026</v>
      </c>
      <c r="B148" s="0" t="n">
        <v>22.39529869</v>
      </c>
      <c r="C148" s="0" t="n">
        <v>470.3012725</v>
      </c>
      <c r="E148" s="0" t="n">
        <v>2026</v>
      </c>
      <c r="F148" s="0" t="n">
        <v>62.928456</v>
      </c>
      <c r="G148" s="0" t="n">
        <v>1319.841564</v>
      </c>
      <c r="I148" s="0" t="n">
        <v>2026</v>
      </c>
      <c r="J148" s="0" t="n">
        <v>0.56</v>
      </c>
      <c r="K148" s="0" t="n">
        <v>11.2</v>
      </c>
      <c r="M148" s="0" t="n">
        <v>2026</v>
      </c>
      <c r="N148" s="0" t="n">
        <v>73</v>
      </c>
      <c r="O148" s="0" t="n">
        <v>1529.5</v>
      </c>
      <c r="Q148" s="0" t="n">
        <v>2026</v>
      </c>
      <c r="R148" s="0" t="n">
        <v>21</v>
      </c>
      <c r="T148" s="0" t="n">
        <v>2027</v>
      </c>
      <c r="U148" s="0" t="n">
        <v>4448</v>
      </c>
      <c r="W148" s="0" t="n">
        <v>2026</v>
      </c>
      <c r="X148" s="0" t="n">
        <v>1798</v>
      </c>
    </row>
    <row r="149" customFormat="false" ht="15" hidden="false" customHeight="false" outlineLevel="0" collapsed="false">
      <c r="A149" s="0" t="n">
        <v>2026</v>
      </c>
      <c r="B149" s="0" t="n">
        <v>16.65837188</v>
      </c>
      <c r="C149" s="0" t="n">
        <v>349.8258095</v>
      </c>
      <c r="E149" s="0" t="n">
        <v>2026</v>
      </c>
      <c r="F149" s="0" t="n">
        <v>25.188072</v>
      </c>
      <c r="G149" s="0" t="n">
        <v>528.286668</v>
      </c>
      <c r="I149" s="0" t="n">
        <v>2026</v>
      </c>
      <c r="J149" s="0" t="n">
        <v>0.16</v>
      </c>
      <c r="K149" s="0" t="n">
        <v>3.2</v>
      </c>
      <c r="M149" s="0" t="n">
        <v>2026</v>
      </c>
      <c r="N149" s="0" t="n">
        <v>29.2</v>
      </c>
      <c r="O149" s="0" t="n">
        <v>611.8</v>
      </c>
      <c r="Q149" s="0" t="n">
        <v>2026</v>
      </c>
      <c r="R149" s="0" t="n">
        <v>19</v>
      </c>
      <c r="T149" s="0" t="n">
        <v>2027</v>
      </c>
      <c r="U149" s="0" t="n">
        <v>107862</v>
      </c>
      <c r="W149" s="0" t="n">
        <v>2026</v>
      </c>
      <c r="X149" s="0" t="n">
        <v>556.8</v>
      </c>
    </row>
    <row r="150" customFormat="false" ht="15" hidden="false" customHeight="false" outlineLevel="0" collapsed="false">
      <c r="A150" s="0" t="n">
        <v>2026</v>
      </c>
      <c r="B150" s="0" t="n">
        <v>7.403720837</v>
      </c>
      <c r="C150" s="0" t="n">
        <v>155.4781376</v>
      </c>
      <c r="E150" s="0" t="n">
        <v>2026</v>
      </c>
      <c r="F150" s="0" t="n">
        <v>3.538104</v>
      </c>
      <c r="G150" s="0" t="n">
        <v>74.207076</v>
      </c>
      <c r="I150" s="0" t="n">
        <v>2026</v>
      </c>
      <c r="J150" s="0" t="n">
        <v>0.56</v>
      </c>
      <c r="K150" s="0" t="n">
        <v>11.2</v>
      </c>
      <c r="M150" s="0" t="n">
        <v>2026</v>
      </c>
      <c r="N150" s="0" t="n">
        <v>29.2</v>
      </c>
      <c r="O150" s="0" t="n">
        <v>611.8</v>
      </c>
      <c r="Q150" s="0" t="n">
        <v>2026</v>
      </c>
      <c r="R150" s="0" t="n">
        <v>19</v>
      </c>
      <c r="T150" s="0" t="n">
        <v>2027</v>
      </c>
      <c r="U150" s="0" t="n">
        <v>3336</v>
      </c>
      <c r="W150" s="0" t="n">
        <v>2026</v>
      </c>
      <c r="X150" s="0" t="n">
        <v>986</v>
      </c>
    </row>
    <row r="151" customFormat="false" ht="15" hidden="false" customHeight="false" outlineLevel="0" collapsed="false">
      <c r="A151" s="0" t="n">
        <v>2026</v>
      </c>
      <c r="B151" s="0" t="n">
        <v>27.34622994</v>
      </c>
      <c r="C151" s="0" t="n">
        <v>574.2708288</v>
      </c>
      <c r="E151" s="0" t="n">
        <v>2026</v>
      </c>
      <c r="F151" s="0" t="n">
        <v>84.578424</v>
      </c>
      <c r="G151" s="0" t="n">
        <v>1773.921156</v>
      </c>
      <c r="I151" s="0" t="n">
        <v>2026</v>
      </c>
      <c r="J151" s="0" t="n">
        <v>549.12</v>
      </c>
      <c r="K151" s="0" t="n">
        <v>11533.44</v>
      </c>
      <c r="M151" s="0" t="n">
        <v>2026</v>
      </c>
      <c r="N151" s="0" t="n">
        <v>17.52</v>
      </c>
      <c r="O151" s="0" t="n">
        <v>367.08</v>
      </c>
      <c r="Q151" s="0" t="n">
        <v>2026</v>
      </c>
      <c r="R151" s="0" t="n">
        <v>122</v>
      </c>
      <c r="T151" s="0" t="n">
        <v>2027</v>
      </c>
      <c r="U151" s="0" t="n">
        <v>93480</v>
      </c>
      <c r="W151" s="0" t="n">
        <v>2026</v>
      </c>
      <c r="X151" s="0" t="n">
        <v>440.8</v>
      </c>
    </row>
    <row r="152" customFormat="false" ht="15" hidden="false" customHeight="false" outlineLevel="0" collapsed="false">
      <c r="A152" s="0" t="n">
        <v>2026</v>
      </c>
      <c r="B152" s="0" t="n">
        <v>8.560324897</v>
      </c>
      <c r="C152" s="0" t="n">
        <v>179.7668228</v>
      </c>
      <c r="E152" s="0" t="n">
        <v>2026</v>
      </c>
      <c r="F152" s="0" t="n">
        <v>3.959448</v>
      </c>
      <c r="G152" s="0" t="n">
        <v>83.044212</v>
      </c>
      <c r="I152" s="0" t="n">
        <v>2026</v>
      </c>
      <c r="J152" s="0" t="n">
        <v>183.04</v>
      </c>
      <c r="K152" s="0" t="n">
        <v>3844.48</v>
      </c>
      <c r="M152" s="0" t="n">
        <v>2026</v>
      </c>
      <c r="N152" s="0" t="n">
        <v>14.6</v>
      </c>
      <c r="O152" s="0" t="n">
        <v>305.9</v>
      </c>
      <c r="Q152" s="0" t="n">
        <v>2026</v>
      </c>
      <c r="R152" s="0" t="n">
        <v>116</v>
      </c>
      <c r="T152" s="0" t="n">
        <v>2027</v>
      </c>
      <c r="U152" s="0" t="n">
        <v>2891</v>
      </c>
      <c r="W152" s="0" t="n">
        <v>2026</v>
      </c>
      <c r="X152" s="0" t="n">
        <v>174</v>
      </c>
    </row>
    <row r="153" customFormat="false" ht="15" hidden="false" customHeight="false" outlineLevel="0" collapsed="false">
      <c r="A153" s="0" t="n">
        <v>2026</v>
      </c>
      <c r="B153" s="0" t="n">
        <v>19.14036334</v>
      </c>
      <c r="C153" s="0" t="n">
        <v>401.9476302</v>
      </c>
      <c r="E153" s="0" t="n">
        <v>2026</v>
      </c>
      <c r="F153" s="0" t="n">
        <v>21.649968</v>
      </c>
      <c r="G153" s="0" t="n">
        <v>454.079592</v>
      </c>
      <c r="I153" s="0" t="n">
        <v>2026</v>
      </c>
      <c r="J153" s="0" t="n">
        <v>80.08</v>
      </c>
      <c r="K153" s="0" t="n">
        <v>1681.96</v>
      </c>
      <c r="M153" s="0" t="n">
        <v>2026</v>
      </c>
      <c r="N153" s="0" t="n">
        <v>11.68</v>
      </c>
      <c r="O153" s="0" t="n">
        <v>244.72</v>
      </c>
      <c r="Q153" s="0" t="n">
        <v>2026</v>
      </c>
      <c r="R153" s="0" t="n">
        <v>55</v>
      </c>
      <c r="T153" s="0" t="n">
        <v>2027</v>
      </c>
      <c r="U153" s="0" t="n">
        <v>79098</v>
      </c>
      <c r="W153" s="0" t="n">
        <v>2026</v>
      </c>
      <c r="X153" s="0" t="n">
        <v>255.2</v>
      </c>
    </row>
    <row r="154" customFormat="false" ht="15" hidden="false" customHeight="false" outlineLevel="0" collapsed="false">
      <c r="A154" s="0" t="n">
        <v>2026</v>
      </c>
      <c r="B154" s="0" t="n">
        <v>202.3403549</v>
      </c>
      <c r="C154" s="0" t="n">
        <v>4249.147453</v>
      </c>
      <c r="E154" s="0" t="n">
        <v>2026</v>
      </c>
      <c r="F154" s="0" t="n">
        <v>19.796784</v>
      </c>
      <c r="G154" s="0" t="n">
        <v>415.211496</v>
      </c>
      <c r="I154" s="0" t="n">
        <v>2026</v>
      </c>
      <c r="J154" s="0" t="n">
        <v>45.76</v>
      </c>
      <c r="K154" s="0" t="n">
        <v>961.12</v>
      </c>
      <c r="M154" s="0" t="n">
        <v>2026</v>
      </c>
      <c r="N154" s="0" t="n">
        <v>5.84</v>
      </c>
      <c r="O154" s="0" t="n">
        <v>122.36</v>
      </c>
      <c r="Q154" s="0" t="n">
        <v>2026</v>
      </c>
      <c r="R154" s="0" t="n">
        <v>12</v>
      </c>
      <c r="T154" s="0" t="n">
        <v>2027</v>
      </c>
      <c r="U154" s="0" t="n">
        <v>2447</v>
      </c>
      <c r="W154" s="0" t="n">
        <v>2026</v>
      </c>
      <c r="X154" s="0" t="n">
        <v>197.2</v>
      </c>
    </row>
    <row r="155" customFormat="false" ht="15" hidden="false" customHeight="false" outlineLevel="0" collapsed="false">
      <c r="A155" s="0" t="n">
        <v>2026</v>
      </c>
      <c r="B155" s="0" t="n">
        <v>51.03622079</v>
      </c>
      <c r="C155" s="0" t="n">
        <v>1071.760637</v>
      </c>
      <c r="E155" s="0" t="n">
        <v>2026</v>
      </c>
      <c r="F155" s="0" t="n">
        <v>587.443707</v>
      </c>
      <c r="G155" s="0" t="n">
        <v>12327.58071</v>
      </c>
      <c r="I155" s="0" t="n">
        <v>2026</v>
      </c>
      <c r="J155" s="0" t="n">
        <v>45.76</v>
      </c>
      <c r="K155" s="0" t="n">
        <v>961.12</v>
      </c>
      <c r="M155" s="0" t="n">
        <v>2026</v>
      </c>
      <c r="N155" s="0" t="n">
        <v>111.34</v>
      </c>
      <c r="O155" s="0" t="n">
        <v>2330.92</v>
      </c>
      <c r="Q155" s="0" t="n">
        <v>2026</v>
      </c>
      <c r="R155" s="0" t="n">
        <v>13</v>
      </c>
      <c r="T155" s="0" t="n">
        <v>2027</v>
      </c>
      <c r="U155" s="0" t="n">
        <v>604023</v>
      </c>
      <c r="W155" s="0" t="n">
        <v>2026</v>
      </c>
      <c r="X155" s="0" t="n">
        <v>66106.88</v>
      </c>
    </row>
    <row r="156" customFormat="false" ht="15" hidden="false" customHeight="false" outlineLevel="0" collapsed="false">
      <c r="A156" s="0" t="n">
        <v>2026</v>
      </c>
      <c r="B156" s="0" t="n">
        <v>45.51183373</v>
      </c>
      <c r="C156" s="0" t="n">
        <v>955.7485083</v>
      </c>
      <c r="E156" s="0" t="n">
        <v>2026</v>
      </c>
      <c r="F156" s="0" t="n">
        <v>157.735143</v>
      </c>
      <c r="G156" s="0" t="n">
        <v>3310.091986</v>
      </c>
      <c r="I156" s="0" t="n">
        <v>2026</v>
      </c>
      <c r="J156" s="0" t="n">
        <v>22.88</v>
      </c>
      <c r="K156" s="0" t="n">
        <v>480.56</v>
      </c>
      <c r="M156" s="0" t="n">
        <v>2026</v>
      </c>
      <c r="N156" s="0" t="n">
        <v>73.25</v>
      </c>
      <c r="O156" s="0" t="n">
        <v>1533.5</v>
      </c>
      <c r="Q156" s="0" t="n">
        <v>2026</v>
      </c>
      <c r="R156" s="0" t="n">
        <v>13</v>
      </c>
      <c r="T156" s="0" t="n">
        <v>2027</v>
      </c>
      <c r="U156" s="0" t="n">
        <v>18681</v>
      </c>
      <c r="W156" s="0" t="n">
        <v>2026</v>
      </c>
      <c r="X156" s="0" t="n">
        <v>16526.72</v>
      </c>
    </row>
    <row r="157" customFormat="false" ht="15" hidden="false" customHeight="false" outlineLevel="0" collapsed="false">
      <c r="A157" s="0" t="n">
        <v>2026</v>
      </c>
      <c r="B157" s="0" t="n">
        <v>31.65078313</v>
      </c>
      <c r="C157" s="0" t="n">
        <v>664.6664456</v>
      </c>
      <c r="E157" s="0" t="n">
        <v>2026</v>
      </c>
      <c r="F157" s="0" t="n">
        <v>63.135891</v>
      </c>
      <c r="G157" s="0" t="n">
        <v>1324.914682</v>
      </c>
      <c r="I157" s="0" t="n">
        <v>2026</v>
      </c>
      <c r="J157" s="0" t="n">
        <v>22.88</v>
      </c>
      <c r="K157" s="0" t="n">
        <v>480.56</v>
      </c>
      <c r="M157" s="0" t="n">
        <v>2026</v>
      </c>
      <c r="N157" s="0" t="n">
        <v>29.3</v>
      </c>
      <c r="O157" s="0" t="n">
        <v>613.4</v>
      </c>
      <c r="Q157" s="0" t="n">
        <v>2026</v>
      </c>
      <c r="R157" s="0" t="n">
        <v>83</v>
      </c>
      <c r="T157" s="0" t="n">
        <v>2027</v>
      </c>
      <c r="U157" s="0" t="n">
        <v>86289</v>
      </c>
      <c r="W157" s="0" t="n">
        <v>2026</v>
      </c>
      <c r="X157" s="0" t="n">
        <v>5117.952</v>
      </c>
    </row>
    <row r="158" customFormat="false" ht="15" hidden="false" customHeight="false" outlineLevel="0" collapsed="false">
      <c r="A158" s="0" t="n">
        <v>2026</v>
      </c>
      <c r="B158" s="0" t="n">
        <v>23.54291064</v>
      </c>
      <c r="C158" s="0" t="n">
        <v>494.4011233</v>
      </c>
      <c r="E158" s="0" t="n">
        <v>2026</v>
      </c>
      <c r="F158" s="0" t="n">
        <v>8.868537</v>
      </c>
      <c r="G158" s="0" t="n">
        <v>186.107374</v>
      </c>
      <c r="I158" s="0" t="n">
        <v>2026</v>
      </c>
      <c r="J158" s="0" t="n">
        <v>45.76</v>
      </c>
      <c r="K158" s="0" t="n">
        <v>961.12</v>
      </c>
      <c r="M158" s="0" t="n">
        <v>2026</v>
      </c>
      <c r="N158" s="0" t="n">
        <v>29.3</v>
      </c>
      <c r="O158" s="0" t="n">
        <v>613.4</v>
      </c>
      <c r="Q158" s="0" t="n">
        <v>2026</v>
      </c>
      <c r="R158" s="0" t="n">
        <v>79</v>
      </c>
      <c r="T158" s="0" t="n">
        <v>2027</v>
      </c>
      <c r="U158" s="0" t="n">
        <v>2668</v>
      </c>
      <c r="W158" s="0" t="n">
        <v>2026</v>
      </c>
      <c r="X158" s="0" t="n">
        <v>9063.04</v>
      </c>
    </row>
    <row r="159" customFormat="false" ht="15" hidden="false" customHeight="false" outlineLevel="0" collapsed="false">
      <c r="A159" s="0" t="n">
        <v>2026</v>
      </c>
      <c r="B159" s="0" t="n">
        <v>10.46351584</v>
      </c>
      <c r="C159" s="0" t="n">
        <v>219.7338326</v>
      </c>
      <c r="E159" s="0" t="n">
        <v>2026</v>
      </c>
      <c r="F159" s="0" t="n">
        <v>212.002497</v>
      </c>
      <c r="G159" s="0" t="n">
        <v>4448.899294</v>
      </c>
      <c r="I159" s="0" t="n">
        <v>2026</v>
      </c>
      <c r="J159" s="0" t="n">
        <v>80.08</v>
      </c>
      <c r="K159" s="0" t="n">
        <v>1681.96</v>
      </c>
      <c r="M159" s="0" t="n">
        <v>2026</v>
      </c>
      <c r="N159" s="0" t="n">
        <v>17.58</v>
      </c>
      <c r="O159" s="0" t="n">
        <v>368.04</v>
      </c>
      <c r="Q159" s="0" t="n">
        <v>2026</v>
      </c>
      <c r="R159" s="0" t="n">
        <v>37</v>
      </c>
      <c r="T159" s="0" t="n">
        <v>2027</v>
      </c>
      <c r="U159" s="0" t="n">
        <v>43144</v>
      </c>
      <c r="W159" s="0" t="n">
        <v>2026</v>
      </c>
      <c r="X159" s="0" t="n">
        <v>4051.712</v>
      </c>
    </row>
    <row r="160" customFormat="false" ht="15" hidden="false" customHeight="false" outlineLevel="0" collapsed="false">
      <c r="A160" s="0" t="n">
        <v>2026</v>
      </c>
      <c r="B160" s="0" t="n">
        <v>38.64782539</v>
      </c>
      <c r="C160" s="0" t="n">
        <v>811.6043331</v>
      </c>
      <c r="E160" s="0" t="n">
        <v>2026</v>
      </c>
      <c r="F160" s="0" t="n">
        <v>9.924669</v>
      </c>
      <c r="G160" s="0" t="n">
        <v>208.270438</v>
      </c>
      <c r="I160" s="0" t="n">
        <v>2026</v>
      </c>
      <c r="J160" s="0" t="n">
        <v>34.32</v>
      </c>
      <c r="K160" s="0" t="n">
        <v>720.84</v>
      </c>
      <c r="M160" s="0" t="n">
        <v>2026</v>
      </c>
      <c r="N160" s="0" t="n">
        <v>14.65</v>
      </c>
      <c r="O160" s="0" t="n">
        <v>306.7</v>
      </c>
      <c r="Q160" s="0" t="n">
        <v>2026</v>
      </c>
      <c r="R160" s="0" t="n">
        <v>8</v>
      </c>
      <c r="T160" s="0" t="n">
        <v>2027</v>
      </c>
      <c r="U160" s="0" t="n">
        <v>1334</v>
      </c>
      <c r="W160" s="0" t="n">
        <v>2026</v>
      </c>
      <c r="X160" s="0" t="n">
        <v>1599.36</v>
      </c>
    </row>
    <row r="161" customFormat="false" ht="15" hidden="false" customHeight="false" outlineLevel="0" collapsed="false">
      <c r="A161" s="0" t="n">
        <v>2026</v>
      </c>
      <c r="B161" s="0" t="n">
        <v>12.09811892</v>
      </c>
      <c r="C161" s="0" t="n">
        <v>254.0604973</v>
      </c>
      <c r="E161" s="0" t="n">
        <v>2026</v>
      </c>
      <c r="F161" s="0" t="n">
        <v>54.267354</v>
      </c>
      <c r="G161" s="0" t="n">
        <v>1138.807308</v>
      </c>
      <c r="I161" s="0" t="n">
        <v>2026</v>
      </c>
      <c r="J161" s="0" t="n">
        <v>34.32</v>
      </c>
      <c r="K161" s="0" t="n">
        <v>720.84</v>
      </c>
      <c r="M161" s="0" t="n">
        <v>2026</v>
      </c>
      <c r="N161" s="0" t="n">
        <v>11.72</v>
      </c>
      <c r="O161" s="0" t="n">
        <v>245.36</v>
      </c>
      <c r="Q161" s="0" t="n">
        <v>2026</v>
      </c>
      <c r="R161" s="0" t="n">
        <v>8</v>
      </c>
      <c r="T161" s="0" t="n">
        <v>2027</v>
      </c>
      <c r="U161" s="0" t="n">
        <v>179769</v>
      </c>
      <c r="W161" s="0" t="n">
        <v>2026</v>
      </c>
      <c r="X161" s="0" t="n">
        <v>2345.728</v>
      </c>
    </row>
    <row r="162" customFormat="false" ht="15" hidden="false" customHeight="false" outlineLevel="0" collapsed="false">
      <c r="A162" s="0" t="n">
        <v>2026</v>
      </c>
      <c r="B162" s="0" t="n">
        <v>27.05065458</v>
      </c>
      <c r="C162" s="0" t="n">
        <v>568.0637462</v>
      </c>
      <c r="E162" s="0" t="n">
        <v>2026</v>
      </c>
      <c r="F162" s="0" t="n">
        <v>49.622202</v>
      </c>
      <c r="G162" s="0" t="n">
        <v>1041.328204</v>
      </c>
      <c r="I162" s="0" t="n">
        <v>2026</v>
      </c>
      <c r="J162" s="0" t="n">
        <v>50.44</v>
      </c>
      <c r="K162" s="0" t="n">
        <v>1060.28</v>
      </c>
      <c r="M162" s="0" t="n">
        <v>2026</v>
      </c>
      <c r="N162" s="0" t="n">
        <v>5.86</v>
      </c>
      <c r="O162" s="0" t="n">
        <v>122.68</v>
      </c>
      <c r="Q162" s="0" t="n">
        <v>2026</v>
      </c>
      <c r="R162" s="0" t="n">
        <v>8</v>
      </c>
      <c r="T162" s="0" t="n">
        <v>2027</v>
      </c>
      <c r="U162" s="0" t="n">
        <v>5560</v>
      </c>
      <c r="W162" s="0" t="n">
        <v>2026</v>
      </c>
      <c r="X162" s="0" t="n">
        <v>1812.608</v>
      </c>
    </row>
    <row r="163" customFormat="false" ht="15" hidden="false" customHeight="false" outlineLevel="0" collapsed="false">
      <c r="A163" s="0" t="n">
        <v>2026</v>
      </c>
      <c r="B163" s="0" t="n">
        <v>254.3571531</v>
      </c>
      <c r="C163" s="0" t="n">
        <v>5341.500216</v>
      </c>
      <c r="E163" s="0" t="n">
        <v>2026</v>
      </c>
      <c r="F163" s="0" t="n">
        <v>1615.855656</v>
      </c>
      <c r="G163" s="0" t="n">
        <v>33927.82929</v>
      </c>
      <c r="I163" s="0" t="n">
        <v>2026</v>
      </c>
      <c r="J163" s="0" t="n">
        <v>7.76</v>
      </c>
      <c r="K163" s="0" t="n">
        <v>163.12</v>
      </c>
      <c r="M163" s="0" t="n">
        <v>2026</v>
      </c>
      <c r="N163" s="0" t="n">
        <v>619.78</v>
      </c>
      <c r="O163" s="0" t="n">
        <v>13011.96</v>
      </c>
      <c r="Q163" s="0" t="n">
        <v>2026</v>
      </c>
      <c r="R163" s="0" t="n">
        <v>846</v>
      </c>
      <c r="T163" s="0" t="n">
        <v>2028</v>
      </c>
      <c r="U163" s="0" t="n">
        <v>202725</v>
      </c>
      <c r="W163" s="0" t="n">
        <v>2026</v>
      </c>
      <c r="X163" s="0" t="n">
        <v>9254.74</v>
      </c>
    </row>
    <row r="164" customFormat="false" ht="15" hidden="false" customHeight="false" outlineLevel="0" collapsed="false">
      <c r="A164" s="0" t="n">
        <v>2026</v>
      </c>
      <c r="B164" s="0" t="n">
        <v>64.15639546</v>
      </c>
      <c r="C164" s="0" t="n">
        <v>1347.284305</v>
      </c>
      <c r="E164" s="0" t="n">
        <v>2026</v>
      </c>
      <c r="F164" s="0" t="n">
        <v>433.875144</v>
      </c>
      <c r="G164" s="0" t="n">
        <v>9109.998014</v>
      </c>
      <c r="I164" s="0" t="n">
        <v>2026</v>
      </c>
      <c r="J164" s="0" t="n">
        <v>5.82</v>
      </c>
      <c r="K164" s="0" t="n">
        <v>122.34</v>
      </c>
      <c r="M164" s="0" t="n">
        <v>2026</v>
      </c>
      <c r="N164" s="0" t="n">
        <v>407.75</v>
      </c>
      <c r="O164" s="0" t="n">
        <v>8560.5</v>
      </c>
      <c r="Q164" s="0" t="n">
        <v>2026</v>
      </c>
      <c r="R164" s="0" t="n">
        <v>803</v>
      </c>
      <c r="T164" s="0" t="n">
        <v>2028</v>
      </c>
      <c r="U164" s="0" t="n">
        <v>6271</v>
      </c>
      <c r="W164" s="0" t="n">
        <v>2026</v>
      </c>
      <c r="X164" s="0" t="n">
        <v>2313.685</v>
      </c>
    </row>
    <row r="165" customFormat="false" ht="15" hidden="false" customHeight="false" outlineLevel="0" collapsed="false">
      <c r="A165" s="0" t="n">
        <v>2026</v>
      </c>
      <c r="B165" s="0" t="n">
        <v>57.21182246</v>
      </c>
      <c r="C165" s="0" t="n">
        <v>1201.448272</v>
      </c>
      <c r="E165" s="0" t="n">
        <v>2026</v>
      </c>
      <c r="F165" s="0" t="n">
        <v>173.665128</v>
      </c>
      <c r="G165" s="0" t="n">
        <v>3646.415318</v>
      </c>
      <c r="I165" s="0" t="n">
        <v>2026</v>
      </c>
      <c r="J165" s="0" t="n">
        <v>9.7</v>
      </c>
      <c r="K165" s="0" t="n">
        <v>203.9</v>
      </c>
      <c r="M165" s="0" t="n">
        <v>2026</v>
      </c>
      <c r="N165" s="0" t="n">
        <v>163.1</v>
      </c>
      <c r="O165" s="0" t="n">
        <v>3424.2</v>
      </c>
      <c r="Q165" s="0" t="n">
        <v>2026</v>
      </c>
      <c r="R165" s="0" t="n">
        <v>381</v>
      </c>
      <c r="T165" s="0" t="n">
        <v>2028</v>
      </c>
      <c r="U165" s="0" t="n">
        <v>391603</v>
      </c>
      <c r="W165" s="0" t="n">
        <v>2026</v>
      </c>
      <c r="X165" s="0" t="n">
        <v>716.496</v>
      </c>
    </row>
    <row r="166" customFormat="false" ht="15" hidden="false" customHeight="false" outlineLevel="0" collapsed="false">
      <c r="A166" s="0" t="n">
        <v>2026</v>
      </c>
      <c r="B166" s="0" t="n">
        <v>39.78743189</v>
      </c>
      <c r="C166" s="0" t="n">
        <v>835.5360698</v>
      </c>
      <c r="E166" s="0" t="n">
        <v>2026</v>
      </c>
      <c r="F166" s="0" t="n">
        <v>24.394296</v>
      </c>
      <c r="G166" s="0" t="n">
        <v>512.202626</v>
      </c>
      <c r="I166" s="0" t="n">
        <v>2026</v>
      </c>
      <c r="J166" s="0" t="n">
        <v>1.94</v>
      </c>
      <c r="K166" s="0" t="n">
        <v>40.78</v>
      </c>
      <c r="M166" s="0" t="n">
        <v>2026</v>
      </c>
      <c r="N166" s="0" t="n">
        <v>163.1</v>
      </c>
      <c r="O166" s="0" t="n">
        <v>3424.2</v>
      </c>
      <c r="Q166" s="0" t="n">
        <v>2026</v>
      </c>
      <c r="R166" s="0" t="n">
        <v>85</v>
      </c>
      <c r="T166" s="0" t="n">
        <v>2028</v>
      </c>
      <c r="U166" s="0" t="n">
        <v>12112</v>
      </c>
      <c r="W166" s="0" t="n">
        <v>2026</v>
      </c>
      <c r="X166" s="0" t="n">
        <v>1268.795</v>
      </c>
    </row>
    <row r="167" customFormat="false" ht="15" hidden="false" customHeight="false" outlineLevel="0" collapsed="false">
      <c r="A167" s="0" t="n">
        <v>2026</v>
      </c>
      <c r="B167" s="0" t="n">
        <v>29.59522201</v>
      </c>
      <c r="C167" s="0" t="n">
        <v>621.4996623</v>
      </c>
      <c r="E167" s="0" t="n">
        <v>2026</v>
      </c>
      <c r="F167" s="0" t="n">
        <v>583.145976</v>
      </c>
      <c r="G167" s="0" t="n">
        <v>12244.21071</v>
      </c>
      <c r="I167" s="0" t="n">
        <v>2026</v>
      </c>
      <c r="J167" s="0" t="n">
        <v>1.94</v>
      </c>
      <c r="K167" s="0" t="n">
        <v>40.78</v>
      </c>
      <c r="M167" s="0" t="n">
        <v>2026</v>
      </c>
      <c r="N167" s="0" t="n">
        <v>97.86</v>
      </c>
      <c r="O167" s="0" t="n">
        <v>2054.52</v>
      </c>
      <c r="Q167" s="0" t="n">
        <v>2026</v>
      </c>
      <c r="R167" s="0" t="n">
        <v>81</v>
      </c>
      <c r="T167" s="0" t="n">
        <v>2028</v>
      </c>
      <c r="U167" s="0" t="n">
        <v>193862</v>
      </c>
      <c r="W167" s="0" t="n">
        <v>2026</v>
      </c>
      <c r="X167" s="0" t="n">
        <v>567.226</v>
      </c>
    </row>
    <row r="168" customFormat="false" ht="15" hidden="false" customHeight="false" outlineLevel="0" collapsed="false">
      <c r="A168" s="0" t="n">
        <v>2026</v>
      </c>
      <c r="B168" s="0" t="n">
        <v>13.15343201</v>
      </c>
      <c r="C168" s="0" t="n">
        <v>276.2220721</v>
      </c>
      <c r="E168" s="0" t="n">
        <v>2026</v>
      </c>
      <c r="F168" s="0" t="n">
        <v>27.299352</v>
      </c>
      <c r="G168" s="0" t="n">
        <v>573.199562</v>
      </c>
      <c r="I168" s="0" t="n">
        <v>2026</v>
      </c>
      <c r="J168" s="0" t="n">
        <v>0</v>
      </c>
      <c r="K168" s="0" t="n">
        <v>0</v>
      </c>
      <c r="M168" s="0" t="n">
        <v>2026</v>
      </c>
      <c r="N168" s="0" t="n">
        <v>81.55</v>
      </c>
      <c r="O168" s="0" t="n">
        <v>1712.1</v>
      </c>
      <c r="Q168" s="0" t="n">
        <v>2026</v>
      </c>
      <c r="R168" s="0" t="n">
        <v>81</v>
      </c>
      <c r="T168" s="0" t="n">
        <v>2028</v>
      </c>
      <c r="U168" s="0" t="n">
        <v>5996</v>
      </c>
      <c r="W168" s="0" t="n">
        <v>2026</v>
      </c>
      <c r="X168" s="0" t="n">
        <v>223.905</v>
      </c>
    </row>
    <row r="169" customFormat="false" ht="15" hidden="false" customHeight="false" outlineLevel="0" collapsed="false">
      <c r="A169" s="0" t="n">
        <v>2026</v>
      </c>
      <c r="B169" s="0" t="n">
        <v>48.58324403</v>
      </c>
      <c r="C169" s="0" t="n">
        <v>1020.248125</v>
      </c>
      <c r="E169" s="0" t="n">
        <v>2026</v>
      </c>
      <c r="F169" s="0" t="n">
        <v>149.270832</v>
      </c>
      <c r="G169" s="0" t="n">
        <v>3134.212692</v>
      </c>
      <c r="I169" s="0" t="n">
        <v>2026</v>
      </c>
      <c r="J169" s="0" t="n">
        <v>3.88</v>
      </c>
      <c r="K169" s="0" t="n">
        <v>81.56</v>
      </c>
      <c r="M169" s="0" t="n">
        <v>2026</v>
      </c>
      <c r="N169" s="0" t="n">
        <v>65.24</v>
      </c>
      <c r="O169" s="0" t="n">
        <v>1369.68</v>
      </c>
      <c r="Q169" s="0" t="n">
        <v>2026</v>
      </c>
      <c r="R169" s="0" t="n">
        <v>83</v>
      </c>
      <c r="T169" s="0" t="n">
        <v>2028</v>
      </c>
      <c r="U169" s="0" t="n">
        <v>250083</v>
      </c>
      <c r="W169" s="0" t="n">
        <v>2026</v>
      </c>
      <c r="X169" s="0" t="n">
        <v>328.394</v>
      </c>
    </row>
    <row r="170" customFormat="false" ht="15" hidden="false" customHeight="false" outlineLevel="0" collapsed="false">
      <c r="A170" s="0" t="n">
        <v>2026</v>
      </c>
      <c r="B170" s="0" t="n">
        <v>15.2082519</v>
      </c>
      <c r="C170" s="0" t="n">
        <v>319.3732899</v>
      </c>
      <c r="E170" s="0" t="n">
        <v>2026</v>
      </c>
      <c r="F170" s="0" t="n">
        <v>136.493616</v>
      </c>
      <c r="G170" s="0" t="n">
        <v>2865.931796</v>
      </c>
      <c r="I170" s="0" t="n">
        <v>2026</v>
      </c>
      <c r="J170" s="0" t="n">
        <v>6.79</v>
      </c>
      <c r="K170" s="0" t="n">
        <v>142.73</v>
      </c>
      <c r="M170" s="0" t="n">
        <v>2026</v>
      </c>
      <c r="N170" s="0" t="n">
        <v>32.62</v>
      </c>
      <c r="O170" s="0" t="n">
        <v>684.84</v>
      </c>
      <c r="Q170" s="0" t="n">
        <v>2026</v>
      </c>
      <c r="R170" s="0" t="n">
        <v>79</v>
      </c>
      <c r="T170" s="0" t="n">
        <v>2028</v>
      </c>
      <c r="U170" s="0" t="n">
        <v>7735</v>
      </c>
      <c r="W170" s="0" t="n">
        <v>2026</v>
      </c>
      <c r="X170" s="0" t="n">
        <v>253.759</v>
      </c>
    </row>
    <row r="171" customFormat="false" ht="15" hidden="false" customHeight="false" outlineLevel="0" collapsed="false">
      <c r="A171" s="0" t="n">
        <v>2026</v>
      </c>
      <c r="B171" s="0" t="n">
        <v>34.00472186</v>
      </c>
      <c r="C171" s="0" t="n">
        <v>714.099159</v>
      </c>
      <c r="E171" s="0" t="n">
        <v>2026</v>
      </c>
      <c r="F171" s="0" t="n">
        <v>861.378524</v>
      </c>
      <c r="G171" s="0" t="n">
        <v>18079.18397</v>
      </c>
      <c r="I171" s="0" t="n">
        <v>2026</v>
      </c>
      <c r="J171" s="0" t="n">
        <v>1.94</v>
      </c>
      <c r="K171" s="0" t="n">
        <v>40.78</v>
      </c>
      <c r="M171" s="0" t="n">
        <v>2026</v>
      </c>
      <c r="N171" s="0" t="n">
        <v>210.9</v>
      </c>
      <c r="O171" s="0" t="n">
        <v>4423.2</v>
      </c>
      <c r="Q171" s="0" t="n">
        <v>2026</v>
      </c>
      <c r="R171" s="0" t="n">
        <v>38</v>
      </c>
      <c r="T171" s="0" t="n">
        <v>2028</v>
      </c>
      <c r="U171" s="0" t="n">
        <v>284701</v>
      </c>
      <c r="W171" s="0" t="n">
        <v>2026</v>
      </c>
      <c r="X171" s="0" t="n">
        <v>10396.16</v>
      </c>
    </row>
    <row r="172" customFormat="false" ht="15" hidden="false" customHeight="false" outlineLevel="0" collapsed="false">
      <c r="A172" s="0" t="n">
        <v>2026</v>
      </c>
      <c r="B172" s="0" t="n">
        <v>830.3202209</v>
      </c>
      <c r="C172" s="0" t="n">
        <v>17436.72464</v>
      </c>
      <c r="E172" s="0" t="n">
        <v>2026</v>
      </c>
      <c r="F172" s="0" t="n">
        <v>231.289676</v>
      </c>
      <c r="G172" s="0" t="n">
        <v>4854.461177</v>
      </c>
      <c r="I172" s="0" t="n">
        <v>2026</v>
      </c>
      <c r="J172" s="0" t="n">
        <v>6.79</v>
      </c>
      <c r="K172" s="0" t="n">
        <v>142.73</v>
      </c>
      <c r="M172" s="0" t="n">
        <v>2026</v>
      </c>
      <c r="N172" s="0" t="n">
        <v>138.75</v>
      </c>
      <c r="O172" s="0" t="n">
        <v>2910</v>
      </c>
      <c r="Q172" s="0" t="n">
        <v>2026</v>
      </c>
      <c r="R172" s="0" t="n">
        <v>8</v>
      </c>
      <c r="T172" s="0" t="n">
        <v>2028</v>
      </c>
      <c r="U172" s="0" t="n">
        <v>8805</v>
      </c>
      <c r="W172" s="0" t="n">
        <v>2026</v>
      </c>
      <c r="X172" s="0" t="n">
        <v>2599.04</v>
      </c>
    </row>
    <row r="173" customFormat="false" ht="15" hidden="false" customHeight="false" outlineLevel="0" collapsed="false">
      <c r="A173" s="0" t="n">
        <v>2026</v>
      </c>
      <c r="B173" s="0" t="n">
        <v>209.4313126</v>
      </c>
      <c r="C173" s="0" t="n">
        <v>4398.057565</v>
      </c>
      <c r="E173" s="0" t="n">
        <v>2026</v>
      </c>
      <c r="F173" s="0" t="n">
        <v>92.577212</v>
      </c>
      <c r="G173" s="0" t="n">
        <v>1943.071949</v>
      </c>
      <c r="I173" s="0" t="n">
        <v>2026</v>
      </c>
      <c r="J173" s="0" t="n">
        <v>404.16</v>
      </c>
      <c r="K173" s="0" t="n">
        <v>8482.56</v>
      </c>
      <c r="M173" s="0" t="n">
        <v>2026</v>
      </c>
      <c r="N173" s="0" t="n">
        <v>55.5</v>
      </c>
      <c r="O173" s="0" t="n">
        <v>1164</v>
      </c>
      <c r="Q173" s="0" t="n">
        <v>2026</v>
      </c>
      <c r="R173" s="0" t="n">
        <v>8</v>
      </c>
      <c r="T173" s="0" t="n">
        <v>2028</v>
      </c>
      <c r="U173" s="0" t="n">
        <v>83915</v>
      </c>
      <c r="W173" s="0" t="n">
        <v>2026</v>
      </c>
      <c r="X173" s="0" t="n">
        <v>804.864</v>
      </c>
    </row>
    <row r="174" customFormat="false" ht="15" hidden="false" customHeight="false" outlineLevel="0" collapsed="false">
      <c r="A174" s="0" t="n">
        <v>2026</v>
      </c>
      <c r="B174" s="0" t="n">
        <v>186.7615378</v>
      </c>
      <c r="C174" s="0" t="n">
        <v>3921.992293</v>
      </c>
      <c r="E174" s="0" t="n">
        <v>2026</v>
      </c>
      <c r="F174" s="0" t="n">
        <v>13.004084</v>
      </c>
      <c r="G174" s="0" t="n">
        <v>272.938343</v>
      </c>
      <c r="I174" s="0" t="n">
        <v>2026</v>
      </c>
      <c r="J174" s="0" t="n">
        <v>134.72</v>
      </c>
      <c r="K174" s="0" t="n">
        <v>2827.52</v>
      </c>
      <c r="M174" s="0" t="n">
        <v>2026</v>
      </c>
      <c r="N174" s="0" t="n">
        <v>55.5</v>
      </c>
      <c r="O174" s="0" t="n">
        <v>1164</v>
      </c>
      <c r="Q174" s="0" t="n">
        <v>2026</v>
      </c>
      <c r="R174" s="0" t="n">
        <v>8</v>
      </c>
      <c r="T174" s="0" t="n">
        <v>2028</v>
      </c>
      <c r="U174" s="0" t="n">
        <v>2596</v>
      </c>
      <c r="W174" s="0" t="n">
        <v>2026</v>
      </c>
      <c r="X174" s="0" t="n">
        <v>1425.28</v>
      </c>
    </row>
    <row r="175" customFormat="false" ht="15" hidden="false" customHeight="false" outlineLevel="0" collapsed="false">
      <c r="A175" s="0" t="n">
        <v>2026</v>
      </c>
      <c r="B175" s="0" t="n">
        <v>129.8815812</v>
      </c>
      <c r="C175" s="0" t="n">
        <v>2727.513205</v>
      </c>
      <c r="E175" s="0" t="n">
        <v>2026</v>
      </c>
      <c r="F175" s="0" t="n">
        <v>310.862804</v>
      </c>
      <c r="G175" s="0" t="n">
        <v>6524.594783</v>
      </c>
      <c r="I175" s="0" t="n">
        <v>2026</v>
      </c>
      <c r="J175" s="0" t="n">
        <v>58.94</v>
      </c>
      <c r="K175" s="0" t="n">
        <v>1237.04</v>
      </c>
      <c r="M175" s="0" t="n">
        <v>2026</v>
      </c>
      <c r="N175" s="0" t="n">
        <v>33.3</v>
      </c>
      <c r="O175" s="0" t="n">
        <v>698.4</v>
      </c>
      <c r="Q175" s="0" t="n">
        <v>2026</v>
      </c>
      <c r="R175" s="0" t="n">
        <v>333</v>
      </c>
      <c r="T175" s="0" t="n">
        <v>2028</v>
      </c>
      <c r="U175" s="0" t="n">
        <v>260883</v>
      </c>
      <c r="W175" s="0" t="n">
        <v>2026</v>
      </c>
      <c r="X175" s="0" t="n">
        <v>637.184</v>
      </c>
    </row>
    <row r="176" customFormat="false" ht="15" hidden="false" customHeight="false" outlineLevel="0" collapsed="false">
      <c r="A176" s="0" t="n">
        <v>2026</v>
      </c>
      <c r="B176" s="0" t="n">
        <v>96.61026229</v>
      </c>
      <c r="C176" s="0" t="n">
        <v>2028.815508</v>
      </c>
      <c r="E176" s="0" t="n">
        <v>2026</v>
      </c>
      <c r="F176" s="0" t="n">
        <v>14.552708</v>
      </c>
      <c r="G176" s="0" t="n">
        <v>305.441891</v>
      </c>
      <c r="I176" s="0" t="n">
        <v>2026</v>
      </c>
      <c r="J176" s="0" t="n">
        <v>33.68</v>
      </c>
      <c r="K176" s="0" t="n">
        <v>706.88</v>
      </c>
      <c r="M176" s="0" t="n">
        <v>2026</v>
      </c>
      <c r="N176" s="0" t="n">
        <v>27.75</v>
      </c>
      <c r="O176" s="0" t="n">
        <v>582</v>
      </c>
      <c r="Q176" s="0" t="n">
        <v>2026</v>
      </c>
      <c r="R176" s="0" t="n">
        <v>316</v>
      </c>
      <c r="T176" s="0" t="n">
        <v>2028</v>
      </c>
      <c r="U176" s="0" t="n">
        <v>8069</v>
      </c>
      <c r="W176" s="0" t="n">
        <v>2026</v>
      </c>
      <c r="X176" s="0" t="n">
        <v>251.52</v>
      </c>
    </row>
    <row r="177" customFormat="false" ht="15" hidden="false" customHeight="false" outlineLevel="0" collapsed="false">
      <c r="A177" s="0" t="n">
        <v>2026</v>
      </c>
      <c r="B177" s="0" t="n">
        <v>42.93789435</v>
      </c>
      <c r="C177" s="0" t="n">
        <v>901.6957814</v>
      </c>
      <c r="E177" s="0" t="n">
        <v>2026</v>
      </c>
      <c r="F177" s="0" t="n">
        <v>79.573128</v>
      </c>
      <c r="G177" s="0" t="n">
        <v>1670.133606</v>
      </c>
      <c r="I177" s="0" t="n">
        <v>2026</v>
      </c>
      <c r="J177" s="0" t="n">
        <v>33.68</v>
      </c>
      <c r="K177" s="0" t="n">
        <v>706.88</v>
      </c>
      <c r="M177" s="0" t="n">
        <v>2026</v>
      </c>
      <c r="N177" s="0" t="n">
        <v>22.2</v>
      </c>
      <c r="O177" s="0" t="n">
        <v>465.6</v>
      </c>
      <c r="Q177" s="0" t="n">
        <v>2026</v>
      </c>
      <c r="R177" s="0" t="n">
        <v>150</v>
      </c>
      <c r="T177" s="0" t="n">
        <v>2028</v>
      </c>
      <c r="U177" s="0" t="n">
        <v>341475</v>
      </c>
      <c r="W177" s="0" t="n">
        <v>2026</v>
      </c>
      <c r="X177" s="0" t="n">
        <v>368.896</v>
      </c>
    </row>
    <row r="178" customFormat="false" ht="15" hidden="false" customHeight="false" outlineLevel="0" collapsed="false">
      <c r="A178" s="0" t="n">
        <v>2026</v>
      </c>
      <c r="B178" s="0" t="n">
        <v>158.5945173</v>
      </c>
      <c r="C178" s="0" t="n">
        <v>3330.484863</v>
      </c>
      <c r="E178" s="0" t="n">
        <v>2026</v>
      </c>
      <c r="F178" s="0" t="n">
        <v>72.761864</v>
      </c>
      <c r="G178" s="0" t="n">
        <v>1527.174278</v>
      </c>
      <c r="I178" s="0" t="n">
        <v>2026</v>
      </c>
      <c r="J178" s="0" t="n">
        <v>16.84</v>
      </c>
      <c r="K178" s="0" t="n">
        <v>353.44</v>
      </c>
      <c r="M178" s="0" t="n">
        <v>2026</v>
      </c>
      <c r="N178" s="0" t="n">
        <v>11.1</v>
      </c>
      <c r="O178" s="0" t="n">
        <v>232.8</v>
      </c>
      <c r="Q178" s="0" t="n">
        <v>2026</v>
      </c>
      <c r="R178" s="0" t="n">
        <v>33</v>
      </c>
      <c r="T178" s="0" t="n">
        <v>2028</v>
      </c>
      <c r="U178" s="0" t="n">
        <v>10561</v>
      </c>
      <c r="W178" s="0" t="n">
        <v>2026</v>
      </c>
      <c r="X178" s="0" t="n">
        <v>285.056</v>
      </c>
    </row>
    <row r="179" customFormat="false" ht="15" hidden="false" customHeight="false" outlineLevel="0" collapsed="false">
      <c r="A179" s="0" t="n">
        <v>2026</v>
      </c>
      <c r="B179" s="0" t="n">
        <v>49.645622</v>
      </c>
      <c r="C179" s="0" t="n">
        <v>1042.558062</v>
      </c>
      <c r="E179" s="0" t="n">
        <v>2026</v>
      </c>
      <c r="F179" s="0" t="n">
        <v>418.354486</v>
      </c>
      <c r="G179" s="0" t="n">
        <v>8778.24892</v>
      </c>
      <c r="I179" s="0" t="n">
        <v>2026</v>
      </c>
      <c r="J179" s="0" t="n">
        <v>16.84</v>
      </c>
      <c r="K179" s="0" t="n">
        <v>353.44</v>
      </c>
      <c r="M179" s="0" t="n">
        <v>2026</v>
      </c>
      <c r="N179" s="0" t="n">
        <v>28.5</v>
      </c>
      <c r="O179" s="0" t="n">
        <v>594.32</v>
      </c>
      <c r="Q179" s="0" t="n">
        <v>2026</v>
      </c>
      <c r="R179" s="0" t="n">
        <v>32</v>
      </c>
      <c r="T179" s="0" t="n">
        <v>2028</v>
      </c>
      <c r="U179" s="0" t="n">
        <v>298826</v>
      </c>
      <c r="W179" s="0" t="n">
        <v>2026</v>
      </c>
      <c r="X179" s="0" t="n">
        <v>2810.46</v>
      </c>
    </row>
    <row r="180" customFormat="false" ht="15" hidden="false" customHeight="false" outlineLevel="0" collapsed="false">
      <c r="A180" s="0" t="n">
        <v>2026</v>
      </c>
      <c r="B180" s="0" t="n">
        <v>111.0045769</v>
      </c>
      <c r="C180" s="0" t="n">
        <v>2331.096115</v>
      </c>
      <c r="E180" s="0" t="n">
        <v>2026</v>
      </c>
      <c r="F180" s="0" t="n">
        <v>112.332814</v>
      </c>
      <c r="G180" s="0" t="n">
        <v>2357.05708</v>
      </c>
      <c r="I180" s="0" t="n">
        <v>2026</v>
      </c>
      <c r="J180" s="0" t="n">
        <v>33.68</v>
      </c>
      <c r="K180" s="0" t="n">
        <v>706.88</v>
      </c>
      <c r="M180" s="0" t="n">
        <v>2026</v>
      </c>
      <c r="N180" s="0" t="n">
        <v>18.75</v>
      </c>
      <c r="O180" s="0" t="n">
        <v>391</v>
      </c>
      <c r="Q180" s="0" t="n">
        <v>2026</v>
      </c>
      <c r="R180" s="0" t="n">
        <v>32</v>
      </c>
      <c r="T180" s="0" t="n">
        <v>2028</v>
      </c>
      <c r="U180" s="0" t="n">
        <v>9241</v>
      </c>
      <c r="W180" s="0" t="n">
        <v>2026</v>
      </c>
      <c r="X180" s="0" t="n">
        <v>702.615</v>
      </c>
    </row>
    <row r="181" customFormat="false" ht="15" hidden="false" customHeight="false" outlineLevel="0" collapsed="false">
      <c r="A181" s="0" t="n">
        <v>2026</v>
      </c>
      <c r="B181" s="0" t="n">
        <v>147.4007307</v>
      </c>
      <c r="C181" s="0" t="n">
        <v>3095.415344</v>
      </c>
      <c r="E181" s="0" t="n">
        <v>2026</v>
      </c>
      <c r="F181" s="0" t="n">
        <v>44.962918</v>
      </c>
      <c r="G181" s="0" t="n">
        <v>943.44796</v>
      </c>
      <c r="I181" s="0" t="n">
        <v>2026</v>
      </c>
      <c r="J181" s="0" t="n">
        <v>58.94</v>
      </c>
      <c r="K181" s="0" t="n">
        <v>1237.04</v>
      </c>
      <c r="M181" s="0" t="n">
        <v>2026</v>
      </c>
      <c r="N181" s="0" t="n">
        <v>7.5</v>
      </c>
      <c r="O181" s="0" t="n">
        <v>156.4</v>
      </c>
      <c r="Q181" s="0" t="n">
        <v>2026</v>
      </c>
      <c r="R181" s="0" t="n">
        <v>401</v>
      </c>
      <c r="T181" s="0" t="n">
        <v>2028</v>
      </c>
      <c r="U181" s="0" t="n">
        <v>461670</v>
      </c>
      <c r="W181" s="0" t="n">
        <v>2026</v>
      </c>
      <c r="X181" s="0" t="n">
        <v>217.584</v>
      </c>
    </row>
    <row r="182" customFormat="false" ht="15" hidden="false" customHeight="false" outlineLevel="0" collapsed="false">
      <c r="A182" s="0" t="n">
        <v>2026</v>
      </c>
      <c r="B182" s="0" t="n">
        <v>37.17882297</v>
      </c>
      <c r="C182" s="0" t="n">
        <v>780.7552823</v>
      </c>
      <c r="E182" s="0" t="n">
        <v>2026</v>
      </c>
      <c r="F182" s="0" t="n">
        <v>6.315826</v>
      </c>
      <c r="G182" s="0" t="n">
        <v>132.52372</v>
      </c>
      <c r="I182" s="0" t="n">
        <v>2026</v>
      </c>
      <c r="J182" s="0" t="n">
        <v>25.26</v>
      </c>
      <c r="K182" s="0" t="n">
        <v>530.16</v>
      </c>
      <c r="M182" s="0" t="n">
        <v>2026</v>
      </c>
      <c r="N182" s="0" t="n">
        <v>7.5</v>
      </c>
      <c r="O182" s="0" t="n">
        <v>156.4</v>
      </c>
      <c r="Q182" s="0" t="n">
        <v>2026</v>
      </c>
      <c r="R182" s="0" t="n">
        <v>381</v>
      </c>
      <c r="T182" s="0" t="n">
        <v>2028</v>
      </c>
      <c r="U182" s="0" t="n">
        <v>13993</v>
      </c>
      <c r="W182" s="0" t="n">
        <v>2026</v>
      </c>
      <c r="X182" s="0" t="n">
        <v>385.305</v>
      </c>
    </row>
    <row r="183" customFormat="false" ht="15" hidden="false" customHeight="false" outlineLevel="0" collapsed="false">
      <c r="A183" s="0" t="n">
        <v>2026</v>
      </c>
      <c r="B183" s="0" t="n">
        <v>33.15442215</v>
      </c>
      <c r="C183" s="0" t="n">
        <v>696.2428652</v>
      </c>
      <c r="E183" s="0" t="n">
        <v>2026</v>
      </c>
      <c r="F183" s="0" t="n">
        <v>150.979906</v>
      </c>
      <c r="G183" s="0" t="n">
        <v>3167.98132</v>
      </c>
      <c r="I183" s="0" t="n">
        <v>2026</v>
      </c>
      <c r="J183" s="0" t="n">
        <v>25.26</v>
      </c>
      <c r="K183" s="0" t="n">
        <v>530.16</v>
      </c>
      <c r="M183" s="0" t="n">
        <v>2026</v>
      </c>
      <c r="N183" s="0" t="n">
        <v>4.5</v>
      </c>
      <c r="O183" s="0" t="n">
        <v>93.84</v>
      </c>
      <c r="Q183" s="0" t="n">
        <v>2026</v>
      </c>
      <c r="R183" s="0" t="n">
        <v>181</v>
      </c>
      <c r="T183" s="0" t="n">
        <v>2028</v>
      </c>
      <c r="U183" s="0" t="n">
        <v>19875</v>
      </c>
      <c r="W183" s="0" t="n">
        <v>2026</v>
      </c>
      <c r="X183" s="0" t="n">
        <v>172.254</v>
      </c>
    </row>
    <row r="184" customFormat="false" ht="15" hidden="false" customHeight="false" outlineLevel="0" collapsed="false">
      <c r="A184" s="0" t="n">
        <v>2026</v>
      </c>
      <c r="B184" s="0" t="n">
        <v>23.05693573</v>
      </c>
      <c r="C184" s="0" t="n">
        <v>484.1956503</v>
      </c>
      <c r="E184" s="0" t="n">
        <v>2026</v>
      </c>
      <c r="F184" s="0" t="n">
        <v>7.067962</v>
      </c>
      <c r="G184" s="0" t="n">
        <v>148.30564</v>
      </c>
      <c r="I184" s="0" t="n">
        <v>2026</v>
      </c>
      <c r="J184" s="0" t="n">
        <v>49.4</v>
      </c>
      <c r="K184" s="0" t="n">
        <v>1033.24</v>
      </c>
      <c r="M184" s="0" t="n">
        <v>2026</v>
      </c>
      <c r="N184" s="0" t="n">
        <v>3.75</v>
      </c>
      <c r="O184" s="0" t="n">
        <v>78.2</v>
      </c>
      <c r="Q184" s="0" t="n">
        <v>2026</v>
      </c>
      <c r="R184" s="0" t="n">
        <v>40</v>
      </c>
      <c r="T184" s="0" t="n">
        <v>2028</v>
      </c>
      <c r="U184" s="0" t="n">
        <v>615</v>
      </c>
      <c r="W184" s="0" t="n">
        <v>2026</v>
      </c>
      <c r="X184" s="0" t="n">
        <v>67.995</v>
      </c>
    </row>
    <row r="185" customFormat="false" ht="15" hidden="false" customHeight="false" outlineLevel="0" collapsed="false">
      <c r="A185" s="0" t="n">
        <v>2026</v>
      </c>
      <c r="B185" s="0" t="n">
        <v>17.15051963</v>
      </c>
      <c r="C185" s="0" t="n">
        <v>360.1609123</v>
      </c>
      <c r="E185" s="0" t="n">
        <v>2026</v>
      </c>
      <c r="F185" s="0" t="n">
        <v>38.647092</v>
      </c>
      <c r="G185" s="0" t="n">
        <v>810.92424</v>
      </c>
      <c r="I185" s="0" t="n">
        <v>2026</v>
      </c>
      <c r="J185" s="0" t="n">
        <v>7.6</v>
      </c>
      <c r="K185" s="0" t="n">
        <v>158.96</v>
      </c>
      <c r="M185" s="0" t="n">
        <v>2026</v>
      </c>
      <c r="N185" s="0" t="n">
        <v>3</v>
      </c>
      <c r="O185" s="0" t="n">
        <v>62.56</v>
      </c>
      <c r="Q185" s="0" t="n">
        <v>2026</v>
      </c>
      <c r="R185" s="0" t="n">
        <v>39</v>
      </c>
      <c r="T185" s="0" t="n">
        <v>2028</v>
      </c>
      <c r="U185" s="0" t="n">
        <v>321212</v>
      </c>
      <c r="W185" s="0" t="n">
        <v>2026</v>
      </c>
      <c r="X185" s="0" t="n">
        <v>99.726</v>
      </c>
    </row>
    <row r="186" customFormat="false" ht="15" hidden="false" customHeight="false" outlineLevel="0" collapsed="false">
      <c r="A186" s="0" t="n">
        <v>2026</v>
      </c>
      <c r="B186" s="0" t="n">
        <v>7.62245317</v>
      </c>
      <c r="C186" s="0" t="n">
        <v>160.0715166</v>
      </c>
      <c r="E186" s="0" t="n">
        <v>2026</v>
      </c>
      <c r="F186" s="0" t="n">
        <v>35.338996</v>
      </c>
      <c r="G186" s="0" t="n">
        <v>741.51112</v>
      </c>
      <c r="I186" s="0" t="n">
        <v>2026</v>
      </c>
      <c r="J186" s="0" t="n">
        <v>5.7</v>
      </c>
      <c r="K186" s="0" t="n">
        <v>119.22</v>
      </c>
      <c r="M186" s="0" t="n">
        <v>2026</v>
      </c>
      <c r="N186" s="0" t="n">
        <v>1.5</v>
      </c>
      <c r="O186" s="0" t="n">
        <v>31.28</v>
      </c>
      <c r="Q186" s="0" t="n">
        <v>2026</v>
      </c>
      <c r="R186" s="0" t="n">
        <v>39</v>
      </c>
      <c r="T186" s="0" t="n">
        <v>2028</v>
      </c>
      <c r="U186" s="0" t="n">
        <v>9935</v>
      </c>
      <c r="W186" s="0" t="n">
        <v>2026</v>
      </c>
      <c r="X186" s="0" t="n">
        <v>77.061</v>
      </c>
    </row>
    <row r="187" customFormat="false" ht="15" hidden="false" customHeight="false" outlineLevel="0" collapsed="false">
      <c r="A187" s="0" t="n">
        <v>2026</v>
      </c>
      <c r="B187" s="0" t="n">
        <v>28.15413516</v>
      </c>
      <c r="C187" s="0" t="n">
        <v>591.2368383</v>
      </c>
      <c r="E187" s="0" t="n">
        <v>2026</v>
      </c>
      <c r="F187" s="0" t="n">
        <v>328.413411</v>
      </c>
      <c r="G187" s="0" t="n">
        <v>6894.625835</v>
      </c>
      <c r="I187" s="0" t="n">
        <v>2026</v>
      </c>
      <c r="J187" s="0" t="n">
        <v>9.5</v>
      </c>
      <c r="K187" s="0" t="n">
        <v>198.7</v>
      </c>
      <c r="M187" s="0" t="n">
        <v>2026</v>
      </c>
      <c r="N187" s="0" t="n">
        <v>74.48</v>
      </c>
      <c r="O187" s="0" t="n">
        <v>1559.9</v>
      </c>
      <c r="Q187" s="0" t="n">
        <v>2026</v>
      </c>
      <c r="R187" s="0" t="n">
        <v>282</v>
      </c>
      <c r="T187" s="0" t="n">
        <v>2028</v>
      </c>
      <c r="U187" s="0" t="n">
        <v>122326</v>
      </c>
      <c r="W187" s="0" t="n">
        <v>2026</v>
      </c>
      <c r="X187" s="0" t="n">
        <v>6297.96</v>
      </c>
    </row>
    <row r="188" customFormat="false" ht="15" hidden="false" customHeight="false" outlineLevel="0" collapsed="false">
      <c r="A188" s="0" t="n">
        <v>2026</v>
      </c>
      <c r="B188" s="0" t="n">
        <v>8.813227442</v>
      </c>
      <c r="C188" s="0" t="n">
        <v>185.0777763</v>
      </c>
      <c r="E188" s="0" t="n">
        <v>2026</v>
      </c>
      <c r="F188" s="0" t="n">
        <v>88.182639</v>
      </c>
      <c r="G188" s="0" t="n">
        <v>1851.283415</v>
      </c>
      <c r="I188" s="0" t="n">
        <v>2026</v>
      </c>
      <c r="J188" s="0" t="n">
        <v>1.9</v>
      </c>
      <c r="K188" s="0" t="n">
        <v>39.74</v>
      </c>
      <c r="M188" s="0" t="n">
        <v>2026</v>
      </c>
      <c r="N188" s="0" t="n">
        <v>49</v>
      </c>
      <c r="O188" s="0" t="n">
        <v>1026.25</v>
      </c>
      <c r="Q188" s="0" t="n">
        <v>2026</v>
      </c>
      <c r="R188" s="0" t="n">
        <v>267</v>
      </c>
      <c r="T188" s="0" t="n">
        <v>2028</v>
      </c>
      <c r="U188" s="0" t="n">
        <v>3783</v>
      </c>
      <c r="W188" s="0" t="n">
        <v>2026</v>
      </c>
      <c r="X188" s="0" t="n">
        <v>1574.49</v>
      </c>
    </row>
    <row r="189" customFormat="false" ht="15" hidden="false" customHeight="false" outlineLevel="0" collapsed="false">
      <c r="A189" s="0" t="n">
        <v>2026</v>
      </c>
      <c r="B189" s="0" t="n">
        <v>19.70583798</v>
      </c>
      <c r="C189" s="0" t="n">
        <v>413.8225975</v>
      </c>
      <c r="E189" s="0" t="n">
        <v>2026</v>
      </c>
      <c r="F189" s="0" t="n">
        <v>35.296443</v>
      </c>
      <c r="G189" s="0" t="n">
        <v>741.004355</v>
      </c>
      <c r="I189" s="0" t="n">
        <v>2026</v>
      </c>
      <c r="J189" s="0" t="n">
        <v>1.9</v>
      </c>
      <c r="K189" s="0" t="n">
        <v>39.74</v>
      </c>
      <c r="M189" s="0" t="n">
        <v>2026</v>
      </c>
      <c r="N189" s="0" t="n">
        <v>19.6</v>
      </c>
      <c r="O189" s="0" t="n">
        <v>410.5</v>
      </c>
      <c r="Q189" s="0" t="n">
        <v>2026</v>
      </c>
      <c r="R189" s="0" t="n">
        <v>127</v>
      </c>
      <c r="T189" s="0" t="n">
        <v>2028</v>
      </c>
      <c r="U189" s="0" t="n">
        <v>190386</v>
      </c>
      <c r="W189" s="0" t="n">
        <v>2026</v>
      </c>
      <c r="X189" s="0" t="n">
        <v>487.584</v>
      </c>
    </row>
    <row r="190" customFormat="false" ht="15" hidden="false" customHeight="false" outlineLevel="0" collapsed="false">
      <c r="A190" s="0" t="n">
        <v>2026</v>
      </c>
      <c r="B190" s="0" t="n">
        <v>249.8897442</v>
      </c>
      <c r="C190" s="0" t="n">
        <v>5247.684629</v>
      </c>
      <c r="E190" s="0" t="n">
        <v>2026</v>
      </c>
      <c r="F190" s="0" t="n">
        <v>4.958001</v>
      </c>
      <c r="G190" s="0" t="n">
        <v>104.086985</v>
      </c>
      <c r="I190" s="0" t="n">
        <v>2026</v>
      </c>
      <c r="J190" s="0" t="n">
        <v>0</v>
      </c>
      <c r="K190" s="0" t="n">
        <v>0</v>
      </c>
      <c r="M190" s="0" t="n">
        <v>2026</v>
      </c>
      <c r="N190" s="0" t="n">
        <v>19.6</v>
      </c>
      <c r="O190" s="0" t="n">
        <v>410.5</v>
      </c>
      <c r="Q190" s="0" t="n">
        <v>2026</v>
      </c>
      <c r="R190" s="0" t="n">
        <v>28</v>
      </c>
      <c r="T190" s="0" t="n">
        <v>2028</v>
      </c>
      <c r="U190" s="0" t="n">
        <v>5889</v>
      </c>
      <c r="W190" s="0" t="n">
        <v>2026</v>
      </c>
      <c r="X190" s="0" t="n">
        <v>863.43</v>
      </c>
    </row>
    <row r="191" customFormat="false" ht="15" hidden="false" customHeight="false" outlineLevel="0" collapsed="false">
      <c r="A191" s="0" t="n">
        <v>2026</v>
      </c>
      <c r="B191" s="0" t="n">
        <v>63.02958284</v>
      </c>
      <c r="C191" s="0" t="n">
        <v>1323.62124</v>
      </c>
      <c r="E191" s="0" t="n">
        <v>2026</v>
      </c>
      <c r="F191" s="0" t="n">
        <v>118.521081</v>
      </c>
      <c r="G191" s="0" t="n">
        <v>2488.200785</v>
      </c>
      <c r="I191" s="0" t="n">
        <v>2026</v>
      </c>
      <c r="J191" s="0" t="n">
        <v>3.8</v>
      </c>
      <c r="K191" s="0" t="n">
        <v>79.48</v>
      </c>
      <c r="M191" s="0" t="n">
        <v>2026</v>
      </c>
      <c r="N191" s="0" t="n">
        <v>11.76</v>
      </c>
      <c r="O191" s="0" t="n">
        <v>246.3</v>
      </c>
      <c r="Q191" s="0" t="n">
        <v>2026</v>
      </c>
      <c r="R191" s="0" t="n">
        <v>27</v>
      </c>
      <c r="T191" s="0" t="n">
        <v>2028</v>
      </c>
      <c r="U191" s="0" t="n">
        <v>51422</v>
      </c>
      <c r="W191" s="0" t="n">
        <v>2026</v>
      </c>
      <c r="X191" s="0" t="n">
        <v>386.004</v>
      </c>
    </row>
    <row r="192" customFormat="false" ht="15" hidden="false" customHeight="false" outlineLevel="0" collapsed="false">
      <c r="A192" s="0" t="n">
        <v>2026</v>
      </c>
      <c r="B192" s="0" t="n">
        <v>56.20698103</v>
      </c>
      <c r="C192" s="0" t="n">
        <v>1180.346602</v>
      </c>
      <c r="E192" s="0" t="n">
        <v>2026</v>
      </c>
      <c r="F192" s="0" t="n">
        <v>5.548437</v>
      </c>
      <c r="G192" s="0" t="n">
        <v>116.482445</v>
      </c>
      <c r="I192" s="0" t="n">
        <v>2026</v>
      </c>
      <c r="J192" s="0" t="n">
        <v>6.65</v>
      </c>
      <c r="K192" s="0" t="n">
        <v>139.09</v>
      </c>
      <c r="M192" s="0" t="n">
        <v>2026</v>
      </c>
      <c r="N192" s="0" t="n">
        <v>9.8</v>
      </c>
      <c r="O192" s="0" t="n">
        <v>205.25</v>
      </c>
      <c r="Q192" s="0" t="n">
        <v>2026</v>
      </c>
      <c r="R192" s="0" t="n">
        <v>27</v>
      </c>
      <c r="T192" s="0" t="n">
        <v>2028</v>
      </c>
      <c r="U192" s="0" t="n">
        <v>1591</v>
      </c>
      <c r="W192" s="0" t="n">
        <v>2026</v>
      </c>
      <c r="X192" s="0" t="n">
        <v>152.37</v>
      </c>
    </row>
    <row r="193" customFormat="false" ht="15" hidden="false" customHeight="false" outlineLevel="0" collapsed="false">
      <c r="A193" s="0" t="n">
        <v>2026</v>
      </c>
      <c r="B193" s="0" t="n">
        <v>39.08862423</v>
      </c>
      <c r="C193" s="0" t="n">
        <v>820.8611089</v>
      </c>
      <c r="E193" s="0" t="n">
        <v>2026</v>
      </c>
      <c r="F193" s="0" t="n">
        <v>30.338442</v>
      </c>
      <c r="G193" s="0" t="n">
        <v>636.91737</v>
      </c>
      <c r="I193" s="0" t="n">
        <v>2026</v>
      </c>
      <c r="J193" s="0" t="n">
        <v>1.9</v>
      </c>
      <c r="K193" s="0" t="n">
        <v>39.74</v>
      </c>
      <c r="M193" s="0" t="n">
        <v>2026</v>
      </c>
      <c r="N193" s="0" t="n">
        <v>7.84</v>
      </c>
      <c r="O193" s="0" t="n">
        <v>164.2</v>
      </c>
      <c r="Q193" s="0" t="n">
        <v>2026</v>
      </c>
      <c r="R193" s="0" t="n">
        <v>119</v>
      </c>
      <c r="T193" s="0" t="n">
        <v>2028</v>
      </c>
      <c r="U193" s="0" t="n">
        <v>124883</v>
      </c>
      <c r="W193" s="0" t="n">
        <v>2026</v>
      </c>
      <c r="X193" s="0" t="n">
        <v>223.476</v>
      </c>
    </row>
    <row r="194" customFormat="false" ht="15" hidden="false" customHeight="false" outlineLevel="0" collapsed="false">
      <c r="A194" s="0" t="n">
        <v>2026</v>
      </c>
      <c r="B194" s="0" t="n">
        <v>29.07542551</v>
      </c>
      <c r="C194" s="0" t="n">
        <v>610.5839358</v>
      </c>
      <c r="E194" s="0" t="n">
        <v>2026</v>
      </c>
      <c r="F194" s="0" t="n">
        <v>27.741546</v>
      </c>
      <c r="G194" s="0" t="n">
        <v>582.39881</v>
      </c>
      <c r="I194" s="0" t="n">
        <v>2026</v>
      </c>
      <c r="J194" s="0" t="n">
        <v>6.65</v>
      </c>
      <c r="K194" s="0" t="n">
        <v>139.09</v>
      </c>
      <c r="M194" s="0" t="n">
        <v>2026</v>
      </c>
      <c r="N194" s="0" t="n">
        <v>3.92</v>
      </c>
      <c r="O194" s="0" t="n">
        <v>82.1</v>
      </c>
      <c r="Q194" s="0" t="n">
        <v>2026</v>
      </c>
      <c r="R194" s="0" t="n">
        <v>113</v>
      </c>
      <c r="T194" s="0" t="n">
        <v>2028</v>
      </c>
      <c r="U194" s="0" t="n">
        <v>3863</v>
      </c>
      <c r="W194" s="0" t="n">
        <v>2026</v>
      </c>
      <c r="X194" s="0" t="n">
        <v>172.686</v>
      </c>
    </row>
    <row r="195" customFormat="false" ht="15" hidden="false" customHeight="false" outlineLevel="0" collapsed="false">
      <c r="A195" s="0" t="n">
        <v>2026</v>
      </c>
      <c r="B195" s="0" t="n">
        <v>12.92241134</v>
      </c>
      <c r="C195" s="0" t="n">
        <v>271.3706381</v>
      </c>
      <c r="E195" s="0" t="n">
        <v>2026</v>
      </c>
      <c r="F195" s="0" t="n">
        <v>213.288835</v>
      </c>
      <c r="G195" s="0" t="n">
        <v>4476.49579</v>
      </c>
      <c r="I195" s="0" t="n">
        <v>2026</v>
      </c>
      <c r="J195" s="0" t="n">
        <v>107.52</v>
      </c>
      <c r="K195" s="0" t="n">
        <v>2258.4</v>
      </c>
      <c r="M195" s="0" t="n">
        <v>2026</v>
      </c>
      <c r="N195" s="0" t="n">
        <v>46.74</v>
      </c>
      <c r="O195" s="0" t="n">
        <v>977.36</v>
      </c>
      <c r="Q195" s="0" t="n">
        <v>2026</v>
      </c>
      <c r="R195" s="0" t="n">
        <v>53</v>
      </c>
      <c r="T195" s="0" t="n">
        <v>2028</v>
      </c>
      <c r="U195" s="0" t="n">
        <v>146922</v>
      </c>
      <c r="W195" s="0" t="n">
        <v>2026</v>
      </c>
      <c r="X195" s="0" t="n">
        <v>1648.58</v>
      </c>
    </row>
    <row r="196" customFormat="false" ht="15" hidden="false" customHeight="false" outlineLevel="0" collapsed="false">
      <c r="A196" s="0" t="n">
        <v>2026</v>
      </c>
      <c r="B196" s="0" t="n">
        <v>47.72995088</v>
      </c>
      <c r="C196" s="0" t="n">
        <v>1002.328969</v>
      </c>
      <c r="E196" s="0" t="n">
        <v>2026</v>
      </c>
      <c r="F196" s="0" t="n">
        <v>57.270415</v>
      </c>
      <c r="G196" s="0" t="n">
        <v>1201.98871</v>
      </c>
      <c r="I196" s="0" t="n">
        <v>2026</v>
      </c>
      <c r="J196" s="0" t="n">
        <v>35.84</v>
      </c>
      <c r="K196" s="0" t="n">
        <v>752.8</v>
      </c>
      <c r="M196" s="0" t="n">
        <v>2026</v>
      </c>
      <c r="N196" s="0" t="n">
        <v>30.75</v>
      </c>
      <c r="O196" s="0" t="n">
        <v>643</v>
      </c>
      <c r="Q196" s="0" t="n">
        <v>2026</v>
      </c>
      <c r="R196" s="0" t="n">
        <v>12</v>
      </c>
      <c r="T196" s="0" t="n">
        <v>2028</v>
      </c>
      <c r="U196" s="0" t="n">
        <v>4544</v>
      </c>
      <c r="W196" s="0" t="n">
        <v>2026</v>
      </c>
      <c r="X196" s="0" t="n">
        <v>412.145</v>
      </c>
    </row>
    <row r="197" customFormat="false" ht="15" hidden="false" customHeight="false" outlineLevel="0" collapsed="false">
      <c r="A197" s="0" t="n">
        <v>2026</v>
      </c>
      <c r="B197" s="0" t="n">
        <v>14.94114135</v>
      </c>
      <c r="C197" s="0" t="n">
        <v>313.7639683</v>
      </c>
      <c r="E197" s="0" t="n">
        <v>2026</v>
      </c>
      <c r="F197" s="0" t="n">
        <v>22.923355</v>
      </c>
      <c r="G197" s="0" t="n">
        <v>481.11427</v>
      </c>
      <c r="I197" s="0" t="n">
        <v>2026</v>
      </c>
      <c r="J197" s="0" t="n">
        <v>15.68</v>
      </c>
      <c r="K197" s="0" t="n">
        <v>329.35</v>
      </c>
      <c r="M197" s="0" t="n">
        <v>2026</v>
      </c>
      <c r="N197" s="0" t="n">
        <v>12.3</v>
      </c>
      <c r="O197" s="0" t="n">
        <v>257.2</v>
      </c>
      <c r="Q197" s="0" t="n">
        <v>2026</v>
      </c>
      <c r="R197" s="0" t="n">
        <v>12</v>
      </c>
      <c r="T197" s="0" t="n">
        <v>2028</v>
      </c>
      <c r="U197" s="0" t="n">
        <v>741952</v>
      </c>
      <c r="W197" s="0" t="n">
        <v>2026</v>
      </c>
      <c r="X197" s="0" t="n">
        <v>127.632</v>
      </c>
    </row>
    <row r="198" customFormat="false" ht="15" hidden="false" customHeight="false" outlineLevel="0" collapsed="false">
      <c r="A198" s="0" t="n">
        <v>2026</v>
      </c>
      <c r="B198" s="0" t="n">
        <v>33.40747899</v>
      </c>
      <c r="C198" s="0" t="n">
        <v>701.5570587</v>
      </c>
      <c r="E198" s="0" t="n">
        <v>2026</v>
      </c>
      <c r="F198" s="0" t="n">
        <v>3.219985</v>
      </c>
      <c r="G198" s="0" t="n">
        <v>67.58089</v>
      </c>
      <c r="I198" s="0" t="n">
        <v>2026</v>
      </c>
      <c r="J198" s="0" t="n">
        <v>8.96</v>
      </c>
      <c r="K198" s="0" t="n">
        <v>188.2</v>
      </c>
      <c r="M198" s="0" t="n">
        <v>2026</v>
      </c>
      <c r="N198" s="0" t="n">
        <v>12.3</v>
      </c>
      <c r="O198" s="0" t="n">
        <v>257.2</v>
      </c>
      <c r="Q198" s="0" t="n">
        <v>2026</v>
      </c>
      <c r="R198" s="0" t="n">
        <v>12</v>
      </c>
      <c r="T198" s="0" t="n">
        <v>2028</v>
      </c>
      <c r="U198" s="0" t="n">
        <v>22947</v>
      </c>
      <c r="W198" s="0" t="n">
        <v>2026</v>
      </c>
      <c r="X198" s="0" t="n">
        <v>226.015</v>
      </c>
    </row>
    <row r="199" customFormat="false" ht="15" hidden="false" customHeight="false" outlineLevel="0" collapsed="false">
      <c r="A199" s="0" t="n">
        <v>2026</v>
      </c>
      <c r="B199" s="0" t="n">
        <v>89.79967131</v>
      </c>
      <c r="C199" s="0" t="n">
        <v>1885.793097</v>
      </c>
      <c r="E199" s="0" t="n">
        <v>2026</v>
      </c>
      <c r="F199" s="0" t="n">
        <v>76.973785</v>
      </c>
      <c r="G199" s="0" t="n">
        <v>1615.52209</v>
      </c>
      <c r="I199" s="0" t="n">
        <v>2026</v>
      </c>
      <c r="J199" s="0" t="n">
        <v>8.96</v>
      </c>
      <c r="K199" s="0" t="n">
        <v>188.2</v>
      </c>
      <c r="M199" s="0" t="n">
        <v>2026</v>
      </c>
      <c r="N199" s="0" t="n">
        <v>7.38</v>
      </c>
      <c r="O199" s="0" t="n">
        <v>154.32</v>
      </c>
      <c r="Q199" s="0" t="n">
        <v>2026</v>
      </c>
      <c r="R199" s="0" t="n">
        <v>83</v>
      </c>
      <c r="T199" s="0" t="n">
        <v>2028</v>
      </c>
      <c r="U199" s="0" t="n">
        <v>146922</v>
      </c>
      <c r="W199" s="0" t="n">
        <v>2026</v>
      </c>
      <c r="X199" s="0" t="n">
        <v>101.042</v>
      </c>
    </row>
    <row r="200" customFormat="false" ht="15" hidden="false" customHeight="false" outlineLevel="0" collapsed="false">
      <c r="A200" s="0" t="n">
        <v>2026</v>
      </c>
      <c r="B200" s="0" t="n">
        <v>22.65013252</v>
      </c>
      <c r="C200" s="0" t="n">
        <v>475.6527828</v>
      </c>
      <c r="E200" s="0" t="n">
        <v>2026</v>
      </c>
      <c r="F200" s="0" t="n">
        <v>3.603445</v>
      </c>
      <c r="G200" s="0" t="n">
        <v>75.62893</v>
      </c>
      <c r="I200" s="0" t="n">
        <v>2026</v>
      </c>
      <c r="J200" s="0" t="n">
        <v>4.48</v>
      </c>
      <c r="K200" s="0" t="n">
        <v>94.1</v>
      </c>
      <c r="M200" s="0" t="n">
        <v>2026</v>
      </c>
      <c r="N200" s="0" t="n">
        <v>6.15</v>
      </c>
      <c r="O200" s="0" t="n">
        <v>128.6</v>
      </c>
      <c r="Q200" s="0" t="n">
        <v>2026</v>
      </c>
      <c r="R200" s="0" t="n">
        <v>79</v>
      </c>
      <c r="T200" s="0" t="n">
        <v>2028</v>
      </c>
      <c r="U200" s="0" t="n">
        <v>4544</v>
      </c>
      <c r="W200" s="0" t="n">
        <v>2026</v>
      </c>
      <c r="X200" s="0" t="n">
        <v>39.885</v>
      </c>
    </row>
    <row r="201" customFormat="false" ht="15" hidden="false" customHeight="false" outlineLevel="0" collapsed="false">
      <c r="A201" s="0" t="n">
        <v>2026</v>
      </c>
      <c r="B201" s="0" t="n">
        <v>20.19838164</v>
      </c>
      <c r="C201" s="0" t="n">
        <v>424.1660144</v>
      </c>
      <c r="E201" s="0" t="n">
        <v>2026</v>
      </c>
      <c r="F201" s="0" t="n">
        <v>19.70337</v>
      </c>
      <c r="G201" s="0" t="n">
        <v>413.53338</v>
      </c>
      <c r="I201" s="0" t="n">
        <v>2026</v>
      </c>
      <c r="J201" s="0" t="n">
        <v>4.48</v>
      </c>
      <c r="K201" s="0" t="n">
        <v>94.1</v>
      </c>
      <c r="M201" s="0" t="n">
        <v>2026</v>
      </c>
      <c r="N201" s="0" t="n">
        <v>4.92</v>
      </c>
      <c r="O201" s="0" t="n">
        <v>102.88</v>
      </c>
      <c r="Q201" s="0" t="n">
        <v>2026</v>
      </c>
      <c r="R201" s="0" t="n">
        <v>37</v>
      </c>
      <c r="T201" s="0" t="n">
        <v>2028</v>
      </c>
      <c r="U201" s="0" t="n">
        <v>249766</v>
      </c>
      <c r="W201" s="0" t="n">
        <v>2026</v>
      </c>
      <c r="X201" s="0" t="n">
        <v>58.498</v>
      </c>
    </row>
    <row r="202" customFormat="false" ht="15" hidden="false" customHeight="false" outlineLevel="0" collapsed="false">
      <c r="A202" s="0" t="n">
        <v>2026</v>
      </c>
      <c r="B202" s="0" t="n">
        <v>14.04677738</v>
      </c>
      <c r="C202" s="0" t="n">
        <v>294.9823251</v>
      </c>
      <c r="E202" s="0" t="n">
        <v>2026</v>
      </c>
      <c r="F202" s="0" t="n">
        <v>18.01681</v>
      </c>
      <c r="G202" s="0" t="n">
        <v>378.13594</v>
      </c>
      <c r="I202" s="0" t="n">
        <v>2026</v>
      </c>
      <c r="J202" s="0" t="n">
        <v>8.96</v>
      </c>
      <c r="K202" s="0" t="n">
        <v>188.2</v>
      </c>
      <c r="M202" s="0" t="n">
        <v>2026</v>
      </c>
      <c r="N202" s="0" t="n">
        <v>2.46</v>
      </c>
      <c r="O202" s="0" t="n">
        <v>51.44</v>
      </c>
      <c r="Q202" s="0" t="n">
        <v>2026</v>
      </c>
      <c r="R202" s="0" t="n">
        <v>8</v>
      </c>
      <c r="T202" s="0" t="n">
        <v>2028</v>
      </c>
      <c r="U202" s="0" t="n">
        <v>7725</v>
      </c>
      <c r="W202" s="0" t="n">
        <v>2026</v>
      </c>
      <c r="X202" s="0" t="n">
        <v>45.203</v>
      </c>
    </row>
    <row r="203" customFormat="false" ht="15" hidden="false" customHeight="false" outlineLevel="0" collapsed="false">
      <c r="A203" s="0" t="n">
        <v>2026</v>
      </c>
      <c r="B203" s="0" t="n">
        <v>10.44846263</v>
      </c>
      <c r="C203" s="0" t="n">
        <v>219.4177152</v>
      </c>
      <c r="E203" s="0" t="n">
        <v>2026</v>
      </c>
      <c r="F203" s="0" t="n">
        <v>234.874693</v>
      </c>
      <c r="G203" s="0" t="n">
        <v>4931.854604</v>
      </c>
      <c r="I203" s="0" t="n">
        <v>2026</v>
      </c>
      <c r="J203" s="0" t="n">
        <v>15.68</v>
      </c>
      <c r="K203" s="0" t="n">
        <v>329.35</v>
      </c>
      <c r="M203" s="0" t="n">
        <v>2026</v>
      </c>
      <c r="N203" s="0" t="n">
        <v>46.74</v>
      </c>
      <c r="O203" s="0" t="n">
        <v>975.46</v>
      </c>
      <c r="Q203" s="0" t="n">
        <v>2026</v>
      </c>
      <c r="R203" s="0" t="n">
        <v>8</v>
      </c>
      <c r="T203" s="0" t="n">
        <v>2028</v>
      </c>
      <c r="U203" s="0" t="n">
        <v>51422</v>
      </c>
      <c r="W203" s="0" t="n">
        <v>2026</v>
      </c>
      <c r="X203" s="0" t="n">
        <v>2882.38</v>
      </c>
    </row>
    <row r="204" customFormat="false" ht="15" hidden="false" customHeight="false" outlineLevel="0" collapsed="false">
      <c r="A204" s="0" t="n">
        <v>2026</v>
      </c>
      <c r="B204" s="0" t="n">
        <v>4.643761169</v>
      </c>
      <c r="C204" s="0" t="n">
        <v>97.51898454</v>
      </c>
      <c r="E204" s="0" t="n">
        <v>2026</v>
      </c>
      <c r="F204" s="0" t="n">
        <v>63.066457</v>
      </c>
      <c r="G204" s="0" t="n">
        <v>1324.257596</v>
      </c>
      <c r="I204" s="0" t="n">
        <v>2026</v>
      </c>
      <c r="J204" s="0" t="n">
        <v>6.72</v>
      </c>
      <c r="K204" s="0" t="n">
        <v>141.15</v>
      </c>
      <c r="M204" s="0" t="n">
        <v>2026</v>
      </c>
      <c r="N204" s="0" t="n">
        <v>30.75</v>
      </c>
      <c r="O204" s="0" t="n">
        <v>641.75</v>
      </c>
      <c r="Q204" s="0" t="n">
        <v>2026</v>
      </c>
      <c r="R204" s="0" t="n">
        <v>8</v>
      </c>
      <c r="T204" s="0" t="n">
        <v>2028</v>
      </c>
      <c r="U204" s="0" t="n">
        <v>1591</v>
      </c>
      <c r="W204" s="0" t="n">
        <v>2026</v>
      </c>
      <c r="X204" s="0" t="n">
        <v>720.595</v>
      </c>
    </row>
    <row r="205" customFormat="false" ht="15" hidden="false" customHeight="false" outlineLevel="0" collapsed="false">
      <c r="A205" s="0" t="n">
        <v>2026</v>
      </c>
      <c r="B205" s="0" t="n">
        <v>17.15210007</v>
      </c>
      <c r="C205" s="0" t="n">
        <v>360.1941016</v>
      </c>
      <c r="E205" s="0" t="n">
        <v>2026</v>
      </c>
      <c r="F205" s="0" t="n">
        <v>25.243309</v>
      </c>
      <c r="G205" s="0" t="n">
        <v>530.054252</v>
      </c>
      <c r="I205" s="0" t="n">
        <v>2026</v>
      </c>
      <c r="J205" s="0" t="n">
        <v>6.72</v>
      </c>
      <c r="K205" s="0" t="n">
        <v>141.15</v>
      </c>
      <c r="M205" s="0" t="n">
        <v>2026</v>
      </c>
      <c r="N205" s="0" t="n">
        <v>12.3</v>
      </c>
      <c r="O205" s="0" t="n">
        <v>256.7</v>
      </c>
      <c r="Q205" s="0" t="n">
        <v>2026</v>
      </c>
      <c r="R205" s="0" t="n">
        <v>177</v>
      </c>
      <c r="T205" s="0" t="n">
        <v>2028</v>
      </c>
      <c r="U205" s="0" t="n">
        <v>88153</v>
      </c>
      <c r="W205" s="0" t="n">
        <v>2026</v>
      </c>
      <c r="X205" s="0" t="n">
        <v>223.152</v>
      </c>
    </row>
    <row r="206" customFormat="false" ht="15" hidden="false" customHeight="false" outlineLevel="0" collapsed="false">
      <c r="A206" s="0" t="n">
        <v>2026</v>
      </c>
      <c r="B206" s="0" t="n">
        <v>5.369206272</v>
      </c>
      <c r="C206" s="0" t="n">
        <v>112.7533317</v>
      </c>
      <c r="E206" s="0" t="n">
        <v>2026</v>
      </c>
      <c r="F206" s="0" t="n">
        <v>3.545863</v>
      </c>
      <c r="G206" s="0" t="n">
        <v>74.455364</v>
      </c>
      <c r="I206" s="0" t="n">
        <v>2026</v>
      </c>
      <c r="J206" s="0" t="n">
        <v>28.08</v>
      </c>
      <c r="K206" s="0" t="n">
        <v>587.6</v>
      </c>
      <c r="M206" s="0" t="n">
        <v>2026</v>
      </c>
      <c r="N206" s="0" t="n">
        <v>12.3</v>
      </c>
      <c r="O206" s="0" t="n">
        <v>256.7</v>
      </c>
      <c r="Q206" s="0" t="n">
        <v>2026</v>
      </c>
      <c r="R206" s="0" t="n">
        <v>169</v>
      </c>
      <c r="T206" s="0" t="n">
        <v>2028</v>
      </c>
      <c r="U206" s="0" t="n">
        <v>2726</v>
      </c>
      <c r="W206" s="0" t="n">
        <v>2026</v>
      </c>
      <c r="X206" s="0" t="n">
        <v>395.165</v>
      </c>
    </row>
    <row r="207" customFormat="false" ht="15" hidden="false" customHeight="false" outlineLevel="0" collapsed="false">
      <c r="A207" s="0" t="n">
        <v>2026</v>
      </c>
      <c r="B207" s="0" t="n">
        <v>12.00521711</v>
      </c>
      <c r="C207" s="0" t="n">
        <v>252.1095592</v>
      </c>
      <c r="E207" s="0" t="n">
        <v>2026</v>
      </c>
      <c r="F207" s="0" t="n">
        <v>84.763903</v>
      </c>
      <c r="G207" s="0" t="n">
        <v>1779.856484</v>
      </c>
      <c r="I207" s="0" t="n">
        <v>2026</v>
      </c>
      <c r="J207" s="0" t="n">
        <v>4.32</v>
      </c>
      <c r="K207" s="0" t="n">
        <v>90.4</v>
      </c>
      <c r="M207" s="0" t="n">
        <v>2026</v>
      </c>
      <c r="N207" s="0" t="n">
        <v>7.38</v>
      </c>
      <c r="O207" s="0" t="n">
        <v>154.02</v>
      </c>
      <c r="Q207" s="0" t="n">
        <v>2026</v>
      </c>
      <c r="R207" s="0" t="n">
        <v>80</v>
      </c>
      <c r="T207" s="0" t="n">
        <v>2028</v>
      </c>
      <c r="U207" s="0" t="n">
        <v>88153</v>
      </c>
      <c r="W207" s="0" t="n">
        <v>2026</v>
      </c>
      <c r="X207" s="0" t="n">
        <v>176.662</v>
      </c>
    </row>
    <row r="208" customFormat="false" ht="15" hidden="false" customHeight="false" outlineLevel="0" collapsed="false">
      <c r="A208" s="0" t="n">
        <v>2026</v>
      </c>
      <c r="B208" s="0" t="n">
        <v>143.0996615</v>
      </c>
      <c r="C208" s="0" t="n">
        <v>3005.09289</v>
      </c>
      <c r="E208" s="0" t="n">
        <v>2026</v>
      </c>
      <c r="F208" s="0" t="n">
        <v>3.968131</v>
      </c>
      <c r="G208" s="0" t="n">
        <v>83.322068</v>
      </c>
      <c r="I208" s="0" t="n">
        <v>2026</v>
      </c>
      <c r="J208" s="0" t="n">
        <v>3.24</v>
      </c>
      <c r="K208" s="0" t="n">
        <v>67.8</v>
      </c>
      <c r="M208" s="0" t="n">
        <v>2026</v>
      </c>
      <c r="N208" s="0" t="n">
        <v>6.15</v>
      </c>
      <c r="O208" s="0" t="n">
        <v>128.35</v>
      </c>
      <c r="Q208" s="0" t="n">
        <v>2026</v>
      </c>
      <c r="R208" s="0" t="n">
        <v>18</v>
      </c>
      <c r="T208" s="0" t="n">
        <v>2028</v>
      </c>
      <c r="U208" s="0" t="n">
        <v>2726</v>
      </c>
      <c r="W208" s="0" t="n">
        <v>2026</v>
      </c>
      <c r="X208" s="0" t="n">
        <v>69.735</v>
      </c>
    </row>
    <row r="209" customFormat="false" ht="15" hidden="false" customHeight="false" outlineLevel="0" collapsed="false">
      <c r="A209" s="0" t="n">
        <v>2026</v>
      </c>
      <c r="B209" s="0" t="n">
        <v>36.09396613</v>
      </c>
      <c r="C209" s="0" t="n">
        <v>757.9732888</v>
      </c>
      <c r="E209" s="0" t="n">
        <v>2026</v>
      </c>
      <c r="F209" s="0" t="n">
        <v>21.697446</v>
      </c>
      <c r="G209" s="0" t="n">
        <v>455.598888</v>
      </c>
      <c r="I209" s="0" t="n">
        <v>2026</v>
      </c>
      <c r="J209" s="0" t="n">
        <v>5.4</v>
      </c>
      <c r="K209" s="0" t="n">
        <v>113</v>
      </c>
      <c r="M209" s="0" t="n">
        <v>2026</v>
      </c>
      <c r="N209" s="0" t="n">
        <v>4.92</v>
      </c>
      <c r="O209" s="0" t="n">
        <v>102.68</v>
      </c>
      <c r="Q209" s="0" t="n">
        <v>2026</v>
      </c>
      <c r="R209" s="0" t="n">
        <v>18</v>
      </c>
      <c r="T209" s="0" t="n">
        <v>2028</v>
      </c>
      <c r="U209" s="0" t="n">
        <v>44076</v>
      </c>
      <c r="W209" s="0" t="n">
        <v>2026</v>
      </c>
      <c r="X209" s="0" t="n">
        <v>102.278</v>
      </c>
    </row>
    <row r="210" customFormat="false" ht="15" hidden="false" customHeight="false" outlineLevel="0" collapsed="false">
      <c r="A210" s="0" t="n">
        <v>2026</v>
      </c>
      <c r="B210" s="0" t="n">
        <v>32.18699503</v>
      </c>
      <c r="C210" s="0" t="n">
        <v>675.9268957</v>
      </c>
      <c r="E210" s="0" t="n">
        <v>2026</v>
      </c>
      <c r="F210" s="0" t="n">
        <v>19.840198</v>
      </c>
      <c r="G210" s="0" t="n">
        <v>416.600744</v>
      </c>
      <c r="I210" s="0" t="n">
        <v>2026</v>
      </c>
      <c r="J210" s="0" t="n">
        <v>1.08</v>
      </c>
      <c r="K210" s="0" t="n">
        <v>22.6</v>
      </c>
      <c r="M210" s="0" t="n">
        <v>2026</v>
      </c>
      <c r="N210" s="0" t="n">
        <v>2.46</v>
      </c>
      <c r="O210" s="0" t="n">
        <v>51.34</v>
      </c>
      <c r="Q210" s="0" t="n">
        <v>2026</v>
      </c>
      <c r="R210" s="0" t="n">
        <v>18</v>
      </c>
      <c r="T210" s="0" t="n">
        <v>2028</v>
      </c>
      <c r="U210" s="0" t="n">
        <v>1363</v>
      </c>
      <c r="W210" s="0" t="n">
        <v>2026</v>
      </c>
      <c r="X210" s="0" t="n">
        <v>79.033</v>
      </c>
    </row>
    <row r="211" customFormat="false" ht="15" hidden="false" customHeight="false" outlineLevel="0" collapsed="false">
      <c r="A211" s="0" t="n">
        <v>2026</v>
      </c>
      <c r="B211" s="0" t="n">
        <v>22.3841475</v>
      </c>
      <c r="C211" s="0" t="n">
        <v>470.0670975</v>
      </c>
      <c r="E211" s="0" t="n">
        <v>2026</v>
      </c>
      <c r="F211" s="0" t="n">
        <v>851.613493</v>
      </c>
      <c r="G211" s="0" t="n">
        <v>17875.66017</v>
      </c>
      <c r="I211" s="0" t="n">
        <v>2026</v>
      </c>
      <c r="J211" s="0" t="n">
        <v>1.08</v>
      </c>
      <c r="K211" s="0" t="n">
        <v>22.6</v>
      </c>
      <c r="M211" s="0" t="n">
        <v>2026</v>
      </c>
      <c r="N211" s="0" t="n">
        <v>241.68</v>
      </c>
      <c r="O211" s="0" t="n">
        <v>5072.24</v>
      </c>
      <c r="Q211" s="0" t="n">
        <v>2026</v>
      </c>
      <c r="R211" s="0" t="n">
        <v>626</v>
      </c>
      <c r="T211" s="0" t="n">
        <v>2028</v>
      </c>
      <c r="U211" s="0" t="n">
        <v>367303</v>
      </c>
      <c r="W211" s="0" t="n">
        <v>2026</v>
      </c>
      <c r="X211" s="0" t="n">
        <v>26968.76</v>
      </c>
    </row>
    <row r="212" customFormat="false" ht="15" hidden="false" customHeight="false" outlineLevel="0" collapsed="false">
      <c r="A212" s="0" t="n">
        <v>2026</v>
      </c>
      <c r="B212" s="0" t="n">
        <v>16.65007726</v>
      </c>
      <c r="C212" s="0" t="n">
        <v>349.6516224</v>
      </c>
      <c r="E212" s="0" t="n">
        <v>2026</v>
      </c>
      <c r="F212" s="0" t="n">
        <v>228.667657</v>
      </c>
      <c r="G212" s="0" t="n">
        <v>4799.812781</v>
      </c>
      <c r="I212" s="0" t="n">
        <v>2026</v>
      </c>
      <c r="J212" s="0" t="n">
        <v>0</v>
      </c>
      <c r="K212" s="0" t="n">
        <v>0</v>
      </c>
      <c r="M212" s="0" t="n">
        <v>2026</v>
      </c>
      <c r="N212" s="0" t="n">
        <v>159</v>
      </c>
      <c r="O212" s="0" t="n">
        <v>3337</v>
      </c>
      <c r="Q212" s="0" t="n">
        <v>2026</v>
      </c>
      <c r="R212" s="0" t="n">
        <v>595</v>
      </c>
      <c r="T212" s="0" t="n">
        <v>2028</v>
      </c>
      <c r="U212" s="0" t="n">
        <v>11360</v>
      </c>
      <c r="W212" s="0" t="n">
        <v>2026</v>
      </c>
      <c r="X212" s="0" t="n">
        <v>6742.19</v>
      </c>
    </row>
    <row r="213" customFormat="false" ht="15" hidden="false" customHeight="false" outlineLevel="0" collapsed="false">
      <c r="A213" s="0" t="n">
        <v>2026</v>
      </c>
      <c r="B213" s="0" t="n">
        <v>7.400034337</v>
      </c>
      <c r="C213" s="0" t="n">
        <v>155.4007211</v>
      </c>
      <c r="E213" s="0" t="n">
        <v>2026</v>
      </c>
      <c r="F213" s="0" t="n">
        <v>91.527709</v>
      </c>
      <c r="G213" s="0" t="n">
        <v>1921.198097</v>
      </c>
      <c r="I213" s="0" t="n">
        <v>2026</v>
      </c>
      <c r="J213" s="0" t="n">
        <v>2.16</v>
      </c>
      <c r="K213" s="0" t="n">
        <v>45.2</v>
      </c>
      <c r="M213" s="0" t="n">
        <v>2026</v>
      </c>
      <c r="N213" s="0" t="n">
        <v>63.6</v>
      </c>
      <c r="O213" s="0" t="n">
        <v>1334.8</v>
      </c>
      <c r="Q213" s="0" t="n">
        <v>2026</v>
      </c>
      <c r="R213" s="0" t="n">
        <v>282</v>
      </c>
      <c r="T213" s="0" t="n">
        <v>2028</v>
      </c>
      <c r="U213" s="0" t="n">
        <v>139575</v>
      </c>
      <c r="W213" s="0" t="n">
        <v>2026</v>
      </c>
      <c r="X213" s="0" t="n">
        <v>2087.904</v>
      </c>
    </row>
    <row r="214" customFormat="false" ht="15" hidden="false" customHeight="false" outlineLevel="0" collapsed="false">
      <c r="A214" s="0" t="n">
        <v>2026</v>
      </c>
      <c r="B214" s="0" t="n">
        <v>27.33261356</v>
      </c>
      <c r="C214" s="0" t="n">
        <v>573.9848848</v>
      </c>
      <c r="E214" s="0" t="n">
        <v>2026</v>
      </c>
      <c r="F214" s="0" t="n">
        <v>12.856663</v>
      </c>
      <c r="G214" s="0" t="n">
        <v>269.865779</v>
      </c>
      <c r="I214" s="0" t="n">
        <v>2026</v>
      </c>
      <c r="J214" s="0" t="n">
        <v>3.78</v>
      </c>
      <c r="K214" s="0" t="n">
        <v>79.1</v>
      </c>
      <c r="M214" s="0" t="n">
        <v>2026</v>
      </c>
      <c r="N214" s="0" t="n">
        <v>63.6</v>
      </c>
      <c r="O214" s="0" t="n">
        <v>1334.8</v>
      </c>
      <c r="Q214" s="0" t="n">
        <v>2026</v>
      </c>
      <c r="R214" s="0" t="n">
        <v>63</v>
      </c>
      <c r="T214" s="0" t="n">
        <v>2028</v>
      </c>
      <c r="U214" s="0" t="n">
        <v>4316</v>
      </c>
      <c r="W214" s="0" t="n">
        <v>2026</v>
      </c>
      <c r="X214" s="0" t="n">
        <v>3697.33</v>
      </c>
    </row>
    <row r="215" customFormat="false" ht="15" hidden="false" customHeight="false" outlineLevel="0" collapsed="false">
      <c r="A215" s="0" t="n">
        <v>2026</v>
      </c>
      <c r="B215" s="0" t="n">
        <v>8.556062495</v>
      </c>
      <c r="C215" s="0" t="n">
        <v>179.6773124</v>
      </c>
      <c r="E215" s="0" t="n">
        <v>2026</v>
      </c>
      <c r="F215" s="0" t="n">
        <v>307.338703</v>
      </c>
      <c r="G215" s="0" t="n">
        <v>6451.145099</v>
      </c>
      <c r="I215" s="0" t="n">
        <v>2026</v>
      </c>
      <c r="J215" s="0" t="n">
        <v>1.08</v>
      </c>
      <c r="K215" s="0" t="n">
        <v>22.6</v>
      </c>
      <c r="M215" s="0" t="n">
        <v>2026</v>
      </c>
      <c r="N215" s="0" t="n">
        <v>38.16</v>
      </c>
      <c r="O215" s="0" t="n">
        <v>800.88</v>
      </c>
      <c r="Q215" s="0" t="n">
        <v>2026</v>
      </c>
      <c r="R215" s="0" t="n">
        <v>58</v>
      </c>
      <c r="T215" s="0" t="n">
        <v>2028</v>
      </c>
      <c r="U215" s="0" t="n">
        <v>161613</v>
      </c>
      <c r="W215" s="0" t="n">
        <v>2026</v>
      </c>
      <c r="X215" s="0" t="n">
        <v>1652.924</v>
      </c>
    </row>
    <row r="216" customFormat="false" ht="15" hidden="false" customHeight="false" outlineLevel="0" collapsed="false">
      <c r="A216" s="0" t="n">
        <v>2026</v>
      </c>
      <c r="B216" s="0" t="n">
        <v>19.13083287</v>
      </c>
      <c r="C216" s="0" t="n">
        <v>401.7474903</v>
      </c>
      <c r="E216" s="0" t="n">
        <v>2026</v>
      </c>
      <c r="F216" s="0" t="n">
        <v>14.387731</v>
      </c>
      <c r="G216" s="0" t="n">
        <v>302.003423</v>
      </c>
      <c r="I216" s="0" t="n">
        <v>2026</v>
      </c>
      <c r="J216" s="0" t="n">
        <v>3.78</v>
      </c>
      <c r="K216" s="0" t="n">
        <v>79.1</v>
      </c>
      <c r="M216" s="0" t="n">
        <v>2026</v>
      </c>
      <c r="N216" s="0" t="n">
        <v>31.8</v>
      </c>
      <c r="O216" s="0" t="n">
        <v>667.4</v>
      </c>
      <c r="Q216" s="0" t="n">
        <v>2026</v>
      </c>
      <c r="R216" s="0" t="n">
        <v>58</v>
      </c>
      <c r="T216" s="0" t="n">
        <v>2028</v>
      </c>
      <c r="U216" s="0" t="n">
        <v>4998</v>
      </c>
      <c r="W216" s="0" t="n">
        <v>2026</v>
      </c>
      <c r="X216" s="0" t="n">
        <v>652.47</v>
      </c>
    </row>
    <row r="217" customFormat="false" ht="15" hidden="false" customHeight="false" outlineLevel="0" collapsed="false">
      <c r="A217" s="0" t="n">
        <v>2026</v>
      </c>
      <c r="B217" s="0" t="n">
        <v>160.2326498</v>
      </c>
      <c r="C217" s="0" t="n">
        <v>3364.885646</v>
      </c>
      <c r="E217" s="0" t="n">
        <v>2026</v>
      </c>
      <c r="F217" s="0" t="n">
        <v>78.671046</v>
      </c>
      <c r="G217" s="0" t="n">
        <v>1651.332318</v>
      </c>
      <c r="I217" s="0" t="n">
        <v>2026</v>
      </c>
      <c r="J217" s="0" t="n">
        <v>760.8</v>
      </c>
      <c r="K217" s="0" t="n">
        <v>15973.92</v>
      </c>
      <c r="M217" s="0" t="n">
        <v>2026</v>
      </c>
      <c r="N217" s="0" t="n">
        <v>25.44</v>
      </c>
      <c r="O217" s="0" t="n">
        <v>533.92</v>
      </c>
      <c r="Q217" s="0" t="n">
        <v>2026</v>
      </c>
      <c r="R217" s="0" t="n">
        <v>112</v>
      </c>
      <c r="T217" s="0" t="n">
        <v>2028</v>
      </c>
      <c r="U217" s="0" t="n">
        <v>154267</v>
      </c>
      <c r="W217" s="0" t="n">
        <v>2026</v>
      </c>
      <c r="X217" s="0" t="n">
        <v>956.956</v>
      </c>
    </row>
    <row r="218" customFormat="false" ht="15" hidden="false" customHeight="false" outlineLevel="0" collapsed="false">
      <c r="A218" s="0" t="n">
        <v>2026</v>
      </c>
      <c r="B218" s="0" t="n">
        <v>40.41541242</v>
      </c>
      <c r="C218" s="0" t="n">
        <v>848.7236609</v>
      </c>
      <c r="E218" s="0" t="n">
        <v>2026</v>
      </c>
      <c r="F218" s="0" t="n">
        <v>71.936998</v>
      </c>
      <c r="G218" s="0" t="n">
        <v>1509.982334</v>
      </c>
      <c r="I218" s="0" t="n">
        <v>2026</v>
      </c>
      <c r="J218" s="0" t="n">
        <v>253.6</v>
      </c>
      <c r="K218" s="0" t="n">
        <v>5324.64</v>
      </c>
      <c r="M218" s="0" t="n">
        <v>2026</v>
      </c>
      <c r="N218" s="0" t="n">
        <v>12.72</v>
      </c>
      <c r="O218" s="0" t="n">
        <v>266.96</v>
      </c>
      <c r="Q218" s="0" t="n">
        <v>2026</v>
      </c>
      <c r="R218" s="0" t="n">
        <v>106</v>
      </c>
      <c r="T218" s="0" t="n">
        <v>2028</v>
      </c>
      <c r="U218" s="0" t="n">
        <v>4772</v>
      </c>
      <c r="W218" s="0" t="n">
        <v>2026</v>
      </c>
      <c r="X218" s="0" t="n">
        <v>739.466</v>
      </c>
    </row>
    <row r="219" customFormat="false" ht="15" hidden="false" customHeight="false" outlineLevel="0" collapsed="false">
      <c r="A219" s="0" t="n">
        <v>2026</v>
      </c>
      <c r="B219" s="0" t="n">
        <v>36.0406688</v>
      </c>
      <c r="C219" s="0" t="n">
        <v>756.8540448</v>
      </c>
      <c r="E219" s="0" t="n">
        <v>2026</v>
      </c>
      <c r="F219" s="0" t="n">
        <v>854.697187</v>
      </c>
      <c r="G219" s="0" t="n">
        <v>17939.90379</v>
      </c>
      <c r="I219" s="0" t="n">
        <v>2026</v>
      </c>
      <c r="J219" s="0" t="n">
        <v>110.95</v>
      </c>
      <c r="K219" s="0" t="n">
        <v>2329.53</v>
      </c>
      <c r="M219" s="0" t="n">
        <v>2026</v>
      </c>
      <c r="N219" s="0" t="n">
        <v>182.4</v>
      </c>
      <c r="O219" s="0" t="n">
        <v>3825.84</v>
      </c>
      <c r="Q219" s="0" t="n">
        <v>2026</v>
      </c>
      <c r="R219" s="0" t="n">
        <v>50</v>
      </c>
      <c r="T219" s="0" t="n">
        <v>2028</v>
      </c>
      <c r="U219" s="0" t="n">
        <v>146922</v>
      </c>
      <c r="W219" s="0" t="n">
        <v>2026</v>
      </c>
      <c r="X219" s="0" t="n">
        <v>10794.82</v>
      </c>
    </row>
    <row r="220" customFormat="false" ht="15" hidden="false" customHeight="false" outlineLevel="0" collapsed="false">
      <c r="A220" s="0" t="n">
        <v>2026</v>
      </c>
      <c r="B220" s="0" t="n">
        <v>25.06414922</v>
      </c>
      <c r="C220" s="0" t="n">
        <v>526.3471336</v>
      </c>
      <c r="E220" s="0" t="n">
        <v>2026</v>
      </c>
      <c r="F220" s="0" t="n">
        <v>229.495663</v>
      </c>
      <c r="G220" s="0" t="n">
        <v>4817.062906</v>
      </c>
      <c r="I220" s="0" t="n">
        <v>2026</v>
      </c>
      <c r="J220" s="0" t="n">
        <v>63.4</v>
      </c>
      <c r="K220" s="0" t="n">
        <v>1331.16</v>
      </c>
      <c r="M220" s="0" t="n">
        <v>2026</v>
      </c>
      <c r="N220" s="0" t="n">
        <v>120</v>
      </c>
      <c r="O220" s="0" t="n">
        <v>2517</v>
      </c>
      <c r="Q220" s="0" t="n">
        <v>2026</v>
      </c>
      <c r="R220" s="0" t="n">
        <v>11</v>
      </c>
      <c r="T220" s="0" t="n">
        <v>2028</v>
      </c>
      <c r="U220" s="0" t="n">
        <v>4544</v>
      </c>
      <c r="W220" s="0" t="n">
        <v>2026</v>
      </c>
      <c r="X220" s="0" t="n">
        <v>2698.705</v>
      </c>
    </row>
    <row r="221" customFormat="false" ht="15" hidden="false" customHeight="false" outlineLevel="0" collapsed="false">
      <c r="A221" s="0" t="n">
        <v>2026</v>
      </c>
      <c r="B221" s="0" t="n">
        <v>18.64355213</v>
      </c>
      <c r="C221" s="0" t="n">
        <v>391.5145948</v>
      </c>
      <c r="E221" s="0" t="n">
        <v>2026</v>
      </c>
      <c r="F221" s="0" t="n">
        <v>91.859131</v>
      </c>
      <c r="G221" s="0" t="n">
        <v>1928.102722</v>
      </c>
      <c r="I221" s="0" t="n">
        <v>2026</v>
      </c>
      <c r="J221" s="0" t="n">
        <v>63.4</v>
      </c>
      <c r="K221" s="0" t="n">
        <v>1331.16</v>
      </c>
      <c r="M221" s="0" t="n">
        <v>2026</v>
      </c>
      <c r="N221" s="0" t="n">
        <v>48</v>
      </c>
      <c r="O221" s="0" t="n">
        <v>1006.8</v>
      </c>
      <c r="Q221" s="0" t="n">
        <v>2026</v>
      </c>
      <c r="R221" s="0" t="n">
        <v>11</v>
      </c>
      <c r="T221" s="0" t="n">
        <v>2028</v>
      </c>
      <c r="U221" s="0" t="n">
        <v>110192</v>
      </c>
      <c r="W221" s="0" t="n">
        <v>2026</v>
      </c>
      <c r="X221" s="0" t="n">
        <v>835.728</v>
      </c>
    </row>
    <row r="222" customFormat="false" ht="15" hidden="false" customHeight="false" outlineLevel="0" collapsed="false">
      <c r="A222" s="0" t="n">
        <v>2026</v>
      </c>
      <c r="B222" s="0" t="n">
        <v>8.28602317</v>
      </c>
      <c r="C222" s="0" t="n">
        <v>174.0064866</v>
      </c>
      <c r="E222" s="0" t="n">
        <v>2026</v>
      </c>
      <c r="F222" s="0" t="n">
        <v>12.903217</v>
      </c>
      <c r="G222" s="0" t="n">
        <v>270.835654</v>
      </c>
      <c r="I222" s="0" t="n">
        <v>2026</v>
      </c>
      <c r="J222" s="0" t="n">
        <v>31.7</v>
      </c>
      <c r="K222" s="0" t="n">
        <v>665.58</v>
      </c>
      <c r="M222" s="0" t="n">
        <v>2026</v>
      </c>
      <c r="N222" s="0" t="n">
        <v>48</v>
      </c>
      <c r="O222" s="0" t="n">
        <v>1006.8</v>
      </c>
      <c r="Q222" s="0" t="n">
        <v>2026</v>
      </c>
      <c r="R222" s="0" t="n">
        <v>11</v>
      </c>
      <c r="T222" s="0" t="n">
        <v>2028</v>
      </c>
      <c r="U222" s="0" t="n">
        <v>3408</v>
      </c>
      <c r="W222" s="0" t="n">
        <v>2026</v>
      </c>
      <c r="X222" s="0" t="n">
        <v>1479.935</v>
      </c>
    </row>
    <row r="223" customFormat="false" ht="15" hidden="false" customHeight="false" outlineLevel="0" collapsed="false">
      <c r="A223" s="0" t="n">
        <v>2026</v>
      </c>
      <c r="B223" s="0" t="n">
        <v>30.60508357</v>
      </c>
      <c r="C223" s="0" t="n">
        <v>642.7067549</v>
      </c>
      <c r="E223" s="0" t="n">
        <v>2026</v>
      </c>
      <c r="F223" s="0" t="n">
        <v>308.451577</v>
      </c>
      <c r="G223" s="0" t="n">
        <v>6474.329974</v>
      </c>
      <c r="I223" s="0" t="n">
        <v>2026</v>
      </c>
      <c r="J223" s="0" t="n">
        <v>31.7</v>
      </c>
      <c r="K223" s="0" t="n">
        <v>665.58</v>
      </c>
      <c r="M223" s="0" t="n">
        <v>2026</v>
      </c>
      <c r="N223" s="0" t="n">
        <v>28.8</v>
      </c>
      <c r="O223" s="0" t="n">
        <v>604.08</v>
      </c>
      <c r="Q223" s="0" t="n">
        <v>2026</v>
      </c>
      <c r="R223" s="0" t="n">
        <v>112</v>
      </c>
      <c r="T223" s="0" t="n">
        <v>2028</v>
      </c>
      <c r="U223" s="0" t="n">
        <v>95499</v>
      </c>
      <c r="W223" s="0" t="n">
        <v>2026</v>
      </c>
      <c r="X223" s="0" t="n">
        <v>661.618</v>
      </c>
    </row>
    <row r="224" customFormat="false" ht="15" hidden="false" customHeight="false" outlineLevel="0" collapsed="false">
      <c r="A224" s="0" t="n">
        <v>2026</v>
      </c>
      <c r="B224" s="0" t="n">
        <v>9.580459881</v>
      </c>
      <c r="C224" s="0" t="n">
        <v>201.1896575</v>
      </c>
      <c r="E224" s="0" t="n">
        <v>2026</v>
      </c>
      <c r="F224" s="0" t="n">
        <v>14.439829</v>
      </c>
      <c r="G224" s="0" t="n">
        <v>303.088798</v>
      </c>
      <c r="I224" s="0" t="n">
        <v>2026</v>
      </c>
      <c r="J224" s="0" t="n">
        <v>63.4</v>
      </c>
      <c r="K224" s="0" t="n">
        <v>1331.16</v>
      </c>
      <c r="M224" s="0" t="n">
        <v>2026</v>
      </c>
      <c r="N224" s="0" t="n">
        <v>24</v>
      </c>
      <c r="O224" s="0" t="n">
        <v>503.4</v>
      </c>
      <c r="Q224" s="0" t="n">
        <v>2026</v>
      </c>
      <c r="R224" s="0" t="n">
        <v>106</v>
      </c>
      <c r="T224" s="0" t="n">
        <v>2028</v>
      </c>
      <c r="U224" s="0" t="n">
        <v>2953</v>
      </c>
      <c r="W224" s="0" t="n">
        <v>2026</v>
      </c>
      <c r="X224" s="0" t="n">
        <v>261.165</v>
      </c>
    </row>
    <row r="225" customFormat="false" ht="15" hidden="false" customHeight="false" outlineLevel="0" collapsed="false">
      <c r="A225" s="0" t="n">
        <v>2026</v>
      </c>
      <c r="B225" s="0" t="n">
        <v>21.42132282</v>
      </c>
      <c r="C225" s="0" t="n">
        <v>449.8477793</v>
      </c>
      <c r="E225" s="0" t="n">
        <v>2026</v>
      </c>
      <c r="F225" s="0" t="n">
        <v>78.955914</v>
      </c>
      <c r="G225" s="0" t="n">
        <v>1657.267068</v>
      </c>
      <c r="I225" s="0" t="n">
        <v>2026</v>
      </c>
      <c r="J225" s="0" t="n">
        <v>110.95</v>
      </c>
      <c r="K225" s="0" t="n">
        <v>2329.53</v>
      </c>
      <c r="M225" s="0" t="n">
        <v>2026</v>
      </c>
      <c r="N225" s="0" t="n">
        <v>19.2</v>
      </c>
      <c r="O225" s="0" t="n">
        <v>402.72</v>
      </c>
      <c r="Q225" s="0" t="n">
        <v>2026</v>
      </c>
      <c r="R225" s="0" t="n">
        <v>50</v>
      </c>
      <c r="T225" s="0" t="n">
        <v>2028</v>
      </c>
      <c r="U225" s="0" t="n">
        <v>80807</v>
      </c>
      <c r="W225" s="0" t="n">
        <v>2026</v>
      </c>
      <c r="X225" s="0" t="n">
        <v>383.042</v>
      </c>
    </row>
    <row r="226" customFormat="false" ht="15" hidden="false" customHeight="false" outlineLevel="0" collapsed="false">
      <c r="A226" s="0" t="n">
        <v>2026</v>
      </c>
      <c r="B226" s="0" t="n">
        <v>97.21366905</v>
      </c>
      <c r="C226" s="0" t="n">
        <v>2041.48705</v>
      </c>
      <c r="E226" s="0" t="n">
        <v>2026</v>
      </c>
      <c r="F226" s="0" t="n">
        <v>72.197482</v>
      </c>
      <c r="G226" s="0" t="n">
        <v>1515.409084</v>
      </c>
      <c r="I226" s="0" t="n">
        <v>2026</v>
      </c>
      <c r="J226" s="0" t="n">
        <v>47.55</v>
      </c>
      <c r="K226" s="0" t="n">
        <v>998.37</v>
      </c>
      <c r="M226" s="0" t="n">
        <v>2026</v>
      </c>
      <c r="N226" s="0" t="n">
        <v>9.6</v>
      </c>
      <c r="O226" s="0" t="n">
        <v>201.36</v>
      </c>
      <c r="Q226" s="0" t="n">
        <v>2026</v>
      </c>
      <c r="R226" s="0" t="n">
        <v>11</v>
      </c>
      <c r="T226" s="0" t="n">
        <v>2028</v>
      </c>
      <c r="U226" s="0" t="n">
        <v>2500</v>
      </c>
      <c r="W226" s="0" t="n">
        <v>2026</v>
      </c>
      <c r="X226" s="0" t="n">
        <v>295.987</v>
      </c>
    </row>
    <row r="227" customFormat="false" ht="15" hidden="false" customHeight="false" outlineLevel="0" collapsed="false">
      <c r="A227" s="0" t="n">
        <v>2026</v>
      </c>
      <c r="B227" s="0" t="n">
        <v>24.52016198</v>
      </c>
      <c r="C227" s="0" t="n">
        <v>514.9234016</v>
      </c>
      <c r="E227" s="0" t="n">
        <v>2026</v>
      </c>
      <c r="F227" s="0" t="n">
        <v>294.492777</v>
      </c>
      <c r="G227" s="0" t="n">
        <v>6183.834368</v>
      </c>
      <c r="I227" s="0" t="n">
        <v>2026</v>
      </c>
      <c r="J227" s="0" t="n">
        <v>47.55</v>
      </c>
      <c r="K227" s="0" t="n">
        <v>998.37</v>
      </c>
      <c r="M227" s="0" t="n">
        <v>2026</v>
      </c>
      <c r="N227" s="0" t="n">
        <v>164.92</v>
      </c>
      <c r="O227" s="0" t="n">
        <v>3456.48</v>
      </c>
      <c r="Q227" s="0" t="n">
        <v>2026</v>
      </c>
      <c r="R227" s="0" t="n">
        <v>11</v>
      </c>
      <c r="T227" s="0" t="n">
        <v>2028</v>
      </c>
      <c r="U227" s="0" t="n">
        <v>617070</v>
      </c>
      <c r="W227" s="0" t="n">
        <v>2026</v>
      </c>
      <c r="X227" s="0" t="n">
        <v>13578.62</v>
      </c>
    </row>
    <row r="228" customFormat="false" ht="15" hidden="false" customHeight="false" outlineLevel="0" collapsed="false">
      <c r="A228" s="0" t="n">
        <v>2026</v>
      </c>
      <c r="B228" s="0" t="n">
        <v>21.86599081</v>
      </c>
      <c r="C228" s="0" t="n">
        <v>459.1858071</v>
      </c>
      <c r="E228" s="0" t="n">
        <v>2026</v>
      </c>
      <c r="F228" s="0" t="n">
        <v>79.074573</v>
      </c>
      <c r="G228" s="0" t="n">
        <v>1660.428032</v>
      </c>
      <c r="I228" s="0" t="n">
        <v>2026</v>
      </c>
      <c r="J228" s="0" t="n">
        <v>173.16</v>
      </c>
      <c r="K228" s="0" t="n">
        <v>3635.32</v>
      </c>
      <c r="M228" s="0" t="n">
        <v>2026</v>
      </c>
      <c r="N228" s="0" t="n">
        <v>108.5</v>
      </c>
      <c r="O228" s="0" t="n">
        <v>2274</v>
      </c>
      <c r="Q228" s="0" t="n">
        <v>2026</v>
      </c>
      <c r="R228" s="0" t="n">
        <v>11</v>
      </c>
      <c r="T228" s="0" t="n">
        <v>2028</v>
      </c>
      <c r="U228" s="0" t="n">
        <v>19085</v>
      </c>
      <c r="W228" s="0" t="n">
        <v>2026</v>
      </c>
      <c r="X228" s="0" t="n">
        <v>3394.655</v>
      </c>
    </row>
    <row r="229" customFormat="false" ht="15" hidden="false" customHeight="false" outlineLevel="0" collapsed="false">
      <c r="A229" s="0" t="n">
        <v>2026</v>
      </c>
      <c r="B229" s="0" t="n">
        <v>15.20650074</v>
      </c>
      <c r="C229" s="0" t="n">
        <v>319.3365155</v>
      </c>
      <c r="E229" s="0" t="n">
        <v>2026</v>
      </c>
      <c r="F229" s="0" t="n">
        <v>31.650801</v>
      </c>
      <c r="G229" s="0" t="n">
        <v>664.611584</v>
      </c>
      <c r="I229" s="0" t="n">
        <v>2026</v>
      </c>
      <c r="J229" s="0" t="n">
        <v>26.64</v>
      </c>
      <c r="K229" s="0" t="n">
        <v>559.28</v>
      </c>
      <c r="M229" s="0" t="n">
        <v>2026</v>
      </c>
      <c r="N229" s="0" t="n">
        <v>43.4</v>
      </c>
      <c r="O229" s="0" t="n">
        <v>909.6</v>
      </c>
      <c r="Q229" s="0" t="n">
        <v>2026</v>
      </c>
      <c r="R229" s="0" t="n">
        <v>152</v>
      </c>
      <c r="T229" s="0" t="n">
        <v>2028</v>
      </c>
      <c r="U229" s="0" t="n">
        <v>88153</v>
      </c>
      <c r="W229" s="0" t="n">
        <v>2026</v>
      </c>
      <c r="X229" s="0" t="n">
        <v>1051.248</v>
      </c>
    </row>
    <row r="230" customFormat="false" ht="15" hidden="false" customHeight="false" outlineLevel="0" collapsed="false">
      <c r="A230" s="0" t="n">
        <v>2026</v>
      </c>
      <c r="B230" s="0" t="n">
        <v>11.31110363</v>
      </c>
      <c r="C230" s="0" t="n">
        <v>237.5331762</v>
      </c>
      <c r="E230" s="0" t="n">
        <v>2026</v>
      </c>
      <c r="F230" s="0" t="n">
        <v>4.445907</v>
      </c>
      <c r="G230" s="0" t="n">
        <v>93.356288</v>
      </c>
      <c r="I230" s="0" t="n">
        <v>2026</v>
      </c>
      <c r="J230" s="0" t="n">
        <v>19.98</v>
      </c>
      <c r="K230" s="0" t="n">
        <v>419.46</v>
      </c>
      <c r="M230" s="0" t="n">
        <v>2026</v>
      </c>
      <c r="N230" s="0" t="n">
        <v>43.4</v>
      </c>
      <c r="O230" s="0" t="n">
        <v>909.6</v>
      </c>
      <c r="Q230" s="0" t="n">
        <v>2026</v>
      </c>
      <c r="R230" s="0" t="n">
        <v>145</v>
      </c>
      <c r="T230" s="0" t="n">
        <v>2028</v>
      </c>
      <c r="U230" s="0" t="n">
        <v>2726</v>
      </c>
      <c r="W230" s="0" t="n">
        <v>2026</v>
      </c>
      <c r="X230" s="0" t="n">
        <v>1861.585</v>
      </c>
    </row>
    <row r="231" customFormat="false" ht="15" hidden="false" customHeight="false" outlineLevel="0" collapsed="false">
      <c r="A231" s="0" t="n">
        <v>2026</v>
      </c>
      <c r="B231" s="0" t="n">
        <v>5.027157169</v>
      </c>
      <c r="C231" s="0" t="n">
        <v>105.5703005</v>
      </c>
      <c r="E231" s="0" t="n">
        <v>2026</v>
      </c>
      <c r="F231" s="0" t="n">
        <v>106.279467</v>
      </c>
      <c r="G231" s="0" t="n">
        <v>2231.683328</v>
      </c>
      <c r="I231" s="0" t="n">
        <v>2026</v>
      </c>
      <c r="J231" s="0" t="n">
        <v>33.3</v>
      </c>
      <c r="K231" s="0" t="n">
        <v>699.1</v>
      </c>
      <c r="M231" s="0" t="n">
        <v>2026</v>
      </c>
      <c r="N231" s="0" t="n">
        <v>26.04</v>
      </c>
      <c r="O231" s="0" t="n">
        <v>545.76</v>
      </c>
      <c r="Q231" s="0" t="n">
        <v>2026</v>
      </c>
      <c r="R231" s="0" t="n">
        <v>69</v>
      </c>
      <c r="T231" s="0" t="n">
        <v>2028</v>
      </c>
      <c r="U231" s="0" t="n">
        <v>44076</v>
      </c>
      <c r="W231" s="0" t="n">
        <v>2026</v>
      </c>
      <c r="X231" s="0" t="n">
        <v>832.238</v>
      </c>
    </row>
    <row r="232" customFormat="false" ht="15" hidden="false" customHeight="false" outlineLevel="0" collapsed="false">
      <c r="A232" s="0" t="n">
        <v>2026</v>
      </c>
      <c r="B232" s="0" t="n">
        <v>18.5682036</v>
      </c>
      <c r="C232" s="0" t="n">
        <v>389.9322756</v>
      </c>
      <c r="E232" s="0" t="n">
        <v>2026</v>
      </c>
      <c r="F232" s="0" t="n">
        <v>4.975359</v>
      </c>
      <c r="G232" s="0" t="n">
        <v>104.473856</v>
      </c>
      <c r="I232" s="0" t="n">
        <v>2026</v>
      </c>
      <c r="J232" s="0" t="n">
        <v>6.66</v>
      </c>
      <c r="K232" s="0" t="n">
        <v>139.82</v>
      </c>
      <c r="M232" s="0" t="n">
        <v>2026</v>
      </c>
      <c r="N232" s="0" t="n">
        <v>21.7</v>
      </c>
      <c r="O232" s="0" t="n">
        <v>454.8</v>
      </c>
      <c r="Q232" s="0" t="n">
        <v>2026</v>
      </c>
      <c r="R232" s="0" t="n">
        <v>15</v>
      </c>
      <c r="T232" s="0" t="n">
        <v>2028</v>
      </c>
      <c r="U232" s="0" t="n">
        <v>1363</v>
      </c>
      <c r="W232" s="0" t="n">
        <v>2026</v>
      </c>
      <c r="X232" s="0" t="n">
        <v>328.515</v>
      </c>
    </row>
    <row r="233" customFormat="false" ht="15" hidden="false" customHeight="false" outlineLevel="0" collapsed="false">
      <c r="A233" s="0" t="n">
        <v>2026</v>
      </c>
      <c r="B233" s="0" t="n">
        <v>5.812496125</v>
      </c>
      <c r="C233" s="0" t="n">
        <v>122.0624186</v>
      </c>
      <c r="E233" s="0" t="n">
        <v>2026</v>
      </c>
      <c r="F233" s="0" t="n">
        <v>27.204894</v>
      </c>
      <c r="G233" s="0" t="n">
        <v>571.255296</v>
      </c>
      <c r="I233" s="0" t="n">
        <v>2026</v>
      </c>
      <c r="J233" s="0" t="n">
        <v>6.66</v>
      </c>
      <c r="K233" s="0" t="n">
        <v>139.82</v>
      </c>
      <c r="M233" s="0" t="n">
        <v>2026</v>
      </c>
      <c r="N233" s="0" t="n">
        <v>17.36</v>
      </c>
      <c r="O233" s="0" t="n">
        <v>363.84</v>
      </c>
      <c r="Q233" s="0" t="n">
        <v>2026</v>
      </c>
      <c r="R233" s="0" t="n">
        <v>13</v>
      </c>
      <c r="T233" s="0" t="n">
        <v>2028</v>
      </c>
      <c r="U233" s="0" t="n">
        <v>183652</v>
      </c>
      <c r="W233" s="0" t="n">
        <v>2026</v>
      </c>
      <c r="X233" s="0" t="n">
        <v>481.822</v>
      </c>
    </row>
    <row r="234" customFormat="false" ht="15" hidden="false" customHeight="false" outlineLevel="0" collapsed="false">
      <c r="A234" s="0" t="n">
        <v>2026</v>
      </c>
      <c r="B234" s="0" t="n">
        <v>12.99638613</v>
      </c>
      <c r="C234" s="0" t="n">
        <v>272.9241087</v>
      </c>
      <c r="E234" s="0" t="n">
        <v>2026</v>
      </c>
      <c r="F234" s="0" t="n">
        <v>24.876222</v>
      </c>
      <c r="G234" s="0" t="n">
        <v>522.357248</v>
      </c>
      <c r="I234" s="0" t="n">
        <v>2026</v>
      </c>
      <c r="J234" s="0" t="n">
        <v>0</v>
      </c>
      <c r="K234" s="0" t="n">
        <v>0</v>
      </c>
      <c r="M234" s="0" t="n">
        <v>2026</v>
      </c>
      <c r="N234" s="0" t="n">
        <v>8.68</v>
      </c>
      <c r="O234" s="0" t="n">
        <v>181.92</v>
      </c>
      <c r="Q234" s="0" t="n">
        <v>2026</v>
      </c>
      <c r="R234" s="0" t="n">
        <v>13</v>
      </c>
      <c r="T234" s="0" t="n">
        <v>2028</v>
      </c>
      <c r="U234" s="0" t="n">
        <v>5680</v>
      </c>
      <c r="W234" s="0" t="n">
        <v>2026</v>
      </c>
      <c r="X234" s="0" t="n">
        <v>372.317</v>
      </c>
    </row>
    <row r="235" customFormat="false" ht="15" hidden="false" customHeight="false" outlineLevel="0" collapsed="false">
      <c r="A235" s="0" t="n">
        <v>2026</v>
      </c>
      <c r="B235" s="0" t="n">
        <v>484.8326789</v>
      </c>
      <c r="C235" s="0" t="n">
        <v>10181.48626</v>
      </c>
      <c r="E235" s="0" t="n">
        <v>2026</v>
      </c>
      <c r="F235" s="0" t="n">
        <v>385.46175</v>
      </c>
      <c r="G235" s="0" t="n">
        <v>8089.55726</v>
      </c>
      <c r="I235" s="0" t="n">
        <v>2026</v>
      </c>
      <c r="J235" s="0" t="n">
        <v>13.32</v>
      </c>
      <c r="K235" s="0" t="n">
        <v>279.64</v>
      </c>
      <c r="M235" s="0" t="n">
        <v>2026</v>
      </c>
      <c r="N235" s="0" t="n">
        <v>264.48</v>
      </c>
      <c r="O235" s="0" t="n">
        <v>5551.8</v>
      </c>
      <c r="Q235" s="0" t="n">
        <v>2027</v>
      </c>
      <c r="R235" s="0" t="n">
        <v>1427</v>
      </c>
      <c r="T235" s="0" t="n">
        <v>2029</v>
      </c>
      <c r="U235" s="0" t="n">
        <v>207104</v>
      </c>
      <c r="W235" s="0" t="n">
        <v>2026</v>
      </c>
      <c r="X235" s="0" t="n">
        <v>8818.88</v>
      </c>
    </row>
    <row r="236" customFormat="false" ht="15" hidden="false" customHeight="false" outlineLevel="0" collapsed="false">
      <c r="A236" s="0" t="n">
        <v>2026</v>
      </c>
      <c r="B236" s="0" t="n">
        <v>122.2891383</v>
      </c>
      <c r="C236" s="0" t="n">
        <v>2568.071905</v>
      </c>
      <c r="E236" s="0" t="n">
        <v>2026</v>
      </c>
      <c r="F236" s="0" t="n">
        <v>103.50075</v>
      </c>
      <c r="G236" s="0" t="n">
        <v>2172.13574</v>
      </c>
      <c r="I236" s="0" t="n">
        <v>2026</v>
      </c>
      <c r="J236" s="0" t="n">
        <v>23.31</v>
      </c>
      <c r="K236" s="0" t="n">
        <v>489.37</v>
      </c>
      <c r="M236" s="0" t="n">
        <v>2026</v>
      </c>
      <c r="N236" s="0" t="n">
        <v>174</v>
      </c>
      <c r="O236" s="0" t="n">
        <v>3652.5</v>
      </c>
      <c r="Q236" s="0" t="n">
        <v>2027</v>
      </c>
      <c r="R236" s="0" t="n">
        <v>1356</v>
      </c>
      <c r="T236" s="0" t="n">
        <v>2029</v>
      </c>
      <c r="U236" s="0" t="n">
        <v>6406</v>
      </c>
      <c r="W236" s="0" t="n">
        <v>2026</v>
      </c>
      <c r="X236" s="0" t="n">
        <v>2204.72</v>
      </c>
    </row>
    <row r="237" customFormat="false" ht="15" hidden="false" customHeight="false" outlineLevel="0" collapsed="false">
      <c r="A237" s="0" t="n">
        <v>2026</v>
      </c>
      <c r="B237" s="0" t="n">
        <v>109.0520192</v>
      </c>
      <c r="C237" s="0" t="n">
        <v>2290.092403</v>
      </c>
      <c r="E237" s="0" t="n">
        <v>2026</v>
      </c>
      <c r="F237" s="0" t="n">
        <v>41.42775</v>
      </c>
      <c r="G237" s="0" t="n">
        <v>869.43038</v>
      </c>
      <c r="I237" s="0" t="n">
        <v>2026</v>
      </c>
      <c r="J237" s="0" t="n">
        <v>6.66</v>
      </c>
      <c r="K237" s="0" t="n">
        <v>139.82</v>
      </c>
      <c r="M237" s="0" t="n">
        <v>2026</v>
      </c>
      <c r="N237" s="0" t="n">
        <v>69.6</v>
      </c>
      <c r="O237" s="0" t="n">
        <v>1461</v>
      </c>
      <c r="Q237" s="0" t="n">
        <v>2027</v>
      </c>
      <c r="R237" s="0" t="n">
        <v>642</v>
      </c>
      <c r="T237" s="0" t="n">
        <v>2029</v>
      </c>
      <c r="U237" s="0" t="n">
        <v>400062</v>
      </c>
      <c r="W237" s="0" t="n">
        <v>2026</v>
      </c>
      <c r="X237" s="0" t="n">
        <v>682.752</v>
      </c>
    </row>
    <row r="238" customFormat="false" ht="15" hidden="false" customHeight="false" outlineLevel="0" collapsed="false">
      <c r="A238" s="0" t="n">
        <v>2026</v>
      </c>
      <c r="B238" s="0" t="n">
        <v>75.83921645</v>
      </c>
      <c r="C238" s="0" t="n">
        <v>1592.623546</v>
      </c>
      <c r="E238" s="0" t="n">
        <v>2026</v>
      </c>
      <c r="F238" s="0" t="n">
        <v>5.81925</v>
      </c>
      <c r="G238" s="0" t="n">
        <v>122.12666</v>
      </c>
      <c r="I238" s="0" t="n">
        <v>2026</v>
      </c>
      <c r="J238" s="0" t="n">
        <v>23.31</v>
      </c>
      <c r="K238" s="0" t="n">
        <v>489.37</v>
      </c>
      <c r="M238" s="0" t="n">
        <v>2026</v>
      </c>
      <c r="N238" s="0" t="n">
        <v>69.6</v>
      </c>
      <c r="O238" s="0" t="n">
        <v>1461</v>
      </c>
      <c r="Q238" s="0" t="n">
        <v>2027</v>
      </c>
      <c r="R238" s="0" t="n">
        <v>143</v>
      </c>
      <c r="T238" s="0" t="n">
        <v>2029</v>
      </c>
      <c r="U238" s="0" t="n">
        <v>12374</v>
      </c>
      <c r="W238" s="0" t="n">
        <v>2026</v>
      </c>
      <c r="X238" s="0" t="n">
        <v>1209.04</v>
      </c>
    </row>
    <row r="239" customFormat="false" ht="15" hidden="false" customHeight="false" outlineLevel="0" collapsed="false">
      <c r="A239" s="0" t="n">
        <v>2026</v>
      </c>
      <c r="B239" s="0" t="n">
        <v>56.41174465</v>
      </c>
      <c r="C239" s="0" t="n">
        <v>1184.646638</v>
      </c>
      <c r="E239" s="0" t="n">
        <v>2026</v>
      </c>
      <c r="F239" s="0" t="n">
        <v>139.10925</v>
      </c>
      <c r="G239" s="0" t="n">
        <v>2919.43946</v>
      </c>
      <c r="I239" s="0" t="n">
        <v>2026</v>
      </c>
      <c r="J239" s="0" t="n">
        <v>391.2</v>
      </c>
      <c r="K239" s="0" t="n">
        <v>8212.8</v>
      </c>
      <c r="M239" s="0" t="n">
        <v>2026</v>
      </c>
      <c r="N239" s="0" t="n">
        <v>41.76</v>
      </c>
      <c r="O239" s="0" t="n">
        <v>876.6</v>
      </c>
      <c r="Q239" s="0" t="n">
        <v>2027</v>
      </c>
      <c r="R239" s="0" t="n">
        <v>132</v>
      </c>
      <c r="T239" s="0" t="n">
        <v>2029</v>
      </c>
      <c r="U239" s="0" t="n">
        <v>198049</v>
      </c>
      <c r="W239" s="0" t="n">
        <v>2026</v>
      </c>
      <c r="X239" s="0" t="n">
        <v>540.512</v>
      </c>
    </row>
    <row r="240" customFormat="false" ht="15" hidden="false" customHeight="false" outlineLevel="0" collapsed="false">
      <c r="A240" s="0" t="n">
        <v>2026</v>
      </c>
      <c r="B240" s="0" t="n">
        <v>25.07188651</v>
      </c>
      <c r="C240" s="0" t="n">
        <v>526.5096167</v>
      </c>
      <c r="E240" s="0" t="n">
        <v>2026</v>
      </c>
      <c r="F240" s="0" t="n">
        <v>6.51225</v>
      </c>
      <c r="G240" s="0" t="n">
        <v>136.67042</v>
      </c>
      <c r="I240" s="0" t="n">
        <v>2026</v>
      </c>
      <c r="J240" s="0" t="n">
        <v>130.4</v>
      </c>
      <c r="K240" s="0" t="n">
        <v>2737.6</v>
      </c>
      <c r="M240" s="0" t="n">
        <v>2026</v>
      </c>
      <c r="N240" s="0" t="n">
        <v>34.8</v>
      </c>
      <c r="O240" s="0" t="n">
        <v>730.5</v>
      </c>
      <c r="Q240" s="0" t="n">
        <v>2027</v>
      </c>
      <c r="R240" s="0" t="n">
        <v>132</v>
      </c>
      <c r="T240" s="0" t="n">
        <v>2029</v>
      </c>
      <c r="U240" s="0" t="n">
        <v>6126</v>
      </c>
      <c r="W240" s="0" t="n">
        <v>2026</v>
      </c>
      <c r="X240" s="0" t="n">
        <v>213.36</v>
      </c>
    </row>
    <row r="241" customFormat="false" ht="15" hidden="false" customHeight="false" outlineLevel="0" collapsed="false">
      <c r="A241" s="0" t="n">
        <v>2026</v>
      </c>
      <c r="B241" s="0" t="n">
        <v>92.60500074</v>
      </c>
      <c r="C241" s="0" t="n">
        <v>1944.705016</v>
      </c>
      <c r="E241" s="0" t="n">
        <v>2026</v>
      </c>
      <c r="F241" s="0" t="n">
        <v>35.6085</v>
      </c>
      <c r="G241" s="0" t="n">
        <v>747.30372</v>
      </c>
      <c r="I241" s="0" t="n">
        <v>2026</v>
      </c>
      <c r="J241" s="0" t="n">
        <v>57.05</v>
      </c>
      <c r="K241" s="0" t="n">
        <v>1197.7</v>
      </c>
      <c r="M241" s="0" t="n">
        <v>2026</v>
      </c>
      <c r="N241" s="0" t="n">
        <v>27.84</v>
      </c>
      <c r="O241" s="0" t="n">
        <v>584.4</v>
      </c>
      <c r="Q241" s="0" t="n">
        <v>2027</v>
      </c>
      <c r="R241" s="0" t="n">
        <v>419</v>
      </c>
      <c r="T241" s="0" t="n">
        <v>2029</v>
      </c>
      <c r="U241" s="0" t="n">
        <v>255485</v>
      </c>
      <c r="W241" s="0" t="n">
        <v>2026</v>
      </c>
      <c r="X241" s="0" t="n">
        <v>312.928</v>
      </c>
    </row>
    <row r="242" customFormat="false" ht="15" hidden="false" customHeight="false" outlineLevel="0" collapsed="false">
      <c r="A242" s="0" t="n">
        <v>2026</v>
      </c>
      <c r="B242" s="0" t="n">
        <v>28.98859898</v>
      </c>
      <c r="C242" s="0" t="n">
        <v>608.7605787</v>
      </c>
      <c r="E242" s="0" t="n">
        <v>2026</v>
      </c>
      <c r="F242" s="0" t="n">
        <v>32.5605</v>
      </c>
      <c r="G242" s="0" t="n">
        <v>683.33636</v>
      </c>
      <c r="I242" s="0" t="n">
        <v>2026</v>
      </c>
      <c r="J242" s="0" t="n">
        <v>32.6</v>
      </c>
      <c r="K242" s="0" t="n">
        <v>684.4</v>
      </c>
      <c r="M242" s="0" t="n">
        <v>2026</v>
      </c>
      <c r="N242" s="0" t="n">
        <v>13.92</v>
      </c>
      <c r="O242" s="0" t="n">
        <v>292.2</v>
      </c>
      <c r="Q242" s="0" t="n">
        <v>2027</v>
      </c>
      <c r="R242" s="0" t="n">
        <v>398</v>
      </c>
      <c r="T242" s="0" t="n">
        <v>2029</v>
      </c>
      <c r="U242" s="0" t="n">
        <v>7902</v>
      </c>
      <c r="W242" s="0" t="n">
        <v>2026</v>
      </c>
      <c r="X242" s="0" t="n">
        <v>241.808</v>
      </c>
    </row>
    <row r="243" customFormat="false" ht="15" hidden="false" customHeight="false" outlineLevel="0" collapsed="false">
      <c r="A243" s="0" t="n">
        <v>2026</v>
      </c>
      <c r="B243" s="0" t="n">
        <v>64.81673581</v>
      </c>
      <c r="C243" s="0" t="n">
        <v>1361.151452</v>
      </c>
      <c r="E243" s="0" t="n">
        <v>2026</v>
      </c>
      <c r="F243" s="0" t="n">
        <v>557.120716</v>
      </c>
      <c r="G243" s="0" t="n">
        <v>11695.42344</v>
      </c>
      <c r="I243" s="0" t="n">
        <v>2026</v>
      </c>
      <c r="J243" s="0" t="n">
        <v>32.6</v>
      </c>
      <c r="K243" s="0" t="n">
        <v>684.4</v>
      </c>
      <c r="M243" s="0" t="n">
        <v>2026</v>
      </c>
      <c r="N243" s="0" t="n">
        <v>171.38</v>
      </c>
      <c r="O243" s="0" t="n">
        <v>3595.94</v>
      </c>
      <c r="Q243" s="0" t="n">
        <v>2027</v>
      </c>
      <c r="R243" s="0" t="n">
        <v>188</v>
      </c>
      <c r="T243" s="0" t="n">
        <v>2029</v>
      </c>
      <c r="U243" s="0" t="n">
        <v>290851</v>
      </c>
      <c r="W243" s="0" t="n">
        <v>2026</v>
      </c>
      <c r="X243" s="0" t="n">
        <v>23875.58</v>
      </c>
    </row>
    <row r="244" customFormat="false" ht="15" hidden="false" customHeight="false" outlineLevel="0" collapsed="false">
      <c r="A244" s="0" t="n">
        <v>2026</v>
      </c>
      <c r="B244" s="0" t="n">
        <v>182.5934571</v>
      </c>
      <c r="C244" s="0" t="n">
        <v>3834.462599</v>
      </c>
      <c r="E244" s="0" t="n">
        <v>2026</v>
      </c>
      <c r="F244" s="0" t="n">
        <v>149.593084</v>
      </c>
      <c r="G244" s="0" t="n">
        <v>3140.350756</v>
      </c>
      <c r="I244" s="0" t="n">
        <v>2026</v>
      </c>
      <c r="J244" s="0" t="n">
        <v>16.3</v>
      </c>
      <c r="K244" s="0" t="n">
        <v>342.2</v>
      </c>
      <c r="M244" s="0" t="n">
        <v>2026</v>
      </c>
      <c r="N244" s="0" t="n">
        <v>112.75</v>
      </c>
      <c r="O244" s="0" t="n">
        <v>2365.75</v>
      </c>
      <c r="Q244" s="0" t="n">
        <v>2027</v>
      </c>
      <c r="R244" s="0" t="n">
        <v>42</v>
      </c>
      <c r="T244" s="0" t="n">
        <v>2029</v>
      </c>
      <c r="U244" s="0" t="n">
        <v>8995</v>
      </c>
      <c r="W244" s="0" t="n">
        <v>2026</v>
      </c>
      <c r="X244" s="0" t="n">
        <v>5968.895</v>
      </c>
    </row>
    <row r="245" customFormat="false" ht="15" hidden="false" customHeight="false" outlineLevel="0" collapsed="false">
      <c r="A245" s="0" t="n">
        <v>2026</v>
      </c>
      <c r="B245" s="0" t="n">
        <v>46.05546924</v>
      </c>
      <c r="C245" s="0" t="n">
        <v>967.164854</v>
      </c>
      <c r="E245" s="0" t="n">
        <v>2026</v>
      </c>
      <c r="F245" s="0" t="n">
        <v>59.876908</v>
      </c>
      <c r="G245" s="0" t="n">
        <v>1256.973172</v>
      </c>
      <c r="I245" s="0" t="n">
        <v>2026</v>
      </c>
      <c r="J245" s="0" t="n">
        <v>16.3</v>
      </c>
      <c r="K245" s="0" t="n">
        <v>342.2</v>
      </c>
      <c r="M245" s="0" t="n">
        <v>2026</v>
      </c>
      <c r="N245" s="0" t="n">
        <v>45.1</v>
      </c>
      <c r="O245" s="0" t="n">
        <v>946.3</v>
      </c>
      <c r="Q245" s="0" t="n">
        <v>2027</v>
      </c>
      <c r="R245" s="0" t="n">
        <v>39</v>
      </c>
      <c r="T245" s="0" t="n">
        <v>2029</v>
      </c>
      <c r="U245" s="0" t="n">
        <v>85728</v>
      </c>
      <c r="W245" s="0" t="n">
        <v>2026</v>
      </c>
      <c r="X245" s="0" t="n">
        <v>1848.432</v>
      </c>
    </row>
    <row r="246" customFormat="false" ht="15" hidden="false" customHeight="false" outlineLevel="0" collapsed="false">
      <c r="A246" s="0" t="n">
        <v>2026</v>
      </c>
      <c r="B246" s="0" t="n">
        <v>41.07022083</v>
      </c>
      <c r="C246" s="0" t="n">
        <v>862.4746375</v>
      </c>
      <c r="E246" s="0" t="n">
        <v>2026</v>
      </c>
      <c r="F246" s="0" t="n">
        <v>8.410756</v>
      </c>
      <c r="G246" s="0" t="n">
        <v>176.563804</v>
      </c>
      <c r="I246" s="0" t="n">
        <v>2026</v>
      </c>
      <c r="J246" s="0" t="n">
        <v>32.6</v>
      </c>
      <c r="K246" s="0" t="n">
        <v>684.4</v>
      </c>
      <c r="M246" s="0" t="n">
        <v>2026</v>
      </c>
      <c r="N246" s="0" t="n">
        <v>45.1</v>
      </c>
      <c r="O246" s="0" t="n">
        <v>946.3</v>
      </c>
      <c r="Q246" s="0" t="n">
        <v>2027</v>
      </c>
      <c r="R246" s="0" t="n">
        <v>39</v>
      </c>
      <c r="T246" s="0" t="n">
        <v>2029</v>
      </c>
      <c r="U246" s="0" t="n">
        <v>2652</v>
      </c>
      <c r="W246" s="0" t="n">
        <v>2026</v>
      </c>
      <c r="X246" s="0" t="n">
        <v>3273.265</v>
      </c>
    </row>
    <row r="247" customFormat="false" ht="15" hidden="false" customHeight="false" outlineLevel="0" collapsed="false">
      <c r="A247" s="0" t="n">
        <v>2026</v>
      </c>
      <c r="B247" s="0" t="n">
        <v>28.56190458</v>
      </c>
      <c r="C247" s="0" t="n">
        <v>599.7999963</v>
      </c>
      <c r="E247" s="0" t="n">
        <v>2026</v>
      </c>
      <c r="F247" s="0" t="n">
        <v>201.059236</v>
      </c>
      <c r="G247" s="0" t="n">
        <v>4220.760124</v>
      </c>
      <c r="I247" s="0" t="n">
        <v>2026</v>
      </c>
      <c r="J247" s="0" t="n">
        <v>57.05</v>
      </c>
      <c r="K247" s="0" t="n">
        <v>1197.7</v>
      </c>
      <c r="M247" s="0" t="n">
        <v>2026</v>
      </c>
      <c r="N247" s="0" t="n">
        <v>27.06</v>
      </c>
      <c r="O247" s="0" t="n">
        <v>567.78</v>
      </c>
      <c r="Q247" s="0" t="n">
        <v>2027</v>
      </c>
      <c r="R247" s="0" t="n">
        <v>1803</v>
      </c>
      <c r="T247" s="0" t="n">
        <v>2029</v>
      </c>
      <c r="U247" s="0" t="n">
        <v>266518</v>
      </c>
      <c r="W247" s="0" t="n">
        <v>2026</v>
      </c>
      <c r="X247" s="0" t="n">
        <v>1463.342</v>
      </c>
    </row>
    <row r="248" customFormat="false" ht="15" hidden="false" customHeight="false" outlineLevel="0" collapsed="false">
      <c r="A248" s="0" t="n">
        <v>2026</v>
      </c>
      <c r="B248" s="0" t="n">
        <v>21.24529951</v>
      </c>
      <c r="C248" s="0" t="n">
        <v>446.1512897</v>
      </c>
      <c r="E248" s="0" t="n">
        <v>2026</v>
      </c>
      <c r="F248" s="0" t="n">
        <v>9.412372</v>
      </c>
      <c r="G248" s="0" t="n">
        <v>197.590348</v>
      </c>
      <c r="I248" s="0" t="n">
        <v>2026</v>
      </c>
      <c r="J248" s="0" t="n">
        <v>24.45</v>
      </c>
      <c r="K248" s="0" t="n">
        <v>513.3</v>
      </c>
      <c r="M248" s="0" t="n">
        <v>2026</v>
      </c>
      <c r="N248" s="0" t="n">
        <v>22.55</v>
      </c>
      <c r="O248" s="0" t="n">
        <v>473.15</v>
      </c>
      <c r="Q248" s="0" t="n">
        <v>2027</v>
      </c>
      <c r="R248" s="0" t="n">
        <v>1713</v>
      </c>
      <c r="T248" s="0" t="n">
        <v>2029</v>
      </c>
      <c r="U248" s="0" t="n">
        <v>8243</v>
      </c>
      <c r="W248" s="0" t="n">
        <v>2026</v>
      </c>
      <c r="X248" s="0" t="n">
        <v>577.635</v>
      </c>
    </row>
    <row r="249" customFormat="false" ht="15" hidden="false" customHeight="false" outlineLevel="0" collapsed="false">
      <c r="A249" s="0" t="n">
        <v>2026</v>
      </c>
      <c r="B249" s="0" t="n">
        <v>9.442355337</v>
      </c>
      <c r="C249" s="0" t="n">
        <v>198.2894621</v>
      </c>
      <c r="E249" s="0" t="n">
        <v>2026</v>
      </c>
      <c r="F249" s="0" t="n">
        <v>51.466152</v>
      </c>
      <c r="G249" s="0" t="n">
        <v>1080.409368</v>
      </c>
      <c r="I249" s="0" t="n">
        <v>2026</v>
      </c>
      <c r="J249" s="0" t="n">
        <v>24.45</v>
      </c>
      <c r="K249" s="0" t="n">
        <v>513.3</v>
      </c>
      <c r="M249" s="0" t="n">
        <v>2026</v>
      </c>
      <c r="N249" s="0" t="n">
        <v>18.04</v>
      </c>
      <c r="O249" s="0" t="n">
        <v>378.52</v>
      </c>
      <c r="Q249" s="0" t="n">
        <v>2027</v>
      </c>
      <c r="R249" s="0" t="n">
        <v>811</v>
      </c>
      <c r="T249" s="0" t="n">
        <v>2029</v>
      </c>
      <c r="U249" s="0" t="n">
        <v>348851</v>
      </c>
      <c r="W249" s="0" t="n">
        <v>2026</v>
      </c>
      <c r="X249" s="0" t="n">
        <v>847.198</v>
      </c>
    </row>
    <row r="250" customFormat="false" ht="15" hidden="false" customHeight="false" outlineLevel="0" collapsed="false">
      <c r="A250" s="0" t="n">
        <v>2026</v>
      </c>
      <c r="B250" s="0" t="n">
        <v>34.87608811</v>
      </c>
      <c r="C250" s="0" t="n">
        <v>732.3978503</v>
      </c>
      <c r="E250" s="0" t="n">
        <v>2026</v>
      </c>
      <c r="F250" s="0" t="n">
        <v>47.060776</v>
      </c>
      <c r="G250" s="0" t="n">
        <v>987.928984</v>
      </c>
      <c r="I250" s="0" t="n">
        <v>2026</v>
      </c>
      <c r="J250" s="0" t="n">
        <v>177.84</v>
      </c>
      <c r="K250" s="0" t="n">
        <v>3732.04</v>
      </c>
      <c r="M250" s="0" t="n">
        <v>2026</v>
      </c>
      <c r="N250" s="0" t="n">
        <v>9.02</v>
      </c>
      <c r="O250" s="0" t="n">
        <v>189.26</v>
      </c>
      <c r="Q250" s="0" t="n">
        <v>2027</v>
      </c>
      <c r="R250" s="0" t="n">
        <v>180</v>
      </c>
      <c r="T250" s="0" t="n">
        <v>2029</v>
      </c>
      <c r="U250" s="0" t="n">
        <v>10789</v>
      </c>
      <c r="W250" s="0" t="n">
        <v>2026</v>
      </c>
      <c r="X250" s="0" t="n">
        <v>654.653</v>
      </c>
    </row>
    <row r="251" customFormat="false" ht="15" hidden="false" customHeight="false" outlineLevel="0" collapsed="false">
      <c r="A251" s="0" t="n">
        <v>2026</v>
      </c>
      <c r="B251" s="0" t="n">
        <v>10.91743345</v>
      </c>
      <c r="C251" s="0" t="n">
        <v>229.2661024</v>
      </c>
      <c r="E251" s="0" t="n">
        <v>2026</v>
      </c>
      <c r="F251" s="0" t="n">
        <v>386.489648</v>
      </c>
      <c r="G251" s="0" t="n">
        <v>8113.712863</v>
      </c>
      <c r="I251" s="0" t="n">
        <v>2026</v>
      </c>
      <c r="J251" s="0" t="n">
        <v>27.36</v>
      </c>
      <c r="K251" s="0" t="n">
        <v>574.16</v>
      </c>
      <c r="M251" s="0" t="n">
        <v>2026</v>
      </c>
      <c r="N251" s="0" t="n">
        <v>44.46</v>
      </c>
      <c r="O251" s="0" t="n">
        <v>932.14</v>
      </c>
      <c r="Q251" s="0" t="n">
        <v>2027</v>
      </c>
      <c r="R251" s="0" t="n">
        <v>172</v>
      </c>
      <c r="T251" s="0" t="n">
        <v>2029</v>
      </c>
      <c r="U251" s="0" t="n">
        <v>305281</v>
      </c>
      <c r="W251" s="0" t="n">
        <v>2026</v>
      </c>
      <c r="X251" s="0" t="n">
        <v>12629.4</v>
      </c>
    </row>
    <row r="252" customFormat="false" ht="15" hidden="false" customHeight="false" outlineLevel="0" collapsed="false">
      <c r="A252" s="0" t="n">
        <v>2026</v>
      </c>
      <c r="B252" s="0" t="n">
        <v>24.41071401</v>
      </c>
      <c r="C252" s="0" t="n">
        <v>512.6249942</v>
      </c>
      <c r="E252" s="0" t="n">
        <v>2026</v>
      </c>
      <c r="F252" s="0" t="n">
        <v>103.776752</v>
      </c>
      <c r="G252" s="0" t="n">
        <v>2178.621787</v>
      </c>
      <c r="I252" s="0" t="n">
        <v>2026</v>
      </c>
      <c r="J252" s="0" t="n">
        <v>20.52</v>
      </c>
      <c r="K252" s="0" t="n">
        <v>430.62</v>
      </c>
      <c r="M252" s="0" t="n">
        <v>2026</v>
      </c>
      <c r="N252" s="0" t="n">
        <v>29.25</v>
      </c>
      <c r="O252" s="0" t="n">
        <v>613.25</v>
      </c>
      <c r="Q252" s="0" t="n">
        <v>2027</v>
      </c>
      <c r="R252" s="0" t="n">
        <v>172</v>
      </c>
      <c r="T252" s="0" t="n">
        <v>2029</v>
      </c>
      <c r="U252" s="0" t="n">
        <v>9441</v>
      </c>
      <c r="W252" s="0" t="n">
        <v>2026</v>
      </c>
      <c r="X252" s="0" t="n">
        <v>3157.35</v>
      </c>
    </row>
    <row r="253" customFormat="false" ht="15" hidden="false" customHeight="false" outlineLevel="0" collapsed="false">
      <c r="A253" s="0" t="n">
        <v>2026</v>
      </c>
      <c r="B253" s="0" t="n">
        <v>309.9383733</v>
      </c>
      <c r="C253" s="0" t="n">
        <v>6508.70584</v>
      </c>
      <c r="E253" s="0" t="n">
        <v>2026</v>
      </c>
      <c r="F253" s="0" t="n">
        <v>41.538224</v>
      </c>
      <c r="G253" s="0" t="n">
        <v>872.026519</v>
      </c>
      <c r="I253" s="0" t="n">
        <v>2026</v>
      </c>
      <c r="J253" s="0" t="n">
        <v>34.2</v>
      </c>
      <c r="K253" s="0" t="n">
        <v>717.7</v>
      </c>
      <c r="M253" s="0" t="n">
        <v>2026</v>
      </c>
      <c r="N253" s="0" t="n">
        <v>11.7</v>
      </c>
      <c r="O253" s="0" t="n">
        <v>245.3</v>
      </c>
      <c r="Q253" s="0" t="n">
        <v>2027</v>
      </c>
      <c r="R253" s="0" t="n">
        <v>1146</v>
      </c>
      <c r="T253" s="0" t="n">
        <v>2029</v>
      </c>
      <c r="U253" s="0" t="n">
        <v>471642</v>
      </c>
      <c r="W253" s="0" t="n">
        <v>2026</v>
      </c>
      <c r="X253" s="0" t="n">
        <v>977.76</v>
      </c>
    </row>
    <row r="254" customFormat="false" ht="15" hidden="false" customHeight="false" outlineLevel="0" collapsed="false">
      <c r="A254" s="0" t="n">
        <v>2026</v>
      </c>
      <c r="B254" s="0" t="n">
        <v>78.17562276</v>
      </c>
      <c r="C254" s="0" t="n">
        <v>1641.688078</v>
      </c>
      <c r="E254" s="0" t="n">
        <v>2026</v>
      </c>
      <c r="F254" s="0" t="n">
        <v>5.834768</v>
      </c>
      <c r="G254" s="0" t="n">
        <v>122.491333</v>
      </c>
      <c r="I254" s="0" t="n">
        <v>2026</v>
      </c>
      <c r="J254" s="0" t="n">
        <v>6.84</v>
      </c>
      <c r="K254" s="0" t="n">
        <v>143.54</v>
      </c>
      <c r="M254" s="0" t="n">
        <v>2026</v>
      </c>
      <c r="N254" s="0" t="n">
        <v>11.7</v>
      </c>
      <c r="O254" s="0" t="n">
        <v>245.3</v>
      </c>
      <c r="Q254" s="0" t="n">
        <v>2027</v>
      </c>
      <c r="R254" s="0" t="n">
        <v>1089</v>
      </c>
      <c r="T254" s="0" t="n">
        <v>2029</v>
      </c>
      <c r="U254" s="0" t="n">
        <v>14295</v>
      </c>
      <c r="W254" s="0" t="n">
        <v>2026</v>
      </c>
      <c r="X254" s="0" t="n">
        <v>1731.45</v>
      </c>
    </row>
    <row r="255" customFormat="false" ht="15" hidden="false" customHeight="false" outlineLevel="0" collapsed="false">
      <c r="A255" s="0" t="n">
        <v>2026</v>
      </c>
      <c r="B255" s="0" t="n">
        <v>69.71354637</v>
      </c>
      <c r="C255" s="0" t="n">
        <v>1463.984474</v>
      </c>
      <c r="E255" s="0" t="n">
        <v>2026</v>
      </c>
      <c r="F255" s="0" t="n">
        <v>139.480208</v>
      </c>
      <c r="G255" s="0" t="n">
        <v>2928.156973</v>
      </c>
      <c r="I255" s="0" t="n">
        <v>2026</v>
      </c>
      <c r="J255" s="0" t="n">
        <v>6.84</v>
      </c>
      <c r="K255" s="0" t="n">
        <v>143.54</v>
      </c>
      <c r="M255" s="0" t="n">
        <v>2026</v>
      </c>
      <c r="N255" s="0" t="n">
        <v>7.02</v>
      </c>
      <c r="O255" s="0" t="n">
        <v>147.18</v>
      </c>
      <c r="Q255" s="0" t="n">
        <v>2027</v>
      </c>
      <c r="R255" s="0" t="n">
        <v>516</v>
      </c>
      <c r="T255" s="0" t="n">
        <v>2029</v>
      </c>
      <c r="U255" s="0" t="n">
        <v>20304</v>
      </c>
      <c r="W255" s="0" t="n">
        <v>2026</v>
      </c>
      <c r="X255" s="0" t="n">
        <v>774.06</v>
      </c>
    </row>
    <row r="256" customFormat="false" ht="15" hidden="false" customHeight="false" outlineLevel="0" collapsed="false">
      <c r="A256" s="0" t="n">
        <v>2026</v>
      </c>
      <c r="B256" s="0" t="n">
        <v>48.48163997</v>
      </c>
      <c r="C256" s="0" t="n">
        <v>1018.114439</v>
      </c>
      <c r="E256" s="0" t="n">
        <v>2026</v>
      </c>
      <c r="F256" s="0" t="n">
        <v>6.529616</v>
      </c>
      <c r="G256" s="0" t="n">
        <v>137.078521</v>
      </c>
      <c r="I256" s="0" t="n">
        <v>2026</v>
      </c>
      <c r="J256" s="0" t="n">
        <v>0</v>
      </c>
      <c r="K256" s="0" t="n">
        <v>0</v>
      </c>
      <c r="M256" s="0" t="n">
        <v>2026</v>
      </c>
      <c r="N256" s="0" t="n">
        <v>5.85</v>
      </c>
      <c r="O256" s="0" t="n">
        <v>122.65</v>
      </c>
      <c r="Q256" s="0" t="n">
        <v>2027</v>
      </c>
      <c r="R256" s="0" t="n">
        <v>115</v>
      </c>
      <c r="T256" s="0" t="n">
        <v>2029</v>
      </c>
      <c r="U256" s="0" t="n">
        <v>628</v>
      </c>
      <c r="W256" s="0" t="n">
        <v>2026</v>
      </c>
      <c r="X256" s="0" t="n">
        <v>305.55</v>
      </c>
    </row>
    <row r="257" customFormat="false" ht="15" hidden="false" customHeight="false" outlineLevel="0" collapsed="false">
      <c r="A257" s="0" t="n">
        <v>2026</v>
      </c>
      <c r="B257" s="0" t="n">
        <v>36.06226464</v>
      </c>
      <c r="C257" s="0" t="n">
        <v>757.3075575</v>
      </c>
      <c r="E257" s="0" t="n">
        <v>2026</v>
      </c>
      <c r="F257" s="0" t="n">
        <v>35.703456</v>
      </c>
      <c r="G257" s="0" t="n">
        <v>749.535186</v>
      </c>
      <c r="I257" s="0" t="n">
        <v>2026</v>
      </c>
      <c r="J257" s="0" t="n">
        <v>13.68</v>
      </c>
      <c r="K257" s="0" t="n">
        <v>287.08</v>
      </c>
      <c r="M257" s="0" t="n">
        <v>2026</v>
      </c>
      <c r="N257" s="0" t="n">
        <v>4.68</v>
      </c>
      <c r="O257" s="0" t="n">
        <v>98.12</v>
      </c>
      <c r="Q257" s="0" t="n">
        <v>2027</v>
      </c>
      <c r="R257" s="0" t="n">
        <v>109</v>
      </c>
      <c r="T257" s="0" t="n">
        <v>2029</v>
      </c>
      <c r="U257" s="0" t="n">
        <v>328150</v>
      </c>
      <c r="W257" s="0" t="n">
        <v>2026</v>
      </c>
      <c r="X257" s="0" t="n">
        <v>448.14</v>
      </c>
    </row>
    <row r="258" customFormat="false" ht="15" hidden="false" customHeight="false" outlineLevel="0" collapsed="false">
      <c r="A258" s="0" t="n">
        <v>2026</v>
      </c>
      <c r="B258" s="0" t="n">
        <v>16.02767317</v>
      </c>
      <c r="C258" s="0" t="n">
        <v>336.5811366</v>
      </c>
      <c r="E258" s="0" t="n">
        <v>2026</v>
      </c>
      <c r="F258" s="0" t="n">
        <v>32.647328</v>
      </c>
      <c r="G258" s="0" t="n">
        <v>685.376818</v>
      </c>
      <c r="I258" s="0" t="n">
        <v>2026</v>
      </c>
      <c r="J258" s="0" t="n">
        <v>23.94</v>
      </c>
      <c r="K258" s="0" t="n">
        <v>502.39</v>
      </c>
      <c r="M258" s="0" t="n">
        <v>2026</v>
      </c>
      <c r="N258" s="0" t="n">
        <v>2.34</v>
      </c>
      <c r="O258" s="0" t="n">
        <v>49.06</v>
      </c>
      <c r="Q258" s="0" t="n">
        <v>2027</v>
      </c>
      <c r="R258" s="0" t="n">
        <v>109</v>
      </c>
      <c r="T258" s="0" t="n">
        <v>2029</v>
      </c>
      <c r="U258" s="0" t="n">
        <v>10150</v>
      </c>
      <c r="W258" s="0" t="n">
        <v>2026</v>
      </c>
      <c r="X258" s="0" t="n">
        <v>346.29</v>
      </c>
    </row>
    <row r="259" customFormat="false" ht="15" hidden="false" customHeight="false" outlineLevel="0" collapsed="false">
      <c r="A259" s="0" t="n">
        <v>2026</v>
      </c>
      <c r="B259" s="0" t="n">
        <v>59.19948168</v>
      </c>
      <c r="C259" s="0" t="n">
        <v>1243.189115</v>
      </c>
      <c r="E259" s="0" t="n">
        <v>2026</v>
      </c>
      <c r="F259" s="0" t="n">
        <v>311.453094</v>
      </c>
      <c r="G259" s="0" t="n">
        <v>6533.319688</v>
      </c>
      <c r="I259" s="0" t="n">
        <v>2026</v>
      </c>
      <c r="J259" s="0" t="n">
        <v>6.84</v>
      </c>
      <c r="K259" s="0" t="n">
        <v>143.54</v>
      </c>
      <c r="M259" s="0" t="n">
        <v>2026</v>
      </c>
      <c r="N259" s="0" t="n">
        <v>98.8</v>
      </c>
      <c r="O259" s="0" t="n">
        <v>2073.28</v>
      </c>
      <c r="Q259" s="0" t="n">
        <v>2027</v>
      </c>
      <c r="R259" s="0" t="n">
        <v>328</v>
      </c>
      <c r="T259" s="0" t="n">
        <v>2029</v>
      </c>
      <c r="U259" s="0" t="n">
        <v>124968</v>
      </c>
      <c r="W259" s="0" t="n">
        <v>2026</v>
      </c>
      <c r="X259" s="0" t="n">
        <v>5154.68</v>
      </c>
    </row>
    <row r="260" customFormat="false" ht="15" hidden="false" customHeight="false" outlineLevel="0" collapsed="false">
      <c r="A260" s="0" t="n">
        <v>2026</v>
      </c>
      <c r="B260" s="0" t="n">
        <v>18.531505</v>
      </c>
      <c r="C260" s="0" t="n">
        <v>389.161605</v>
      </c>
      <c r="E260" s="0" t="n">
        <v>2026</v>
      </c>
      <c r="F260" s="0" t="n">
        <v>83.628606</v>
      </c>
      <c r="G260" s="0" t="n">
        <v>1754.268712</v>
      </c>
      <c r="I260" s="0" t="n">
        <v>2026</v>
      </c>
      <c r="J260" s="0" t="n">
        <v>23.94</v>
      </c>
      <c r="K260" s="0" t="n">
        <v>502.39</v>
      </c>
      <c r="M260" s="0" t="n">
        <v>2026</v>
      </c>
      <c r="N260" s="0" t="n">
        <v>65</v>
      </c>
      <c r="O260" s="0" t="n">
        <v>1364</v>
      </c>
      <c r="Q260" s="0" t="n">
        <v>2027</v>
      </c>
      <c r="R260" s="0" t="n">
        <v>312</v>
      </c>
      <c r="T260" s="0" t="n">
        <v>2029</v>
      </c>
      <c r="U260" s="0" t="n">
        <v>3865</v>
      </c>
      <c r="W260" s="0" t="n">
        <v>2026</v>
      </c>
      <c r="X260" s="0" t="n">
        <v>1288.67</v>
      </c>
    </row>
    <row r="261" customFormat="false" ht="15" hidden="false" customHeight="false" outlineLevel="0" collapsed="false">
      <c r="A261" s="0" t="n">
        <v>2026</v>
      </c>
      <c r="B261" s="0" t="n">
        <v>41.43531271</v>
      </c>
      <c r="C261" s="0" t="n">
        <v>870.1415668</v>
      </c>
      <c r="E261" s="0" t="n">
        <v>2026</v>
      </c>
      <c r="F261" s="0" t="n">
        <v>33.473622</v>
      </c>
      <c r="G261" s="0" t="n">
        <v>702.172744</v>
      </c>
      <c r="I261" s="0" t="n">
        <v>2026</v>
      </c>
      <c r="J261" s="0" t="n">
        <v>309.6</v>
      </c>
      <c r="K261" s="0" t="n">
        <v>6497.76</v>
      </c>
      <c r="M261" s="0" t="n">
        <v>2026</v>
      </c>
      <c r="N261" s="0" t="n">
        <v>26</v>
      </c>
      <c r="O261" s="0" t="n">
        <v>545.6</v>
      </c>
      <c r="Q261" s="0" t="n">
        <v>2027</v>
      </c>
      <c r="R261" s="0" t="n">
        <v>148</v>
      </c>
      <c r="T261" s="0" t="n">
        <v>2029</v>
      </c>
      <c r="U261" s="0" t="n">
        <v>194498</v>
      </c>
      <c r="W261" s="0" t="n">
        <v>2026</v>
      </c>
      <c r="X261" s="0" t="n">
        <v>399.072</v>
      </c>
    </row>
    <row r="262" customFormat="false" ht="15" hidden="false" customHeight="false" outlineLevel="0" collapsed="false">
      <c r="A262" s="0" t="n">
        <v>2026</v>
      </c>
      <c r="B262" s="0" t="n">
        <v>122.1883858</v>
      </c>
      <c r="C262" s="0" t="n">
        <v>2565.956101</v>
      </c>
      <c r="E262" s="0" t="n">
        <v>2026</v>
      </c>
      <c r="F262" s="0" t="n">
        <v>4.701954</v>
      </c>
      <c r="G262" s="0" t="n">
        <v>98.632408</v>
      </c>
      <c r="I262" s="0" t="n">
        <v>2026</v>
      </c>
      <c r="J262" s="0" t="n">
        <v>103.2</v>
      </c>
      <c r="K262" s="0" t="n">
        <v>2165.92</v>
      </c>
      <c r="M262" s="0" t="n">
        <v>2026</v>
      </c>
      <c r="N262" s="0" t="n">
        <v>26</v>
      </c>
      <c r="O262" s="0" t="n">
        <v>545.6</v>
      </c>
      <c r="Q262" s="0" t="n">
        <v>2027</v>
      </c>
      <c r="R262" s="0" t="n">
        <v>33</v>
      </c>
      <c r="T262" s="0" t="n">
        <v>2029</v>
      </c>
      <c r="U262" s="0" t="n">
        <v>6016</v>
      </c>
      <c r="W262" s="0" t="n">
        <v>2026</v>
      </c>
      <c r="X262" s="0" t="n">
        <v>706.69</v>
      </c>
    </row>
    <row r="263" customFormat="false" ht="15" hidden="false" customHeight="false" outlineLevel="0" collapsed="false">
      <c r="A263" s="0" t="n">
        <v>2026</v>
      </c>
      <c r="B263" s="0" t="n">
        <v>30.81952405</v>
      </c>
      <c r="C263" s="0" t="n">
        <v>647.2100051</v>
      </c>
      <c r="E263" s="0" t="n">
        <v>2026</v>
      </c>
      <c r="F263" s="0" t="n">
        <v>112.400274</v>
      </c>
      <c r="G263" s="0" t="n">
        <v>2357.809048</v>
      </c>
      <c r="I263" s="0" t="n">
        <v>2026</v>
      </c>
      <c r="J263" s="0" t="n">
        <v>45.15</v>
      </c>
      <c r="K263" s="0" t="n">
        <v>947.59</v>
      </c>
      <c r="M263" s="0" t="n">
        <v>2026</v>
      </c>
      <c r="N263" s="0" t="n">
        <v>15.6</v>
      </c>
      <c r="O263" s="0" t="n">
        <v>327.36</v>
      </c>
      <c r="Q263" s="0" t="n">
        <v>2027</v>
      </c>
      <c r="R263" s="0" t="n">
        <v>30</v>
      </c>
      <c r="T263" s="0" t="n">
        <v>2029</v>
      </c>
      <c r="U263" s="0" t="n">
        <v>52533</v>
      </c>
      <c r="W263" s="0" t="n">
        <v>2026</v>
      </c>
      <c r="X263" s="0" t="n">
        <v>315.932</v>
      </c>
    </row>
    <row r="264" customFormat="false" ht="15" hidden="false" customHeight="false" outlineLevel="0" collapsed="false">
      <c r="A264" s="0" t="n">
        <v>2026</v>
      </c>
      <c r="B264" s="0" t="n">
        <v>27.48348198</v>
      </c>
      <c r="C264" s="0" t="n">
        <v>577.1531215</v>
      </c>
      <c r="E264" s="0" t="n">
        <v>2026</v>
      </c>
      <c r="F264" s="0" t="n">
        <v>5.261898</v>
      </c>
      <c r="G264" s="0" t="n">
        <v>110.378296</v>
      </c>
      <c r="I264" s="0" t="n">
        <v>2026</v>
      </c>
      <c r="J264" s="0" t="n">
        <v>25.8</v>
      </c>
      <c r="K264" s="0" t="n">
        <v>541.48</v>
      </c>
      <c r="M264" s="0" t="n">
        <v>2026</v>
      </c>
      <c r="N264" s="0" t="n">
        <v>13</v>
      </c>
      <c r="O264" s="0" t="n">
        <v>272.8</v>
      </c>
      <c r="Q264" s="0" t="n">
        <v>2027</v>
      </c>
      <c r="R264" s="0" t="n">
        <v>30</v>
      </c>
      <c r="T264" s="0" t="n">
        <v>2029</v>
      </c>
      <c r="U264" s="0" t="n">
        <v>1625</v>
      </c>
      <c r="W264" s="0" t="n">
        <v>2026</v>
      </c>
      <c r="X264" s="0" t="n">
        <v>124.71</v>
      </c>
    </row>
    <row r="265" customFormat="false" ht="15" hidden="false" customHeight="false" outlineLevel="0" collapsed="false">
      <c r="A265" s="0" t="n">
        <v>2026</v>
      </c>
      <c r="B265" s="0" t="n">
        <v>19.11313292</v>
      </c>
      <c r="C265" s="0" t="n">
        <v>401.3757914</v>
      </c>
      <c r="E265" s="0" t="n">
        <v>2026</v>
      </c>
      <c r="F265" s="0" t="n">
        <v>28.771668</v>
      </c>
      <c r="G265" s="0" t="n">
        <v>603.540336</v>
      </c>
      <c r="I265" s="0" t="n">
        <v>2026</v>
      </c>
      <c r="J265" s="0" t="n">
        <v>25.8</v>
      </c>
      <c r="K265" s="0" t="n">
        <v>541.48</v>
      </c>
      <c r="M265" s="0" t="n">
        <v>2026</v>
      </c>
      <c r="N265" s="0" t="n">
        <v>10.4</v>
      </c>
      <c r="O265" s="0" t="n">
        <v>218.24</v>
      </c>
      <c r="Q265" s="0" t="n">
        <v>2027</v>
      </c>
      <c r="R265" s="0" t="n">
        <v>453</v>
      </c>
      <c r="T265" s="0" t="n">
        <v>2029</v>
      </c>
      <c r="U265" s="0" t="n">
        <v>127580</v>
      </c>
      <c r="W265" s="0" t="n">
        <v>2026</v>
      </c>
      <c r="X265" s="0" t="n">
        <v>182.908</v>
      </c>
    </row>
    <row r="266" customFormat="false" ht="15" hidden="false" customHeight="false" outlineLevel="0" collapsed="false">
      <c r="A266" s="0" t="n">
        <v>2026</v>
      </c>
      <c r="B266" s="0" t="n">
        <v>14.21698726</v>
      </c>
      <c r="C266" s="0" t="n">
        <v>298.5567324</v>
      </c>
      <c r="E266" s="0" t="n">
        <v>2026</v>
      </c>
      <c r="F266" s="0" t="n">
        <v>26.308884</v>
      </c>
      <c r="G266" s="0" t="n">
        <v>551.878768</v>
      </c>
      <c r="I266" s="0" t="n">
        <v>2026</v>
      </c>
      <c r="J266" s="0" t="n">
        <v>12.9</v>
      </c>
      <c r="K266" s="0" t="n">
        <v>270.74</v>
      </c>
      <c r="M266" s="0" t="n">
        <v>2026</v>
      </c>
      <c r="N266" s="0" t="n">
        <v>5.2</v>
      </c>
      <c r="O266" s="0" t="n">
        <v>109.12</v>
      </c>
      <c r="Q266" s="0" t="n">
        <v>2027</v>
      </c>
      <c r="R266" s="0" t="n">
        <v>431</v>
      </c>
      <c r="T266" s="0" t="n">
        <v>2029</v>
      </c>
      <c r="U266" s="0" t="n">
        <v>3946</v>
      </c>
      <c r="W266" s="0" t="n">
        <v>2026</v>
      </c>
      <c r="X266" s="0" t="n">
        <v>141.338</v>
      </c>
    </row>
    <row r="267" customFormat="false" ht="15" hidden="false" customHeight="false" outlineLevel="0" collapsed="false">
      <c r="A267" s="0" t="n">
        <v>2026</v>
      </c>
      <c r="B267" s="0" t="n">
        <v>6.318661003</v>
      </c>
      <c r="C267" s="0" t="n">
        <v>132.6918811</v>
      </c>
      <c r="E267" s="0" t="n">
        <v>2026</v>
      </c>
      <c r="F267" s="0" t="n">
        <v>118.20827</v>
      </c>
      <c r="G267" s="0" t="n">
        <v>2481.345772</v>
      </c>
      <c r="I267" s="0" t="n">
        <v>2026</v>
      </c>
      <c r="J267" s="0" t="n">
        <v>12.9</v>
      </c>
      <c r="K267" s="0" t="n">
        <v>270.74</v>
      </c>
      <c r="M267" s="0" t="n">
        <v>2026</v>
      </c>
      <c r="N267" s="0" t="n">
        <v>144.4</v>
      </c>
      <c r="O267" s="0" t="n">
        <v>3032.02</v>
      </c>
      <c r="Q267" s="0" t="n">
        <v>2027</v>
      </c>
      <c r="R267" s="0" t="n">
        <v>204</v>
      </c>
      <c r="T267" s="0" t="n">
        <v>2029</v>
      </c>
      <c r="U267" s="0" t="n">
        <v>150096</v>
      </c>
      <c r="W267" s="0" t="n">
        <v>2026</v>
      </c>
      <c r="X267" s="0" t="n">
        <v>5023.86</v>
      </c>
    </row>
    <row r="268" customFormat="false" ht="15" hidden="false" customHeight="false" outlineLevel="0" collapsed="false">
      <c r="A268" s="0" t="n">
        <v>2026</v>
      </c>
      <c r="B268" s="0" t="n">
        <v>23.33847541</v>
      </c>
      <c r="C268" s="0" t="n">
        <v>490.1079836</v>
      </c>
      <c r="E268" s="0" t="n">
        <v>2026</v>
      </c>
      <c r="F268" s="0" t="n">
        <v>31.74023</v>
      </c>
      <c r="G268" s="0" t="n">
        <v>666.268828</v>
      </c>
      <c r="I268" s="0" t="n">
        <v>2026</v>
      </c>
      <c r="J268" s="0" t="n">
        <v>25.8</v>
      </c>
      <c r="K268" s="0" t="n">
        <v>541.48</v>
      </c>
      <c r="M268" s="0" t="n">
        <v>2026</v>
      </c>
      <c r="N268" s="0" t="n">
        <v>95</v>
      </c>
      <c r="O268" s="0" t="n">
        <v>1994.75</v>
      </c>
      <c r="Q268" s="0" t="n">
        <v>2027</v>
      </c>
      <c r="R268" s="0" t="n">
        <v>45</v>
      </c>
      <c r="T268" s="0" t="n">
        <v>2029</v>
      </c>
      <c r="U268" s="0" t="n">
        <v>4642</v>
      </c>
      <c r="W268" s="0" t="n">
        <v>2026</v>
      </c>
      <c r="X268" s="0" t="n">
        <v>1255.965</v>
      </c>
    </row>
    <row r="269" customFormat="false" ht="15" hidden="false" customHeight="false" outlineLevel="0" collapsed="false">
      <c r="A269" s="0" t="n">
        <v>2026</v>
      </c>
      <c r="B269" s="0" t="n">
        <v>7.30575778</v>
      </c>
      <c r="C269" s="0" t="n">
        <v>153.4209134</v>
      </c>
      <c r="E269" s="0" t="n">
        <v>2026</v>
      </c>
      <c r="F269" s="0" t="n">
        <v>12.70451</v>
      </c>
      <c r="G269" s="0" t="n">
        <v>266.684236</v>
      </c>
      <c r="I269" s="0" t="n">
        <v>2026</v>
      </c>
      <c r="J269" s="0" t="n">
        <v>45.15</v>
      </c>
      <c r="K269" s="0" t="n">
        <v>947.59</v>
      </c>
      <c r="M269" s="0" t="n">
        <v>2026</v>
      </c>
      <c r="N269" s="0" t="n">
        <v>38</v>
      </c>
      <c r="O269" s="0" t="n">
        <v>797.9</v>
      </c>
      <c r="Q269" s="0" t="n">
        <v>2027</v>
      </c>
      <c r="R269" s="0" t="n">
        <v>44</v>
      </c>
      <c r="T269" s="0" t="n">
        <v>2029</v>
      </c>
      <c r="U269" s="0" t="n">
        <v>757978</v>
      </c>
      <c r="W269" s="0" t="n">
        <v>2026</v>
      </c>
      <c r="X269" s="0" t="n">
        <v>388.944</v>
      </c>
    </row>
    <row r="270" customFormat="false" ht="15" hidden="false" customHeight="false" outlineLevel="0" collapsed="false">
      <c r="A270" s="0" t="n">
        <v>2026</v>
      </c>
      <c r="B270" s="0" t="n">
        <v>16.33522793</v>
      </c>
      <c r="C270" s="0" t="n">
        <v>343.0397866</v>
      </c>
      <c r="E270" s="0" t="n">
        <v>2026</v>
      </c>
      <c r="F270" s="0" t="n">
        <v>1.78457</v>
      </c>
      <c r="G270" s="0" t="n">
        <v>37.460452</v>
      </c>
      <c r="I270" s="0" t="n">
        <v>2026</v>
      </c>
      <c r="J270" s="0" t="n">
        <v>19.35</v>
      </c>
      <c r="K270" s="0" t="n">
        <v>406.11</v>
      </c>
      <c r="M270" s="0" t="n">
        <v>2026</v>
      </c>
      <c r="N270" s="0" t="n">
        <v>38</v>
      </c>
      <c r="O270" s="0" t="n">
        <v>797.9</v>
      </c>
      <c r="Q270" s="0" t="n">
        <v>2027</v>
      </c>
      <c r="R270" s="0" t="n">
        <v>44</v>
      </c>
      <c r="T270" s="0" t="n">
        <v>2029</v>
      </c>
      <c r="U270" s="0" t="n">
        <v>23443</v>
      </c>
      <c r="W270" s="0" t="n">
        <v>2026</v>
      </c>
      <c r="X270" s="0" t="n">
        <v>688.755</v>
      </c>
    </row>
    <row r="271" customFormat="false" ht="15" hidden="false" customHeight="false" outlineLevel="0" collapsed="false">
      <c r="A271" s="0" t="n">
        <v>2026</v>
      </c>
      <c r="B271" s="0" t="n">
        <v>239.1727155</v>
      </c>
      <c r="C271" s="0" t="n">
        <v>5022.627025</v>
      </c>
      <c r="E271" s="0" t="n">
        <v>2026</v>
      </c>
      <c r="F271" s="0" t="n">
        <v>42.66017</v>
      </c>
      <c r="G271" s="0" t="n">
        <v>895.492612</v>
      </c>
      <c r="I271" s="0" t="n">
        <v>2026</v>
      </c>
      <c r="J271" s="0" t="n">
        <v>19.35</v>
      </c>
      <c r="K271" s="0" t="n">
        <v>406.11</v>
      </c>
      <c r="M271" s="0" t="n">
        <v>2026</v>
      </c>
      <c r="N271" s="0" t="n">
        <v>22.8</v>
      </c>
      <c r="O271" s="0" t="n">
        <v>478.74</v>
      </c>
      <c r="Q271" s="0" t="n">
        <v>2027</v>
      </c>
      <c r="R271" s="0" t="n">
        <v>250</v>
      </c>
      <c r="T271" s="0" t="n">
        <v>2029</v>
      </c>
      <c r="U271" s="0" t="n">
        <v>150096</v>
      </c>
      <c r="W271" s="0" t="n">
        <v>2026</v>
      </c>
      <c r="X271" s="0" t="n">
        <v>307.914</v>
      </c>
    </row>
    <row r="272" customFormat="false" ht="15" hidden="false" customHeight="false" outlineLevel="0" collapsed="false">
      <c r="A272" s="0" t="n">
        <v>2026</v>
      </c>
      <c r="B272" s="0" t="n">
        <v>60.32643127</v>
      </c>
      <c r="C272" s="0" t="n">
        <v>1266.855057</v>
      </c>
      <c r="E272" s="0" t="n">
        <v>2026</v>
      </c>
      <c r="F272" s="0" t="n">
        <v>1.99709</v>
      </c>
      <c r="G272" s="0" t="n">
        <v>41.921524</v>
      </c>
      <c r="I272" s="0" t="n">
        <v>2026</v>
      </c>
      <c r="J272" s="0" t="n">
        <v>493.48</v>
      </c>
      <c r="K272" s="0" t="n">
        <v>10359.96</v>
      </c>
      <c r="M272" s="0" t="n">
        <v>2026</v>
      </c>
      <c r="N272" s="0" t="n">
        <v>19</v>
      </c>
      <c r="O272" s="0" t="n">
        <v>398.95</v>
      </c>
      <c r="Q272" s="0" t="n">
        <v>2027</v>
      </c>
      <c r="R272" s="0" t="n">
        <v>238</v>
      </c>
      <c r="T272" s="0" t="n">
        <v>2029</v>
      </c>
      <c r="U272" s="0" t="n">
        <v>4642</v>
      </c>
      <c r="W272" s="0" t="n">
        <v>2026</v>
      </c>
      <c r="X272" s="0" t="n">
        <v>121.545</v>
      </c>
    </row>
    <row r="273" customFormat="false" ht="15" hidden="false" customHeight="false" outlineLevel="0" collapsed="false">
      <c r="A273" s="0" t="n">
        <v>2026</v>
      </c>
      <c r="B273" s="0" t="n">
        <v>53.79643059</v>
      </c>
      <c r="C273" s="0" t="n">
        <v>1129.725042</v>
      </c>
      <c r="E273" s="0" t="n">
        <v>2026</v>
      </c>
      <c r="F273" s="0" t="n">
        <v>10.91994</v>
      </c>
      <c r="G273" s="0" t="n">
        <v>229.223784</v>
      </c>
      <c r="I273" s="0" t="n">
        <v>2026</v>
      </c>
      <c r="J273" s="0" t="n">
        <v>75.92</v>
      </c>
      <c r="K273" s="0" t="n">
        <v>1593.84</v>
      </c>
      <c r="M273" s="0" t="n">
        <v>2026</v>
      </c>
      <c r="N273" s="0" t="n">
        <v>15.2</v>
      </c>
      <c r="O273" s="0" t="n">
        <v>319.16</v>
      </c>
      <c r="Q273" s="0" t="n">
        <v>2027</v>
      </c>
      <c r="R273" s="0" t="n">
        <v>113</v>
      </c>
      <c r="T273" s="0" t="n">
        <v>2029</v>
      </c>
      <c r="U273" s="0" t="n">
        <v>255161</v>
      </c>
      <c r="W273" s="0" t="n">
        <v>2026</v>
      </c>
      <c r="X273" s="0" t="n">
        <v>178.266</v>
      </c>
    </row>
    <row r="274" customFormat="false" ht="15" hidden="false" customHeight="false" outlineLevel="0" collapsed="false">
      <c r="A274" s="0" t="n">
        <v>2026</v>
      </c>
      <c r="B274" s="0" t="n">
        <v>37.41222926</v>
      </c>
      <c r="C274" s="0" t="n">
        <v>785.6568145</v>
      </c>
      <c r="E274" s="0" t="n">
        <v>2026</v>
      </c>
      <c r="F274" s="0" t="n">
        <v>9.98522</v>
      </c>
      <c r="G274" s="0" t="n">
        <v>209.602792</v>
      </c>
      <c r="I274" s="0" t="n">
        <v>2026</v>
      </c>
      <c r="J274" s="0" t="n">
        <v>56.94</v>
      </c>
      <c r="K274" s="0" t="n">
        <v>1195.38</v>
      </c>
      <c r="M274" s="0" t="n">
        <v>2026</v>
      </c>
      <c r="N274" s="0" t="n">
        <v>7.6</v>
      </c>
      <c r="O274" s="0" t="n">
        <v>159.58</v>
      </c>
      <c r="Q274" s="0" t="n">
        <v>2027</v>
      </c>
      <c r="R274" s="0" t="n">
        <v>25</v>
      </c>
      <c r="T274" s="0" t="n">
        <v>2029</v>
      </c>
      <c r="U274" s="0" t="n">
        <v>7892</v>
      </c>
      <c r="W274" s="0" t="n">
        <v>2026</v>
      </c>
      <c r="X274" s="0" t="n">
        <v>137.751</v>
      </c>
    </row>
    <row r="275" customFormat="false" ht="15" hidden="false" customHeight="false" outlineLevel="0" collapsed="false">
      <c r="A275" s="0" t="n">
        <v>2026</v>
      </c>
      <c r="B275" s="0" t="n">
        <v>27.82846689</v>
      </c>
      <c r="C275" s="0" t="n">
        <v>584.3978046</v>
      </c>
      <c r="E275" s="0" t="n">
        <v>2026</v>
      </c>
      <c r="F275" s="0" t="n">
        <v>1421.582934</v>
      </c>
      <c r="G275" s="0" t="n">
        <v>29852.21372</v>
      </c>
      <c r="I275" s="0" t="n">
        <v>2026</v>
      </c>
      <c r="J275" s="0" t="n">
        <v>94.9</v>
      </c>
      <c r="K275" s="0" t="n">
        <v>1992.3</v>
      </c>
      <c r="M275" s="0" t="n">
        <v>2026</v>
      </c>
      <c r="N275" s="0" t="n">
        <v>227.24</v>
      </c>
      <c r="O275" s="0" t="n">
        <v>4766.34</v>
      </c>
      <c r="Q275" s="0" t="n">
        <v>2027</v>
      </c>
      <c r="R275" s="0" t="n">
        <v>24</v>
      </c>
      <c r="T275" s="0" t="n">
        <v>2029</v>
      </c>
      <c r="U275" s="0" t="n">
        <v>52533</v>
      </c>
      <c r="W275" s="0" t="n">
        <v>2026</v>
      </c>
      <c r="X275" s="0" t="n">
        <v>52920.1</v>
      </c>
    </row>
    <row r="276" customFormat="false" ht="15" hidden="false" customHeight="false" outlineLevel="0" collapsed="false">
      <c r="A276" s="0" t="n">
        <v>2026</v>
      </c>
      <c r="B276" s="0" t="n">
        <v>12.36820751</v>
      </c>
      <c r="C276" s="0" t="n">
        <v>259.7323576</v>
      </c>
      <c r="E276" s="0" t="n">
        <v>2026</v>
      </c>
      <c r="F276" s="0" t="n">
        <v>381.710766</v>
      </c>
      <c r="G276" s="0" t="n">
        <v>8015.650084</v>
      </c>
      <c r="I276" s="0" t="n">
        <v>2026</v>
      </c>
      <c r="J276" s="0" t="n">
        <v>18.98</v>
      </c>
      <c r="K276" s="0" t="n">
        <v>398.46</v>
      </c>
      <c r="M276" s="0" t="n">
        <v>2026</v>
      </c>
      <c r="N276" s="0" t="n">
        <v>149.5</v>
      </c>
      <c r="O276" s="0" t="n">
        <v>3135.75</v>
      </c>
      <c r="Q276" s="0" t="n">
        <v>2027</v>
      </c>
      <c r="R276" s="0" t="n">
        <v>24</v>
      </c>
      <c r="T276" s="0" t="n">
        <v>2029</v>
      </c>
      <c r="U276" s="0" t="n">
        <v>1625</v>
      </c>
      <c r="W276" s="0" t="n">
        <v>2026</v>
      </c>
      <c r="X276" s="0" t="n">
        <v>13230.025</v>
      </c>
    </row>
    <row r="277" customFormat="false" ht="15" hidden="false" customHeight="false" outlineLevel="0" collapsed="false">
      <c r="A277" s="0" t="n">
        <v>2026</v>
      </c>
      <c r="B277" s="0" t="n">
        <v>45.68295508</v>
      </c>
      <c r="C277" s="0" t="n">
        <v>959.3420567</v>
      </c>
      <c r="E277" s="0" t="n">
        <v>2026</v>
      </c>
      <c r="F277" s="0" t="n">
        <v>152.785542</v>
      </c>
      <c r="G277" s="0" t="n">
        <v>3208.385908</v>
      </c>
      <c r="I277" s="0" t="n">
        <v>2026</v>
      </c>
      <c r="J277" s="0" t="n">
        <v>18.98</v>
      </c>
      <c r="K277" s="0" t="n">
        <v>398.46</v>
      </c>
      <c r="M277" s="0" t="n">
        <v>2026</v>
      </c>
      <c r="N277" s="0" t="n">
        <v>59.8</v>
      </c>
      <c r="O277" s="0" t="n">
        <v>1254.3</v>
      </c>
      <c r="Q277" s="0" t="n">
        <v>2027</v>
      </c>
      <c r="R277" s="0" t="n">
        <v>895</v>
      </c>
      <c r="T277" s="0" t="n">
        <v>2029</v>
      </c>
      <c r="U277" s="0" t="n">
        <v>90057</v>
      </c>
      <c r="W277" s="0" t="n">
        <v>2026</v>
      </c>
      <c r="X277" s="0" t="n">
        <v>4097.04</v>
      </c>
    </row>
    <row r="278" customFormat="false" ht="15" hidden="false" customHeight="false" outlineLevel="0" collapsed="false">
      <c r="A278" s="0" t="n">
        <v>2026</v>
      </c>
      <c r="B278" s="0" t="n">
        <v>14.30036018</v>
      </c>
      <c r="C278" s="0" t="n">
        <v>300.3075638</v>
      </c>
      <c r="E278" s="0" t="n">
        <v>2026</v>
      </c>
      <c r="F278" s="0" t="n">
        <v>21.461394</v>
      </c>
      <c r="G278" s="0" t="n">
        <v>450.673756</v>
      </c>
      <c r="I278" s="0" t="n">
        <v>2026</v>
      </c>
      <c r="J278" s="0" t="n">
        <v>0</v>
      </c>
      <c r="K278" s="0" t="n">
        <v>0</v>
      </c>
      <c r="M278" s="0" t="n">
        <v>2026</v>
      </c>
      <c r="N278" s="0" t="n">
        <v>59.8</v>
      </c>
      <c r="O278" s="0" t="n">
        <v>1254.3</v>
      </c>
      <c r="Q278" s="0" t="n">
        <v>2027</v>
      </c>
      <c r="R278" s="0" t="n">
        <v>850</v>
      </c>
      <c r="T278" s="0" t="n">
        <v>2029</v>
      </c>
      <c r="U278" s="0" t="n">
        <v>2785</v>
      </c>
      <c r="W278" s="0" t="n">
        <v>2026</v>
      </c>
      <c r="X278" s="0" t="n">
        <v>7255.175</v>
      </c>
    </row>
    <row r="279" customFormat="false" ht="15" hidden="false" customHeight="false" outlineLevel="0" collapsed="false">
      <c r="A279" s="0" t="n">
        <v>2026</v>
      </c>
      <c r="B279" s="0" t="n">
        <v>31.97473146</v>
      </c>
      <c r="C279" s="0" t="n">
        <v>671.4693606</v>
      </c>
      <c r="E279" s="0" t="n">
        <v>2026</v>
      </c>
      <c r="F279" s="0" t="n">
        <v>513.034914</v>
      </c>
      <c r="G279" s="0" t="n">
        <v>10773.36224</v>
      </c>
      <c r="I279" s="0" t="n">
        <v>2026</v>
      </c>
      <c r="J279" s="0" t="n">
        <v>37.96</v>
      </c>
      <c r="K279" s="0" t="n">
        <v>796.92</v>
      </c>
      <c r="M279" s="0" t="n">
        <v>2026</v>
      </c>
      <c r="N279" s="0" t="n">
        <v>35.88</v>
      </c>
      <c r="O279" s="0" t="n">
        <v>752.58</v>
      </c>
      <c r="Q279" s="0" t="n">
        <v>2027</v>
      </c>
      <c r="R279" s="0" t="n">
        <v>403</v>
      </c>
      <c r="T279" s="0" t="n">
        <v>2029</v>
      </c>
      <c r="U279" s="0" t="n">
        <v>90057</v>
      </c>
      <c r="W279" s="0" t="n">
        <v>2026</v>
      </c>
      <c r="X279" s="0" t="n">
        <v>3243.49</v>
      </c>
    </row>
    <row r="280" customFormat="false" ht="15" hidden="false" customHeight="false" outlineLevel="0" collapsed="false">
      <c r="A280" s="0" t="n">
        <v>2026</v>
      </c>
      <c r="B280" s="0" t="n">
        <v>157.3573494</v>
      </c>
      <c r="C280" s="0" t="n">
        <v>3304.504338</v>
      </c>
      <c r="E280" s="0" t="n">
        <v>2026</v>
      </c>
      <c r="F280" s="0" t="n">
        <v>24.017178</v>
      </c>
      <c r="G280" s="0" t="n">
        <v>504.343372</v>
      </c>
      <c r="I280" s="0" t="n">
        <v>2026</v>
      </c>
      <c r="J280" s="0" t="n">
        <v>66.43</v>
      </c>
      <c r="K280" s="0" t="n">
        <v>1394.61</v>
      </c>
      <c r="M280" s="0" t="n">
        <v>2026</v>
      </c>
      <c r="N280" s="0" t="n">
        <v>29.9</v>
      </c>
      <c r="O280" s="0" t="n">
        <v>627.15</v>
      </c>
      <c r="Q280" s="0" t="n">
        <v>2027</v>
      </c>
      <c r="R280" s="0" t="n">
        <v>89</v>
      </c>
      <c r="T280" s="0" t="n">
        <v>2029</v>
      </c>
      <c r="U280" s="0" t="n">
        <v>2785</v>
      </c>
      <c r="W280" s="0" t="n">
        <v>2026</v>
      </c>
      <c r="X280" s="0" t="n">
        <v>1280.325</v>
      </c>
    </row>
    <row r="281" customFormat="false" ht="15" hidden="false" customHeight="false" outlineLevel="0" collapsed="false">
      <c r="A281" s="0" t="n">
        <v>2026</v>
      </c>
      <c r="B281" s="0" t="n">
        <v>39.69017664</v>
      </c>
      <c r="C281" s="0" t="n">
        <v>833.4937094</v>
      </c>
      <c r="E281" s="0" t="n">
        <v>2026</v>
      </c>
      <c r="F281" s="0" t="n">
        <v>131.324148</v>
      </c>
      <c r="G281" s="0" t="n">
        <v>2757.712152</v>
      </c>
      <c r="I281" s="0" t="n">
        <v>2026</v>
      </c>
      <c r="J281" s="0" t="n">
        <v>18.98</v>
      </c>
      <c r="K281" s="0" t="n">
        <v>398.46</v>
      </c>
      <c r="M281" s="0" t="n">
        <v>2026</v>
      </c>
      <c r="N281" s="0" t="n">
        <v>23.92</v>
      </c>
      <c r="O281" s="0" t="n">
        <v>501.72</v>
      </c>
      <c r="Q281" s="0" t="n">
        <v>2027</v>
      </c>
      <c r="R281" s="0" t="n">
        <v>85</v>
      </c>
      <c r="T281" s="0" t="n">
        <v>2029</v>
      </c>
      <c r="U281" s="0" t="n">
        <v>45028</v>
      </c>
      <c r="W281" s="0" t="n">
        <v>2026</v>
      </c>
      <c r="X281" s="0" t="n">
        <v>1877.81</v>
      </c>
    </row>
    <row r="282" customFormat="false" ht="15" hidden="false" customHeight="false" outlineLevel="0" collapsed="false">
      <c r="A282" s="0" t="n">
        <v>2026</v>
      </c>
      <c r="B282" s="0" t="n">
        <v>35.39393576</v>
      </c>
      <c r="C282" s="0" t="n">
        <v>743.2726509</v>
      </c>
      <c r="E282" s="0" t="n">
        <v>2026</v>
      </c>
      <c r="F282" s="0" t="n">
        <v>120.083124</v>
      </c>
      <c r="G282" s="0" t="n">
        <v>2521.658776</v>
      </c>
      <c r="I282" s="0" t="n">
        <v>2026</v>
      </c>
      <c r="J282" s="0" t="n">
        <v>66.43</v>
      </c>
      <c r="K282" s="0" t="n">
        <v>1394.61</v>
      </c>
      <c r="M282" s="0" t="n">
        <v>2026</v>
      </c>
      <c r="N282" s="0" t="n">
        <v>11.96</v>
      </c>
      <c r="O282" s="0" t="n">
        <v>250.86</v>
      </c>
      <c r="Q282" s="0" t="n">
        <v>2027</v>
      </c>
      <c r="R282" s="0" t="n">
        <v>85</v>
      </c>
      <c r="T282" s="0" t="n">
        <v>2029</v>
      </c>
      <c r="U282" s="0" t="n">
        <v>1392</v>
      </c>
      <c r="W282" s="0" t="n">
        <v>2026</v>
      </c>
      <c r="X282" s="0" t="n">
        <v>1451.035</v>
      </c>
    </row>
    <row r="283" customFormat="false" ht="15" hidden="false" customHeight="false" outlineLevel="0" collapsed="false">
      <c r="A283" s="0" t="n">
        <v>2026</v>
      </c>
      <c r="B283" s="0" t="n">
        <v>24.61438472</v>
      </c>
      <c r="C283" s="0" t="n">
        <v>516.902079</v>
      </c>
      <c r="E283" s="0" t="n">
        <v>2026</v>
      </c>
      <c r="F283" s="0" t="n">
        <v>703.082232</v>
      </c>
      <c r="G283" s="0" t="n">
        <v>14764.21292</v>
      </c>
      <c r="I283" s="0" t="n">
        <v>2026</v>
      </c>
      <c r="J283" s="0" t="n">
        <v>422.4</v>
      </c>
      <c r="K283" s="0" t="n">
        <v>8868.48</v>
      </c>
      <c r="M283" s="0" t="n">
        <v>2026</v>
      </c>
      <c r="N283" s="0" t="n">
        <v>172.9</v>
      </c>
      <c r="O283" s="0" t="n">
        <v>3626.72</v>
      </c>
      <c r="Q283" s="0" t="n">
        <v>2027</v>
      </c>
      <c r="R283" s="0" t="n">
        <v>414</v>
      </c>
      <c r="T283" s="0" t="n">
        <v>2029</v>
      </c>
      <c r="U283" s="0" t="n">
        <v>375237</v>
      </c>
      <c r="W283" s="0" t="n">
        <v>2026</v>
      </c>
      <c r="X283" s="0" t="n">
        <v>13672.24</v>
      </c>
    </row>
    <row r="284" customFormat="false" ht="15" hidden="false" customHeight="false" outlineLevel="0" collapsed="false">
      <c r="A284" s="0" t="n">
        <v>2026</v>
      </c>
      <c r="B284" s="0" t="n">
        <v>18.30900226</v>
      </c>
      <c r="C284" s="0" t="n">
        <v>384.4890474</v>
      </c>
      <c r="E284" s="0" t="n">
        <v>2026</v>
      </c>
      <c r="F284" s="0" t="n">
        <v>188.785368</v>
      </c>
      <c r="G284" s="0" t="n">
        <v>3964.354727</v>
      </c>
      <c r="I284" s="0" t="n">
        <v>2026</v>
      </c>
      <c r="J284" s="0" t="n">
        <v>140.8</v>
      </c>
      <c r="K284" s="0" t="n">
        <v>2956.16</v>
      </c>
      <c r="M284" s="0" t="n">
        <v>2026</v>
      </c>
      <c r="N284" s="0" t="n">
        <v>113.75</v>
      </c>
      <c r="O284" s="0" t="n">
        <v>2386</v>
      </c>
      <c r="Q284" s="0" t="n">
        <v>2027</v>
      </c>
      <c r="R284" s="0" t="n">
        <v>394</v>
      </c>
      <c r="T284" s="0" t="n">
        <v>2029</v>
      </c>
      <c r="U284" s="0" t="n">
        <v>11605</v>
      </c>
      <c r="W284" s="0" t="n">
        <v>2026</v>
      </c>
      <c r="X284" s="0" t="n">
        <v>3418.06</v>
      </c>
    </row>
    <row r="285" customFormat="false" ht="15" hidden="false" customHeight="false" outlineLevel="0" collapsed="false">
      <c r="A285" s="0" t="n">
        <v>2026</v>
      </c>
      <c r="B285" s="0" t="n">
        <v>8.137334337</v>
      </c>
      <c r="C285" s="0" t="n">
        <v>170.8840211</v>
      </c>
      <c r="E285" s="0" t="n">
        <v>2026</v>
      </c>
      <c r="F285" s="0" t="n">
        <v>75.564216</v>
      </c>
      <c r="G285" s="0" t="n">
        <v>1586.793299</v>
      </c>
      <c r="I285" s="0" t="n">
        <v>2026</v>
      </c>
      <c r="J285" s="0" t="n">
        <v>61.6</v>
      </c>
      <c r="K285" s="0" t="n">
        <v>1293.32</v>
      </c>
      <c r="M285" s="0" t="n">
        <v>2026</v>
      </c>
      <c r="N285" s="0" t="n">
        <v>45.5</v>
      </c>
      <c r="O285" s="0" t="n">
        <v>954.4</v>
      </c>
      <c r="Q285" s="0" t="n">
        <v>2027</v>
      </c>
      <c r="R285" s="0" t="n">
        <v>187</v>
      </c>
      <c r="T285" s="0" t="n">
        <v>2029</v>
      </c>
      <c r="U285" s="0" t="n">
        <v>142590</v>
      </c>
      <c r="W285" s="0" t="n">
        <v>2026</v>
      </c>
      <c r="X285" s="0" t="n">
        <v>1058.496</v>
      </c>
    </row>
    <row r="286" customFormat="false" ht="15" hidden="false" customHeight="false" outlineLevel="0" collapsed="false">
      <c r="A286" s="0" t="n">
        <v>2026</v>
      </c>
      <c r="B286" s="0" t="n">
        <v>30.05588957</v>
      </c>
      <c r="C286" s="0" t="n">
        <v>631.173681</v>
      </c>
      <c r="E286" s="0" t="n">
        <v>2026</v>
      </c>
      <c r="F286" s="0" t="n">
        <v>10.614312</v>
      </c>
      <c r="G286" s="0" t="n">
        <v>222.892793</v>
      </c>
      <c r="I286" s="0" t="n">
        <v>2026</v>
      </c>
      <c r="J286" s="0" t="n">
        <v>35.2</v>
      </c>
      <c r="K286" s="0" t="n">
        <v>739.04</v>
      </c>
      <c r="M286" s="0" t="n">
        <v>2026</v>
      </c>
      <c r="N286" s="0" t="n">
        <v>45.5</v>
      </c>
      <c r="O286" s="0" t="n">
        <v>954.4</v>
      </c>
      <c r="Q286" s="0" t="n">
        <v>2027</v>
      </c>
      <c r="R286" s="0" t="n">
        <v>41</v>
      </c>
      <c r="T286" s="0" t="n">
        <v>2029</v>
      </c>
      <c r="U286" s="0" t="n">
        <v>4409</v>
      </c>
      <c r="W286" s="0" t="n">
        <v>2026</v>
      </c>
      <c r="X286" s="0" t="n">
        <v>1874.42</v>
      </c>
    </row>
    <row r="287" customFormat="false" ht="15" hidden="false" customHeight="false" outlineLevel="0" collapsed="false">
      <c r="A287" s="0" t="n">
        <v>2026</v>
      </c>
      <c r="B287" s="0" t="n">
        <v>9.408542983</v>
      </c>
      <c r="C287" s="0" t="n">
        <v>197.5794026</v>
      </c>
      <c r="E287" s="0" t="n">
        <v>2026</v>
      </c>
      <c r="F287" s="0" t="n">
        <v>253.735272</v>
      </c>
      <c r="G287" s="0" t="n">
        <v>5328.255233</v>
      </c>
      <c r="I287" s="0" t="n">
        <v>2026</v>
      </c>
      <c r="J287" s="0" t="n">
        <v>35.2</v>
      </c>
      <c r="K287" s="0" t="n">
        <v>739.04</v>
      </c>
      <c r="M287" s="0" t="n">
        <v>2026</v>
      </c>
      <c r="N287" s="0" t="n">
        <v>27.3</v>
      </c>
      <c r="O287" s="0" t="n">
        <v>572.64</v>
      </c>
      <c r="Q287" s="0" t="n">
        <v>2027</v>
      </c>
      <c r="R287" s="0" t="n">
        <v>39</v>
      </c>
      <c r="T287" s="0" t="n">
        <v>2029</v>
      </c>
      <c r="U287" s="0" t="n">
        <v>165104</v>
      </c>
      <c r="W287" s="0" t="n">
        <v>2026</v>
      </c>
      <c r="X287" s="0" t="n">
        <v>837.976</v>
      </c>
    </row>
    <row r="288" customFormat="false" ht="15" hidden="false" customHeight="false" outlineLevel="0" collapsed="false">
      <c r="A288" s="0" t="n">
        <v>2026</v>
      </c>
      <c r="B288" s="0" t="n">
        <v>21.03692714</v>
      </c>
      <c r="C288" s="0" t="n">
        <v>441.77547</v>
      </c>
      <c r="E288" s="0" t="n">
        <v>2026</v>
      </c>
      <c r="F288" s="0" t="n">
        <v>11.878344</v>
      </c>
      <c r="G288" s="0" t="n">
        <v>249.436541</v>
      </c>
      <c r="I288" s="0" t="n">
        <v>2026</v>
      </c>
      <c r="J288" s="0" t="n">
        <v>17.6</v>
      </c>
      <c r="K288" s="0" t="n">
        <v>369.52</v>
      </c>
      <c r="M288" s="0" t="n">
        <v>2026</v>
      </c>
      <c r="N288" s="0" t="n">
        <v>22.75</v>
      </c>
      <c r="O288" s="0" t="n">
        <v>477.2</v>
      </c>
      <c r="Q288" s="0" t="n">
        <v>2027</v>
      </c>
      <c r="R288" s="0" t="n">
        <v>39</v>
      </c>
      <c r="T288" s="0" t="n">
        <v>2029</v>
      </c>
      <c r="U288" s="0" t="n">
        <v>5106</v>
      </c>
      <c r="W288" s="0" t="n">
        <v>2026</v>
      </c>
      <c r="X288" s="0" t="n">
        <v>330.78</v>
      </c>
    </row>
    <row r="289" customFormat="false" ht="15" hidden="false" customHeight="false" outlineLevel="0" collapsed="false">
      <c r="A289" s="0" t="n">
        <v>2026</v>
      </c>
      <c r="B289" s="0" t="n">
        <v>107.146525</v>
      </c>
      <c r="C289" s="0" t="n">
        <v>2250.077025</v>
      </c>
      <c r="E289" s="0" t="n">
        <v>2026</v>
      </c>
      <c r="F289" s="0" t="n">
        <v>64.949904</v>
      </c>
      <c r="G289" s="0" t="n">
        <v>1363.900506</v>
      </c>
      <c r="I289" s="0" t="n">
        <v>2026</v>
      </c>
      <c r="J289" s="0" t="n">
        <v>17.6</v>
      </c>
      <c r="K289" s="0" t="n">
        <v>369.52</v>
      </c>
      <c r="M289" s="0" t="n">
        <v>2026</v>
      </c>
      <c r="N289" s="0" t="n">
        <v>18.2</v>
      </c>
      <c r="O289" s="0" t="n">
        <v>381.76</v>
      </c>
      <c r="Q289" s="0" t="n">
        <v>2027</v>
      </c>
      <c r="R289" s="0" t="n">
        <v>54</v>
      </c>
      <c r="T289" s="0" t="n">
        <v>2029</v>
      </c>
      <c r="U289" s="0" t="n">
        <v>157599</v>
      </c>
      <c r="W289" s="0" t="n">
        <v>2026</v>
      </c>
      <c r="X289" s="0" t="n">
        <v>485.144</v>
      </c>
    </row>
    <row r="290" customFormat="false" ht="15" hidden="false" customHeight="false" outlineLevel="0" collapsed="false">
      <c r="A290" s="0" t="n">
        <v>2026</v>
      </c>
      <c r="B290" s="0" t="n">
        <v>27.02552197</v>
      </c>
      <c r="C290" s="0" t="n">
        <v>567.5359613</v>
      </c>
      <c r="E290" s="0" t="n">
        <v>2026</v>
      </c>
      <c r="F290" s="0" t="n">
        <v>59.390352</v>
      </c>
      <c r="G290" s="0" t="n">
        <v>1247.153978</v>
      </c>
      <c r="I290" s="0" t="n">
        <v>2026</v>
      </c>
      <c r="J290" s="0" t="n">
        <v>35.2</v>
      </c>
      <c r="K290" s="0" t="n">
        <v>739.04</v>
      </c>
      <c r="M290" s="0" t="n">
        <v>2026</v>
      </c>
      <c r="N290" s="0" t="n">
        <v>9.1</v>
      </c>
      <c r="O290" s="0" t="n">
        <v>190.88</v>
      </c>
      <c r="Q290" s="0" t="n">
        <v>2027</v>
      </c>
      <c r="R290" s="0" t="n">
        <v>51</v>
      </c>
      <c r="T290" s="0" t="n">
        <v>2029</v>
      </c>
      <c r="U290" s="0" t="n">
        <v>4875</v>
      </c>
      <c r="W290" s="0" t="n">
        <v>2026</v>
      </c>
      <c r="X290" s="0" t="n">
        <v>374.884</v>
      </c>
    </row>
    <row r="291" customFormat="false" ht="15" hidden="false" customHeight="false" outlineLevel="0" collapsed="false">
      <c r="A291" s="0" t="n">
        <v>2026</v>
      </c>
      <c r="B291" s="0" t="n">
        <v>24.10015952</v>
      </c>
      <c r="C291" s="0" t="n">
        <v>506.1033499</v>
      </c>
      <c r="E291" s="0" t="n">
        <v>2026</v>
      </c>
      <c r="F291" s="0" t="n">
        <v>73.494707</v>
      </c>
      <c r="G291" s="0" t="n">
        <v>1535.679612</v>
      </c>
      <c r="I291" s="0" t="n">
        <v>2026</v>
      </c>
      <c r="J291" s="0" t="n">
        <v>61.6</v>
      </c>
      <c r="K291" s="0" t="n">
        <v>1293.32</v>
      </c>
      <c r="M291" s="0" t="n">
        <v>2026</v>
      </c>
      <c r="N291" s="0" t="n">
        <v>67.64</v>
      </c>
      <c r="O291" s="0" t="n">
        <v>1418.16</v>
      </c>
      <c r="Q291" s="0" t="n">
        <v>2027</v>
      </c>
      <c r="R291" s="0" t="n">
        <v>24</v>
      </c>
      <c r="T291" s="0" t="n">
        <v>2029</v>
      </c>
      <c r="U291" s="0" t="n">
        <v>150096</v>
      </c>
      <c r="W291" s="0" t="n">
        <v>2026</v>
      </c>
      <c r="X291" s="0" t="n">
        <v>4119.28</v>
      </c>
    </row>
    <row r="292" customFormat="false" ht="15" hidden="false" customHeight="false" outlineLevel="0" collapsed="false">
      <c r="A292" s="0" t="n">
        <v>2026</v>
      </c>
      <c r="B292" s="0" t="n">
        <v>16.76023266</v>
      </c>
      <c r="C292" s="0" t="n">
        <v>351.9648859</v>
      </c>
      <c r="E292" s="0" t="n">
        <v>2026</v>
      </c>
      <c r="F292" s="0" t="n">
        <v>19.734143</v>
      </c>
      <c r="G292" s="0" t="n">
        <v>412.346988</v>
      </c>
      <c r="I292" s="0" t="n">
        <v>2026</v>
      </c>
      <c r="J292" s="0" t="n">
        <v>26.4</v>
      </c>
      <c r="K292" s="0" t="n">
        <v>554.28</v>
      </c>
      <c r="M292" s="0" t="n">
        <v>2026</v>
      </c>
      <c r="N292" s="0" t="n">
        <v>44.5</v>
      </c>
      <c r="O292" s="0" t="n">
        <v>933</v>
      </c>
      <c r="Q292" s="0" t="n">
        <v>2027</v>
      </c>
      <c r="R292" s="0" t="n">
        <v>5</v>
      </c>
      <c r="T292" s="0" t="n">
        <v>2029</v>
      </c>
      <c r="U292" s="0" t="n">
        <v>4642</v>
      </c>
      <c r="W292" s="0" t="n">
        <v>2026</v>
      </c>
      <c r="X292" s="0" t="n">
        <v>1029.82</v>
      </c>
    </row>
    <row r="293" customFormat="false" ht="15" hidden="false" customHeight="false" outlineLevel="0" collapsed="false">
      <c r="A293" s="0" t="n">
        <v>2026</v>
      </c>
      <c r="B293" s="0" t="n">
        <v>12.46682138</v>
      </c>
      <c r="C293" s="0" t="n">
        <v>261.803249</v>
      </c>
      <c r="E293" s="0" t="n">
        <v>2026</v>
      </c>
      <c r="F293" s="0" t="n">
        <v>7.898891</v>
      </c>
      <c r="G293" s="0" t="n">
        <v>165.048156</v>
      </c>
      <c r="I293" s="0" t="n">
        <v>2026</v>
      </c>
      <c r="J293" s="0" t="n">
        <v>26.4</v>
      </c>
      <c r="K293" s="0" t="n">
        <v>554.28</v>
      </c>
      <c r="M293" s="0" t="n">
        <v>2026</v>
      </c>
      <c r="N293" s="0" t="n">
        <v>17.8</v>
      </c>
      <c r="O293" s="0" t="n">
        <v>373.2</v>
      </c>
      <c r="Q293" s="0" t="n">
        <v>2027</v>
      </c>
      <c r="R293" s="0" t="n">
        <v>5</v>
      </c>
      <c r="T293" s="0" t="n">
        <v>2029</v>
      </c>
      <c r="U293" s="0" t="n">
        <v>112572</v>
      </c>
      <c r="W293" s="0" t="n">
        <v>2026</v>
      </c>
      <c r="X293" s="0" t="n">
        <v>318.912</v>
      </c>
    </row>
    <row r="294" customFormat="false" ht="15" hidden="false" customHeight="false" outlineLevel="0" collapsed="false">
      <c r="A294" s="0" t="n">
        <v>2026</v>
      </c>
      <c r="B294" s="0" t="n">
        <v>5.540809502</v>
      </c>
      <c r="C294" s="0" t="n">
        <v>116.3569996</v>
      </c>
      <c r="E294" s="0" t="n">
        <v>2026</v>
      </c>
      <c r="F294" s="0" t="n">
        <v>1.109537</v>
      </c>
      <c r="G294" s="0" t="n">
        <v>23.183892</v>
      </c>
      <c r="I294" s="0" t="n">
        <v>2026</v>
      </c>
      <c r="J294" s="0" t="n">
        <v>98.8</v>
      </c>
      <c r="K294" s="0" t="n">
        <v>2070.64</v>
      </c>
      <c r="M294" s="0" t="n">
        <v>2026</v>
      </c>
      <c r="N294" s="0" t="n">
        <v>17.8</v>
      </c>
      <c r="O294" s="0" t="n">
        <v>373.2</v>
      </c>
      <c r="Q294" s="0" t="n">
        <v>2027</v>
      </c>
      <c r="R294" s="0" t="n">
        <v>5</v>
      </c>
      <c r="T294" s="0" t="n">
        <v>2029</v>
      </c>
      <c r="U294" s="0" t="n">
        <v>3482</v>
      </c>
      <c r="W294" s="0" t="n">
        <v>2026</v>
      </c>
      <c r="X294" s="0" t="n">
        <v>564.74</v>
      </c>
    </row>
    <row r="295" customFormat="false" ht="15" hidden="false" customHeight="false" outlineLevel="0" collapsed="false">
      <c r="A295" s="0" t="n">
        <v>2026</v>
      </c>
      <c r="B295" s="0" t="n">
        <v>20.46541922</v>
      </c>
      <c r="C295" s="0" t="n">
        <v>429.7738036</v>
      </c>
      <c r="E295" s="0" t="n">
        <v>2026</v>
      </c>
      <c r="F295" s="0" t="n">
        <v>26.523497</v>
      </c>
      <c r="G295" s="0" t="n">
        <v>554.211252</v>
      </c>
      <c r="I295" s="0" t="n">
        <v>2026</v>
      </c>
      <c r="J295" s="0" t="n">
        <v>15.2</v>
      </c>
      <c r="K295" s="0" t="n">
        <v>318.56</v>
      </c>
      <c r="M295" s="0" t="n">
        <v>2026</v>
      </c>
      <c r="N295" s="0" t="n">
        <v>10.68</v>
      </c>
      <c r="O295" s="0" t="n">
        <v>223.92</v>
      </c>
      <c r="Q295" s="0" t="n">
        <v>2027</v>
      </c>
      <c r="R295" s="0" t="n">
        <v>451</v>
      </c>
      <c r="T295" s="0" t="n">
        <v>2029</v>
      </c>
      <c r="U295" s="0" t="n">
        <v>97562</v>
      </c>
      <c r="W295" s="0" t="n">
        <v>2026</v>
      </c>
      <c r="X295" s="0" t="n">
        <v>252.472</v>
      </c>
    </row>
    <row r="296" customFormat="false" ht="15" hidden="false" customHeight="false" outlineLevel="0" collapsed="false">
      <c r="A296" s="0" t="n">
        <v>2026</v>
      </c>
      <c r="B296" s="0" t="n">
        <v>6.406390865</v>
      </c>
      <c r="C296" s="0" t="n">
        <v>134.5342082</v>
      </c>
      <c r="E296" s="0" t="n">
        <v>2026</v>
      </c>
      <c r="F296" s="0" t="n">
        <v>1.241669</v>
      </c>
      <c r="G296" s="0" t="n">
        <v>25.944804</v>
      </c>
      <c r="I296" s="0" t="n">
        <v>2026</v>
      </c>
      <c r="J296" s="0" t="n">
        <v>11.4</v>
      </c>
      <c r="K296" s="0" t="n">
        <v>238.92</v>
      </c>
      <c r="M296" s="0" t="n">
        <v>2026</v>
      </c>
      <c r="N296" s="0" t="n">
        <v>8.9</v>
      </c>
      <c r="O296" s="0" t="n">
        <v>186.6</v>
      </c>
      <c r="Q296" s="0" t="n">
        <v>2027</v>
      </c>
      <c r="R296" s="0" t="n">
        <v>428</v>
      </c>
      <c r="T296" s="0" t="n">
        <v>2029</v>
      </c>
      <c r="U296" s="0" t="n">
        <v>3017</v>
      </c>
      <c r="W296" s="0" t="n">
        <v>2026</v>
      </c>
      <c r="X296" s="0" t="n">
        <v>99.66</v>
      </c>
    </row>
    <row r="297" customFormat="false" ht="15" hidden="false" customHeight="false" outlineLevel="0" collapsed="false">
      <c r="A297" s="0" t="n">
        <v>2026</v>
      </c>
      <c r="B297" s="0" t="n">
        <v>14.32429847</v>
      </c>
      <c r="C297" s="0" t="n">
        <v>300.8102679</v>
      </c>
      <c r="E297" s="0" t="n">
        <v>2026</v>
      </c>
      <c r="F297" s="0" t="n">
        <v>6.789354</v>
      </c>
      <c r="G297" s="0" t="n">
        <v>141.864264</v>
      </c>
      <c r="I297" s="0" t="n">
        <v>2026</v>
      </c>
      <c r="J297" s="0" t="n">
        <v>19</v>
      </c>
      <c r="K297" s="0" t="n">
        <v>398.2</v>
      </c>
      <c r="M297" s="0" t="n">
        <v>2026</v>
      </c>
      <c r="N297" s="0" t="n">
        <v>7.12</v>
      </c>
      <c r="O297" s="0" t="n">
        <v>149.28</v>
      </c>
      <c r="Q297" s="0" t="n">
        <v>2027</v>
      </c>
      <c r="R297" s="0" t="n">
        <v>203</v>
      </c>
      <c r="T297" s="0" t="n">
        <v>2029</v>
      </c>
      <c r="U297" s="0" t="n">
        <v>82552</v>
      </c>
      <c r="W297" s="0" t="n">
        <v>2026</v>
      </c>
      <c r="X297" s="0" t="n">
        <v>146.168</v>
      </c>
    </row>
    <row r="298" customFormat="false" ht="15" hidden="false" customHeight="false" outlineLevel="0" collapsed="false">
      <c r="A298" s="0" t="n">
        <v>2026</v>
      </c>
      <c r="B298" s="0" t="n">
        <v>72.52410607</v>
      </c>
      <c r="C298" s="0" t="n">
        <v>1523.006227</v>
      </c>
      <c r="E298" s="0" t="n">
        <v>2026</v>
      </c>
      <c r="F298" s="0" t="n">
        <v>6.208202</v>
      </c>
      <c r="G298" s="0" t="n">
        <v>129.721032</v>
      </c>
      <c r="I298" s="0" t="n">
        <v>2026</v>
      </c>
      <c r="J298" s="0" t="n">
        <v>3.8</v>
      </c>
      <c r="K298" s="0" t="n">
        <v>79.64</v>
      </c>
      <c r="M298" s="0" t="n">
        <v>2026</v>
      </c>
      <c r="N298" s="0" t="n">
        <v>3.56</v>
      </c>
      <c r="O298" s="0" t="n">
        <v>74.64</v>
      </c>
      <c r="Q298" s="0" t="n">
        <v>2027</v>
      </c>
      <c r="R298" s="0" t="n">
        <v>45</v>
      </c>
      <c r="T298" s="0" t="n">
        <v>2029</v>
      </c>
      <c r="U298" s="0" t="n">
        <v>2554</v>
      </c>
      <c r="W298" s="0" t="n">
        <v>2026</v>
      </c>
      <c r="X298" s="0" t="n">
        <v>112.948</v>
      </c>
    </row>
    <row r="299" customFormat="false" ht="15" hidden="false" customHeight="false" outlineLevel="0" collapsed="false">
      <c r="A299" s="0" t="n">
        <v>2026</v>
      </c>
      <c r="B299" s="0" t="n">
        <v>18.29272412</v>
      </c>
      <c r="C299" s="0" t="n">
        <v>384.1472065</v>
      </c>
      <c r="E299" s="0" t="n">
        <v>2026</v>
      </c>
      <c r="F299" s="0" t="n">
        <v>640.380454</v>
      </c>
      <c r="G299" s="0" t="n">
        <v>13439.2524</v>
      </c>
      <c r="I299" s="0" t="n">
        <v>2026</v>
      </c>
      <c r="J299" s="0" t="n">
        <v>3.8</v>
      </c>
      <c r="K299" s="0" t="n">
        <v>79.64</v>
      </c>
      <c r="M299" s="0" t="n">
        <v>2026</v>
      </c>
      <c r="N299" s="0" t="n">
        <v>97.66</v>
      </c>
      <c r="O299" s="0" t="n">
        <v>2046.3</v>
      </c>
      <c r="Q299" s="0" t="n">
        <v>2027</v>
      </c>
      <c r="R299" s="0" t="n">
        <v>43</v>
      </c>
      <c r="T299" s="0" t="n">
        <v>2029</v>
      </c>
      <c r="U299" s="0" t="n">
        <v>630399</v>
      </c>
      <c r="W299" s="0" t="n">
        <v>2026</v>
      </c>
      <c r="X299" s="0" t="n">
        <v>43776.34</v>
      </c>
    </row>
    <row r="300" customFormat="false" ht="15" hidden="false" customHeight="false" outlineLevel="0" collapsed="false">
      <c r="A300" s="0" t="n">
        <v>2026</v>
      </c>
      <c r="B300" s="0" t="n">
        <v>16.31263847</v>
      </c>
      <c r="C300" s="0" t="n">
        <v>342.5654078</v>
      </c>
      <c r="E300" s="0" t="n">
        <v>2026</v>
      </c>
      <c r="F300" s="0" t="n">
        <v>171.949246</v>
      </c>
      <c r="G300" s="0" t="n">
        <v>3608.588149</v>
      </c>
      <c r="I300" s="0" t="n">
        <v>2026</v>
      </c>
      <c r="J300" s="0" t="n">
        <v>0</v>
      </c>
      <c r="K300" s="0" t="n">
        <v>0</v>
      </c>
      <c r="M300" s="0" t="n">
        <v>2026</v>
      </c>
      <c r="N300" s="0" t="n">
        <v>64.25</v>
      </c>
      <c r="O300" s="0" t="n">
        <v>1346.25</v>
      </c>
      <c r="Q300" s="0" t="n">
        <v>2027</v>
      </c>
      <c r="R300" s="0" t="n">
        <v>43</v>
      </c>
      <c r="T300" s="0" t="n">
        <v>2029</v>
      </c>
      <c r="U300" s="0" t="n">
        <v>19497</v>
      </c>
      <c r="W300" s="0" t="n">
        <v>2026</v>
      </c>
      <c r="X300" s="0" t="n">
        <v>10944.085</v>
      </c>
    </row>
    <row r="301" customFormat="false" ht="15" hidden="false" customHeight="false" outlineLevel="0" collapsed="false">
      <c r="A301" s="0" t="n">
        <v>2026</v>
      </c>
      <c r="B301" s="0" t="n">
        <v>11.34447329</v>
      </c>
      <c r="C301" s="0" t="n">
        <v>238.2339392</v>
      </c>
      <c r="E301" s="0" t="n">
        <v>2026</v>
      </c>
      <c r="F301" s="0" t="n">
        <v>68.825302</v>
      </c>
      <c r="G301" s="0" t="n">
        <v>1444.392313</v>
      </c>
      <c r="I301" s="0" t="n">
        <v>2026</v>
      </c>
      <c r="J301" s="0" t="n">
        <v>7.6</v>
      </c>
      <c r="K301" s="0" t="n">
        <v>159.28</v>
      </c>
      <c r="M301" s="0" t="n">
        <v>2026</v>
      </c>
      <c r="N301" s="0" t="n">
        <v>25.7</v>
      </c>
      <c r="O301" s="0" t="n">
        <v>538.5</v>
      </c>
      <c r="Q301" s="0" t="n">
        <v>2027</v>
      </c>
      <c r="R301" s="0" t="n">
        <v>734</v>
      </c>
      <c r="T301" s="0" t="n">
        <v>2029</v>
      </c>
      <c r="U301" s="0" t="n">
        <v>90057</v>
      </c>
      <c r="W301" s="0" t="n">
        <v>2026</v>
      </c>
      <c r="X301" s="0" t="n">
        <v>3389.136</v>
      </c>
    </row>
    <row r="302" customFormat="false" ht="15" hidden="false" customHeight="false" outlineLevel="0" collapsed="false">
      <c r="A302" s="0" t="n">
        <v>2026</v>
      </c>
      <c r="B302" s="0" t="n">
        <v>8.438398504</v>
      </c>
      <c r="C302" s="0" t="n">
        <v>177.2063686</v>
      </c>
      <c r="E302" s="0" t="n">
        <v>2026</v>
      </c>
      <c r="F302" s="0" t="n">
        <v>9.667714</v>
      </c>
      <c r="G302" s="0" t="n">
        <v>202.890091</v>
      </c>
      <c r="I302" s="0" t="n">
        <v>2026</v>
      </c>
      <c r="J302" s="0" t="n">
        <v>13.3</v>
      </c>
      <c r="K302" s="0" t="n">
        <v>278.74</v>
      </c>
      <c r="M302" s="0" t="n">
        <v>2026</v>
      </c>
      <c r="N302" s="0" t="n">
        <v>25.7</v>
      </c>
      <c r="O302" s="0" t="n">
        <v>538.5</v>
      </c>
      <c r="Q302" s="0" t="n">
        <v>2027</v>
      </c>
      <c r="R302" s="0" t="n">
        <v>698</v>
      </c>
      <c r="T302" s="0" t="n">
        <v>2029</v>
      </c>
      <c r="U302" s="0" t="n">
        <v>2785</v>
      </c>
      <c r="W302" s="0" t="n">
        <v>2026</v>
      </c>
      <c r="X302" s="0" t="n">
        <v>6001.595</v>
      </c>
    </row>
    <row r="303" customFormat="false" ht="15" hidden="false" customHeight="false" outlineLevel="0" collapsed="false">
      <c r="A303" s="0" t="n">
        <v>2026</v>
      </c>
      <c r="B303" s="0" t="n">
        <v>3.750399335</v>
      </c>
      <c r="C303" s="0" t="n">
        <v>78.75838603</v>
      </c>
      <c r="E303" s="0" t="n">
        <v>2026</v>
      </c>
      <c r="F303" s="0" t="n">
        <v>231.106834</v>
      </c>
      <c r="G303" s="0" t="n">
        <v>4850.090371</v>
      </c>
      <c r="I303" s="0" t="n">
        <v>2026</v>
      </c>
      <c r="J303" s="0" t="n">
        <v>3.8</v>
      </c>
      <c r="K303" s="0" t="n">
        <v>79.64</v>
      </c>
      <c r="M303" s="0" t="n">
        <v>2026</v>
      </c>
      <c r="N303" s="0" t="n">
        <v>15.42</v>
      </c>
      <c r="O303" s="0" t="n">
        <v>323.1</v>
      </c>
      <c r="Q303" s="0" t="n">
        <v>2027</v>
      </c>
      <c r="R303" s="0" t="n">
        <v>330</v>
      </c>
      <c r="T303" s="0" t="n">
        <v>2029</v>
      </c>
      <c r="U303" s="0" t="n">
        <v>45028</v>
      </c>
      <c r="W303" s="0" t="n">
        <v>2026</v>
      </c>
      <c r="X303" s="0" t="n">
        <v>2683.066</v>
      </c>
    </row>
    <row r="304" customFormat="false" ht="15" hidden="false" customHeight="false" outlineLevel="0" collapsed="false">
      <c r="A304" s="0" t="n">
        <v>2026</v>
      </c>
      <c r="B304" s="0" t="n">
        <v>13.85239731</v>
      </c>
      <c r="C304" s="0" t="n">
        <v>290.9003435</v>
      </c>
      <c r="E304" s="0" t="n">
        <v>2026</v>
      </c>
      <c r="F304" s="0" t="n">
        <v>10.819018</v>
      </c>
      <c r="G304" s="0" t="n">
        <v>227.051767</v>
      </c>
      <c r="I304" s="0" t="n">
        <v>2026</v>
      </c>
      <c r="J304" s="0" t="n">
        <v>13.3</v>
      </c>
      <c r="K304" s="0" t="n">
        <v>278.74</v>
      </c>
      <c r="M304" s="0" t="n">
        <v>2026</v>
      </c>
      <c r="N304" s="0" t="n">
        <v>12.85</v>
      </c>
      <c r="O304" s="0" t="n">
        <v>269.25</v>
      </c>
      <c r="Q304" s="0" t="n">
        <v>2027</v>
      </c>
      <c r="R304" s="0" t="n">
        <v>73</v>
      </c>
      <c r="T304" s="0" t="n">
        <v>2029</v>
      </c>
      <c r="U304" s="0" t="n">
        <v>1392</v>
      </c>
      <c r="W304" s="0" t="n">
        <v>2026</v>
      </c>
      <c r="X304" s="0" t="n">
        <v>1059.105</v>
      </c>
    </row>
    <row r="305" customFormat="false" ht="15" hidden="false" customHeight="false" outlineLevel="0" collapsed="false">
      <c r="A305" s="0" t="n">
        <v>2026</v>
      </c>
      <c r="B305" s="0" t="n">
        <v>4.336284081</v>
      </c>
      <c r="C305" s="0" t="n">
        <v>91.0619657</v>
      </c>
      <c r="E305" s="0" t="n">
        <v>2026</v>
      </c>
      <c r="F305" s="0" t="n">
        <v>59.157588</v>
      </c>
      <c r="G305" s="0" t="n">
        <v>1241.502222</v>
      </c>
      <c r="I305" s="0" t="n">
        <v>2026</v>
      </c>
      <c r="J305" s="0" t="n">
        <v>252.48</v>
      </c>
      <c r="K305" s="0" t="n">
        <v>5302.08</v>
      </c>
      <c r="M305" s="0" t="n">
        <v>2026</v>
      </c>
      <c r="N305" s="0" t="n">
        <v>10.28</v>
      </c>
      <c r="O305" s="0" t="n">
        <v>215.4</v>
      </c>
      <c r="Q305" s="0" t="n">
        <v>2027</v>
      </c>
      <c r="R305" s="0" t="n">
        <v>71</v>
      </c>
      <c r="T305" s="0" t="n">
        <v>2029</v>
      </c>
      <c r="U305" s="0" t="n">
        <v>187619</v>
      </c>
      <c r="W305" s="0" t="n">
        <v>2026</v>
      </c>
      <c r="X305" s="0" t="n">
        <v>1553.354</v>
      </c>
    </row>
    <row r="306" customFormat="false" ht="15" hidden="false" customHeight="false" outlineLevel="0" collapsed="false">
      <c r="A306" s="0" t="n">
        <v>2026</v>
      </c>
      <c r="B306" s="0" t="n">
        <v>9.69566621</v>
      </c>
      <c r="C306" s="0" t="n">
        <v>203.6089904</v>
      </c>
      <c r="E306" s="0" t="n">
        <v>2026</v>
      </c>
      <c r="F306" s="0" t="n">
        <v>54.093844</v>
      </c>
      <c r="G306" s="0" t="n">
        <v>1135.232686</v>
      </c>
      <c r="I306" s="0" t="n">
        <v>2026</v>
      </c>
      <c r="J306" s="0" t="n">
        <v>84.16</v>
      </c>
      <c r="K306" s="0" t="n">
        <v>1767.36</v>
      </c>
      <c r="M306" s="0" t="n">
        <v>2026</v>
      </c>
      <c r="N306" s="0" t="n">
        <v>5.14</v>
      </c>
      <c r="O306" s="0" t="n">
        <v>107.7</v>
      </c>
      <c r="Q306" s="0" t="n">
        <v>2027</v>
      </c>
      <c r="R306" s="0" t="n">
        <v>71</v>
      </c>
      <c r="T306" s="0" t="n">
        <v>2029</v>
      </c>
      <c r="U306" s="0" t="n">
        <v>5803</v>
      </c>
      <c r="W306" s="0" t="n">
        <v>2026</v>
      </c>
      <c r="X306" s="0" t="n">
        <v>1200.319</v>
      </c>
    </row>
    <row r="307" customFormat="false" ht="15" hidden="false" customHeight="false" outlineLevel="0" collapsed="false">
      <c r="A307" s="0" t="n">
        <v>2026</v>
      </c>
      <c r="B307" s="0" t="n">
        <v>444.3170823</v>
      </c>
      <c r="C307" s="0" t="n">
        <v>9330.658729</v>
      </c>
      <c r="E307" s="0" t="n">
        <v>2027</v>
      </c>
      <c r="F307" s="0" t="n">
        <v>262.11399</v>
      </c>
      <c r="G307" s="0" t="n">
        <v>5501.824045</v>
      </c>
      <c r="I307" s="0" t="n">
        <v>2026</v>
      </c>
      <c r="J307" s="0" t="n">
        <v>36.82</v>
      </c>
      <c r="K307" s="0" t="n">
        <v>773.22</v>
      </c>
      <c r="M307" s="0" t="n">
        <v>2026</v>
      </c>
      <c r="N307" s="0" t="n">
        <v>106.2</v>
      </c>
      <c r="O307" s="0" t="n">
        <v>2230.2</v>
      </c>
      <c r="Q307" s="0" t="n">
        <v>2027</v>
      </c>
      <c r="R307" s="0" t="n">
        <v>328</v>
      </c>
      <c r="T307" s="0" t="n">
        <v>2030</v>
      </c>
      <c r="U307" s="0" t="n">
        <v>211577</v>
      </c>
      <c r="W307" s="0" t="n">
        <v>2027</v>
      </c>
      <c r="X307" s="0" t="n">
        <v>158370.94</v>
      </c>
    </row>
    <row r="308" customFormat="false" ht="15" hidden="false" customHeight="false" outlineLevel="0" collapsed="false">
      <c r="A308" s="0" t="n">
        <v>2026</v>
      </c>
      <c r="B308" s="0" t="n">
        <v>112.0699068</v>
      </c>
      <c r="C308" s="0" t="n">
        <v>2353.468043</v>
      </c>
      <c r="E308" s="0" t="n">
        <v>2027</v>
      </c>
      <c r="F308" s="0" t="n">
        <v>70.38051</v>
      </c>
      <c r="G308" s="0" t="n">
        <v>1477.300705</v>
      </c>
      <c r="I308" s="0" t="n">
        <v>2026</v>
      </c>
      <c r="J308" s="0" t="n">
        <v>21.04</v>
      </c>
      <c r="K308" s="0" t="n">
        <v>441.84</v>
      </c>
      <c r="M308" s="0" t="n">
        <v>2026</v>
      </c>
      <c r="N308" s="0" t="n">
        <v>11.8</v>
      </c>
      <c r="O308" s="0" t="n">
        <v>247.8</v>
      </c>
      <c r="Q308" s="0" t="n">
        <v>2027</v>
      </c>
      <c r="R308" s="0" t="n">
        <v>311</v>
      </c>
      <c r="T308" s="0" t="n">
        <v>2030</v>
      </c>
      <c r="U308" s="0" t="n">
        <v>6544</v>
      </c>
      <c r="W308" s="0" t="n">
        <v>2027</v>
      </c>
      <c r="X308" s="0" t="n">
        <v>39592.735</v>
      </c>
    </row>
    <row r="309" customFormat="false" ht="15" hidden="false" customHeight="false" outlineLevel="0" collapsed="false">
      <c r="A309" s="0" t="n">
        <v>2026</v>
      </c>
      <c r="B309" s="0" t="n">
        <v>99.93896266</v>
      </c>
      <c r="C309" s="0" t="n">
        <v>2098.718216</v>
      </c>
      <c r="E309" s="0" t="n">
        <v>2027</v>
      </c>
      <c r="F309" s="0" t="n">
        <v>28.17087</v>
      </c>
      <c r="G309" s="0" t="n">
        <v>591.312085</v>
      </c>
      <c r="I309" s="0" t="n">
        <v>2026</v>
      </c>
      <c r="J309" s="0" t="n">
        <v>21.04</v>
      </c>
      <c r="K309" s="0" t="n">
        <v>441.84</v>
      </c>
      <c r="M309" s="0" t="n">
        <v>2026</v>
      </c>
      <c r="N309" s="0" t="n">
        <v>149.4</v>
      </c>
      <c r="O309" s="0" t="n">
        <v>3122.1</v>
      </c>
      <c r="Q309" s="0" t="n">
        <v>2027</v>
      </c>
      <c r="R309" s="0" t="n">
        <v>147</v>
      </c>
      <c r="T309" s="0" t="n">
        <v>2030</v>
      </c>
      <c r="U309" s="0" t="n">
        <v>408703</v>
      </c>
      <c r="W309" s="0" t="n">
        <v>2027</v>
      </c>
      <c r="X309" s="0" t="n">
        <v>12260.976</v>
      </c>
    </row>
    <row r="310" customFormat="false" ht="15" hidden="false" customHeight="false" outlineLevel="0" collapsed="false">
      <c r="A310" s="0" t="n">
        <v>2026</v>
      </c>
      <c r="B310" s="0" t="n">
        <v>69.50162571</v>
      </c>
      <c r="C310" s="0" t="n">
        <v>1459.53414</v>
      </c>
      <c r="E310" s="0" t="n">
        <v>2027</v>
      </c>
      <c r="F310" s="0" t="n">
        <v>3.95709</v>
      </c>
      <c r="G310" s="0" t="n">
        <v>83.060095</v>
      </c>
      <c r="I310" s="0" t="n">
        <v>2026</v>
      </c>
      <c r="J310" s="0" t="n">
        <v>10.52</v>
      </c>
      <c r="K310" s="0" t="n">
        <v>220.92</v>
      </c>
      <c r="M310" s="0" t="n">
        <v>2026</v>
      </c>
      <c r="N310" s="0" t="n">
        <v>16.6</v>
      </c>
      <c r="O310" s="0" t="n">
        <v>346.9</v>
      </c>
      <c r="Q310" s="0" t="n">
        <v>2027</v>
      </c>
      <c r="R310" s="0" t="n">
        <v>33</v>
      </c>
      <c r="T310" s="0" t="n">
        <v>2030</v>
      </c>
      <c r="U310" s="0" t="n">
        <v>12641</v>
      </c>
      <c r="W310" s="0" t="n">
        <v>2027</v>
      </c>
      <c r="X310" s="0" t="n">
        <v>21712.145</v>
      </c>
    </row>
    <row r="311" customFormat="false" ht="15" hidden="false" customHeight="false" outlineLevel="0" collapsed="false">
      <c r="A311" s="0" t="n">
        <v>2026</v>
      </c>
      <c r="B311" s="0" t="n">
        <v>51.69763277</v>
      </c>
      <c r="C311" s="0" t="n">
        <v>1085.650288</v>
      </c>
      <c r="E311" s="0" t="n">
        <v>2027</v>
      </c>
      <c r="F311" s="0" t="n">
        <v>94.59429</v>
      </c>
      <c r="G311" s="0" t="n">
        <v>1985.552695</v>
      </c>
      <c r="I311" s="0" t="n">
        <v>2026</v>
      </c>
      <c r="J311" s="0" t="n">
        <v>10.52</v>
      </c>
      <c r="K311" s="0" t="n">
        <v>220.92</v>
      </c>
      <c r="M311" s="0" t="n">
        <v>2026</v>
      </c>
      <c r="N311" s="0" t="n">
        <v>127.8</v>
      </c>
      <c r="O311" s="0" t="n">
        <v>2675.7</v>
      </c>
      <c r="Q311" s="0" t="n">
        <v>2027</v>
      </c>
      <c r="R311" s="0" t="n">
        <v>30</v>
      </c>
      <c r="T311" s="0" t="n">
        <v>2030</v>
      </c>
      <c r="U311" s="0" t="n">
        <v>202327</v>
      </c>
      <c r="W311" s="0" t="n">
        <v>2027</v>
      </c>
      <c r="X311" s="0" t="n">
        <v>9706.606</v>
      </c>
    </row>
    <row r="312" customFormat="false" ht="15" hidden="false" customHeight="false" outlineLevel="0" collapsed="false">
      <c r="A312" s="0" t="n">
        <v>2026</v>
      </c>
      <c r="B312" s="0" t="n">
        <v>22.97672568</v>
      </c>
      <c r="C312" s="0" t="n">
        <v>482.5112392</v>
      </c>
      <c r="E312" s="0" t="n">
        <v>2027</v>
      </c>
      <c r="F312" s="0" t="n">
        <v>4.42833</v>
      </c>
      <c r="G312" s="0" t="n">
        <v>92.951515</v>
      </c>
      <c r="I312" s="0" t="n">
        <v>2026</v>
      </c>
      <c r="J312" s="0" t="n">
        <v>21.04</v>
      </c>
      <c r="K312" s="0" t="n">
        <v>441.84</v>
      </c>
      <c r="M312" s="0" t="n">
        <v>2026</v>
      </c>
      <c r="N312" s="0" t="n">
        <v>14.2</v>
      </c>
      <c r="O312" s="0" t="n">
        <v>297.3</v>
      </c>
      <c r="Q312" s="0" t="n">
        <v>2027</v>
      </c>
      <c r="R312" s="0" t="n">
        <v>30</v>
      </c>
      <c r="T312" s="0" t="n">
        <v>2030</v>
      </c>
      <c r="U312" s="0" t="n">
        <v>6258</v>
      </c>
      <c r="W312" s="0" t="n">
        <v>2027</v>
      </c>
      <c r="X312" s="0" t="n">
        <v>3831.555</v>
      </c>
    </row>
    <row r="313" customFormat="false" ht="15" hidden="false" customHeight="false" outlineLevel="0" collapsed="false">
      <c r="A313" s="0" t="n">
        <v>2026</v>
      </c>
      <c r="B313" s="0" t="n">
        <v>84.86635808</v>
      </c>
      <c r="C313" s="0" t="n">
        <v>1782.19352</v>
      </c>
      <c r="E313" s="0" t="n">
        <v>2027</v>
      </c>
      <c r="F313" s="0" t="n">
        <v>24.21378</v>
      </c>
      <c r="G313" s="0" t="n">
        <v>508.25199</v>
      </c>
      <c r="I313" s="0" t="n">
        <v>2026</v>
      </c>
      <c r="J313" s="0" t="n">
        <v>36.82</v>
      </c>
      <c r="K313" s="0" t="n">
        <v>773.22</v>
      </c>
      <c r="M313" s="0" t="n">
        <v>2026</v>
      </c>
      <c r="N313" s="0" t="n">
        <v>43.2</v>
      </c>
      <c r="O313" s="0" t="n">
        <v>892.8</v>
      </c>
      <c r="Q313" s="0" t="n">
        <v>2027</v>
      </c>
      <c r="R313" s="0" t="n">
        <v>817</v>
      </c>
      <c r="T313" s="0" t="n">
        <v>2030</v>
      </c>
      <c r="U313" s="0" t="n">
        <v>261003</v>
      </c>
      <c r="W313" s="0" t="n">
        <v>2027</v>
      </c>
      <c r="X313" s="0" t="n">
        <v>5619.614</v>
      </c>
    </row>
    <row r="314" customFormat="false" ht="15" hidden="false" customHeight="false" outlineLevel="0" collapsed="false">
      <c r="A314" s="0" t="n">
        <v>2026</v>
      </c>
      <c r="B314" s="0" t="n">
        <v>26.5661336</v>
      </c>
      <c r="C314" s="0" t="n">
        <v>557.8888056</v>
      </c>
      <c r="E314" s="0" t="n">
        <v>2027</v>
      </c>
      <c r="F314" s="0" t="n">
        <v>22.14114</v>
      </c>
      <c r="G314" s="0" t="n">
        <v>464.74687</v>
      </c>
      <c r="I314" s="0" t="n">
        <v>2026</v>
      </c>
      <c r="J314" s="0" t="n">
        <v>15.78</v>
      </c>
      <c r="K314" s="0" t="n">
        <v>331.38</v>
      </c>
      <c r="M314" s="0" t="n">
        <v>2026</v>
      </c>
      <c r="N314" s="0" t="n">
        <v>4.8</v>
      </c>
      <c r="O314" s="0" t="n">
        <v>99.2</v>
      </c>
      <c r="Q314" s="0" t="n">
        <v>2027</v>
      </c>
      <c r="R314" s="0" t="n">
        <v>776</v>
      </c>
      <c r="T314" s="0" t="n">
        <v>2030</v>
      </c>
      <c r="U314" s="0" t="n">
        <v>8073</v>
      </c>
      <c r="W314" s="0" t="n">
        <v>2027</v>
      </c>
      <c r="X314" s="0" t="n">
        <v>4342.429</v>
      </c>
    </row>
    <row r="315" customFormat="false" ht="15" hidden="false" customHeight="false" outlineLevel="0" collapsed="false">
      <c r="A315" s="0" t="n">
        <v>2026</v>
      </c>
      <c r="B315" s="0" t="n">
        <v>59.40025124</v>
      </c>
      <c r="C315" s="0" t="n">
        <v>1247.405276</v>
      </c>
      <c r="E315" s="0" t="n">
        <v>2027</v>
      </c>
      <c r="F315" s="0" t="n">
        <v>352.569014</v>
      </c>
      <c r="G315" s="0" t="n">
        <v>7399.323753</v>
      </c>
      <c r="I315" s="0" t="n">
        <v>2026</v>
      </c>
      <c r="J315" s="0" t="n">
        <v>15.78</v>
      </c>
      <c r="K315" s="0" t="n">
        <v>331.38</v>
      </c>
      <c r="M315" s="0" t="n">
        <v>2026</v>
      </c>
      <c r="N315" s="0" t="n">
        <v>463.5</v>
      </c>
      <c r="O315" s="0" t="n">
        <v>9720.9</v>
      </c>
      <c r="Q315" s="0" t="n">
        <v>2027</v>
      </c>
      <c r="R315" s="0" t="n">
        <v>368</v>
      </c>
      <c r="T315" s="0" t="n">
        <v>2030</v>
      </c>
      <c r="U315" s="0" t="n">
        <v>297133</v>
      </c>
      <c r="W315" s="0" t="n">
        <v>2027</v>
      </c>
      <c r="X315" s="0" t="n">
        <v>59980.66</v>
      </c>
    </row>
    <row r="316" customFormat="false" ht="15" hidden="false" customHeight="false" outlineLevel="0" collapsed="false">
      <c r="A316" s="0" t="n">
        <v>2026</v>
      </c>
      <c r="B316" s="0" t="n">
        <v>196.1144978</v>
      </c>
      <c r="C316" s="0" t="n">
        <v>4118.404455</v>
      </c>
      <c r="E316" s="0" t="n">
        <v>2027</v>
      </c>
      <c r="F316" s="0" t="n">
        <v>94.668686</v>
      </c>
      <c r="G316" s="0" t="n">
        <v>1986.800397</v>
      </c>
      <c r="I316" s="0" t="n">
        <v>2026</v>
      </c>
      <c r="J316" s="0" t="n">
        <v>98.8</v>
      </c>
      <c r="K316" s="0" t="n">
        <v>2070.64</v>
      </c>
      <c r="M316" s="0" t="n">
        <v>2026</v>
      </c>
      <c r="N316" s="0" t="n">
        <v>51.5</v>
      </c>
      <c r="O316" s="0" t="n">
        <v>1080.1</v>
      </c>
      <c r="Q316" s="0" t="n">
        <v>2027</v>
      </c>
      <c r="R316" s="0" t="n">
        <v>82</v>
      </c>
      <c r="T316" s="0" t="n">
        <v>2030</v>
      </c>
      <c r="U316" s="0" t="n">
        <v>9189</v>
      </c>
      <c r="W316" s="0" t="n">
        <v>2027</v>
      </c>
      <c r="X316" s="0" t="n">
        <v>14995.165</v>
      </c>
    </row>
    <row r="317" customFormat="false" ht="15" hidden="false" customHeight="false" outlineLevel="0" collapsed="false">
      <c r="A317" s="0" t="n">
        <v>2026</v>
      </c>
      <c r="B317" s="0" t="n">
        <v>49.46587554</v>
      </c>
      <c r="C317" s="0" t="n">
        <v>1038.783386</v>
      </c>
      <c r="E317" s="0" t="n">
        <v>2027</v>
      </c>
      <c r="F317" s="0" t="n">
        <v>37.892582</v>
      </c>
      <c r="G317" s="0" t="n">
        <v>795.247089</v>
      </c>
      <c r="I317" s="0" t="n">
        <v>2026</v>
      </c>
      <c r="J317" s="0" t="n">
        <v>15.2</v>
      </c>
      <c r="K317" s="0" t="n">
        <v>318.56</v>
      </c>
      <c r="M317" s="0" t="n">
        <v>2026</v>
      </c>
      <c r="N317" s="0" t="n">
        <v>52.2</v>
      </c>
      <c r="O317" s="0" t="n">
        <v>1090.8</v>
      </c>
      <c r="Q317" s="0" t="n">
        <v>2027</v>
      </c>
      <c r="R317" s="0" t="n">
        <v>78</v>
      </c>
      <c r="T317" s="0" t="n">
        <v>2030</v>
      </c>
      <c r="U317" s="0" t="n">
        <v>87580</v>
      </c>
      <c r="W317" s="0" t="n">
        <v>2027</v>
      </c>
      <c r="X317" s="0" t="n">
        <v>4643.664</v>
      </c>
    </row>
    <row r="318" customFormat="false" ht="15" hidden="false" customHeight="false" outlineLevel="0" collapsed="false">
      <c r="A318" s="0" t="n">
        <v>2026</v>
      </c>
      <c r="B318" s="0" t="n">
        <v>44.11146961</v>
      </c>
      <c r="C318" s="0" t="n">
        <v>926.3408619</v>
      </c>
      <c r="E318" s="0" t="n">
        <v>2027</v>
      </c>
      <c r="F318" s="0" t="n">
        <v>5.322674</v>
      </c>
      <c r="G318" s="0" t="n">
        <v>111.706323</v>
      </c>
      <c r="I318" s="0" t="n">
        <v>2026</v>
      </c>
      <c r="J318" s="0" t="n">
        <v>11.4</v>
      </c>
      <c r="K318" s="0" t="n">
        <v>238.92</v>
      </c>
      <c r="M318" s="0" t="n">
        <v>2026</v>
      </c>
      <c r="N318" s="0" t="n">
        <v>5.8</v>
      </c>
      <c r="O318" s="0" t="n">
        <v>121.2</v>
      </c>
      <c r="Q318" s="0" t="n">
        <v>2027</v>
      </c>
      <c r="R318" s="0" t="n">
        <v>78</v>
      </c>
      <c r="T318" s="0" t="n">
        <v>2030</v>
      </c>
      <c r="U318" s="0" t="n">
        <v>2709</v>
      </c>
      <c r="W318" s="0" t="n">
        <v>2027</v>
      </c>
      <c r="X318" s="0" t="n">
        <v>8223.155</v>
      </c>
    </row>
    <row r="319" customFormat="false" ht="15" hidden="false" customHeight="false" outlineLevel="0" collapsed="false">
      <c r="A319" s="0" t="n">
        <v>2026</v>
      </c>
      <c r="B319" s="0" t="n">
        <v>30.67691288</v>
      </c>
      <c r="C319" s="0" t="n">
        <v>644.2151704</v>
      </c>
      <c r="E319" s="0" t="n">
        <v>2027</v>
      </c>
      <c r="F319" s="0" t="n">
        <v>127.238594</v>
      </c>
      <c r="G319" s="0" t="n">
        <v>2670.341163</v>
      </c>
      <c r="I319" s="0" t="n">
        <v>2026</v>
      </c>
      <c r="J319" s="0" t="n">
        <v>19</v>
      </c>
      <c r="K319" s="0" t="n">
        <v>398.2</v>
      </c>
      <c r="M319" s="0" t="n">
        <v>2027</v>
      </c>
      <c r="N319" s="0" t="n">
        <v>6.84</v>
      </c>
      <c r="O319" s="0" t="n">
        <v>142.12</v>
      </c>
      <c r="Q319" s="0" t="n">
        <v>2027</v>
      </c>
      <c r="R319" s="0" t="n">
        <v>55</v>
      </c>
      <c r="T319" s="0" t="n">
        <v>2030</v>
      </c>
      <c r="U319" s="0" t="n">
        <v>272275</v>
      </c>
      <c r="W319" s="0" t="n">
        <v>2027</v>
      </c>
      <c r="X319" s="0" t="n">
        <v>3676.234</v>
      </c>
    </row>
    <row r="320" customFormat="false" ht="15" hidden="false" customHeight="false" outlineLevel="0" collapsed="false">
      <c r="A320" s="0" t="n">
        <v>2026</v>
      </c>
      <c r="B320" s="0" t="n">
        <v>22.81851338</v>
      </c>
      <c r="C320" s="0" t="n">
        <v>479.1887811</v>
      </c>
      <c r="E320" s="0" t="n">
        <v>2027</v>
      </c>
      <c r="F320" s="0" t="n">
        <v>5.956538</v>
      </c>
      <c r="G320" s="0" t="n">
        <v>125.009151</v>
      </c>
      <c r="I320" s="0" t="n">
        <v>2026</v>
      </c>
      <c r="J320" s="0" t="n">
        <v>3.8</v>
      </c>
      <c r="K320" s="0" t="n">
        <v>79.64</v>
      </c>
      <c r="M320" s="0" t="n">
        <v>2027</v>
      </c>
      <c r="N320" s="0" t="n">
        <v>4.5</v>
      </c>
      <c r="O320" s="0" t="n">
        <v>93.5</v>
      </c>
      <c r="Q320" s="0" t="n">
        <v>2027</v>
      </c>
      <c r="R320" s="0" t="n">
        <v>52</v>
      </c>
      <c r="T320" s="0" t="n">
        <v>2030</v>
      </c>
      <c r="U320" s="0" t="n">
        <v>8421</v>
      </c>
      <c r="W320" s="0" t="n">
        <v>2027</v>
      </c>
      <c r="X320" s="0" t="n">
        <v>1451.145</v>
      </c>
    </row>
    <row r="321" customFormat="false" ht="15" hidden="false" customHeight="false" outlineLevel="0" collapsed="false">
      <c r="A321" s="0" t="n">
        <v>2026</v>
      </c>
      <c r="B321" s="0" t="n">
        <v>10.1415615</v>
      </c>
      <c r="C321" s="0" t="n">
        <v>212.9727916</v>
      </c>
      <c r="E321" s="0" t="n">
        <v>2027</v>
      </c>
      <c r="F321" s="0" t="n">
        <v>32.569908</v>
      </c>
      <c r="G321" s="0" t="n">
        <v>683.540766</v>
      </c>
      <c r="I321" s="0" t="n">
        <v>2026</v>
      </c>
      <c r="J321" s="0" t="n">
        <v>3.8</v>
      </c>
      <c r="K321" s="0" t="n">
        <v>79.64</v>
      </c>
      <c r="M321" s="0" t="n">
        <v>2027</v>
      </c>
      <c r="N321" s="0" t="n">
        <v>1.8</v>
      </c>
      <c r="O321" s="0" t="n">
        <v>37.4</v>
      </c>
      <c r="Q321" s="0" t="n">
        <v>2027</v>
      </c>
      <c r="R321" s="0" t="n">
        <v>25</v>
      </c>
      <c r="T321" s="0" t="n">
        <v>2030</v>
      </c>
      <c r="U321" s="0" t="n">
        <v>356386</v>
      </c>
      <c r="W321" s="0" t="n">
        <v>2027</v>
      </c>
      <c r="X321" s="0" t="n">
        <v>2128.346</v>
      </c>
    </row>
    <row r="322" customFormat="false" ht="15" hidden="false" customHeight="false" outlineLevel="0" collapsed="false">
      <c r="A322" s="0" t="n">
        <v>2026</v>
      </c>
      <c r="B322" s="0" t="n">
        <v>37.45866153</v>
      </c>
      <c r="C322" s="0" t="n">
        <v>786.6318921</v>
      </c>
      <c r="E322" s="0" t="n">
        <v>2027</v>
      </c>
      <c r="F322" s="0" t="n">
        <v>29.782004</v>
      </c>
      <c r="G322" s="0" t="n">
        <v>625.031358</v>
      </c>
      <c r="I322" s="0" t="n">
        <v>2026</v>
      </c>
      <c r="J322" s="0" t="n">
        <v>0</v>
      </c>
      <c r="K322" s="0" t="n">
        <v>0</v>
      </c>
      <c r="M322" s="0" t="n">
        <v>2027</v>
      </c>
      <c r="N322" s="0" t="n">
        <v>1.8</v>
      </c>
      <c r="O322" s="0" t="n">
        <v>37.4</v>
      </c>
      <c r="Q322" s="0" t="n">
        <v>2027</v>
      </c>
      <c r="R322" s="0" t="n">
        <v>5</v>
      </c>
      <c r="T322" s="0" t="n">
        <v>2030</v>
      </c>
      <c r="U322" s="0" t="n">
        <v>11022</v>
      </c>
      <c r="W322" s="0" t="n">
        <v>2027</v>
      </c>
      <c r="X322" s="0" t="n">
        <v>1644.631</v>
      </c>
    </row>
    <row r="323" customFormat="false" ht="15" hidden="false" customHeight="false" outlineLevel="0" collapsed="false">
      <c r="A323" s="0" t="n">
        <v>2026</v>
      </c>
      <c r="B323" s="0" t="n">
        <v>11.72586911</v>
      </c>
      <c r="C323" s="0" t="n">
        <v>246.2432513</v>
      </c>
      <c r="E323" s="0" t="n">
        <v>2027</v>
      </c>
      <c r="F323" s="0" t="n">
        <v>268.281378</v>
      </c>
      <c r="G323" s="0" t="n">
        <v>5633.908938</v>
      </c>
      <c r="I323" s="0" t="n">
        <v>2026</v>
      </c>
      <c r="J323" s="0" t="n">
        <v>7.6</v>
      </c>
      <c r="K323" s="0" t="n">
        <v>159.28</v>
      </c>
      <c r="M323" s="0" t="n">
        <v>2027</v>
      </c>
      <c r="N323" s="0" t="n">
        <v>1.08</v>
      </c>
      <c r="O323" s="0" t="n">
        <v>22.44</v>
      </c>
      <c r="Q323" s="0" t="n">
        <v>2027</v>
      </c>
      <c r="R323" s="0" t="n">
        <v>5</v>
      </c>
      <c r="T323" s="0" t="n">
        <v>2030</v>
      </c>
      <c r="U323" s="0" t="n">
        <v>311875</v>
      </c>
      <c r="W323" s="0" t="n">
        <v>2027</v>
      </c>
      <c r="X323" s="0" t="n">
        <v>116954.32</v>
      </c>
    </row>
    <row r="324" customFormat="false" ht="15" hidden="false" customHeight="false" outlineLevel="0" collapsed="false">
      <c r="A324" s="0" t="n">
        <v>2026</v>
      </c>
      <c r="B324" s="0" t="n">
        <v>26.21832675</v>
      </c>
      <c r="C324" s="0" t="n">
        <v>550.5848617</v>
      </c>
      <c r="E324" s="0" t="n">
        <v>2027</v>
      </c>
      <c r="F324" s="0" t="n">
        <v>72.036522</v>
      </c>
      <c r="G324" s="0" t="n">
        <v>1512.766962</v>
      </c>
      <c r="I324" s="0" t="n">
        <v>2026</v>
      </c>
      <c r="J324" s="0" t="n">
        <v>13.3</v>
      </c>
      <c r="K324" s="0" t="n">
        <v>278.74</v>
      </c>
      <c r="M324" s="0" t="n">
        <v>2027</v>
      </c>
      <c r="N324" s="0" t="n">
        <v>0.9</v>
      </c>
      <c r="O324" s="0" t="n">
        <v>18.7</v>
      </c>
      <c r="Q324" s="0" t="n">
        <v>2027</v>
      </c>
      <c r="R324" s="0" t="n">
        <v>5</v>
      </c>
      <c r="T324" s="0" t="n">
        <v>2030</v>
      </c>
      <c r="U324" s="0" t="n">
        <v>9645</v>
      </c>
      <c r="W324" s="0" t="n">
        <v>2027</v>
      </c>
      <c r="X324" s="0" t="n">
        <v>29238.58</v>
      </c>
    </row>
    <row r="325" customFormat="false" ht="15" hidden="false" customHeight="false" outlineLevel="0" collapsed="false">
      <c r="A325" s="0" t="n">
        <v>2026</v>
      </c>
      <c r="B325" s="0" t="n">
        <v>87.18576185</v>
      </c>
      <c r="C325" s="0" t="n">
        <v>1830.900999</v>
      </c>
      <c r="E325" s="0" t="n">
        <v>2027</v>
      </c>
      <c r="F325" s="0" t="n">
        <v>28.833714</v>
      </c>
      <c r="G325" s="0" t="n">
        <v>605.507994</v>
      </c>
      <c r="I325" s="0" t="n">
        <v>2026</v>
      </c>
      <c r="J325" s="0" t="n">
        <v>3.8</v>
      </c>
      <c r="K325" s="0" t="n">
        <v>79.64</v>
      </c>
      <c r="M325" s="0" t="n">
        <v>2027</v>
      </c>
      <c r="N325" s="0" t="n">
        <v>0.72</v>
      </c>
      <c r="O325" s="0" t="n">
        <v>14.96</v>
      </c>
      <c r="Q325" s="0" t="n">
        <v>2027</v>
      </c>
      <c r="R325" s="0" t="n">
        <v>146</v>
      </c>
      <c r="T325" s="0" t="n">
        <v>2030</v>
      </c>
      <c r="U325" s="0" t="n">
        <v>481829</v>
      </c>
      <c r="W325" s="0" t="n">
        <v>2027</v>
      </c>
      <c r="X325" s="0" t="n">
        <v>9054.528</v>
      </c>
    </row>
    <row r="326" customFormat="false" ht="15" hidden="false" customHeight="false" outlineLevel="0" collapsed="false">
      <c r="A326" s="0" t="n">
        <v>2026</v>
      </c>
      <c r="B326" s="0" t="n">
        <v>21.99082726</v>
      </c>
      <c r="C326" s="0" t="n">
        <v>461.8073724</v>
      </c>
      <c r="E326" s="0" t="n">
        <v>2027</v>
      </c>
      <c r="F326" s="0" t="n">
        <v>4.050198</v>
      </c>
      <c r="G326" s="0" t="n">
        <v>85.054158</v>
      </c>
      <c r="I326" s="0" t="n">
        <v>2026</v>
      </c>
      <c r="J326" s="0" t="n">
        <v>13.3</v>
      </c>
      <c r="K326" s="0" t="n">
        <v>278.74</v>
      </c>
      <c r="M326" s="0" t="n">
        <v>2027</v>
      </c>
      <c r="N326" s="0" t="n">
        <v>0.36</v>
      </c>
      <c r="O326" s="0" t="n">
        <v>7.48</v>
      </c>
      <c r="Q326" s="0" t="n">
        <v>2027</v>
      </c>
      <c r="R326" s="0" t="n">
        <v>138</v>
      </c>
      <c r="T326" s="0" t="n">
        <v>2030</v>
      </c>
      <c r="U326" s="0" t="n">
        <v>14604</v>
      </c>
      <c r="W326" s="0" t="n">
        <v>2027</v>
      </c>
      <c r="X326" s="0" t="n">
        <v>16034.06</v>
      </c>
    </row>
    <row r="327" customFormat="false" ht="15" hidden="false" customHeight="false" outlineLevel="0" collapsed="false">
      <c r="A327" s="0" t="n">
        <v>2026</v>
      </c>
      <c r="B327" s="0" t="n">
        <v>19.61044251</v>
      </c>
      <c r="C327" s="0" t="n">
        <v>411.8192927</v>
      </c>
      <c r="E327" s="0" t="n">
        <v>2027</v>
      </c>
      <c r="F327" s="0" t="n">
        <v>96.820038</v>
      </c>
      <c r="G327" s="0" t="n">
        <v>2033.220798</v>
      </c>
      <c r="I327" s="0" t="n">
        <v>2026</v>
      </c>
      <c r="J327" s="0" t="n">
        <v>26.88</v>
      </c>
      <c r="K327" s="0" t="n">
        <v>560.16</v>
      </c>
      <c r="M327" s="0" t="n">
        <v>2027</v>
      </c>
      <c r="N327" s="0" t="n">
        <v>17.86</v>
      </c>
      <c r="O327" s="0" t="n">
        <v>371.26</v>
      </c>
      <c r="Q327" s="0" t="n">
        <v>2027</v>
      </c>
      <c r="R327" s="0" t="n">
        <v>66</v>
      </c>
      <c r="T327" s="0" t="n">
        <v>2030</v>
      </c>
      <c r="U327" s="0" t="n">
        <v>20743</v>
      </c>
      <c r="W327" s="0" t="n">
        <v>2027</v>
      </c>
      <c r="X327" s="0" t="n">
        <v>7168.168</v>
      </c>
    </row>
    <row r="328" customFormat="false" ht="15" hidden="false" customHeight="false" outlineLevel="0" collapsed="false">
      <c r="A328" s="0" t="n">
        <v>2026</v>
      </c>
      <c r="B328" s="0" t="n">
        <v>13.63790056</v>
      </c>
      <c r="C328" s="0" t="n">
        <v>286.3959118</v>
      </c>
      <c r="E328" s="0" t="n">
        <v>2027</v>
      </c>
      <c r="F328" s="0" t="n">
        <v>4.532526</v>
      </c>
      <c r="G328" s="0" t="n">
        <v>95.183046</v>
      </c>
      <c r="I328" s="0" t="n">
        <v>2026</v>
      </c>
      <c r="J328" s="0" t="n">
        <v>8.96</v>
      </c>
      <c r="K328" s="0" t="n">
        <v>186.72</v>
      </c>
      <c r="M328" s="0" t="n">
        <v>2027</v>
      </c>
      <c r="N328" s="0" t="n">
        <v>11.75</v>
      </c>
      <c r="O328" s="0" t="n">
        <v>244.25</v>
      </c>
      <c r="Q328" s="0" t="n">
        <v>2027</v>
      </c>
      <c r="R328" s="0" t="n">
        <v>15</v>
      </c>
      <c r="T328" s="0" t="n">
        <v>2030</v>
      </c>
      <c r="U328" s="0" t="n">
        <v>642</v>
      </c>
      <c r="W328" s="0" t="n">
        <v>2027</v>
      </c>
      <c r="X328" s="0" t="n">
        <v>2829.54</v>
      </c>
    </row>
    <row r="329" customFormat="false" ht="15" hidden="false" customHeight="false" outlineLevel="0" collapsed="false">
      <c r="A329" s="0" t="n">
        <v>2026</v>
      </c>
      <c r="B329" s="0" t="n">
        <v>10.14432638</v>
      </c>
      <c r="C329" s="0" t="n">
        <v>213.030854</v>
      </c>
      <c r="E329" s="0" t="n">
        <v>2027</v>
      </c>
      <c r="F329" s="0" t="n">
        <v>24.783516</v>
      </c>
      <c r="G329" s="0" t="n">
        <v>520.453836</v>
      </c>
      <c r="I329" s="0" t="n">
        <v>2026</v>
      </c>
      <c r="J329" s="0" t="n">
        <v>3.92</v>
      </c>
      <c r="K329" s="0" t="n">
        <v>81.69</v>
      </c>
      <c r="M329" s="0" t="n">
        <v>2027</v>
      </c>
      <c r="N329" s="0" t="n">
        <v>4.7</v>
      </c>
      <c r="O329" s="0" t="n">
        <v>97.7</v>
      </c>
      <c r="Q329" s="0" t="n">
        <v>2027</v>
      </c>
      <c r="R329" s="0" t="n">
        <v>15</v>
      </c>
      <c r="T329" s="0" t="n">
        <v>2030</v>
      </c>
      <c r="U329" s="0" t="n">
        <v>335238</v>
      </c>
      <c r="W329" s="0" t="n">
        <v>2027</v>
      </c>
      <c r="X329" s="0" t="n">
        <v>4149.992</v>
      </c>
    </row>
    <row r="330" customFormat="false" ht="15" hidden="false" customHeight="false" outlineLevel="0" collapsed="false">
      <c r="A330" s="0" t="n">
        <v>2026</v>
      </c>
      <c r="B330" s="0" t="n">
        <v>4.508589502</v>
      </c>
      <c r="C330" s="0" t="n">
        <v>94.68037954</v>
      </c>
      <c r="E330" s="0" t="n">
        <v>2027</v>
      </c>
      <c r="F330" s="0" t="n">
        <v>22.662108</v>
      </c>
      <c r="G330" s="0" t="n">
        <v>475.904268</v>
      </c>
      <c r="I330" s="0" t="n">
        <v>2026</v>
      </c>
      <c r="J330" s="0" t="n">
        <v>2.24</v>
      </c>
      <c r="K330" s="0" t="n">
        <v>46.68</v>
      </c>
      <c r="M330" s="0" t="n">
        <v>2027</v>
      </c>
      <c r="N330" s="0" t="n">
        <v>4.7</v>
      </c>
      <c r="O330" s="0" t="n">
        <v>97.7</v>
      </c>
      <c r="Q330" s="0" t="n">
        <v>2027</v>
      </c>
      <c r="R330" s="0" t="n">
        <v>15</v>
      </c>
      <c r="T330" s="0" t="n">
        <v>2030</v>
      </c>
      <c r="U330" s="0" t="n">
        <v>10369</v>
      </c>
      <c r="W330" s="0" t="n">
        <v>2027</v>
      </c>
      <c r="X330" s="0" t="n">
        <v>3206.812</v>
      </c>
    </row>
    <row r="331" customFormat="false" ht="15" hidden="false" customHeight="false" outlineLevel="0" collapsed="false">
      <c r="A331" s="0" t="n">
        <v>2026</v>
      </c>
      <c r="B331" s="0" t="n">
        <v>16.65283281</v>
      </c>
      <c r="C331" s="0" t="n">
        <v>349.7094889</v>
      </c>
      <c r="E331" s="0" t="n">
        <v>2027</v>
      </c>
      <c r="F331" s="0" t="n">
        <v>588.985554</v>
      </c>
      <c r="G331" s="0" t="n">
        <v>12368.18269</v>
      </c>
      <c r="I331" s="0" t="n">
        <v>2026</v>
      </c>
      <c r="J331" s="0" t="n">
        <v>2.24</v>
      </c>
      <c r="K331" s="0" t="n">
        <v>46.68</v>
      </c>
      <c r="M331" s="0" t="n">
        <v>2027</v>
      </c>
      <c r="N331" s="0" t="n">
        <v>2.82</v>
      </c>
      <c r="O331" s="0" t="n">
        <v>58.62</v>
      </c>
      <c r="Q331" s="0" t="n">
        <v>2027</v>
      </c>
      <c r="R331" s="0" t="n">
        <v>277</v>
      </c>
      <c r="T331" s="0" t="n">
        <v>2030</v>
      </c>
      <c r="U331" s="0" t="n">
        <v>127667</v>
      </c>
      <c r="W331" s="0" t="n">
        <v>2027</v>
      </c>
      <c r="X331" s="0" t="n">
        <v>110718.98</v>
      </c>
    </row>
    <row r="332" customFormat="false" ht="15" hidden="false" customHeight="false" outlineLevel="0" collapsed="false">
      <c r="A332" s="0" t="n">
        <v>2026</v>
      </c>
      <c r="B332" s="0" t="n">
        <v>5.212918182</v>
      </c>
      <c r="C332" s="0" t="n">
        <v>109.4712818</v>
      </c>
      <c r="E332" s="0" t="n">
        <v>2027</v>
      </c>
      <c r="F332" s="0" t="n">
        <v>158.149146</v>
      </c>
      <c r="G332" s="0" t="n">
        <v>3320.994065</v>
      </c>
      <c r="I332" s="0" t="n">
        <v>2026</v>
      </c>
      <c r="J332" s="0" t="n">
        <v>1.12</v>
      </c>
      <c r="K332" s="0" t="n">
        <v>23.34</v>
      </c>
      <c r="M332" s="0" t="n">
        <v>2027</v>
      </c>
      <c r="N332" s="0" t="n">
        <v>2.35</v>
      </c>
      <c r="O332" s="0" t="n">
        <v>48.85</v>
      </c>
      <c r="Q332" s="0" t="n">
        <v>2027</v>
      </c>
      <c r="R332" s="0" t="n">
        <v>263</v>
      </c>
      <c r="T332" s="0" t="n">
        <v>2030</v>
      </c>
      <c r="U332" s="0" t="n">
        <v>3948</v>
      </c>
      <c r="W332" s="0" t="n">
        <v>2027</v>
      </c>
      <c r="X332" s="0" t="n">
        <v>27679.745</v>
      </c>
    </row>
    <row r="333" customFormat="false" ht="15" hidden="false" customHeight="false" outlineLevel="0" collapsed="false">
      <c r="A333" s="0" t="n">
        <v>2026</v>
      </c>
      <c r="B333" s="0" t="n">
        <v>11.65576649</v>
      </c>
      <c r="C333" s="0" t="n">
        <v>244.7710963</v>
      </c>
      <c r="E333" s="0" t="n">
        <v>2027</v>
      </c>
      <c r="F333" s="0" t="n">
        <v>63.301602</v>
      </c>
      <c r="G333" s="0" t="n">
        <v>1329.278405</v>
      </c>
      <c r="I333" s="0" t="n">
        <v>2026</v>
      </c>
      <c r="J333" s="0" t="n">
        <v>1.12</v>
      </c>
      <c r="K333" s="0" t="n">
        <v>23.34</v>
      </c>
      <c r="M333" s="0" t="n">
        <v>2027</v>
      </c>
      <c r="N333" s="0" t="n">
        <v>1.88</v>
      </c>
      <c r="O333" s="0" t="n">
        <v>39.08</v>
      </c>
      <c r="Q333" s="0" t="n">
        <v>2027</v>
      </c>
      <c r="R333" s="0" t="n">
        <v>125</v>
      </c>
      <c r="T333" s="0" t="n">
        <v>2030</v>
      </c>
      <c r="U333" s="0" t="n">
        <v>198699</v>
      </c>
      <c r="W333" s="0" t="n">
        <v>2027</v>
      </c>
      <c r="X333" s="0" t="n">
        <v>8571.792</v>
      </c>
    </row>
    <row r="334" customFormat="false" ht="15" hidden="false" customHeight="false" outlineLevel="0" collapsed="false">
      <c r="A334" s="0" t="n">
        <v>2026</v>
      </c>
      <c r="B334" s="0" t="n">
        <v>395.6033151</v>
      </c>
      <c r="C334" s="0" t="n">
        <v>8307.669618</v>
      </c>
      <c r="E334" s="0" t="n">
        <v>2027</v>
      </c>
      <c r="F334" s="0" t="n">
        <v>8.891814</v>
      </c>
      <c r="G334" s="0" t="n">
        <v>186.720335</v>
      </c>
      <c r="I334" s="0" t="n">
        <v>2026</v>
      </c>
      <c r="J334" s="0" t="n">
        <v>2.24</v>
      </c>
      <c r="K334" s="0" t="n">
        <v>46.68</v>
      </c>
      <c r="M334" s="0" t="n">
        <v>2027</v>
      </c>
      <c r="N334" s="0" t="n">
        <v>0.94</v>
      </c>
      <c r="O334" s="0" t="n">
        <v>19.54</v>
      </c>
      <c r="Q334" s="0" t="n">
        <v>2027</v>
      </c>
      <c r="R334" s="0" t="n">
        <v>28</v>
      </c>
      <c r="T334" s="0" t="n">
        <v>2030</v>
      </c>
      <c r="U334" s="0" t="n">
        <v>6146</v>
      </c>
      <c r="W334" s="0" t="n">
        <v>2027</v>
      </c>
      <c r="X334" s="0" t="n">
        <v>15179.215</v>
      </c>
    </row>
    <row r="335" customFormat="false" ht="15" hidden="false" customHeight="false" outlineLevel="0" collapsed="false">
      <c r="A335" s="0" t="n">
        <v>2026</v>
      </c>
      <c r="B335" s="0" t="n">
        <v>99.78285423</v>
      </c>
      <c r="C335" s="0" t="n">
        <v>2095.439939</v>
      </c>
      <c r="E335" s="0" t="n">
        <v>2027</v>
      </c>
      <c r="F335" s="0" t="n">
        <v>212.558934</v>
      </c>
      <c r="G335" s="0" t="n">
        <v>4463.552135</v>
      </c>
      <c r="I335" s="0" t="n">
        <v>2026</v>
      </c>
      <c r="J335" s="0" t="n">
        <v>3.92</v>
      </c>
      <c r="K335" s="0" t="n">
        <v>81.69</v>
      </c>
      <c r="M335" s="0" t="n">
        <v>2027</v>
      </c>
      <c r="N335" s="0" t="n">
        <v>67.26</v>
      </c>
      <c r="O335" s="0" t="n">
        <v>1410.18</v>
      </c>
      <c r="Q335" s="0" t="n">
        <v>2027</v>
      </c>
      <c r="R335" s="0" t="n">
        <v>26</v>
      </c>
      <c r="T335" s="0" t="n">
        <v>2030</v>
      </c>
      <c r="U335" s="0" t="n">
        <v>53668</v>
      </c>
      <c r="W335" s="0" t="n">
        <v>2027</v>
      </c>
      <c r="X335" s="0" t="n">
        <v>6786.002</v>
      </c>
    </row>
    <row r="336" customFormat="false" ht="15" hidden="false" customHeight="false" outlineLevel="0" collapsed="false">
      <c r="A336" s="0" t="n">
        <v>2026</v>
      </c>
      <c r="B336" s="0" t="n">
        <v>88.9819152</v>
      </c>
      <c r="C336" s="0" t="n">
        <v>1868.620219</v>
      </c>
      <c r="E336" s="0" t="n">
        <v>2027</v>
      </c>
      <c r="F336" s="0" t="n">
        <v>9.950718</v>
      </c>
      <c r="G336" s="0" t="n">
        <v>208.956395</v>
      </c>
      <c r="I336" s="0" t="n">
        <v>2026</v>
      </c>
      <c r="J336" s="0" t="n">
        <v>1.68</v>
      </c>
      <c r="K336" s="0" t="n">
        <v>35.01</v>
      </c>
      <c r="M336" s="0" t="n">
        <v>2027</v>
      </c>
      <c r="N336" s="0" t="n">
        <v>44.25</v>
      </c>
      <c r="O336" s="0" t="n">
        <v>927.75</v>
      </c>
      <c r="Q336" s="0" t="n">
        <v>2027</v>
      </c>
      <c r="R336" s="0" t="n">
        <v>26</v>
      </c>
      <c r="T336" s="0" t="n">
        <v>2030</v>
      </c>
      <c r="U336" s="0" t="n">
        <v>1660</v>
      </c>
      <c r="W336" s="0" t="n">
        <v>2027</v>
      </c>
      <c r="X336" s="0" t="n">
        <v>2678.685</v>
      </c>
    </row>
    <row r="337" customFormat="false" ht="15" hidden="false" customHeight="false" outlineLevel="0" collapsed="false">
      <c r="A337" s="0" t="n">
        <v>2026</v>
      </c>
      <c r="B337" s="0" t="n">
        <v>61.88164856</v>
      </c>
      <c r="C337" s="0" t="n">
        <v>1299.51462</v>
      </c>
      <c r="E337" s="0" t="n">
        <v>2027</v>
      </c>
      <c r="F337" s="0" t="n">
        <v>54.409788</v>
      </c>
      <c r="G337" s="0" t="n">
        <v>1142.55807</v>
      </c>
      <c r="I337" s="0" t="n">
        <v>2026</v>
      </c>
      <c r="J337" s="0" t="n">
        <v>1.68</v>
      </c>
      <c r="K337" s="0" t="n">
        <v>35.01</v>
      </c>
      <c r="M337" s="0" t="n">
        <v>2027</v>
      </c>
      <c r="N337" s="0" t="n">
        <v>17.7</v>
      </c>
      <c r="O337" s="0" t="n">
        <v>371.1</v>
      </c>
      <c r="Q337" s="0" t="n">
        <v>2027</v>
      </c>
      <c r="R337" s="0" t="n">
        <v>1333</v>
      </c>
      <c r="T337" s="0" t="n">
        <v>2030</v>
      </c>
      <c r="U337" s="0" t="n">
        <v>130336</v>
      </c>
      <c r="W337" s="0" t="n">
        <v>2027</v>
      </c>
      <c r="X337" s="0" t="n">
        <v>3928.738</v>
      </c>
    </row>
    <row r="338" customFormat="false" ht="15" hidden="false" customHeight="false" outlineLevel="0" collapsed="false">
      <c r="A338" s="0" t="n">
        <v>2026</v>
      </c>
      <c r="B338" s="0" t="n">
        <v>46.02963902</v>
      </c>
      <c r="C338" s="0" t="n">
        <v>966.6224194</v>
      </c>
      <c r="E338" s="0" t="n">
        <v>2027</v>
      </c>
      <c r="F338" s="0" t="n">
        <v>49.752444</v>
      </c>
      <c r="G338" s="0" t="n">
        <v>1044.75791</v>
      </c>
      <c r="I338" s="0" t="n">
        <v>2026</v>
      </c>
      <c r="J338" s="0" t="n">
        <v>8.84</v>
      </c>
      <c r="K338" s="0" t="n">
        <v>188.76</v>
      </c>
      <c r="M338" s="0" t="n">
        <v>2027</v>
      </c>
      <c r="N338" s="0" t="n">
        <v>17.7</v>
      </c>
      <c r="O338" s="0" t="n">
        <v>371.1</v>
      </c>
      <c r="Q338" s="0" t="n">
        <v>2027</v>
      </c>
      <c r="R338" s="0" t="n">
        <v>1267</v>
      </c>
      <c r="T338" s="0" t="n">
        <v>2030</v>
      </c>
      <c r="U338" s="0" t="n">
        <v>4031</v>
      </c>
      <c r="W338" s="0" t="n">
        <v>2027</v>
      </c>
      <c r="X338" s="0" t="n">
        <v>3035.843</v>
      </c>
    </row>
    <row r="339" customFormat="false" ht="15" hidden="false" customHeight="false" outlineLevel="0" collapsed="false">
      <c r="A339" s="0" t="n">
        <v>2026</v>
      </c>
      <c r="B339" s="0" t="n">
        <v>20.45761734</v>
      </c>
      <c r="C339" s="0" t="n">
        <v>429.6099642</v>
      </c>
      <c r="E339" s="0" t="n">
        <v>2027</v>
      </c>
      <c r="F339" s="0" t="n">
        <v>324.301819</v>
      </c>
      <c r="G339" s="0" t="n">
        <v>6800.573168</v>
      </c>
      <c r="I339" s="0" t="n">
        <v>2026</v>
      </c>
      <c r="J339" s="0" t="n">
        <v>1.36</v>
      </c>
      <c r="K339" s="0" t="n">
        <v>29.04</v>
      </c>
      <c r="M339" s="0" t="n">
        <v>2027</v>
      </c>
      <c r="N339" s="0" t="n">
        <v>10.62</v>
      </c>
      <c r="O339" s="0" t="n">
        <v>222.66</v>
      </c>
      <c r="Q339" s="0" t="n">
        <v>2027</v>
      </c>
      <c r="R339" s="0" t="n">
        <v>600</v>
      </c>
      <c r="T339" s="0" t="n">
        <v>2030</v>
      </c>
      <c r="U339" s="0" t="n">
        <v>153338</v>
      </c>
      <c r="W339" s="0" t="n">
        <v>2027</v>
      </c>
      <c r="X339" s="0" t="n">
        <v>45126.08</v>
      </c>
    </row>
    <row r="340" customFormat="false" ht="15" hidden="false" customHeight="false" outlineLevel="0" collapsed="false">
      <c r="A340" s="0" t="n">
        <v>2026</v>
      </c>
      <c r="B340" s="0" t="n">
        <v>75.56183171</v>
      </c>
      <c r="C340" s="0" t="n">
        <v>1586.798466</v>
      </c>
      <c r="E340" s="0" t="n">
        <v>2027</v>
      </c>
      <c r="F340" s="0" t="n">
        <v>87.078631</v>
      </c>
      <c r="G340" s="0" t="n">
        <v>1826.029232</v>
      </c>
      <c r="I340" s="0" t="n">
        <v>2026</v>
      </c>
      <c r="J340" s="0" t="n">
        <v>1.02</v>
      </c>
      <c r="K340" s="0" t="n">
        <v>21.78</v>
      </c>
      <c r="M340" s="0" t="n">
        <v>2027</v>
      </c>
      <c r="N340" s="0" t="n">
        <v>8.85</v>
      </c>
      <c r="O340" s="0" t="n">
        <v>185.55</v>
      </c>
      <c r="Q340" s="0" t="n">
        <v>2027</v>
      </c>
      <c r="R340" s="0" t="n">
        <v>133</v>
      </c>
      <c r="T340" s="0" t="n">
        <v>2030</v>
      </c>
      <c r="U340" s="0" t="n">
        <v>4742</v>
      </c>
      <c r="W340" s="0" t="n">
        <v>2027</v>
      </c>
      <c r="X340" s="0" t="n">
        <v>11281.52</v>
      </c>
    </row>
    <row r="341" customFormat="false" ht="15" hidden="false" customHeight="false" outlineLevel="0" collapsed="false">
      <c r="A341" s="0" t="n">
        <v>2026</v>
      </c>
      <c r="B341" s="0" t="n">
        <v>23.65349193</v>
      </c>
      <c r="C341" s="0" t="n">
        <v>496.7233306</v>
      </c>
      <c r="E341" s="0" t="n">
        <v>2027</v>
      </c>
      <c r="F341" s="0" t="n">
        <v>34.854547</v>
      </c>
      <c r="G341" s="0" t="n">
        <v>730.895984</v>
      </c>
      <c r="I341" s="0" t="n">
        <v>2026</v>
      </c>
      <c r="J341" s="0" t="n">
        <v>1.7</v>
      </c>
      <c r="K341" s="0" t="n">
        <v>36.3</v>
      </c>
      <c r="M341" s="0" t="n">
        <v>2027</v>
      </c>
      <c r="N341" s="0" t="n">
        <v>7.08</v>
      </c>
      <c r="O341" s="0" t="n">
        <v>148.44</v>
      </c>
      <c r="Q341" s="0" t="n">
        <v>2027</v>
      </c>
      <c r="R341" s="0" t="n">
        <v>129</v>
      </c>
      <c r="T341" s="0" t="n">
        <v>2030</v>
      </c>
      <c r="U341" s="0" t="n">
        <v>774350</v>
      </c>
      <c r="W341" s="0" t="n">
        <v>2027</v>
      </c>
      <c r="X341" s="0" t="n">
        <v>3493.632</v>
      </c>
    </row>
    <row r="342" customFormat="false" ht="15" hidden="false" customHeight="false" outlineLevel="0" collapsed="false">
      <c r="A342" s="0" t="n">
        <v>2026</v>
      </c>
      <c r="B342" s="0" t="n">
        <v>52.88776247</v>
      </c>
      <c r="C342" s="0" t="n">
        <v>1110.643012</v>
      </c>
      <c r="E342" s="0" t="n">
        <v>2027</v>
      </c>
      <c r="F342" s="0" t="n">
        <v>4.895929</v>
      </c>
      <c r="G342" s="0" t="n">
        <v>102.667088</v>
      </c>
      <c r="I342" s="0" t="n">
        <v>2026</v>
      </c>
      <c r="J342" s="0" t="n">
        <v>0.34</v>
      </c>
      <c r="K342" s="0" t="n">
        <v>7.26</v>
      </c>
      <c r="M342" s="0" t="n">
        <v>2027</v>
      </c>
      <c r="N342" s="0" t="n">
        <v>3.54</v>
      </c>
      <c r="O342" s="0" t="n">
        <v>74.22</v>
      </c>
      <c r="Q342" s="0" t="n">
        <v>2027</v>
      </c>
      <c r="R342" s="0" t="n">
        <v>129</v>
      </c>
      <c r="T342" s="0" t="n">
        <v>2030</v>
      </c>
      <c r="U342" s="0" t="n">
        <v>23949</v>
      </c>
      <c r="W342" s="0" t="n">
        <v>2027</v>
      </c>
      <c r="X342" s="0" t="n">
        <v>6186.64</v>
      </c>
    </row>
    <row r="343" customFormat="false" ht="15" hidden="false" customHeight="false" outlineLevel="0" collapsed="false">
      <c r="A343" s="0" t="n">
        <v>2027</v>
      </c>
      <c r="B343" s="0" t="n">
        <v>186.7960679</v>
      </c>
      <c r="C343" s="0" t="n">
        <v>3922.717426</v>
      </c>
      <c r="E343" s="0" t="n">
        <v>2027</v>
      </c>
      <c r="F343" s="0" t="n">
        <v>117.037249</v>
      </c>
      <c r="G343" s="0" t="n">
        <v>2454.258128</v>
      </c>
      <c r="I343" s="0" t="n">
        <v>2026</v>
      </c>
      <c r="J343" s="0" t="n">
        <v>0.34</v>
      </c>
      <c r="K343" s="0" t="n">
        <v>7.26</v>
      </c>
      <c r="M343" s="0" t="n">
        <v>2027</v>
      </c>
      <c r="N343" s="0" t="n">
        <v>7.6</v>
      </c>
      <c r="O343" s="0" t="n">
        <v>155.04</v>
      </c>
      <c r="Q343" s="0" t="n">
        <v>2027</v>
      </c>
      <c r="R343" s="0" t="n">
        <v>283</v>
      </c>
      <c r="T343" s="0" t="n">
        <v>2030</v>
      </c>
      <c r="U343" s="0" t="n">
        <v>153338</v>
      </c>
      <c r="W343" s="0" t="n">
        <v>2027</v>
      </c>
      <c r="X343" s="0" t="n">
        <v>2765.792</v>
      </c>
    </row>
    <row r="344" customFormat="false" ht="15" hidden="false" customHeight="false" outlineLevel="0" collapsed="false">
      <c r="A344" s="0" t="n">
        <v>2027</v>
      </c>
      <c r="B344" s="0" t="n">
        <v>47.11549196</v>
      </c>
      <c r="C344" s="0" t="n">
        <v>989.4253312</v>
      </c>
      <c r="E344" s="0" t="n">
        <v>2027</v>
      </c>
      <c r="F344" s="0" t="n">
        <v>5.478973</v>
      </c>
      <c r="G344" s="0" t="n">
        <v>114.893456</v>
      </c>
      <c r="I344" s="0" t="n">
        <v>2026</v>
      </c>
      <c r="J344" s="0" t="n">
        <v>0</v>
      </c>
      <c r="K344" s="0" t="n">
        <v>0</v>
      </c>
      <c r="M344" s="0" t="n">
        <v>2027</v>
      </c>
      <c r="N344" s="0" t="n">
        <v>5</v>
      </c>
      <c r="O344" s="0" t="n">
        <v>102</v>
      </c>
      <c r="Q344" s="0" t="n">
        <v>2027</v>
      </c>
      <c r="R344" s="0" t="n">
        <v>269</v>
      </c>
      <c r="T344" s="0" t="n">
        <v>2030</v>
      </c>
      <c r="U344" s="0" t="n">
        <v>4742</v>
      </c>
      <c r="W344" s="0" t="n">
        <v>2027</v>
      </c>
      <c r="X344" s="0" t="n">
        <v>1091.76</v>
      </c>
    </row>
    <row r="345" customFormat="false" ht="15" hidden="false" customHeight="false" outlineLevel="0" collapsed="false">
      <c r="A345" s="0" t="n">
        <v>2027</v>
      </c>
      <c r="B345" s="0" t="n">
        <v>42.01550199</v>
      </c>
      <c r="C345" s="0" t="n">
        <v>882.3255418</v>
      </c>
      <c r="E345" s="0" t="n">
        <v>2027</v>
      </c>
      <c r="F345" s="0" t="n">
        <v>29.958618</v>
      </c>
      <c r="G345" s="0" t="n">
        <v>628.228896</v>
      </c>
      <c r="I345" s="0" t="n">
        <v>2026</v>
      </c>
      <c r="J345" s="0" t="n">
        <v>0.68</v>
      </c>
      <c r="K345" s="0" t="n">
        <v>14.52</v>
      </c>
      <c r="M345" s="0" t="n">
        <v>2027</v>
      </c>
      <c r="N345" s="0" t="n">
        <v>2</v>
      </c>
      <c r="O345" s="0" t="n">
        <v>40.8</v>
      </c>
      <c r="Q345" s="0" t="n">
        <v>2027</v>
      </c>
      <c r="R345" s="0" t="n">
        <v>127</v>
      </c>
      <c r="T345" s="0" t="n">
        <v>2030</v>
      </c>
      <c r="U345" s="0" t="n">
        <v>260672</v>
      </c>
      <c r="W345" s="0" t="n">
        <v>2027</v>
      </c>
      <c r="X345" s="0" t="n">
        <v>1601.248</v>
      </c>
    </row>
    <row r="346" customFormat="false" ht="15" hidden="false" customHeight="false" outlineLevel="0" collapsed="false">
      <c r="A346" s="0" t="n">
        <v>2027</v>
      </c>
      <c r="B346" s="0" t="n">
        <v>29.21929161</v>
      </c>
      <c r="C346" s="0" t="n">
        <v>613.6051238</v>
      </c>
      <c r="E346" s="0" t="n">
        <v>2027</v>
      </c>
      <c r="F346" s="0" t="n">
        <v>27.394234</v>
      </c>
      <c r="G346" s="0" t="n">
        <v>574.454048</v>
      </c>
      <c r="I346" s="0" t="n">
        <v>2026</v>
      </c>
      <c r="J346" s="0" t="n">
        <v>1.19</v>
      </c>
      <c r="K346" s="0" t="n">
        <v>25.41</v>
      </c>
      <c r="M346" s="0" t="n">
        <v>2027</v>
      </c>
      <c r="N346" s="0" t="n">
        <v>2</v>
      </c>
      <c r="O346" s="0" t="n">
        <v>40.8</v>
      </c>
      <c r="Q346" s="0" t="n">
        <v>2027</v>
      </c>
      <c r="R346" s="0" t="n">
        <v>28</v>
      </c>
      <c r="T346" s="0" t="n">
        <v>2030</v>
      </c>
      <c r="U346" s="0" t="n">
        <v>8062</v>
      </c>
      <c r="W346" s="0" t="n">
        <v>2027</v>
      </c>
      <c r="X346" s="0" t="n">
        <v>1237.328</v>
      </c>
    </row>
    <row r="347" customFormat="false" ht="15" hidden="false" customHeight="false" outlineLevel="0" collapsed="false">
      <c r="A347" s="0" t="n">
        <v>2027</v>
      </c>
      <c r="B347" s="0" t="n">
        <v>21.73428596</v>
      </c>
      <c r="C347" s="0" t="n">
        <v>456.4200051</v>
      </c>
      <c r="E347" s="0" t="n">
        <v>2027</v>
      </c>
      <c r="F347" s="0" t="n">
        <v>103.817698</v>
      </c>
      <c r="G347" s="0" t="n">
        <v>2174.00427</v>
      </c>
      <c r="I347" s="0" t="n">
        <v>2026</v>
      </c>
      <c r="J347" s="0" t="n">
        <v>0.34</v>
      </c>
      <c r="K347" s="0" t="n">
        <v>7.26</v>
      </c>
      <c r="M347" s="0" t="n">
        <v>2027</v>
      </c>
      <c r="N347" s="0" t="n">
        <v>1.2</v>
      </c>
      <c r="O347" s="0" t="n">
        <v>24.48</v>
      </c>
      <c r="Q347" s="0" t="n">
        <v>2027</v>
      </c>
      <c r="R347" s="0" t="n">
        <v>27</v>
      </c>
      <c r="T347" s="0" t="n">
        <v>2030</v>
      </c>
      <c r="U347" s="0" t="n">
        <v>53668</v>
      </c>
      <c r="W347" s="0" t="n">
        <v>2027</v>
      </c>
      <c r="X347" s="0" t="n">
        <v>71189.02</v>
      </c>
    </row>
    <row r="348" customFormat="false" ht="15" hidden="false" customHeight="false" outlineLevel="0" collapsed="false">
      <c r="A348" s="0" t="n">
        <v>2027</v>
      </c>
      <c r="B348" s="0" t="n">
        <v>9.659682647</v>
      </c>
      <c r="C348" s="0" t="n">
        <v>202.8533356</v>
      </c>
      <c r="E348" s="0" t="n">
        <v>2027</v>
      </c>
      <c r="F348" s="0" t="n">
        <v>27.876202</v>
      </c>
      <c r="G348" s="0" t="n">
        <v>583.74423</v>
      </c>
      <c r="I348" s="0" t="n">
        <v>2026</v>
      </c>
      <c r="J348" s="0" t="n">
        <v>1.19</v>
      </c>
      <c r="K348" s="0" t="n">
        <v>25.41</v>
      </c>
      <c r="M348" s="0" t="n">
        <v>2027</v>
      </c>
      <c r="N348" s="0" t="n">
        <v>1</v>
      </c>
      <c r="O348" s="0" t="n">
        <v>20.4</v>
      </c>
      <c r="Q348" s="0" t="n">
        <v>2027</v>
      </c>
      <c r="R348" s="0" t="n">
        <v>27</v>
      </c>
      <c r="T348" s="0" t="n">
        <v>2030</v>
      </c>
      <c r="U348" s="0" t="n">
        <v>1660</v>
      </c>
      <c r="W348" s="0" t="n">
        <v>2027</v>
      </c>
      <c r="X348" s="0" t="n">
        <v>17797.255</v>
      </c>
    </row>
    <row r="349" customFormat="false" ht="15" hidden="false" customHeight="false" outlineLevel="0" collapsed="false">
      <c r="A349" s="0" t="n">
        <v>2027</v>
      </c>
      <c r="B349" s="0" t="n">
        <v>35.67880376</v>
      </c>
      <c r="C349" s="0" t="n">
        <v>749.254879</v>
      </c>
      <c r="E349" s="0" t="n">
        <v>2027</v>
      </c>
      <c r="F349" s="0" t="n">
        <v>11.157874</v>
      </c>
      <c r="G349" s="0" t="n">
        <v>233.65251</v>
      </c>
      <c r="I349" s="0" t="n">
        <v>2026</v>
      </c>
      <c r="J349" s="0" t="n">
        <v>120.96</v>
      </c>
      <c r="K349" s="0" t="n">
        <v>2536.8</v>
      </c>
      <c r="M349" s="0" t="n">
        <v>2027</v>
      </c>
      <c r="N349" s="0" t="n">
        <v>0.8</v>
      </c>
      <c r="O349" s="0" t="n">
        <v>16.32</v>
      </c>
      <c r="Q349" s="0" t="n">
        <v>2027</v>
      </c>
      <c r="R349" s="0" t="n">
        <v>516</v>
      </c>
      <c r="T349" s="0" t="n">
        <v>2030</v>
      </c>
      <c r="U349" s="0" t="n">
        <v>92002</v>
      </c>
      <c r="W349" s="0" t="n">
        <v>2027</v>
      </c>
      <c r="X349" s="0" t="n">
        <v>5511.408</v>
      </c>
    </row>
    <row r="350" customFormat="false" ht="15" hidden="false" customHeight="false" outlineLevel="0" collapsed="false">
      <c r="A350" s="0" t="n">
        <v>2027</v>
      </c>
      <c r="B350" s="0" t="n">
        <v>11.16871148</v>
      </c>
      <c r="C350" s="0" t="n">
        <v>234.542941</v>
      </c>
      <c r="E350" s="0" t="n">
        <v>2027</v>
      </c>
      <c r="F350" s="0" t="n">
        <v>1.567318</v>
      </c>
      <c r="G350" s="0" t="n">
        <v>32.82057</v>
      </c>
      <c r="I350" s="0" t="n">
        <v>2026</v>
      </c>
      <c r="J350" s="0" t="n">
        <v>40.32</v>
      </c>
      <c r="K350" s="0" t="n">
        <v>845.6</v>
      </c>
      <c r="M350" s="0" t="n">
        <v>2027</v>
      </c>
      <c r="N350" s="0" t="n">
        <v>0.4</v>
      </c>
      <c r="O350" s="0" t="n">
        <v>8.16</v>
      </c>
      <c r="Q350" s="0" t="n">
        <v>2027</v>
      </c>
      <c r="R350" s="0" t="n">
        <v>490</v>
      </c>
      <c r="T350" s="0" t="n">
        <v>2030</v>
      </c>
      <c r="U350" s="0" t="n">
        <v>2845</v>
      </c>
      <c r="W350" s="0" t="n">
        <v>2027</v>
      </c>
      <c r="X350" s="0" t="n">
        <v>9759.785</v>
      </c>
    </row>
    <row r="351" customFormat="false" ht="15" hidden="false" customHeight="false" outlineLevel="0" collapsed="false">
      <c r="A351" s="0" t="n">
        <v>2027</v>
      </c>
      <c r="B351" s="0" t="n">
        <v>24.97255633</v>
      </c>
      <c r="C351" s="0" t="n">
        <v>524.4236829</v>
      </c>
      <c r="E351" s="0" t="n">
        <v>2027</v>
      </c>
      <c r="F351" s="0" t="n">
        <v>37.466758</v>
      </c>
      <c r="G351" s="0" t="n">
        <v>784.57617</v>
      </c>
      <c r="I351" s="0" t="n">
        <v>2026</v>
      </c>
      <c r="J351" s="0" t="n">
        <v>17.64</v>
      </c>
      <c r="K351" s="0" t="n">
        <v>369.95</v>
      </c>
      <c r="M351" s="0" t="n">
        <v>2027</v>
      </c>
      <c r="N351" s="0" t="n">
        <v>20.9</v>
      </c>
      <c r="O351" s="0" t="n">
        <v>432.44</v>
      </c>
      <c r="Q351" s="0" t="n">
        <v>2027</v>
      </c>
      <c r="R351" s="0" t="n">
        <v>232</v>
      </c>
      <c r="T351" s="0" t="n">
        <v>2030</v>
      </c>
      <c r="U351" s="0" t="n">
        <v>92002</v>
      </c>
      <c r="W351" s="0" t="n">
        <v>2027</v>
      </c>
      <c r="X351" s="0" t="n">
        <v>4363.198</v>
      </c>
    </row>
    <row r="352" customFormat="false" ht="15" hidden="false" customHeight="false" outlineLevel="0" collapsed="false">
      <c r="A352" s="0" t="n">
        <v>2027</v>
      </c>
      <c r="B352" s="0" t="n">
        <v>188.228023</v>
      </c>
      <c r="C352" s="0" t="n">
        <v>3952.788483</v>
      </c>
      <c r="E352" s="0" t="n">
        <v>2027</v>
      </c>
      <c r="F352" s="0" t="n">
        <v>1.753966</v>
      </c>
      <c r="G352" s="0" t="n">
        <v>36.72909</v>
      </c>
      <c r="I352" s="0" t="n">
        <v>2026</v>
      </c>
      <c r="J352" s="0" t="n">
        <v>10.08</v>
      </c>
      <c r="K352" s="0" t="n">
        <v>211.4</v>
      </c>
      <c r="M352" s="0" t="n">
        <v>2027</v>
      </c>
      <c r="N352" s="0" t="n">
        <v>13.75</v>
      </c>
      <c r="O352" s="0" t="n">
        <v>284.5</v>
      </c>
      <c r="Q352" s="0" t="n">
        <v>2027</v>
      </c>
      <c r="R352" s="0" t="n">
        <v>52</v>
      </c>
      <c r="T352" s="0" t="n">
        <v>2030</v>
      </c>
      <c r="U352" s="0" t="n">
        <v>2845</v>
      </c>
      <c r="W352" s="0" t="n">
        <v>2027</v>
      </c>
      <c r="X352" s="0" t="n">
        <v>1722.315</v>
      </c>
    </row>
    <row r="353" customFormat="false" ht="15" hidden="false" customHeight="false" outlineLevel="0" collapsed="false">
      <c r="A353" s="0" t="n">
        <v>2027</v>
      </c>
      <c r="B353" s="0" t="n">
        <v>47.47667337</v>
      </c>
      <c r="C353" s="0" t="n">
        <v>997.0101408</v>
      </c>
      <c r="E353" s="0" t="n">
        <v>2027</v>
      </c>
      <c r="F353" s="0" t="n">
        <v>9.590556</v>
      </c>
      <c r="G353" s="0" t="n">
        <v>200.83194</v>
      </c>
      <c r="I353" s="0" t="n">
        <v>2026</v>
      </c>
      <c r="J353" s="0" t="n">
        <v>10.08</v>
      </c>
      <c r="K353" s="0" t="n">
        <v>211.4</v>
      </c>
      <c r="M353" s="0" t="n">
        <v>2027</v>
      </c>
      <c r="N353" s="0" t="n">
        <v>5.5</v>
      </c>
      <c r="O353" s="0" t="n">
        <v>113.8</v>
      </c>
      <c r="Q353" s="0" t="n">
        <v>2027</v>
      </c>
      <c r="R353" s="0" t="n">
        <v>50</v>
      </c>
      <c r="T353" s="0" t="n">
        <v>2030</v>
      </c>
      <c r="U353" s="0" t="n">
        <v>46001</v>
      </c>
      <c r="W353" s="0" t="n">
        <v>2027</v>
      </c>
      <c r="X353" s="0" t="n">
        <v>2526.062</v>
      </c>
    </row>
    <row r="354" customFormat="false" ht="15" hidden="false" customHeight="false" outlineLevel="0" collapsed="false">
      <c r="A354" s="0" t="n">
        <v>2027</v>
      </c>
      <c r="B354" s="0" t="n">
        <v>42.33758752</v>
      </c>
      <c r="C354" s="0" t="n">
        <v>889.089338</v>
      </c>
      <c r="E354" s="0" t="n">
        <v>2027</v>
      </c>
      <c r="F354" s="0" t="n">
        <v>8.769628</v>
      </c>
      <c r="G354" s="0" t="n">
        <v>183.64122</v>
      </c>
      <c r="I354" s="0" t="n">
        <v>2026</v>
      </c>
      <c r="J354" s="0" t="n">
        <v>5.04</v>
      </c>
      <c r="K354" s="0" t="n">
        <v>105.7</v>
      </c>
      <c r="M354" s="0" t="n">
        <v>2027</v>
      </c>
      <c r="N354" s="0" t="n">
        <v>5.5</v>
      </c>
      <c r="O354" s="0" t="n">
        <v>113.8</v>
      </c>
      <c r="Q354" s="0" t="n">
        <v>2027</v>
      </c>
      <c r="R354" s="0" t="n">
        <v>50</v>
      </c>
      <c r="T354" s="0" t="n">
        <v>2030</v>
      </c>
      <c r="U354" s="0" t="n">
        <v>1422</v>
      </c>
      <c r="W354" s="0" t="n">
        <v>2027</v>
      </c>
      <c r="X354" s="0" t="n">
        <v>1951.957</v>
      </c>
    </row>
    <row r="355" customFormat="false" ht="15" hidden="false" customHeight="false" outlineLevel="0" collapsed="false">
      <c r="A355" s="0" t="n">
        <v>2027</v>
      </c>
      <c r="B355" s="0" t="n">
        <v>29.44328301</v>
      </c>
      <c r="C355" s="0" t="n">
        <v>618.3089432</v>
      </c>
      <c r="E355" s="0" t="n">
        <v>2027</v>
      </c>
      <c r="F355" s="0" t="n">
        <v>384.433852</v>
      </c>
      <c r="G355" s="0" t="n">
        <v>8066.429555</v>
      </c>
      <c r="I355" s="0" t="n">
        <v>2026</v>
      </c>
      <c r="J355" s="0" t="n">
        <v>5.04</v>
      </c>
      <c r="K355" s="0" t="n">
        <v>105.7</v>
      </c>
      <c r="M355" s="0" t="n">
        <v>2027</v>
      </c>
      <c r="N355" s="0" t="n">
        <v>3.3</v>
      </c>
      <c r="O355" s="0" t="n">
        <v>68.28</v>
      </c>
      <c r="Q355" s="0" t="n">
        <v>2027</v>
      </c>
      <c r="R355" s="0" t="n">
        <v>84</v>
      </c>
      <c r="T355" s="0" t="n">
        <v>2030</v>
      </c>
      <c r="U355" s="0" t="n">
        <v>383342</v>
      </c>
      <c r="W355" s="0" t="n">
        <v>2027</v>
      </c>
      <c r="X355" s="0" t="n">
        <v>40913.18</v>
      </c>
    </row>
    <row r="356" customFormat="false" ht="15" hidden="false" customHeight="false" outlineLevel="0" collapsed="false">
      <c r="A356" s="0" t="n">
        <v>2027</v>
      </c>
      <c r="B356" s="0" t="n">
        <v>21.90089825</v>
      </c>
      <c r="C356" s="0" t="n">
        <v>459.9188632</v>
      </c>
      <c r="E356" s="0" t="n">
        <v>2027</v>
      </c>
      <c r="F356" s="0" t="n">
        <v>103.224748</v>
      </c>
      <c r="G356" s="0" t="n">
        <v>2165.925695</v>
      </c>
      <c r="I356" s="0" t="n">
        <v>2026</v>
      </c>
      <c r="J356" s="0" t="n">
        <v>10.08</v>
      </c>
      <c r="K356" s="0" t="n">
        <v>211.4</v>
      </c>
      <c r="M356" s="0" t="n">
        <v>2027</v>
      </c>
      <c r="N356" s="0" t="n">
        <v>2.75</v>
      </c>
      <c r="O356" s="0" t="n">
        <v>56.9</v>
      </c>
      <c r="Q356" s="0" t="n">
        <v>2027</v>
      </c>
      <c r="R356" s="0" t="n">
        <v>80</v>
      </c>
      <c r="T356" s="0" t="n">
        <v>2030</v>
      </c>
      <c r="U356" s="0" t="n">
        <v>11856</v>
      </c>
      <c r="W356" s="0" t="n">
        <v>2027</v>
      </c>
      <c r="X356" s="0" t="n">
        <v>10228.295</v>
      </c>
    </row>
    <row r="357" customFormat="false" ht="15" hidden="false" customHeight="false" outlineLevel="0" collapsed="false">
      <c r="A357" s="0" t="n">
        <v>2027</v>
      </c>
      <c r="B357" s="0" t="n">
        <v>9.733732554</v>
      </c>
      <c r="C357" s="0" t="n">
        <v>204.4083836</v>
      </c>
      <c r="E357" s="0" t="n">
        <v>2027</v>
      </c>
      <c r="F357" s="0" t="n">
        <v>41.317276</v>
      </c>
      <c r="G357" s="0" t="n">
        <v>866.944715</v>
      </c>
      <c r="I357" s="0" t="n">
        <v>2026</v>
      </c>
      <c r="J357" s="0" t="n">
        <v>17.64</v>
      </c>
      <c r="K357" s="0" t="n">
        <v>369.95</v>
      </c>
      <c r="M357" s="0" t="n">
        <v>2027</v>
      </c>
      <c r="N357" s="0" t="n">
        <v>2.2</v>
      </c>
      <c r="O357" s="0" t="n">
        <v>45.52</v>
      </c>
      <c r="Q357" s="0" t="n">
        <v>2027</v>
      </c>
      <c r="R357" s="0" t="n">
        <v>38</v>
      </c>
      <c r="T357" s="0" t="n">
        <v>2030</v>
      </c>
      <c r="U357" s="0" t="n">
        <v>145670</v>
      </c>
      <c r="W357" s="0" t="n">
        <v>2027</v>
      </c>
      <c r="X357" s="0" t="n">
        <v>3167.472</v>
      </c>
    </row>
    <row r="358" customFormat="false" ht="15" hidden="false" customHeight="false" outlineLevel="0" collapsed="false">
      <c r="A358" s="0" t="n">
        <v>2027</v>
      </c>
      <c r="B358" s="0" t="n">
        <v>35.95231296</v>
      </c>
      <c r="C358" s="0" t="n">
        <v>754.9985722</v>
      </c>
      <c r="E358" s="0" t="n">
        <v>2027</v>
      </c>
      <c r="F358" s="0" t="n">
        <v>5.803732</v>
      </c>
      <c r="G358" s="0" t="n">
        <v>121.777505</v>
      </c>
      <c r="I358" s="0" t="n">
        <v>2026</v>
      </c>
      <c r="J358" s="0" t="n">
        <v>7.56</v>
      </c>
      <c r="K358" s="0" t="n">
        <v>158.55</v>
      </c>
      <c r="M358" s="0" t="n">
        <v>2027</v>
      </c>
      <c r="N358" s="0" t="n">
        <v>1.1</v>
      </c>
      <c r="O358" s="0" t="n">
        <v>22.76</v>
      </c>
      <c r="Q358" s="0" t="n">
        <v>2027</v>
      </c>
      <c r="R358" s="0" t="n">
        <v>8</v>
      </c>
      <c r="T358" s="0" t="n">
        <v>2030</v>
      </c>
      <c r="U358" s="0" t="n">
        <v>4504</v>
      </c>
      <c r="W358" s="0" t="n">
        <v>2027</v>
      </c>
      <c r="X358" s="0" t="n">
        <v>5609.065</v>
      </c>
    </row>
    <row r="359" customFormat="false" ht="15" hidden="false" customHeight="false" outlineLevel="0" collapsed="false">
      <c r="A359" s="0" t="n">
        <v>2027</v>
      </c>
      <c r="B359" s="0" t="n">
        <v>11.25432941</v>
      </c>
      <c r="C359" s="0" t="n">
        <v>236.3409175</v>
      </c>
      <c r="E359" s="0" t="n">
        <v>2027</v>
      </c>
      <c r="F359" s="0" t="n">
        <v>138.738292</v>
      </c>
      <c r="G359" s="0" t="n">
        <v>2911.092905</v>
      </c>
      <c r="I359" s="0" t="n">
        <v>2026</v>
      </c>
      <c r="J359" s="0" t="n">
        <v>7.56</v>
      </c>
      <c r="K359" s="0" t="n">
        <v>158.55</v>
      </c>
      <c r="M359" s="0" t="n">
        <v>2027</v>
      </c>
      <c r="N359" s="0" t="n">
        <v>12.92</v>
      </c>
      <c r="O359" s="0" t="n">
        <v>269.42</v>
      </c>
      <c r="Q359" s="0" t="n">
        <v>2027</v>
      </c>
      <c r="R359" s="0" t="n">
        <v>8</v>
      </c>
      <c r="T359" s="0" t="n">
        <v>2030</v>
      </c>
      <c r="U359" s="0" t="n">
        <v>168670</v>
      </c>
      <c r="W359" s="0" t="n">
        <v>2027</v>
      </c>
      <c r="X359" s="0" t="n">
        <v>2507.582</v>
      </c>
    </row>
    <row r="360" customFormat="false" ht="15" hidden="false" customHeight="false" outlineLevel="0" collapsed="false">
      <c r="A360" s="0" t="n">
        <v>2027</v>
      </c>
      <c r="B360" s="0" t="n">
        <v>25.16399279</v>
      </c>
      <c r="C360" s="0" t="n">
        <v>528.4438486</v>
      </c>
      <c r="E360" s="0" t="n">
        <v>2027</v>
      </c>
      <c r="F360" s="0" t="n">
        <v>6.494884</v>
      </c>
      <c r="G360" s="0" t="n">
        <v>136.279685</v>
      </c>
      <c r="I360" s="0" t="n">
        <v>2026</v>
      </c>
      <c r="J360" s="0" t="n">
        <v>15.08</v>
      </c>
      <c r="K360" s="0" t="n">
        <v>316.68</v>
      </c>
      <c r="M360" s="0" t="n">
        <v>2027</v>
      </c>
      <c r="N360" s="0" t="n">
        <v>8.5</v>
      </c>
      <c r="O360" s="0" t="n">
        <v>177.25</v>
      </c>
      <c r="Q360" s="0" t="n">
        <v>2027</v>
      </c>
      <c r="R360" s="0" t="n">
        <v>8</v>
      </c>
      <c r="T360" s="0" t="n">
        <v>2030</v>
      </c>
      <c r="U360" s="0" t="n">
        <v>5216</v>
      </c>
      <c r="W360" s="0" t="n">
        <v>2027</v>
      </c>
      <c r="X360" s="0" t="n">
        <v>989.835</v>
      </c>
    </row>
    <row r="361" customFormat="false" ht="15" hidden="false" customHeight="false" outlineLevel="0" collapsed="false">
      <c r="A361" s="0" t="n">
        <v>2027</v>
      </c>
      <c r="B361" s="0" t="n">
        <v>153.2438797</v>
      </c>
      <c r="C361" s="0" t="n">
        <v>3218.121473</v>
      </c>
      <c r="E361" s="0" t="n">
        <v>2027</v>
      </c>
      <c r="F361" s="0" t="n">
        <v>35.513544</v>
      </c>
      <c r="G361" s="0" t="n">
        <v>745.16721</v>
      </c>
      <c r="I361" s="0" t="n">
        <v>2026</v>
      </c>
      <c r="J361" s="0" t="n">
        <v>2.32</v>
      </c>
      <c r="K361" s="0" t="n">
        <v>48.72</v>
      </c>
      <c r="M361" s="0" t="n">
        <v>2027</v>
      </c>
      <c r="N361" s="0" t="n">
        <v>3.4</v>
      </c>
      <c r="O361" s="0" t="n">
        <v>70.9</v>
      </c>
      <c r="Q361" s="0" t="n">
        <v>2027</v>
      </c>
      <c r="R361" s="0" t="n">
        <v>214</v>
      </c>
      <c r="T361" s="0" t="n">
        <v>2030</v>
      </c>
      <c r="U361" s="0" t="n">
        <v>161003</v>
      </c>
      <c r="W361" s="0" t="n">
        <v>2027</v>
      </c>
      <c r="X361" s="0" t="n">
        <v>1451.758</v>
      </c>
    </row>
    <row r="362" customFormat="false" ht="15" hidden="false" customHeight="false" outlineLevel="0" collapsed="false">
      <c r="A362" s="0" t="n">
        <v>2027</v>
      </c>
      <c r="B362" s="0" t="n">
        <v>38.65263794</v>
      </c>
      <c r="C362" s="0" t="n">
        <v>811.7053966</v>
      </c>
      <c r="E362" s="0" t="n">
        <v>2027</v>
      </c>
      <c r="F362" s="0" t="n">
        <v>32.473672</v>
      </c>
      <c r="G362" s="0" t="n">
        <v>681.38273</v>
      </c>
      <c r="I362" s="0" t="n">
        <v>2026</v>
      </c>
      <c r="J362" s="0" t="n">
        <v>1.74</v>
      </c>
      <c r="K362" s="0" t="n">
        <v>36.54</v>
      </c>
      <c r="M362" s="0" t="n">
        <v>2027</v>
      </c>
      <c r="N362" s="0" t="n">
        <v>3.4</v>
      </c>
      <c r="O362" s="0" t="n">
        <v>70.9</v>
      </c>
      <c r="Q362" s="0" t="n">
        <v>2027</v>
      </c>
      <c r="R362" s="0" t="n">
        <v>204</v>
      </c>
      <c r="T362" s="0" t="n">
        <v>2030</v>
      </c>
      <c r="U362" s="0" t="n">
        <v>4980</v>
      </c>
      <c r="W362" s="0" t="n">
        <v>2027</v>
      </c>
      <c r="X362" s="0" t="n">
        <v>1121.813</v>
      </c>
    </row>
    <row r="363" customFormat="false" ht="15" hidden="false" customHeight="false" outlineLevel="0" collapsed="false">
      <c r="A363" s="0" t="n">
        <v>2027</v>
      </c>
      <c r="B363" s="0" t="n">
        <v>34.46870485</v>
      </c>
      <c r="C363" s="0" t="n">
        <v>723.8428018</v>
      </c>
      <c r="E363" s="0" t="n">
        <v>2027</v>
      </c>
      <c r="F363" s="0" t="n">
        <v>557.120716</v>
      </c>
      <c r="G363" s="0" t="n">
        <v>11697.99319</v>
      </c>
      <c r="I363" s="0" t="n">
        <v>2026</v>
      </c>
      <c r="J363" s="0" t="n">
        <v>2.9</v>
      </c>
      <c r="K363" s="0" t="n">
        <v>60.9</v>
      </c>
      <c r="M363" s="0" t="n">
        <v>2027</v>
      </c>
      <c r="N363" s="0" t="n">
        <v>2.04</v>
      </c>
      <c r="O363" s="0" t="n">
        <v>42.54</v>
      </c>
      <c r="Q363" s="0" t="n">
        <v>2027</v>
      </c>
      <c r="R363" s="0" t="n">
        <v>96</v>
      </c>
      <c r="T363" s="0" t="n">
        <v>2030</v>
      </c>
      <c r="U363" s="0" t="n">
        <v>153338</v>
      </c>
      <c r="W363" s="0" t="n">
        <v>2027</v>
      </c>
      <c r="X363" s="0" t="n">
        <v>127142.16</v>
      </c>
    </row>
    <row r="364" customFormat="false" ht="15" hidden="false" customHeight="false" outlineLevel="0" collapsed="false">
      <c r="A364" s="0" t="n">
        <v>2027</v>
      </c>
      <c r="B364" s="0" t="n">
        <v>23.97094145</v>
      </c>
      <c r="C364" s="0" t="n">
        <v>503.3897705</v>
      </c>
      <c r="E364" s="0" t="n">
        <v>2027</v>
      </c>
      <c r="F364" s="0" t="n">
        <v>149.593084</v>
      </c>
      <c r="G364" s="0" t="n">
        <v>3141.040761</v>
      </c>
      <c r="I364" s="0" t="n">
        <v>2026</v>
      </c>
      <c r="J364" s="0" t="n">
        <v>0.58</v>
      </c>
      <c r="K364" s="0" t="n">
        <v>12.18</v>
      </c>
      <c r="M364" s="0" t="n">
        <v>2027</v>
      </c>
      <c r="N364" s="0" t="n">
        <v>1.7</v>
      </c>
      <c r="O364" s="0" t="n">
        <v>35.45</v>
      </c>
      <c r="Q364" s="0" t="n">
        <v>2027</v>
      </c>
      <c r="R364" s="0" t="n">
        <v>21</v>
      </c>
      <c r="T364" s="0" t="n">
        <v>2030</v>
      </c>
      <c r="U364" s="0" t="n">
        <v>4742</v>
      </c>
      <c r="W364" s="0" t="n">
        <v>2027</v>
      </c>
      <c r="X364" s="0" t="n">
        <v>31785.54</v>
      </c>
    </row>
    <row r="365" customFormat="false" ht="15" hidden="false" customHeight="false" outlineLevel="0" collapsed="false">
      <c r="A365" s="0" t="n">
        <v>2027</v>
      </c>
      <c r="B365" s="0" t="n">
        <v>17.83038765</v>
      </c>
      <c r="C365" s="0" t="n">
        <v>374.4381406</v>
      </c>
      <c r="E365" s="0" t="n">
        <v>2027</v>
      </c>
      <c r="F365" s="0" t="n">
        <v>59.876908</v>
      </c>
      <c r="G365" s="0" t="n">
        <v>1257.249357</v>
      </c>
      <c r="I365" s="0" t="n">
        <v>2026</v>
      </c>
      <c r="J365" s="0" t="n">
        <v>0.58</v>
      </c>
      <c r="K365" s="0" t="n">
        <v>12.18</v>
      </c>
      <c r="M365" s="0" t="n">
        <v>2027</v>
      </c>
      <c r="N365" s="0" t="n">
        <v>1.36</v>
      </c>
      <c r="O365" s="0" t="n">
        <v>28.36</v>
      </c>
      <c r="Q365" s="0" t="n">
        <v>2027</v>
      </c>
      <c r="R365" s="0" t="n">
        <v>20</v>
      </c>
      <c r="T365" s="0" t="n">
        <v>2030</v>
      </c>
      <c r="U365" s="0" t="n">
        <v>115004</v>
      </c>
      <c r="W365" s="0" t="n">
        <v>2027</v>
      </c>
      <c r="X365" s="0" t="n">
        <v>9843.264</v>
      </c>
    </row>
    <row r="366" customFormat="false" ht="15" hidden="false" customHeight="false" outlineLevel="0" collapsed="false">
      <c r="A366" s="0" t="n">
        <v>2027</v>
      </c>
      <c r="B366" s="0" t="n">
        <v>7.924616732</v>
      </c>
      <c r="C366" s="0" t="n">
        <v>166.4169514</v>
      </c>
      <c r="E366" s="0" t="n">
        <v>2027</v>
      </c>
      <c r="F366" s="0" t="n">
        <v>8.410756</v>
      </c>
      <c r="G366" s="0" t="n">
        <v>176.602599</v>
      </c>
      <c r="I366" s="0" t="n">
        <v>2026</v>
      </c>
      <c r="J366" s="0" t="n">
        <v>0</v>
      </c>
      <c r="K366" s="0" t="n">
        <v>0</v>
      </c>
      <c r="M366" s="0" t="n">
        <v>2027</v>
      </c>
      <c r="N366" s="0" t="n">
        <v>0.68</v>
      </c>
      <c r="O366" s="0" t="n">
        <v>14.18</v>
      </c>
      <c r="Q366" s="0" t="n">
        <v>2027</v>
      </c>
      <c r="R366" s="0" t="n">
        <v>20</v>
      </c>
      <c r="T366" s="0" t="n">
        <v>2030</v>
      </c>
      <c r="U366" s="0" t="n">
        <v>3557</v>
      </c>
      <c r="W366" s="0" t="n">
        <v>2027</v>
      </c>
      <c r="X366" s="0" t="n">
        <v>17430.78</v>
      </c>
    </row>
    <row r="367" customFormat="false" ht="15" hidden="false" customHeight="false" outlineLevel="0" collapsed="false">
      <c r="A367" s="0" t="n">
        <v>2027</v>
      </c>
      <c r="B367" s="0" t="n">
        <v>29.27020023</v>
      </c>
      <c r="C367" s="0" t="n">
        <v>614.6742049</v>
      </c>
      <c r="E367" s="0" t="n">
        <v>2027</v>
      </c>
      <c r="F367" s="0" t="n">
        <v>201.059236</v>
      </c>
      <c r="G367" s="0" t="n">
        <v>4221.687519</v>
      </c>
      <c r="I367" s="0" t="n">
        <v>2026</v>
      </c>
      <c r="J367" s="0" t="n">
        <v>1.16</v>
      </c>
      <c r="K367" s="0" t="n">
        <v>24.36</v>
      </c>
      <c r="M367" s="0" t="n">
        <v>2027</v>
      </c>
      <c r="N367" s="0" t="n">
        <v>2.28</v>
      </c>
      <c r="O367" s="0" t="n">
        <v>45.98</v>
      </c>
      <c r="Q367" s="0" t="n">
        <v>2027</v>
      </c>
      <c r="R367" s="0" t="n">
        <v>122</v>
      </c>
      <c r="T367" s="0" t="n">
        <v>2030</v>
      </c>
      <c r="U367" s="0" t="n">
        <v>99669</v>
      </c>
      <c r="W367" s="0" t="n">
        <v>2027</v>
      </c>
      <c r="X367" s="0" t="n">
        <v>7792.584</v>
      </c>
    </row>
    <row r="368" customFormat="false" ht="15" hidden="false" customHeight="false" outlineLevel="0" collapsed="false">
      <c r="A368" s="0" t="n">
        <v>2027</v>
      </c>
      <c r="B368" s="0" t="n">
        <v>9.162594783</v>
      </c>
      <c r="C368" s="0" t="n">
        <v>192.4144904</v>
      </c>
      <c r="E368" s="0" t="n">
        <v>2027</v>
      </c>
      <c r="F368" s="0" t="n">
        <v>9.412372</v>
      </c>
      <c r="G368" s="0" t="n">
        <v>197.633763</v>
      </c>
      <c r="I368" s="0" t="n">
        <v>2026</v>
      </c>
      <c r="J368" s="0" t="n">
        <v>2.03</v>
      </c>
      <c r="K368" s="0" t="n">
        <v>42.63</v>
      </c>
      <c r="M368" s="0" t="n">
        <v>2027</v>
      </c>
      <c r="N368" s="0" t="n">
        <v>1.5</v>
      </c>
      <c r="O368" s="0" t="n">
        <v>30.25</v>
      </c>
      <c r="Q368" s="0" t="n">
        <v>2027</v>
      </c>
      <c r="R368" s="0" t="n">
        <v>116</v>
      </c>
      <c r="T368" s="0" t="n">
        <v>2030</v>
      </c>
      <c r="U368" s="0" t="n">
        <v>3082</v>
      </c>
      <c r="W368" s="0" t="n">
        <v>2027</v>
      </c>
      <c r="X368" s="0" t="n">
        <v>3076.02</v>
      </c>
    </row>
    <row r="369" customFormat="false" ht="15" hidden="false" customHeight="false" outlineLevel="0" collapsed="false">
      <c r="A369" s="0" t="n">
        <v>2027</v>
      </c>
      <c r="B369" s="0" t="n">
        <v>20.487002</v>
      </c>
      <c r="C369" s="0" t="n">
        <v>430.227042</v>
      </c>
      <c r="E369" s="0" t="n">
        <v>2027</v>
      </c>
      <c r="F369" s="0" t="n">
        <v>51.466152</v>
      </c>
      <c r="G369" s="0" t="n">
        <v>1080.646758</v>
      </c>
      <c r="I369" s="0" t="n">
        <v>2026</v>
      </c>
      <c r="J369" s="0" t="n">
        <v>0.58</v>
      </c>
      <c r="K369" s="0" t="n">
        <v>12.18</v>
      </c>
      <c r="M369" s="0" t="n">
        <v>2027</v>
      </c>
      <c r="N369" s="0" t="n">
        <v>0.6</v>
      </c>
      <c r="O369" s="0" t="n">
        <v>12.1</v>
      </c>
      <c r="Q369" s="0" t="n">
        <v>2027</v>
      </c>
      <c r="R369" s="0" t="n">
        <v>55</v>
      </c>
      <c r="T369" s="0" t="n">
        <v>2030</v>
      </c>
      <c r="U369" s="0" t="n">
        <v>84335</v>
      </c>
      <c r="W369" s="0" t="n">
        <v>2027</v>
      </c>
      <c r="X369" s="0" t="n">
        <v>4511.496</v>
      </c>
    </row>
    <row r="370" customFormat="false" ht="15" hidden="false" customHeight="false" outlineLevel="0" collapsed="false">
      <c r="A370" s="0" t="n">
        <v>2027</v>
      </c>
      <c r="B370" s="0" t="n">
        <v>279.7990798</v>
      </c>
      <c r="C370" s="0" t="n">
        <v>5875.780676</v>
      </c>
      <c r="E370" s="0" t="n">
        <v>2027</v>
      </c>
      <c r="F370" s="0" t="n">
        <v>47.060776</v>
      </c>
      <c r="G370" s="0" t="n">
        <v>988.146054</v>
      </c>
      <c r="I370" s="0" t="n">
        <v>2026</v>
      </c>
      <c r="J370" s="0" t="n">
        <v>2.03</v>
      </c>
      <c r="K370" s="0" t="n">
        <v>42.63</v>
      </c>
      <c r="M370" s="0" t="n">
        <v>2027</v>
      </c>
      <c r="N370" s="0" t="n">
        <v>0.6</v>
      </c>
      <c r="O370" s="0" t="n">
        <v>12.1</v>
      </c>
      <c r="Q370" s="0" t="n">
        <v>2027</v>
      </c>
      <c r="R370" s="0" t="n">
        <v>12</v>
      </c>
      <c r="T370" s="0" t="n">
        <v>2030</v>
      </c>
      <c r="U370" s="0" t="n">
        <v>2609</v>
      </c>
      <c r="W370" s="0" t="n">
        <v>2027</v>
      </c>
      <c r="X370" s="0" t="n">
        <v>3486.156</v>
      </c>
    </row>
    <row r="371" customFormat="false" ht="15" hidden="false" customHeight="false" outlineLevel="0" collapsed="false">
      <c r="A371" s="0" t="n">
        <v>2027</v>
      </c>
      <c r="B371" s="0" t="n">
        <v>70.57360169</v>
      </c>
      <c r="C371" s="0" t="n">
        <v>1482.045636</v>
      </c>
      <c r="E371" s="0" t="n">
        <v>2027</v>
      </c>
      <c r="F371" s="0" t="n">
        <v>356.680606</v>
      </c>
      <c r="G371" s="0" t="n">
        <v>7485.153236</v>
      </c>
      <c r="I371" s="0" t="n">
        <v>2026</v>
      </c>
      <c r="J371" s="0" t="n">
        <v>96.96</v>
      </c>
      <c r="K371" s="0" t="n">
        <v>2033.28</v>
      </c>
      <c r="M371" s="0" t="n">
        <v>2027</v>
      </c>
      <c r="N371" s="0" t="n">
        <v>0.36</v>
      </c>
      <c r="O371" s="0" t="n">
        <v>7.26</v>
      </c>
      <c r="Q371" s="0" t="n">
        <v>2027</v>
      </c>
      <c r="R371" s="0" t="n">
        <v>13</v>
      </c>
      <c r="T371" s="0" t="n">
        <v>2030</v>
      </c>
      <c r="U371" s="0" t="n">
        <v>644016</v>
      </c>
      <c r="W371" s="0" t="n">
        <v>2027</v>
      </c>
      <c r="X371" s="0" t="n">
        <v>64838.98</v>
      </c>
    </row>
    <row r="372" customFormat="false" ht="15" hidden="false" customHeight="false" outlineLevel="0" collapsed="false">
      <c r="A372" s="0" t="n">
        <v>2027</v>
      </c>
      <c r="B372" s="0" t="n">
        <v>62.93440181</v>
      </c>
      <c r="C372" s="0" t="n">
        <v>1321.622438</v>
      </c>
      <c r="E372" s="0" t="n">
        <v>2027</v>
      </c>
      <c r="F372" s="0" t="n">
        <v>95.772694</v>
      </c>
      <c r="G372" s="0" t="n">
        <v>2009.846564</v>
      </c>
      <c r="I372" s="0" t="n">
        <v>2026</v>
      </c>
      <c r="J372" s="0" t="n">
        <v>32.32</v>
      </c>
      <c r="K372" s="0" t="n">
        <v>677.76</v>
      </c>
      <c r="M372" s="0" t="n">
        <v>2027</v>
      </c>
      <c r="N372" s="0" t="n">
        <v>0.3</v>
      </c>
      <c r="O372" s="0" t="n">
        <v>6.05</v>
      </c>
      <c r="Q372" s="0" t="n">
        <v>2027</v>
      </c>
      <c r="R372" s="0" t="n">
        <v>13</v>
      </c>
      <c r="T372" s="0" t="n">
        <v>2030</v>
      </c>
      <c r="U372" s="0" t="n">
        <v>19918</v>
      </c>
      <c r="W372" s="0" t="n">
        <v>2027</v>
      </c>
      <c r="X372" s="0" t="n">
        <v>16209.745</v>
      </c>
    </row>
    <row r="373" customFormat="false" ht="15" hidden="false" customHeight="false" outlineLevel="0" collapsed="false">
      <c r="A373" s="0" t="n">
        <v>2027</v>
      </c>
      <c r="B373" s="0" t="n">
        <v>43.76714668</v>
      </c>
      <c r="C373" s="0" t="n">
        <v>919.1100804</v>
      </c>
      <c r="E373" s="0" t="n">
        <v>2027</v>
      </c>
      <c r="F373" s="0" t="n">
        <v>38.334478</v>
      </c>
      <c r="G373" s="0" t="n">
        <v>804.471668</v>
      </c>
      <c r="I373" s="0" t="n">
        <v>2026</v>
      </c>
      <c r="J373" s="0" t="n">
        <v>14.14</v>
      </c>
      <c r="K373" s="0" t="n">
        <v>296.52</v>
      </c>
      <c r="M373" s="0" t="n">
        <v>2027</v>
      </c>
      <c r="N373" s="0" t="n">
        <v>0.24</v>
      </c>
      <c r="O373" s="0" t="n">
        <v>4.84</v>
      </c>
      <c r="Q373" s="0" t="n">
        <v>2027</v>
      </c>
      <c r="R373" s="0" t="n">
        <v>83</v>
      </c>
      <c r="T373" s="0" t="n">
        <v>2030</v>
      </c>
      <c r="U373" s="0" t="n">
        <v>92002</v>
      </c>
      <c r="W373" s="0" t="n">
        <v>2027</v>
      </c>
      <c r="X373" s="0" t="n">
        <v>5019.792</v>
      </c>
    </row>
    <row r="374" customFormat="false" ht="15" hidden="false" customHeight="false" outlineLevel="0" collapsed="false">
      <c r="A374" s="0" t="n">
        <v>2027</v>
      </c>
      <c r="B374" s="0" t="n">
        <v>32.55546692</v>
      </c>
      <c r="C374" s="0" t="n">
        <v>683.6648054</v>
      </c>
      <c r="E374" s="0" t="n">
        <v>2027</v>
      </c>
      <c r="F374" s="0" t="n">
        <v>5.384746</v>
      </c>
      <c r="G374" s="0" t="n">
        <v>113.002076</v>
      </c>
      <c r="I374" s="0" t="n">
        <v>2026</v>
      </c>
      <c r="J374" s="0" t="n">
        <v>8.08</v>
      </c>
      <c r="K374" s="0" t="n">
        <v>169.44</v>
      </c>
      <c r="M374" s="0" t="n">
        <v>2027</v>
      </c>
      <c r="N374" s="0" t="n">
        <v>0.12</v>
      </c>
      <c r="O374" s="0" t="n">
        <v>2.42</v>
      </c>
      <c r="Q374" s="0" t="n">
        <v>2027</v>
      </c>
      <c r="R374" s="0" t="n">
        <v>79</v>
      </c>
      <c r="T374" s="0" t="n">
        <v>2030</v>
      </c>
      <c r="U374" s="0" t="n">
        <v>2845</v>
      </c>
      <c r="W374" s="0" t="n">
        <v>2027</v>
      </c>
      <c r="X374" s="0" t="n">
        <v>8889.215</v>
      </c>
    </row>
    <row r="375" customFormat="false" ht="15" hidden="false" customHeight="false" outlineLevel="0" collapsed="false">
      <c r="A375" s="0" t="n">
        <v>2027</v>
      </c>
      <c r="B375" s="0" t="n">
        <v>14.46909641</v>
      </c>
      <c r="C375" s="0" t="n">
        <v>303.8510246</v>
      </c>
      <c r="E375" s="0" t="n">
        <v>2027</v>
      </c>
      <c r="F375" s="0" t="n">
        <v>128.722426</v>
      </c>
      <c r="G375" s="0" t="n">
        <v>2701.316156</v>
      </c>
      <c r="I375" s="0" t="n">
        <v>2026</v>
      </c>
      <c r="J375" s="0" t="n">
        <v>8.08</v>
      </c>
      <c r="K375" s="0" t="n">
        <v>169.44</v>
      </c>
      <c r="M375" s="0" t="n">
        <v>2027</v>
      </c>
      <c r="N375" s="0" t="n">
        <v>10.26</v>
      </c>
      <c r="O375" s="0" t="n">
        <v>208.62</v>
      </c>
      <c r="Q375" s="0" t="n">
        <v>2027</v>
      </c>
      <c r="R375" s="0" t="n">
        <v>38</v>
      </c>
      <c r="T375" s="0" t="n">
        <v>2030</v>
      </c>
      <c r="U375" s="0" t="n">
        <v>46001</v>
      </c>
      <c r="W375" s="0" t="n">
        <v>2027</v>
      </c>
      <c r="X375" s="0" t="n">
        <v>3974.002</v>
      </c>
    </row>
    <row r="376" customFormat="false" ht="15" hidden="false" customHeight="false" outlineLevel="0" collapsed="false">
      <c r="A376" s="0" t="n">
        <v>2027</v>
      </c>
      <c r="B376" s="0" t="n">
        <v>53.44275483</v>
      </c>
      <c r="C376" s="0" t="n">
        <v>1122.297851</v>
      </c>
      <c r="E376" s="0" t="n">
        <v>2027</v>
      </c>
      <c r="F376" s="0" t="n">
        <v>6.026002</v>
      </c>
      <c r="G376" s="0" t="n">
        <v>126.459212</v>
      </c>
      <c r="I376" s="0" t="n">
        <v>2026</v>
      </c>
      <c r="J376" s="0" t="n">
        <v>4.04</v>
      </c>
      <c r="K376" s="0" t="n">
        <v>84.72</v>
      </c>
      <c r="M376" s="0" t="n">
        <v>2027</v>
      </c>
      <c r="N376" s="0" t="n">
        <v>6.75</v>
      </c>
      <c r="O376" s="0" t="n">
        <v>137.25</v>
      </c>
      <c r="Q376" s="0" t="n">
        <v>2027</v>
      </c>
      <c r="R376" s="0" t="n">
        <v>8</v>
      </c>
      <c r="T376" s="0" t="n">
        <v>2030</v>
      </c>
      <c r="U376" s="0" t="n">
        <v>1422</v>
      </c>
      <c r="W376" s="0" t="n">
        <v>2027</v>
      </c>
      <c r="X376" s="0" t="n">
        <v>1568.685</v>
      </c>
    </row>
    <row r="377" customFormat="false" ht="15" hidden="false" customHeight="false" outlineLevel="0" collapsed="false">
      <c r="A377" s="0" t="n">
        <v>2027</v>
      </c>
      <c r="B377" s="0" t="n">
        <v>16.72944847</v>
      </c>
      <c r="C377" s="0" t="n">
        <v>351.3184179</v>
      </c>
      <c r="E377" s="0" t="n">
        <v>2027</v>
      </c>
      <c r="F377" s="0" t="n">
        <v>32.949732</v>
      </c>
      <c r="G377" s="0" t="n">
        <v>691.469592</v>
      </c>
      <c r="I377" s="0" t="n">
        <v>2026</v>
      </c>
      <c r="J377" s="0" t="n">
        <v>4.04</v>
      </c>
      <c r="K377" s="0" t="n">
        <v>84.72</v>
      </c>
      <c r="M377" s="0" t="n">
        <v>2027</v>
      </c>
      <c r="N377" s="0" t="n">
        <v>2.7</v>
      </c>
      <c r="O377" s="0" t="n">
        <v>54.9</v>
      </c>
      <c r="Q377" s="0" t="n">
        <v>2027</v>
      </c>
      <c r="R377" s="0" t="n">
        <v>8</v>
      </c>
      <c r="T377" s="0" t="n">
        <v>2030</v>
      </c>
      <c r="U377" s="0" t="n">
        <v>191672</v>
      </c>
      <c r="W377" s="0" t="n">
        <v>2027</v>
      </c>
      <c r="X377" s="0" t="n">
        <v>2300.738</v>
      </c>
    </row>
    <row r="378" customFormat="false" ht="15" hidden="false" customHeight="false" outlineLevel="0" collapsed="false">
      <c r="A378" s="0" t="n">
        <v>2027</v>
      </c>
      <c r="B378" s="0" t="n">
        <v>37.40602443</v>
      </c>
      <c r="C378" s="0" t="n">
        <v>785.5265131</v>
      </c>
      <c r="E378" s="0" t="n">
        <v>2027</v>
      </c>
      <c r="F378" s="0" t="n">
        <v>30.129316</v>
      </c>
      <c r="G378" s="0" t="n">
        <v>632.281496</v>
      </c>
      <c r="I378" s="0" t="n">
        <v>2026</v>
      </c>
      <c r="J378" s="0" t="n">
        <v>8.08</v>
      </c>
      <c r="K378" s="0" t="n">
        <v>169.44</v>
      </c>
      <c r="M378" s="0" t="n">
        <v>2027</v>
      </c>
      <c r="N378" s="0" t="n">
        <v>2.7</v>
      </c>
      <c r="O378" s="0" t="n">
        <v>54.9</v>
      </c>
      <c r="Q378" s="0" t="n">
        <v>2027</v>
      </c>
      <c r="R378" s="0" t="n">
        <v>8</v>
      </c>
      <c r="T378" s="0" t="n">
        <v>2030</v>
      </c>
      <c r="U378" s="0" t="n">
        <v>5928</v>
      </c>
      <c r="W378" s="0" t="n">
        <v>2027</v>
      </c>
      <c r="X378" s="0" t="n">
        <v>1777.843</v>
      </c>
    </row>
    <row r="379" customFormat="false" ht="15" hidden="false" customHeight="false" outlineLevel="0" collapsed="false">
      <c r="A379" s="0" t="n">
        <v>2027</v>
      </c>
      <c r="B379" s="0" t="n">
        <v>134.3321974</v>
      </c>
      <c r="C379" s="0" t="n">
        <v>2820.976146</v>
      </c>
      <c r="E379" s="0" t="n">
        <v>2027</v>
      </c>
      <c r="F379" s="0" t="n">
        <v>1978.189701</v>
      </c>
      <c r="G379" s="0" t="n">
        <v>41536.84423</v>
      </c>
      <c r="I379" s="0" t="n">
        <v>2026</v>
      </c>
      <c r="J379" s="0" t="n">
        <v>14.14</v>
      </c>
      <c r="K379" s="0" t="n">
        <v>296.52</v>
      </c>
      <c r="M379" s="0" t="n">
        <v>2027</v>
      </c>
      <c r="N379" s="0" t="n">
        <v>1.62</v>
      </c>
      <c r="O379" s="0" t="n">
        <v>32.94</v>
      </c>
      <c r="Q379" s="0" t="n">
        <v>2027</v>
      </c>
      <c r="R379" s="0" t="n">
        <v>850</v>
      </c>
      <c r="T379" s="0" t="n">
        <v>2031</v>
      </c>
      <c r="U379" s="0" t="n">
        <v>216147</v>
      </c>
      <c r="W379" s="0" t="n">
        <v>2027</v>
      </c>
      <c r="X379" s="0" t="n">
        <v>8533.68</v>
      </c>
    </row>
    <row r="380" customFormat="false" ht="15" hidden="false" customHeight="false" outlineLevel="0" collapsed="false">
      <c r="A380" s="0" t="n">
        <v>2027</v>
      </c>
      <c r="B380" s="0" t="n">
        <v>33.88255244</v>
      </c>
      <c r="C380" s="0" t="n">
        <v>711.5336013</v>
      </c>
      <c r="E380" s="0" t="n">
        <v>2027</v>
      </c>
      <c r="F380" s="0" t="n">
        <v>531.165849</v>
      </c>
      <c r="G380" s="0" t="n">
        <v>11153.10282</v>
      </c>
      <c r="I380" s="0" t="n">
        <v>2026</v>
      </c>
      <c r="J380" s="0" t="n">
        <v>6.06</v>
      </c>
      <c r="K380" s="0" t="n">
        <v>127.08</v>
      </c>
      <c r="M380" s="0" t="n">
        <v>2027</v>
      </c>
      <c r="N380" s="0" t="n">
        <v>1.35</v>
      </c>
      <c r="O380" s="0" t="n">
        <v>27.45</v>
      </c>
      <c r="Q380" s="0" t="n">
        <v>2027</v>
      </c>
      <c r="R380" s="0" t="n">
        <v>808</v>
      </c>
      <c r="T380" s="0" t="n">
        <v>2031</v>
      </c>
      <c r="U380" s="0" t="n">
        <v>6685</v>
      </c>
      <c r="W380" s="0" t="n">
        <v>2027</v>
      </c>
      <c r="X380" s="0" t="n">
        <v>2133.42</v>
      </c>
    </row>
    <row r="381" customFormat="false" ht="15" hidden="false" customHeight="false" outlineLevel="0" collapsed="false">
      <c r="A381" s="0" t="n">
        <v>2027</v>
      </c>
      <c r="B381" s="0" t="n">
        <v>30.21495458</v>
      </c>
      <c r="C381" s="0" t="n">
        <v>634.5140461</v>
      </c>
      <c r="E381" s="0" t="n">
        <v>2027</v>
      </c>
      <c r="F381" s="0" t="n">
        <v>212.607213</v>
      </c>
      <c r="G381" s="0" t="n">
        <v>4464.199103</v>
      </c>
      <c r="I381" s="0" t="n">
        <v>2026</v>
      </c>
      <c r="J381" s="0" t="n">
        <v>6.06</v>
      </c>
      <c r="K381" s="0" t="n">
        <v>127.08</v>
      </c>
      <c r="M381" s="0" t="n">
        <v>2027</v>
      </c>
      <c r="N381" s="0" t="n">
        <v>1.08</v>
      </c>
      <c r="O381" s="0" t="n">
        <v>21.96</v>
      </c>
      <c r="Q381" s="0" t="n">
        <v>2027</v>
      </c>
      <c r="R381" s="0" t="n">
        <v>383</v>
      </c>
      <c r="T381" s="0" t="n">
        <v>2031</v>
      </c>
      <c r="U381" s="0" t="n">
        <v>417531</v>
      </c>
      <c r="W381" s="0" t="n">
        <v>2027</v>
      </c>
      <c r="X381" s="0" t="n">
        <v>660.672</v>
      </c>
    </row>
    <row r="382" customFormat="false" ht="15" hidden="false" customHeight="false" outlineLevel="0" collapsed="false">
      <c r="A382" s="0" t="n">
        <v>2027</v>
      </c>
      <c r="B382" s="0" t="n">
        <v>21.01271024</v>
      </c>
      <c r="C382" s="0" t="n">
        <v>441.266915</v>
      </c>
      <c r="E382" s="0" t="n">
        <v>2027</v>
      </c>
      <c r="F382" s="0" t="n">
        <v>29.864391</v>
      </c>
      <c r="G382" s="0" t="n">
        <v>627.074621</v>
      </c>
      <c r="I382" s="0" t="n">
        <v>2026</v>
      </c>
      <c r="J382" s="0" t="n">
        <v>36.92</v>
      </c>
      <c r="K382" s="0" t="n">
        <v>771.16</v>
      </c>
      <c r="M382" s="0" t="n">
        <v>2027</v>
      </c>
      <c r="N382" s="0" t="n">
        <v>0.54</v>
      </c>
      <c r="O382" s="0" t="n">
        <v>10.98</v>
      </c>
      <c r="Q382" s="0" t="n">
        <v>2027</v>
      </c>
      <c r="R382" s="0" t="n">
        <v>85</v>
      </c>
      <c r="T382" s="0" t="n">
        <v>2031</v>
      </c>
      <c r="U382" s="0" t="n">
        <v>12914</v>
      </c>
      <c r="W382" s="0" t="n">
        <v>2027</v>
      </c>
      <c r="X382" s="0" t="n">
        <v>1169.94</v>
      </c>
    </row>
    <row r="383" customFormat="false" ht="15" hidden="false" customHeight="false" outlineLevel="0" collapsed="false">
      <c r="A383" s="0" t="n">
        <v>2027</v>
      </c>
      <c r="B383" s="0" t="n">
        <v>15.62995637</v>
      </c>
      <c r="C383" s="0" t="n">
        <v>328.2290838</v>
      </c>
      <c r="E383" s="0" t="n">
        <v>2027</v>
      </c>
      <c r="F383" s="0" t="n">
        <v>713.908671</v>
      </c>
      <c r="G383" s="0" t="n">
        <v>14990.2273</v>
      </c>
      <c r="I383" s="0" t="n">
        <v>2026</v>
      </c>
      <c r="J383" s="0" t="n">
        <v>5.68</v>
      </c>
      <c r="K383" s="0" t="n">
        <v>118.64</v>
      </c>
      <c r="M383" s="0" t="n">
        <v>2027</v>
      </c>
      <c r="N383" s="0" t="n">
        <v>34.58</v>
      </c>
      <c r="O383" s="0" t="n">
        <v>725.8</v>
      </c>
      <c r="Q383" s="0" t="n">
        <v>2027</v>
      </c>
      <c r="R383" s="0" t="n">
        <v>82</v>
      </c>
      <c r="T383" s="0" t="n">
        <v>2031</v>
      </c>
      <c r="U383" s="0" t="n">
        <v>206697</v>
      </c>
      <c r="W383" s="0" t="n">
        <v>2027</v>
      </c>
      <c r="X383" s="0" t="n">
        <v>523.032</v>
      </c>
    </row>
    <row r="384" customFormat="false" ht="15" hidden="false" customHeight="false" outlineLevel="0" collapsed="false">
      <c r="A384" s="0" t="n">
        <v>2027</v>
      </c>
      <c r="B384" s="0" t="n">
        <v>6.946647275</v>
      </c>
      <c r="C384" s="0" t="n">
        <v>145.8795928</v>
      </c>
      <c r="E384" s="0" t="n">
        <v>2027</v>
      </c>
      <c r="F384" s="0" t="n">
        <v>33.420867</v>
      </c>
      <c r="G384" s="0" t="n">
        <v>701.751377</v>
      </c>
      <c r="I384" s="0" t="n">
        <v>2026</v>
      </c>
      <c r="J384" s="0" t="n">
        <v>4.26</v>
      </c>
      <c r="K384" s="0" t="n">
        <v>88.98</v>
      </c>
      <c r="M384" s="0" t="n">
        <v>2027</v>
      </c>
      <c r="N384" s="0" t="n">
        <v>22.75</v>
      </c>
      <c r="O384" s="0" t="n">
        <v>477.5</v>
      </c>
      <c r="Q384" s="0" t="n">
        <v>2027</v>
      </c>
      <c r="R384" s="0" t="n">
        <v>82</v>
      </c>
      <c r="T384" s="0" t="n">
        <v>2031</v>
      </c>
      <c r="U384" s="0" t="n">
        <v>6393</v>
      </c>
      <c r="W384" s="0" t="n">
        <v>2027</v>
      </c>
      <c r="X384" s="0" t="n">
        <v>206.46</v>
      </c>
    </row>
    <row r="385" customFormat="false" ht="15" hidden="false" customHeight="false" outlineLevel="0" collapsed="false">
      <c r="A385" s="0" t="n">
        <v>2027</v>
      </c>
      <c r="B385" s="0" t="n">
        <v>25.6579925</v>
      </c>
      <c r="C385" s="0" t="n">
        <v>538.8178425</v>
      </c>
      <c r="E385" s="0" t="n">
        <v>2027</v>
      </c>
      <c r="F385" s="0" t="n">
        <v>182.742822</v>
      </c>
      <c r="G385" s="0" t="n">
        <v>3837.124482</v>
      </c>
      <c r="I385" s="0" t="n">
        <v>2026</v>
      </c>
      <c r="J385" s="0" t="n">
        <v>7.1</v>
      </c>
      <c r="K385" s="0" t="n">
        <v>148.3</v>
      </c>
      <c r="M385" s="0" t="n">
        <v>2027</v>
      </c>
      <c r="N385" s="0" t="n">
        <v>9.1</v>
      </c>
      <c r="O385" s="0" t="n">
        <v>191</v>
      </c>
      <c r="Q385" s="0" t="n">
        <v>2027</v>
      </c>
      <c r="R385" s="0" t="n">
        <v>84</v>
      </c>
      <c r="T385" s="0" t="n">
        <v>2031</v>
      </c>
      <c r="U385" s="0" t="n">
        <v>266641</v>
      </c>
      <c r="W385" s="0" t="n">
        <v>2027</v>
      </c>
      <c r="X385" s="0" t="n">
        <v>302.808</v>
      </c>
    </row>
    <row r="386" customFormat="false" ht="15" hidden="false" customHeight="false" outlineLevel="0" collapsed="false">
      <c r="A386" s="0" t="n">
        <v>2027</v>
      </c>
      <c r="B386" s="0" t="n">
        <v>8.031847626</v>
      </c>
      <c r="C386" s="0" t="n">
        <v>168.6688001</v>
      </c>
      <c r="E386" s="0" t="n">
        <v>2027</v>
      </c>
      <c r="F386" s="0" t="n">
        <v>167.100486</v>
      </c>
      <c r="G386" s="0" t="n">
        <v>3508.676066</v>
      </c>
      <c r="I386" s="0" t="n">
        <v>2026</v>
      </c>
      <c r="J386" s="0" t="n">
        <v>1.42</v>
      </c>
      <c r="K386" s="0" t="n">
        <v>29.66</v>
      </c>
      <c r="M386" s="0" t="n">
        <v>2027</v>
      </c>
      <c r="N386" s="0" t="n">
        <v>9.1</v>
      </c>
      <c r="O386" s="0" t="n">
        <v>191</v>
      </c>
      <c r="Q386" s="0" t="n">
        <v>2027</v>
      </c>
      <c r="R386" s="0" t="n">
        <v>80</v>
      </c>
      <c r="T386" s="0" t="n">
        <v>2031</v>
      </c>
      <c r="U386" s="0" t="n">
        <v>8247</v>
      </c>
      <c r="W386" s="0" t="n">
        <v>2027</v>
      </c>
      <c r="X386" s="0" t="n">
        <v>233.988</v>
      </c>
    </row>
    <row r="387" customFormat="false" ht="15" hidden="false" customHeight="false" outlineLevel="0" collapsed="false">
      <c r="A387" s="0" t="n">
        <v>2027</v>
      </c>
      <c r="B387" s="0" t="n">
        <v>17.95872046</v>
      </c>
      <c r="C387" s="0" t="n">
        <v>377.1331296</v>
      </c>
      <c r="E387" s="0" t="n">
        <v>2027</v>
      </c>
      <c r="F387" s="0" t="n">
        <v>248.237367</v>
      </c>
      <c r="G387" s="0" t="n">
        <v>5209.901013</v>
      </c>
      <c r="I387" s="0" t="n">
        <v>2026</v>
      </c>
      <c r="J387" s="0" t="n">
        <v>1.42</v>
      </c>
      <c r="K387" s="0" t="n">
        <v>29.66</v>
      </c>
      <c r="M387" s="0" t="n">
        <v>2027</v>
      </c>
      <c r="N387" s="0" t="n">
        <v>5.46</v>
      </c>
      <c r="O387" s="0" t="n">
        <v>114.6</v>
      </c>
      <c r="Q387" s="0" t="n">
        <v>2027</v>
      </c>
      <c r="R387" s="0" t="n">
        <v>38</v>
      </c>
      <c r="T387" s="0" t="n">
        <v>2031</v>
      </c>
      <c r="U387" s="0" t="n">
        <v>303551</v>
      </c>
      <c r="W387" s="0" t="n">
        <v>2027</v>
      </c>
      <c r="X387" s="0" t="n">
        <v>66553.28</v>
      </c>
    </row>
    <row r="388" customFormat="false" ht="15" hidden="false" customHeight="false" outlineLevel="0" collapsed="false">
      <c r="A388" s="0" t="n">
        <v>2027</v>
      </c>
      <c r="B388" s="0" t="n">
        <v>56.3647136</v>
      </c>
      <c r="C388" s="0" t="n">
        <v>1183.658986</v>
      </c>
      <c r="E388" s="0" t="n">
        <v>2027</v>
      </c>
      <c r="F388" s="0" t="n">
        <v>66.654483</v>
      </c>
      <c r="G388" s="0" t="n">
        <v>1398.916137</v>
      </c>
      <c r="I388" s="0" t="n">
        <v>2026</v>
      </c>
      <c r="J388" s="0" t="n">
        <v>0</v>
      </c>
      <c r="K388" s="0" t="n">
        <v>0</v>
      </c>
      <c r="M388" s="0" t="n">
        <v>2027</v>
      </c>
      <c r="N388" s="0" t="n">
        <v>4.55</v>
      </c>
      <c r="O388" s="0" t="n">
        <v>95.5</v>
      </c>
      <c r="Q388" s="0" t="n">
        <v>2027</v>
      </c>
      <c r="R388" s="0" t="n">
        <v>8</v>
      </c>
      <c r="T388" s="0" t="n">
        <v>2031</v>
      </c>
      <c r="U388" s="0" t="n">
        <v>9387</v>
      </c>
      <c r="W388" s="0" t="n">
        <v>2027</v>
      </c>
      <c r="X388" s="0" t="n">
        <v>16638.32</v>
      </c>
    </row>
    <row r="389" customFormat="false" ht="15" hidden="false" customHeight="false" outlineLevel="0" collapsed="false">
      <c r="A389" s="0" t="n">
        <v>2027</v>
      </c>
      <c r="B389" s="0" t="n">
        <v>14.2168475</v>
      </c>
      <c r="C389" s="0" t="n">
        <v>298.5537974</v>
      </c>
      <c r="E389" s="0" t="n">
        <v>2027</v>
      </c>
      <c r="F389" s="0" t="n">
        <v>26.679471</v>
      </c>
      <c r="G389" s="0" t="n">
        <v>559.937469</v>
      </c>
      <c r="I389" s="0" t="n">
        <v>2026</v>
      </c>
      <c r="J389" s="0" t="n">
        <v>2.84</v>
      </c>
      <c r="K389" s="0" t="n">
        <v>59.32</v>
      </c>
      <c r="M389" s="0" t="n">
        <v>2027</v>
      </c>
      <c r="N389" s="0" t="n">
        <v>3.64</v>
      </c>
      <c r="O389" s="0" t="n">
        <v>76.4</v>
      </c>
      <c r="Q389" s="0" t="n">
        <v>2027</v>
      </c>
      <c r="R389" s="0" t="n">
        <v>8</v>
      </c>
      <c r="T389" s="0" t="n">
        <v>2031</v>
      </c>
      <c r="U389" s="0" t="n">
        <v>89472</v>
      </c>
      <c r="W389" s="0" t="n">
        <v>2027</v>
      </c>
      <c r="X389" s="0" t="n">
        <v>5152.512</v>
      </c>
    </row>
    <row r="390" customFormat="false" ht="15" hidden="false" customHeight="false" outlineLevel="0" collapsed="false">
      <c r="A390" s="0" t="n">
        <v>2027</v>
      </c>
      <c r="B390" s="0" t="n">
        <v>12.67795282</v>
      </c>
      <c r="C390" s="0" t="n">
        <v>266.2370093</v>
      </c>
      <c r="E390" s="0" t="n">
        <v>2027</v>
      </c>
      <c r="F390" s="0" t="n">
        <v>3.747597</v>
      </c>
      <c r="G390" s="0" t="n">
        <v>78.652983</v>
      </c>
      <c r="I390" s="0" t="n">
        <v>2026</v>
      </c>
      <c r="J390" s="0" t="n">
        <v>4.97</v>
      </c>
      <c r="K390" s="0" t="n">
        <v>103.81</v>
      </c>
      <c r="M390" s="0" t="n">
        <v>2027</v>
      </c>
      <c r="N390" s="0" t="n">
        <v>1.82</v>
      </c>
      <c r="O390" s="0" t="n">
        <v>38.2</v>
      </c>
      <c r="Q390" s="0" t="n">
        <v>2027</v>
      </c>
      <c r="R390" s="0" t="n">
        <v>8</v>
      </c>
      <c r="T390" s="0" t="n">
        <v>2031</v>
      </c>
      <c r="U390" s="0" t="n">
        <v>2768</v>
      </c>
      <c r="W390" s="0" t="n">
        <v>2027</v>
      </c>
      <c r="X390" s="0" t="n">
        <v>9124.24</v>
      </c>
    </row>
    <row r="391" customFormat="false" ht="15" hidden="false" customHeight="false" outlineLevel="0" collapsed="false">
      <c r="A391" s="0" t="n">
        <v>2027</v>
      </c>
      <c r="B391" s="0" t="n">
        <v>8.816764836</v>
      </c>
      <c r="C391" s="0" t="n">
        <v>185.1520615</v>
      </c>
      <c r="E391" s="0" t="n">
        <v>2027</v>
      </c>
      <c r="F391" s="0" t="n">
        <v>89.586357</v>
      </c>
      <c r="G391" s="0" t="n">
        <v>1880.200623</v>
      </c>
      <c r="I391" s="0" t="n">
        <v>2026</v>
      </c>
      <c r="J391" s="0" t="n">
        <v>1.42</v>
      </c>
      <c r="K391" s="0" t="n">
        <v>29.66</v>
      </c>
      <c r="M391" s="0" t="n">
        <v>2027</v>
      </c>
      <c r="N391" s="0" t="n">
        <v>1480.48</v>
      </c>
      <c r="O391" s="0" t="n">
        <v>31088.56</v>
      </c>
      <c r="Q391" s="0" t="n">
        <v>2027</v>
      </c>
      <c r="R391" s="0" t="n">
        <v>335</v>
      </c>
      <c r="T391" s="0" t="n">
        <v>2031</v>
      </c>
      <c r="U391" s="0" t="n">
        <v>278156</v>
      </c>
      <c r="W391" s="0" t="n">
        <v>2027</v>
      </c>
      <c r="X391" s="0" t="n">
        <v>4079.072</v>
      </c>
    </row>
    <row r="392" customFormat="false" ht="15" hidden="false" customHeight="false" outlineLevel="0" collapsed="false">
      <c r="A392" s="0" t="n">
        <v>2027</v>
      </c>
      <c r="B392" s="0" t="n">
        <v>6.558204446</v>
      </c>
      <c r="C392" s="0" t="n">
        <v>137.7222934</v>
      </c>
      <c r="E392" s="0" t="n">
        <v>2027</v>
      </c>
      <c r="F392" s="0" t="n">
        <v>4.193889</v>
      </c>
      <c r="G392" s="0" t="n">
        <v>88.019571</v>
      </c>
      <c r="I392" s="0" t="n">
        <v>2026</v>
      </c>
      <c r="J392" s="0" t="n">
        <v>4.97</v>
      </c>
      <c r="K392" s="0" t="n">
        <v>103.81</v>
      </c>
      <c r="M392" s="0" t="n">
        <v>2027</v>
      </c>
      <c r="N392" s="0" t="n">
        <v>974</v>
      </c>
      <c r="O392" s="0" t="n">
        <v>20453</v>
      </c>
      <c r="Q392" s="0" t="n">
        <v>2027</v>
      </c>
      <c r="R392" s="0" t="n">
        <v>318</v>
      </c>
      <c r="T392" s="0" t="n">
        <v>2031</v>
      </c>
      <c r="U392" s="0" t="n">
        <v>8603</v>
      </c>
      <c r="W392" s="0" t="n">
        <v>2027</v>
      </c>
      <c r="X392" s="0" t="n">
        <v>1610.16</v>
      </c>
    </row>
    <row r="393" customFormat="false" ht="15" hidden="false" customHeight="false" outlineLevel="0" collapsed="false">
      <c r="A393" s="0" t="n">
        <v>2027</v>
      </c>
      <c r="B393" s="0" t="n">
        <v>2.914757532</v>
      </c>
      <c r="C393" s="0" t="n">
        <v>61.20990816</v>
      </c>
      <c r="E393" s="0" t="n">
        <v>2027</v>
      </c>
      <c r="F393" s="0" t="n">
        <v>22.931874</v>
      </c>
      <c r="G393" s="0" t="n">
        <v>481.284486</v>
      </c>
      <c r="I393" s="0" t="n">
        <v>2026</v>
      </c>
      <c r="J393" s="0" t="n">
        <v>948.48</v>
      </c>
      <c r="K393" s="0" t="n">
        <v>19915.2</v>
      </c>
      <c r="M393" s="0" t="n">
        <v>2027</v>
      </c>
      <c r="N393" s="0" t="n">
        <v>389.6</v>
      </c>
      <c r="O393" s="0" t="n">
        <v>8181.2</v>
      </c>
      <c r="Q393" s="0" t="n">
        <v>2027</v>
      </c>
      <c r="R393" s="0" t="n">
        <v>151</v>
      </c>
      <c r="T393" s="0" t="n">
        <v>2031</v>
      </c>
      <c r="U393" s="0" t="n">
        <v>364084</v>
      </c>
      <c r="W393" s="0" t="n">
        <v>2027</v>
      </c>
      <c r="X393" s="0" t="n">
        <v>2361.568</v>
      </c>
    </row>
    <row r="394" customFormat="false" ht="15" hidden="false" customHeight="false" outlineLevel="0" collapsed="false">
      <c r="A394" s="0" t="n">
        <v>2027</v>
      </c>
      <c r="B394" s="0" t="n">
        <v>10.76588805</v>
      </c>
      <c r="C394" s="0" t="n">
        <v>226.0836491</v>
      </c>
      <c r="E394" s="0" t="n">
        <v>2027</v>
      </c>
      <c r="F394" s="0" t="n">
        <v>20.968962</v>
      </c>
      <c r="G394" s="0" t="n">
        <v>440.087718</v>
      </c>
      <c r="I394" s="0" t="n">
        <v>2026</v>
      </c>
      <c r="J394" s="0" t="n">
        <v>316.16</v>
      </c>
      <c r="K394" s="0" t="n">
        <v>6638.4</v>
      </c>
      <c r="M394" s="0" t="n">
        <v>2027</v>
      </c>
      <c r="N394" s="0" t="n">
        <v>389.6</v>
      </c>
      <c r="O394" s="0" t="n">
        <v>8181.2</v>
      </c>
      <c r="Q394" s="0" t="n">
        <v>2027</v>
      </c>
      <c r="R394" s="0" t="n">
        <v>33</v>
      </c>
      <c r="T394" s="0" t="n">
        <v>2031</v>
      </c>
      <c r="U394" s="0" t="n">
        <v>11260</v>
      </c>
      <c r="W394" s="0" t="n">
        <v>2027</v>
      </c>
      <c r="X394" s="0" t="n">
        <v>1824.848</v>
      </c>
    </row>
    <row r="395" customFormat="false" ht="15" hidden="false" customHeight="false" outlineLevel="0" collapsed="false">
      <c r="A395" s="0" t="n">
        <v>2027</v>
      </c>
      <c r="B395" s="0" t="n">
        <v>3.370098903</v>
      </c>
      <c r="C395" s="0" t="n">
        <v>70.77207696</v>
      </c>
      <c r="E395" s="0" t="n">
        <v>2027</v>
      </c>
      <c r="F395" s="0" t="n">
        <v>163.435782</v>
      </c>
      <c r="G395" s="0" t="n">
        <v>3430.609575</v>
      </c>
      <c r="I395" s="0" t="n">
        <v>2026</v>
      </c>
      <c r="J395" s="0" t="n">
        <v>138.32</v>
      </c>
      <c r="K395" s="0" t="n">
        <v>2904.3</v>
      </c>
      <c r="M395" s="0" t="n">
        <v>2027</v>
      </c>
      <c r="N395" s="0" t="n">
        <v>233.76</v>
      </c>
      <c r="O395" s="0" t="n">
        <v>4908.72</v>
      </c>
      <c r="Q395" s="0" t="n">
        <v>2027</v>
      </c>
      <c r="R395" s="0" t="n">
        <v>32</v>
      </c>
      <c r="T395" s="0" t="n">
        <v>2031</v>
      </c>
      <c r="U395" s="0" t="n">
        <v>318612</v>
      </c>
      <c r="W395" s="0" t="n">
        <v>2027</v>
      </c>
      <c r="X395" s="0" t="n">
        <v>114479.9</v>
      </c>
    </row>
    <row r="396" customFormat="false" ht="15" hidden="false" customHeight="false" outlineLevel="0" collapsed="false">
      <c r="A396" s="0" t="n">
        <v>2027</v>
      </c>
      <c r="B396" s="0" t="n">
        <v>7.535335196</v>
      </c>
      <c r="C396" s="0" t="n">
        <v>158.2420391</v>
      </c>
      <c r="E396" s="0" t="n">
        <v>2027</v>
      </c>
      <c r="F396" s="0" t="n">
        <v>43.884318</v>
      </c>
      <c r="G396" s="0" t="n">
        <v>921.156675</v>
      </c>
      <c r="I396" s="0" t="n">
        <v>2026</v>
      </c>
      <c r="J396" s="0" t="n">
        <v>79.04</v>
      </c>
      <c r="K396" s="0" t="n">
        <v>1659.6</v>
      </c>
      <c r="M396" s="0" t="n">
        <v>2027</v>
      </c>
      <c r="N396" s="0" t="n">
        <v>194.8</v>
      </c>
      <c r="O396" s="0" t="n">
        <v>4090.6</v>
      </c>
      <c r="Q396" s="0" t="n">
        <v>2027</v>
      </c>
      <c r="R396" s="0" t="n">
        <v>32</v>
      </c>
      <c r="T396" s="0" t="n">
        <v>2031</v>
      </c>
      <c r="U396" s="0" t="n">
        <v>9853</v>
      </c>
      <c r="W396" s="0" t="n">
        <v>2027</v>
      </c>
      <c r="X396" s="0" t="n">
        <v>28619.975</v>
      </c>
    </row>
    <row r="397" customFormat="false" ht="15" hidden="false" customHeight="false" outlineLevel="0" collapsed="false">
      <c r="A397" s="0" t="n">
        <v>2027</v>
      </c>
      <c r="B397" s="0" t="n">
        <v>225.2860322</v>
      </c>
      <c r="C397" s="0" t="n">
        <v>4731.006677</v>
      </c>
      <c r="E397" s="0" t="n">
        <v>2027</v>
      </c>
      <c r="F397" s="0" t="n">
        <v>17.565366</v>
      </c>
      <c r="G397" s="0" t="n">
        <v>368.706975</v>
      </c>
      <c r="I397" s="0" t="n">
        <v>2026</v>
      </c>
      <c r="J397" s="0" t="n">
        <v>79.04</v>
      </c>
      <c r="K397" s="0" t="n">
        <v>1659.6</v>
      </c>
      <c r="M397" s="0" t="n">
        <v>2027</v>
      </c>
      <c r="N397" s="0" t="n">
        <v>155.84</v>
      </c>
      <c r="O397" s="0" t="n">
        <v>3272.48</v>
      </c>
      <c r="Q397" s="0" t="n">
        <v>2027</v>
      </c>
      <c r="R397" s="0" t="n">
        <v>403</v>
      </c>
      <c r="T397" s="0" t="n">
        <v>2031</v>
      </c>
      <c r="U397" s="0" t="n">
        <v>492237</v>
      </c>
      <c r="W397" s="0" t="n">
        <v>2027</v>
      </c>
      <c r="X397" s="0" t="n">
        <v>8862.96</v>
      </c>
    </row>
    <row r="398" customFormat="false" ht="15" hidden="false" customHeight="false" outlineLevel="0" collapsed="false">
      <c r="A398" s="0" t="n">
        <v>2027</v>
      </c>
      <c r="B398" s="0" t="n">
        <v>56.82379912</v>
      </c>
      <c r="C398" s="0" t="n">
        <v>1193.299782</v>
      </c>
      <c r="E398" s="0" t="n">
        <v>2027</v>
      </c>
      <c r="F398" s="0" t="n">
        <v>2.467362</v>
      </c>
      <c r="G398" s="0" t="n">
        <v>51.791325</v>
      </c>
      <c r="I398" s="0" t="n">
        <v>2026</v>
      </c>
      <c r="J398" s="0" t="n">
        <v>39.52</v>
      </c>
      <c r="K398" s="0" t="n">
        <v>829.8</v>
      </c>
      <c r="M398" s="0" t="n">
        <v>2027</v>
      </c>
      <c r="N398" s="0" t="n">
        <v>77.92</v>
      </c>
      <c r="O398" s="0" t="n">
        <v>1636.24</v>
      </c>
      <c r="Q398" s="0" t="n">
        <v>2027</v>
      </c>
      <c r="R398" s="0" t="n">
        <v>383</v>
      </c>
      <c r="T398" s="0" t="n">
        <v>2031</v>
      </c>
      <c r="U398" s="0" t="n">
        <v>14919</v>
      </c>
      <c r="W398" s="0" t="n">
        <v>2027</v>
      </c>
      <c r="X398" s="0" t="n">
        <v>15694.825</v>
      </c>
    </row>
    <row r="399" customFormat="false" ht="15" hidden="false" customHeight="false" outlineLevel="0" collapsed="false">
      <c r="A399" s="0" t="n">
        <v>2027</v>
      </c>
      <c r="B399" s="0" t="n">
        <v>50.67293889</v>
      </c>
      <c r="C399" s="0" t="n">
        <v>1064.131717</v>
      </c>
      <c r="E399" s="0" t="n">
        <v>2027</v>
      </c>
      <c r="F399" s="0" t="n">
        <v>58.982322</v>
      </c>
      <c r="G399" s="0" t="n">
        <v>1238.072325</v>
      </c>
      <c r="I399" s="0" t="n">
        <v>2026</v>
      </c>
      <c r="J399" s="0" t="n">
        <v>39.52</v>
      </c>
      <c r="K399" s="0" t="n">
        <v>829.8</v>
      </c>
      <c r="M399" s="0" t="n">
        <v>2027</v>
      </c>
      <c r="N399" s="0" t="n">
        <v>215.08</v>
      </c>
      <c r="O399" s="0" t="n">
        <v>4511.36</v>
      </c>
      <c r="Q399" s="0" t="n">
        <v>2027</v>
      </c>
      <c r="R399" s="0" t="n">
        <v>182</v>
      </c>
      <c r="T399" s="0" t="n">
        <v>2031</v>
      </c>
      <c r="U399" s="0" t="n">
        <v>21191</v>
      </c>
      <c r="W399" s="0" t="n">
        <v>2027</v>
      </c>
      <c r="X399" s="0" t="n">
        <v>7016.51</v>
      </c>
    </row>
    <row r="400" customFormat="false" ht="15" hidden="false" customHeight="false" outlineLevel="0" collapsed="false">
      <c r="A400" s="0" t="n">
        <v>2027</v>
      </c>
      <c r="B400" s="0" t="n">
        <v>35.2400259</v>
      </c>
      <c r="C400" s="0" t="n">
        <v>740.0405439</v>
      </c>
      <c r="E400" s="0" t="n">
        <v>2027</v>
      </c>
      <c r="F400" s="0" t="n">
        <v>2.761194</v>
      </c>
      <c r="G400" s="0" t="n">
        <v>57.959025</v>
      </c>
      <c r="I400" s="0" t="n">
        <v>2026</v>
      </c>
      <c r="J400" s="0" t="n">
        <v>79.04</v>
      </c>
      <c r="K400" s="0" t="n">
        <v>1659.6</v>
      </c>
      <c r="M400" s="0" t="n">
        <v>2027</v>
      </c>
      <c r="N400" s="0" t="n">
        <v>141.5</v>
      </c>
      <c r="O400" s="0" t="n">
        <v>2968</v>
      </c>
      <c r="Q400" s="0" t="n">
        <v>2027</v>
      </c>
      <c r="R400" s="0" t="n">
        <v>40</v>
      </c>
      <c r="T400" s="0" t="n">
        <v>2031</v>
      </c>
      <c r="U400" s="0" t="n">
        <v>656</v>
      </c>
      <c r="W400" s="0" t="n">
        <v>2027</v>
      </c>
      <c r="X400" s="0" t="n">
        <v>2769.675</v>
      </c>
    </row>
    <row r="401" customFormat="false" ht="15" hidden="false" customHeight="false" outlineLevel="0" collapsed="false">
      <c r="A401" s="0" t="n">
        <v>2027</v>
      </c>
      <c r="B401" s="0" t="n">
        <v>26.2127094</v>
      </c>
      <c r="C401" s="0" t="n">
        <v>550.4668975</v>
      </c>
      <c r="E401" s="0" t="n">
        <v>2027</v>
      </c>
      <c r="F401" s="0" t="n">
        <v>15.098004</v>
      </c>
      <c r="G401" s="0" t="n">
        <v>316.91565</v>
      </c>
      <c r="I401" s="0" t="n">
        <v>2026</v>
      </c>
      <c r="J401" s="0" t="n">
        <v>138.32</v>
      </c>
      <c r="K401" s="0" t="n">
        <v>2904.3</v>
      </c>
      <c r="M401" s="0" t="n">
        <v>2027</v>
      </c>
      <c r="N401" s="0" t="n">
        <v>56.6</v>
      </c>
      <c r="O401" s="0" t="n">
        <v>1187.2</v>
      </c>
      <c r="Q401" s="0" t="n">
        <v>2027</v>
      </c>
      <c r="R401" s="0" t="n">
        <v>39</v>
      </c>
      <c r="T401" s="0" t="n">
        <v>2031</v>
      </c>
      <c r="U401" s="0" t="n">
        <v>342479</v>
      </c>
      <c r="W401" s="0" t="n">
        <v>2027</v>
      </c>
      <c r="X401" s="0" t="n">
        <v>4062.19</v>
      </c>
    </row>
    <row r="402" customFormat="false" ht="15" hidden="false" customHeight="false" outlineLevel="0" collapsed="false">
      <c r="A402" s="0" t="n">
        <v>2027</v>
      </c>
      <c r="B402" s="0" t="n">
        <v>11.65009307</v>
      </c>
      <c r="C402" s="0" t="n">
        <v>244.6519544</v>
      </c>
      <c r="E402" s="0" t="n">
        <v>2027</v>
      </c>
      <c r="F402" s="0" t="n">
        <v>13.805652</v>
      </c>
      <c r="G402" s="0" t="n">
        <v>289.78845</v>
      </c>
      <c r="I402" s="0" t="n">
        <v>2026</v>
      </c>
      <c r="J402" s="0" t="n">
        <v>59.28</v>
      </c>
      <c r="K402" s="0" t="n">
        <v>1244.7</v>
      </c>
      <c r="M402" s="0" t="n">
        <v>2027</v>
      </c>
      <c r="N402" s="0" t="n">
        <v>56.6</v>
      </c>
      <c r="O402" s="0" t="n">
        <v>1187.2</v>
      </c>
      <c r="Q402" s="0" t="n">
        <v>2027</v>
      </c>
      <c r="R402" s="0" t="n">
        <v>39</v>
      </c>
      <c r="T402" s="0" t="n">
        <v>2031</v>
      </c>
      <c r="U402" s="0" t="n">
        <v>10593</v>
      </c>
      <c r="W402" s="0" t="n">
        <v>2027</v>
      </c>
      <c r="X402" s="0" t="n">
        <v>3138.965</v>
      </c>
    </row>
    <row r="403" customFormat="false" ht="15" hidden="false" customHeight="false" outlineLevel="0" collapsed="false">
      <c r="A403" s="0" t="n">
        <v>2027</v>
      </c>
      <c r="B403" s="0" t="n">
        <v>43.03054247</v>
      </c>
      <c r="C403" s="0" t="n">
        <v>903.6413919</v>
      </c>
      <c r="E403" s="0" t="n">
        <v>2027</v>
      </c>
      <c r="F403" s="0" t="n">
        <v>229.735203</v>
      </c>
      <c r="G403" s="0" t="n">
        <v>4814.674232</v>
      </c>
      <c r="I403" s="0" t="n">
        <v>2026</v>
      </c>
      <c r="J403" s="0" t="n">
        <v>59.28</v>
      </c>
      <c r="K403" s="0" t="n">
        <v>1244.7</v>
      </c>
      <c r="M403" s="0" t="n">
        <v>2027</v>
      </c>
      <c r="N403" s="0" t="n">
        <v>33.96</v>
      </c>
      <c r="O403" s="0" t="n">
        <v>712.32</v>
      </c>
      <c r="Q403" s="0" t="n">
        <v>2027</v>
      </c>
      <c r="R403" s="0" t="n">
        <v>283</v>
      </c>
      <c r="T403" s="0" t="n">
        <v>2031</v>
      </c>
      <c r="U403" s="0" t="n">
        <v>130425</v>
      </c>
      <c r="W403" s="0" t="n">
        <v>2027</v>
      </c>
      <c r="X403" s="0" t="n">
        <v>51089.86</v>
      </c>
    </row>
    <row r="404" customFormat="false" ht="15" hidden="false" customHeight="false" outlineLevel="0" collapsed="false">
      <c r="A404" s="0" t="n">
        <v>2027</v>
      </c>
      <c r="B404" s="0" t="n">
        <v>13.47006241</v>
      </c>
      <c r="C404" s="0" t="n">
        <v>282.8713107</v>
      </c>
      <c r="E404" s="0" t="n">
        <v>2027</v>
      </c>
      <c r="F404" s="0" t="n">
        <v>61.686447</v>
      </c>
      <c r="G404" s="0" t="n">
        <v>1292.793368</v>
      </c>
      <c r="I404" s="0" t="n">
        <v>2026</v>
      </c>
      <c r="J404" s="0" t="n">
        <v>107.12</v>
      </c>
      <c r="K404" s="0" t="n">
        <v>2253.68</v>
      </c>
      <c r="M404" s="0" t="n">
        <v>2027</v>
      </c>
      <c r="N404" s="0" t="n">
        <v>28.3</v>
      </c>
      <c r="O404" s="0" t="n">
        <v>593.6</v>
      </c>
      <c r="Q404" s="0" t="n">
        <v>2027</v>
      </c>
      <c r="R404" s="0" t="n">
        <v>269</v>
      </c>
      <c r="T404" s="0" t="n">
        <v>2031</v>
      </c>
      <c r="U404" s="0" t="n">
        <v>4033</v>
      </c>
      <c r="W404" s="0" t="n">
        <v>2027</v>
      </c>
      <c r="X404" s="0" t="n">
        <v>12772.465</v>
      </c>
    </row>
    <row r="405" customFormat="false" ht="15" hidden="false" customHeight="false" outlineLevel="0" collapsed="false">
      <c r="A405" s="0" t="n">
        <v>2027</v>
      </c>
      <c r="B405" s="0" t="n">
        <v>30.11823639</v>
      </c>
      <c r="C405" s="0" t="n">
        <v>632.4829641</v>
      </c>
      <c r="E405" s="0" t="n">
        <v>2027</v>
      </c>
      <c r="F405" s="0" t="n">
        <v>24.690939</v>
      </c>
      <c r="G405" s="0" t="n">
        <v>517.460216</v>
      </c>
      <c r="I405" s="0" t="n">
        <v>2026</v>
      </c>
      <c r="J405" s="0" t="n">
        <v>16.48</v>
      </c>
      <c r="K405" s="0" t="n">
        <v>346.72</v>
      </c>
      <c r="M405" s="0" t="n">
        <v>2027</v>
      </c>
      <c r="N405" s="0" t="n">
        <v>22.64</v>
      </c>
      <c r="O405" s="0" t="n">
        <v>474.88</v>
      </c>
      <c r="Q405" s="0" t="n">
        <v>2027</v>
      </c>
      <c r="R405" s="0" t="n">
        <v>127</v>
      </c>
      <c r="T405" s="0" t="n">
        <v>2031</v>
      </c>
      <c r="U405" s="0" t="n">
        <v>202991</v>
      </c>
      <c r="W405" s="0" t="n">
        <v>2027</v>
      </c>
      <c r="X405" s="0" t="n">
        <v>3955.344</v>
      </c>
    </row>
    <row r="406" customFormat="false" ht="15" hidden="false" customHeight="false" outlineLevel="0" collapsed="false">
      <c r="A406" s="0" t="n">
        <v>2027</v>
      </c>
      <c r="B406" s="0" t="n">
        <v>287.378566</v>
      </c>
      <c r="C406" s="0" t="n">
        <v>6034.949887</v>
      </c>
      <c r="E406" s="0" t="n">
        <v>2027</v>
      </c>
      <c r="F406" s="0" t="n">
        <v>3.468273</v>
      </c>
      <c r="G406" s="0" t="n">
        <v>72.686312</v>
      </c>
      <c r="I406" s="0" t="n">
        <v>2026</v>
      </c>
      <c r="J406" s="0" t="n">
        <v>12.36</v>
      </c>
      <c r="K406" s="0" t="n">
        <v>260.04</v>
      </c>
      <c r="M406" s="0" t="n">
        <v>2027</v>
      </c>
      <c r="N406" s="0" t="n">
        <v>11.32</v>
      </c>
      <c r="O406" s="0" t="n">
        <v>237.44</v>
      </c>
      <c r="Q406" s="0" t="n">
        <v>2027</v>
      </c>
      <c r="R406" s="0" t="n">
        <v>28</v>
      </c>
      <c r="T406" s="0" t="n">
        <v>2031</v>
      </c>
      <c r="U406" s="0" t="n">
        <v>6279</v>
      </c>
      <c r="W406" s="0" t="n">
        <v>2027</v>
      </c>
      <c r="X406" s="0" t="n">
        <v>7004.255</v>
      </c>
    </row>
    <row r="407" customFormat="false" ht="15" hidden="false" customHeight="false" outlineLevel="0" collapsed="false">
      <c r="A407" s="0" t="n">
        <v>2027</v>
      </c>
      <c r="B407" s="0" t="n">
        <v>72.48537225</v>
      </c>
      <c r="C407" s="0" t="n">
        <v>1522.192817</v>
      </c>
      <c r="E407" s="0" t="n">
        <v>2027</v>
      </c>
      <c r="F407" s="0" t="n">
        <v>82.909113</v>
      </c>
      <c r="G407" s="0" t="n">
        <v>1737.567272</v>
      </c>
      <c r="I407" s="0" t="n">
        <v>2026</v>
      </c>
      <c r="J407" s="0" t="n">
        <v>20.6</v>
      </c>
      <c r="K407" s="0" t="n">
        <v>433.4</v>
      </c>
      <c r="M407" s="0" t="n">
        <v>2027</v>
      </c>
      <c r="N407" s="0" t="n">
        <v>258.4</v>
      </c>
      <c r="O407" s="0" t="n">
        <v>5426.4</v>
      </c>
      <c r="Q407" s="0" t="n">
        <v>2027</v>
      </c>
      <c r="R407" s="0" t="n">
        <v>27</v>
      </c>
      <c r="T407" s="0" t="n">
        <v>2031</v>
      </c>
      <c r="U407" s="0" t="n">
        <v>54827</v>
      </c>
      <c r="W407" s="0" t="n">
        <v>2027</v>
      </c>
      <c r="X407" s="0" t="n">
        <v>3131.314</v>
      </c>
    </row>
    <row r="408" customFormat="false" ht="15" hidden="false" customHeight="false" outlineLevel="0" collapsed="false">
      <c r="A408" s="0" t="n">
        <v>2027</v>
      </c>
      <c r="B408" s="0" t="n">
        <v>64.63923383</v>
      </c>
      <c r="C408" s="0" t="n">
        <v>1357.423911</v>
      </c>
      <c r="E408" s="0" t="n">
        <v>2027</v>
      </c>
      <c r="F408" s="0" t="n">
        <v>3.881301</v>
      </c>
      <c r="G408" s="0" t="n">
        <v>81.342344</v>
      </c>
      <c r="I408" s="0" t="n">
        <v>2026</v>
      </c>
      <c r="J408" s="0" t="n">
        <v>4.12</v>
      </c>
      <c r="K408" s="0" t="n">
        <v>86.68</v>
      </c>
      <c r="M408" s="0" t="n">
        <v>2027</v>
      </c>
      <c r="N408" s="0" t="n">
        <v>170</v>
      </c>
      <c r="O408" s="0" t="n">
        <v>3570</v>
      </c>
      <c r="Q408" s="0" t="n">
        <v>2027</v>
      </c>
      <c r="R408" s="0" t="n">
        <v>27</v>
      </c>
      <c r="T408" s="0" t="n">
        <v>2031</v>
      </c>
      <c r="U408" s="0" t="n">
        <v>1696</v>
      </c>
      <c r="W408" s="0" t="n">
        <v>2027</v>
      </c>
      <c r="X408" s="0" t="n">
        <v>1236.045</v>
      </c>
    </row>
    <row r="409" customFormat="false" ht="15" hidden="false" customHeight="false" outlineLevel="0" collapsed="false">
      <c r="A409" s="0" t="n">
        <v>2027</v>
      </c>
      <c r="B409" s="0" t="n">
        <v>44.95275632</v>
      </c>
      <c r="C409" s="0" t="n">
        <v>944.0078828</v>
      </c>
      <c r="E409" s="0" t="n">
        <v>2027</v>
      </c>
      <c r="F409" s="0" t="n">
        <v>21.222666</v>
      </c>
      <c r="G409" s="0" t="n">
        <v>444.773904</v>
      </c>
      <c r="I409" s="0" t="n">
        <v>2026</v>
      </c>
      <c r="J409" s="0" t="n">
        <v>4.12</v>
      </c>
      <c r="K409" s="0" t="n">
        <v>86.68</v>
      </c>
      <c r="M409" s="0" t="n">
        <v>2027</v>
      </c>
      <c r="N409" s="0" t="n">
        <v>68</v>
      </c>
      <c r="O409" s="0" t="n">
        <v>1428</v>
      </c>
      <c r="Q409" s="0" t="n">
        <v>2027</v>
      </c>
      <c r="R409" s="0" t="n">
        <v>119</v>
      </c>
      <c r="T409" s="0" t="n">
        <v>2031</v>
      </c>
      <c r="U409" s="0" t="n">
        <v>133151</v>
      </c>
      <c r="W409" s="0" t="n">
        <v>2027</v>
      </c>
      <c r="X409" s="0" t="n">
        <v>1812.866</v>
      </c>
    </row>
    <row r="410" customFormat="false" ht="15" hidden="false" customHeight="false" outlineLevel="0" collapsed="false">
      <c r="A410" s="0" t="n">
        <v>2027</v>
      </c>
      <c r="B410" s="0" t="n">
        <v>33.43736301</v>
      </c>
      <c r="C410" s="0" t="n">
        <v>702.1846232</v>
      </c>
      <c r="E410" s="0" t="n">
        <v>2027</v>
      </c>
      <c r="F410" s="0" t="n">
        <v>19.406058</v>
      </c>
      <c r="G410" s="0" t="n">
        <v>406.702352</v>
      </c>
      <c r="I410" s="0" t="n">
        <v>2026</v>
      </c>
      <c r="J410" s="0" t="n">
        <v>0</v>
      </c>
      <c r="K410" s="0" t="n">
        <v>0</v>
      </c>
      <c r="M410" s="0" t="n">
        <v>2027</v>
      </c>
      <c r="N410" s="0" t="n">
        <v>68</v>
      </c>
      <c r="O410" s="0" t="n">
        <v>1428</v>
      </c>
      <c r="Q410" s="0" t="n">
        <v>2027</v>
      </c>
      <c r="R410" s="0" t="n">
        <v>113</v>
      </c>
      <c r="T410" s="0" t="n">
        <v>2031</v>
      </c>
      <c r="U410" s="0" t="n">
        <v>4118</v>
      </c>
      <c r="W410" s="0" t="n">
        <v>2027</v>
      </c>
      <c r="X410" s="0" t="n">
        <v>1400.851</v>
      </c>
    </row>
    <row r="411" customFormat="false" ht="15" hidden="false" customHeight="false" outlineLevel="0" collapsed="false">
      <c r="A411" s="0" t="n">
        <v>2027</v>
      </c>
      <c r="B411" s="0" t="n">
        <v>14.86105023</v>
      </c>
      <c r="C411" s="0" t="n">
        <v>312.0820548</v>
      </c>
      <c r="E411" s="0" t="n">
        <v>2027</v>
      </c>
      <c r="F411" s="0" t="n">
        <v>181.937946</v>
      </c>
      <c r="G411" s="0" t="n">
        <v>3814.015529</v>
      </c>
      <c r="I411" s="0" t="n">
        <v>2026</v>
      </c>
      <c r="J411" s="0" t="n">
        <v>8.24</v>
      </c>
      <c r="K411" s="0" t="n">
        <v>173.36</v>
      </c>
      <c r="M411" s="0" t="n">
        <v>2027</v>
      </c>
      <c r="N411" s="0" t="n">
        <v>40.8</v>
      </c>
      <c r="O411" s="0" t="n">
        <v>856.8</v>
      </c>
      <c r="Q411" s="0" t="n">
        <v>2027</v>
      </c>
      <c r="R411" s="0" t="n">
        <v>54</v>
      </c>
      <c r="T411" s="0" t="n">
        <v>2031</v>
      </c>
      <c r="U411" s="0" t="n">
        <v>156650</v>
      </c>
      <c r="W411" s="0" t="n">
        <v>2027</v>
      </c>
      <c r="X411" s="0" t="n">
        <v>177790.58</v>
      </c>
    </row>
    <row r="412" customFormat="false" ht="15" hidden="false" customHeight="false" outlineLevel="0" collapsed="false">
      <c r="A412" s="0" t="n">
        <v>2027</v>
      </c>
      <c r="B412" s="0" t="n">
        <v>54.89046733</v>
      </c>
      <c r="C412" s="0" t="n">
        <v>1152.699814</v>
      </c>
      <c r="E412" s="0" t="n">
        <v>2027</v>
      </c>
      <c r="F412" s="0" t="n">
        <v>48.852354</v>
      </c>
      <c r="G412" s="0" t="n">
        <v>1024.105421</v>
      </c>
      <c r="I412" s="0" t="n">
        <v>2026</v>
      </c>
      <c r="J412" s="0" t="n">
        <v>14.42</v>
      </c>
      <c r="K412" s="0" t="n">
        <v>303.38</v>
      </c>
      <c r="M412" s="0" t="n">
        <v>2027</v>
      </c>
      <c r="N412" s="0" t="n">
        <v>34</v>
      </c>
      <c r="O412" s="0" t="n">
        <v>714</v>
      </c>
      <c r="Q412" s="0" t="n">
        <v>2027</v>
      </c>
      <c r="R412" s="0" t="n">
        <v>12</v>
      </c>
      <c r="T412" s="0" t="n">
        <v>2031</v>
      </c>
      <c r="U412" s="0" t="n">
        <v>4844</v>
      </c>
      <c r="W412" s="0" t="n">
        <v>2027</v>
      </c>
      <c r="X412" s="0" t="n">
        <v>44447.645</v>
      </c>
    </row>
    <row r="413" customFormat="false" ht="15" hidden="false" customHeight="false" outlineLevel="0" collapsed="false">
      <c r="A413" s="0" t="n">
        <v>2027</v>
      </c>
      <c r="B413" s="0" t="n">
        <v>17.18263304</v>
      </c>
      <c r="C413" s="0" t="n">
        <v>360.8352938</v>
      </c>
      <c r="E413" s="0" t="n">
        <v>2027</v>
      </c>
      <c r="F413" s="0" t="n">
        <v>19.553898</v>
      </c>
      <c r="G413" s="0" t="n">
        <v>409.913777</v>
      </c>
      <c r="I413" s="0" t="n">
        <v>2026</v>
      </c>
      <c r="J413" s="0" t="n">
        <v>4.12</v>
      </c>
      <c r="K413" s="0" t="n">
        <v>86.68</v>
      </c>
      <c r="M413" s="0" t="n">
        <v>2027</v>
      </c>
      <c r="N413" s="0" t="n">
        <v>27.2</v>
      </c>
      <c r="O413" s="0" t="n">
        <v>571.2</v>
      </c>
      <c r="Q413" s="0" t="n">
        <v>2027</v>
      </c>
      <c r="R413" s="0" t="n">
        <v>12</v>
      </c>
      <c r="T413" s="0" t="n">
        <v>2031</v>
      </c>
      <c r="U413" s="0" t="n">
        <v>791076</v>
      </c>
      <c r="W413" s="0" t="n">
        <v>2027</v>
      </c>
      <c r="X413" s="0" t="n">
        <v>13764.432</v>
      </c>
    </row>
    <row r="414" customFormat="false" ht="15" hidden="false" customHeight="false" outlineLevel="0" collapsed="false">
      <c r="A414" s="0" t="n">
        <v>2027</v>
      </c>
      <c r="B414" s="0" t="n">
        <v>38.41931743</v>
      </c>
      <c r="C414" s="0" t="n">
        <v>806.805666</v>
      </c>
      <c r="E414" s="0" t="n">
        <v>2027</v>
      </c>
      <c r="F414" s="0" t="n">
        <v>2.746686</v>
      </c>
      <c r="G414" s="0" t="n">
        <v>57.579539</v>
      </c>
      <c r="I414" s="0" t="n">
        <v>2026</v>
      </c>
      <c r="J414" s="0" t="n">
        <v>14.42</v>
      </c>
      <c r="K414" s="0" t="n">
        <v>303.38</v>
      </c>
      <c r="M414" s="0" t="n">
        <v>2027</v>
      </c>
      <c r="N414" s="0" t="n">
        <v>13.6</v>
      </c>
      <c r="O414" s="0" t="n">
        <v>285.6</v>
      </c>
      <c r="Q414" s="0" t="n">
        <v>2027</v>
      </c>
      <c r="R414" s="0" t="n">
        <v>12</v>
      </c>
      <c r="T414" s="0" t="n">
        <v>2031</v>
      </c>
      <c r="U414" s="0" t="n">
        <v>24466</v>
      </c>
      <c r="W414" s="0" t="n">
        <v>2027</v>
      </c>
      <c r="X414" s="0" t="n">
        <v>24374.515</v>
      </c>
    </row>
    <row r="415" customFormat="false" ht="15" hidden="false" customHeight="false" outlineLevel="0" collapsed="false">
      <c r="A415" s="0" t="n">
        <v>2027</v>
      </c>
      <c r="B415" s="0" t="n">
        <v>282.9098787</v>
      </c>
      <c r="C415" s="0" t="n">
        <v>5941.107453</v>
      </c>
      <c r="E415" s="0" t="n">
        <v>2027</v>
      </c>
      <c r="F415" s="0" t="n">
        <v>65.659566</v>
      </c>
      <c r="G415" s="0" t="n">
        <v>1376.439659</v>
      </c>
      <c r="I415" s="0" t="n">
        <v>2026</v>
      </c>
      <c r="J415" s="0" t="n">
        <v>93.6</v>
      </c>
      <c r="K415" s="0" t="n">
        <v>1964.64</v>
      </c>
      <c r="M415" s="0" t="n">
        <v>2027</v>
      </c>
      <c r="N415" s="0" t="n">
        <v>427.88</v>
      </c>
      <c r="O415" s="0" t="n">
        <v>8979.78</v>
      </c>
      <c r="Q415" s="0" t="n">
        <v>2027</v>
      </c>
      <c r="R415" s="0" t="n">
        <v>83</v>
      </c>
      <c r="T415" s="0" t="n">
        <v>2031</v>
      </c>
      <c r="U415" s="0" t="n">
        <v>156650</v>
      </c>
      <c r="W415" s="0" t="n">
        <v>2027</v>
      </c>
      <c r="X415" s="0" t="n">
        <v>10896.842</v>
      </c>
    </row>
    <row r="416" customFormat="false" ht="15" hidden="false" customHeight="false" outlineLevel="0" collapsed="false">
      <c r="A416" s="0" t="n">
        <v>2027</v>
      </c>
      <c r="B416" s="0" t="n">
        <v>71.35823717</v>
      </c>
      <c r="C416" s="0" t="n">
        <v>1498.522981</v>
      </c>
      <c r="E416" s="0" t="n">
        <v>2027</v>
      </c>
      <c r="F416" s="0" t="n">
        <v>3.073782</v>
      </c>
      <c r="G416" s="0" t="n">
        <v>64.436543</v>
      </c>
      <c r="I416" s="0" t="n">
        <v>2026</v>
      </c>
      <c r="J416" s="0" t="n">
        <v>31.2</v>
      </c>
      <c r="K416" s="0" t="n">
        <v>654.88</v>
      </c>
      <c r="M416" s="0" t="n">
        <v>2027</v>
      </c>
      <c r="N416" s="0" t="n">
        <v>281.5</v>
      </c>
      <c r="O416" s="0" t="n">
        <v>5907.75</v>
      </c>
      <c r="Q416" s="0" t="n">
        <v>2027</v>
      </c>
      <c r="R416" s="0" t="n">
        <v>79</v>
      </c>
      <c r="T416" s="0" t="n">
        <v>2031</v>
      </c>
      <c r="U416" s="0" t="n">
        <v>4844</v>
      </c>
      <c r="W416" s="0" t="n">
        <v>2027</v>
      </c>
      <c r="X416" s="0" t="n">
        <v>4301.385</v>
      </c>
    </row>
    <row r="417" customFormat="false" ht="15" hidden="false" customHeight="false" outlineLevel="0" collapsed="false">
      <c r="A417" s="0" t="n">
        <v>2027</v>
      </c>
      <c r="B417" s="0" t="n">
        <v>63.63410485</v>
      </c>
      <c r="C417" s="0" t="n">
        <v>1336.316202</v>
      </c>
      <c r="E417" s="0" t="n">
        <v>2027</v>
      </c>
      <c r="F417" s="0" t="n">
        <v>16.807212</v>
      </c>
      <c r="G417" s="0" t="n">
        <v>352.334238</v>
      </c>
      <c r="I417" s="0" t="n">
        <v>2026</v>
      </c>
      <c r="J417" s="0" t="n">
        <v>13.65</v>
      </c>
      <c r="K417" s="0" t="n">
        <v>286.51</v>
      </c>
      <c r="M417" s="0" t="n">
        <v>2027</v>
      </c>
      <c r="N417" s="0" t="n">
        <v>112.6</v>
      </c>
      <c r="O417" s="0" t="n">
        <v>2363.1</v>
      </c>
      <c r="Q417" s="0" t="n">
        <v>2027</v>
      </c>
      <c r="R417" s="0" t="n">
        <v>38</v>
      </c>
      <c r="T417" s="0" t="n">
        <v>2031</v>
      </c>
      <c r="U417" s="0" t="n">
        <v>266303</v>
      </c>
      <c r="W417" s="0" t="n">
        <v>2027</v>
      </c>
      <c r="X417" s="0" t="n">
        <v>6308.698</v>
      </c>
    </row>
    <row r="418" customFormat="false" ht="15" hidden="false" customHeight="false" outlineLevel="0" collapsed="false">
      <c r="A418" s="0" t="n">
        <v>2027</v>
      </c>
      <c r="B418" s="0" t="n">
        <v>44.25374869</v>
      </c>
      <c r="C418" s="0" t="n">
        <v>929.3287224</v>
      </c>
      <c r="E418" s="0" t="n">
        <v>2027</v>
      </c>
      <c r="F418" s="0" t="n">
        <v>15.368556</v>
      </c>
      <c r="G418" s="0" t="n">
        <v>322.175294</v>
      </c>
      <c r="I418" s="0" t="n">
        <v>2026</v>
      </c>
      <c r="J418" s="0" t="n">
        <v>7.8</v>
      </c>
      <c r="K418" s="0" t="n">
        <v>163.72</v>
      </c>
      <c r="M418" s="0" t="n">
        <v>2027</v>
      </c>
      <c r="N418" s="0" t="n">
        <v>112.6</v>
      </c>
      <c r="O418" s="0" t="n">
        <v>2363.1</v>
      </c>
      <c r="Q418" s="0" t="n">
        <v>2027</v>
      </c>
      <c r="R418" s="0" t="n">
        <v>8</v>
      </c>
      <c r="T418" s="0" t="n">
        <v>2031</v>
      </c>
      <c r="U418" s="0" t="n">
        <v>8236</v>
      </c>
      <c r="W418" s="0" t="n">
        <v>2027</v>
      </c>
      <c r="X418" s="0" t="n">
        <v>4874.903</v>
      </c>
    </row>
    <row r="419" customFormat="false" ht="15" hidden="false" customHeight="false" outlineLevel="0" collapsed="false">
      <c r="A419" s="0" t="n">
        <v>2027</v>
      </c>
      <c r="B419" s="0" t="n">
        <v>32.91741776</v>
      </c>
      <c r="C419" s="0" t="n">
        <v>691.265773</v>
      </c>
      <c r="E419" s="0" t="n">
        <v>2027</v>
      </c>
      <c r="F419" s="0" t="n">
        <v>265.711633</v>
      </c>
      <c r="G419" s="0" t="n">
        <v>5579.430344</v>
      </c>
      <c r="I419" s="0" t="n">
        <v>2026</v>
      </c>
      <c r="J419" s="0" t="n">
        <v>7.8</v>
      </c>
      <c r="K419" s="0" t="n">
        <v>163.72</v>
      </c>
      <c r="M419" s="0" t="n">
        <v>2027</v>
      </c>
      <c r="N419" s="0" t="n">
        <v>67.56</v>
      </c>
      <c r="O419" s="0" t="n">
        <v>1417.86</v>
      </c>
      <c r="Q419" s="0" t="n">
        <v>2027</v>
      </c>
      <c r="R419" s="0" t="n">
        <v>8</v>
      </c>
      <c r="T419" s="0" t="n">
        <v>2031</v>
      </c>
      <c r="U419" s="0" t="n">
        <v>54827</v>
      </c>
      <c r="W419" s="0" t="n">
        <v>2027</v>
      </c>
      <c r="X419" s="0" t="n">
        <v>5022.62</v>
      </c>
    </row>
    <row r="420" customFormat="false" ht="15" hidden="false" customHeight="false" outlineLevel="0" collapsed="false">
      <c r="A420" s="0" t="n">
        <v>2027</v>
      </c>
      <c r="B420" s="0" t="n">
        <v>14.62996345</v>
      </c>
      <c r="C420" s="0" t="n">
        <v>307.2292324</v>
      </c>
      <c r="E420" s="0" t="n">
        <v>2027</v>
      </c>
      <c r="F420" s="0" t="n">
        <v>71.346517</v>
      </c>
      <c r="G420" s="0" t="n">
        <v>1498.138856</v>
      </c>
      <c r="I420" s="0" t="n">
        <v>2026</v>
      </c>
      <c r="J420" s="0" t="n">
        <v>3.9</v>
      </c>
      <c r="K420" s="0" t="n">
        <v>81.86</v>
      </c>
      <c r="M420" s="0" t="n">
        <v>2027</v>
      </c>
      <c r="N420" s="0" t="n">
        <v>56.3</v>
      </c>
      <c r="O420" s="0" t="n">
        <v>1181.55</v>
      </c>
      <c r="Q420" s="0" t="n">
        <v>2027</v>
      </c>
      <c r="R420" s="0" t="n">
        <v>8</v>
      </c>
      <c r="T420" s="0" t="n">
        <v>2031</v>
      </c>
      <c r="U420" s="0" t="n">
        <v>1696</v>
      </c>
      <c r="W420" s="0" t="n">
        <v>2027</v>
      </c>
      <c r="X420" s="0" t="n">
        <v>1255.655</v>
      </c>
    </row>
    <row r="421" customFormat="false" ht="15" hidden="false" customHeight="false" outlineLevel="0" collapsed="false">
      <c r="A421" s="0" t="n">
        <v>2027</v>
      </c>
      <c r="B421" s="0" t="n">
        <v>54.03692999</v>
      </c>
      <c r="C421" s="0" t="n">
        <v>1134.77553</v>
      </c>
      <c r="E421" s="0" t="n">
        <v>2027</v>
      </c>
      <c r="F421" s="0" t="n">
        <v>28.557529</v>
      </c>
      <c r="G421" s="0" t="n">
        <v>599.652872</v>
      </c>
      <c r="I421" s="0" t="n">
        <v>2026</v>
      </c>
      <c r="J421" s="0" t="n">
        <v>3.9</v>
      </c>
      <c r="K421" s="0" t="n">
        <v>81.86</v>
      </c>
      <c r="M421" s="0" t="n">
        <v>2027</v>
      </c>
      <c r="N421" s="0" t="n">
        <v>45.04</v>
      </c>
      <c r="O421" s="0" t="n">
        <v>945.24</v>
      </c>
      <c r="Q421" s="0" t="n">
        <v>2027</v>
      </c>
      <c r="R421" s="0" t="n">
        <v>178</v>
      </c>
      <c r="T421" s="0" t="n">
        <v>2031</v>
      </c>
      <c r="U421" s="0" t="n">
        <v>93989</v>
      </c>
      <c r="W421" s="0" t="n">
        <v>2027</v>
      </c>
      <c r="X421" s="0" t="n">
        <v>388.848</v>
      </c>
    </row>
    <row r="422" customFormat="false" ht="15" hidden="false" customHeight="false" outlineLevel="0" collapsed="false">
      <c r="A422" s="0" t="n">
        <v>2027</v>
      </c>
      <c r="B422" s="0" t="n">
        <v>16.91544605</v>
      </c>
      <c r="C422" s="0" t="n">
        <v>355.224367</v>
      </c>
      <c r="E422" s="0" t="n">
        <v>2027</v>
      </c>
      <c r="F422" s="0" t="n">
        <v>4.011403</v>
      </c>
      <c r="G422" s="0" t="n">
        <v>84.231704</v>
      </c>
      <c r="I422" s="0" t="n">
        <v>2026</v>
      </c>
      <c r="J422" s="0" t="n">
        <v>7.8</v>
      </c>
      <c r="K422" s="0" t="n">
        <v>163.72</v>
      </c>
      <c r="M422" s="0" t="n">
        <v>2027</v>
      </c>
      <c r="N422" s="0" t="n">
        <v>22.52</v>
      </c>
      <c r="O422" s="0" t="n">
        <v>472.62</v>
      </c>
      <c r="Q422" s="0" t="n">
        <v>2027</v>
      </c>
      <c r="R422" s="0" t="n">
        <v>169</v>
      </c>
      <c r="T422" s="0" t="n">
        <v>2031</v>
      </c>
      <c r="U422" s="0" t="n">
        <v>2906</v>
      </c>
      <c r="W422" s="0" t="n">
        <v>2027</v>
      </c>
      <c r="X422" s="0" t="n">
        <v>688.585</v>
      </c>
    </row>
    <row r="423" customFormat="false" ht="15" hidden="false" customHeight="false" outlineLevel="0" collapsed="false">
      <c r="A423" s="0" t="n">
        <v>2027</v>
      </c>
      <c r="B423" s="0" t="n">
        <v>37.82190364</v>
      </c>
      <c r="C423" s="0" t="n">
        <v>794.2599765</v>
      </c>
      <c r="E423" s="0" t="n">
        <v>2027</v>
      </c>
      <c r="F423" s="0" t="n">
        <v>95.892643</v>
      </c>
      <c r="G423" s="0" t="n">
        <v>2013.560024</v>
      </c>
      <c r="I423" s="0" t="n">
        <v>2026</v>
      </c>
      <c r="J423" s="0" t="n">
        <v>13.65</v>
      </c>
      <c r="K423" s="0" t="n">
        <v>286.51</v>
      </c>
      <c r="M423" s="0" t="n">
        <v>2027</v>
      </c>
      <c r="N423" s="0" t="n">
        <v>27.74</v>
      </c>
      <c r="O423" s="0" t="n">
        <v>578.74</v>
      </c>
      <c r="Q423" s="0" t="n">
        <v>2027</v>
      </c>
      <c r="R423" s="0" t="n">
        <v>80</v>
      </c>
      <c r="T423" s="0" t="n">
        <v>2031</v>
      </c>
      <c r="U423" s="0" t="n">
        <v>93989</v>
      </c>
      <c r="W423" s="0" t="n">
        <v>2027</v>
      </c>
      <c r="X423" s="0" t="n">
        <v>307.838</v>
      </c>
    </row>
    <row r="424" customFormat="false" ht="15" hidden="false" customHeight="false" outlineLevel="0" collapsed="false">
      <c r="A424" s="0" t="n">
        <v>2027</v>
      </c>
      <c r="B424" s="0" t="n">
        <v>1062.806917</v>
      </c>
      <c r="C424" s="0" t="n">
        <v>22318.94525</v>
      </c>
      <c r="E424" s="0" t="n">
        <v>2027</v>
      </c>
      <c r="F424" s="0" t="n">
        <v>4.489111</v>
      </c>
      <c r="G424" s="0" t="n">
        <v>94.262648</v>
      </c>
      <c r="I424" s="0" t="n">
        <v>2026</v>
      </c>
      <c r="J424" s="0" t="n">
        <v>5.85</v>
      </c>
      <c r="K424" s="0" t="n">
        <v>122.79</v>
      </c>
      <c r="M424" s="0" t="n">
        <v>2027</v>
      </c>
      <c r="N424" s="0" t="n">
        <v>18.25</v>
      </c>
      <c r="O424" s="0" t="n">
        <v>380.75</v>
      </c>
      <c r="Q424" s="0" t="n">
        <v>2027</v>
      </c>
      <c r="R424" s="0" t="n">
        <v>18</v>
      </c>
      <c r="T424" s="0" t="n">
        <v>2031</v>
      </c>
      <c r="U424" s="0" t="n">
        <v>2906</v>
      </c>
      <c r="W424" s="0" t="n">
        <v>2027</v>
      </c>
      <c r="X424" s="0" t="n">
        <v>121.515</v>
      </c>
    </row>
    <row r="425" customFormat="false" ht="15" hidden="false" customHeight="false" outlineLevel="0" collapsed="false">
      <c r="A425" s="0" t="n">
        <v>2027</v>
      </c>
      <c r="B425" s="0" t="n">
        <v>268.071332</v>
      </c>
      <c r="C425" s="0" t="n">
        <v>5629.497972</v>
      </c>
      <c r="E425" s="0" t="n">
        <v>2027</v>
      </c>
      <c r="F425" s="0" t="n">
        <v>24.546126</v>
      </c>
      <c r="G425" s="0" t="n">
        <v>515.421168</v>
      </c>
      <c r="I425" s="0" t="n">
        <v>2026</v>
      </c>
      <c r="J425" s="0" t="n">
        <v>5.85</v>
      </c>
      <c r="K425" s="0" t="n">
        <v>122.79</v>
      </c>
      <c r="M425" s="0" t="n">
        <v>2027</v>
      </c>
      <c r="N425" s="0" t="n">
        <v>7.3</v>
      </c>
      <c r="O425" s="0" t="n">
        <v>152.3</v>
      </c>
      <c r="Q425" s="0" t="n">
        <v>2027</v>
      </c>
      <c r="R425" s="0" t="n">
        <v>18</v>
      </c>
      <c r="T425" s="0" t="n">
        <v>2031</v>
      </c>
      <c r="U425" s="0" t="n">
        <v>46995</v>
      </c>
      <c r="W425" s="0" t="n">
        <v>2027</v>
      </c>
      <c r="X425" s="0" t="n">
        <v>178.222</v>
      </c>
    </row>
    <row r="426" customFormat="false" ht="15" hidden="false" customHeight="false" outlineLevel="0" collapsed="false">
      <c r="A426" s="0" t="n">
        <v>2027</v>
      </c>
      <c r="B426" s="0" t="n">
        <v>239.0541012</v>
      </c>
      <c r="C426" s="0" t="n">
        <v>5020.136125</v>
      </c>
      <c r="E426" s="0" t="n">
        <v>2027</v>
      </c>
      <c r="F426" s="0" t="n">
        <v>22.445038</v>
      </c>
      <c r="G426" s="0" t="n">
        <v>471.302384</v>
      </c>
      <c r="I426" s="0" t="n">
        <v>2026</v>
      </c>
      <c r="J426" s="0" t="n">
        <v>26</v>
      </c>
      <c r="K426" s="0" t="n">
        <v>550.68</v>
      </c>
      <c r="M426" s="0" t="n">
        <v>2027</v>
      </c>
      <c r="N426" s="0" t="n">
        <v>7.3</v>
      </c>
      <c r="O426" s="0" t="n">
        <v>152.3</v>
      </c>
      <c r="Q426" s="0" t="n">
        <v>2027</v>
      </c>
      <c r="R426" s="0" t="n">
        <v>18</v>
      </c>
      <c r="T426" s="0" t="n">
        <v>2031</v>
      </c>
      <c r="U426" s="0" t="n">
        <v>1453</v>
      </c>
      <c r="W426" s="0" t="n">
        <v>2027</v>
      </c>
      <c r="X426" s="0" t="n">
        <v>137.717</v>
      </c>
    </row>
    <row r="427" customFormat="false" ht="15" hidden="false" customHeight="false" outlineLevel="0" collapsed="false">
      <c r="A427" s="0" t="n">
        <v>2027</v>
      </c>
      <c r="B427" s="0" t="n">
        <v>166.24796</v>
      </c>
      <c r="C427" s="0" t="n">
        <v>3491.20716</v>
      </c>
      <c r="E427" s="0" t="n">
        <v>2027</v>
      </c>
      <c r="F427" s="0" t="n">
        <v>742.656305</v>
      </c>
      <c r="G427" s="0" t="n">
        <v>15594.24056</v>
      </c>
      <c r="I427" s="0" t="n">
        <v>2026</v>
      </c>
      <c r="J427" s="0" t="n">
        <v>4</v>
      </c>
      <c r="K427" s="0" t="n">
        <v>84.72</v>
      </c>
      <c r="M427" s="0" t="n">
        <v>2027</v>
      </c>
      <c r="N427" s="0" t="n">
        <v>4.38</v>
      </c>
      <c r="O427" s="0" t="n">
        <v>91.38</v>
      </c>
      <c r="Q427" s="0" t="n">
        <v>2027</v>
      </c>
      <c r="R427" s="0" t="n">
        <v>629</v>
      </c>
      <c r="T427" s="0" t="n">
        <v>2031</v>
      </c>
      <c r="U427" s="0" t="n">
        <v>391622</v>
      </c>
      <c r="W427" s="0" t="n">
        <v>2027</v>
      </c>
      <c r="X427" s="0" t="n">
        <v>7542.92</v>
      </c>
    </row>
    <row r="428" customFormat="false" ht="15" hidden="false" customHeight="false" outlineLevel="0" collapsed="false">
      <c r="A428" s="0" t="n">
        <v>2027</v>
      </c>
      <c r="B428" s="0" t="n">
        <v>123.6607906</v>
      </c>
      <c r="C428" s="0" t="n">
        <v>2596.876603</v>
      </c>
      <c r="E428" s="0" t="n">
        <v>2027</v>
      </c>
      <c r="F428" s="0" t="n">
        <v>199.411445</v>
      </c>
      <c r="G428" s="0" t="n">
        <v>4187.226342</v>
      </c>
      <c r="I428" s="0" t="n">
        <v>2026</v>
      </c>
      <c r="J428" s="0" t="n">
        <v>3</v>
      </c>
      <c r="K428" s="0" t="n">
        <v>63.54</v>
      </c>
      <c r="M428" s="0" t="n">
        <v>2027</v>
      </c>
      <c r="N428" s="0" t="n">
        <v>3.65</v>
      </c>
      <c r="O428" s="0" t="n">
        <v>76.15</v>
      </c>
      <c r="Q428" s="0" t="n">
        <v>2027</v>
      </c>
      <c r="R428" s="0" t="n">
        <v>598</v>
      </c>
      <c r="T428" s="0" t="n">
        <v>2031</v>
      </c>
      <c r="U428" s="0" t="n">
        <v>12112</v>
      </c>
      <c r="W428" s="0" t="n">
        <v>2027</v>
      </c>
      <c r="X428" s="0" t="n">
        <v>1885.73</v>
      </c>
    </row>
    <row r="429" customFormat="false" ht="15" hidden="false" customHeight="false" outlineLevel="0" collapsed="false">
      <c r="A429" s="0" t="n">
        <v>2027</v>
      </c>
      <c r="B429" s="0" t="n">
        <v>54.96035139</v>
      </c>
      <c r="C429" s="0" t="n">
        <v>1154.167379</v>
      </c>
      <c r="E429" s="0" t="n">
        <v>2027</v>
      </c>
      <c r="F429" s="0" t="n">
        <v>79.817465</v>
      </c>
      <c r="G429" s="0" t="n">
        <v>1676.001054</v>
      </c>
      <c r="I429" s="0" t="n">
        <v>2026</v>
      </c>
      <c r="J429" s="0" t="n">
        <v>5</v>
      </c>
      <c r="K429" s="0" t="n">
        <v>105.9</v>
      </c>
      <c r="M429" s="0" t="n">
        <v>2027</v>
      </c>
      <c r="N429" s="0" t="n">
        <v>2.92</v>
      </c>
      <c r="O429" s="0" t="n">
        <v>60.92</v>
      </c>
      <c r="Q429" s="0" t="n">
        <v>2027</v>
      </c>
      <c r="R429" s="0" t="n">
        <v>283</v>
      </c>
      <c r="T429" s="0" t="n">
        <v>2031</v>
      </c>
      <c r="U429" s="0" t="n">
        <v>148816</v>
      </c>
      <c r="W429" s="0" t="n">
        <v>2027</v>
      </c>
      <c r="X429" s="0" t="n">
        <v>583.968</v>
      </c>
    </row>
    <row r="430" customFormat="false" ht="15" hidden="false" customHeight="false" outlineLevel="0" collapsed="false">
      <c r="A430" s="0" t="n">
        <v>2027</v>
      </c>
      <c r="B430" s="0" t="n">
        <v>203.0004156</v>
      </c>
      <c r="C430" s="0" t="n">
        <v>4263.008727</v>
      </c>
      <c r="E430" s="0" t="n">
        <v>2027</v>
      </c>
      <c r="F430" s="0" t="n">
        <v>11.211755</v>
      </c>
      <c r="G430" s="0" t="n">
        <v>235.423578</v>
      </c>
      <c r="I430" s="0" t="n">
        <v>2026</v>
      </c>
      <c r="J430" s="0" t="n">
        <v>1</v>
      </c>
      <c r="K430" s="0" t="n">
        <v>21.18</v>
      </c>
      <c r="M430" s="0" t="n">
        <v>2027</v>
      </c>
      <c r="N430" s="0" t="n">
        <v>1.46</v>
      </c>
      <c r="O430" s="0" t="n">
        <v>30.46</v>
      </c>
      <c r="Q430" s="0" t="n">
        <v>2027</v>
      </c>
      <c r="R430" s="0" t="n">
        <v>63</v>
      </c>
      <c r="T430" s="0" t="n">
        <v>2031</v>
      </c>
      <c r="U430" s="0" t="n">
        <v>4601</v>
      </c>
      <c r="W430" s="0" t="n">
        <v>2027</v>
      </c>
      <c r="X430" s="0" t="n">
        <v>1034.11</v>
      </c>
    </row>
    <row r="431" customFormat="false" ht="15" hidden="false" customHeight="false" outlineLevel="0" collapsed="false">
      <c r="A431" s="0" t="n">
        <v>2027</v>
      </c>
      <c r="B431" s="0" t="n">
        <v>63.54621882</v>
      </c>
      <c r="C431" s="0" t="n">
        <v>1334.470595</v>
      </c>
      <c r="E431" s="0" t="n">
        <v>2027</v>
      </c>
      <c r="F431" s="0" t="n">
        <v>268.017155</v>
      </c>
      <c r="G431" s="0" t="n">
        <v>5627.803818</v>
      </c>
      <c r="I431" s="0" t="n">
        <v>2026</v>
      </c>
      <c r="J431" s="0" t="n">
        <v>1</v>
      </c>
      <c r="K431" s="0" t="n">
        <v>21.18</v>
      </c>
      <c r="M431" s="0" t="n">
        <v>2027</v>
      </c>
      <c r="N431" s="0" t="n">
        <v>49.02</v>
      </c>
      <c r="O431" s="0" t="n">
        <v>1022.96</v>
      </c>
      <c r="Q431" s="0" t="n">
        <v>2027</v>
      </c>
      <c r="R431" s="0" t="n">
        <v>58</v>
      </c>
      <c r="T431" s="0" t="n">
        <v>2031</v>
      </c>
      <c r="U431" s="0" t="n">
        <v>172313</v>
      </c>
      <c r="W431" s="0" t="n">
        <v>2027</v>
      </c>
      <c r="X431" s="0" t="n">
        <v>462.308</v>
      </c>
    </row>
    <row r="432" customFormat="false" ht="15" hidden="false" customHeight="false" outlineLevel="0" collapsed="false">
      <c r="A432" s="0" t="n">
        <v>2027</v>
      </c>
      <c r="B432" s="0" t="n">
        <v>142.0854619</v>
      </c>
      <c r="C432" s="0" t="n">
        <v>2983.7947</v>
      </c>
      <c r="E432" s="0" t="n">
        <v>2027</v>
      </c>
      <c r="F432" s="0" t="n">
        <v>12.546935</v>
      </c>
      <c r="G432" s="0" t="n">
        <v>263.459586</v>
      </c>
      <c r="I432" s="0" t="n">
        <v>2026</v>
      </c>
      <c r="J432" s="0" t="n">
        <v>0</v>
      </c>
      <c r="K432" s="0" t="n">
        <v>0</v>
      </c>
      <c r="M432" s="0" t="n">
        <v>2027</v>
      </c>
      <c r="N432" s="0" t="n">
        <v>32.25</v>
      </c>
      <c r="O432" s="0" t="n">
        <v>673</v>
      </c>
      <c r="Q432" s="0" t="n">
        <v>2027</v>
      </c>
      <c r="R432" s="0" t="n">
        <v>58</v>
      </c>
      <c r="T432" s="0" t="n">
        <v>2031</v>
      </c>
      <c r="U432" s="0" t="n">
        <v>5329</v>
      </c>
      <c r="W432" s="0" t="n">
        <v>2027</v>
      </c>
      <c r="X432" s="0" t="n">
        <v>182.49</v>
      </c>
    </row>
    <row r="433" customFormat="false" ht="15" hidden="false" customHeight="false" outlineLevel="0" collapsed="false">
      <c r="A433" s="0" t="n">
        <v>2027</v>
      </c>
      <c r="B433" s="0" t="n">
        <v>295.00743</v>
      </c>
      <c r="C433" s="0" t="n">
        <v>6195.156031</v>
      </c>
      <c r="E433" s="0" t="n">
        <v>2027</v>
      </c>
      <c r="F433" s="0" t="n">
        <v>68.60571</v>
      </c>
      <c r="G433" s="0" t="n">
        <v>1440.577476</v>
      </c>
      <c r="I433" s="0" t="n">
        <v>2026</v>
      </c>
      <c r="J433" s="0" t="n">
        <v>2</v>
      </c>
      <c r="K433" s="0" t="n">
        <v>42.36</v>
      </c>
      <c r="M433" s="0" t="n">
        <v>2027</v>
      </c>
      <c r="N433" s="0" t="n">
        <v>12.9</v>
      </c>
      <c r="O433" s="0" t="n">
        <v>269.2</v>
      </c>
      <c r="Q433" s="0" t="n">
        <v>2027</v>
      </c>
      <c r="R433" s="0" t="n">
        <v>113</v>
      </c>
      <c r="T433" s="0" t="n">
        <v>2031</v>
      </c>
      <c r="U433" s="0" t="n">
        <v>164481</v>
      </c>
      <c r="W433" s="0" t="n">
        <v>2027</v>
      </c>
      <c r="X433" s="0" t="n">
        <v>267.652</v>
      </c>
    </row>
    <row r="434" customFormat="false" ht="15" hidden="false" customHeight="false" outlineLevel="0" collapsed="false">
      <c r="A434" s="0" t="n">
        <v>2027</v>
      </c>
      <c r="B434" s="0" t="n">
        <v>74.40959734</v>
      </c>
      <c r="C434" s="0" t="n">
        <v>1562.601544</v>
      </c>
      <c r="E434" s="0" t="n">
        <v>2027</v>
      </c>
      <c r="F434" s="0" t="n">
        <v>62.73323</v>
      </c>
      <c r="G434" s="0" t="n">
        <v>1317.267588</v>
      </c>
      <c r="I434" s="0" t="n">
        <v>2026</v>
      </c>
      <c r="J434" s="0" t="n">
        <v>3.5</v>
      </c>
      <c r="K434" s="0" t="n">
        <v>74.13</v>
      </c>
      <c r="M434" s="0" t="n">
        <v>2027</v>
      </c>
      <c r="N434" s="0" t="n">
        <v>12.9</v>
      </c>
      <c r="O434" s="0" t="n">
        <v>269.2</v>
      </c>
      <c r="Q434" s="0" t="n">
        <v>2027</v>
      </c>
      <c r="R434" s="0" t="n">
        <v>107</v>
      </c>
      <c r="T434" s="0" t="n">
        <v>2031</v>
      </c>
      <c r="U434" s="0" t="n">
        <v>5088</v>
      </c>
      <c r="W434" s="0" t="n">
        <v>2027</v>
      </c>
      <c r="X434" s="0" t="n">
        <v>206.822</v>
      </c>
    </row>
    <row r="435" customFormat="false" ht="15" hidden="false" customHeight="false" outlineLevel="0" collapsed="false">
      <c r="A435" s="0" t="n">
        <v>2027</v>
      </c>
      <c r="B435" s="0" t="n">
        <v>66.35517226</v>
      </c>
      <c r="C435" s="0" t="n">
        <v>1393.458617</v>
      </c>
      <c r="E435" s="0" t="n">
        <v>2027</v>
      </c>
      <c r="F435" s="0" t="n">
        <v>234.874693</v>
      </c>
      <c r="G435" s="0" t="n">
        <v>4925.687216</v>
      </c>
      <c r="I435" s="0" t="n">
        <v>2026</v>
      </c>
      <c r="J435" s="0" t="n">
        <v>1</v>
      </c>
      <c r="K435" s="0" t="n">
        <v>21.18</v>
      </c>
      <c r="M435" s="0" t="n">
        <v>2027</v>
      </c>
      <c r="N435" s="0" t="n">
        <v>7.74</v>
      </c>
      <c r="O435" s="0" t="n">
        <v>161.52</v>
      </c>
      <c r="Q435" s="0" t="n">
        <v>2027</v>
      </c>
      <c r="R435" s="0" t="n">
        <v>51</v>
      </c>
      <c r="T435" s="0" t="n">
        <v>2031</v>
      </c>
      <c r="U435" s="0" t="n">
        <v>156650</v>
      </c>
      <c r="W435" s="0" t="n">
        <v>2027</v>
      </c>
      <c r="X435" s="0" t="n">
        <v>7283.76</v>
      </c>
    </row>
    <row r="436" customFormat="false" ht="15" hidden="false" customHeight="false" outlineLevel="0" collapsed="false">
      <c r="A436" s="0" t="n">
        <v>2027</v>
      </c>
      <c r="B436" s="0" t="n">
        <v>46.1460898</v>
      </c>
      <c r="C436" s="0" t="n">
        <v>969.0678859</v>
      </c>
      <c r="E436" s="0" t="n">
        <v>2027</v>
      </c>
      <c r="F436" s="0" t="n">
        <v>63.066457</v>
      </c>
      <c r="G436" s="0" t="n">
        <v>1322.601584</v>
      </c>
      <c r="I436" s="0" t="n">
        <v>2026</v>
      </c>
      <c r="J436" s="0" t="n">
        <v>3.5</v>
      </c>
      <c r="K436" s="0" t="n">
        <v>74.13</v>
      </c>
      <c r="M436" s="0" t="n">
        <v>2027</v>
      </c>
      <c r="N436" s="0" t="n">
        <v>6.45</v>
      </c>
      <c r="O436" s="0" t="n">
        <v>134.6</v>
      </c>
      <c r="Q436" s="0" t="n">
        <v>2027</v>
      </c>
      <c r="R436" s="0" t="n">
        <v>11</v>
      </c>
      <c r="T436" s="0" t="n">
        <v>2031</v>
      </c>
      <c r="U436" s="0" t="n">
        <v>4844</v>
      </c>
      <c r="W436" s="0" t="n">
        <v>2027</v>
      </c>
      <c r="X436" s="0" t="n">
        <v>1820.94</v>
      </c>
    </row>
    <row r="437" customFormat="false" ht="15" hidden="false" customHeight="false" outlineLevel="0" collapsed="false">
      <c r="A437" s="0" t="n">
        <v>2027</v>
      </c>
      <c r="B437" s="0" t="n">
        <v>34.32500435</v>
      </c>
      <c r="C437" s="0" t="n">
        <v>720.8250913</v>
      </c>
      <c r="E437" s="0" t="n">
        <v>2027</v>
      </c>
      <c r="F437" s="0" t="n">
        <v>25.243309</v>
      </c>
      <c r="G437" s="0" t="n">
        <v>529.391408</v>
      </c>
      <c r="I437" s="0" t="n">
        <v>2026</v>
      </c>
      <c r="J437" s="0" t="n">
        <v>228</v>
      </c>
      <c r="K437" s="0" t="n">
        <v>4787.04</v>
      </c>
      <c r="M437" s="0" t="n">
        <v>2027</v>
      </c>
      <c r="N437" s="0" t="n">
        <v>5.16</v>
      </c>
      <c r="O437" s="0" t="n">
        <v>107.68</v>
      </c>
      <c r="Q437" s="0" t="n">
        <v>2027</v>
      </c>
      <c r="R437" s="0" t="n">
        <v>11</v>
      </c>
      <c r="T437" s="0" t="n">
        <v>2031</v>
      </c>
      <c r="U437" s="0" t="n">
        <v>117488</v>
      </c>
      <c r="W437" s="0" t="n">
        <v>2027</v>
      </c>
      <c r="X437" s="0" t="n">
        <v>563.904</v>
      </c>
    </row>
    <row r="438" customFormat="false" ht="15" hidden="false" customHeight="false" outlineLevel="0" collapsed="false">
      <c r="A438" s="0" t="n">
        <v>2027</v>
      </c>
      <c r="B438" s="0" t="n">
        <v>15.25555749</v>
      </c>
      <c r="C438" s="0" t="n">
        <v>320.3667072</v>
      </c>
      <c r="E438" s="0" t="n">
        <v>2027</v>
      </c>
      <c r="F438" s="0" t="n">
        <v>3.545863</v>
      </c>
      <c r="G438" s="0" t="n">
        <v>74.362256</v>
      </c>
      <c r="I438" s="0" t="n">
        <v>2026</v>
      </c>
      <c r="J438" s="0" t="n">
        <v>76</v>
      </c>
      <c r="K438" s="0" t="n">
        <v>1595.68</v>
      </c>
      <c r="M438" s="0" t="n">
        <v>2027</v>
      </c>
      <c r="N438" s="0" t="n">
        <v>2.58</v>
      </c>
      <c r="O438" s="0" t="n">
        <v>53.84</v>
      </c>
      <c r="Q438" s="0" t="n">
        <v>2027</v>
      </c>
      <c r="R438" s="0" t="n">
        <v>11</v>
      </c>
      <c r="T438" s="0" t="n">
        <v>2031</v>
      </c>
      <c r="U438" s="0" t="n">
        <v>3634</v>
      </c>
      <c r="W438" s="0" t="n">
        <v>2027</v>
      </c>
      <c r="X438" s="0" t="n">
        <v>998.58</v>
      </c>
    </row>
    <row r="439" customFormat="false" ht="15" hidden="false" customHeight="false" outlineLevel="0" collapsed="false">
      <c r="A439" s="0" t="n">
        <v>2027</v>
      </c>
      <c r="B439" s="0" t="n">
        <v>56.34761117</v>
      </c>
      <c r="C439" s="0" t="n">
        <v>1183.299835</v>
      </c>
      <c r="E439" s="0" t="n">
        <v>2027</v>
      </c>
      <c r="F439" s="0" t="n">
        <v>84.763903</v>
      </c>
      <c r="G439" s="0" t="n">
        <v>1777.630736</v>
      </c>
      <c r="I439" s="0" t="n">
        <v>2026</v>
      </c>
      <c r="J439" s="0" t="n">
        <v>33.25</v>
      </c>
      <c r="K439" s="0" t="n">
        <v>698.11</v>
      </c>
      <c r="M439" s="0" t="n">
        <v>2027</v>
      </c>
      <c r="N439" s="0" t="n">
        <v>57.76</v>
      </c>
      <c r="O439" s="0" t="n">
        <v>1207.26</v>
      </c>
      <c r="Q439" s="0" t="n">
        <v>2027</v>
      </c>
      <c r="R439" s="0" t="n">
        <v>113</v>
      </c>
      <c r="T439" s="0" t="n">
        <v>2031</v>
      </c>
      <c r="U439" s="0" t="n">
        <v>101822</v>
      </c>
      <c r="W439" s="0" t="n">
        <v>2027</v>
      </c>
      <c r="X439" s="0" t="n">
        <v>446.424</v>
      </c>
    </row>
    <row r="440" customFormat="false" ht="15" hidden="false" customHeight="false" outlineLevel="0" collapsed="false">
      <c r="A440" s="0" t="n">
        <v>2027</v>
      </c>
      <c r="B440" s="0" t="n">
        <v>17.63876995</v>
      </c>
      <c r="C440" s="0" t="n">
        <v>370.4141689</v>
      </c>
      <c r="E440" s="0" t="n">
        <v>2027</v>
      </c>
      <c r="F440" s="0" t="n">
        <v>3.968131</v>
      </c>
      <c r="G440" s="0" t="n">
        <v>83.217872</v>
      </c>
      <c r="I440" s="0" t="n">
        <v>2026</v>
      </c>
      <c r="J440" s="0" t="n">
        <v>19</v>
      </c>
      <c r="K440" s="0" t="n">
        <v>398.92</v>
      </c>
      <c r="M440" s="0" t="n">
        <v>2027</v>
      </c>
      <c r="N440" s="0" t="n">
        <v>38</v>
      </c>
      <c r="O440" s="0" t="n">
        <v>794.25</v>
      </c>
      <c r="Q440" s="0" t="n">
        <v>2027</v>
      </c>
      <c r="R440" s="0" t="n">
        <v>107</v>
      </c>
      <c r="T440" s="0" t="n">
        <v>2031</v>
      </c>
      <c r="U440" s="0" t="n">
        <v>3149</v>
      </c>
      <c r="W440" s="0" t="n">
        <v>2027</v>
      </c>
      <c r="X440" s="0" t="n">
        <v>176.22</v>
      </c>
    </row>
    <row r="441" customFormat="false" ht="15" hidden="false" customHeight="false" outlineLevel="0" collapsed="false">
      <c r="A441" s="0" t="n">
        <v>2027</v>
      </c>
      <c r="B441" s="0" t="n">
        <v>39.43921168</v>
      </c>
      <c r="C441" s="0" t="n">
        <v>828.2234453</v>
      </c>
      <c r="E441" s="0" t="n">
        <v>2027</v>
      </c>
      <c r="F441" s="0" t="n">
        <v>21.697446</v>
      </c>
      <c r="G441" s="0" t="n">
        <v>455.029152</v>
      </c>
      <c r="I441" s="0" t="n">
        <v>2026</v>
      </c>
      <c r="J441" s="0" t="n">
        <v>19</v>
      </c>
      <c r="K441" s="0" t="n">
        <v>398.92</v>
      </c>
      <c r="M441" s="0" t="n">
        <v>2027</v>
      </c>
      <c r="N441" s="0" t="n">
        <v>15.2</v>
      </c>
      <c r="O441" s="0" t="n">
        <v>317.7</v>
      </c>
      <c r="Q441" s="0" t="n">
        <v>2027</v>
      </c>
      <c r="R441" s="0" t="n">
        <v>51</v>
      </c>
      <c r="T441" s="0" t="n">
        <v>2031</v>
      </c>
      <c r="U441" s="0" t="n">
        <v>86157</v>
      </c>
      <c r="W441" s="0" t="n">
        <v>2027</v>
      </c>
      <c r="X441" s="0" t="n">
        <v>258.456</v>
      </c>
    </row>
    <row r="442" customFormat="false" ht="15" hidden="false" customHeight="false" outlineLevel="0" collapsed="false">
      <c r="A442" s="0" t="n">
        <v>2027</v>
      </c>
      <c r="B442" s="0" t="n">
        <v>164.0329203</v>
      </c>
      <c r="C442" s="0" t="n">
        <v>3444.691327</v>
      </c>
      <c r="E442" s="0" t="n">
        <v>2027</v>
      </c>
      <c r="F442" s="0" t="n">
        <v>19.840198</v>
      </c>
      <c r="G442" s="0" t="n">
        <v>416.079776</v>
      </c>
      <c r="I442" s="0" t="n">
        <v>2026</v>
      </c>
      <c r="J442" s="0" t="n">
        <v>9.5</v>
      </c>
      <c r="K442" s="0" t="n">
        <v>199.46</v>
      </c>
      <c r="M442" s="0" t="n">
        <v>2027</v>
      </c>
      <c r="N442" s="0" t="n">
        <v>15.2</v>
      </c>
      <c r="O442" s="0" t="n">
        <v>317.7</v>
      </c>
      <c r="Q442" s="0" t="n">
        <v>2027</v>
      </c>
      <c r="R442" s="0" t="n">
        <v>11</v>
      </c>
      <c r="T442" s="0" t="n">
        <v>2031</v>
      </c>
      <c r="U442" s="0" t="n">
        <v>2665</v>
      </c>
      <c r="W442" s="0" t="n">
        <v>2027</v>
      </c>
      <c r="X442" s="0" t="n">
        <v>199.716</v>
      </c>
    </row>
    <row r="443" customFormat="false" ht="15" hidden="false" customHeight="false" outlineLevel="0" collapsed="false">
      <c r="A443" s="0" t="n">
        <v>2027</v>
      </c>
      <c r="B443" s="0" t="n">
        <v>41.37395303</v>
      </c>
      <c r="C443" s="0" t="n">
        <v>868.8530136</v>
      </c>
      <c r="E443" s="0" t="n">
        <v>2027</v>
      </c>
      <c r="F443" s="0" t="n">
        <v>585.387911</v>
      </c>
      <c r="G443" s="0" t="n">
        <v>12288.52059</v>
      </c>
      <c r="I443" s="0" t="n">
        <v>2026</v>
      </c>
      <c r="J443" s="0" t="n">
        <v>9.5</v>
      </c>
      <c r="K443" s="0" t="n">
        <v>199.46</v>
      </c>
      <c r="M443" s="0" t="n">
        <v>2027</v>
      </c>
      <c r="N443" s="0" t="n">
        <v>9.12</v>
      </c>
      <c r="O443" s="0" t="n">
        <v>190.62</v>
      </c>
      <c r="Q443" s="0" t="n">
        <v>2027</v>
      </c>
      <c r="R443" s="0" t="n">
        <v>11</v>
      </c>
      <c r="T443" s="0" t="n">
        <v>2031</v>
      </c>
      <c r="U443" s="0" t="n">
        <v>657927</v>
      </c>
      <c r="W443" s="0" t="n">
        <v>2027</v>
      </c>
      <c r="X443" s="0" t="n">
        <v>66933.34</v>
      </c>
    </row>
    <row r="444" customFormat="false" ht="15" hidden="false" customHeight="false" outlineLevel="0" collapsed="false">
      <c r="A444" s="0" t="n">
        <v>2027</v>
      </c>
      <c r="B444" s="0" t="n">
        <v>36.89545271</v>
      </c>
      <c r="C444" s="0" t="n">
        <v>774.804507</v>
      </c>
      <c r="E444" s="0" t="n">
        <v>2027</v>
      </c>
      <c r="F444" s="0" t="n">
        <v>157.183139</v>
      </c>
      <c r="G444" s="0" t="n">
        <v>3299.60391</v>
      </c>
      <c r="I444" s="0" t="n">
        <v>2026</v>
      </c>
      <c r="J444" s="0" t="n">
        <v>19</v>
      </c>
      <c r="K444" s="0" t="n">
        <v>398.92</v>
      </c>
      <c r="M444" s="0" t="n">
        <v>2027</v>
      </c>
      <c r="N444" s="0" t="n">
        <v>7.6</v>
      </c>
      <c r="O444" s="0" t="n">
        <v>158.85</v>
      </c>
      <c r="Q444" s="0" t="n">
        <v>2027</v>
      </c>
      <c r="R444" s="0" t="n">
        <v>11</v>
      </c>
      <c r="T444" s="0" t="n">
        <v>2031</v>
      </c>
      <c r="U444" s="0" t="n">
        <v>20348</v>
      </c>
      <c r="W444" s="0" t="n">
        <v>2027</v>
      </c>
      <c r="X444" s="0" t="n">
        <v>16733.335</v>
      </c>
    </row>
    <row r="445" customFormat="false" ht="15" hidden="false" customHeight="false" outlineLevel="0" collapsed="false">
      <c r="A445" s="0" t="n">
        <v>2027</v>
      </c>
      <c r="B445" s="0" t="n">
        <v>25.65860077</v>
      </c>
      <c r="C445" s="0" t="n">
        <v>538.8306163</v>
      </c>
      <c r="E445" s="0" t="n">
        <v>2027</v>
      </c>
      <c r="F445" s="0" t="n">
        <v>62.914943</v>
      </c>
      <c r="G445" s="0" t="n">
        <v>1320.71667</v>
      </c>
      <c r="I445" s="0" t="n">
        <v>2026</v>
      </c>
      <c r="J445" s="0" t="n">
        <v>33.25</v>
      </c>
      <c r="K445" s="0" t="n">
        <v>698.11</v>
      </c>
      <c r="M445" s="0" t="n">
        <v>2027</v>
      </c>
      <c r="N445" s="0" t="n">
        <v>6.08</v>
      </c>
      <c r="O445" s="0" t="n">
        <v>127.08</v>
      </c>
      <c r="Q445" s="0" t="n">
        <v>2027</v>
      </c>
      <c r="R445" s="0" t="n">
        <v>153</v>
      </c>
      <c r="T445" s="0" t="n">
        <v>2031</v>
      </c>
      <c r="U445" s="0" t="n">
        <v>93989</v>
      </c>
      <c r="W445" s="0" t="n">
        <v>2027</v>
      </c>
      <c r="X445" s="0" t="n">
        <v>5181.936</v>
      </c>
    </row>
    <row r="446" customFormat="false" ht="15" hidden="false" customHeight="false" outlineLevel="0" collapsed="false">
      <c r="A446" s="0" t="n">
        <v>2027</v>
      </c>
      <c r="B446" s="0" t="n">
        <v>19.08572507</v>
      </c>
      <c r="C446" s="0" t="n">
        <v>400.8002265</v>
      </c>
      <c r="E446" s="0" t="n">
        <v>2027</v>
      </c>
      <c r="F446" s="0" t="n">
        <v>8.837501</v>
      </c>
      <c r="G446" s="0" t="n">
        <v>185.51769</v>
      </c>
      <c r="I446" s="0" t="n">
        <v>2026</v>
      </c>
      <c r="J446" s="0" t="n">
        <v>14.25</v>
      </c>
      <c r="K446" s="0" t="n">
        <v>299.19</v>
      </c>
      <c r="M446" s="0" t="n">
        <v>2027</v>
      </c>
      <c r="N446" s="0" t="n">
        <v>3.04</v>
      </c>
      <c r="O446" s="0" t="n">
        <v>63.54</v>
      </c>
      <c r="Q446" s="0" t="n">
        <v>2027</v>
      </c>
      <c r="R446" s="0" t="n">
        <v>145</v>
      </c>
      <c r="T446" s="0" t="n">
        <v>2031</v>
      </c>
      <c r="U446" s="0" t="n">
        <v>2906</v>
      </c>
      <c r="W446" s="0" t="n">
        <v>2027</v>
      </c>
      <c r="X446" s="0" t="n">
        <v>9176.345</v>
      </c>
    </row>
    <row r="447" customFormat="false" ht="15" hidden="false" customHeight="false" outlineLevel="0" collapsed="false">
      <c r="A447" s="0" t="n">
        <v>2027</v>
      </c>
      <c r="B447" s="0" t="n">
        <v>8.482544477</v>
      </c>
      <c r="C447" s="0" t="n">
        <v>178.133434</v>
      </c>
      <c r="E447" s="0" t="n">
        <v>2027</v>
      </c>
      <c r="F447" s="0" t="n">
        <v>211.260581</v>
      </c>
      <c r="G447" s="0" t="n">
        <v>4434.80289</v>
      </c>
      <c r="I447" s="0" t="n">
        <v>2026</v>
      </c>
      <c r="J447" s="0" t="n">
        <v>14.25</v>
      </c>
      <c r="K447" s="0" t="n">
        <v>299.19</v>
      </c>
      <c r="M447" s="0" t="n">
        <v>2027</v>
      </c>
      <c r="N447" s="0" t="n">
        <v>110.96</v>
      </c>
      <c r="O447" s="0" t="n">
        <v>2324.84</v>
      </c>
      <c r="Q447" s="0" t="n">
        <v>2027</v>
      </c>
      <c r="R447" s="0" t="n">
        <v>69</v>
      </c>
      <c r="T447" s="0" t="n">
        <v>2031</v>
      </c>
      <c r="U447" s="0" t="n">
        <v>46995</v>
      </c>
      <c r="W447" s="0" t="n">
        <v>2027</v>
      </c>
      <c r="X447" s="0" t="n">
        <v>4102.366</v>
      </c>
    </row>
    <row r="448" customFormat="false" ht="15" hidden="false" customHeight="false" outlineLevel="0" collapsed="false">
      <c r="A448" s="0" t="n">
        <v>2027</v>
      </c>
      <c r="B448" s="0" t="n">
        <v>31.33095059</v>
      </c>
      <c r="C448" s="0" t="n">
        <v>657.9499625</v>
      </c>
      <c r="E448" s="0" t="n">
        <v>2027</v>
      </c>
      <c r="F448" s="0" t="n">
        <v>9.889937</v>
      </c>
      <c r="G448" s="0" t="n">
        <v>207.61053</v>
      </c>
      <c r="I448" s="0" t="n">
        <v>2026</v>
      </c>
      <c r="J448" s="0" t="n">
        <v>24.44</v>
      </c>
      <c r="K448" s="0" t="n">
        <v>514.28</v>
      </c>
      <c r="M448" s="0" t="n">
        <v>2027</v>
      </c>
      <c r="N448" s="0" t="n">
        <v>73</v>
      </c>
      <c r="O448" s="0" t="n">
        <v>1529.5</v>
      </c>
      <c r="Q448" s="0" t="n">
        <v>2027</v>
      </c>
      <c r="R448" s="0" t="n">
        <v>15</v>
      </c>
      <c r="T448" s="0" t="n">
        <v>2031</v>
      </c>
      <c r="U448" s="0" t="n">
        <v>1453</v>
      </c>
      <c r="W448" s="0" t="n">
        <v>2027</v>
      </c>
      <c r="X448" s="0" t="n">
        <v>1619.355</v>
      </c>
    </row>
    <row r="449" customFormat="false" ht="15" hidden="false" customHeight="false" outlineLevel="0" collapsed="false">
      <c r="A449" s="0" t="n">
        <v>2027</v>
      </c>
      <c r="B449" s="0" t="n">
        <v>9.807681607</v>
      </c>
      <c r="C449" s="0" t="n">
        <v>205.9613138</v>
      </c>
      <c r="E449" s="0" t="n">
        <v>2027</v>
      </c>
      <c r="F449" s="0" t="n">
        <v>54.077442</v>
      </c>
      <c r="G449" s="0" t="n">
        <v>1135.19898</v>
      </c>
      <c r="I449" s="0" t="n">
        <v>2026</v>
      </c>
      <c r="J449" s="0" t="n">
        <v>3.76</v>
      </c>
      <c r="K449" s="0" t="n">
        <v>79.12</v>
      </c>
      <c r="M449" s="0" t="n">
        <v>2027</v>
      </c>
      <c r="N449" s="0" t="n">
        <v>29.2</v>
      </c>
      <c r="O449" s="0" t="n">
        <v>611.8</v>
      </c>
      <c r="Q449" s="0" t="n">
        <v>2027</v>
      </c>
      <c r="R449" s="0" t="n">
        <v>13</v>
      </c>
      <c r="T449" s="0" t="n">
        <v>2031</v>
      </c>
      <c r="U449" s="0" t="n">
        <v>195812</v>
      </c>
      <c r="W449" s="0" t="n">
        <v>2027</v>
      </c>
      <c r="X449" s="0" t="n">
        <v>2375.054</v>
      </c>
    </row>
    <row r="450" customFormat="false" ht="15" hidden="false" customHeight="false" outlineLevel="0" collapsed="false">
      <c r="A450" s="0" t="n">
        <v>2027</v>
      </c>
      <c r="B450" s="0" t="n">
        <v>21.92937672</v>
      </c>
      <c r="C450" s="0" t="n">
        <v>460.5169111</v>
      </c>
      <c r="E450" s="0" t="n">
        <v>2027</v>
      </c>
      <c r="F450" s="0" t="n">
        <v>49.448546</v>
      </c>
      <c r="G450" s="0" t="n">
        <v>1038.02874</v>
      </c>
      <c r="I450" s="0" t="n">
        <v>2026</v>
      </c>
      <c r="J450" s="0" t="n">
        <v>2.82</v>
      </c>
      <c r="K450" s="0" t="n">
        <v>59.34</v>
      </c>
      <c r="M450" s="0" t="n">
        <v>2027</v>
      </c>
      <c r="N450" s="0" t="n">
        <v>29.2</v>
      </c>
      <c r="O450" s="0" t="n">
        <v>611.8</v>
      </c>
      <c r="Q450" s="0" t="n">
        <v>2027</v>
      </c>
      <c r="R450" s="0" t="n">
        <v>13</v>
      </c>
      <c r="T450" s="0" t="n">
        <v>2031</v>
      </c>
      <c r="U450" s="0" t="n">
        <v>6056</v>
      </c>
      <c r="W450" s="0" t="n">
        <v>2027</v>
      </c>
      <c r="X450" s="0" t="n">
        <v>1835.269</v>
      </c>
    </row>
    <row r="451" customFormat="false" ht="15" hidden="false" customHeight="false" outlineLevel="0" collapsed="false">
      <c r="A451" s="0" t="n">
        <v>2027</v>
      </c>
      <c r="B451" s="0" t="n">
        <v>140.1340843</v>
      </c>
      <c r="C451" s="0" t="n">
        <v>2942.81577</v>
      </c>
      <c r="E451" s="0" t="n">
        <v>2027</v>
      </c>
      <c r="F451" s="0" t="n">
        <v>1614.827758</v>
      </c>
      <c r="G451" s="0" t="n">
        <v>33903.15973</v>
      </c>
      <c r="I451" s="0" t="n">
        <v>2026</v>
      </c>
      <c r="J451" s="0" t="n">
        <v>4.7</v>
      </c>
      <c r="K451" s="0" t="n">
        <v>98.9</v>
      </c>
      <c r="M451" s="0" t="n">
        <v>2027</v>
      </c>
      <c r="N451" s="0" t="n">
        <v>17.52</v>
      </c>
      <c r="O451" s="0" t="n">
        <v>367.08</v>
      </c>
      <c r="Q451" s="0" t="n">
        <v>2028</v>
      </c>
      <c r="R451" s="0" t="n">
        <v>1435</v>
      </c>
      <c r="T451" s="0" t="n">
        <v>2032</v>
      </c>
      <c r="U451" s="0" t="n">
        <v>220816</v>
      </c>
      <c r="W451" s="0" t="n">
        <v>2027</v>
      </c>
      <c r="X451" s="0" t="n">
        <v>9410.36</v>
      </c>
    </row>
    <row r="452" customFormat="false" ht="15" hidden="false" customHeight="false" outlineLevel="0" collapsed="false">
      <c r="A452" s="0" t="n">
        <v>2027</v>
      </c>
      <c r="B452" s="0" t="n">
        <v>35.34595987</v>
      </c>
      <c r="C452" s="0" t="n">
        <v>742.2651573</v>
      </c>
      <c r="E452" s="0" t="n">
        <v>2027</v>
      </c>
      <c r="F452" s="0" t="n">
        <v>433.599142</v>
      </c>
      <c r="G452" s="0" t="n">
        <v>9103.373966</v>
      </c>
      <c r="I452" s="0" t="n">
        <v>2026</v>
      </c>
      <c r="J452" s="0" t="n">
        <v>0.94</v>
      </c>
      <c r="K452" s="0" t="n">
        <v>19.78</v>
      </c>
      <c r="M452" s="0" t="n">
        <v>2027</v>
      </c>
      <c r="N452" s="0" t="n">
        <v>14.6</v>
      </c>
      <c r="O452" s="0" t="n">
        <v>305.9</v>
      </c>
      <c r="Q452" s="0" t="n">
        <v>2028</v>
      </c>
      <c r="R452" s="0" t="n">
        <v>1363</v>
      </c>
      <c r="T452" s="0" t="n">
        <v>2032</v>
      </c>
      <c r="U452" s="0" t="n">
        <v>6829</v>
      </c>
      <c r="W452" s="0" t="n">
        <v>2027</v>
      </c>
      <c r="X452" s="0" t="n">
        <v>2352.59</v>
      </c>
    </row>
    <row r="453" customFormat="false" ht="15" hidden="false" customHeight="false" outlineLevel="0" collapsed="false">
      <c r="A453" s="0" t="n">
        <v>2027</v>
      </c>
      <c r="B453" s="0" t="n">
        <v>31.51995629</v>
      </c>
      <c r="C453" s="0" t="n">
        <v>661.9190821</v>
      </c>
      <c r="E453" s="0" t="n">
        <v>2027</v>
      </c>
      <c r="F453" s="0" t="n">
        <v>173.554654</v>
      </c>
      <c r="G453" s="0" t="n">
        <v>3643.763942</v>
      </c>
      <c r="I453" s="0" t="n">
        <v>2026</v>
      </c>
      <c r="J453" s="0" t="n">
        <v>0.94</v>
      </c>
      <c r="K453" s="0" t="n">
        <v>19.78</v>
      </c>
      <c r="M453" s="0" t="n">
        <v>2027</v>
      </c>
      <c r="N453" s="0" t="n">
        <v>11.68</v>
      </c>
      <c r="O453" s="0" t="n">
        <v>244.72</v>
      </c>
      <c r="Q453" s="0" t="n">
        <v>2028</v>
      </c>
      <c r="R453" s="0" t="n">
        <v>646</v>
      </c>
      <c r="T453" s="0" t="n">
        <v>2032</v>
      </c>
      <c r="U453" s="0" t="n">
        <v>426550</v>
      </c>
      <c r="W453" s="0" t="n">
        <v>2027</v>
      </c>
      <c r="X453" s="0" t="n">
        <v>728.544</v>
      </c>
    </row>
    <row r="454" customFormat="false" ht="15" hidden="false" customHeight="false" outlineLevel="0" collapsed="false">
      <c r="A454" s="0" t="n">
        <v>2027</v>
      </c>
      <c r="B454" s="0" t="n">
        <v>21.92026159</v>
      </c>
      <c r="C454" s="0" t="n">
        <v>460.3254934</v>
      </c>
      <c r="E454" s="0" t="n">
        <v>2027</v>
      </c>
      <c r="F454" s="0" t="n">
        <v>24.378778</v>
      </c>
      <c r="G454" s="0" t="n">
        <v>511.830194</v>
      </c>
      <c r="I454" s="0" t="n">
        <v>2026</v>
      </c>
      <c r="J454" s="0" t="n">
        <v>0</v>
      </c>
      <c r="K454" s="0" t="n">
        <v>0</v>
      </c>
      <c r="M454" s="0" t="n">
        <v>2027</v>
      </c>
      <c r="N454" s="0" t="n">
        <v>5.84</v>
      </c>
      <c r="O454" s="0" t="n">
        <v>122.36</v>
      </c>
      <c r="Q454" s="0" t="n">
        <v>2028</v>
      </c>
      <c r="R454" s="0" t="n">
        <v>143</v>
      </c>
      <c r="T454" s="0" t="n">
        <v>2032</v>
      </c>
      <c r="U454" s="0" t="n">
        <v>13193</v>
      </c>
      <c r="W454" s="0" t="n">
        <v>2027</v>
      </c>
      <c r="X454" s="0" t="n">
        <v>1290.13</v>
      </c>
    </row>
    <row r="455" customFormat="false" ht="15" hidden="false" customHeight="false" outlineLevel="0" collapsed="false">
      <c r="A455" s="0" t="n">
        <v>2027</v>
      </c>
      <c r="B455" s="0" t="n">
        <v>16.30502341</v>
      </c>
      <c r="C455" s="0" t="n">
        <v>342.4054915</v>
      </c>
      <c r="E455" s="0" t="n">
        <v>2027</v>
      </c>
      <c r="F455" s="0" t="n">
        <v>582.775018</v>
      </c>
      <c r="G455" s="0" t="n">
        <v>12235.30771</v>
      </c>
      <c r="I455" s="0" t="n">
        <v>2026</v>
      </c>
      <c r="J455" s="0" t="n">
        <v>1.88</v>
      </c>
      <c r="K455" s="0" t="n">
        <v>39.56</v>
      </c>
      <c r="M455" s="0" t="n">
        <v>2027</v>
      </c>
      <c r="N455" s="0" t="n">
        <v>111.34</v>
      </c>
      <c r="O455" s="0" t="n">
        <v>2330.92</v>
      </c>
      <c r="Q455" s="0" t="n">
        <v>2028</v>
      </c>
      <c r="R455" s="0" t="n">
        <v>133</v>
      </c>
      <c r="T455" s="0" t="n">
        <v>2032</v>
      </c>
      <c r="U455" s="0" t="n">
        <v>211162</v>
      </c>
      <c r="W455" s="0" t="n">
        <v>2027</v>
      </c>
      <c r="X455" s="0" t="n">
        <v>576.764</v>
      </c>
    </row>
    <row r="456" customFormat="false" ht="15" hidden="false" customHeight="false" outlineLevel="0" collapsed="false">
      <c r="A456" s="0" t="n">
        <v>2027</v>
      </c>
      <c r="B456" s="0" t="n">
        <v>7.246677069</v>
      </c>
      <c r="C456" s="0" t="n">
        <v>152.1802185</v>
      </c>
      <c r="E456" s="0" t="n">
        <v>2027</v>
      </c>
      <c r="F456" s="0" t="n">
        <v>27.281986</v>
      </c>
      <c r="G456" s="0" t="n">
        <v>572.782778</v>
      </c>
      <c r="I456" s="0" t="n">
        <v>2026</v>
      </c>
      <c r="J456" s="0" t="n">
        <v>3.29</v>
      </c>
      <c r="K456" s="0" t="n">
        <v>69.23</v>
      </c>
      <c r="M456" s="0" t="n">
        <v>2027</v>
      </c>
      <c r="N456" s="0" t="n">
        <v>73.25</v>
      </c>
      <c r="O456" s="0" t="n">
        <v>1533.5</v>
      </c>
      <c r="Q456" s="0" t="n">
        <v>2028</v>
      </c>
      <c r="R456" s="0" t="n">
        <v>133</v>
      </c>
      <c r="T456" s="0" t="n">
        <v>2032</v>
      </c>
      <c r="U456" s="0" t="n">
        <v>6531</v>
      </c>
      <c r="W456" s="0" t="n">
        <v>2027</v>
      </c>
      <c r="X456" s="0" t="n">
        <v>227.67</v>
      </c>
    </row>
    <row r="457" customFormat="false" ht="15" hidden="false" customHeight="false" outlineLevel="0" collapsed="false">
      <c r="A457" s="0" t="n">
        <v>2027</v>
      </c>
      <c r="B457" s="0" t="n">
        <v>26.76617633</v>
      </c>
      <c r="C457" s="0" t="n">
        <v>562.089703</v>
      </c>
      <c r="E457" s="0" t="n">
        <v>2027</v>
      </c>
      <c r="F457" s="0" t="n">
        <v>149.175876</v>
      </c>
      <c r="G457" s="0" t="n">
        <v>3131.933748</v>
      </c>
      <c r="I457" s="0" t="n">
        <v>2026</v>
      </c>
      <c r="J457" s="0" t="n">
        <v>0.94</v>
      </c>
      <c r="K457" s="0" t="n">
        <v>19.78</v>
      </c>
      <c r="M457" s="0" t="n">
        <v>2027</v>
      </c>
      <c r="N457" s="0" t="n">
        <v>29.3</v>
      </c>
      <c r="O457" s="0" t="n">
        <v>613.4</v>
      </c>
      <c r="Q457" s="0" t="n">
        <v>2028</v>
      </c>
      <c r="R457" s="0" t="n">
        <v>421</v>
      </c>
      <c r="T457" s="0" t="n">
        <v>2032</v>
      </c>
      <c r="U457" s="0" t="n">
        <v>272400</v>
      </c>
      <c r="W457" s="0" t="n">
        <v>2027</v>
      </c>
      <c r="X457" s="0" t="n">
        <v>333.916</v>
      </c>
    </row>
    <row r="458" customFormat="false" ht="15" hidden="false" customHeight="false" outlineLevel="0" collapsed="false">
      <c r="A458" s="0" t="n">
        <v>2027</v>
      </c>
      <c r="B458" s="0" t="n">
        <v>8.378747863</v>
      </c>
      <c r="C458" s="0" t="n">
        <v>175.9537051</v>
      </c>
      <c r="E458" s="0" t="n">
        <v>2027</v>
      </c>
      <c r="F458" s="0" t="n">
        <v>136.406788</v>
      </c>
      <c r="G458" s="0" t="n">
        <v>2863.847924</v>
      </c>
      <c r="I458" s="0" t="n">
        <v>2026</v>
      </c>
      <c r="J458" s="0" t="n">
        <v>3.29</v>
      </c>
      <c r="K458" s="0" t="n">
        <v>69.23</v>
      </c>
      <c r="M458" s="0" t="n">
        <v>2027</v>
      </c>
      <c r="N458" s="0" t="n">
        <v>29.3</v>
      </c>
      <c r="O458" s="0" t="n">
        <v>613.4</v>
      </c>
      <c r="Q458" s="0" t="n">
        <v>2028</v>
      </c>
      <c r="R458" s="0" t="n">
        <v>400</v>
      </c>
      <c r="T458" s="0" t="n">
        <v>2032</v>
      </c>
      <c r="U458" s="0" t="n">
        <v>8425</v>
      </c>
      <c r="W458" s="0" t="n">
        <v>2027</v>
      </c>
      <c r="X458" s="0" t="n">
        <v>258.026</v>
      </c>
    </row>
    <row r="459" customFormat="false" ht="15" hidden="false" customHeight="false" outlineLevel="0" collapsed="false">
      <c r="A459" s="0" t="n">
        <v>2027</v>
      </c>
      <c r="B459" s="0" t="n">
        <v>18.73436819</v>
      </c>
      <c r="C459" s="0" t="n">
        <v>393.421732</v>
      </c>
      <c r="E459" s="0" t="n">
        <v>2027</v>
      </c>
      <c r="F459" s="0" t="n">
        <v>860.350626</v>
      </c>
      <c r="G459" s="0" t="n">
        <v>18066.8492</v>
      </c>
      <c r="I459" s="0" t="n">
        <v>2026</v>
      </c>
      <c r="J459" s="0" t="n">
        <v>20.16</v>
      </c>
      <c r="K459" s="0" t="n">
        <v>419.04</v>
      </c>
      <c r="M459" s="0" t="n">
        <v>2027</v>
      </c>
      <c r="N459" s="0" t="n">
        <v>17.58</v>
      </c>
      <c r="O459" s="0" t="n">
        <v>368.04</v>
      </c>
      <c r="Q459" s="0" t="n">
        <v>2028</v>
      </c>
      <c r="R459" s="0" t="n">
        <v>189</v>
      </c>
      <c r="T459" s="0" t="n">
        <v>2032</v>
      </c>
      <c r="U459" s="0" t="n">
        <v>310108</v>
      </c>
      <c r="W459" s="0" t="n">
        <v>2027</v>
      </c>
      <c r="X459" s="0" t="n">
        <v>10520.16</v>
      </c>
    </row>
    <row r="460" customFormat="false" ht="15" hidden="false" customHeight="false" outlineLevel="0" collapsed="false">
      <c r="A460" s="0" t="n">
        <v>2027</v>
      </c>
      <c r="B460" s="0" t="n">
        <v>187.1664011</v>
      </c>
      <c r="C460" s="0" t="n">
        <v>3930.494424</v>
      </c>
      <c r="E460" s="0" t="n">
        <v>2027</v>
      </c>
      <c r="F460" s="0" t="n">
        <v>231.013674</v>
      </c>
      <c r="G460" s="0" t="n">
        <v>4851.149153</v>
      </c>
      <c r="I460" s="0" t="n">
        <v>2026</v>
      </c>
      <c r="J460" s="0" t="n">
        <v>6.72</v>
      </c>
      <c r="K460" s="0" t="n">
        <v>139.68</v>
      </c>
      <c r="M460" s="0" t="n">
        <v>2027</v>
      </c>
      <c r="N460" s="0" t="n">
        <v>14.65</v>
      </c>
      <c r="O460" s="0" t="n">
        <v>306.7</v>
      </c>
      <c r="Q460" s="0" t="n">
        <v>2028</v>
      </c>
      <c r="R460" s="0" t="n">
        <v>42</v>
      </c>
      <c r="T460" s="0" t="n">
        <v>2032</v>
      </c>
      <c r="U460" s="0" t="n">
        <v>9590</v>
      </c>
      <c r="W460" s="0" t="n">
        <v>2027</v>
      </c>
      <c r="X460" s="0" t="n">
        <v>2630.04</v>
      </c>
    </row>
    <row r="461" customFormat="false" ht="15" hidden="false" customHeight="false" outlineLevel="0" collapsed="false">
      <c r="A461" s="0" t="n">
        <v>2027</v>
      </c>
      <c r="B461" s="0" t="n">
        <v>47.20890095</v>
      </c>
      <c r="C461" s="0" t="n">
        <v>991.3869199</v>
      </c>
      <c r="E461" s="0" t="n">
        <v>2027</v>
      </c>
      <c r="F461" s="0" t="n">
        <v>92.466738</v>
      </c>
      <c r="G461" s="0" t="n">
        <v>1941.746261</v>
      </c>
      <c r="I461" s="0" t="n">
        <v>2026</v>
      </c>
      <c r="J461" s="0" t="n">
        <v>2.94</v>
      </c>
      <c r="K461" s="0" t="n">
        <v>61.11</v>
      </c>
      <c r="M461" s="0" t="n">
        <v>2027</v>
      </c>
      <c r="N461" s="0" t="n">
        <v>11.72</v>
      </c>
      <c r="O461" s="0" t="n">
        <v>245.36</v>
      </c>
      <c r="Q461" s="0" t="n">
        <v>2028</v>
      </c>
      <c r="R461" s="0" t="n">
        <v>40</v>
      </c>
      <c r="T461" s="0" t="n">
        <v>2032</v>
      </c>
      <c r="U461" s="0" t="n">
        <v>91405</v>
      </c>
      <c r="W461" s="0" t="n">
        <v>2027</v>
      </c>
      <c r="X461" s="0" t="n">
        <v>814.464</v>
      </c>
    </row>
    <row r="462" customFormat="false" ht="15" hidden="false" customHeight="false" outlineLevel="0" collapsed="false">
      <c r="A462" s="0" t="n">
        <v>2027</v>
      </c>
      <c r="B462" s="0" t="n">
        <v>42.09879997</v>
      </c>
      <c r="C462" s="0" t="n">
        <v>884.0747994</v>
      </c>
      <c r="E462" s="0" t="n">
        <v>2027</v>
      </c>
      <c r="F462" s="0" t="n">
        <v>12.988566</v>
      </c>
      <c r="G462" s="0" t="n">
        <v>272.752127</v>
      </c>
      <c r="I462" s="0" t="n">
        <v>2026</v>
      </c>
      <c r="J462" s="0" t="n">
        <v>1.68</v>
      </c>
      <c r="K462" s="0" t="n">
        <v>34.92</v>
      </c>
      <c r="M462" s="0" t="n">
        <v>2027</v>
      </c>
      <c r="N462" s="0" t="n">
        <v>5.86</v>
      </c>
      <c r="O462" s="0" t="n">
        <v>122.68</v>
      </c>
      <c r="Q462" s="0" t="n">
        <v>2028</v>
      </c>
      <c r="R462" s="0" t="n">
        <v>40</v>
      </c>
      <c r="T462" s="0" t="n">
        <v>2032</v>
      </c>
      <c r="U462" s="0" t="n">
        <v>2828</v>
      </c>
      <c r="W462" s="0" t="n">
        <v>2027</v>
      </c>
      <c r="X462" s="0" t="n">
        <v>1442.28</v>
      </c>
    </row>
    <row r="463" customFormat="false" ht="15" hidden="false" customHeight="false" outlineLevel="0" collapsed="false">
      <c r="A463" s="0" t="n">
        <v>2027</v>
      </c>
      <c r="B463" s="0" t="n">
        <v>29.27722042</v>
      </c>
      <c r="C463" s="0" t="n">
        <v>614.8216288</v>
      </c>
      <c r="E463" s="0" t="n">
        <v>2027</v>
      </c>
      <c r="F463" s="0" t="n">
        <v>310.491846</v>
      </c>
      <c r="G463" s="0" t="n">
        <v>6520.143287</v>
      </c>
      <c r="I463" s="0" t="n">
        <v>2026</v>
      </c>
      <c r="J463" s="0" t="n">
        <v>1.68</v>
      </c>
      <c r="K463" s="0" t="n">
        <v>34.92</v>
      </c>
      <c r="M463" s="0" t="n">
        <v>2027</v>
      </c>
      <c r="N463" s="0" t="n">
        <v>619.78</v>
      </c>
      <c r="O463" s="0" t="n">
        <v>13011.96</v>
      </c>
      <c r="Q463" s="0" t="n">
        <v>2028</v>
      </c>
      <c r="R463" s="0" t="n">
        <v>1813</v>
      </c>
      <c r="T463" s="0" t="n">
        <v>2032</v>
      </c>
      <c r="U463" s="0" t="n">
        <v>284164</v>
      </c>
      <c r="W463" s="0" t="n">
        <v>2027</v>
      </c>
      <c r="X463" s="0" t="n">
        <v>644.784</v>
      </c>
    </row>
    <row r="464" customFormat="false" ht="15" hidden="false" customHeight="false" outlineLevel="0" collapsed="false">
      <c r="A464" s="0" t="n">
        <v>2027</v>
      </c>
      <c r="B464" s="0" t="n">
        <v>21.77737534</v>
      </c>
      <c r="C464" s="0" t="n">
        <v>457.3248822</v>
      </c>
      <c r="E464" s="0" t="n">
        <v>2027</v>
      </c>
      <c r="F464" s="0" t="n">
        <v>14.535342</v>
      </c>
      <c r="G464" s="0" t="n">
        <v>305.233499</v>
      </c>
      <c r="I464" s="0" t="n">
        <v>2026</v>
      </c>
      <c r="J464" s="0" t="n">
        <v>0.84</v>
      </c>
      <c r="K464" s="0" t="n">
        <v>17.46</v>
      </c>
      <c r="M464" s="0" t="n">
        <v>2027</v>
      </c>
      <c r="N464" s="0" t="n">
        <v>407.75</v>
      </c>
      <c r="O464" s="0" t="n">
        <v>8560.5</v>
      </c>
      <c r="Q464" s="0" t="n">
        <v>2028</v>
      </c>
      <c r="R464" s="0" t="n">
        <v>1722</v>
      </c>
      <c r="T464" s="0" t="n">
        <v>2032</v>
      </c>
      <c r="U464" s="0" t="n">
        <v>8789</v>
      </c>
      <c r="W464" s="0" t="n">
        <v>2027</v>
      </c>
      <c r="X464" s="0" t="n">
        <v>254.52</v>
      </c>
    </row>
    <row r="465" customFormat="false" ht="15" hidden="false" customHeight="false" outlineLevel="0" collapsed="false">
      <c r="A465" s="0" t="n">
        <v>2027</v>
      </c>
      <c r="B465" s="0" t="n">
        <v>9.678833485</v>
      </c>
      <c r="C465" s="0" t="n">
        <v>203.2555032</v>
      </c>
      <c r="E465" s="0" t="n">
        <v>2027</v>
      </c>
      <c r="F465" s="0" t="n">
        <v>79.478172</v>
      </c>
      <c r="G465" s="0" t="n">
        <v>1668.994134</v>
      </c>
      <c r="I465" s="0" t="n">
        <v>2026</v>
      </c>
      <c r="J465" s="0" t="n">
        <v>0.84</v>
      </c>
      <c r="K465" s="0" t="n">
        <v>17.46</v>
      </c>
      <c r="M465" s="0" t="n">
        <v>2027</v>
      </c>
      <c r="N465" s="0" t="n">
        <v>163.1</v>
      </c>
      <c r="O465" s="0" t="n">
        <v>3424.2</v>
      </c>
      <c r="Q465" s="0" t="n">
        <v>2028</v>
      </c>
      <c r="R465" s="0" t="n">
        <v>816</v>
      </c>
      <c r="T465" s="0" t="n">
        <v>2032</v>
      </c>
      <c r="U465" s="0" t="n">
        <v>371948</v>
      </c>
      <c r="W465" s="0" t="n">
        <v>2027</v>
      </c>
      <c r="X465" s="0" t="n">
        <v>373.296</v>
      </c>
    </row>
    <row r="466" customFormat="false" ht="15" hidden="false" customHeight="false" outlineLevel="0" collapsed="false">
      <c r="A466" s="0" t="n">
        <v>2027</v>
      </c>
      <c r="B466" s="0" t="n">
        <v>35.7495389</v>
      </c>
      <c r="C466" s="0" t="n">
        <v>750.7403169</v>
      </c>
      <c r="E466" s="0" t="n">
        <v>2027</v>
      </c>
      <c r="F466" s="0" t="n">
        <v>72.675036</v>
      </c>
      <c r="G466" s="0" t="n">
        <v>1526.132342</v>
      </c>
      <c r="I466" s="0" t="n">
        <v>2026</v>
      </c>
      <c r="J466" s="0" t="n">
        <v>1.68</v>
      </c>
      <c r="K466" s="0" t="n">
        <v>34.92</v>
      </c>
      <c r="M466" s="0" t="n">
        <v>2027</v>
      </c>
      <c r="N466" s="0" t="n">
        <v>163.1</v>
      </c>
      <c r="O466" s="0" t="n">
        <v>3424.2</v>
      </c>
      <c r="Q466" s="0" t="n">
        <v>2028</v>
      </c>
      <c r="R466" s="0" t="n">
        <v>181</v>
      </c>
      <c r="T466" s="0" t="n">
        <v>2032</v>
      </c>
      <c r="U466" s="0" t="n">
        <v>11503</v>
      </c>
      <c r="W466" s="0" t="n">
        <v>2027</v>
      </c>
      <c r="X466" s="0" t="n">
        <v>288.456</v>
      </c>
    </row>
    <row r="467" customFormat="false" ht="15" hidden="false" customHeight="false" outlineLevel="0" collapsed="false">
      <c r="A467" s="0" t="n">
        <v>2027</v>
      </c>
      <c r="B467" s="0" t="n">
        <v>11.19085404</v>
      </c>
      <c r="C467" s="0" t="n">
        <v>235.0079349</v>
      </c>
      <c r="E467" s="0" t="n">
        <v>2027</v>
      </c>
      <c r="F467" s="0" t="n">
        <v>418.354486</v>
      </c>
      <c r="G467" s="0" t="n">
        <v>8779.790767</v>
      </c>
      <c r="I467" s="0" t="n">
        <v>2026</v>
      </c>
      <c r="J467" s="0" t="n">
        <v>2.94</v>
      </c>
      <c r="K467" s="0" t="n">
        <v>61.11</v>
      </c>
      <c r="M467" s="0" t="n">
        <v>2027</v>
      </c>
      <c r="N467" s="0" t="n">
        <v>97.86</v>
      </c>
      <c r="O467" s="0" t="n">
        <v>2054.52</v>
      </c>
      <c r="Q467" s="0" t="n">
        <v>2028</v>
      </c>
      <c r="R467" s="0" t="n">
        <v>173</v>
      </c>
      <c r="T467" s="0" t="n">
        <v>2032</v>
      </c>
      <c r="U467" s="0" t="n">
        <v>325494</v>
      </c>
      <c r="W467" s="0" t="n">
        <v>2027</v>
      </c>
      <c r="X467" s="0" t="n">
        <v>2842.7</v>
      </c>
    </row>
    <row r="468" customFormat="false" ht="15" hidden="false" customHeight="false" outlineLevel="0" collapsed="false">
      <c r="A468" s="0" t="n">
        <v>2027</v>
      </c>
      <c r="B468" s="0" t="n">
        <v>25.02206576</v>
      </c>
      <c r="C468" s="0" t="n">
        <v>525.4633809</v>
      </c>
      <c r="E468" s="0" t="n">
        <v>2027</v>
      </c>
      <c r="F468" s="0" t="n">
        <v>112.332814</v>
      </c>
      <c r="G468" s="0" t="n">
        <v>2357.471083</v>
      </c>
      <c r="I468" s="0" t="n">
        <v>2026</v>
      </c>
      <c r="J468" s="0" t="n">
        <v>1.26</v>
      </c>
      <c r="K468" s="0" t="n">
        <v>26.19</v>
      </c>
      <c r="M468" s="0" t="n">
        <v>2027</v>
      </c>
      <c r="N468" s="0" t="n">
        <v>81.55</v>
      </c>
      <c r="O468" s="0" t="n">
        <v>1712.1</v>
      </c>
      <c r="Q468" s="0" t="n">
        <v>2028</v>
      </c>
      <c r="R468" s="0" t="n">
        <v>173</v>
      </c>
      <c r="T468" s="0" t="n">
        <v>2032</v>
      </c>
      <c r="U468" s="0" t="n">
        <v>10066</v>
      </c>
      <c r="W468" s="0" t="n">
        <v>2027</v>
      </c>
      <c r="X468" s="0" t="n">
        <v>710.675</v>
      </c>
    </row>
    <row r="469" customFormat="false" ht="15" hidden="false" customHeight="false" outlineLevel="0" collapsed="false">
      <c r="A469" s="0" t="n">
        <v>2027</v>
      </c>
      <c r="B469" s="0" t="n">
        <v>148.7505035</v>
      </c>
      <c r="C469" s="0" t="n">
        <v>3123.760573</v>
      </c>
      <c r="E469" s="0" t="n">
        <v>2027</v>
      </c>
      <c r="F469" s="0" t="n">
        <v>44.962918</v>
      </c>
      <c r="G469" s="0" t="n">
        <v>943.613671</v>
      </c>
      <c r="I469" s="0" t="n">
        <v>2026</v>
      </c>
      <c r="J469" s="0" t="n">
        <v>1.26</v>
      </c>
      <c r="K469" s="0" t="n">
        <v>26.19</v>
      </c>
      <c r="M469" s="0" t="n">
        <v>2027</v>
      </c>
      <c r="N469" s="0" t="n">
        <v>65.24</v>
      </c>
      <c r="O469" s="0" t="n">
        <v>1369.68</v>
      </c>
      <c r="Q469" s="0" t="n">
        <v>2028</v>
      </c>
      <c r="R469" s="0" t="n">
        <v>1152</v>
      </c>
      <c r="T469" s="0" t="n">
        <v>2032</v>
      </c>
      <c r="U469" s="0" t="n">
        <v>502869</v>
      </c>
      <c r="W469" s="0" t="n">
        <v>2027</v>
      </c>
      <c r="X469" s="0" t="n">
        <v>220.08</v>
      </c>
    </row>
    <row r="470" customFormat="false" ht="15" hidden="false" customHeight="false" outlineLevel="0" collapsed="false">
      <c r="A470" s="0" t="n">
        <v>2027</v>
      </c>
      <c r="B470" s="0" t="n">
        <v>37.51927559</v>
      </c>
      <c r="C470" s="0" t="n">
        <v>787.9047873</v>
      </c>
      <c r="E470" s="0" t="n">
        <v>2027</v>
      </c>
      <c r="F470" s="0" t="n">
        <v>6.315826</v>
      </c>
      <c r="G470" s="0" t="n">
        <v>132.546997</v>
      </c>
      <c r="I470" s="0" t="n">
        <v>2026</v>
      </c>
      <c r="J470" s="0" t="n">
        <v>7.28</v>
      </c>
      <c r="K470" s="0" t="n">
        <v>156.52</v>
      </c>
      <c r="M470" s="0" t="n">
        <v>2027</v>
      </c>
      <c r="N470" s="0" t="n">
        <v>32.62</v>
      </c>
      <c r="O470" s="0" t="n">
        <v>684.84</v>
      </c>
      <c r="Q470" s="0" t="n">
        <v>2028</v>
      </c>
      <c r="R470" s="0" t="n">
        <v>1094</v>
      </c>
      <c r="T470" s="0" t="n">
        <v>2032</v>
      </c>
      <c r="U470" s="0" t="n">
        <v>15241</v>
      </c>
      <c r="W470" s="0" t="n">
        <v>2027</v>
      </c>
      <c r="X470" s="0" t="n">
        <v>389.725</v>
      </c>
    </row>
    <row r="471" customFormat="false" ht="15" hidden="false" customHeight="false" outlineLevel="0" collapsed="false">
      <c r="A471" s="0" t="n">
        <v>2027</v>
      </c>
      <c r="B471" s="0" t="n">
        <v>33.45802267</v>
      </c>
      <c r="C471" s="0" t="n">
        <v>702.618476</v>
      </c>
      <c r="E471" s="0" t="n">
        <v>2027</v>
      </c>
      <c r="F471" s="0" t="n">
        <v>150.979906</v>
      </c>
      <c r="G471" s="0" t="n">
        <v>3168.537757</v>
      </c>
      <c r="I471" s="0" t="n">
        <v>2026</v>
      </c>
      <c r="J471" s="0" t="n">
        <v>1.12</v>
      </c>
      <c r="K471" s="0" t="n">
        <v>24.08</v>
      </c>
      <c r="M471" s="0" t="n">
        <v>2027</v>
      </c>
      <c r="N471" s="0" t="n">
        <v>210.9</v>
      </c>
      <c r="O471" s="0" t="n">
        <v>4423.2</v>
      </c>
      <c r="Q471" s="0" t="n">
        <v>2028</v>
      </c>
      <c r="R471" s="0" t="n">
        <v>518</v>
      </c>
      <c r="T471" s="0" t="n">
        <v>2032</v>
      </c>
      <c r="U471" s="0" t="n">
        <v>21649</v>
      </c>
      <c r="W471" s="0" t="n">
        <v>2027</v>
      </c>
      <c r="X471" s="0" t="n">
        <v>174.23</v>
      </c>
    </row>
    <row r="472" customFormat="false" ht="15" hidden="false" customHeight="false" outlineLevel="0" collapsed="false">
      <c r="A472" s="0" t="n">
        <v>2027</v>
      </c>
      <c r="B472" s="0" t="n">
        <v>23.26807189</v>
      </c>
      <c r="C472" s="0" t="n">
        <v>488.6295098</v>
      </c>
      <c r="E472" s="0" t="n">
        <v>2027</v>
      </c>
      <c r="F472" s="0" t="n">
        <v>7.067962</v>
      </c>
      <c r="G472" s="0" t="n">
        <v>148.331689</v>
      </c>
      <c r="I472" s="0" t="n">
        <v>2026</v>
      </c>
      <c r="J472" s="0" t="n">
        <v>0.84</v>
      </c>
      <c r="K472" s="0" t="n">
        <v>18.06</v>
      </c>
      <c r="M472" s="0" t="n">
        <v>2027</v>
      </c>
      <c r="N472" s="0" t="n">
        <v>138.75</v>
      </c>
      <c r="O472" s="0" t="n">
        <v>2910</v>
      </c>
      <c r="Q472" s="0" t="n">
        <v>2028</v>
      </c>
      <c r="R472" s="0" t="n">
        <v>115</v>
      </c>
      <c r="T472" s="0" t="n">
        <v>2032</v>
      </c>
      <c r="U472" s="0" t="n">
        <v>670</v>
      </c>
      <c r="W472" s="0" t="n">
        <v>2027</v>
      </c>
      <c r="X472" s="0" t="n">
        <v>68.775</v>
      </c>
    </row>
    <row r="473" customFormat="false" ht="15" hidden="false" customHeight="false" outlineLevel="0" collapsed="false">
      <c r="A473" s="0" t="n">
        <v>2027</v>
      </c>
      <c r="B473" s="0" t="n">
        <v>17.30756977</v>
      </c>
      <c r="C473" s="0" t="n">
        <v>363.4589652</v>
      </c>
      <c r="E473" s="0" t="n">
        <v>2027</v>
      </c>
      <c r="F473" s="0" t="n">
        <v>38.647092</v>
      </c>
      <c r="G473" s="0" t="n">
        <v>811.066674</v>
      </c>
      <c r="I473" s="0" t="n">
        <v>2026</v>
      </c>
      <c r="J473" s="0" t="n">
        <v>1.4</v>
      </c>
      <c r="K473" s="0" t="n">
        <v>30.1</v>
      </c>
      <c r="M473" s="0" t="n">
        <v>2027</v>
      </c>
      <c r="N473" s="0" t="n">
        <v>55.5</v>
      </c>
      <c r="O473" s="0" t="n">
        <v>1164</v>
      </c>
      <c r="Q473" s="0" t="n">
        <v>2028</v>
      </c>
      <c r="R473" s="0" t="n">
        <v>109</v>
      </c>
      <c r="T473" s="0" t="n">
        <v>2032</v>
      </c>
      <c r="U473" s="0" t="n">
        <v>349877</v>
      </c>
      <c r="W473" s="0" t="n">
        <v>2027</v>
      </c>
      <c r="X473" s="0" t="n">
        <v>100.87</v>
      </c>
    </row>
    <row r="474" customFormat="false" ht="15" hidden="false" customHeight="false" outlineLevel="0" collapsed="false">
      <c r="A474" s="0" t="n">
        <v>2027</v>
      </c>
      <c r="B474" s="0" t="n">
        <v>7.692253232</v>
      </c>
      <c r="C474" s="0" t="n">
        <v>161.5373179</v>
      </c>
      <c r="E474" s="0" t="n">
        <v>2027</v>
      </c>
      <c r="F474" s="0" t="n">
        <v>35.338996</v>
      </c>
      <c r="G474" s="0" t="n">
        <v>741.641362</v>
      </c>
      <c r="I474" s="0" t="n">
        <v>2026</v>
      </c>
      <c r="J474" s="0" t="n">
        <v>0.28</v>
      </c>
      <c r="K474" s="0" t="n">
        <v>6.02</v>
      </c>
      <c r="M474" s="0" t="n">
        <v>2027</v>
      </c>
      <c r="N474" s="0" t="n">
        <v>55.5</v>
      </c>
      <c r="O474" s="0" t="n">
        <v>1164</v>
      </c>
      <c r="Q474" s="0" t="n">
        <v>2028</v>
      </c>
      <c r="R474" s="0" t="n">
        <v>109</v>
      </c>
      <c r="T474" s="0" t="n">
        <v>2032</v>
      </c>
      <c r="U474" s="0" t="n">
        <v>10822</v>
      </c>
      <c r="W474" s="0" t="n">
        <v>2027</v>
      </c>
      <c r="X474" s="0" t="n">
        <v>77.945</v>
      </c>
    </row>
    <row r="475" customFormat="false" ht="15" hidden="false" customHeight="false" outlineLevel="0" collapsed="false">
      <c r="A475" s="0" t="n">
        <v>2027</v>
      </c>
      <c r="B475" s="0" t="n">
        <v>28.41194722</v>
      </c>
      <c r="C475" s="0" t="n">
        <v>596.6508916</v>
      </c>
      <c r="E475" s="0" t="n">
        <v>2027</v>
      </c>
      <c r="F475" s="0" t="n">
        <v>329.441309</v>
      </c>
      <c r="G475" s="0" t="n">
        <v>6917.75354</v>
      </c>
      <c r="I475" s="0" t="n">
        <v>2026</v>
      </c>
      <c r="J475" s="0" t="n">
        <v>0.28</v>
      </c>
      <c r="K475" s="0" t="n">
        <v>6.02</v>
      </c>
      <c r="M475" s="0" t="n">
        <v>2027</v>
      </c>
      <c r="N475" s="0" t="n">
        <v>33.3</v>
      </c>
      <c r="O475" s="0" t="n">
        <v>698.4</v>
      </c>
      <c r="Q475" s="0" t="n">
        <v>2028</v>
      </c>
      <c r="R475" s="0" t="n">
        <v>330</v>
      </c>
      <c r="T475" s="0" t="n">
        <v>2032</v>
      </c>
      <c r="U475" s="0" t="n">
        <v>133242</v>
      </c>
      <c r="W475" s="0" t="n">
        <v>2027</v>
      </c>
      <c r="X475" s="0" t="n">
        <v>6397.16</v>
      </c>
    </row>
    <row r="476" customFormat="false" ht="15" hidden="false" customHeight="false" outlineLevel="0" collapsed="false">
      <c r="A476" s="0" t="n">
        <v>2027</v>
      </c>
      <c r="B476" s="0" t="n">
        <v>8.89393162</v>
      </c>
      <c r="C476" s="0" t="n">
        <v>186.772564</v>
      </c>
      <c r="E476" s="0" t="n">
        <v>2027</v>
      </c>
      <c r="F476" s="0" t="n">
        <v>88.458641</v>
      </c>
      <c r="G476" s="0" t="n">
        <v>1857.49346</v>
      </c>
      <c r="I476" s="0" t="n">
        <v>2026</v>
      </c>
      <c r="J476" s="0" t="n">
        <v>0</v>
      </c>
      <c r="K476" s="0" t="n">
        <v>0</v>
      </c>
      <c r="M476" s="0" t="n">
        <v>2027</v>
      </c>
      <c r="N476" s="0" t="n">
        <v>27.75</v>
      </c>
      <c r="O476" s="0" t="n">
        <v>582</v>
      </c>
      <c r="Q476" s="0" t="n">
        <v>2028</v>
      </c>
      <c r="R476" s="0" t="n">
        <v>313</v>
      </c>
      <c r="T476" s="0" t="n">
        <v>2032</v>
      </c>
      <c r="U476" s="0" t="n">
        <v>4120</v>
      </c>
      <c r="W476" s="0" t="n">
        <v>2027</v>
      </c>
      <c r="X476" s="0" t="n">
        <v>1599.29</v>
      </c>
    </row>
    <row r="477" customFormat="false" ht="15" hidden="false" customHeight="false" outlineLevel="0" collapsed="false">
      <c r="A477" s="0" t="n">
        <v>2027</v>
      </c>
      <c r="B477" s="0" t="n">
        <v>19.88628759</v>
      </c>
      <c r="C477" s="0" t="n">
        <v>417.6120393</v>
      </c>
      <c r="E477" s="0" t="n">
        <v>2027</v>
      </c>
      <c r="F477" s="0" t="n">
        <v>35.406917</v>
      </c>
      <c r="G477" s="0" t="n">
        <v>743.49002</v>
      </c>
      <c r="I477" s="0" t="n">
        <v>2026</v>
      </c>
      <c r="J477" s="0" t="n">
        <v>0.56</v>
      </c>
      <c r="K477" s="0" t="n">
        <v>12.04</v>
      </c>
      <c r="M477" s="0" t="n">
        <v>2027</v>
      </c>
      <c r="N477" s="0" t="n">
        <v>22.2</v>
      </c>
      <c r="O477" s="0" t="n">
        <v>465.6</v>
      </c>
      <c r="Q477" s="0" t="n">
        <v>2028</v>
      </c>
      <c r="R477" s="0" t="n">
        <v>148</v>
      </c>
      <c r="T477" s="0" t="n">
        <v>2032</v>
      </c>
      <c r="U477" s="0" t="n">
        <v>207376</v>
      </c>
      <c r="W477" s="0" t="n">
        <v>2027</v>
      </c>
      <c r="X477" s="0" t="n">
        <v>495.264</v>
      </c>
    </row>
    <row r="478" customFormat="false" ht="15" hidden="false" customHeight="false" outlineLevel="0" collapsed="false">
      <c r="A478" s="0" t="n">
        <v>2027</v>
      </c>
      <c r="B478" s="0" t="n">
        <v>210.2258153</v>
      </c>
      <c r="C478" s="0" t="n">
        <v>4414.742121</v>
      </c>
      <c r="E478" s="0" t="n">
        <v>2027</v>
      </c>
      <c r="F478" s="0" t="n">
        <v>4.973519</v>
      </c>
      <c r="G478" s="0" t="n">
        <v>104.43614</v>
      </c>
      <c r="I478" s="0" t="n">
        <v>2026</v>
      </c>
      <c r="J478" s="0" t="n">
        <v>0.98</v>
      </c>
      <c r="K478" s="0" t="n">
        <v>21.07</v>
      </c>
      <c r="M478" s="0" t="n">
        <v>2027</v>
      </c>
      <c r="N478" s="0" t="n">
        <v>11.1</v>
      </c>
      <c r="O478" s="0" t="n">
        <v>232.8</v>
      </c>
      <c r="Q478" s="0" t="n">
        <v>2028</v>
      </c>
      <c r="R478" s="0" t="n">
        <v>33</v>
      </c>
      <c r="T478" s="0" t="n">
        <v>2032</v>
      </c>
      <c r="U478" s="0" t="n">
        <v>6415</v>
      </c>
      <c r="W478" s="0" t="n">
        <v>2027</v>
      </c>
      <c r="X478" s="0" t="n">
        <v>877.03</v>
      </c>
    </row>
    <row r="479" customFormat="false" ht="15" hidden="false" customHeight="false" outlineLevel="0" collapsed="false">
      <c r="A479" s="0" t="n">
        <v>2027</v>
      </c>
      <c r="B479" s="0" t="n">
        <v>53.02516707</v>
      </c>
      <c r="C479" s="0" t="n">
        <v>1113.528509</v>
      </c>
      <c r="E479" s="0" t="n">
        <v>2027</v>
      </c>
      <c r="F479" s="0" t="n">
        <v>118.892039</v>
      </c>
      <c r="G479" s="0" t="n">
        <v>2496.54734</v>
      </c>
      <c r="I479" s="0" t="n">
        <v>2026</v>
      </c>
      <c r="J479" s="0" t="n">
        <v>0.28</v>
      </c>
      <c r="K479" s="0" t="n">
        <v>6.02</v>
      </c>
      <c r="M479" s="0" t="n">
        <v>2027</v>
      </c>
      <c r="N479" s="0" t="n">
        <v>28.5</v>
      </c>
      <c r="O479" s="0" t="n">
        <v>594.32</v>
      </c>
      <c r="Q479" s="0" t="n">
        <v>2028</v>
      </c>
      <c r="R479" s="0" t="n">
        <v>31</v>
      </c>
      <c r="T479" s="0" t="n">
        <v>2032</v>
      </c>
      <c r="U479" s="0" t="n">
        <v>56011</v>
      </c>
      <c r="W479" s="0" t="n">
        <v>2027</v>
      </c>
      <c r="X479" s="0" t="n">
        <v>392.084</v>
      </c>
    </row>
    <row r="480" customFormat="false" ht="15" hidden="false" customHeight="false" outlineLevel="0" collapsed="false">
      <c r="A480" s="0" t="n">
        <v>2027</v>
      </c>
      <c r="B480" s="0" t="n">
        <v>47.28548764</v>
      </c>
      <c r="C480" s="0" t="n">
        <v>992.9952404</v>
      </c>
      <c r="E480" s="0" t="n">
        <v>2027</v>
      </c>
      <c r="F480" s="0" t="n">
        <v>5.565803</v>
      </c>
      <c r="G480" s="0" t="n">
        <v>116.87318</v>
      </c>
      <c r="I480" s="0" t="n">
        <v>2026</v>
      </c>
      <c r="J480" s="0" t="n">
        <v>0.98</v>
      </c>
      <c r="K480" s="0" t="n">
        <v>21.07</v>
      </c>
      <c r="M480" s="0" t="n">
        <v>2027</v>
      </c>
      <c r="N480" s="0" t="n">
        <v>18.75</v>
      </c>
      <c r="O480" s="0" t="n">
        <v>391</v>
      </c>
      <c r="Q480" s="0" t="n">
        <v>2028</v>
      </c>
      <c r="R480" s="0" t="n">
        <v>31</v>
      </c>
      <c r="T480" s="0" t="n">
        <v>2032</v>
      </c>
      <c r="U480" s="0" t="n">
        <v>1733</v>
      </c>
      <c r="W480" s="0" t="n">
        <v>2027</v>
      </c>
      <c r="X480" s="0" t="n">
        <v>154.77</v>
      </c>
    </row>
    <row r="481" customFormat="false" ht="15" hidden="false" customHeight="false" outlineLevel="0" collapsed="false">
      <c r="A481" s="0" t="n">
        <v>2027</v>
      </c>
      <c r="B481" s="0" t="n">
        <v>32.8842543</v>
      </c>
      <c r="C481" s="0" t="n">
        <v>690.5693404</v>
      </c>
      <c r="E481" s="0" t="n">
        <v>2027</v>
      </c>
      <c r="F481" s="0" t="n">
        <v>30.433398</v>
      </c>
      <c r="G481" s="0" t="n">
        <v>639.05388</v>
      </c>
      <c r="I481" s="0" t="n">
        <v>2026</v>
      </c>
      <c r="J481" s="0" t="n">
        <v>51.36</v>
      </c>
      <c r="K481" s="0" t="n">
        <v>1082.88</v>
      </c>
      <c r="M481" s="0" t="n">
        <v>2027</v>
      </c>
      <c r="N481" s="0" t="n">
        <v>7.5</v>
      </c>
      <c r="O481" s="0" t="n">
        <v>156.4</v>
      </c>
      <c r="Q481" s="0" t="n">
        <v>2028</v>
      </c>
      <c r="R481" s="0" t="n">
        <v>456</v>
      </c>
      <c r="T481" s="0" t="n">
        <v>2032</v>
      </c>
      <c r="U481" s="0" t="n">
        <v>136027</v>
      </c>
      <c r="W481" s="0" t="n">
        <v>2027</v>
      </c>
      <c r="X481" s="0" t="n">
        <v>226.996</v>
      </c>
    </row>
    <row r="482" customFormat="false" ht="15" hidden="false" customHeight="false" outlineLevel="0" collapsed="false">
      <c r="A482" s="0" t="n">
        <v>2027</v>
      </c>
      <c r="B482" s="0" t="n">
        <v>24.46040773</v>
      </c>
      <c r="C482" s="0" t="n">
        <v>513.6685624</v>
      </c>
      <c r="E482" s="0" t="n">
        <v>2027</v>
      </c>
      <c r="F482" s="0" t="n">
        <v>27.828374</v>
      </c>
      <c r="G482" s="0" t="n">
        <v>584.35244</v>
      </c>
      <c r="I482" s="0" t="n">
        <v>2026</v>
      </c>
      <c r="J482" s="0" t="n">
        <v>17.12</v>
      </c>
      <c r="K482" s="0" t="n">
        <v>360.96</v>
      </c>
      <c r="M482" s="0" t="n">
        <v>2027</v>
      </c>
      <c r="N482" s="0" t="n">
        <v>7.5</v>
      </c>
      <c r="O482" s="0" t="n">
        <v>156.4</v>
      </c>
      <c r="Q482" s="0" t="n">
        <v>2028</v>
      </c>
      <c r="R482" s="0" t="n">
        <v>433</v>
      </c>
      <c r="T482" s="0" t="n">
        <v>2032</v>
      </c>
      <c r="U482" s="0" t="n">
        <v>4207</v>
      </c>
      <c r="W482" s="0" t="n">
        <v>2027</v>
      </c>
      <c r="X482" s="0" t="n">
        <v>175.406</v>
      </c>
    </row>
    <row r="483" customFormat="false" ht="15" hidden="false" customHeight="false" outlineLevel="0" collapsed="false">
      <c r="A483" s="0" t="n">
        <v>2027</v>
      </c>
      <c r="B483" s="0" t="n">
        <v>10.87129233</v>
      </c>
      <c r="C483" s="0" t="n">
        <v>228.2971389</v>
      </c>
      <c r="E483" s="0" t="n">
        <v>2027</v>
      </c>
      <c r="F483" s="0" t="n">
        <v>213.802784</v>
      </c>
      <c r="G483" s="0" t="n">
        <v>4485.232923</v>
      </c>
      <c r="I483" s="0" t="n">
        <v>2026</v>
      </c>
      <c r="J483" s="0" t="n">
        <v>7.49</v>
      </c>
      <c r="K483" s="0" t="n">
        <v>157.92</v>
      </c>
      <c r="M483" s="0" t="n">
        <v>2027</v>
      </c>
      <c r="N483" s="0" t="n">
        <v>4.5</v>
      </c>
      <c r="O483" s="0" t="n">
        <v>93.84</v>
      </c>
      <c r="Q483" s="0" t="n">
        <v>2028</v>
      </c>
      <c r="R483" s="0" t="n">
        <v>205</v>
      </c>
      <c r="T483" s="0" t="n">
        <v>2032</v>
      </c>
      <c r="U483" s="0" t="n">
        <v>160034</v>
      </c>
      <c r="W483" s="0" t="n">
        <v>2027</v>
      </c>
      <c r="X483" s="0" t="n">
        <v>1665.94</v>
      </c>
    </row>
    <row r="484" customFormat="false" ht="15" hidden="false" customHeight="false" outlineLevel="0" collapsed="false">
      <c r="A484" s="0" t="n">
        <v>2027</v>
      </c>
      <c r="B484" s="0" t="n">
        <v>40.15398018</v>
      </c>
      <c r="C484" s="0" t="n">
        <v>843.2335837</v>
      </c>
      <c r="E484" s="0" t="n">
        <v>2027</v>
      </c>
      <c r="F484" s="0" t="n">
        <v>57.408416</v>
      </c>
      <c r="G484" s="0" t="n">
        <v>1204.334727</v>
      </c>
      <c r="I484" s="0" t="n">
        <v>2026</v>
      </c>
      <c r="J484" s="0" t="n">
        <v>4.28</v>
      </c>
      <c r="K484" s="0" t="n">
        <v>90.24</v>
      </c>
      <c r="M484" s="0" t="n">
        <v>2027</v>
      </c>
      <c r="N484" s="0" t="n">
        <v>3.75</v>
      </c>
      <c r="O484" s="0" t="n">
        <v>78.2</v>
      </c>
      <c r="Q484" s="0" t="n">
        <v>2028</v>
      </c>
      <c r="R484" s="0" t="n">
        <v>46</v>
      </c>
      <c r="T484" s="0" t="n">
        <v>2032</v>
      </c>
      <c r="U484" s="0" t="n">
        <v>4949</v>
      </c>
      <c r="W484" s="0" t="n">
        <v>2027</v>
      </c>
      <c r="X484" s="0" t="n">
        <v>416.485</v>
      </c>
    </row>
    <row r="485" customFormat="false" ht="15" hidden="false" customHeight="false" outlineLevel="0" collapsed="false">
      <c r="A485" s="0" t="n">
        <v>2027</v>
      </c>
      <c r="B485" s="0" t="n">
        <v>12.56959797</v>
      </c>
      <c r="C485" s="0" t="n">
        <v>263.9615573</v>
      </c>
      <c r="E485" s="0" t="n">
        <v>2027</v>
      </c>
      <c r="F485" s="0" t="n">
        <v>22.978592</v>
      </c>
      <c r="G485" s="0" t="n">
        <v>482.053299</v>
      </c>
      <c r="I485" s="0" t="n">
        <v>2026</v>
      </c>
      <c r="J485" s="0" t="n">
        <v>4.28</v>
      </c>
      <c r="K485" s="0" t="n">
        <v>90.24</v>
      </c>
      <c r="M485" s="0" t="n">
        <v>2027</v>
      </c>
      <c r="N485" s="0" t="n">
        <v>3</v>
      </c>
      <c r="O485" s="0" t="n">
        <v>62.56</v>
      </c>
      <c r="Q485" s="0" t="n">
        <v>2028</v>
      </c>
      <c r="R485" s="0" t="n">
        <v>44</v>
      </c>
      <c r="T485" s="0" t="n">
        <v>2032</v>
      </c>
      <c r="U485" s="0" t="n">
        <v>808163</v>
      </c>
      <c r="W485" s="0" t="n">
        <v>2027</v>
      </c>
      <c r="X485" s="0" t="n">
        <v>128.976</v>
      </c>
    </row>
    <row r="486" customFormat="false" ht="15" hidden="false" customHeight="false" outlineLevel="0" collapsed="false">
      <c r="A486" s="0" t="n">
        <v>2027</v>
      </c>
      <c r="B486" s="0" t="n">
        <v>28.10485291</v>
      </c>
      <c r="C486" s="0" t="n">
        <v>590.2019112</v>
      </c>
      <c r="E486" s="0" t="n">
        <v>2027</v>
      </c>
      <c r="F486" s="0" t="n">
        <v>3.227744</v>
      </c>
      <c r="G486" s="0" t="n">
        <v>67.712793</v>
      </c>
      <c r="I486" s="0" t="n">
        <v>2026</v>
      </c>
      <c r="J486" s="0" t="n">
        <v>2.14</v>
      </c>
      <c r="K486" s="0" t="n">
        <v>45.12</v>
      </c>
      <c r="M486" s="0" t="n">
        <v>2027</v>
      </c>
      <c r="N486" s="0" t="n">
        <v>1.5</v>
      </c>
      <c r="O486" s="0" t="n">
        <v>31.28</v>
      </c>
      <c r="Q486" s="0" t="n">
        <v>2028</v>
      </c>
      <c r="R486" s="0" t="n">
        <v>44</v>
      </c>
      <c r="T486" s="0" t="n">
        <v>2032</v>
      </c>
      <c r="U486" s="0" t="n">
        <v>24994</v>
      </c>
      <c r="W486" s="0" t="n">
        <v>2027</v>
      </c>
      <c r="X486" s="0" t="n">
        <v>228.395</v>
      </c>
    </row>
    <row r="487" customFormat="false" ht="15" hidden="false" customHeight="false" outlineLevel="0" collapsed="false">
      <c r="A487" s="0" t="n">
        <v>2027</v>
      </c>
      <c r="B487" s="0" t="n">
        <v>264.2697741</v>
      </c>
      <c r="C487" s="0" t="n">
        <v>5549.665257</v>
      </c>
      <c r="E487" s="0" t="n">
        <v>2027</v>
      </c>
      <c r="F487" s="0" t="n">
        <v>77.159264</v>
      </c>
      <c r="G487" s="0" t="n">
        <v>1618.675233</v>
      </c>
      <c r="I487" s="0" t="n">
        <v>2026</v>
      </c>
      <c r="J487" s="0" t="n">
        <v>2.14</v>
      </c>
      <c r="K487" s="0" t="n">
        <v>45.12</v>
      </c>
      <c r="M487" s="0" t="n">
        <v>2027</v>
      </c>
      <c r="N487" s="0" t="n">
        <v>74.48</v>
      </c>
      <c r="O487" s="0" t="n">
        <v>1559.9</v>
      </c>
      <c r="Q487" s="0" t="n">
        <v>2028</v>
      </c>
      <c r="R487" s="0" t="n">
        <v>252</v>
      </c>
      <c r="T487" s="0" t="n">
        <v>2032</v>
      </c>
      <c r="U487" s="0" t="n">
        <v>160034</v>
      </c>
      <c r="W487" s="0" t="n">
        <v>2027</v>
      </c>
      <c r="X487" s="0" t="n">
        <v>102.106</v>
      </c>
    </row>
    <row r="488" customFormat="false" ht="15" hidden="false" customHeight="false" outlineLevel="0" collapsed="false">
      <c r="A488" s="0" t="n">
        <v>2027</v>
      </c>
      <c r="B488" s="0" t="n">
        <v>66.6566516</v>
      </c>
      <c r="C488" s="0" t="n">
        <v>1399.789684</v>
      </c>
      <c r="E488" s="0" t="n">
        <v>2027</v>
      </c>
      <c r="F488" s="0" t="n">
        <v>3.612128</v>
      </c>
      <c r="G488" s="0" t="n">
        <v>75.776541</v>
      </c>
      <c r="I488" s="0" t="n">
        <v>2026</v>
      </c>
      <c r="J488" s="0" t="n">
        <v>4.28</v>
      </c>
      <c r="K488" s="0" t="n">
        <v>90.24</v>
      </c>
      <c r="M488" s="0" t="n">
        <v>2027</v>
      </c>
      <c r="N488" s="0" t="n">
        <v>49</v>
      </c>
      <c r="O488" s="0" t="n">
        <v>1026.25</v>
      </c>
      <c r="Q488" s="0" t="n">
        <v>2028</v>
      </c>
      <c r="R488" s="0" t="n">
        <v>239</v>
      </c>
      <c r="T488" s="0" t="n">
        <v>2032</v>
      </c>
      <c r="U488" s="0" t="n">
        <v>4949</v>
      </c>
      <c r="W488" s="0" t="n">
        <v>2027</v>
      </c>
      <c r="X488" s="0" t="n">
        <v>40.305</v>
      </c>
    </row>
    <row r="489" customFormat="false" ht="15" hidden="false" customHeight="false" outlineLevel="0" collapsed="false">
      <c r="A489" s="0" t="n">
        <v>2027</v>
      </c>
      <c r="B489" s="0" t="n">
        <v>59.44143977</v>
      </c>
      <c r="C489" s="0" t="n">
        <v>1248.270235</v>
      </c>
      <c r="E489" s="0" t="n">
        <v>2027</v>
      </c>
      <c r="F489" s="0" t="n">
        <v>19.750848</v>
      </c>
      <c r="G489" s="0" t="n">
        <v>414.340506</v>
      </c>
      <c r="I489" s="0" t="n">
        <v>2026</v>
      </c>
      <c r="J489" s="0" t="n">
        <v>7.49</v>
      </c>
      <c r="K489" s="0" t="n">
        <v>157.92</v>
      </c>
      <c r="M489" s="0" t="n">
        <v>2027</v>
      </c>
      <c r="N489" s="0" t="n">
        <v>19.6</v>
      </c>
      <c r="O489" s="0" t="n">
        <v>410.5</v>
      </c>
      <c r="Q489" s="0" t="n">
        <v>2028</v>
      </c>
      <c r="R489" s="0" t="n">
        <v>113</v>
      </c>
      <c r="T489" s="0" t="n">
        <v>2032</v>
      </c>
      <c r="U489" s="0" t="n">
        <v>272055</v>
      </c>
      <c r="W489" s="0" t="n">
        <v>2027</v>
      </c>
      <c r="X489" s="0" t="n">
        <v>59.114</v>
      </c>
    </row>
    <row r="490" customFormat="false" ht="15" hidden="false" customHeight="false" outlineLevel="0" collapsed="false">
      <c r="A490" s="0" t="n">
        <v>2027</v>
      </c>
      <c r="B490" s="0" t="n">
        <v>41.3379986</v>
      </c>
      <c r="C490" s="0" t="n">
        <v>868.0979706</v>
      </c>
      <c r="E490" s="0" t="n">
        <v>2027</v>
      </c>
      <c r="F490" s="0" t="n">
        <v>18.060224</v>
      </c>
      <c r="G490" s="0" t="n">
        <v>378.873978</v>
      </c>
      <c r="I490" s="0" t="n">
        <v>2026</v>
      </c>
      <c r="J490" s="0" t="n">
        <v>3.21</v>
      </c>
      <c r="K490" s="0" t="n">
        <v>67.68</v>
      </c>
      <c r="M490" s="0" t="n">
        <v>2027</v>
      </c>
      <c r="N490" s="0" t="n">
        <v>19.6</v>
      </c>
      <c r="O490" s="0" t="n">
        <v>410.5</v>
      </c>
      <c r="Q490" s="0" t="n">
        <v>2028</v>
      </c>
      <c r="R490" s="0" t="n">
        <v>25</v>
      </c>
      <c r="T490" s="0" t="n">
        <v>2032</v>
      </c>
      <c r="U490" s="0" t="n">
        <v>8414</v>
      </c>
      <c r="W490" s="0" t="n">
        <v>2027</v>
      </c>
      <c r="X490" s="0" t="n">
        <v>45.679</v>
      </c>
    </row>
    <row r="491" customFormat="false" ht="15" hidden="false" customHeight="false" outlineLevel="0" collapsed="false">
      <c r="A491" s="0" t="n">
        <v>2027</v>
      </c>
      <c r="B491" s="0" t="n">
        <v>30.74858537</v>
      </c>
      <c r="C491" s="0" t="n">
        <v>645.7202927</v>
      </c>
      <c r="E491" s="0" t="n">
        <v>2027</v>
      </c>
      <c r="F491" s="0" t="n">
        <v>233.332846</v>
      </c>
      <c r="G491" s="0" t="n">
        <v>4891.252633</v>
      </c>
      <c r="I491" s="0" t="n">
        <v>2026</v>
      </c>
      <c r="J491" s="0" t="n">
        <v>3.21</v>
      </c>
      <c r="K491" s="0" t="n">
        <v>67.68</v>
      </c>
      <c r="M491" s="0" t="n">
        <v>2027</v>
      </c>
      <c r="N491" s="0" t="n">
        <v>11.76</v>
      </c>
      <c r="O491" s="0" t="n">
        <v>246.3</v>
      </c>
      <c r="Q491" s="0" t="n">
        <v>2028</v>
      </c>
      <c r="R491" s="0" t="n">
        <v>24</v>
      </c>
      <c r="T491" s="0" t="n">
        <v>2032</v>
      </c>
      <c r="U491" s="0" t="n">
        <v>56011</v>
      </c>
      <c r="W491" s="0" t="n">
        <v>2027</v>
      </c>
      <c r="X491" s="0" t="n">
        <v>2915.86</v>
      </c>
    </row>
    <row r="492" customFormat="false" ht="15" hidden="false" customHeight="false" outlineLevel="0" collapsed="false">
      <c r="A492" s="0" t="n">
        <v>2027</v>
      </c>
      <c r="B492" s="0" t="n">
        <v>13.66603794</v>
      </c>
      <c r="C492" s="0" t="n">
        <v>286.9867968</v>
      </c>
      <c r="E492" s="0" t="n">
        <v>2027</v>
      </c>
      <c r="F492" s="0" t="n">
        <v>62.652454</v>
      </c>
      <c r="G492" s="0" t="n">
        <v>1313.355517</v>
      </c>
      <c r="I492" s="0" t="n">
        <v>2026</v>
      </c>
      <c r="J492" s="0" t="n">
        <v>12.48</v>
      </c>
      <c r="K492" s="0" t="n">
        <v>257.4</v>
      </c>
      <c r="M492" s="0" t="n">
        <v>2027</v>
      </c>
      <c r="N492" s="0" t="n">
        <v>9.8</v>
      </c>
      <c r="O492" s="0" t="n">
        <v>205.25</v>
      </c>
      <c r="Q492" s="0" t="n">
        <v>2028</v>
      </c>
      <c r="R492" s="0" t="n">
        <v>24</v>
      </c>
      <c r="T492" s="0" t="n">
        <v>2032</v>
      </c>
      <c r="U492" s="0" t="n">
        <v>1733</v>
      </c>
      <c r="W492" s="0" t="n">
        <v>2027</v>
      </c>
      <c r="X492" s="0" t="n">
        <v>728.965</v>
      </c>
    </row>
    <row r="493" customFormat="false" ht="15" hidden="false" customHeight="false" outlineLevel="0" collapsed="false">
      <c r="A493" s="0" t="n">
        <v>2027</v>
      </c>
      <c r="B493" s="0" t="n">
        <v>50.4765947</v>
      </c>
      <c r="C493" s="0" t="n">
        <v>1060.008489</v>
      </c>
      <c r="E493" s="0" t="n">
        <v>2027</v>
      </c>
      <c r="F493" s="0" t="n">
        <v>25.077598</v>
      </c>
      <c r="G493" s="0" t="n">
        <v>525.690529</v>
      </c>
      <c r="I493" s="0" t="n">
        <v>2026</v>
      </c>
      <c r="J493" s="0" t="n">
        <v>1.92</v>
      </c>
      <c r="K493" s="0" t="n">
        <v>39.6</v>
      </c>
      <c r="M493" s="0" t="n">
        <v>2027</v>
      </c>
      <c r="N493" s="0" t="n">
        <v>7.84</v>
      </c>
      <c r="O493" s="0" t="n">
        <v>164.2</v>
      </c>
      <c r="Q493" s="0" t="n">
        <v>2028</v>
      </c>
      <c r="R493" s="0" t="n">
        <v>899</v>
      </c>
      <c r="T493" s="0" t="n">
        <v>2032</v>
      </c>
      <c r="U493" s="0" t="n">
        <v>96019</v>
      </c>
      <c r="W493" s="0" t="n">
        <v>2027</v>
      </c>
      <c r="X493" s="0" t="n">
        <v>225.744</v>
      </c>
    </row>
    <row r="494" customFormat="false" ht="15" hidden="false" customHeight="false" outlineLevel="0" collapsed="false">
      <c r="A494" s="0" t="n">
        <v>2027</v>
      </c>
      <c r="B494" s="0" t="n">
        <v>15.80093677</v>
      </c>
      <c r="C494" s="0" t="n">
        <v>331.8196723</v>
      </c>
      <c r="E494" s="0" t="n">
        <v>2027</v>
      </c>
      <c r="F494" s="0" t="n">
        <v>3.522586</v>
      </c>
      <c r="G494" s="0" t="n">
        <v>73.842403</v>
      </c>
      <c r="I494" s="0" t="n">
        <v>2026</v>
      </c>
      <c r="J494" s="0" t="n">
        <v>1.44</v>
      </c>
      <c r="K494" s="0" t="n">
        <v>29.7</v>
      </c>
      <c r="M494" s="0" t="n">
        <v>2027</v>
      </c>
      <c r="N494" s="0" t="n">
        <v>3.92</v>
      </c>
      <c r="O494" s="0" t="n">
        <v>82.1</v>
      </c>
      <c r="Q494" s="0" t="n">
        <v>2028</v>
      </c>
      <c r="R494" s="0" t="n">
        <v>855</v>
      </c>
      <c r="T494" s="0" t="n">
        <v>2032</v>
      </c>
      <c r="U494" s="0" t="n">
        <v>2969</v>
      </c>
      <c r="W494" s="0" t="n">
        <v>2027</v>
      </c>
      <c r="X494" s="0" t="n">
        <v>399.755</v>
      </c>
    </row>
    <row r="495" customFormat="false" ht="15" hidden="false" customHeight="false" outlineLevel="0" collapsed="false">
      <c r="A495" s="0" t="n">
        <v>2027</v>
      </c>
      <c r="B495" s="0" t="n">
        <v>35.32992902</v>
      </c>
      <c r="C495" s="0" t="n">
        <v>741.9285093</v>
      </c>
      <c r="E495" s="0" t="n">
        <v>2027</v>
      </c>
      <c r="F495" s="0" t="n">
        <v>84.207466</v>
      </c>
      <c r="G495" s="0" t="n">
        <v>1765.203643</v>
      </c>
      <c r="I495" s="0" t="n">
        <v>2026</v>
      </c>
      <c r="J495" s="0" t="n">
        <v>2.4</v>
      </c>
      <c r="K495" s="0" t="n">
        <v>49.5</v>
      </c>
      <c r="M495" s="0" t="n">
        <v>2027</v>
      </c>
      <c r="N495" s="0" t="n">
        <v>46.74</v>
      </c>
      <c r="O495" s="0" t="n">
        <v>977.36</v>
      </c>
      <c r="Q495" s="0" t="n">
        <v>2028</v>
      </c>
      <c r="R495" s="0" t="n">
        <v>405</v>
      </c>
      <c r="T495" s="0" t="n">
        <v>2032</v>
      </c>
      <c r="U495" s="0" t="n">
        <v>96019</v>
      </c>
      <c r="W495" s="0" t="n">
        <v>2027</v>
      </c>
      <c r="X495" s="0" t="n">
        <v>178.714</v>
      </c>
    </row>
    <row r="496" customFormat="false" ht="15" hidden="false" customHeight="false" outlineLevel="0" collapsed="false">
      <c r="A496" s="0" t="n">
        <v>2027</v>
      </c>
      <c r="B496" s="0" t="n">
        <v>862.6788535</v>
      </c>
      <c r="C496" s="0" t="n">
        <v>18116.25592</v>
      </c>
      <c r="E496" s="0" t="n">
        <v>2027</v>
      </c>
      <c r="F496" s="0" t="n">
        <v>3.942082</v>
      </c>
      <c r="G496" s="0" t="n">
        <v>82.636111</v>
      </c>
      <c r="I496" s="0" t="n">
        <v>2026</v>
      </c>
      <c r="J496" s="0" t="n">
        <v>0.48</v>
      </c>
      <c r="K496" s="0" t="n">
        <v>9.9</v>
      </c>
      <c r="M496" s="0" t="n">
        <v>2027</v>
      </c>
      <c r="N496" s="0" t="n">
        <v>30.75</v>
      </c>
      <c r="O496" s="0" t="n">
        <v>643</v>
      </c>
      <c r="Q496" s="0" t="n">
        <v>2028</v>
      </c>
      <c r="R496" s="0" t="n">
        <v>90</v>
      </c>
      <c r="T496" s="0" t="n">
        <v>2032</v>
      </c>
      <c r="U496" s="0" t="n">
        <v>2969</v>
      </c>
      <c r="W496" s="0" t="n">
        <v>2027</v>
      </c>
      <c r="X496" s="0" t="n">
        <v>70.545</v>
      </c>
    </row>
    <row r="497" customFormat="false" ht="15" hidden="false" customHeight="false" outlineLevel="0" collapsed="false">
      <c r="A497" s="0" t="n">
        <v>2027</v>
      </c>
      <c r="B497" s="0" t="n">
        <v>217.5931166</v>
      </c>
      <c r="C497" s="0" t="n">
        <v>4569.455449</v>
      </c>
      <c r="E497" s="0" t="n">
        <v>2027</v>
      </c>
      <c r="F497" s="0" t="n">
        <v>21.555012</v>
      </c>
      <c r="G497" s="0" t="n">
        <v>451.848126</v>
      </c>
      <c r="I497" s="0" t="n">
        <v>2026</v>
      </c>
      <c r="J497" s="0" t="n">
        <v>0.48</v>
      </c>
      <c r="K497" s="0" t="n">
        <v>9.9</v>
      </c>
      <c r="M497" s="0" t="n">
        <v>2027</v>
      </c>
      <c r="N497" s="0" t="n">
        <v>12.3</v>
      </c>
      <c r="O497" s="0" t="n">
        <v>257.2</v>
      </c>
      <c r="Q497" s="0" t="n">
        <v>2028</v>
      </c>
      <c r="R497" s="0" t="n">
        <v>86</v>
      </c>
      <c r="T497" s="0" t="n">
        <v>2032</v>
      </c>
      <c r="U497" s="0" t="n">
        <v>48010</v>
      </c>
      <c r="W497" s="0" t="n">
        <v>2027</v>
      </c>
      <c r="X497" s="0" t="n">
        <v>103.466</v>
      </c>
    </row>
    <row r="498" customFormat="false" ht="15" hidden="false" customHeight="false" outlineLevel="0" collapsed="false">
      <c r="A498" s="0" t="n">
        <v>2027</v>
      </c>
      <c r="B498" s="0" t="n">
        <v>194.0398719</v>
      </c>
      <c r="C498" s="0" t="n">
        <v>4074.837309</v>
      </c>
      <c r="E498" s="0" t="n">
        <v>2027</v>
      </c>
      <c r="F498" s="0" t="n">
        <v>19.709956</v>
      </c>
      <c r="G498" s="0" t="n">
        <v>413.171038</v>
      </c>
      <c r="I498" s="0" t="n">
        <v>2026</v>
      </c>
      <c r="J498" s="0" t="n">
        <v>0</v>
      </c>
      <c r="K498" s="0" t="n">
        <v>0</v>
      </c>
      <c r="M498" s="0" t="n">
        <v>2027</v>
      </c>
      <c r="N498" s="0" t="n">
        <v>12.3</v>
      </c>
      <c r="O498" s="0" t="n">
        <v>257.2</v>
      </c>
      <c r="Q498" s="0" t="n">
        <v>2028</v>
      </c>
      <c r="R498" s="0" t="n">
        <v>86</v>
      </c>
      <c r="T498" s="0" t="n">
        <v>2032</v>
      </c>
      <c r="U498" s="0" t="n">
        <v>1484</v>
      </c>
      <c r="W498" s="0" t="n">
        <v>2027</v>
      </c>
      <c r="X498" s="0" t="n">
        <v>79.951</v>
      </c>
    </row>
    <row r="499" customFormat="false" ht="15" hidden="false" customHeight="false" outlineLevel="0" collapsed="false">
      <c r="A499" s="0" t="n">
        <v>2027</v>
      </c>
      <c r="B499" s="0" t="n">
        <v>134.9432312</v>
      </c>
      <c r="C499" s="0" t="n">
        <v>2833.807856</v>
      </c>
      <c r="E499" s="0" t="n">
        <v>2027</v>
      </c>
      <c r="F499" s="0" t="n">
        <v>849.557697</v>
      </c>
      <c r="G499" s="0" t="n">
        <v>17835.0582</v>
      </c>
      <c r="I499" s="0" t="n">
        <v>2026</v>
      </c>
      <c r="J499" s="0" t="n">
        <v>0.96</v>
      </c>
      <c r="K499" s="0" t="n">
        <v>19.8</v>
      </c>
      <c r="M499" s="0" t="n">
        <v>2027</v>
      </c>
      <c r="N499" s="0" t="n">
        <v>7.38</v>
      </c>
      <c r="O499" s="0" t="n">
        <v>154.32</v>
      </c>
      <c r="Q499" s="0" t="n">
        <v>2028</v>
      </c>
      <c r="R499" s="0" t="n">
        <v>417</v>
      </c>
      <c r="T499" s="0" t="n">
        <v>2032</v>
      </c>
      <c r="U499" s="0" t="n">
        <v>400081</v>
      </c>
      <c r="W499" s="0" t="n">
        <v>2027</v>
      </c>
      <c r="X499" s="0" t="n">
        <v>27333.94</v>
      </c>
    </row>
    <row r="500" customFormat="false" ht="15" hidden="false" customHeight="false" outlineLevel="0" collapsed="false">
      <c r="A500" s="0" t="n">
        <v>2027</v>
      </c>
      <c r="B500" s="0" t="n">
        <v>100.3752868</v>
      </c>
      <c r="C500" s="0" t="n">
        <v>2107.881023</v>
      </c>
      <c r="E500" s="0" t="n">
        <v>2027</v>
      </c>
      <c r="F500" s="0" t="n">
        <v>228.115653</v>
      </c>
      <c r="G500" s="0" t="n">
        <v>4788.910702</v>
      </c>
      <c r="I500" s="0" t="n">
        <v>2026</v>
      </c>
      <c r="J500" s="0" t="n">
        <v>1.68</v>
      </c>
      <c r="K500" s="0" t="n">
        <v>34.65</v>
      </c>
      <c r="M500" s="0" t="n">
        <v>2027</v>
      </c>
      <c r="N500" s="0" t="n">
        <v>6.15</v>
      </c>
      <c r="O500" s="0" t="n">
        <v>128.6</v>
      </c>
      <c r="Q500" s="0" t="n">
        <v>2028</v>
      </c>
      <c r="R500" s="0" t="n">
        <v>396</v>
      </c>
      <c r="T500" s="0" t="n">
        <v>2032</v>
      </c>
      <c r="U500" s="0" t="n">
        <v>12374</v>
      </c>
      <c r="W500" s="0" t="n">
        <v>2027</v>
      </c>
      <c r="X500" s="0" t="n">
        <v>6833.485</v>
      </c>
    </row>
    <row r="501" customFormat="false" ht="15" hidden="false" customHeight="false" outlineLevel="0" collapsed="false">
      <c r="A501" s="0" t="n">
        <v>2027</v>
      </c>
      <c r="B501" s="0" t="n">
        <v>44.61123858</v>
      </c>
      <c r="C501" s="0" t="n">
        <v>936.8360101</v>
      </c>
      <c r="E501" s="0" t="n">
        <v>2027</v>
      </c>
      <c r="F501" s="0" t="n">
        <v>91.306761</v>
      </c>
      <c r="G501" s="0" t="n">
        <v>1916.834374</v>
      </c>
      <c r="I501" s="0" t="n">
        <v>2026</v>
      </c>
      <c r="J501" s="0" t="n">
        <v>0.48</v>
      </c>
      <c r="K501" s="0" t="n">
        <v>9.9</v>
      </c>
      <c r="M501" s="0" t="n">
        <v>2027</v>
      </c>
      <c r="N501" s="0" t="n">
        <v>4.92</v>
      </c>
      <c r="O501" s="0" t="n">
        <v>102.88</v>
      </c>
      <c r="Q501" s="0" t="n">
        <v>2028</v>
      </c>
      <c r="R501" s="0" t="n">
        <v>188</v>
      </c>
      <c r="T501" s="0" t="n">
        <v>2032</v>
      </c>
      <c r="U501" s="0" t="n">
        <v>152030</v>
      </c>
      <c r="W501" s="0" t="n">
        <v>2027</v>
      </c>
      <c r="X501" s="0" t="n">
        <v>2116.176</v>
      </c>
    </row>
    <row r="502" customFormat="false" ht="15" hidden="false" customHeight="false" outlineLevel="0" collapsed="false">
      <c r="A502" s="0" t="n">
        <v>2027</v>
      </c>
      <c r="B502" s="0" t="n">
        <v>164.7751468</v>
      </c>
      <c r="C502" s="0" t="n">
        <v>3460.278084</v>
      </c>
      <c r="E502" s="0" t="n">
        <v>2027</v>
      </c>
      <c r="F502" s="0" t="n">
        <v>12.825627</v>
      </c>
      <c r="G502" s="0" t="n">
        <v>269.252818</v>
      </c>
      <c r="I502" s="0" t="n">
        <v>2026</v>
      </c>
      <c r="J502" s="0" t="n">
        <v>1.68</v>
      </c>
      <c r="K502" s="0" t="n">
        <v>34.65</v>
      </c>
      <c r="M502" s="0" t="n">
        <v>2027</v>
      </c>
      <c r="N502" s="0" t="n">
        <v>2.46</v>
      </c>
      <c r="O502" s="0" t="n">
        <v>51.44</v>
      </c>
      <c r="Q502" s="0" t="n">
        <v>2028</v>
      </c>
      <c r="R502" s="0" t="n">
        <v>42</v>
      </c>
      <c r="T502" s="0" t="n">
        <v>2032</v>
      </c>
      <c r="U502" s="0" t="n">
        <v>4700</v>
      </c>
      <c r="W502" s="0" t="n">
        <v>2027</v>
      </c>
      <c r="X502" s="0" t="n">
        <v>3747.395</v>
      </c>
    </row>
    <row r="503" customFormat="false" ht="15" hidden="false" customHeight="false" outlineLevel="0" collapsed="false">
      <c r="A503" s="0" t="n">
        <v>2027</v>
      </c>
      <c r="B503" s="0" t="n">
        <v>51.58037488</v>
      </c>
      <c r="C503" s="0" t="n">
        <v>1083.187873</v>
      </c>
      <c r="E503" s="0" t="n">
        <v>2027</v>
      </c>
      <c r="F503" s="0" t="n">
        <v>306.596787</v>
      </c>
      <c r="G503" s="0" t="n">
        <v>6436.492258</v>
      </c>
      <c r="I503" s="0" t="n">
        <v>2026</v>
      </c>
      <c r="J503" s="0" t="n">
        <v>74.4</v>
      </c>
      <c r="K503" s="0" t="n">
        <v>1558.08</v>
      </c>
      <c r="M503" s="0" t="n">
        <v>2027</v>
      </c>
      <c r="N503" s="0" t="n">
        <v>46.74</v>
      </c>
      <c r="O503" s="0" t="n">
        <v>975.46</v>
      </c>
      <c r="Q503" s="0" t="n">
        <v>2028</v>
      </c>
      <c r="R503" s="0" t="n">
        <v>39</v>
      </c>
      <c r="T503" s="0" t="n">
        <v>2032</v>
      </c>
      <c r="U503" s="0" t="n">
        <v>176035</v>
      </c>
      <c r="W503" s="0" t="n">
        <v>2027</v>
      </c>
      <c r="X503" s="0" t="n">
        <v>1675.306</v>
      </c>
    </row>
    <row r="504" customFormat="false" ht="15" hidden="false" customHeight="false" outlineLevel="0" collapsed="false">
      <c r="A504" s="0" t="n">
        <v>2027</v>
      </c>
      <c r="B504" s="0" t="n">
        <v>115.3305661</v>
      </c>
      <c r="C504" s="0" t="n">
        <v>2421.941888</v>
      </c>
      <c r="E504" s="0" t="n">
        <v>2027</v>
      </c>
      <c r="F504" s="0" t="n">
        <v>14.352999</v>
      </c>
      <c r="G504" s="0" t="n">
        <v>301.317466</v>
      </c>
      <c r="I504" s="0" t="n">
        <v>2026</v>
      </c>
      <c r="J504" s="0" t="n">
        <v>24.8</v>
      </c>
      <c r="K504" s="0" t="n">
        <v>519.36</v>
      </c>
      <c r="M504" s="0" t="n">
        <v>2027</v>
      </c>
      <c r="N504" s="0" t="n">
        <v>30.75</v>
      </c>
      <c r="O504" s="0" t="n">
        <v>641.75</v>
      </c>
      <c r="Q504" s="0" t="n">
        <v>2028</v>
      </c>
      <c r="R504" s="0" t="n">
        <v>39</v>
      </c>
      <c r="T504" s="0" t="n">
        <v>2032</v>
      </c>
      <c r="U504" s="0" t="n">
        <v>5444</v>
      </c>
      <c r="W504" s="0" t="n">
        <v>2027</v>
      </c>
      <c r="X504" s="0" t="n">
        <v>661.305</v>
      </c>
    </row>
    <row r="505" customFormat="false" ht="15" hidden="false" customHeight="false" outlineLevel="0" collapsed="false">
      <c r="A505" s="0" t="n">
        <v>2027</v>
      </c>
      <c r="B505" s="0" t="n">
        <v>153.1451242</v>
      </c>
      <c r="C505" s="0" t="n">
        <v>3216.047607</v>
      </c>
      <c r="E505" s="0" t="n">
        <v>2027</v>
      </c>
      <c r="F505" s="0" t="n">
        <v>78.481134</v>
      </c>
      <c r="G505" s="0" t="n">
        <v>1647.581556</v>
      </c>
      <c r="I505" s="0" t="n">
        <v>2026</v>
      </c>
      <c r="J505" s="0" t="n">
        <v>10.85</v>
      </c>
      <c r="K505" s="0" t="n">
        <v>227.22</v>
      </c>
      <c r="M505" s="0" t="n">
        <v>2027</v>
      </c>
      <c r="N505" s="0" t="n">
        <v>12.3</v>
      </c>
      <c r="O505" s="0" t="n">
        <v>256.7</v>
      </c>
      <c r="Q505" s="0" t="n">
        <v>2028</v>
      </c>
      <c r="R505" s="0" t="n">
        <v>54</v>
      </c>
      <c r="T505" s="0" t="n">
        <v>2032</v>
      </c>
      <c r="U505" s="0" t="n">
        <v>168034</v>
      </c>
      <c r="W505" s="0" t="n">
        <v>2027</v>
      </c>
      <c r="X505" s="0" t="n">
        <v>969.914</v>
      </c>
    </row>
    <row r="506" customFormat="false" ht="15" hidden="false" customHeight="false" outlineLevel="0" collapsed="false">
      <c r="A506" s="0" t="n">
        <v>2027</v>
      </c>
      <c r="B506" s="0" t="n">
        <v>38.62772887</v>
      </c>
      <c r="C506" s="0" t="n">
        <v>811.1823063</v>
      </c>
      <c r="E506" s="0" t="n">
        <v>2027</v>
      </c>
      <c r="F506" s="0" t="n">
        <v>71.763342</v>
      </c>
      <c r="G506" s="0" t="n">
        <v>1506.552628</v>
      </c>
      <c r="I506" s="0" t="n">
        <v>2026</v>
      </c>
      <c r="J506" s="0" t="n">
        <v>6.2</v>
      </c>
      <c r="K506" s="0" t="n">
        <v>129.84</v>
      </c>
      <c r="M506" s="0" t="n">
        <v>2027</v>
      </c>
      <c r="N506" s="0" t="n">
        <v>12.3</v>
      </c>
      <c r="O506" s="0" t="n">
        <v>256.7</v>
      </c>
      <c r="Q506" s="0" t="n">
        <v>2028</v>
      </c>
      <c r="R506" s="0" t="n">
        <v>52</v>
      </c>
      <c r="T506" s="0" t="n">
        <v>2032</v>
      </c>
      <c r="U506" s="0" t="n">
        <v>5198</v>
      </c>
      <c r="W506" s="0" t="n">
        <v>2027</v>
      </c>
      <c r="X506" s="0" t="n">
        <v>749.479</v>
      </c>
    </row>
    <row r="507" customFormat="false" ht="15" hidden="false" customHeight="false" outlineLevel="0" collapsed="false">
      <c r="A507" s="0" t="n">
        <v>2027</v>
      </c>
      <c r="B507" s="0" t="n">
        <v>34.44649205</v>
      </c>
      <c r="C507" s="0" t="n">
        <v>723.3763331</v>
      </c>
      <c r="E507" s="0" t="n">
        <v>2027</v>
      </c>
      <c r="F507" s="0" t="n">
        <v>859.836677</v>
      </c>
      <c r="G507" s="0" t="n">
        <v>18048.34703</v>
      </c>
      <c r="I507" s="0" t="n">
        <v>2026</v>
      </c>
      <c r="J507" s="0" t="n">
        <v>6.2</v>
      </c>
      <c r="K507" s="0" t="n">
        <v>129.84</v>
      </c>
      <c r="M507" s="0" t="n">
        <v>2027</v>
      </c>
      <c r="N507" s="0" t="n">
        <v>7.38</v>
      </c>
      <c r="O507" s="0" t="n">
        <v>154.02</v>
      </c>
      <c r="Q507" s="0" t="n">
        <v>2028</v>
      </c>
      <c r="R507" s="0" t="n">
        <v>24</v>
      </c>
      <c r="T507" s="0" t="n">
        <v>2032</v>
      </c>
      <c r="U507" s="0" t="n">
        <v>160034</v>
      </c>
      <c r="W507" s="0" t="n">
        <v>2027</v>
      </c>
      <c r="X507" s="0" t="n">
        <v>10929.98</v>
      </c>
    </row>
    <row r="508" customFormat="false" ht="15" hidden="false" customHeight="false" outlineLevel="0" collapsed="false">
      <c r="A508" s="0" t="n">
        <v>2027</v>
      </c>
      <c r="B508" s="0" t="n">
        <v>23.95549377</v>
      </c>
      <c r="C508" s="0" t="n">
        <v>503.0653692</v>
      </c>
      <c r="E508" s="0" t="n">
        <v>2027</v>
      </c>
      <c r="F508" s="0" t="n">
        <v>230.875673</v>
      </c>
      <c r="G508" s="0" t="n">
        <v>4846.181117</v>
      </c>
      <c r="I508" s="0" t="n">
        <v>2026</v>
      </c>
      <c r="J508" s="0" t="n">
        <v>3.1</v>
      </c>
      <c r="K508" s="0" t="n">
        <v>64.92</v>
      </c>
      <c r="M508" s="0" t="n">
        <v>2027</v>
      </c>
      <c r="N508" s="0" t="n">
        <v>6.15</v>
      </c>
      <c r="O508" s="0" t="n">
        <v>128.35</v>
      </c>
      <c r="Q508" s="0" t="n">
        <v>2028</v>
      </c>
      <c r="R508" s="0" t="n">
        <v>5</v>
      </c>
      <c r="T508" s="0" t="n">
        <v>2032</v>
      </c>
      <c r="U508" s="0" t="n">
        <v>4949</v>
      </c>
      <c r="W508" s="0" t="n">
        <v>2027</v>
      </c>
      <c r="X508" s="0" t="n">
        <v>2732.495</v>
      </c>
    </row>
    <row r="509" customFormat="false" ht="15" hidden="false" customHeight="false" outlineLevel="0" collapsed="false">
      <c r="A509" s="0" t="n">
        <v>2027</v>
      </c>
      <c r="B509" s="0" t="n">
        <v>17.81889714</v>
      </c>
      <c r="C509" s="0" t="n">
        <v>374.19684</v>
      </c>
      <c r="E509" s="0" t="n">
        <v>2027</v>
      </c>
      <c r="F509" s="0" t="n">
        <v>92.411501</v>
      </c>
      <c r="G509" s="0" t="n">
        <v>1939.757729</v>
      </c>
      <c r="I509" s="0" t="n">
        <v>2026</v>
      </c>
      <c r="J509" s="0" t="n">
        <v>3.1</v>
      </c>
      <c r="K509" s="0" t="n">
        <v>64.92</v>
      </c>
      <c r="M509" s="0" t="n">
        <v>2027</v>
      </c>
      <c r="N509" s="0" t="n">
        <v>4.92</v>
      </c>
      <c r="O509" s="0" t="n">
        <v>102.68</v>
      </c>
      <c r="Q509" s="0" t="n">
        <v>2028</v>
      </c>
      <c r="R509" s="0" t="n">
        <v>5</v>
      </c>
      <c r="T509" s="0" t="n">
        <v>2032</v>
      </c>
      <c r="U509" s="0" t="n">
        <v>120026</v>
      </c>
      <c r="W509" s="0" t="n">
        <v>2027</v>
      </c>
      <c r="X509" s="0" t="n">
        <v>846.192</v>
      </c>
    </row>
    <row r="510" customFormat="false" ht="15" hidden="false" customHeight="false" outlineLevel="0" collapsed="false">
      <c r="A510" s="0" t="n">
        <v>2027</v>
      </c>
      <c r="B510" s="0" t="n">
        <v>7.919509842</v>
      </c>
      <c r="C510" s="0" t="n">
        <v>166.3097067</v>
      </c>
      <c r="E510" s="0" t="n">
        <v>2027</v>
      </c>
      <c r="F510" s="0" t="n">
        <v>12.980807</v>
      </c>
      <c r="G510" s="0" t="n">
        <v>272.472803</v>
      </c>
      <c r="I510" s="0" t="n">
        <v>2026</v>
      </c>
      <c r="J510" s="0" t="n">
        <v>6.2</v>
      </c>
      <c r="K510" s="0" t="n">
        <v>129.84</v>
      </c>
      <c r="M510" s="0" t="n">
        <v>2027</v>
      </c>
      <c r="N510" s="0" t="n">
        <v>2.46</v>
      </c>
      <c r="O510" s="0" t="n">
        <v>51.34</v>
      </c>
      <c r="Q510" s="0" t="n">
        <v>2028</v>
      </c>
      <c r="R510" s="0" t="n">
        <v>5</v>
      </c>
      <c r="T510" s="0" t="n">
        <v>2032</v>
      </c>
      <c r="U510" s="0" t="n">
        <v>3712</v>
      </c>
      <c r="W510" s="0" t="n">
        <v>2027</v>
      </c>
      <c r="X510" s="0" t="n">
        <v>1498.465</v>
      </c>
    </row>
    <row r="511" customFormat="false" ht="15" hidden="false" customHeight="false" outlineLevel="0" collapsed="false">
      <c r="A511" s="0" t="n">
        <v>2027</v>
      </c>
      <c r="B511" s="0" t="n">
        <v>29.25133753</v>
      </c>
      <c r="C511" s="0" t="n">
        <v>614.2780881</v>
      </c>
      <c r="E511" s="0" t="n">
        <v>2027</v>
      </c>
      <c r="F511" s="0" t="n">
        <v>310.306367</v>
      </c>
      <c r="G511" s="0" t="n">
        <v>6513.466043</v>
      </c>
      <c r="I511" s="0" t="n">
        <v>2026</v>
      </c>
      <c r="J511" s="0" t="n">
        <v>10.85</v>
      </c>
      <c r="K511" s="0" t="n">
        <v>227.22</v>
      </c>
      <c r="M511" s="0" t="n">
        <v>2027</v>
      </c>
      <c r="N511" s="0" t="n">
        <v>241.68</v>
      </c>
      <c r="O511" s="0" t="n">
        <v>5072.24</v>
      </c>
      <c r="Q511" s="0" t="n">
        <v>2028</v>
      </c>
      <c r="R511" s="0" t="n">
        <v>453</v>
      </c>
      <c r="T511" s="0" t="n">
        <v>2032</v>
      </c>
      <c r="U511" s="0" t="n">
        <v>104021</v>
      </c>
      <c r="W511" s="0" t="n">
        <v>2027</v>
      </c>
      <c r="X511" s="0" t="n">
        <v>669.902</v>
      </c>
    </row>
    <row r="512" customFormat="false" ht="15" hidden="false" customHeight="false" outlineLevel="0" collapsed="false">
      <c r="A512" s="0" t="n">
        <v>2027</v>
      </c>
      <c r="B512" s="0" t="n">
        <v>9.156690098</v>
      </c>
      <c r="C512" s="0" t="n">
        <v>192.2904921</v>
      </c>
      <c r="E512" s="0" t="n">
        <v>2027</v>
      </c>
      <c r="F512" s="0" t="n">
        <v>14.526659</v>
      </c>
      <c r="G512" s="0" t="n">
        <v>304.920911</v>
      </c>
      <c r="I512" s="0" t="n">
        <v>2026</v>
      </c>
      <c r="J512" s="0" t="n">
        <v>4.65</v>
      </c>
      <c r="K512" s="0" t="n">
        <v>97.38</v>
      </c>
      <c r="M512" s="0" t="n">
        <v>2027</v>
      </c>
      <c r="N512" s="0" t="n">
        <v>159</v>
      </c>
      <c r="O512" s="0" t="n">
        <v>3337</v>
      </c>
      <c r="Q512" s="0" t="n">
        <v>2028</v>
      </c>
      <c r="R512" s="0" t="n">
        <v>431</v>
      </c>
      <c r="T512" s="0" t="n">
        <v>2032</v>
      </c>
      <c r="U512" s="0" t="n">
        <v>3217</v>
      </c>
      <c r="W512" s="0" t="n">
        <v>2027</v>
      </c>
      <c r="X512" s="0" t="n">
        <v>264.435</v>
      </c>
    </row>
    <row r="513" customFormat="false" ht="15" hidden="false" customHeight="false" outlineLevel="0" collapsed="false">
      <c r="A513" s="0" t="n">
        <v>2027</v>
      </c>
      <c r="B513" s="0" t="n">
        <v>20.47379948</v>
      </c>
      <c r="C513" s="0" t="n">
        <v>429.9497892</v>
      </c>
      <c r="E513" s="0" t="n">
        <v>2027</v>
      </c>
      <c r="F513" s="0" t="n">
        <v>79.430694</v>
      </c>
      <c r="G513" s="0" t="n">
        <v>1667.284926</v>
      </c>
      <c r="I513" s="0" t="n">
        <v>2026</v>
      </c>
      <c r="J513" s="0" t="n">
        <v>4.65</v>
      </c>
      <c r="K513" s="0" t="n">
        <v>97.38</v>
      </c>
      <c r="M513" s="0" t="n">
        <v>2027</v>
      </c>
      <c r="N513" s="0" t="n">
        <v>63.6</v>
      </c>
      <c r="O513" s="0" t="n">
        <v>1334.8</v>
      </c>
      <c r="Q513" s="0" t="n">
        <v>2028</v>
      </c>
      <c r="R513" s="0" t="n">
        <v>204</v>
      </c>
      <c r="T513" s="0" t="n">
        <v>2032</v>
      </c>
      <c r="U513" s="0" t="n">
        <v>88018</v>
      </c>
      <c r="W513" s="0" t="n">
        <v>2027</v>
      </c>
      <c r="X513" s="0" t="n">
        <v>387.838</v>
      </c>
    </row>
    <row r="514" customFormat="false" ht="15" hidden="false" customHeight="false" outlineLevel="0" collapsed="false">
      <c r="A514" s="0" t="n">
        <v>2027</v>
      </c>
      <c r="B514" s="0" t="n">
        <v>259.6282646</v>
      </c>
      <c r="C514" s="0" t="n">
        <v>5452.193557</v>
      </c>
      <c r="E514" s="0" t="n">
        <v>2027</v>
      </c>
      <c r="F514" s="0" t="n">
        <v>72.631622</v>
      </c>
      <c r="G514" s="0" t="n">
        <v>1524.569438</v>
      </c>
      <c r="I514" s="0" t="n">
        <v>2026</v>
      </c>
      <c r="J514" s="0" t="n">
        <v>6.76</v>
      </c>
      <c r="K514" s="0" t="n">
        <v>146.64</v>
      </c>
      <c r="M514" s="0" t="n">
        <v>2027</v>
      </c>
      <c r="N514" s="0" t="n">
        <v>63.6</v>
      </c>
      <c r="O514" s="0" t="n">
        <v>1334.8</v>
      </c>
      <c r="Q514" s="0" t="n">
        <v>2028</v>
      </c>
      <c r="R514" s="0" t="n">
        <v>45</v>
      </c>
      <c r="T514" s="0" t="n">
        <v>2032</v>
      </c>
      <c r="U514" s="0" t="n">
        <v>2723</v>
      </c>
      <c r="W514" s="0" t="n">
        <v>2027</v>
      </c>
      <c r="X514" s="0" t="n">
        <v>299.693</v>
      </c>
    </row>
    <row r="515" customFormat="false" ht="15" hidden="false" customHeight="false" outlineLevel="0" collapsed="false">
      <c r="A515" s="0" t="n">
        <v>2027</v>
      </c>
      <c r="B515" s="0" t="n">
        <v>65.48592565</v>
      </c>
      <c r="C515" s="0" t="n">
        <v>1375.204439</v>
      </c>
      <c r="E515" s="0" t="n">
        <v>2027</v>
      </c>
      <c r="F515" s="0" t="n">
        <v>295.520675</v>
      </c>
      <c r="G515" s="0" t="n">
        <v>6199.766787</v>
      </c>
      <c r="I515" s="0" t="n">
        <v>2026</v>
      </c>
      <c r="J515" s="0" t="n">
        <v>1.04</v>
      </c>
      <c r="K515" s="0" t="n">
        <v>22.56</v>
      </c>
      <c r="M515" s="0" t="n">
        <v>2027</v>
      </c>
      <c r="N515" s="0" t="n">
        <v>38.16</v>
      </c>
      <c r="O515" s="0" t="n">
        <v>800.88</v>
      </c>
      <c r="Q515" s="0" t="n">
        <v>2028</v>
      </c>
      <c r="R515" s="0" t="n">
        <v>43</v>
      </c>
      <c r="T515" s="0" t="n">
        <v>2032</v>
      </c>
      <c r="U515" s="0" t="n">
        <v>672138</v>
      </c>
      <c r="W515" s="0" t="n">
        <v>2027</v>
      </c>
      <c r="X515" s="0" t="n">
        <v>13869.4</v>
      </c>
    </row>
    <row r="516" customFormat="false" ht="15" hidden="false" customHeight="false" outlineLevel="0" collapsed="false">
      <c r="A516" s="0" t="n">
        <v>2027</v>
      </c>
      <c r="B516" s="0" t="n">
        <v>58.3974384</v>
      </c>
      <c r="C516" s="0" t="n">
        <v>1226.346206</v>
      </c>
      <c r="E516" s="0" t="n">
        <v>2027</v>
      </c>
      <c r="F516" s="0" t="n">
        <v>79.350575</v>
      </c>
      <c r="G516" s="0" t="n">
        <v>1664.706063</v>
      </c>
      <c r="I516" s="0" t="n">
        <v>2026</v>
      </c>
      <c r="J516" s="0" t="n">
        <v>0.78</v>
      </c>
      <c r="K516" s="0" t="n">
        <v>16.92</v>
      </c>
      <c r="M516" s="0" t="n">
        <v>2027</v>
      </c>
      <c r="N516" s="0" t="n">
        <v>31.8</v>
      </c>
      <c r="O516" s="0" t="n">
        <v>667.4</v>
      </c>
      <c r="Q516" s="0" t="n">
        <v>2028</v>
      </c>
      <c r="R516" s="0" t="n">
        <v>43</v>
      </c>
      <c r="T516" s="0" t="n">
        <v>2032</v>
      </c>
      <c r="U516" s="0" t="n">
        <v>20788</v>
      </c>
      <c r="W516" s="0" t="n">
        <v>2027</v>
      </c>
      <c r="X516" s="0" t="n">
        <v>3467.35</v>
      </c>
    </row>
    <row r="517" customFormat="false" ht="15" hidden="false" customHeight="false" outlineLevel="0" collapsed="false">
      <c r="A517" s="0" t="n">
        <v>2027</v>
      </c>
      <c r="B517" s="0" t="n">
        <v>40.61195752</v>
      </c>
      <c r="C517" s="0" t="n">
        <v>852.8511079</v>
      </c>
      <c r="E517" s="0" t="n">
        <v>2027</v>
      </c>
      <c r="F517" s="0" t="n">
        <v>31.761275</v>
      </c>
      <c r="G517" s="0" t="n">
        <v>666.323931</v>
      </c>
      <c r="I517" s="0" t="n">
        <v>2026</v>
      </c>
      <c r="J517" s="0" t="n">
        <v>1.3</v>
      </c>
      <c r="K517" s="0" t="n">
        <v>28.2</v>
      </c>
      <c r="M517" s="0" t="n">
        <v>2027</v>
      </c>
      <c r="N517" s="0" t="n">
        <v>25.44</v>
      </c>
      <c r="O517" s="0" t="n">
        <v>533.92</v>
      </c>
      <c r="Q517" s="0" t="n">
        <v>2028</v>
      </c>
      <c r="R517" s="0" t="n">
        <v>738</v>
      </c>
      <c r="T517" s="0" t="n">
        <v>2032</v>
      </c>
      <c r="U517" s="0" t="n">
        <v>96019</v>
      </c>
      <c r="W517" s="0" t="n">
        <v>2027</v>
      </c>
      <c r="X517" s="0" t="n">
        <v>1073.76</v>
      </c>
    </row>
    <row r="518" customFormat="false" ht="15" hidden="false" customHeight="false" outlineLevel="0" collapsed="false">
      <c r="A518" s="0" t="n">
        <v>2027</v>
      </c>
      <c r="B518" s="0" t="n">
        <v>30.20853174</v>
      </c>
      <c r="C518" s="0" t="n">
        <v>634.3791665</v>
      </c>
      <c r="E518" s="0" t="n">
        <v>2027</v>
      </c>
      <c r="F518" s="0" t="n">
        <v>4.461425</v>
      </c>
      <c r="G518" s="0" t="n">
        <v>93.596817</v>
      </c>
      <c r="I518" s="0" t="n">
        <v>2026</v>
      </c>
      <c r="J518" s="0" t="n">
        <v>0.26</v>
      </c>
      <c r="K518" s="0" t="n">
        <v>5.64</v>
      </c>
      <c r="M518" s="0" t="n">
        <v>2027</v>
      </c>
      <c r="N518" s="0" t="n">
        <v>12.72</v>
      </c>
      <c r="O518" s="0" t="n">
        <v>266.96</v>
      </c>
      <c r="Q518" s="0" t="n">
        <v>2028</v>
      </c>
      <c r="R518" s="0" t="n">
        <v>701</v>
      </c>
      <c r="T518" s="0" t="n">
        <v>2032</v>
      </c>
      <c r="U518" s="0" t="n">
        <v>2969</v>
      </c>
      <c r="W518" s="0" t="n">
        <v>2027</v>
      </c>
      <c r="X518" s="0" t="n">
        <v>1901.45</v>
      </c>
    </row>
    <row r="519" customFormat="false" ht="15" hidden="false" customHeight="false" outlineLevel="0" collapsed="false">
      <c r="A519" s="0" t="n">
        <v>2027</v>
      </c>
      <c r="B519" s="0" t="n">
        <v>13.42601411</v>
      </c>
      <c r="C519" s="0" t="n">
        <v>281.9462962</v>
      </c>
      <c r="E519" s="0" t="n">
        <v>2027</v>
      </c>
      <c r="F519" s="0" t="n">
        <v>106.650425</v>
      </c>
      <c r="G519" s="0" t="n">
        <v>2237.433177</v>
      </c>
      <c r="I519" s="0" t="n">
        <v>2026</v>
      </c>
      <c r="J519" s="0" t="n">
        <v>0.26</v>
      </c>
      <c r="K519" s="0" t="n">
        <v>5.64</v>
      </c>
      <c r="M519" s="0" t="n">
        <v>2027</v>
      </c>
      <c r="N519" s="0" t="n">
        <v>182.4</v>
      </c>
      <c r="O519" s="0" t="n">
        <v>3825.84</v>
      </c>
      <c r="Q519" s="0" t="n">
        <v>2028</v>
      </c>
      <c r="R519" s="0" t="n">
        <v>332</v>
      </c>
      <c r="T519" s="0" t="n">
        <v>2032</v>
      </c>
      <c r="U519" s="0" t="n">
        <v>48010</v>
      </c>
      <c r="W519" s="0" t="n">
        <v>2027</v>
      </c>
      <c r="X519" s="0" t="n">
        <v>850.06</v>
      </c>
    </row>
    <row r="520" customFormat="false" ht="15" hidden="false" customHeight="false" outlineLevel="0" collapsed="false">
      <c r="A520" s="0" t="n">
        <v>2027</v>
      </c>
      <c r="B520" s="0" t="n">
        <v>49.59004763</v>
      </c>
      <c r="C520" s="0" t="n">
        <v>1041.391</v>
      </c>
      <c r="E520" s="0" t="n">
        <v>2027</v>
      </c>
      <c r="F520" s="0" t="n">
        <v>4.992725</v>
      </c>
      <c r="G520" s="0" t="n">
        <v>104.743029</v>
      </c>
      <c r="I520" s="0" t="n">
        <v>2026</v>
      </c>
      <c r="J520" s="0" t="n">
        <v>0</v>
      </c>
      <c r="K520" s="0" t="n">
        <v>0</v>
      </c>
      <c r="M520" s="0" t="n">
        <v>2027</v>
      </c>
      <c r="N520" s="0" t="n">
        <v>120</v>
      </c>
      <c r="O520" s="0" t="n">
        <v>2517</v>
      </c>
      <c r="Q520" s="0" t="n">
        <v>2028</v>
      </c>
      <c r="R520" s="0" t="n">
        <v>74</v>
      </c>
      <c r="T520" s="0" t="n">
        <v>2032</v>
      </c>
      <c r="U520" s="0" t="n">
        <v>1484</v>
      </c>
      <c r="W520" s="0" t="n">
        <v>2027</v>
      </c>
      <c r="X520" s="0" t="n">
        <v>335.55</v>
      </c>
    </row>
    <row r="521" customFormat="false" ht="15" hidden="false" customHeight="false" outlineLevel="0" collapsed="false">
      <c r="A521" s="0" t="n">
        <v>2027</v>
      </c>
      <c r="B521" s="0" t="n">
        <v>15.52341658</v>
      </c>
      <c r="C521" s="0" t="n">
        <v>325.9917483</v>
      </c>
      <c r="E521" s="0" t="n">
        <v>2027</v>
      </c>
      <c r="F521" s="0" t="n">
        <v>27.29985</v>
      </c>
      <c r="G521" s="0" t="n">
        <v>572.727114</v>
      </c>
      <c r="I521" s="0" t="n">
        <v>2026</v>
      </c>
      <c r="J521" s="0" t="n">
        <v>0.52</v>
      </c>
      <c r="K521" s="0" t="n">
        <v>11.28</v>
      </c>
      <c r="M521" s="0" t="n">
        <v>2027</v>
      </c>
      <c r="N521" s="0" t="n">
        <v>48</v>
      </c>
      <c r="O521" s="0" t="n">
        <v>1006.8</v>
      </c>
      <c r="Q521" s="0" t="n">
        <v>2028</v>
      </c>
      <c r="R521" s="0" t="n">
        <v>71</v>
      </c>
      <c r="T521" s="0" t="n">
        <v>2032</v>
      </c>
      <c r="U521" s="0" t="n">
        <v>200042</v>
      </c>
      <c r="W521" s="0" t="n">
        <v>2027</v>
      </c>
      <c r="X521" s="0" t="n">
        <v>492.14</v>
      </c>
    </row>
    <row r="522" customFormat="false" ht="15" hidden="false" customHeight="false" outlineLevel="0" collapsed="false">
      <c r="A522" s="0" t="n">
        <v>2027</v>
      </c>
      <c r="B522" s="0" t="n">
        <v>34.70941083</v>
      </c>
      <c r="C522" s="0" t="n">
        <v>728.8976274</v>
      </c>
      <c r="E522" s="0" t="n">
        <v>2027</v>
      </c>
      <c r="F522" s="0" t="n">
        <v>24.96305</v>
      </c>
      <c r="G522" s="0" t="n">
        <v>523.703082</v>
      </c>
      <c r="I522" s="0" t="n">
        <v>2026</v>
      </c>
      <c r="J522" s="0" t="n">
        <v>0.91</v>
      </c>
      <c r="K522" s="0" t="n">
        <v>19.74</v>
      </c>
      <c r="M522" s="0" t="n">
        <v>2027</v>
      </c>
      <c r="N522" s="0" t="n">
        <v>48</v>
      </c>
      <c r="O522" s="0" t="n">
        <v>1006.8</v>
      </c>
      <c r="Q522" s="0" t="n">
        <v>2028</v>
      </c>
      <c r="R522" s="0" t="n">
        <v>71</v>
      </c>
      <c r="T522" s="0" t="n">
        <v>2032</v>
      </c>
      <c r="U522" s="0" t="n">
        <v>6187</v>
      </c>
      <c r="W522" s="0" t="n">
        <v>2027</v>
      </c>
      <c r="X522" s="0" t="n">
        <v>380.29</v>
      </c>
    </row>
    <row r="523" customFormat="false" ht="15" hidden="false" customHeight="false" outlineLevel="0" collapsed="false">
      <c r="A523" s="0" t="n">
        <v>2027</v>
      </c>
      <c r="B523" s="0" t="n">
        <v>93.29927844</v>
      </c>
      <c r="C523" s="0" t="n">
        <v>1959.284847</v>
      </c>
      <c r="E523" s="0" t="n">
        <v>2027</v>
      </c>
      <c r="F523" s="0" t="n">
        <v>388.545444</v>
      </c>
      <c r="G523" s="0" t="n">
        <v>8157.912477</v>
      </c>
      <c r="I523" s="0" t="n">
        <v>2026</v>
      </c>
      <c r="J523" s="0" t="n">
        <v>0.26</v>
      </c>
      <c r="K523" s="0" t="n">
        <v>5.64</v>
      </c>
      <c r="M523" s="0" t="n">
        <v>2027</v>
      </c>
      <c r="N523" s="0" t="n">
        <v>28.8</v>
      </c>
      <c r="O523" s="0" t="n">
        <v>604.08</v>
      </c>
      <c r="Q523" s="0" t="n">
        <v>2028</v>
      </c>
      <c r="R523" s="0" t="n">
        <v>329</v>
      </c>
      <c r="T523" s="0" t="n">
        <v>2033</v>
      </c>
      <c r="U523" s="0" t="n">
        <v>225586</v>
      </c>
      <c r="W523" s="0" t="n">
        <v>2027</v>
      </c>
      <c r="X523" s="0" t="n">
        <v>8938.54</v>
      </c>
    </row>
    <row r="524" customFormat="false" ht="15" hidden="false" customHeight="false" outlineLevel="0" collapsed="false">
      <c r="A524" s="0" t="n">
        <v>2027</v>
      </c>
      <c r="B524" s="0" t="n">
        <v>23.53283692</v>
      </c>
      <c r="C524" s="0" t="n">
        <v>494.1895753</v>
      </c>
      <c r="E524" s="0" t="n">
        <v>2027</v>
      </c>
      <c r="F524" s="0" t="n">
        <v>104.328756</v>
      </c>
      <c r="G524" s="0" t="n">
        <v>2190.489873</v>
      </c>
      <c r="I524" s="0" t="n">
        <v>2026</v>
      </c>
      <c r="J524" s="0" t="n">
        <v>0.91</v>
      </c>
      <c r="K524" s="0" t="n">
        <v>19.74</v>
      </c>
      <c r="M524" s="0" t="n">
        <v>2027</v>
      </c>
      <c r="N524" s="0" t="n">
        <v>24</v>
      </c>
      <c r="O524" s="0" t="n">
        <v>503.4</v>
      </c>
      <c r="Q524" s="0" t="n">
        <v>2028</v>
      </c>
      <c r="R524" s="0" t="n">
        <v>313</v>
      </c>
      <c r="T524" s="0" t="n">
        <v>2033</v>
      </c>
      <c r="U524" s="0" t="n">
        <v>6977</v>
      </c>
      <c r="W524" s="0" t="n">
        <v>2027</v>
      </c>
      <c r="X524" s="0" t="n">
        <v>2234.635</v>
      </c>
    </row>
    <row r="525" customFormat="false" ht="15" hidden="false" customHeight="false" outlineLevel="0" collapsed="false">
      <c r="A525" s="0" t="n">
        <v>2027</v>
      </c>
      <c r="B525" s="0" t="n">
        <v>20.9855382</v>
      </c>
      <c r="C525" s="0" t="n">
        <v>440.6963022</v>
      </c>
      <c r="E525" s="0" t="n">
        <v>2027</v>
      </c>
      <c r="F525" s="0" t="n">
        <v>41.759172</v>
      </c>
      <c r="G525" s="0" t="n">
        <v>876.776901</v>
      </c>
      <c r="I525" s="0" t="n">
        <v>2026</v>
      </c>
      <c r="J525" s="0" t="n">
        <v>23.04</v>
      </c>
      <c r="K525" s="0" t="n">
        <v>487.2</v>
      </c>
      <c r="M525" s="0" t="n">
        <v>2027</v>
      </c>
      <c r="N525" s="0" t="n">
        <v>19.2</v>
      </c>
      <c r="O525" s="0" t="n">
        <v>402.72</v>
      </c>
      <c r="Q525" s="0" t="n">
        <v>2028</v>
      </c>
      <c r="R525" s="0" t="n">
        <v>148</v>
      </c>
      <c r="T525" s="0" t="n">
        <v>2033</v>
      </c>
      <c r="U525" s="0" t="n">
        <v>435763</v>
      </c>
      <c r="W525" s="0" t="n">
        <v>2027</v>
      </c>
      <c r="X525" s="0" t="n">
        <v>692.016</v>
      </c>
    </row>
    <row r="526" customFormat="false" ht="15" hidden="false" customHeight="false" outlineLevel="0" collapsed="false">
      <c r="A526" s="0" t="n">
        <v>2027</v>
      </c>
      <c r="B526" s="0" t="n">
        <v>14.59419812</v>
      </c>
      <c r="C526" s="0" t="n">
        <v>306.4781606</v>
      </c>
      <c r="E526" s="0" t="n">
        <v>2027</v>
      </c>
      <c r="F526" s="0" t="n">
        <v>5.865804</v>
      </c>
      <c r="G526" s="0" t="n">
        <v>123.158607</v>
      </c>
      <c r="I526" s="0" t="n">
        <v>2026</v>
      </c>
      <c r="J526" s="0" t="n">
        <v>7.68</v>
      </c>
      <c r="K526" s="0" t="n">
        <v>162.4</v>
      </c>
      <c r="M526" s="0" t="n">
        <v>2027</v>
      </c>
      <c r="N526" s="0" t="n">
        <v>9.6</v>
      </c>
      <c r="O526" s="0" t="n">
        <v>201.36</v>
      </c>
      <c r="Q526" s="0" t="n">
        <v>2028</v>
      </c>
      <c r="R526" s="0" t="n">
        <v>33</v>
      </c>
      <c r="T526" s="0" t="n">
        <v>2033</v>
      </c>
      <c r="U526" s="0" t="n">
        <v>13478</v>
      </c>
      <c r="W526" s="0" t="n">
        <v>2027</v>
      </c>
      <c r="X526" s="0" t="n">
        <v>1225.445</v>
      </c>
    </row>
    <row r="527" customFormat="false" ht="15" hidden="false" customHeight="false" outlineLevel="0" collapsed="false">
      <c r="A527" s="0" t="n">
        <v>2027</v>
      </c>
      <c r="B527" s="0" t="n">
        <v>10.85565248</v>
      </c>
      <c r="C527" s="0" t="n">
        <v>227.968702</v>
      </c>
      <c r="E527" s="0" t="n">
        <v>2027</v>
      </c>
      <c r="F527" s="0" t="n">
        <v>140.222124</v>
      </c>
      <c r="G527" s="0" t="n">
        <v>2944.108167</v>
      </c>
      <c r="I527" s="0" t="n">
        <v>2026</v>
      </c>
      <c r="J527" s="0" t="n">
        <v>3.36</v>
      </c>
      <c r="K527" s="0" t="n">
        <v>71.05</v>
      </c>
      <c r="M527" s="0" t="n">
        <v>2027</v>
      </c>
      <c r="N527" s="0" t="n">
        <v>164.92</v>
      </c>
      <c r="O527" s="0" t="n">
        <v>3456.48</v>
      </c>
      <c r="Q527" s="0" t="n">
        <v>2028</v>
      </c>
      <c r="R527" s="0" t="n">
        <v>31</v>
      </c>
      <c r="T527" s="0" t="n">
        <v>2033</v>
      </c>
      <c r="U527" s="0" t="n">
        <v>215723</v>
      </c>
      <c r="W527" s="0" t="n">
        <v>2027</v>
      </c>
      <c r="X527" s="0" t="n">
        <v>547.846</v>
      </c>
    </row>
    <row r="528" customFormat="false" ht="15" hidden="false" customHeight="false" outlineLevel="0" collapsed="false">
      <c r="A528" s="0" t="n">
        <v>2027</v>
      </c>
      <c r="B528" s="0" t="n">
        <v>4.824734434</v>
      </c>
      <c r="C528" s="0" t="n">
        <v>101.3194231</v>
      </c>
      <c r="E528" s="0" t="n">
        <v>2027</v>
      </c>
      <c r="F528" s="0" t="n">
        <v>6.564348</v>
      </c>
      <c r="G528" s="0" t="n">
        <v>137.825259</v>
      </c>
      <c r="I528" s="0" t="n">
        <v>2026</v>
      </c>
      <c r="J528" s="0" t="n">
        <v>1.92</v>
      </c>
      <c r="K528" s="0" t="n">
        <v>40.6</v>
      </c>
      <c r="M528" s="0" t="n">
        <v>2027</v>
      </c>
      <c r="N528" s="0" t="n">
        <v>108.5</v>
      </c>
      <c r="O528" s="0" t="n">
        <v>2274</v>
      </c>
      <c r="Q528" s="0" t="n">
        <v>2028</v>
      </c>
      <c r="R528" s="0" t="n">
        <v>31</v>
      </c>
      <c r="T528" s="0" t="n">
        <v>2033</v>
      </c>
      <c r="U528" s="0" t="n">
        <v>6672</v>
      </c>
      <c r="W528" s="0" t="n">
        <v>2027</v>
      </c>
      <c r="X528" s="0" t="n">
        <v>216.255</v>
      </c>
    </row>
    <row r="529" customFormat="false" ht="15" hidden="false" customHeight="false" outlineLevel="0" collapsed="false">
      <c r="A529" s="0" t="n">
        <v>2027</v>
      </c>
      <c r="B529" s="0" t="n">
        <v>17.82053918</v>
      </c>
      <c r="C529" s="0" t="n">
        <v>374.2313227</v>
      </c>
      <c r="E529" s="0" t="n">
        <v>2027</v>
      </c>
      <c r="F529" s="0" t="n">
        <v>35.893368</v>
      </c>
      <c r="G529" s="0" t="n">
        <v>753.618294</v>
      </c>
      <c r="I529" s="0" t="n">
        <v>2026</v>
      </c>
      <c r="J529" s="0" t="n">
        <v>1.92</v>
      </c>
      <c r="K529" s="0" t="n">
        <v>40.6</v>
      </c>
      <c r="M529" s="0" t="n">
        <v>2027</v>
      </c>
      <c r="N529" s="0" t="n">
        <v>43.4</v>
      </c>
      <c r="O529" s="0" t="n">
        <v>909.6</v>
      </c>
      <c r="Q529" s="0" t="n">
        <v>2028</v>
      </c>
      <c r="R529" s="0" t="n">
        <v>822</v>
      </c>
      <c r="T529" s="0" t="n">
        <v>2033</v>
      </c>
      <c r="U529" s="0" t="n">
        <v>278284</v>
      </c>
      <c r="W529" s="0" t="n">
        <v>2027</v>
      </c>
      <c r="X529" s="0" t="n">
        <v>317.174</v>
      </c>
    </row>
    <row r="530" customFormat="false" ht="15" hidden="false" customHeight="false" outlineLevel="0" collapsed="false">
      <c r="A530" s="0" t="n">
        <v>2027</v>
      </c>
      <c r="B530" s="0" t="n">
        <v>5.578451053</v>
      </c>
      <c r="C530" s="0" t="n">
        <v>117.1474721</v>
      </c>
      <c r="E530" s="0" t="n">
        <v>2027</v>
      </c>
      <c r="F530" s="0" t="n">
        <v>32.820984</v>
      </c>
      <c r="G530" s="0" t="n">
        <v>689.110422</v>
      </c>
      <c r="I530" s="0" t="n">
        <v>2026</v>
      </c>
      <c r="J530" s="0" t="n">
        <v>0.96</v>
      </c>
      <c r="K530" s="0" t="n">
        <v>20.3</v>
      </c>
      <c r="M530" s="0" t="n">
        <v>2027</v>
      </c>
      <c r="N530" s="0" t="n">
        <v>43.4</v>
      </c>
      <c r="O530" s="0" t="n">
        <v>909.6</v>
      </c>
      <c r="Q530" s="0" t="n">
        <v>2028</v>
      </c>
      <c r="R530" s="0" t="n">
        <v>781</v>
      </c>
      <c r="T530" s="0" t="n">
        <v>2033</v>
      </c>
      <c r="U530" s="0" t="n">
        <v>8607</v>
      </c>
      <c r="W530" s="0" t="n">
        <v>2027</v>
      </c>
      <c r="X530" s="0" t="n">
        <v>245.089</v>
      </c>
    </row>
    <row r="531" customFormat="false" ht="15" hidden="false" customHeight="false" outlineLevel="0" collapsed="false">
      <c r="A531" s="0" t="n">
        <v>2027</v>
      </c>
      <c r="B531" s="0" t="n">
        <v>12.47307565</v>
      </c>
      <c r="C531" s="0" t="n">
        <v>261.9345886</v>
      </c>
      <c r="E531" s="0" t="n">
        <v>2027</v>
      </c>
      <c r="F531" s="0" t="n">
        <v>555.06492</v>
      </c>
      <c r="G531" s="0" t="n">
        <v>11654.82147</v>
      </c>
      <c r="I531" s="0" t="n">
        <v>2026</v>
      </c>
      <c r="J531" s="0" t="n">
        <v>0.96</v>
      </c>
      <c r="K531" s="0" t="n">
        <v>20.3</v>
      </c>
      <c r="M531" s="0" t="n">
        <v>2027</v>
      </c>
      <c r="N531" s="0" t="n">
        <v>26.04</v>
      </c>
      <c r="O531" s="0" t="n">
        <v>545.76</v>
      </c>
      <c r="Q531" s="0" t="n">
        <v>2028</v>
      </c>
      <c r="R531" s="0" t="n">
        <v>370</v>
      </c>
      <c r="T531" s="0" t="n">
        <v>2033</v>
      </c>
      <c r="U531" s="0" t="n">
        <v>316806</v>
      </c>
      <c r="W531" s="0" t="n">
        <v>2027</v>
      </c>
      <c r="X531" s="0" t="n">
        <v>24219.68</v>
      </c>
    </row>
    <row r="532" customFormat="false" ht="15" hidden="false" customHeight="false" outlineLevel="0" collapsed="false">
      <c r="A532" s="0" t="n">
        <v>2027</v>
      </c>
      <c r="B532" s="0" t="n">
        <v>148.6764368</v>
      </c>
      <c r="C532" s="0" t="n">
        <v>3122.205173</v>
      </c>
      <c r="E532" s="0" t="n">
        <v>2027</v>
      </c>
      <c r="F532" s="0" t="n">
        <v>149.04108</v>
      </c>
      <c r="G532" s="0" t="n">
        <v>3129.448677</v>
      </c>
      <c r="I532" s="0" t="n">
        <v>2026</v>
      </c>
      <c r="J532" s="0" t="n">
        <v>1.92</v>
      </c>
      <c r="K532" s="0" t="n">
        <v>40.6</v>
      </c>
      <c r="M532" s="0" t="n">
        <v>2027</v>
      </c>
      <c r="N532" s="0" t="n">
        <v>21.7</v>
      </c>
      <c r="O532" s="0" t="n">
        <v>454.8</v>
      </c>
      <c r="Q532" s="0" t="n">
        <v>2028</v>
      </c>
      <c r="R532" s="0" t="n">
        <v>82</v>
      </c>
      <c r="T532" s="0" t="n">
        <v>2033</v>
      </c>
      <c r="U532" s="0" t="n">
        <v>9797</v>
      </c>
      <c r="W532" s="0" t="n">
        <v>2027</v>
      </c>
      <c r="X532" s="0" t="n">
        <v>6054.92</v>
      </c>
    </row>
    <row r="533" customFormat="false" ht="15" hidden="false" customHeight="false" outlineLevel="0" collapsed="false">
      <c r="A533" s="0" t="n">
        <v>2027</v>
      </c>
      <c r="B533" s="0" t="n">
        <v>37.50059379</v>
      </c>
      <c r="C533" s="0" t="n">
        <v>787.5124696</v>
      </c>
      <c r="E533" s="0" t="n">
        <v>2027</v>
      </c>
      <c r="F533" s="0" t="n">
        <v>59.65596</v>
      </c>
      <c r="G533" s="0" t="n">
        <v>1252.609449</v>
      </c>
      <c r="I533" s="0" t="n">
        <v>2026</v>
      </c>
      <c r="J533" s="0" t="n">
        <v>3.36</v>
      </c>
      <c r="K533" s="0" t="n">
        <v>71.05</v>
      </c>
      <c r="M533" s="0" t="n">
        <v>2027</v>
      </c>
      <c r="N533" s="0" t="n">
        <v>17.36</v>
      </c>
      <c r="O533" s="0" t="n">
        <v>363.84</v>
      </c>
      <c r="Q533" s="0" t="n">
        <v>2028</v>
      </c>
      <c r="R533" s="0" t="n">
        <v>79</v>
      </c>
      <c r="T533" s="0" t="n">
        <v>2033</v>
      </c>
      <c r="U533" s="0" t="n">
        <v>93379</v>
      </c>
      <c r="W533" s="0" t="n">
        <v>2027</v>
      </c>
      <c r="X533" s="0" t="n">
        <v>1875.072</v>
      </c>
    </row>
    <row r="534" customFormat="false" ht="15" hidden="false" customHeight="false" outlineLevel="0" collapsed="false">
      <c r="A534" s="0" t="n">
        <v>2027</v>
      </c>
      <c r="B534" s="0" t="n">
        <v>33.44136307</v>
      </c>
      <c r="C534" s="0" t="n">
        <v>702.2686245</v>
      </c>
      <c r="E534" s="0" t="n">
        <v>2027</v>
      </c>
      <c r="F534" s="0" t="n">
        <v>8.37972</v>
      </c>
      <c r="G534" s="0" t="n">
        <v>175.950843</v>
      </c>
      <c r="I534" s="0" t="n">
        <v>2026</v>
      </c>
      <c r="J534" s="0" t="n">
        <v>1.44</v>
      </c>
      <c r="K534" s="0" t="n">
        <v>30.45</v>
      </c>
      <c r="M534" s="0" t="n">
        <v>2027</v>
      </c>
      <c r="N534" s="0" t="n">
        <v>8.68</v>
      </c>
      <c r="O534" s="0" t="n">
        <v>181.92</v>
      </c>
      <c r="Q534" s="0" t="n">
        <v>2028</v>
      </c>
      <c r="R534" s="0" t="n">
        <v>79</v>
      </c>
      <c r="T534" s="0" t="n">
        <v>2033</v>
      </c>
      <c r="U534" s="0" t="n">
        <v>2889</v>
      </c>
      <c r="W534" s="0" t="n">
        <v>2027</v>
      </c>
      <c r="X534" s="0" t="n">
        <v>3320.44</v>
      </c>
    </row>
    <row r="535" customFormat="false" ht="15" hidden="false" customHeight="false" outlineLevel="0" collapsed="false">
      <c r="A535" s="0" t="n">
        <v>2027</v>
      </c>
      <c r="B535" s="0" t="n">
        <v>23.25648613</v>
      </c>
      <c r="C535" s="0" t="n">
        <v>488.3862088</v>
      </c>
      <c r="E535" s="0" t="n">
        <v>2027</v>
      </c>
      <c r="F535" s="0" t="n">
        <v>200.31732</v>
      </c>
      <c r="G535" s="0" t="n">
        <v>4206.107283</v>
      </c>
      <c r="I535" s="0" t="n">
        <v>2026</v>
      </c>
      <c r="J535" s="0" t="n">
        <v>1.44</v>
      </c>
      <c r="K535" s="0" t="n">
        <v>30.45</v>
      </c>
      <c r="M535" s="0" t="n">
        <v>2027</v>
      </c>
      <c r="N535" s="0" t="n">
        <v>264.48</v>
      </c>
      <c r="O535" s="0" t="n">
        <v>5551.8</v>
      </c>
      <c r="Q535" s="0" t="n">
        <v>2028</v>
      </c>
      <c r="R535" s="0" t="n">
        <v>55</v>
      </c>
      <c r="T535" s="0" t="n">
        <v>2033</v>
      </c>
      <c r="U535" s="0" t="n">
        <v>290302</v>
      </c>
      <c r="W535" s="0" t="n">
        <v>2027</v>
      </c>
      <c r="X535" s="0" t="n">
        <v>1484.432</v>
      </c>
    </row>
    <row r="536" customFormat="false" ht="15" hidden="false" customHeight="false" outlineLevel="0" collapsed="false">
      <c r="A536" s="0" t="n">
        <v>2027</v>
      </c>
      <c r="B536" s="0" t="n">
        <v>17.29895189</v>
      </c>
      <c r="C536" s="0" t="n">
        <v>363.2779898</v>
      </c>
      <c r="E536" s="0" t="n">
        <v>2027</v>
      </c>
      <c r="F536" s="0" t="n">
        <v>9.37764</v>
      </c>
      <c r="G536" s="0" t="n">
        <v>196.904391</v>
      </c>
      <c r="I536" s="0" t="n">
        <v>2026</v>
      </c>
      <c r="J536" s="0" t="n">
        <v>5.72</v>
      </c>
      <c r="K536" s="0" t="n">
        <v>119.6</v>
      </c>
      <c r="M536" s="0" t="n">
        <v>2027</v>
      </c>
      <c r="N536" s="0" t="n">
        <v>174</v>
      </c>
      <c r="O536" s="0" t="n">
        <v>3652.5</v>
      </c>
      <c r="Q536" s="0" t="n">
        <v>2028</v>
      </c>
      <c r="R536" s="0" t="n">
        <v>52</v>
      </c>
      <c r="T536" s="0" t="n">
        <v>2033</v>
      </c>
      <c r="U536" s="0" t="n">
        <v>8979</v>
      </c>
      <c r="W536" s="0" t="n">
        <v>2027</v>
      </c>
      <c r="X536" s="0" t="n">
        <v>585.96</v>
      </c>
    </row>
    <row r="537" customFormat="false" ht="15" hidden="false" customHeight="false" outlineLevel="0" collapsed="false">
      <c r="A537" s="0" t="n">
        <v>2027</v>
      </c>
      <c r="B537" s="0" t="n">
        <v>7.688423064</v>
      </c>
      <c r="C537" s="0" t="n">
        <v>161.4568843</v>
      </c>
      <c r="E537" s="0" t="n">
        <v>2027</v>
      </c>
      <c r="F537" s="0" t="n">
        <v>51.27624</v>
      </c>
      <c r="G537" s="0" t="n">
        <v>1076.658606</v>
      </c>
      <c r="I537" s="0" t="n">
        <v>2026</v>
      </c>
      <c r="J537" s="0" t="n">
        <v>0.88</v>
      </c>
      <c r="K537" s="0" t="n">
        <v>18.4</v>
      </c>
      <c r="M537" s="0" t="n">
        <v>2027</v>
      </c>
      <c r="N537" s="0" t="n">
        <v>69.6</v>
      </c>
      <c r="O537" s="0" t="n">
        <v>1461</v>
      </c>
      <c r="Q537" s="0" t="n">
        <v>2028</v>
      </c>
      <c r="R537" s="0" t="n">
        <v>25</v>
      </c>
      <c r="T537" s="0" t="n">
        <v>2033</v>
      </c>
      <c r="U537" s="0" t="n">
        <v>379982</v>
      </c>
      <c r="W537" s="0" t="n">
        <v>2027</v>
      </c>
      <c r="X537" s="0" t="n">
        <v>859.408</v>
      </c>
    </row>
    <row r="538" customFormat="false" ht="15" hidden="false" customHeight="false" outlineLevel="0" collapsed="false">
      <c r="A538" s="0" t="n">
        <v>2027</v>
      </c>
      <c r="B538" s="0" t="n">
        <v>28.39780019</v>
      </c>
      <c r="C538" s="0" t="n">
        <v>596.353804</v>
      </c>
      <c r="E538" s="0" t="n">
        <v>2027</v>
      </c>
      <c r="F538" s="0" t="n">
        <v>46.88712</v>
      </c>
      <c r="G538" s="0" t="n">
        <v>984.499278</v>
      </c>
      <c r="I538" s="0" t="n">
        <v>2026</v>
      </c>
      <c r="J538" s="0" t="n">
        <v>0.66</v>
      </c>
      <c r="K538" s="0" t="n">
        <v>13.8</v>
      </c>
      <c r="M538" s="0" t="n">
        <v>2027</v>
      </c>
      <c r="N538" s="0" t="n">
        <v>69.6</v>
      </c>
      <c r="O538" s="0" t="n">
        <v>1461</v>
      </c>
      <c r="Q538" s="0" t="n">
        <v>2028</v>
      </c>
      <c r="R538" s="0" t="n">
        <v>5</v>
      </c>
      <c r="T538" s="0" t="n">
        <v>2033</v>
      </c>
      <c r="U538" s="0" t="n">
        <v>11751</v>
      </c>
      <c r="W538" s="0" t="n">
        <v>2027</v>
      </c>
      <c r="X538" s="0" t="n">
        <v>664.088</v>
      </c>
    </row>
    <row r="539" customFormat="false" ht="15" hidden="false" customHeight="false" outlineLevel="0" collapsed="false">
      <c r="A539" s="0" t="n">
        <v>2027</v>
      </c>
      <c r="B539" s="0" t="n">
        <v>8.889503107</v>
      </c>
      <c r="C539" s="0" t="n">
        <v>186.6795652</v>
      </c>
      <c r="E539" s="0" t="n">
        <v>2027</v>
      </c>
      <c r="F539" s="0" t="n">
        <v>387.003597</v>
      </c>
      <c r="G539" s="0" t="n">
        <v>8120.908149</v>
      </c>
      <c r="I539" s="0" t="n">
        <v>2026</v>
      </c>
      <c r="J539" s="0" t="n">
        <v>1.1</v>
      </c>
      <c r="K539" s="0" t="n">
        <v>23</v>
      </c>
      <c r="M539" s="0" t="n">
        <v>2027</v>
      </c>
      <c r="N539" s="0" t="n">
        <v>41.76</v>
      </c>
      <c r="O539" s="0" t="n">
        <v>876.6</v>
      </c>
      <c r="Q539" s="0" t="n">
        <v>2028</v>
      </c>
      <c r="R539" s="0" t="n">
        <v>5</v>
      </c>
      <c r="T539" s="0" t="n">
        <v>2033</v>
      </c>
      <c r="U539" s="0" t="n">
        <v>332525</v>
      </c>
      <c r="W539" s="0" t="n">
        <v>2027</v>
      </c>
      <c r="X539" s="0" t="n">
        <v>12830.28</v>
      </c>
    </row>
    <row r="540" customFormat="false" ht="15" hidden="false" customHeight="false" outlineLevel="0" collapsed="false">
      <c r="A540" s="0" t="n">
        <v>2027</v>
      </c>
      <c r="B540" s="0" t="n">
        <v>19.8763857</v>
      </c>
      <c r="C540" s="0" t="n">
        <v>417.4040997</v>
      </c>
      <c r="E540" s="0" t="n">
        <v>2027</v>
      </c>
      <c r="F540" s="0" t="n">
        <v>103.914753</v>
      </c>
      <c r="G540" s="0" t="n">
        <v>2180.553801</v>
      </c>
      <c r="I540" s="0" t="n">
        <v>2026</v>
      </c>
      <c r="J540" s="0" t="n">
        <v>0.22</v>
      </c>
      <c r="K540" s="0" t="n">
        <v>4.6</v>
      </c>
      <c r="M540" s="0" t="n">
        <v>2027</v>
      </c>
      <c r="N540" s="0" t="n">
        <v>34.8</v>
      </c>
      <c r="O540" s="0" t="n">
        <v>730.5</v>
      </c>
      <c r="Q540" s="0" t="n">
        <v>2028</v>
      </c>
      <c r="R540" s="0" t="n">
        <v>5</v>
      </c>
      <c r="T540" s="0" t="n">
        <v>2033</v>
      </c>
      <c r="U540" s="0" t="n">
        <v>10283</v>
      </c>
      <c r="W540" s="0" t="n">
        <v>2027</v>
      </c>
      <c r="X540" s="0" t="n">
        <v>3207.57</v>
      </c>
    </row>
    <row r="541" customFormat="false" ht="15" hidden="false" customHeight="false" outlineLevel="0" collapsed="false">
      <c r="A541" s="0" t="n">
        <v>2027</v>
      </c>
      <c r="B541" s="0" t="n">
        <v>166.4771195</v>
      </c>
      <c r="C541" s="0" t="n">
        <v>3496.019509</v>
      </c>
      <c r="E541" s="0" t="n">
        <v>2027</v>
      </c>
      <c r="F541" s="0" t="n">
        <v>41.593461</v>
      </c>
      <c r="G541" s="0" t="n">
        <v>872.799837</v>
      </c>
      <c r="I541" s="0" t="n">
        <v>2026</v>
      </c>
      <c r="J541" s="0" t="n">
        <v>0.22</v>
      </c>
      <c r="K541" s="0" t="n">
        <v>4.6</v>
      </c>
      <c r="M541" s="0" t="n">
        <v>2027</v>
      </c>
      <c r="N541" s="0" t="n">
        <v>27.84</v>
      </c>
      <c r="O541" s="0" t="n">
        <v>584.4</v>
      </c>
      <c r="Q541" s="0" t="n">
        <v>2028</v>
      </c>
      <c r="R541" s="0" t="n">
        <v>146</v>
      </c>
      <c r="T541" s="0" t="n">
        <v>2033</v>
      </c>
      <c r="U541" s="0" t="n">
        <v>513731</v>
      </c>
      <c r="W541" s="0" t="n">
        <v>2027</v>
      </c>
      <c r="X541" s="0" t="n">
        <v>993.312</v>
      </c>
    </row>
    <row r="542" customFormat="false" ht="15" hidden="false" customHeight="false" outlineLevel="0" collapsed="false">
      <c r="A542" s="0" t="n">
        <v>2027</v>
      </c>
      <c r="B542" s="0" t="n">
        <v>41.99045233</v>
      </c>
      <c r="C542" s="0" t="n">
        <v>881.7994989</v>
      </c>
      <c r="E542" s="0" t="n">
        <v>2027</v>
      </c>
      <c r="F542" s="0" t="n">
        <v>5.842527</v>
      </c>
      <c r="G542" s="0" t="n">
        <v>122.599959</v>
      </c>
      <c r="I542" s="0" t="n">
        <v>2026</v>
      </c>
      <c r="J542" s="0" t="n">
        <v>0</v>
      </c>
      <c r="K542" s="0" t="n">
        <v>0</v>
      </c>
      <c r="M542" s="0" t="n">
        <v>2027</v>
      </c>
      <c r="N542" s="0" t="n">
        <v>13.92</v>
      </c>
      <c r="O542" s="0" t="n">
        <v>292.2</v>
      </c>
      <c r="Q542" s="0" t="n">
        <v>2028</v>
      </c>
      <c r="R542" s="0" t="n">
        <v>139</v>
      </c>
      <c r="T542" s="0" t="n">
        <v>2033</v>
      </c>
      <c r="U542" s="0" t="n">
        <v>15570</v>
      </c>
      <c r="W542" s="0" t="n">
        <v>2027</v>
      </c>
      <c r="X542" s="0" t="n">
        <v>1758.99</v>
      </c>
    </row>
    <row r="543" customFormat="false" ht="15" hidden="false" customHeight="false" outlineLevel="0" collapsed="false">
      <c r="A543" s="0" t="n">
        <v>2027</v>
      </c>
      <c r="B543" s="0" t="n">
        <v>37.44521939</v>
      </c>
      <c r="C543" s="0" t="n">
        <v>786.3496073</v>
      </c>
      <c r="E543" s="0" t="n">
        <v>2027</v>
      </c>
      <c r="F543" s="0" t="n">
        <v>139.665687</v>
      </c>
      <c r="G543" s="0" t="n">
        <v>2930.753679</v>
      </c>
      <c r="I543" s="0" t="n">
        <v>2026</v>
      </c>
      <c r="J543" s="0" t="n">
        <v>0.44</v>
      </c>
      <c r="K543" s="0" t="n">
        <v>9.2</v>
      </c>
      <c r="M543" s="0" t="n">
        <v>2027</v>
      </c>
      <c r="N543" s="0" t="n">
        <v>171.38</v>
      </c>
      <c r="O543" s="0" t="n">
        <v>3595.94</v>
      </c>
      <c r="Q543" s="0" t="n">
        <v>2028</v>
      </c>
      <c r="R543" s="0" t="n">
        <v>66</v>
      </c>
      <c r="T543" s="0" t="n">
        <v>2033</v>
      </c>
      <c r="U543" s="0" t="n">
        <v>22117</v>
      </c>
      <c r="W543" s="0" t="n">
        <v>2027</v>
      </c>
      <c r="X543" s="0" t="n">
        <v>786.372</v>
      </c>
    </row>
    <row r="544" customFormat="false" ht="15" hidden="false" customHeight="false" outlineLevel="0" collapsed="false">
      <c r="A544" s="0" t="n">
        <v>2027</v>
      </c>
      <c r="B544" s="0" t="n">
        <v>26.04093092</v>
      </c>
      <c r="C544" s="0" t="n">
        <v>546.8595493</v>
      </c>
      <c r="E544" s="0" t="n">
        <v>2027</v>
      </c>
      <c r="F544" s="0" t="n">
        <v>6.538299</v>
      </c>
      <c r="G544" s="0" t="n">
        <v>137.200083</v>
      </c>
      <c r="I544" s="0" t="n">
        <v>2026</v>
      </c>
      <c r="J544" s="0" t="n">
        <v>0.77</v>
      </c>
      <c r="K544" s="0" t="n">
        <v>16.1</v>
      </c>
      <c r="M544" s="0" t="n">
        <v>2027</v>
      </c>
      <c r="N544" s="0" t="n">
        <v>112.75</v>
      </c>
      <c r="O544" s="0" t="n">
        <v>2365.75</v>
      </c>
      <c r="Q544" s="0" t="n">
        <v>2028</v>
      </c>
      <c r="R544" s="0" t="n">
        <v>15</v>
      </c>
      <c r="T544" s="0" t="n">
        <v>2033</v>
      </c>
      <c r="U544" s="0" t="n">
        <v>684</v>
      </c>
      <c r="W544" s="0" t="n">
        <v>2027</v>
      </c>
      <c r="X544" s="0" t="n">
        <v>310.41</v>
      </c>
    </row>
    <row r="545" customFormat="false" ht="15" hidden="false" customHeight="false" outlineLevel="0" collapsed="false">
      <c r="A545" s="0" t="n">
        <v>2027</v>
      </c>
      <c r="B545" s="0" t="n">
        <v>19.37011502</v>
      </c>
      <c r="C545" s="0" t="n">
        <v>406.7724153</v>
      </c>
      <c r="E545" s="0" t="n">
        <v>2027</v>
      </c>
      <c r="F545" s="0" t="n">
        <v>35.750934</v>
      </c>
      <c r="G545" s="0" t="n">
        <v>750.199878</v>
      </c>
      <c r="I545" s="0" t="n">
        <v>2026</v>
      </c>
      <c r="J545" s="0" t="n">
        <v>0.22</v>
      </c>
      <c r="K545" s="0" t="n">
        <v>4.6</v>
      </c>
      <c r="M545" s="0" t="n">
        <v>2027</v>
      </c>
      <c r="N545" s="0" t="n">
        <v>45.1</v>
      </c>
      <c r="O545" s="0" t="n">
        <v>946.3</v>
      </c>
      <c r="Q545" s="0" t="n">
        <v>2028</v>
      </c>
      <c r="R545" s="0" t="n">
        <v>15</v>
      </c>
      <c r="T545" s="0" t="n">
        <v>2033</v>
      </c>
      <c r="U545" s="0" t="n">
        <v>357434</v>
      </c>
      <c r="W545" s="0" t="n">
        <v>2027</v>
      </c>
      <c r="X545" s="0" t="n">
        <v>455.268</v>
      </c>
    </row>
    <row r="546" customFormat="false" ht="15" hidden="false" customHeight="false" outlineLevel="0" collapsed="false">
      <c r="A546" s="0" t="n">
        <v>2027</v>
      </c>
      <c r="B546" s="0" t="n">
        <v>8.608940007</v>
      </c>
      <c r="C546" s="0" t="n">
        <v>180.7877401</v>
      </c>
      <c r="E546" s="0" t="n">
        <v>2027</v>
      </c>
      <c r="F546" s="0" t="n">
        <v>32.690742</v>
      </c>
      <c r="G546" s="0" t="n">
        <v>685.984614</v>
      </c>
      <c r="I546" s="0" t="n">
        <v>2026</v>
      </c>
      <c r="J546" s="0" t="n">
        <v>0.77</v>
      </c>
      <c r="K546" s="0" t="n">
        <v>16.1</v>
      </c>
      <c r="M546" s="0" t="n">
        <v>2027</v>
      </c>
      <c r="N546" s="0" t="n">
        <v>45.1</v>
      </c>
      <c r="O546" s="0" t="n">
        <v>946.3</v>
      </c>
      <c r="Q546" s="0" t="n">
        <v>2028</v>
      </c>
      <c r="R546" s="0" t="n">
        <v>15</v>
      </c>
      <c r="T546" s="0" t="n">
        <v>2033</v>
      </c>
      <c r="U546" s="0" t="n">
        <v>11056</v>
      </c>
      <c r="W546" s="0" t="n">
        <v>2027</v>
      </c>
      <c r="X546" s="0" t="n">
        <v>351.798</v>
      </c>
    </row>
    <row r="547" customFormat="false" ht="15" hidden="false" customHeight="false" outlineLevel="0" collapsed="false">
      <c r="A547" s="0" t="n">
        <v>2027</v>
      </c>
      <c r="B547" s="0" t="n">
        <v>31.79780251</v>
      </c>
      <c r="C547" s="0" t="n">
        <v>667.7538526</v>
      </c>
      <c r="E547" s="0" t="n">
        <v>2027</v>
      </c>
      <c r="F547" s="0" t="n">
        <v>316.078635</v>
      </c>
      <c r="G547" s="0" t="n">
        <v>6636.109488</v>
      </c>
      <c r="I547" s="0" t="n">
        <v>2026</v>
      </c>
      <c r="J547" s="0" t="n">
        <v>326.88</v>
      </c>
      <c r="K547" s="0" t="n">
        <v>6867.84</v>
      </c>
      <c r="M547" s="0" t="n">
        <v>2027</v>
      </c>
      <c r="N547" s="0" t="n">
        <v>27.06</v>
      </c>
      <c r="O547" s="0" t="n">
        <v>567.78</v>
      </c>
      <c r="Q547" s="0" t="n">
        <v>2028</v>
      </c>
      <c r="R547" s="0" t="n">
        <v>278</v>
      </c>
      <c r="T547" s="0" t="n">
        <v>2033</v>
      </c>
      <c r="U547" s="0" t="n">
        <v>136120</v>
      </c>
      <c r="W547" s="0" t="n">
        <v>2027</v>
      </c>
      <c r="X547" s="0" t="n">
        <v>5253.26</v>
      </c>
    </row>
    <row r="548" customFormat="false" ht="15" hidden="false" customHeight="false" outlineLevel="0" collapsed="false">
      <c r="A548" s="0" t="n">
        <v>2027</v>
      </c>
      <c r="B548" s="0" t="n">
        <v>9.953822558</v>
      </c>
      <c r="C548" s="0" t="n">
        <v>209.0302737</v>
      </c>
      <c r="E548" s="0" t="n">
        <v>2027</v>
      </c>
      <c r="F548" s="0" t="n">
        <v>84.870615</v>
      </c>
      <c r="G548" s="0" t="n">
        <v>1781.868912</v>
      </c>
      <c r="I548" s="0" t="n">
        <v>2026</v>
      </c>
      <c r="J548" s="0" t="n">
        <v>108.96</v>
      </c>
      <c r="K548" s="0" t="n">
        <v>2289.28</v>
      </c>
      <c r="M548" s="0" t="n">
        <v>2027</v>
      </c>
      <c r="N548" s="0" t="n">
        <v>22.55</v>
      </c>
      <c r="O548" s="0" t="n">
        <v>473.15</v>
      </c>
      <c r="Q548" s="0" t="n">
        <v>2028</v>
      </c>
      <c r="R548" s="0" t="n">
        <v>265</v>
      </c>
      <c r="T548" s="0" t="n">
        <v>2033</v>
      </c>
      <c r="U548" s="0" t="n">
        <v>4209</v>
      </c>
      <c r="W548" s="0" t="n">
        <v>2027</v>
      </c>
      <c r="X548" s="0" t="n">
        <v>1313.315</v>
      </c>
    </row>
    <row r="549" customFormat="false" ht="15" hidden="false" customHeight="false" outlineLevel="0" collapsed="false">
      <c r="A549" s="0" t="n">
        <v>2027</v>
      </c>
      <c r="B549" s="0" t="n">
        <v>22.25613895</v>
      </c>
      <c r="C549" s="0" t="n">
        <v>467.378918</v>
      </c>
      <c r="E549" s="0" t="n">
        <v>2027</v>
      </c>
      <c r="F549" s="0" t="n">
        <v>33.970755</v>
      </c>
      <c r="G549" s="0" t="n">
        <v>713.220144</v>
      </c>
      <c r="I549" s="0" t="n">
        <v>2026</v>
      </c>
      <c r="J549" s="0" t="n">
        <v>47.67</v>
      </c>
      <c r="K549" s="0" t="n">
        <v>1001.56</v>
      </c>
      <c r="M549" s="0" t="n">
        <v>2027</v>
      </c>
      <c r="N549" s="0" t="n">
        <v>18.04</v>
      </c>
      <c r="O549" s="0" t="n">
        <v>378.52</v>
      </c>
      <c r="Q549" s="0" t="n">
        <v>2028</v>
      </c>
      <c r="R549" s="0" t="n">
        <v>125</v>
      </c>
      <c r="T549" s="0" t="n">
        <v>2033</v>
      </c>
      <c r="U549" s="0" t="n">
        <v>211855</v>
      </c>
      <c r="W549" s="0" t="n">
        <v>2027</v>
      </c>
      <c r="X549" s="0" t="n">
        <v>406.704</v>
      </c>
    </row>
    <row r="550" customFormat="false" ht="15" hidden="false" customHeight="false" outlineLevel="0" collapsed="false">
      <c r="A550" s="0" t="n">
        <v>2027</v>
      </c>
      <c r="B550" s="0" t="n">
        <v>101.0022091</v>
      </c>
      <c r="C550" s="0" t="n">
        <v>2121.046391</v>
      </c>
      <c r="E550" s="0" t="n">
        <v>2027</v>
      </c>
      <c r="F550" s="0" t="n">
        <v>4.771785</v>
      </c>
      <c r="G550" s="0" t="n">
        <v>100.184208</v>
      </c>
      <c r="I550" s="0" t="n">
        <v>2026</v>
      </c>
      <c r="J550" s="0" t="n">
        <v>27.24</v>
      </c>
      <c r="K550" s="0" t="n">
        <v>572.32</v>
      </c>
      <c r="M550" s="0" t="n">
        <v>2027</v>
      </c>
      <c r="N550" s="0" t="n">
        <v>9.02</v>
      </c>
      <c r="O550" s="0" t="n">
        <v>189.26</v>
      </c>
      <c r="Q550" s="0" t="n">
        <v>2028</v>
      </c>
      <c r="R550" s="0" t="n">
        <v>28</v>
      </c>
      <c r="T550" s="0" t="n">
        <v>2033</v>
      </c>
      <c r="U550" s="0" t="n">
        <v>6554</v>
      </c>
      <c r="W550" s="0" t="n">
        <v>2027</v>
      </c>
      <c r="X550" s="0" t="n">
        <v>720.205</v>
      </c>
    </row>
    <row r="551" customFormat="false" ht="15" hidden="false" customHeight="false" outlineLevel="0" collapsed="false">
      <c r="A551" s="0" t="n">
        <v>2027</v>
      </c>
      <c r="B551" s="0" t="n">
        <v>25.4757438</v>
      </c>
      <c r="C551" s="0" t="n">
        <v>534.9906199</v>
      </c>
      <c r="E551" s="0" t="n">
        <v>2027</v>
      </c>
      <c r="F551" s="0" t="n">
        <v>114.069585</v>
      </c>
      <c r="G551" s="0" t="n">
        <v>2394.904848</v>
      </c>
      <c r="I551" s="0" t="n">
        <v>2026</v>
      </c>
      <c r="J551" s="0" t="n">
        <v>27.24</v>
      </c>
      <c r="K551" s="0" t="n">
        <v>572.32</v>
      </c>
      <c r="M551" s="0" t="n">
        <v>2027</v>
      </c>
      <c r="N551" s="0" t="n">
        <v>44.46</v>
      </c>
      <c r="O551" s="0" t="n">
        <v>932.14</v>
      </c>
      <c r="Q551" s="0" t="n">
        <v>2028</v>
      </c>
      <c r="R551" s="0" t="n">
        <v>26</v>
      </c>
      <c r="T551" s="0" t="n">
        <v>2033</v>
      </c>
      <c r="U551" s="0" t="n">
        <v>57221</v>
      </c>
      <c r="W551" s="0" t="n">
        <v>2027</v>
      </c>
      <c r="X551" s="0" t="n">
        <v>321.974</v>
      </c>
    </row>
    <row r="552" customFormat="false" ht="15" hidden="false" customHeight="false" outlineLevel="0" collapsed="false">
      <c r="A552" s="0" t="n">
        <v>2027</v>
      </c>
      <c r="B552" s="0" t="n">
        <v>22.71813622</v>
      </c>
      <c r="C552" s="0" t="n">
        <v>477.0808606</v>
      </c>
      <c r="E552" s="0" t="n">
        <v>2027</v>
      </c>
      <c r="F552" s="0" t="n">
        <v>5.340045</v>
      </c>
      <c r="G552" s="0" t="n">
        <v>112.114896</v>
      </c>
      <c r="I552" s="0" t="n">
        <v>2026</v>
      </c>
      <c r="J552" s="0" t="n">
        <v>13.62</v>
      </c>
      <c r="K552" s="0" t="n">
        <v>286.16</v>
      </c>
      <c r="M552" s="0" t="n">
        <v>2027</v>
      </c>
      <c r="N552" s="0" t="n">
        <v>29.25</v>
      </c>
      <c r="O552" s="0" t="n">
        <v>613.25</v>
      </c>
      <c r="Q552" s="0" t="n">
        <v>2028</v>
      </c>
      <c r="R552" s="0" t="n">
        <v>26</v>
      </c>
      <c r="T552" s="0" t="n">
        <v>2033</v>
      </c>
      <c r="U552" s="0" t="n">
        <v>1770</v>
      </c>
      <c r="W552" s="0" t="n">
        <v>2027</v>
      </c>
      <c r="X552" s="0" t="n">
        <v>127.095</v>
      </c>
    </row>
    <row r="553" customFormat="false" ht="15" hidden="false" customHeight="false" outlineLevel="0" collapsed="false">
      <c r="A553" s="0" t="n">
        <v>2027</v>
      </c>
      <c r="B553" s="0" t="n">
        <v>15.79911736</v>
      </c>
      <c r="C553" s="0" t="n">
        <v>331.7814646</v>
      </c>
      <c r="E553" s="0" t="n">
        <v>2027</v>
      </c>
      <c r="F553" s="0" t="n">
        <v>29.19897</v>
      </c>
      <c r="G553" s="0" t="n">
        <v>613.035936</v>
      </c>
      <c r="I553" s="0" t="n">
        <v>2026</v>
      </c>
      <c r="J553" s="0" t="n">
        <v>13.62</v>
      </c>
      <c r="K553" s="0" t="n">
        <v>286.16</v>
      </c>
      <c r="M553" s="0" t="n">
        <v>2027</v>
      </c>
      <c r="N553" s="0" t="n">
        <v>11.7</v>
      </c>
      <c r="O553" s="0" t="n">
        <v>245.3</v>
      </c>
      <c r="Q553" s="0" t="n">
        <v>2028</v>
      </c>
      <c r="R553" s="0" t="n">
        <v>1341</v>
      </c>
      <c r="T553" s="0" t="n">
        <v>2033</v>
      </c>
      <c r="U553" s="0" t="n">
        <v>138965</v>
      </c>
      <c r="W553" s="0" t="n">
        <v>2027</v>
      </c>
      <c r="X553" s="0" t="n">
        <v>186.406</v>
      </c>
    </row>
    <row r="554" customFormat="false" ht="15" hidden="false" customHeight="false" outlineLevel="0" collapsed="false">
      <c r="A554" s="0" t="n">
        <v>2027</v>
      </c>
      <c r="B554" s="0" t="n">
        <v>11.75191169</v>
      </c>
      <c r="C554" s="0" t="n">
        <v>246.7901455</v>
      </c>
      <c r="E554" s="0" t="n">
        <v>2027</v>
      </c>
      <c r="F554" s="0" t="n">
        <v>26.69961</v>
      </c>
      <c r="G554" s="0" t="n">
        <v>560.561568</v>
      </c>
      <c r="I554" s="0" t="n">
        <v>2026</v>
      </c>
      <c r="J554" s="0" t="n">
        <v>27.24</v>
      </c>
      <c r="K554" s="0" t="n">
        <v>572.32</v>
      </c>
      <c r="M554" s="0" t="n">
        <v>2027</v>
      </c>
      <c r="N554" s="0" t="n">
        <v>11.7</v>
      </c>
      <c r="O554" s="0" t="n">
        <v>245.3</v>
      </c>
      <c r="Q554" s="0" t="n">
        <v>2028</v>
      </c>
      <c r="R554" s="0" t="n">
        <v>1274</v>
      </c>
      <c r="T554" s="0" t="n">
        <v>2033</v>
      </c>
      <c r="U554" s="0" t="n">
        <v>4298</v>
      </c>
      <c r="W554" s="0" t="n">
        <v>2027</v>
      </c>
      <c r="X554" s="0" t="n">
        <v>144.041</v>
      </c>
    </row>
    <row r="555" customFormat="false" ht="15" hidden="false" customHeight="false" outlineLevel="0" collapsed="false">
      <c r="A555" s="0" t="n">
        <v>2027</v>
      </c>
      <c r="B555" s="0" t="n">
        <v>5.223071862</v>
      </c>
      <c r="C555" s="0" t="n">
        <v>109.6845091</v>
      </c>
      <c r="E555" s="0" t="n">
        <v>2027</v>
      </c>
      <c r="F555" s="0" t="n">
        <v>118.722219</v>
      </c>
      <c r="G555" s="0" t="n">
        <v>2488.541058</v>
      </c>
      <c r="I555" s="0" t="n">
        <v>2026</v>
      </c>
      <c r="J555" s="0" t="n">
        <v>47.67</v>
      </c>
      <c r="K555" s="0" t="n">
        <v>1001.56</v>
      </c>
      <c r="M555" s="0" t="n">
        <v>2027</v>
      </c>
      <c r="N555" s="0" t="n">
        <v>7.02</v>
      </c>
      <c r="O555" s="0" t="n">
        <v>147.18</v>
      </c>
      <c r="Q555" s="0" t="n">
        <v>2028</v>
      </c>
      <c r="R555" s="0" t="n">
        <v>603</v>
      </c>
      <c r="T555" s="0" t="n">
        <v>2033</v>
      </c>
      <c r="U555" s="0" t="n">
        <v>163491</v>
      </c>
      <c r="W555" s="0" t="n">
        <v>2027</v>
      </c>
      <c r="X555" s="0" t="n">
        <v>5111.9</v>
      </c>
    </row>
    <row r="556" customFormat="false" ht="15" hidden="false" customHeight="false" outlineLevel="0" collapsed="false">
      <c r="A556" s="0" t="n">
        <v>2027</v>
      </c>
      <c r="B556" s="0" t="n">
        <v>19.29183005</v>
      </c>
      <c r="C556" s="0" t="n">
        <v>405.1284311</v>
      </c>
      <c r="E556" s="0" t="n">
        <v>2027</v>
      </c>
      <c r="F556" s="0" t="n">
        <v>31.878231</v>
      </c>
      <c r="G556" s="0" t="n">
        <v>668.200842</v>
      </c>
      <c r="I556" s="0" t="n">
        <v>2026</v>
      </c>
      <c r="J556" s="0" t="n">
        <v>20.43</v>
      </c>
      <c r="K556" s="0" t="n">
        <v>429.24</v>
      </c>
      <c r="M556" s="0" t="n">
        <v>2027</v>
      </c>
      <c r="N556" s="0" t="n">
        <v>5.85</v>
      </c>
      <c r="O556" s="0" t="n">
        <v>122.65</v>
      </c>
      <c r="Q556" s="0" t="n">
        <v>2028</v>
      </c>
      <c r="R556" s="0" t="n">
        <v>134</v>
      </c>
      <c r="T556" s="0" t="n">
        <v>2033</v>
      </c>
      <c r="U556" s="0" t="n">
        <v>5056</v>
      </c>
      <c r="W556" s="0" t="n">
        <v>2027</v>
      </c>
      <c r="X556" s="0" t="n">
        <v>1277.975</v>
      </c>
    </row>
    <row r="557" customFormat="false" ht="15" hidden="false" customHeight="false" outlineLevel="0" collapsed="false">
      <c r="A557" s="0" t="n">
        <v>2027</v>
      </c>
      <c r="B557" s="0" t="n">
        <v>6.039016474</v>
      </c>
      <c r="C557" s="0" t="n">
        <v>126.819346</v>
      </c>
      <c r="E557" s="0" t="n">
        <v>2027</v>
      </c>
      <c r="F557" s="0" t="n">
        <v>12.759747</v>
      </c>
      <c r="G557" s="0" t="n">
        <v>267.457554</v>
      </c>
      <c r="I557" s="0" t="n">
        <v>2026</v>
      </c>
      <c r="J557" s="0" t="n">
        <v>20.43</v>
      </c>
      <c r="K557" s="0" t="n">
        <v>429.24</v>
      </c>
      <c r="M557" s="0" t="n">
        <v>2027</v>
      </c>
      <c r="N557" s="0" t="n">
        <v>4.68</v>
      </c>
      <c r="O557" s="0" t="n">
        <v>98.12</v>
      </c>
      <c r="Q557" s="0" t="n">
        <v>2028</v>
      </c>
      <c r="R557" s="0" t="n">
        <v>129</v>
      </c>
      <c r="T557" s="0" t="n">
        <v>2033</v>
      </c>
      <c r="U557" s="0" t="n">
        <v>825619</v>
      </c>
      <c r="W557" s="0" t="n">
        <v>2027</v>
      </c>
      <c r="X557" s="0" t="n">
        <v>395.76</v>
      </c>
    </row>
    <row r="558" customFormat="false" ht="15" hidden="false" customHeight="false" outlineLevel="0" collapsed="false">
      <c r="A558" s="0" t="n">
        <v>2027</v>
      </c>
      <c r="B558" s="0" t="n">
        <v>13.50287179</v>
      </c>
      <c r="C558" s="0" t="n">
        <v>283.5603075</v>
      </c>
      <c r="E558" s="0" t="n">
        <v>2027</v>
      </c>
      <c r="F558" s="0" t="n">
        <v>1.792329</v>
      </c>
      <c r="G558" s="0" t="n">
        <v>37.569078</v>
      </c>
      <c r="I558" s="0" t="n">
        <v>2026</v>
      </c>
      <c r="J558" s="0" t="n">
        <v>75.92</v>
      </c>
      <c r="K558" s="0" t="n">
        <v>1593.28</v>
      </c>
      <c r="M558" s="0" t="n">
        <v>2027</v>
      </c>
      <c r="N558" s="0" t="n">
        <v>2.34</v>
      </c>
      <c r="O558" s="0" t="n">
        <v>49.06</v>
      </c>
      <c r="Q558" s="0" t="n">
        <v>2028</v>
      </c>
      <c r="R558" s="0" t="n">
        <v>129</v>
      </c>
      <c r="T558" s="0" t="n">
        <v>2033</v>
      </c>
      <c r="U558" s="0" t="n">
        <v>25534</v>
      </c>
      <c r="W558" s="0" t="n">
        <v>2027</v>
      </c>
      <c r="X558" s="0" t="n">
        <v>700.825</v>
      </c>
    </row>
    <row r="559" customFormat="false" ht="15" hidden="false" customHeight="false" outlineLevel="0" collapsed="false">
      <c r="A559" s="0" t="n">
        <v>2027</v>
      </c>
      <c r="B559" s="0" t="n">
        <v>503.7272236</v>
      </c>
      <c r="C559" s="0" t="n">
        <v>10578.2717</v>
      </c>
      <c r="E559" s="0" t="n">
        <v>2027</v>
      </c>
      <c r="F559" s="0" t="n">
        <v>42.845649</v>
      </c>
      <c r="G559" s="0" t="n">
        <v>898.089318</v>
      </c>
      <c r="I559" s="0" t="n">
        <v>2026</v>
      </c>
      <c r="J559" s="0" t="n">
        <v>11.68</v>
      </c>
      <c r="K559" s="0" t="n">
        <v>245.12</v>
      </c>
      <c r="M559" s="0" t="n">
        <v>2027</v>
      </c>
      <c r="N559" s="0" t="n">
        <v>98.8</v>
      </c>
      <c r="O559" s="0" t="n">
        <v>2073.28</v>
      </c>
      <c r="Q559" s="0" t="n">
        <v>2028</v>
      </c>
      <c r="R559" s="0" t="n">
        <v>285</v>
      </c>
      <c r="T559" s="0" t="n">
        <v>2033</v>
      </c>
      <c r="U559" s="0" t="n">
        <v>163491</v>
      </c>
      <c r="W559" s="0" t="n">
        <v>2027</v>
      </c>
      <c r="X559" s="0" t="n">
        <v>313.31</v>
      </c>
    </row>
    <row r="560" customFormat="false" ht="15" hidden="false" customHeight="false" outlineLevel="0" collapsed="false">
      <c r="A560" s="0" t="n">
        <v>2027</v>
      </c>
      <c r="B560" s="0" t="n">
        <v>127.0549012</v>
      </c>
      <c r="C560" s="0" t="n">
        <v>2668.152925</v>
      </c>
      <c r="E560" s="0" t="n">
        <v>2027</v>
      </c>
      <c r="F560" s="0" t="n">
        <v>2.005773</v>
      </c>
      <c r="G560" s="0" t="n">
        <v>42.043086</v>
      </c>
      <c r="I560" s="0" t="n">
        <v>2026</v>
      </c>
      <c r="J560" s="0" t="n">
        <v>8.76</v>
      </c>
      <c r="K560" s="0" t="n">
        <v>183.84</v>
      </c>
      <c r="M560" s="0" t="n">
        <v>2027</v>
      </c>
      <c r="N560" s="0" t="n">
        <v>65</v>
      </c>
      <c r="O560" s="0" t="n">
        <v>1364</v>
      </c>
      <c r="Q560" s="0" t="n">
        <v>2028</v>
      </c>
      <c r="R560" s="0" t="n">
        <v>270</v>
      </c>
      <c r="T560" s="0" t="n">
        <v>2033</v>
      </c>
      <c r="U560" s="0" t="n">
        <v>5056</v>
      </c>
      <c r="W560" s="0" t="n">
        <v>2027</v>
      </c>
      <c r="X560" s="0" t="n">
        <v>123.675</v>
      </c>
    </row>
    <row r="561" customFormat="false" ht="15" hidden="false" customHeight="false" outlineLevel="0" collapsed="false">
      <c r="A561" s="0" t="n">
        <v>2027</v>
      </c>
      <c r="B561" s="0" t="n">
        <v>113.3019148</v>
      </c>
      <c r="C561" s="0" t="n">
        <v>2379.34021</v>
      </c>
      <c r="E561" s="0" t="n">
        <v>2027</v>
      </c>
      <c r="F561" s="0" t="n">
        <v>10.967418</v>
      </c>
      <c r="G561" s="0" t="n">
        <v>229.888476</v>
      </c>
      <c r="I561" s="0" t="n">
        <v>2026</v>
      </c>
      <c r="J561" s="0" t="n">
        <v>14.6</v>
      </c>
      <c r="K561" s="0" t="n">
        <v>306.4</v>
      </c>
      <c r="M561" s="0" t="n">
        <v>2027</v>
      </c>
      <c r="N561" s="0" t="n">
        <v>26</v>
      </c>
      <c r="O561" s="0" t="n">
        <v>545.6</v>
      </c>
      <c r="Q561" s="0" t="n">
        <v>2028</v>
      </c>
      <c r="R561" s="0" t="n">
        <v>128</v>
      </c>
      <c r="T561" s="0" t="n">
        <v>2033</v>
      </c>
      <c r="U561" s="0" t="n">
        <v>277931</v>
      </c>
      <c r="W561" s="0" t="n">
        <v>2027</v>
      </c>
      <c r="X561" s="0" t="n">
        <v>181.39</v>
      </c>
    </row>
    <row r="562" customFormat="false" ht="15" hidden="false" customHeight="false" outlineLevel="0" collapsed="false">
      <c r="A562" s="0" t="n">
        <v>2027</v>
      </c>
      <c r="B562" s="0" t="n">
        <v>78.79476695</v>
      </c>
      <c r="C562" s="0" t="n">
        <v>1654.690106</v>
      </c>
      <c r="E562" s="0" t="n">
        <v>2027</v>
      </c>
      <c r="F562" s="0" t="n">
        <v>10.028634</v>
      </c>
      <c r="G562" s="0" t="n">
        <v>210.210588</v>
      </c>
      <c r="I562" s="0" t="n">
        <v>2026</v>
      </c>
      <c r="J562" s="0" t="n">
        <v>2.92</v>
      </c>
      <c r="K562" s="0" t="n">
        <v>61.28</v>
      </c>
      <c r="M562" s="0" t="n">
        <v>2027</v>
      </c>
      <c r="N562" s="0" t="n">
        <v>26</v>
      </c>
      <c r="O562" s="0" t="n">
        <v>545.6</v>
      </c>
      <c r="Q562" s="0" t="n">
        <v>2028</v>
      </c>
      <c r="R562" s="0" t="n">
        <v>28</v>
      </c>
      <c r="T562" s="0" t="n">
        <v>2033</v>
      </c>
      <c r="U562" s="0" t="n">
        <v>8596</v>
      </c>
      <c r="W562" s="0" t="n">
        <v>2027</v>
      </c>
      <c r="X562" s="0" t="n">
        <v>140.165</v>
      </c>
    </row>
    <row r="563" customFormat="false" ht="15" hidden="false" customHeight="false" outlineLevel="0" collapsed="false">
      <c r="A563" s="0" t="n">
        <v>2027</v>
      </c>
      <c r="B563" s="0" t="n">
        <v>58.61018192</v>
      </c>
      <c r="C563" s="0" t="n">
        <v>1230.81382</v>
      </c>
      <c r="E563" s="0" t="n">
        <v>2027</v>
      </c>
      <c r="F563" s="0" t="n">
        <v>1422.610832</v>
      </c>
      <c r="G563" s="0" t="n">
        <v>29871.22983</v>
      </c>
      <c r="I563" s="0" t="n">
        <v>2026</v>
      </c>
      <c r="J563" s="0" t="n">
        <v>2.92</v>
      </c>
      <c r="K563" s="0" t="n">
        <v>61.28</v>
      </c>
      <c r="M563" s="0" t="n">
        <v>2027</v>
      </c>
      <c r="N563" s="0" t="n">
        <v>15.6</v>
      </c>
      <c r="O563" s="0" t="n">
        <v>327.36</v>
      </c>
      <c r="Q563" s="0" t="n">
        <v>2028</v>
      </c>
      <c r="R563" s="0" t="n">
        <v>27</v>
      </c>
      <c r="T563" s="0" t="n">
        <v>2033</v>
      </c>
      <c r="U563" s="0" t="n">
        <v>57221</v>
      </c>
      <c r="W563" s="0" t="n">
        <v>2027</v>
      </c>
      <c r="X563" s="0" t="n">
        <v>53380.76</v>
      </c>
    </row>
    <row r="564" customFormat="false" ht="15" hidden="false" customHeight="false" outlineLevel="0" collapsed="false">
      <c r="A564" s="0" t="n">
        <v>2027</v>
      </c>
      <c r="B564" s="0" t="n">
        <v>26.04896974</v>
      </c>
      <c r="C564" s="0" t="n">
        <v>547.0283645</v>
      </c>
      <c r="E564" s="0" t="n">
        <v>2027</v>
      </c>
      <c r="F564" s="0" t="n">
        <v>381.986768</v>
      </c>
      <c r="G564" s="0" t="n">
        <v>8020.756121</v>
      </c>
      <c r="I564" s="0" t="n">
        <v>2026</v>
      </c>
      <c r="J564" s="0" t="n">
        <v>0</v>
      </c>
      <c r="K564" s="0" t="n">
        <v>0</v>
      </c>
      <c r="M564" s="0" t="n">
        <v>2027</v>
      </c>
      <c r="N564" s="0" t="n">
        <v>13</v>
      </c>
      <c r="O564" s="0" t="n">
        <v>272.8</v>
      </c>
      <c r="Q564" s="0" t="n">
        <v>2028</v>
      </c>
      <c r="R564" s="0" t="n">
        <v>27</v>
      </c>
      <c r="T564" s="0" t="n">
        <v>2033</v>
      </c>
      <c r="U564" s="0" t="n">
        <v>1770</v>
      </c>
      <c r="W564" s="0" t="n">
        <v>2027</v>
      </c>
      <c r="X564" s="0" t="n">
        <v>13345.19</v>
      </c>
    </row>
    <row r="565" customFormat="false" ht="15" hidden="false" customHeight="false" outlineLevel="0" collapsed="false">
      <c r="A565" s="0" t="n">
        <v>2027</v>
      </c>
      <c r="B565" s="0" t="n">
        <v>96.21393512</v>
      </c>
      <c r="C565" s="0" t="n">
        <v>2020.492638</v>
      </c>
      <c r="E565" s="0" t="n">
        <v>2027</v>
      </c>
      <c r="F565" s="0" t="n">
        <v>152.896016</v>
      </c>
      <c r="G565" s="0" t="n">
        <v>3210.429677</v>
      </c>
      <c r="I565" s="0" t="n">
        <v>2026</v>
      </c>
      <c r="J565" s="0" t="n">
        <v>5.84</v>
      </c>
      <c r="K565" s="0" t="n">
        <v>122.56</v>
      </c>
      <c r="M565" s="0" t="n">
        <v>2027</v>
      </c>
      <c r="N565" s="0" t="n">
        <v>10.4</v>
      </c>
      <c r="O565" s="0" t="n">
        <v>218.24</v>
      </c>
      <c r="Q565" s="0" t="n">
        <v>2028</v>
      </c>
      <c r="R565" s="0" t="n">
        <v>519</v>
      </c>
      <c r="T565" s="0" t="n">
        <v>2033</v>
      </c>
      <c r="U565" s="0" t="n">
        <v>98093</v>
      </c>
      <c r="W565" s="0" t="n">
        <v>2027</v>
      </c>
      <c r="X565" s="0" t="n">
        <v>4132.704</v>
      </c>
    </row>
    <row r="566" customFormat="false" ht="15" hidden="false" customHeight="false" outlineLevel="0" collapsed="false">
      <c r="A566" s="0" t="n">
        <v>2027</v>
      </c>
      <c r="B566" s="0" t="n">
        <v>30.11832147</v>
      </c>
      <c r="C566" s="0" t="n">
        <v>632.4847508</v>
      </c>
      <c r="E566" s="0" t="n">
        <v>2027</v>
      </c>
      <c r="F566" s="0" t="n">
        <v>21.476912</v>
      </c>
      <c r="G566" s="0" t="n">
        <v>450.960839</v>
      </c>
      <c r="I566" s="0" t="n">
        <v>2026</v>
      </c>
      <c r="J566" s="0" t="n">
        <v>10.22</v>
      </c>
      <c r="K566" s="0" t="n">
        <v>214.48</v>
      </c>
      <c r="M566" s="0" t="n">
        <v>2027</v>
      </c>
      <c r="N566" s="0" t="n">
        <v>5.2</v>
      </c>
      <c r="O566" s="0" t="n">
        <v>109.12</v>
      </c>
      <c r="Q566" s="0" t="n">
        <v>2028</v>
      </c>
      <c r="R566" s="0" t="n">
        <v>493</v>
      </c>
      <c r="T566" s="0" t="n">
        <v>2033</v>
      </c>
      <c r="U566" s="0" t="n">
        <v>3033</v>
      </c>
      <c r="W566" s="0" t="n">
        <v>2027</v>
      </c>
      <c r="X566" s="0" t="n">
        <v>7318.33</v>
      </c>
    </row>
    <row r="567" customFormat="false" ht="15" hidden="false" customHeight="false" outlineLevel="0" collapsed="false">
      <c r="A567" s="0" t="n">
        <v>2027</v>
      </c>
      <c r="B567" s="0" t="n">
        <v>67.34272624</v>
      </c>
      <c r="C567" s="0" t="n">
        <v>1414.197251</v>
      </c>
      <c r="E567" s="0" t="n">
        <v>2027</v>
      </c>
      <c r="F567" s="0" t="n">
        <v>513.405872</v>
      </c>
      <c r="G567" s="0" t="n">
        <v>10780.22496</v>
      </c>
      <c r="I567" s="0" t="n">
        <v>2026</v>
      </c>
      <c r="J567" s="0" t="n">
        <v>2.92</v>
      </c>
      <c r="K567" s="0" t="n">
        <v>61.28</v>
      </c>
      <c r="M567" s="0" t="n">
        <v>2027</v>
      </c>
      <c r="N567" s="0" t="n">
        <v>144.4</v>
      </c>
      <c r="O567" s="0" t="n">
        <v>3032.02</v>
      </c>
      <c r="Q567" s="0" t="n">
        <v>2028</v>
      </c>
      <c r="R567" s="0" t="n">
        <v>233</v>
      </c>
      <c r="T567" s="0" t="n">
        <v>2033</v>
      </c>
      <c r="U567" s="0" t="n">
        <v>98093</v>
      </c>
      <c r="W567" s="0" t="n">
        <v>2027</v>
      </c>
      <c r="X567" s="0" t="n">
        <v>3271.724</v>
      </c>
    </row>
    <row r="568" customFormat="false" ht="15" hidden="false" customHeight="false" outlineLevel="0" collapsed="false">
      <c r="A568" s="0" t="n">
        <v>2027</v>
      </c>
      <c r="B568" s="0" t="n">
        <v>189.7093558</v>
      </c>
      <c r="C568" s="0" t="n">
        <v>3983.896472</v>
      </c>
      <c r="E568" s="0" t="n">
        <v>2027</v>
      </c>
      <c r="F568" s="0" t="n">
        <v>24.034544</v>
      </c>
      <c r="G568" s="0" t="n">
        <v>504.664643</v>
      </c>
      <c r="I568" s="0" t="n">
        <v>2026</v>
      </c>
      <c r="J568" s="0" t="n">
        <v>10.22</v>
      </c>
      <c r="K568" s="0" t="n">
        <v>214.48</v>
      </c>
      <c r="M568" s="0" t="n">
        <v>2027</v>
      </c>
      <c r="N568" s="0" t="n">
        <v>95</v>
      </c>
      <c r="O568" s="0" t="n">
        <v>1994.75</v>
      </c>
      <c r="Q568" s="0" t="n">
        <v>2028</v>
      </c>
      <c r="R568" s="0" t="n">
        <v>52</v>
      </c>
      <c r="T568" s="0" t="n">
        <v>2033</v>
      </c>
      <c r="U568" s="0" t="n">
        <v>3033</v>
      </c>
      <c r="W568" s="0" t="n">
        <v>2027</v>
      </c>
      <c r="X568" s="0" t="n">
        <v>1291.47</v>
      </c>
    </row>
    <row r="569" customFormat="false" ht="15" hidden="false" customHeight="false" outlineLevel="0" collapsed="false">
      <c r="A569" s="0" t="n">
        <v>2027</v>
      </c>
      <c r="B569" s="0" t="n">
        <v>47.85030931</v>
      </c>
      <c r="C569" s="0" t="n">
        <v>1004.856496</v>
      </c>
      <c r="E569" s="0" t="n">
        <v>2027</v>
      </c>
      <c r="F569" s="0" t="n">
        <v>131.419104</v>
      </c>
      <c r="G569" s="0" t="n">
        <v>2759.468838</v>
      </c>
      <c r="I569" s="0" t="n">
        <v>2026</v>
      </c>
      <c r="J569" s="0" t="n">
        <v>189.12</v>
      </c>
      <c r="K569" s="0" t="n">
        <v>3973.44</v>
      </c>
      <c r="M569" s="0" t="n">
        <v>2027</v>
      </c>
      <c r="N569" s="0" t="n">
        <v>38</v>
      </c>
      <c r="O569" s="0" t="n">
        <v>797.9</v>
      </c>
      <c r="Q569" s="0" t="n">
        <v>2028</v>
      </c>
      <c r="R569" s="0" t="n">
        <v>51</v>
      </c>
      <c r="T569" s="0" t="n">
        <v>2033</v>
      </c>
      <c r="U569" s="0" t="n">
        <v>49047</v>
      </c>
      <c r="W569" s="0" t="n">
        <v>2027</v>
      </c>
      <c r="X569" s="0" t="n">
        <v>1894.156</v>
      </c>
    </row>
    <row r="570" customFormat="false" ht="15" hidden="false" customHeight="false" outlineLevel="0" collapsed="false">
      <c r="A570" s="0" t="n">
        <v>2027</v>
      </c>
      <c r="B570" s="0" t="n">
        <v>42.67077945</v>
      </c>
      <c r="C570" s="0" t="n">
        <v>896.0863684</v>
      </c>
      <c r="E570" s="0" t="n">
        <v>2027</v>
      </c>
      <c r="F570" s="0" t="n">
        <v>120.169952</v>
      </c>
      <c r="G570" s="0" t="n">
        <v>2523.265094</v>
      </c>
      <c r="I570" s="0" t="n">
        <v>2026</v>
      </c>
      <c r="J570" s="0" t="n">
        <v>63.04</v>
      </c>
      <c r="K570" s="0" t="n">
        <v>1324.48</v>
      </c>
      <c r="M570" s="0" t="n">
        <v>2027</v>
      </c>
      <c r="N570" s="0" t="n">
        <v>38</v>
      </c>
      <c r="O570" s="0" t="n">
        <v>797.9</v>
      </c>
      <c r="Q570" s="0" t="n">
        <v>2028</v>
      </c>
      <c r="R570" s="0" t="n">
        <v>51</v>
      </c>
      <c r="T570" s="0" t="n">
        <v>2033</v>
      </c>
      <c r="U570" s="0" t="n">
        <v>1516</v>
      </c>
      <c r="W570" s="0" t="n">
        <v>2027</v>
      </c>
      <c r="X570" s="0" t="n">
        <v>1463.666</v>
      </c>
    </row>
    <row r="571" customFormat="false" ht="15" hidden="false" customHeight="false" outlineLevel="0" collapsed="false">
      <c r="A571" s="0" t="n">
        <v>2027</v>
      </c>
      <c r="B571" s="0" t="n">
        <v>29.67499825</v>
      </c>
      <c r="C571" s="0" t="n">
        <v>623.1749632</v>
      </c>
      <c r="E571" s="0" t="n">
        <v>2027</v>
      </c>
      <c r="F571" s="0" t="n">
        <v>695.886946</v>
      </c>
      <c r="G571" s="0" t="n">
        <v>14605.40268</v>
      </c>
      <c r="I571" s="0" t="n">
        <v>2026</v>
      </c>
      <c r="J571" s="0" t="n">
        <v>27.58</v>
      </c>
      <c r="K571" s="0" t="n">
        <v>579.46</v>
      </c>
      <c r="M571" s="0" t="n">
        <v>2027</v>
      </c>
      <c r="N571" s="0" t="n">
        <v>22.8</v>
      </c>
      <c r="O571" s="0" t="n">
        <v>478.74</v>
      </c>
      <c r="Q571" s="0" t="n">
        <v>2028</v>
      </c>
      <c r="R571" s="0" t="n">
        <v>84</v>
      </c>
      <c r="T571" s="0" t="n">
        <v>2033</v>
      </c>
      <c r="U571" s="0" t="n">
        <v>408723</v>
      </c>
      <c r="W571" s="0" t="n">
        <v>2027</v>
      </c>
      <c r="X571" s="0" t="n">
        <v>13894.82</v>
      </c>
    </row>
    <row r="572" customFormat="false" ht="15" hidden="false" customHeight="false" outlineLevel="0" collapsed="false">
      <c r="A572" s="0" t="n">
        <v>2027</v>
      </c>
      <c r="B572" s="0" t="n">
        <v>22.07325579</v>
      </c>
      <c r="C572" s="0" t="n">
        <v>463.5383715</v>
      </c>
      <c r="E572" s="0" t="n">
        <v>2027</v>
      </c>
      <c r="F572" s="0" t="n">
        <v>186.853354</v>
      </c>
      <c r="G572" s="0" t="n">
        <v>3921.712418</v>
      </c>
      <c r="I572" s="0" t="n">
        <v>2026</v>
      </c>
      <c r="J572" s="0" t="n">
        <v>15.76</v>
      </c>
      <c r="K572" s="0" t="n">
        <v>331.12</v>
      </c>
      <c r="M572" s="0" t="n">
        <v>2027</v>
      </c>
      <c r="N572" s="0" t="n">
        <v>19</v>
      </c>
      <c r="O572" s="0" t="n">
        <v>398.95</v>
      </c>
      <c r="Q572" s="0" t="n">
        <v>2028</v>
      </c>
      <c r="R572" s="0" t="n">
        <v>80</v>
      </c>
      <c r="T572" s="0" t="n">
        <v>2033</v>
      </c>
      <c r="U572" s="0" t="n">
        <v>12641</v>
      </c>
      <c r="W572" s="0" t="n">
        <v>2027</v>
      </c>
      <c r="X572" s="0" t="n">
        <v>3473.705</v>
      </c>
    </row>
    <row r="573" customFormat="false" ht="15" hidden="false" customHeight="false" outlineLevel="0" collapsed="false">
      <c r="A573" s="0" t="n">
        <v>2027</v>
      </c>
      <c r="B573" s="0" t="n">
        <v>9.810335906</v>
      </c>
      <c r="C573" s="0" t="n">
        <v>206.017054</v>
      </c>
      <c r="E573" s="0" t="n">
        <v>2027</v>
      </c>
      <c r="F573" s="0" t="n">
        <v>74.790898</v>
      </c>
      <c r="G573" s="0" t="n">
        <v>1569.725066</v>
      </c>
      <c r="I573" s="0" t="n">
        <v>2026</v>
      </c>
      <c r="J573" s="0" t="n">
        <v>15.76</v>
      </c>
      <c r="K573" s="0" t="n">
        <v>331.12</v>
      </c>
      <c r="M573" s="0" t="n">
        <v>2027</v>
      </c>
      <c r="N573" s="0" t="n">
        <v>15.2</v>
      </c>
      <c r="O573" s="0" t="n">
        <v>319.16</v>
      </c>
      <c r="Q573" s="0" t="n">
        <v>2028</v>
      </c>
      <c r="R573" s="0" t="n">
        <v>38</v>
      </c>
      <c r="T573" s="0" t="n">
        <v>2033</v>
      </c>
      <c r="U573" s="0" t="n">
        <v>155314</v>
      </c>
      <c r="W573" s="0" t="n">
        <v>2027</v>
      </c>
      <c r="X573" s="0" t="n">
        <v>1075.728</v>
      </c>
    </row>
    <row r="574" customFormat="false" ht="15" hidden="false" customHeight="false" outlineLevel="0" collapsed="false">
      <c r="A574" s="0" t="n">
        <v>2027</v>
      </c>
      <c r="B574" s="0" t="n">
        <v>36.23525352</v>
      </c>
      <c r="C574" s="0" t="n">
        <v>760.9403238</v>
      </c>
      <c r="E574" s="0" t="n">
        <v>2027</v>
      </c>
      <c r="F574" s="0" t="n">
        <v>10.505686</v>
      </c>
      <c r="G574" s="0" t="n">
        <v>220.495262</v>
      </c>
      <c r="I574" s="0" t="n">
        <v>2026</v>
      </c>
      <c r="J574" s="0" t="n">
        <v>7.88</v>
      </c>
      <c r="K574" s="0" t="n">
        <v>165.56</v>
      </c>
      <c r="M574" s="0" t="n">
        <v>2027</v>
      </c>
      <c r="N574" s="0" t="n">
        <v>7.6</v>
      </c>
      <c r="O574" s="0" t="n">
        <v>159.58</v>
      </c>
      <c r="Q574" s="0" t="n">
        <v>2028</v>
      </c>
      <c r="R574" s="0" t="n">
        <v>8</v>
      </c>
      <c r="T574" s="0" t="n">
        <v>2033</v>
      </c>
      <c r="U574" s="0" t="n">
        <v>4802</v>
      </c>
      <c r="W574" s="0" t="n">
        <v>2027</v>
      </c>
      <c r="X574" s="0" t="n">
        <v>1904.935</v>
      </c>
    </row>
    <row r="575" customFormat="false" ht="15" hidden="false" customHeight="false" outlineLevel="0" collapsed="false">
      <c r="A575" s="0" t="n">
        <v>2027</v>
      </c>
      <c r="B575" s="0" t="n">
        <v>11.34289968</v>
      </c>
      <c r="C575" s="0" t="n">
        <v>238.2008933</v>
      </c>
      <c r="E575" s="0" t="n">
        <v>2027</v>
      </c>
      <c r="F575" s="0" t="n">
        <v>251.138566</v>
      </c>
      <c r="G575" s="0" t="n">
        <v>5270.942222</v>
      </c>
      <c r="I575" s="0" t="n">
        <v>2026</v>
      </c>
      <c r="J575" s="0" t="n">
        <v>7.88</v>
      </c>
      <c r="K575" s="0" t="n">
        <v>165.56</v>
      </c>
      <c r="M575" s="0" t="n">
        <v>2027</v>
      </c>
      <c r="N575" s="0" t="n">
        <v>227.24</v>
      </c>
      <c r="O575" s="0" t="n">
        <v>4766.34</v>
      </c>
      <c r="Q575" s="0" t="n">
        <v>2028</v>
      </c>
      <c r="R575" s="0" t="n">
        <v>8</v>
      </c>
      <c r="T575" s="0" t="n">
        <v>2033</v>
      </c>
      <c r="U575" s="0" t="n">
        <v>179837</v>
      </c>
      <c r="W575" s="0" t="n">
        <v>2027</v>
      </c>
      <c r="X575" s="0" t="n">
        <v>851.618</v>
      </c>
    </row>
    <row r="576" customFormat="false" ht="15" hidden="false" customHeight="false" outlineLevel="0" collapsed="false">
      <c r="A576" s="0" t="n">
        <v>2027</v>
      </c>
      <c r="B576" s="0" t="n">
        <v>25.36203051</v>
      </c>
      <c r="C576" s="0" t="n">
        <v>532.6026407</v>
      </c>
      <c r="E576" s="0" t="n">
        <v>2027</v>
      </c>
      <c r="F576" s="0" t="n">
        <v>11.756782</v>
      </c>
      <c r="G576" s="0" t="n">
        <v>246.753494</v>
      </c>
      <c r="I576" s="0" t="n">
        <v>2026</v>
      </c>
      <c r="J576" s="0" t="n">
        <v>15.76</v>
      </c>
      <c r="K576" s="0" t="n">
        <v>331.12</v>
      </c>
      <c r="M576" s="0" t="n">
        <v>2027</v>
      </c>
      <c r="N576" s="0" t="n">
        <v>149.5</v>
      </c>
      <c r="O576" s="0" t="n">
        <v>3135.75</v>
      </c>
      <c r="Q576" s="0" t="n">
        <v>2028</v>
      </c>
      <c r="R576" s="0" t="n">
        <v>8</v>
      </c>
      <c r="T576" s="0" t="n">
        <v>2033</v>
      </c>
      <c r="U576" s="0" t="n">
        <v>5562</v>
      </c>
      <c r="W576" s="0" t="n">
        <v>2027</v>
      </c>
      <c r="X576" s="0" t="n">
        <v>336.165</v>
      </c>
    </row>
    <row r="577" customFormat="false" ht="15" hidden="false" customHeight="false" outlineLevel="0" collapsed="false">
      <c r="A577" s="0" t="n">
        <v>2027</v>
      </c>
      <c r="B577" s="0" t="n">
        <v>322.017065</v>
      </c>
      <c r="C577" s="0" t="n">
        <v>6762.358365</v>
      </c>
      <c r="E577" s="0" t="n">
        <v>2027</v>
      </c>
      <c r="F577" s="0" t="n">
        <v>64.285212</v>
      </c>
      <c r="G577" s="0" t="n">
        <v>1349.229804</v>
      </c>
      <c r="I577" s="0" t="n">
        <v>2026</v>
      </c>
      <c r="J577" s="0" t="n">
        <v>27.58</v>
      </c>
      <c r="K577" s="0" t="n">
        <v>579.46</v>
      </c>
      <c r="M577" s="0" t="n">
        <v>2027</v>
      </c>
      <c r="N577" s="0" t="n">
        <v>59.8</v>
      </c>
      <c r="O577" s="0" t="n">
        <v>1254.3</v>
      </c>
      <c r="Q577" s="0" t="n">
        <v>2028</v>
      </c>
      <c r="R577" s="0" t="n">
        <v>215</v>
      </c>
      <c r="T577" s="0" t="n">
        <v>2033</v>
      </c>
      <c r="U577" s="0" t="n">
        <v>171664</v>
      </c>
      <c r="W577" s="0" t="n">
        <v>2027</v>
      </c>
      <c r="X577" s="0" t="n">
        <v>493.042</v>
      </c>
    </row>
    <row r="578" customFormat="false" ht="15" hidden="false" customHeight="false" outlineLevel="0" collapsed="false">
      <c r="A578" s="0" t="n">
        <v>2027</v>
      </c>
      <c r="B578" s="0" t="n">
        <v>81.22222597</v>
      </c>
      <c r="C578" s="0" t="n">
        <v>1705.666745</v>
      </c>
      <c r="E578" s="0" t="n">
        <v>2027</v>
      </c>
      <c r="F578" s="0" t="n">
        <v>58.782556</v>
      </c>
      <c r="G578" s="0" t="n">
        <v>1233.739052</v>
      </c>
      <c r="I578" s="0" t="n">
        <v>2026</v>
      </c>
      <c r="J578" s="0" t="n">
        <v>11.82</v>
      </c>
      <c r="K578" s="0" t="n">
        <v>248.34</v>
      </c>
      <c r="M578" s="0" t="n">
        <v>2027</v>
      </c>
      <c r="N578" s="0" t="n">
        <v>59.8</v>
      </c>
      <c r="O578" s="0" t="n">
        <v>1254.3</v>
      </c>
      <c r="Q578" s="0" t="n">
        <v>2028</v>
      </c>
      <c r="R578" s="0" t="n">
        <v>205</v>
      </c>
      <c r="T578" s="0" t="n">
        <v>2033</v>
      </c>
      <c r="U578" s="0" t="n">
        <v>5310</v>
      </c>
      <c r="W578" s="0" t="n">
        <v>2027</v>
      </c>
      <c r="X578" s="0" t="n">
        <v>380.987</v>
      </c>
    </row>
    <row r="579" customFormat="false" ht="15" hidden="false" customHeight="false" outlineLevel="0" collapsed="false">
      <c r="A579" s="0" t="n">
        <v>2027</v>
      </c>
      <c r="B579" s="0" t="n">
        <v>72.43037173</v>
      </c>
      <c r="C579" s="0" t="n">
        <v>1521.037806</v>
      </c>
      <c r="E579" s="0" t="n">
        <v>2027</v>
      </c>
      <c r="F579" s="0" t="n">
        <v>75.036554</v>
      </c>
      <c r="G579" s="0" t="n">
        <v>1567.54445</v>
      </c>
      <c r="I579" s="0" t="n">
        <v>2026</v>
      </c>
      <c r="J579" s="0" t="n">
        <v>11.82</v>
      </c>
      <c r="K579" s="0" t="n">
        <v>248.34</v>
      </c>
      <c r="M579" s="0" t="n">
        <v>2027</v>
      </c>
      <c r="N579" s="0" t="n">
        <v>35.88</v>
      </c>
      <c r="O579" s="0" t="n">
        <v>752.58</v>
      </c>
      <c r="Q579" s="0" t="n">
        <v>2028</v>
      </c>
      <c r="R579" s="0" t="n">
        <v>97</v>
      </c>
      <c r="T579" s="0" t="n">
        <v>2033</v>
      </c>
      <c r="U579" s="0" t="n">
        <v>163491</v>
      </c>
      <c r="W579" s="0" t="n">
        <v>2027</v>
      </c>
      <c r="X579" s="0" t="n">
        <v>4251.34</v>
      </c>
    </row>
    <row r="580" customFormat="false" ht="15" hidden="false" customHeight="false" outlineLevel="0" collapsed="false">
      <c r="A580" s="0" t="n">
        <v>2027</v>
      </c>
      <c r="B580" s="0" t="n">
        <v>50.37103099</v>
      </c>
      <c r="C580" s="0" t="n">
        <v>1057.791651</v>
      </c>
      <c r="E580" s="0" t="n">
        <v>2027</v>
      </c>
      <c r="F580" s="0" t="n">
        <v>20.148146</v>
      </c>
      <c r="G580" s="0" t="n">
        <v>420.90305</v>
      </c>
      <c r="I580" s="0" t="n">
        <v>2026</v>
      </c>
      <c r="J580" s="0" t="n">
        <v>27.56</v>
      </c>
      <c r="K580" s="0" t="n">
        <v>574.08</v>
      </c>
      <c r="M580" s="0" t="n">
        <v>2027</v>
      </c>
      <c r="N580" s="0" t="n">
        <v>29.9</v>
      </c>
      <c r="O580" s="0" t="n">
        <v>627.15</v>
      </c>
      <c r="Q580" s="0" t="n">
        <v>2028</v>
      </c>
      <c r="R580" s="0" t="n">
        <v>22</v>
      </c>
      <c r="T580" s="0" t="n">
        <v>2033</v>
      </c>
      <c r="U580" s="0" t="n">
        <v>5056</v>
      </c>
      <c r="W580" s="0" t="n">
        <v>2027</v>
      </c>
      <c r="X580" s="0" t="n">
        <v>1062.835</v>
      </c>
    </row>
    <row r="581" customFormat="false" ht="15" hidden="false" customHeight="false" outlineLevel="0" collapsed="false">
      <c r="A581" s="0" t="n">
        <v>2027</v>
      </c>
      <c r="B581" s="0" t="n">
        <v>37.46765685</v>
      </c>
      <c r="C581" s="0" t="n">
        <v>786.8207939</v>
      </c>
      <c r="E581" s="0" t="n">
        <v>2027</v>
      </c>
      <c r="F581" s="0" t="n">
        <v>8.064602</v>
      </c>
      <c r="G581" s="0" t="n">
        <v>168.47285</v>
      </c>
      <c r="I581" s="0" t="n">
        <v>2026</v>
      </c>
      <c r="J581" s="0" t="n">
        <v>4.24</v>
      </c>
      <c r="K581" s="0" t="n">
        <v>88.32</v>
      </c>
      <c r="M581" s="0" t="n">
        <v>2027</v>
      </c>
      <c r="N581" s="0" t="n">
        <v>23.92</v>
      </c>
      <c r="O581" s="0" t="n">
        <v>501.72</v>
      </c>
      <c r="Q581" s="0" t="n">
        <v>2028</v>
      </c>
      <c r="R581" s="0" t="n">
        <v>20</v>
      </c>
      <c r="T581" s="0" t="n">
        <v>2033</v>
      </c>
      <c r="U581" s="0" t="n">
        <v>122619</v>
      </c>
      <c r="W581" s="0" t="n">
        <v>2027</v>
      </c>
      <c r="X581" s="0" t="n">
        <v>329.136</v>
      </c>
    </row>
    <row r="582" customFormat="false" ht="15" hidden="false" customHeight="false" outlineLevel="0" collapsed="false">
      <c r="A582" s="0" t="n">
        <v>2027</v>
      </c>
      <c r="B582" s="0" t="n">
        <v>16.65229193</v>
      </c>
      <c r="C582" s="0" t="n">
        <v>349.6981306</v>
      </c>
      <c r="E582" s="0" t="n">
        <v>2027</v>
      </c>
      <c r="F582" s="0" t="n">
        <v>1.132814</v>
      </c>
      <c r="G582" s="0" t="n">
        <v>23.66495</v>
      </c>
      <c r="I582" s="0" t="n">
        <v>2026</v>
      </c>
      <c r="J582" s="0" t="n">
        <v>3.18</v>
      </c>
      <c r="K582" s="0" t="n">
        <v>66.24</v>
      </c>
      <c r="M582" s="0" t="n">
        <v>2027</v>
      </c>
      <c r="N582" s="0" t="n">
        <v>11.96</v>
      </c>
      <c r="O582" s="0" t="n">
        <v>250.86</v>
      </c>
      <c r="Q582" s="0" t="n">
        <v>2028</v>
      </c>
      <c r="R582" s="0" t="n">
        <v>20</v>
      </c>
      <c r="T582" s="0" t="n">
        <v>2033</v>
      </c>
      <c r="U582" s="0" t="n">
        <v>3792</v>
      </c>
      <c r="W582" s="0" t="n">
        <v>2027</v>
      </c>
      <c r="X582" s="0" t="n">
        <v>582.845</v>
      </c>
    </row>
    <row r="583" customFormat="false" ht="15" hidden="false" customHeight="false" outlineLevel="0" collapsed="false">
      <c r="A583" s="0" t="n">
        <v>2027</v>
      </c>
      <c r="B583" s="0" t="n">
        <v>61.5065606</v>
      </c>
      <c r="C583" s="0" t="n">
        <v>1291.637772</v>
      </c>
      <c r="E583" s="0" t="n">
        <v>2027</v>
      </c>
      <c r="F583" s="0" t="n">
        <v>27.079934</v>
      </c>
      <c r="G583" s="0" t="n">
        <v>565.71095</v>
      </c>
      <c r="I583" s="0" t="n">
        <v>2026</v>
      </c>
      <c r="J583" s="0" t="n">
        <v>5.3</v>
      </c>
      <c r="K583" s="0" t="n">
        <v>110.4</v>
      </c>
      <c r="M583" s="0" t="n">
        <v>2027</v>
      </c>
      <c r="N583" s="0" t="n">
        <v>172.9</v>
      </c>
      <c r="O583" s="0" t="n">
        <v>3626.72</v>
      </c>
      <c r="Q583" s="0" t="n">
        <v>2028</v>
      </c>
      <c r="R583" s="0" t="n">
        <v>123</v>
      </c>
      <c r="T583" s="0" t="n">
        <v>2033</v>
      </c>
      <c r="U583" s="0" t="n">
        <v>106268</v>
      </c>
      <c r="W583" s="0" t="n">
        <v>2027</v>
      </c>
      <c r="X583" s="0" t="n">
        <v>260.566</v>
      </c>
    </row>
    <row r="584" customFormat="false" ht="15" hidden="false" customHeight="false" outlineLevel="0" collapsed="false">
      <c r="A584" s="0" t="n">
        <v>2027</v>
      </c>
      <c r="B584" s="0" t="n">
        <v>19.25370127</v>
      </c>
      <c r="C584" s="0" t="n">
        <v>404.3277266</v>
      </c>
      <c r="E584" s="0" t="n">
        <v>2027</v>
      </c>
      <c r="F584" s="0" t="n">
        <v>1.267718</v>
      </c>
      <c r="G584" s="0" t="n">
        <v>26.48315</v>
      </c>
      <c r="I584" s="0" t="n">
        <v>2026</v>
      </c>
      <c r="J584" s="0" t="n">
        <v>1.06</v>
      </c>
      <c r="K584" s="0" t="n">
        <v>22.08</v>
      </c>
      <c r="M584" s="0" t="n">
        <v>2027</v>
      </c>
      <c r="N584" s="0" t="n">
        <v>113.75</v>
      </c>
      <c r="O584" s="0" t="n">
        <v>2386</v>
      </c>
      <c r="Q584" s="0" t="n">
        <v>2028</v>
      </c>
      <c r="R584" s="0" t="n">
        <v>117</v>
      </c>
      <c r="T584" s="0" t="n">
        <v>2033</v>
      </c>
      <c r="U584" s="0" t="n">
        <v>3286</v>
      </c>
      <c r="W584" s="0" t="n">
        <v>2027</v>
      </c>
      <c r="X584" s="0" t="n">
        <v>102.855</v>
      </c>
    </row>
    <row r="585" customFormat="false" ht="15" hidden="false" customHeight="false" outlineLevel="0" collapsed="false">
      <c r="A585" s="0" t="n">
        <v>2027</v>
      </c>
      <c r="B585" s="0" t="n">
        <v>43.05009942</v>
      </c>
      <c r="C585" s="0" t="n">
        <v>904.0520877</v>
      </c>
      <c r="E585" s="0" t="n">
        <v>2027</v>
      </c>
      <c r="F585" s="0" t="n">
        <v>6.931788</v>
      </c>
      <c r="G585" s="0" t="n">
        <v>144.8079</v>
      </c>
      <c r="I585" s="0" t="n">
        <v>2026</v>
      </c>
      <c r="J585" s="0" t="n">
        <v>1.06</v>
      </c>
      <c r="K585" s="0" t="n">
        <v>22.08</v>
      </c>
      <c r="M585" s="0" t="n">
        <v>2027</v>
      </c>
      <c r="N585" s="0" t="n">
        <v>45.5</v>
      </c>
      <c r="O585" s="0" t="n">
        <v>954.4</v>
      </c>
      <c r="Q585" s="0" t="n">
        <v>2028</v>
      </c>
      <c r="R585" s="0" t="n">
        <v>55</v>
      </c>
      <c r="T585" s="0" t="n">
        <v>2033</v>
      </c>
      <c r="U585" s="0" t="n">
        <v>89919</v>
      </c>
      <c r="W585" s="0" t="n">
        <v>2027</v>
      </c>
      <c r="X585" s="0" t="n">
        <v>150.854</v>
      </c>
    </row>
    <row r="586" customFormat="false" ht="15" hidden="false" customHeight="false" outlineLevel="0" collapsed="false">
      <c r="A586" s="0" t="n">
        <v>2027</v>
      </c>
      <c r="B586" s="0" t="n">
        <v>126.9502222</v>
      </c>
      <c r="C586" s="0" t="n">
        <v>2665.954666</v>
      </c>
      <c r="E586" s="0" t="n">
        <v>2027</v>
      </c>
      <c r="F586" s="0" t="n">
        <v>6.338444</v>
      </c>
      <c r="G586" s="0" t="n">
        <v>132.4127</v>
      </c>
      <c r="I586" s="0" t="n">
        <v>2026</v>
      </c>
      <c r="J586" s="0" t="n">
        <v>0</v>
      </c>
      <c r="K586" s="0" t="n">
        <v>0</v>
      </c>
      <c r="M586" s="0" t="n">
        <v>2027</v>
      </c>
      <c r="N586" s="0" t="n">
        <v>45.5</v>
      </c>
      <c r="O586" s="0" t="n">
        <v>954.4</v>
      </c>
      <c r="Q586" s="0" t="n">
        <v>2028</v>
      </c>
      <c r="R586" s="0" t="n">
        <v>12</v>
      </c>
      <c r="T586" s="0" t="n">
        <v>2033</v>
      </c>
      <c r="U586" s="0" t="n">
        <v>2782</v>
      </c>
      <c r="W586" s="0" t="n">
        <v>2027</v>
      </c>
      <c r="X586" s="0" t="n">
        <v>116.569</v>
      </c>
    </row>
    <row r="587" customFormat="false" ht="15" hidden="false" customHeight="false" outlineLevel="0" collapsed="false">
      <c r="A587" s="0" t="n">
        <v>2027</v>
      </c>
      <c r="B587" s="0" t="n">
        <v>32.02060001</v>
      </c>
      <c r="C587" s="0" t="n">
        <v>672.4326002</v>
      </c>
      <c r="E587" s="0" t="n">
        <v>2027</v>
      </c>
      <c r="F587" s="0" t="n">
        <v>639.352556</v>
      </c>
      <c r="G587" s="0" t="n">
        <v>13421.77814</v>
      </c>
      <c r="I587" s="0" t="n">
        <v>2026</v>
      </c>
      <c r="J587" s="0" t="n">
        <v>2.12</v>
      </c>
      <c r="K587" s="0" t="n">
        <v>44.16</v>
      </c>
      <c r="M587" s="0" t="n">
        <v>2027</v>
      </c>
      <c r="N587" s="0" t="n">
        <v>27.3</v>
      </c>
      <c r="O587" s="0" t="n">
        <v>572.64</v>
      </c>
      <c r="Q587" s="0" t="n">
        <v>2028</v>
      </c>
      <c r="R587" s="0" t="n">
        <v>13</v>
      </c>
      <c r="T587" s="0" t="n">
        <v>2033</v>
      </c>
      <c r="U587" s="0" t="n">
        <v>686656</v>
      </c>
      <c r="W587" s="0" t="n">
        <v>2027</v>
      </c>
      <c r="X587" s="0" t="n">
        <v>44433.54</v>
      </c>
    </row>
    <row r="588" customFormat="false" ht="15" hidden="false" customHeight="false" outlineLevel="0" collapsed="false">
      <c r="A588" s="0" t="n">
        <v>2027</v>
      </c>
      <c r="B588" s="0" t="n">
        <v>28.55454814</v>
      </c>
      <c r="C588" s="0" t="n">
        <v>599.645511</v>
      </c>
      <c r="E588" s="0" t="n">
        <v>2027</v>
      </c>
      <c r="F588" s="0" t="n">
        <v>171.673244</v>
      </c>
      <c r="G588" s="0" t="n">
        <v>3603.896115</v>
      </c>
      <c r="I588" s="0" t="n">
        <v>2026</v>
      </c>
      <c r="J588" s="0" t="n">
        <v>3.71</v>
      </c>
      <c r="K588" s="0" t="n">
        <v>77.28</v>
      </c>
      <c r="M588" s="0" t="n">
        <v>2027</v>
      </c>
      <c r="N588" s="0" t="n">
        <v>22.75</v>
      </c>
      <c r="O588" s="0" t="n">
        <v>477.2</v>
      </c>
      <c r="Q588" s="0" t="n">
        <v>2028</v>
      </c>
      <c r="R588" s="0" t="n">
        <v>13</v>
      </c>
      <c r="T588" s="0" t="n">
        <v>2033</v>
      </c>
      <c r="U588" s="0" t="n">
        <v>21237</v>
      </c>
      <c r="W588" s="0" t="n">
        <v>2027</v>
      </c>
      <c r="X588" s="0" t="n">
        <v>11108.385</v>
      </c>
    </row>
    <row r="589" customFormat="false" ht="15" hidden="false" customHeight="false" outlineLevel="0" collapsed="false">
      <c r="A589" s="0" t="n">
        <v>2027</v>
      </c>
      <c r="B589" s="0" t="n">
        <v>19.85799596</v>
      </c>
      <c r="C589" s="0" t="n">
        <v>417.0179152</v>
      </c>
      <c r="E589" s="0" t="n">
        <v>2027</v>
      </c>
      <c r="F589" s="0" t="n">
        <v>68.714828</v>
      </c>
      <c r="G589" s="0" t="n">
        <v>1442.514255</v>
      </c>
      <c r="I589" s="0" t="n">
        <v>2026</v>
      </c>
      <c r="J589" s="0" t="n">
        <v>1.06</v>
      </c>
      <c r="K589" s="0" t="n">
        <v>22.08</v>
      </c>
      <c r="M589" s="0" t="n">
        <v>2027</v>
      </c>
      <c r="N589" s="0" t="n">
        <v>18.2</v>
      </c>
      <c r="O589" s="0" t="n">
        <v>381.76</v>
      </c>
      <c r="Q589" s="0" t="n">
        <v>2028</v>
      </c>
      <c r="R589" s="0" t="n">
        <v>84</v>
      </c>
      <c r="T589" s="0" t="n">
        <v>2033</v>
      </c>
      <c r="U589" s="0" t="n">
        <v>98093</v>
      </c>
      <c r="W589" s="0" t="n">
        <v>2027</v>
      </c>
      <c r="X589" s="0" t="n">
        <v>3440.016</v>
      </c>
    </row>
    <row r="590" customFormat="false" ht="15" hidden="false" customHeight="false" outlineLevel="0" collapsed="false">
      <c r="A590" s="0" t="n">
        <v>2027</v>
      </c>
      <c r="B590" s="0" t="n">
        <v>14.77104129</v>
      </c>
      <c r="C590" s="0" t="n">
        <v>310.1918671</v>
      </c>
      <c r="E590" s="0" t="n">
        <v>2027</v>
      </c>
      <c r="F590" s="0" t="n">
        <v>9.652196</v>
      </c>
      <c r="G590" s="0" t="n">
        <v>202.626285</v>
      </c>
      <c r="I590" s="0" t="n">
        <v>2026</v>
      </c>
      <c r="J590" s="0" t="n">
        <v>3.71</v>
      </c>
      <c r="K590" s="0" t="n">
        <v>77.28</v>
      </c>
      <c r="M590" s="0" t="n">
        <v>2027</v>
      </c>
      <c r="N590" s="0" t="n">
        <v>9.1</v>
      </c>
      <c r="O590" s="0" t="n">
        <v>190.88</v>
      </c>
      <c r="Q590" s="0" t="n">
        <v>2028</v>
      </c>
      <c r="R590" s="0" t="n">
        <v>80</v>
      </c>
      <c r="T590" s="0" t="n">
        <v>2033</v>
      </c>
      <c r="U590" s="0" t="n">
        <v>3033</v>
      </c>
      <c r="W590" s="0" t="n">
        <v>2027</v>
      </c>
      <c r="X590" s="0" t="n">
        <v>6091.695</v>
      </c>
    </row>
    <row r="591" customFormat="false" ht="15" hidden="false" customHeight="false" outlineLevel="0" collapsed="false">
      <c r="A591" s="0" t="n">
        <v>2027</v>
      </c>
      <c r="B591" s="0" t="n">
        <v>6.564907239</v>
      </c>
      <c r="C591" s="0" t="n">
        <v>137.863052</v>
      </c>
      <c r="E591" s="0" t="n">
        <v>2027</v>
      </c>
      <c r="F591" s="0" t="n">
        <v>230.735876</v>
      </c>
      <c r="G591" s="0" t="n">
        <v>4843.784085</v>
      </c>
      <c r="I591" s="0" t="n">
        <v>2026</v>
      </c>
      <c r="J591" s="0" t="n">
        <v>111.84</v>
      </c>
      <c r="K591" s="0" t="n">
        <v>2347.2</v>
      </c>
      <c r="M591" s="0" t="n">
        <v>2027</v>
      </c>
      <c r="N591" s="0" t="n">
        <v>67.64</v>
      </c>
      <c r="O591" s="0" t="n">
        <v>1418.16</v>
      </c>
      <c r="Q591" s="0" t="n">
        <v>2028</v>
      </c>
      <c r="R591" s="0" t="n">
        <v>38</v>
      </c>
      <c r="T591" s="0" t="n">
        <v>2033</v>
      </c>
      <c r="U591" s="0" t="n">
        <v>49047</v>
      </c>
      <c r="W591" s="0" t="n">
        <v>2027</v>
      </c>
      <c r="X591" s="0" t="n">
        <v>2723.346</v>
      </c>
    </row>
    <row r="592" customFormat="false" ht="15" hidden="false" customHeight="false" outlineLevel="0" collapsed="false">
      <c r="A592" s="0" t="n">
        <v>2027</v>
      </c>
      <c r="B592" s="0" t="n">
        <v>24.24800541</v>
      </c>
      <c r="C592" s="0" t="n">
        <v>509.2081136</v>
      </c>
      <c r="E592" s="0" t="n">
        <v>2027</v>
      </c>
      <c r="F592" s="0" t="n">
        <v>10.801652</v>
      </c>
      <c r="G592" s="0" t="n">
        <v>226.756545</v>
      </c>
      <c r="I592" s="0" t="n">
        <v>2026</v>
      </c>
      <c r="J592" s="0" t="n">
        <v>37.28</v>
      </c>
      <c r="K592" s="0" t="n">
        <v>782.4</v>
      </c>
      <c r="M592" s="0" t="n">
        <v>2027</v>
      </c>
      <c r="N592" s="0" t="n">
        <v>44.5</v>
      </c>
      <c r="O592" s="0" t="n">
        <v>933</v>
      </c>
      <c r="Q592" s="0" t="n">
        <v>2028</v>
      </c>
      <c r="R592" s="0" t="n">
        <v>8</v>
      </c>
      <c r="T592" s="0" t="n">
        <v>2033</v>
      </c>
      <c r="U592" s="0" t="n">
        <v>1516</v>
      </c>
      <c r="W592" s="0" t="n">
        <v>2027</v>
      </c>
      <c r="X592" s="0" t="n">
        <v>1075.005</v>
      </c>
    </row>
    <row r="593" customFormat="false" ht="15" hidden="false" customHeight="false" outlineLevel="0" collapsed="false">
      <c r="A593" s="0" t="n">
        <v>2027</v>
      </c>
      <c r="B593" s="0" t="n">
        <v>7.59047243</v>
      </c>
      <c r="C593" s="0" t="n">
        <v>159.399921</v>
      </c>
      <c r="E593" s="0" t="n">
        <v>2027</v>
      </c>
      <c r="F593" s="0" t="n">
        <v>59.062632</v>
      </c>
      <c r="G593" s="0" t="n">
        <v>1239.88797</v>
      </c>
      <c r="I593" s="0" t="n">
        <v>2026</v>
      </c>
      <c r="J593" s="0" t="n">
        <v>16.31</v>
      </c>
      <c r="K593" s="0" t="n">
        <v>342.3</v>
      </c>
      <c r="M593" s="0" t="n">
        <v>2027</v>
      </c>
      <c r="N593" s="0" t="n">
        <v>17.8</v>
      </c>
      <c r="O593" s="0" t="n">
        <v>373.2</v>
      </c>
      <c r="Q593" s="0" t="n">
        <v>2028</v>
      </c>
      <c r="R593" s="0" t="n">
        <v>8</v>
      </c>
      <c r="T593" s="0" t="n">
        <v>2033</v>
      </c>
      <c r="U593" s="0" t="n">
        <v>204363</v>
      </c>
      <c r="W593" s="0" t="n">
        <v>2027</v>
      </c>
      <c r="X593" s="0" t="n">
        <v>1576.674</v>
      </c>
    </row>
    <row r="594" customFormat="false" ht="15" hidden="false" customHeight="false" outlineLevel="0" collapsed="false">
      <c r="A594" s="0" t="n">
        <v>2027</v>
      </c>
      <c r="B594" s="0" t="n">
        <v>16.97183249</v>
      </c>
      <c r="C594" s="0" t="n">
        <v>356.4084823</v>
      </c>
      <c r="E594" s="0" t="n">
        <v>2027</v>
      </c>
      <c r="F594" s="0" t="n">
        <v>54.007016</v>
      </c>
      <c r="G594" s="0" t="n">
        <v>1133.75661</v>
      </c>
      <c r="I594" s="0" t="n">
        <v>2026</v>
      </c>
      <c r="J594" s="0" t="n">
        <v>9.32</v>
      </c>
      <c r="K594" s="0" t="n">
        <v>195.6</v>
      </c>
      <c r="M594" s="0" t="n">
        <v>2027</v>
      </c>
      <c r="N594" s="0" t="n">
        <v>17.8</v>
      </c>
      <c r="O594" s="0" t="n">
        <v>373.2</v>
      </c>
      <c r="Q594" s="0" t="n">
        <v>2028</v>
      </c>
      <c r="R594" s="0" t="n">
        <v>8</v>
      </c>
      <c r="T594" s="0" t="n">
        <v>2033</v>
      </c>
      <c r="U594" s="0" t="n">
        <v>6321</v>
      </c>
      <c r="W594" s="0" t="n">
        <v>2027</v>
      </c>
      <c r="X594" s="0" t="n">
        <v>1218.339</v>
      </c>
    </row>
    <row r="595" customFormat="false" ht="15" hidden="false" customHeight="false" outlineLevel="0" collapsed="false">
      <c r="A595" s="0" t="n">
        <v>2027</v>
      </c>
      <c r="B595" s="0" t="n">
        <v>248.4935797</v>
      </c>
      <c r="C595" s="0" t="n">
        <v>5218.365173</v>
      </c>
      <c r="E595" s="0" t="n">
        <v>2028</v>
      </c>
      <c r="F595" s="0" t="n">
        <v>262.627939</v>
      </c>
      <c r="G595" s="0" t="n">
        <v>5515.186719</v>
      </c>
      <c r="I595" s="0" t="n">
        <v>2026</v>
      </c>
      <c r="J595" s="0" t="n">
        <v>9.32</v>
      </c>
      <c r="K595" s="0" t="n">
        <v>195.6</v>
      </c>
      <c r="M595" s="0" t="n">
        <v>2027</v>
      </c>
      <c r="N595" s="0" t="n">
        <v>10.68</v>
      </c>
      <c r="O595" s="0" t="n">
        <v>223.92</v>
      </c>
      <c r="Q595" s="0" t="n">
        <v>2028</v>
      </c>
      <c r="R595" s="0" t="n">
        <v>855</v>
      </c>
      <c r="T595" s="0" t="n">
        <v>2034</v>
      </c>
      <c r="U595" s="0" t="n">
        <v>230459</v>
      </c>
      <c r="W595" s="0" t="n">
        <v>2028</v>
      </c>
      <c r="X595" s="0" t="n">
        <v>159392.08</v>
      </c>
    </row>
    <row r="596" customFormat="false" ht="15" hidden="false" customHeight="false" outlineLevel="0" collapsed="false">
      <c r="A596" s="0" t="n">
        <v>2027</v>
      </c>
      <c r="B596" s="0" t="n">
        <v>62.67742884</v>
      </c>
      <c r="C596" s="0" t="n">
        <v>1316.226006</v>
      </c>
      <c r="E596" s="0" t="n">
        <v>2028</v>
      </c>
      <c r="F596" s="0" t="n">
        <v>70.518511</v>
      </c>
      <c r="G596" s="0" t="n">
        <v>1480.888731</v>
      </c>
      <c r="I596" s="0" t="n">
        <v>2026</v>
      </c>
      <c r="J596" s="0" t="n">
        <v>4.66</v>
      </c>
      <c r="K596" s="0" t="n">
        <v>97.8</v>
      </c>
      <c r="M596" s="0" t="n">
        <v>2027</v>
      </c>
      <c r="N596" s="0" t="n">
        <v>8.9</v>
      </c>
      <c r="O596" s="0" t="n">
        <v>186.6</v>
      </c>
      <c r="Q596" s="0" t="n">
        <v>2028</v>
      </c>
      <c r="R596" s="0" t="n">
        <v>812</v>
      </c>
      <c r="T596" s="0" t="n">
        <v>2034</v>
      </c>
      <c r="U596" s="0" t="n">
        <v>7128</v>
      </c>
      <c r="W596" s="0" t="n">
        <v>2028</v>
      </c>
      <c r="X596" s="0" t="n">
        <v>39848.02</v>
      </c>
    </row>
    <row r="597" customFormat="false" ht="15" hidden="false" customHeight="false" outlineLevel="0" collapsed="false">
      <c r="A597" s="0" t="n">
        <v>2027</v>
      </c>
      <c r="B597" s="0" t="n">
        <v>55.89294575</v>
      </c>
      <c r="C597" s="0" t="n">
        <v>1173.751861</v>
      </c>
      <c r="E597" s="0" t="n">
        <v>2028</v>
      </c>
      <c r="F597" s="0" t="n">
        <v>28.226107</v>
      </c>
      <c r="G597" s="0" t="n">
        <v>592.748247</v>
      </c>
      <c r="I597" s="0" t="n">
        <v>2026</v>
      </c>
      <c r="J597" s="0" t="n">
        <v>4.66</v>
      </c>
      <c r="K597" s="0" t="n">
        <v>97.8</v>
      </c>
      <c r="M597" s="0" t="n">
        <v>2027</v>
      </c>
      <c r="N597" s="0" t="n">
        <v>7.12</v>
      </c>
      <c r="O597" s="0" t="n">
        <v>149.28</v>
      </c>
      <c r="Q597" s="0" t="n">
        <v>2028</v>
      </c>
      <c r="R597" s="0" t="n">
        <v>385</v>
      </c>
      <c r="T597" s="0" t="n">
        <v>2034</v>
      </c>
      <c r="U597" s="0" t="n">
        <v>445175</v>
      </c>
      <c r="W597" s="0" t="n">
        <v>2028</v>
      </c>
      <c r="X597" s="0" t="n">
        <v>12340.032</v>
      </c>
    </row>
    <row r="598" customFormat="false" ht="15" hidden="false" customHeight="false" outlineLevel="0" collapsed="false">
      <c r="A598" s="0" t="n">
        <v>2027</v>
      </c>
      <c r="B598" s="0" t="n">
        <v>38.87023131</v>
      </c>
      <c r="C598" s="0" t="n">
        <v>816.2748574</v>
      </c>
      <c r="E598" s="0" t="n">
        <v>2028</v>
      </c>
      <c r="F598" s="0" t="n">
        <v>3.964849</v>
      </c>
      <c r="G598" s="0" t="n">
        <v>83.261829</v>
      </c>
      <c r="I598" s="0" t="n">
        <v>2026</v>
      </c>
      <c r="J598" s="0" t="n">
        <v>9.32</v>
      </c>
      <c r="K598" s="0" t="n">
        <v>195.6</v>
      </c>
      <c r="M598" s="0" t="n">
        <v>2027</v>
      </c>
      <c r="N598" s="0" t="n">
        <v>3.56</v>
      </c>
      <c r="O598" s="0" t="n">
        <v>74.64</v>
      </c>
      <c r="Q598" s="0" t="n">
        <v>2028</v>
      </c>
      <c r="R598" s="0" t="n">
        <v>85</v>
      </c>
      <c r="T598" s="0" t="n">
        <v>2034</v>
      </c>
      <c r="U598" s="0" t="n">
        <v>13769</v>
      </c>
      <c r="W598" s="0" t="n">
        <v>2028</v>
      </c>
      <c r="X598" s="0" t="n">
        <v>21852.14</v>
      </c>
    </row>
    <row r="599" customFormat="false" ht="15" hidden="false" customHeight="false" outlineLevel="0" collapsed="false">
      <c r="A599" s="0" t="n">
        <v>2027</v>
      </c>
      <c r="B599" s="0" t="n">
        <v>28.91297755</v>
      </c>
      <c r="C599" s="0" t="n">
        <v>607.1725286</v>
      </c>
      <c r="E599" s="0" t="n">
        <v>2028</v>
      </c>
      <c r="F599" s="0" t="n">
        <v>94.779769</v>
      </c>
      <c r="G599" s="0" t="n">
        <v>1990.375149</v>
      </c>
      <c r="I599" s="0" t="n">
        <v>2026</v>
      </c>
      <c r="J599" s="0" t="n">
        <v>16.31</v>
      </c>
      <c r="K599" s="0" t="n">
        <v>342.3</v>
      </c>
      <c r="M599" s="0" t="n">
        <v>2027</v>
      </c>
      <c r="N599" s="0" t="n">
        <v>97.66</v>
      </c>
      <c r="O599" s="0" t="n">
        <v>2046.3</v>
      </c>
      <c r="Q599" s="0" t="n">
        <v>2028</v>
      </c>
      <c r="R599" s="0" t="n">
        <v>82</v>
      </c>
      <c r="T599" s="0" t="n">
        <v>2034</v>
      </c>
      <c r="U599" s="0" t="n">
        <v>220383</v>
      </c>
      <c r="W599" s="0" t="n">
        <v>2028</v>
      </c>
      <c r="X599" s="0" t="n">
        <v>9769.192</v>
      </c>
    </row>
    <row r="600" customFormat="false" ht="15" hidden="false" customHeight="false" outlineLevel="0" collapsed="false">
      <c r="A600" s="0" t="n">
        <v>2027</v>
      </c>
      <c r="B600" s="0" t="n">
        <v>12.85021225</v>
      </c>
      <c r="C600" s="0" t="n">
        <v>269.8544571</v>
      </c>
      <c r="E600" s="0" t="n">
        <v>2028</v>
      </c>
      <c r="F600" s="0" t="n">
        <v>4.437013</v>
      </c>
      <c r="G600" s="0" t="n">
        <v>93.177273</v>
      </c>
      <c r="I600" s="0" t="n">
        <v>2026</v>
      </c>
      <c r="J600" s="0" t="n">
        <v>6.99</v>
      </c>
      <c r="K600" s="0" t="n">
        <v>146.7</v>
      </c>
      <c r="M600" s="0" t="n">
        <v>2027</v>
      </c>
      <c r="N600" s="0" t="n">
        <v>64.25</v>
      </c>
      <c r="O600" s="0" t="n">
        <v>1346.25</v>
      </c>
      <c r="Q600" s="0" t="n">
        <v>2028</v>
      </c>
      <c r="R600" s="0" t="n">
        <v>82</v>
      </c>
      <c r="T600" s="0" t="n">
        <v>2034</v>
      </c>
      <c r="U600" s="0" t="n">
        <v>6816</v>
      </c>
      <c r="W600" s="0" t="n">
        <v>2028</v>
      </c>
      <c r="X600" s="0" t="n">
        <v>3856.26</v>
      </c>
    </row>
    <row r="601" customFormat="false" ht="15" hidden="false" customHeight="false" outlineLevel="0" collapsed="false">
      <c r="A601" s="0" t="n">
        <v>2027</v>
      </c>
      <c r="B601" s="0" t="n">
        <v>47.4632778</v>
      </c>
      <c r="C601" s="0" t="n">
        <v>996.7288339</v>
      </c>
      <c r="E601" s="0" t="n">
        <v>2028</v>
      </c>
      <c r="F601" s="0" t="n">
        <v>24.261258</v>
      </c>
      <c r="G601" s="0" t="n">
        <v>509.486418</v>
      </c>
      <c r="I601" s="0" t="n">
        <v>2026</v>
      </c>
      <c r="J601" s="0" t="n">
        <v>6.99</v>
      </c>
      <c r="K601" s="0" t="n">
        <v>146.7</v>
      </c>
      <c r="M601" s="0" t="n">
        <v>2027</v>
      </c>
      <c r="N601" s="0" t="n">
        <v>25.7</v>
      </c>
      <c r="O601" s="0" t="n">
        <v>538.5</v>
      </c>
      <c r="Q601" s="0" t="n">
        <v>2028</v>
      </c>
      <c r="R601" s="0" t="n">
        <v>84</v>
      </c>
      <c r="T601" s="0" t="n">
        <v>2034</v>
      </c>
      <c r="U601" s="0" t="n">
        <v>284295</v>
      </c>
      <c r="W601" s="0" t="n">
        <v>2028</v>
      </c>
      <c r="X601" s="0" t="n">
        <v>5655.848</v>
      </c>
    </row>
    <row r="602" customFormat="false" ht="15" hidden="false" customHeight="false" outlineLevel="0" collapsed="false">
      <c r="A602" s="0" t="n">
        <v>2027</v>
      </c>
      <c r="B602" s="0" t="n">
        <v>14.85766336</v>
      </c>
      <c r="C602" s="0" t="n">
        <v>312.0109306</v>
      </c>
      <c r="E602" s="0" t="n">
        <v>2028</v>
      </c>
      <c r="F602" s="0" t="n">
        <v>22.184554</v>
      </c>
      <c r="G602" s="0" t="n">
        <v>465.875634</v>
      </c>
      <c r="I602" s="0" t="n">
        <v>2026</v>
      </c>
      <c r="J602" s="0" t="n">
        <v>14.04</v>
      </c>
      <c r="K602" s="0" t="n">
        <v>298.48</v>
      </c>
      <c r="M602" s="0" t="n">
        <v>2027</v>
      </c>
      <c r="N602" s="0" t="n">
        <v>25.7</v>
      </c>
      <c r="O602" s="0" t="n">
        <v>538.5</v>
      </c>
      <c r="Q602" s="0" t="n">
        <v>2028</v>
      </c>
      <c r="R602" s="0" t="n">
        <v>80</v>
      </c>
      <c r="T602" s="0" t="n">
        <v>2034</v>
      </c>
      <c r="U602" s="0" t="n">
        <v>8793</v>
      </c>
      <c r="W602" s="0" t="n">
        <v>2028</v>
      </c>
      <c r="X602" s="0" t="n">
        <v>4370.428</v>
      </c>
    </row>
    <row r="603" customFormat="false" ht="15" hidden="false" customHeight="false" outlineLevel="0" collapsed="false">
      <c r="A603" s="0" t="n">
        <v>2027</v>
      </c>
      <c r="B603" s="0" t="n">
        <v>33.22082731</v>
      </c>
      <c r="C603" s="0" t="n">
        <v>697.6373735</v>
      </c>
      <c r="E603" s="0" t="n">
        <v>2028</v>
      </c>
      <c r="F603" s="0" t="n">
        <v>353.596912</v>
      </c>
      <c r="G603" s="0" t="n">
        <v>7417.311968</v>
      </c>
      <c r="I603" s="0" t="n">
        <v>2026</v>
      </c>
      <c r="J603" s="0" t="n">
        <v>2.16</v>
      </c>
      <c r="K603" s="0" t="n">
        <v>45.92</v>
      </c>
      <c r="M603" s="0" t="n">
        <v>2027</v>
      </c>
      <c r="N603" s="0" t="n">
        <v>15.42</v>
      </c>
      <c r="O603" s="0" t="n">
        <v>323.1</v>
      </c>
      <c r="Q603" s="0" t="n">
        <v>2028</v>
      </c>
      <c r="R603" s="0" t="n">
        <v>38</v>
      </c>
      <c r="T603" s="0" t="n">
        <v>2034</v>
      </c>
      <c r="U603" s="0" t="n">
        <v>323649</v>
      </c>
      <c r="W603" s="0" t="n">
        <v>2028</v>
      </c>
      <c r="X603" s="0" t="n">
        <v>60367.54</v>
      </c>
    </row>
    <row r="604" customFormat="false" ht="15" hidden="false" customHeight="false" outlineLevel="0" collapsed="false">
      <c r="A604" s="0" t="n">
        <v>2027</v>
      </c>
      <c r="B604" s="0" t="n">
        <v>163.489765</v>
      </c>
      <c r="C604" s="0" t="n">
        <v>3433.285064</v>
      </c>
      <c r="E604" s="0" t="n">
        <v>2028</v>
      </c>
      <c r="F604" s="0" t="n">
        <v>94.944688</v>
      </c>
      <c r="G604" s="0" t="n">
        <v>1991.630432</v>
      </c>
      <c r="I604" s="0" t="n">
        <v>2026</v>
      </c>
      <c r="J604" s="0" t="n">
        <v>1.62</v>
      </c>
      <c r="K604" s="0" t="n">
        <v>34.44</v>
      </c>
      <c r="M604" s="0" t="n">
        <v>2027</v>
      </c>
      <c r="N604" s="0" t="n">
        <v>12.85</v>
      </c>
      <c r="O604" s="0" t="n">
        <v>269.25</v>
      </c>
      <c r="Q604" s="0" t="n">
        <v>2028</v>
      </c>
      <c r="R604" s="0" t="n">
        <v>8</v>
      </c>
      <c r="T604" s="0" t="n">
        <v>2034</v>
      </c>
      <c r="U604" s="0" t="n">
        <v>10009</v>
      </c>
      <c r="W604" s="0" t="n">
        <v>2028</v>
      </c>
      <c r="X604" s="0" t="n">
        <v>15091.885</v>
      </c>
    </row>
    <row r="605" customFormat="false" ht="15" hidden="false" customHeight="false" outlineLevel="0" collapsed="false">
      <c r="A605" s="0" t="n">
        <v>2027</v>
      </c>
      <c r="B605" s="0" t="n">
        <v>41.23695318</v>
      </c>
      <c r="C605" s="0" t="n">
        <v>865.9760168</v>
      </c>
      <c r="E605" s="0" t="n">
        <v>2028</v>
      </c>
      <c r="F605" s="0" t="n">
        <v>38.003056</v>
      </c>
      <c r="G605" s="0" t="n">
        <v>797.180384</v>
      </c>
      <c r="I605" s="0" t="n">
        <v>2026</v>
      </c>
      <c r="J605" s="0" t="n">
        <v>2.7</v>
      </c>
      <c r="K605" s="0" t="n">
        <v>57.4</v>
      </c>
      <c r="M605" s="0" t="n">
        <v>2027</v>
      </c>
      <c r="N605" s="0" t="n">
        <v>10.28</v>
      </c>
      <c r="O605" s="0" t="n">
        <v>215.4</v>
      </c>
      <c r="Q605" s="0" t="n">
        <v>2028</v>
      </c>
      <c r="R605" s="0" t="n">
        <v>8</v>
      </c>
      <c r="T605" s="0" t="n">
        <v>2034</v>
      </c>
      <c r="U605" s="0" t="n">
        <v>95396</v>
      </c>
      <c r="W605" s="0" t="n">
        <v>2028</v>
      </c>
      <c r="X605" s="0" t="n">
        <v>4673.616</v>
      </c>
    </row>
    <row r="606" customFormat="false" ht="15" hidden="false" customHeight="false" outlineLevel="0" collapsed="false">
      <c r="A606" s="0" t="n">
        <v>2027</v>
      </c>
      <c r="B606" s="0" t="n">
        <v>36.77328234</v>
      </c>
      <c r="C606" s="0" t="n">
        <v>772.2389292</v>
      </c>
      <c r="E606" s="0" t="n">
        <v>2028</v>
      </c>
      <c r="F606" s="0" t="n">
        <v>5.338192</v>
      </c>
      <c r="G606" s="0" t="n">
        <v>111.977888</v>
      </c>
      <c r="I606" s="0" t="n">
        <v>2026</v>
      </c>
      <c r="J606" s="0" t="n">
        <v>0.54</v>
      </c>
      <c r="K606" s="0" t="n">
        <v>11.48</v>
      </c>
      <c r="M606" s="0" t="n">
        <v>2027</v>
      </c>
      <c r="N606" s="0" t="n">
        <v>5.14</v>
      </c>
      <c r="O606" s="0" t="n">
        <v>107.7</v>
      </c>
      <c r="Q606" s="0" t="n">
        <v>2028</v>
      </c>
      <c r="R606" s="0" t="n">
        <v>8</v>
      </c>
      <c r="T606" s="0" t="n">
        <v>2034</v>
      </c>
      <c r="U606" s="0" t="n">
        <v>2951</v>
      </c>
      <c r="W606" s="0" t="n">
        <v>2028</v>
      </c>
      <c r="X606" s="0" t="n">
        <v>8276.195</v>
      </c>
    </row>
    <row r="607" customFormat="false" ht="15" hidden="false" customHeight="false" outlineLevel="0" collapsed="false">
      <c r="A607" s="0" t="n">
        <v>2027</v>
      </c>
      <c r="B607" s="0" t="n">
        <v>25.57363852</v>
      </c>
      <c r="C607" s="0" t="n">
        <v>537.0464089</v>
      </c>
      <c r="E607" s="0" t="n">
        <v>2028</v>
      </c>
      <c r="F607" s="0" t="n">
        <v>127.609552</v>
      </c>
      <c r="G607" s="0" t="n">
        <v>2676.832928</v>
      </c>
      <c r="I607" s="0" t="n">
        <v>2026</v>
      </c>
      <c r="J607" s="0" t="n">
        <v>0.54</v>
      </c>
      <c r="K607" s="0" t="n">
        <v>11.48</v>
      </c>
      <c r="M607" s="0" t="n">
        <v>2027</v>
      </c>
      <c r="N607" s="0" t="n">
        <v>127.8</v>
      </c>
      <c r="O607" s="0" t="n">
        <v>2676.6</v>
      </c>
      <c r="Q607" s="0" t="n">
        <v>2028</v>
      </c>
      <c r="R607" s="0" t="n">
        <v>336</v>
      </c>
      <c r="T607" s="0" t="n">
        <v>2034</v>
      </c>
      <c r="U607" s="0" t="n">
        <v>296573</v>
      </c>
      <c r="W607" s="0" t="n">
        <v>2028</v>
      </c>
      <c r="X607" s="0" t="n">
        <v>3699.946</v>
      </c>
    </row>
    <row r="608" customFormat="false" ht="15" hidden="false" customHeight="false" outlineLevel="0" collapsed="false">
      <c r="A608" s="0" t="n">
        <v>2027</v>
      </c>
      <c r="B608" s="0" t="n">
        <v>19.02252731</v>
      </c>
      <c r="C608" s="0" t="n">
        <v>399.4730734</v>
      </c>
      <c r="E608" s="0" t="n">
        <v>2028</v>
      </c>
      <c r="F608" s="0" t="n">
        <v>5.973904</v>
      </c>
      <c r="G608" s="0" t="n">
        <v>125.313056</v>
      </c>
      <c r="I608" s="0" t="n">
        <v>2026</v>
      </c>
      <c r="J608" s="0" t="n">
        <v>0</v>
      </c>
      <c r="K608" s="0" t="n">
        <v>0</v>
      </c>
      <c r="M608" s="0" t="n">
        <v>2027</v>
      </c>
      <c r="N608" s="0" t="n">
        <v>14.2</v>
      </c>
      <c r="O608" s="0" t="n">
        <v>297.4</v>
      </c>
      <c r="Q608" s="0" t="n">
        <v>2028</v>
      </c>
      <c r="R608" s="0" t="n">
        <v>320</v>
      </c>
      <c r="T608" s="0" t="n">
        <v>2034</v>
      </c>
      <c r="U608" s="0" t="n">
        <v>9173</v>
      </c>
      <c r="W608" s="0" t="n">
        <v>2028</v>
      </c>
      <c r="X608" s="0" t="n">
        <v>1460.505</v>
      </c>
    </row>
    <row r="609" customFormat="false" ht="15" hidden="false" customHeight="false" outlineLevel="0" collapsed="false">
      <c r="A609" s="0" t="n">
        <v>2027</v>
      </c>
      <c r="B609" s="0" t="n">
        <v>8.454456581</v>
      </c>
      <c r="C609" s="0" t="n">
        <v>177.5435882</v>
      </c>
      <c r="E609" s="0" t="n">
        <v>2028</v>
      </c>
      <c r="F609" s="0" t="n">
        <v>32.664864</v>
      </c>
      <c r="G609" s="0" t="n">
        <v>685.202496</v>
      </c>
      <c r="I609" s="0" t="n">
        <v>2026</v>
      </c>
      <c r="J609" s="0" t="n">
        <v>1.08</v>
      </c>
      <c r="K609" s="0" t="n">
        <v>22.96</v>
      </c>
      <c r="M609" s="0" t="n">
        <v>2027</v>
      </c>
      <c r="N609" s="0" t="n">
        <v>179.1</v>
      </c>
      <c r="O609" s="0" t="n">
        <v>3745.8</v>
      </c>
      <c r="Q609" s="0" t="n">
        <v>2028</v>
      </c>
      <c r="R609" s="0" t="n">
        <v>151</v>
      </c>
      <c r="T609" s="0" t="n">
        <v>2034</v>
      </c>
      <c r="U609" s="0" t="n">
        <v>388190</v>
      </c>
      <c r="W609" s="0" t="n">
        <v>2028</v>
      </c>
      <c r="X609" s="0" t="n">
        <v>2142.074</v>
      </c>
    </row>
    <row r="610" customFormat="false" ht="15" hidden="false" customHeight="false" outlineLevel="0" collapsed="false">
      <c r="A610" s="0" t="n">
        <v>2027</v>
      </c>
      <c r="B610" s="0" t="n">
        <v>31.22720572</v>
      </c>
      <c r="C610" s="0" t="n">
        <v>655.7713202</v>
      </c>
      <c r="E610" s="0" t="n">
        <v>2028</v>
      </c>
      <c r="F610" s="0" t="n">
        <v>29.868832</v>
      </c>
      <c r="G610" s="0" t="n">
        <v>626.550848</v>
      </c>
      <c r="I610" s="0" t="n">
        <v>2026</v>
      </c>
      <c r="J610" s="0" t="n">
        <v>1.89</v>
      </c>
      <c r="K610" s="0" t="n">
        <v>40.18</v>
      </c>
      <c r="M610" s="0" t="n">
        <v>2027</v>
      </c>
      <c r="N610" s="0" t="n">
        <v>19.9</v>
      </c>
      <c r="O610" s="0" t="n">
        <v>416.2</v>
      </c>
      <c r="Q610" s="0" t="n">
        <v>2028</v>
      </c>
      <c r="R610" s="0" t="n">
        <v>34</v>
      </c>
      <c r="T610" s="0" t="n">
        <v>2034</v>
      </c>
      <c r="U610" s="0" t="n">
        <v>12005</v>
      </c>
      <c r="W610" s="0" t="n">
        <v>2028</v>
      </c>
      <c r="X610" s="0" t="n">
        <v>1655.239</v>
      </c>
    </row>
    <row r="611" customFormat="false" ht="15" hidden="false" customHeight="false" outlineLevel="0" collapsed="false">
      <c r="A611" s="0" t="n">
        <v>2027</v>
      </c>
      <c r="B611" s="0" t="n">
        <v>9.77520584</v>
      </c>
      <c r="C611" s="0" t="n">
        <v>205.2793226</v>
      </c>
      <c r="E611" s="0" t="n">
        <v>2028</v>
      </c>
      <c r="F611" s="0" t="n">
        <v>269.309276</v>
      </c>
      <c r="G611" s="0" t="n">
        <v>5647.785561</v>
      </c>
      <c r="I611" s="0" t="n">
        <v>2026</v>
      </c>
      <c r="J611" s="0" t="n">
        <v>0.54</v>
      </c>
      <c r="K611" s="0" t="n">
        <v>11.48</v>
      </c>
      <c r="M611" s="0" t="n">
        <v>2027</v>
      </c>
      <c r="N611" s="0" t="n">
        <v>153</v>
      </c>
      <c r="O611" s="0" t="n">
        <v>3210.3</v>
      </c>
      <c r="Q611" s="0" t="n">
        <v>2028</v>
      </c>
      <c r="R611" s="0" t="n">
        <v>32</v>
      </c>
      <c r="T611" s="0" t="n">
        <v>2034</v>
      </c>
      <c r="U611" s="0" t="n">
        <v>339708</v>
      </c>
      <c r="W611" s="0" t="n">
        <v>2028</v>
      </c>
      <c r="X611" s="0" t="n">
        <v>117708.24</v>
      </c>
    </row>
    <row r="612" customFormat="false" ht="15" hidden="false" customHeight="false" outlineLevel="0" collapsed="false">
      <c r="A612" s="0" t="n">
        <v>2027</v>
      </c>
      <c r="B612" s="0" t="n">
        <v>21.85676289</v>
      </c>
      <c r="C612" s="0" t="n">
        <v>458.9920206</v>
      </c>
      <c r="E612" s="0" t="n">
        <v>2028</v>
      </c>
      <c r="F612" s="0" t="n">
        <v>72.312524</v>
      </c>
      <c r="G612" s="0" t="n">
        <v>1516.492989</v>
      </c>
      <c r="I612" s="0" t="n">
        <v>2026</v>
      </c>
      <c r="J612" s="0" t="n">
        <v>1.89</v>
      </c>
      <c r="K612" s="0" t="n">
        <v>40.18</v>
      </c>
      <c r="M612" s="0" t="n">
        <v>2027</v>
      </c>
      <c r="N612" s="0" t="n">
        <v>17</v>
      </c>
      <c r="O612" s="0" t="n">
        <v>356.7</v>
      </c>
      <c r="Q612" s="0" t="n">
        <v>2028</v>
      </c>
      <c r="R612" s="0" t="n">
        <v>32</v>
      </c>
      <c r="T612" s="0" t="n">
        <v>2034</v>
      </c>
      <c r="U612" s="0" t="n">
        <v>10505</v>
      </c>
      <c r="W612" s="0" t="n">
        <v>2028</v>
      </c>
      <c r="X612" s="0" t="n">
        <v>29427.06</v>
      </c>
    </row>
    <row r="613" customFormat="false" ht="15" hidden="false" customHeight="false" outlineLevel="0" collapsed="false">
      <c r="A613" s="0" t="n">
        <v>2027</v>
      </c>
      <c r="B613" s="0" t="n">
        <v>111.322161</v>
      </c>
      <c r="C613" s="0" t="n">
        <v>2337.765381</v>
      </c>
      <c r="E613" s="0" t="n">
        <v>2028</v>
      </c>
      <c r="F613" s="0" t="n">
        <v>28.944188</v>
      </c>
      <c r="G613" s="0" t="n">
        <v>606.999393</v>
      </c>
      <c r="I613" s="0" t="n">
        <v>2026</v>
      </c>
      <c r="J613" s="0" t="n">
        <v>96</v>
      </c>
      <c r="K613" s="0" t="n">
        <v>2020.8</v>
      </c>
      <c r="M613" s="0" t="n">
        <v>2027</v>
      </c>
      <c r="N613" s="0" t="n">
        <v>51.3</v>
      </c>
      <c r="O613" s="0" t="n">
        <v>1070.1</v>
      </c>
      <c r="Q613" s="0" t="n">
        <v>2028</v>
      </c>
      <c r="R613" s="0" t="n">
        <v>406</v>
      </c>
      <c r="T613" s="0" t="n">
        <v>2034</v>
      </c>
      <c r="U613" s="0" t="n">
        <v>524828</v>
      </c>
      <c r="W613" s="0" t="n">
        <v>2028</v>
      </c>
      <c r="X613" s="0" t="n">
        <v>9112.896</v>
      </c>
    </row>
    <row r="614" customFormat="false" ht="15" hidden="false" customHeight="false" outlineLevel="0" collapsed="false">
      <c r="A614" s="0" t="n">
        <v>2027</v>
      </c>
      <c r="B614" s="0" t="n">
        <v>28.07874085</v>
      </c>
      <c r="C614" s="0" t="n">
        <v>589.6535578</v>
      </c>
      <c r="E614" s="0" t="n">
        <v>2028</v>
      </c>
      <c r="F614" s="0" t="n">
        <v>4.065716</v>
      </c>
      <c r="G614" s="0" t="n">
        <v>85.263651</v>
      </c>
      <c r="I614" s="0" t="n">
        <v>2026</v>
      </c>
      <c r="J614" s="0" t="n">
        <v>32</v>
      </c>
      <c r="K614" s="0" t="n">
        <v>673.6</v>
      </c>
      <c r="M614" s="0" t="n">
        <v>2027</v>
      </c>
      <c r="N614" s="0" t="n">
        <v>5.7</v>
      </c>
      <c r="O614" s="0" t="n">
        <v>118.9</v>
      </c>
      <c r="Q614" s="0" t="n">
        <v>2028</v>
      </c>
      <c r="R614" s="0" t="n">
        <v>385</v>
      </c>
      <c r="T614" s="0" t="n">
        <v>2034</v>
      </c>
      <c r="U614" s="0" t="n">
        <v>15906</v>
      </c>
      <c r="W614" s="0" t="n">
        <v>2028</v>
      </c>
      <c r="X614" s="0" t="n">
        <v>16137.42</v>
      </c>
    </row>
    <row r="615" customFormat="false" ht="15" hidden="false" customHeight="false" outlineLevel="0" collapsed="false">
      <c r="A615" s="0" t="n">
        <v>2027</v>
      </c>
      <c r="B615" s="0" t="n">
        <v>25.03937331</v>
      </c>
      <c r="C615" s="0" t="n">
        <v>525.8268396</v>
      </c>
      <c r="E615" s="0" t="n">
        <v>2028</v>
      </c>
      <c r="F615" s="0" t="n">
        <v>97.190996</v>
      </c>
      <c r="G615" s="0" t="n">
        <v>2038.228731</v>
      </c>
      <c r="I615" s="0" t="n">
        <v>2026</v>
      </c>
      <c r="J615" s="0" t="n">
        <v>14</v>
      </c>
      <c r="K615" s="0" t="n">
        <v>294.7</v>
      </c>
      <c r="M615" s="0" t="n">
        <v>2027</v>
      </c>
      <c r="N615" s="0" t="n">
        <v>532.8</v>
      </c>
      <c r="O615" s="0" t="n">
        <v>11178.9</v>
      </c>
      <c r="Q615" s="0" t="n">
        <v>2028</v>
      </c>
      <c r="R615" s="0" t="n">
        <v>182</v>
      </c>
      <c r="T615" s="0" t="n">
        <v>2034</v>
      </c>
      <c r="U615" s="0" t="n">
        <v>22595</v>
      </c>
      <c r="W615" s="0" t="n">
        <v>2028</v>
      </c>
      <c r="X615" s="0" t="n">
        <v>7214.376</v>
      </c>
    </row>
    <row r="616" customFormat="false" ht="15" hidden="false" customHeight="false" outlineLevel="0" collapsed="false">
      <c r="A616" s="0" t="n">
        <v>2027</v>
      </c>
      <c r="B616" s="0" t="n">
        <v>17.41340019</v>
      </c>
      <c r="C616" s="0" t="n">
        <v>365.6814041</v>
      </c>
      <c r="E616" s="0" t="n">
        <v>2028</v>
      </c>
      <c r="F616" s="0" t="n">
        <v>4.549892</v>
      </c>
      <c r="G616" s="0" t="n">
        <v>95.417487</v>
      </c>
      <c r="I616" s="0" t="n">
        <v>2026</v>
      </c>
      <c r="J616" s="0" t="n">
        <v>8</v>
      </c>
      <c r="K616" s="0" t="n">
        <v>168.4</v>
      </c>
      <c r="M616" s="0" t="n">
        <v>2027</v>
      </c>
      <c r="N616" s="0" t="n">
        <v>59.2</v>
      </c>
      <c r="O616" s="0" t="n">
        <v>1242.1</v>
      </c>
      <c r="Q616" s="0" t="n">
        <v>2028</v>
      </c>
      <c r="R616" s="0" t="n">
        <v>41</v>
      </c>
      <c r="T616" s="0" t="n">
        <v>2034</v>
      </c>
      <c r="U616" s="0" t="n">
        <v>699</v>
      </c>
      <c r="W616" s="0" t="n">
        <v>2028</v>
      </c>
      <c r="X616" s="0" t="n">
        <v>2847.78</v>
      </c>
    </row>
    <row r="617" customFormat="false" ht="15" hidden="false" customHeight="false" outlineLevel="0" collapsed="false">
      <c r="A617" s="0" t="n">
        <v>2027</v>
      </c>
      <c r="B617" s="0" t="n">
        <v>12.95266923</v>
      </c>
      <c r="C617" s="0" t="n">
        <v>272.0060538</v>
      </c>
      <c r="E617" s="0" t="n">
        <v>2028</v>
      </c>
      <c r="F617" s="0" t="n">
        <v>24.878472</v>
      </c>
      <c r="G617" s="0" t="n">
        <v>521.735742</v>
      </c>
      <c r="I617" s="0" t="n">
        <v>2026</v>
      </c>
      <c r="J617" s="0" t="n">
        <v>8</v>
      </c>
      <c r="K617" s="0" t="n">
        <v>168.4</v>
      </c>
      <c r="M617" s="0" t="n">
        <v>2027</v>
      </c>
      <c r="N617" s="0" t="n">
        <v>58.5</v>
      </c>
      <c r="O617" s="0" t="n">
        <v>1222.2</v>
      </c>
      <c r="Q617" s="0" t="n">
        <v>2028</v>
      </c>
      <c r="R617" s="0" t="n">
        <v>40</v>
      </c>
      <c r="T617" s="0" t="n">
        <v>2034</v>
      </c>
      <c r="U617" s="0" t="n">
        <v>365155</v>
      </c>
      <c r="W617" s="0" t="n">
        <v>2028</v>
      </c>
      <c r="X617" s="0" t="n">
        <v>4176.744</v>
      </c>
    </row>
    <row r="618" customFormat="false" ht="15" hidden="false" customHeight="false" outlineLevel="0" collapsed="false">
      <c r="A618" s="0" t="n">
        <v>2027</v>
      </c>
      <c r="B618" s="0" t="n">
        <v>5.756741879</v>
      </c>
      <c r="C618" s="0" t="n">
        <v>120.8915795</v>
      </c>
      <c r="E618" s="0" t="n">
        <v>2028</v>
      </c>
      <c r="F618" s="0" t="n">
        <v>22.748936</v>
      </c>
      <c r="G618" s="0" t="n">
        <v>477.076446</v>
      </c>
      <c r="I618" s="0" t="n">
        <v>2026</v>
      </c>
      <c r="J618" s="0" t="n">
        <v>4</v>
      </c>
      <c r="K618" s="0" t="n">
        <v>84.2</v>
      </c>
      <c r="M618" s="0" t="n">
        <v>2027</v>
      </c>
      <c r="N618" s="0" t="n">
        <v>6.5</v>
      </c>
      <c r="O618" s="0" t="n">
        <v>135.8</v>
      </c>
      <c r="Q618" s="0" t="n">
        <v>2028</v>
      </c>
      <c r="R618" s="0" t="n">
        <v>40</v>
      </c>
      <c r="T618" s="0" t="n">
        <v>2034</v>
      </c>
      <c r="U618" s="0" t="n">
        <v>11295</v>
      </c>
      <c r="W618" s="0" t="n">
        <v>2028</v>
      </c>
      <c r="X618" s="0" t="n">
        <v>3227.484</v>
      </c>
    </row>
    <row r="619" customFormat="false" ht="15" hidden="false" customHeight="false" outlineLevel="0" collapsed="false">
      <c r="A619" s="0" t="n">
        <v>2027</v>
      </c>
      <c r="B619" s="0" t="n">
        <v>21.26298257</v>
      </c>
      <c r="C619" s="0" t="n">
        <v>446.5226341</v>
      </c>
      <c r="E619" s="0" t="n">
        <v>2028</v>
      </c>
      <c r="F619" s="0" t="n">
        <v>590.527401</v>
      </c>
      <c r="G619" s="0" t="n">
        <v>12398.50568</v>
      </c>
      <c r="I619" s="0" t="n">
        <v>2026</v>
      </c>
      <c r="J619" s="0" t="n">
        <v>4</v>
      </c>
      <c r="K619" s="0" t="n">
        <v>84.2</v>
      </c>
      <c r="M619" s="0" t="n">
        <v>2028</v>
      </c>
      <c r="N619" s="0" t="n">
        <v>6.84</v>
      </c>
      <c r="O619" s="0" t="n">
        <v>142.12</v>
      </c>
      <c r="Q619" s="0" t="n">
        <v>2028</v>
      </c>
      <c r="R619" s="0" t="n">
        <v>285</v>
      </c>
      <c r="T619" s="0" t="n">
        <v>2034</v>
      </c>
      <c r="U619" s="0" t="n">
        <v>139060</v>
      </c>
      <c r="W619" s="0" t="n">
        <v>2028</v>
      </c>
      <c r="X619" s="0" t="n">
        <v>111432.6</v>
      </c>
    </row>
    <row r="620" customFormat="false" ht="15" hidden="false" customHeight="false" outlineLevel="0" collapsed="false">
      <c r="A620" s="0" t="n">
        <v>2027</v>
      </c>
      <c r="B620" s="0" t="n">
        <v>6.656056046</v>
      </c>
      <c r="C620" s="0" t="n">
        <v>139.777177</v>
      </c>
      <c r="E620" s="0" t="n">
        <v>2028</v>
      </c>
      <c r="F620" s="0" t="n">
        <v>158.563149</v>
      </c>
      <c r="G620" s="0" t="n">
        <v>3329.136124</v>
      </c>
      <c r="I620" s="0" t="n">
        <v>2026</v>
      </c>
      <c r="J620" s="0" t="n">
        <v>8</v>
      </c>
      <c r="K620" s="0" t="n">
        <v>168.4</v>
      </c>
      <c r="M620" s="0" t="n">
        <v>2028</v>
      </c>
      <c r="N620" s="0" t="n">
        <v>4.5</v>
      </c>
      <c r="O620" s="0" t="n">
        <v>93.5</v>
      </c>
      <c r="Q620" s="0" t="n">
        <v>2028</v>
      </c>
      <c r="R620" s="0" t="n">
        <v>270</v>
      </c>
      <c r="T620" s="0" t="n">
        <v>2034</v>
      </c>
      <c r="U620" s="0" t="n">
        <v>4300</v>
      </c>
      <c r="W620" s="0" t="n">
        <v>2028</v>
      </c>
      <c r="X620" s="0" t="n">
        <v>27858.15</v>
      </c>
    </row>
    <row r="621" customFormat="false" ht="15" hidden="false" customHeight="false" outlineLevel="0" collapsed="false">
      <c r="A621" s="0" t="n">
        <v>2027</v>
      </c>
      <c r="B621" s="0" t="n">
        <v>14.88253456</v>
      </c>
      <c r="C621" s="0" t="n">
        <v>312.5332258</v>
      </c>
      <c r="E621" s="0" t="n">
        <v>2028</v>
      </c>
      <c r="F621" s="0" t="n">
        <v>63.467313</v>
      </c>
      <c r="G621" s="0" t="n">
        <v>1332.537388</v>
      </c>
      <c r="I621" s="0" t="n">
        <v>2026</v>
      </c>
      <c r="J621" s="0" t="n">
        <v>14</v>
      </c>
      <c r="K621" s="0" t="n">
        <v>294.7</v>
      </c>
      <c r="M621" s="0" t="n">
        <v>2028</v>
      </c>
      <c r="N621" s="0" t="n">
        <v>1.8</v>
      </c>
      <c r="O621" s="0" t="n">
        <v>37.4</v>
      </c>
      <c r="Q621" s="0" t="n">
        <v>2028</v>
      </c>
      <c r="R621" s="0" t="n">
        <v>128</v>
      </c>
      <c r="T621" s="0" t="n">
        <v>2034</v>
      </c>
      <c r="U621" s="0" t="n">
        <v>216431</v>
      </c>
      <c r="W621" s="0" t="n">
        <v>2028</v>
      </c>
      <c r="X621" s="0" t="n">
        <v>8627.04</v>
      </c>
    </row>
    <row r="622" customFormat="false" ht="15" hidden="false" customHeight="false" outlineLevel="0" collapsed="false">
      <c r="A622" s="0" t="n">
        <v>2027</v>
      </c>
      <c r="B622" s="0" t="n">
        <v>75.3504625</v>
      </c>
      <c r="C622" s="0" t="n">
        <v>1582.359713</v>
      </c>
      <c r="E622" s="0" t="n">
        <v>2028</v>
      </c>
      <c r="F622" s="0" t="n">
        <v>8.915091</v>
      </c>
      <c r="G622" s="0" t="n">
        <v>187.178116</v>
      </c>
      <c r="I622" s="0" t="n">
        <v>2026</v>
      </c>
      <c r="J622" s="0" t="n">
        <v>6</v>
      </c>
      <c r="K622" s="0" t="n">
        <v>126.3</v>
      </c>
      <c r="M622" s="0" t="n">
        <v>2028</v>
      </c>
      <c r="N622" s="0" t="n">
        <v>1.8</v>
      </c>
      <c r="O622" s="0" t="n">
        <v>37.4</v>
      </c>
      <c r="Q622" s="0" t="n">
        <v>2028</v>
      </c>
      <c r="R622" s="0" t="n">
        <v>28</v>
      </c>
      <c r="T622" s="0" t="n">
        <v>2034</v>
      </c>
      <c r="U622" s="0" t="n">
        <v>6696</v>
      </c>
      <c r="W622" s="0" t="n">
        <v>2028</v>
      </c>
      <c r="X622" s="0" t="n">
        <v>15277.05</v>
      </c>
    </row>
    <row r="623" customFormat="false" ht="15" hidden="false" customHeight="false" outlineLevel="0" collapsed="false">
      <c r="A623" s="0" t="n">
        <v>2027</v>
      </c>
      <c r="B623" s="0" t="n">
        <v>19.00561479</v>
      </c>
      <c r="C623" s="0" t="n">
        <v>399.1179105</v>
      </c>
      <c r="E623" s="0" t="n">
        <v>2028</v>
      </c>
      <c r="F623" s="0" t="n">
        <v>213.115371</v>
      </c>
      <c r="G623" s="0" t="n">
        <v>4474.495396</v>
      </c>
      <c r="I623" s="0" t="n">
        <v>2026</v>
      </c>
      <c r="J623" s="0" t="n">
        <v>6</v>
      </c>
      <c r="K623" s="0" t="n">
        <v>126.3</v>
      </c>
      <c r="M623" s="0" t="n">
        <v>2028</v>
      </c>
      <c r="N623" s="0" t="n">
        <v>1.08</v>
      </c>
      <c r="O623" s="0" t="n">
        <v>22.44</v>
      </c>
      <c r="Q623" s="0" t="n">
        <v>2028</v>
      </c>
      <c r="R623" s="0" t="n">
        <v>27</v>
      </c>
      <c r="T623" s="0" t="n">
        <v>2034</v>
      </c>
      <c r="U623" s="0" t="n">
        <v>58457</v>
      </c>
      <c r="W623" s="0" t="n">
        <v>2028</v>
      </c>
      <c r="X623" s="0" t="n">
        <v>6829.74</v>
      </c>
    </row>
    <row r="624" customFormat="false" ht="15" hidden="false" customHeight="false" outlineLevel="0" collapsed="false">
      <c r="A624" s="0" t="n">
        <v>2027</v>
      </c>
      <c r="B624" s="0" t="n">
        <v>16.94836269</v>
      </c>
      <c r="C624" s="0" t="n">
        <v>355.9156164</v>
      </c>
      <c r="E624" s="0" t="n">
        <v>2028</v>
      </c>
      <c r="F624" s="0" t="n">
        <v>9.976767</v>
      </c>
      <c r="G624" s="0" t="n">
        <v>209.468692</v>
      </c>
      <c r="I624" s="0" t="n">
        <v>2026</v>
      </c>
      <c r="J624" s="0" t="n">
        <v>19.24</v>
      </c>
      <c r="K624" s="0" t="n">
        <v>399.36</v>
      </c>
      <c r="M624" s="0" t="n">
        <v>2028</v>
      </c>
      <c r="N624" s="0" t="n">
        <v>0.9</v>
      </c>
      <c r="O624" s="0" t="n">
        <v>18.7</v>
      </c>
      <c r="Q624" s="0" t="n">
        <v>2028</v>
      </c>
      <c r="R624" s="0" t="n">
        <v>27</v>
      </c>
      <c r="T624" s="0" t="n">
        <v>2034</v>
      </c>
      <c r="U624" s="0" t="n">
        <v>1808</v>
      </c>
      <c r="W624" s="0" t="n">
        <v>2028</v>
      </c>
      <c r="X624" s="0" t="n">
        <v>2695.95</v>
      </c>
    </row>
    <row r="625" customFormat="false" ht="15" hidden="false" customHeight="false" outlineLevel="0" collapsed="false">
      <c r="A625" s="0" t="n">
        <v>2027</v>
      </c>
      <c r="B625" s="0" t="n">
        <v>11.78658181</v>
      </c>
      <c r="C625" s="0" t="n">
        <v>247.5182181</v>
      </c>
      <c r="E625" s="0" t="n">
        <v>2028</v>
      </c>
      <c r="F625" s="0" t="n">
        <v>54.552222</v>
      </c>
      <c r="G625" s="0" t="n">
        <v>1145.359272</v>
      </c>
      <c r="I625" s="0" t="n">
        <v>2026</v>
      </c>
      <c r="J625" s="0" t="n">
        <v>2.96</v>
      </c>
      <c r="K625" s="0" t="n">
        <v>61.44</v>
      </c>
      <c r="M625" s="0" t="n">
        <v>2028</v>
      </c>
      <c r="N625" s="0" t="n">
        <v>0.72</v>
      </c>
      <c r="O625" s="0" t="n">
        <v>14.96</v>
      </c>
      <c r="Q625" s="0" t="n">
        <v>2028</v>
      </c>
      <c r="R625" s="0" t="n">
        <v>120</v>
      </c>
      <c r="T625" s="0" t="n">
        <v>2034</v>
      </c>
      <c r="U625" s="0" t="n">
        <v>141967</v>
      </c>
      <c r="W625" s="0" t="n">
        <v>2028</v>
      </c>
      <c r="X625" s="0" t="n">
        <v>3954.06</v>
      </c>
    </row>
    <row r="626" customFormat="false" ht="15" hidden="false" customHeight="false" outlineLevel="0" collapsed="false">
      <c r="A626" s="0" t="n">
        <v>2027</v>
      </c>
      <c r="B626" s="0" t="n">
        <v>8.7672536</v>
      </c>
      <c r="C626" s="0" t="n">
        <v>184.1123256</v>
      </c>
      <c r="E626" s="0" t="n">
        <v>2028</v>
      </c>
      <c r="F626" s="0" t="n">
        <v>49.882686</v>
      </c>
      <c r="G626" s="0" t="n">
        <v>1047.319336</v>
      </c>
      <c r="I626" s="0" t="n">
        <v>2026</v>
      </c>
      <c r="J626" s="0" t="n">
        <v>2.22</v>
      </c>
      <c r="K626" s="0" t="n">
        <v>46.08</v>
      </c>
      <c r="M626" s="0" t="n">
        <v>2028</v>
      </c>
      <c r="N626" s="0" t="n">
        <v>0.36</v>
      </c>
      <c r="O626" s="0" t="n">
        <v>7.48</v>
      </c>
      <c r="Q626" s="0" t="n">
        <v>2028</v>
      </c>
      <c r="R626" s="0" t="n">
        <v>114</v>
      </c>
      <c r="T626" s="0" t="n">
        <v>2034</v>
      </c>
      <c r="U626" s="0" t="n">
        <v>4391</v>
      </c>
      <c r="W626" s="0" t="n">
        <v>2028</v>
      </c>
      <c r="X626" s="0" t="n">
        <v>3055.41</v>
      </c>
    </row>
    <row r="627" customFormat="false" ht="15" hidden="false" customHeight="false" outlineLevel="0" collapsed="false">
      <c r="A627" s="0" t="n">
        <v>2027</v>
      </c>
      <c r="B627" s="0" t="n">
        <v>3.896557156</v>
      </c>
      <c r="C627" s="0" t="n">
        <v>81.82770027</v>
      </c>
      <c r="E627" s="0" t="n">
        <v>2028</v>
      </c>
      <c r="F627" s="0" t="n">
        <v>324.815768</v>
      </c>
      <c r="G627" s="0" t="n">
        <v>6816.505587</v>
      </c>
      <c r="I627" s="0" t="n">
        <v>2026</v>
      </c>
      <c r="J627" s="0" t="n">
        <v>3.7</v>
      </c>
      <c r="K627" s="0" t="n">
        <v>76.8</v>
      </c>
      <c r="M627" s="0" t="n">
        <v>2028</v>
      </c>
      <c r="N627" s="0" t="n">
        <v>17.86</v>
      </c>
      <c r="O627" s="0" t="n">
        <v>371.26</v>
      </c>
      <c r="Q627" s="0" t="n">
        <v>2028</v>
      </c>
      <c r="R627" s="0" t="n">
        <v>54</v>
      </c>
      <c r="T627" s="0" t="n">
        <v>2034</v>
      </c>
      <c r="U627" s="0" t="n">
        <v>167022</v>
      </c>
      <c r="W627" s="0" t="n">
        <v>2028</v>
      </c>
      <c r="X627" s="0" t="n">
        <v>45560.08</v>
      </c>
    </row>
    <row r="628" customFormat="false" ht="15" hidden="false" customHeight="false" outlineLevel="0" collapsed="false">
      <c r="A628" s="0" t="n">
        <v>2027</v>
      </c>
      <c r="B628" s="0" t="n">
        <v>14.39224281</v>
      </c>
      <c r="C628" s="0" t="n">
        <v>302.237099</v>
      </c>
      <c r="E628" s="0" t="n">
        <v>2028</v>
      </c>
      <c r="F628" s="0" t="n">
        <v>87.216632</v>
      </c>
      <c r="G628" s="0" t="n">
        <v>1830.307263</v>
      </c>
      <c r="I628" s="0" t="n">
        <v>2026</v>
      </c>
      <c r="J628" s="0" t="n">
        <v>0.74</v>
      </c>
      <c r="K628" s="0" t="n">
        <v>15.36</v>
      </c>
      <c r="M628" s="0" t="n">
        <v>2028</v>
      </c>
      <c r="N628" s="0" t="n">
        <v>11.75</v>
      </c>
      <c r="O628" s="0" t="n">
        <v>244.25</v>
      </c>
      <c r="Q628" s="0" t="n">
        <v>2028</v>
      </c>
      <c r="R628" s="0" t="n">
        <v>12</v>
      </c>
      <c r="T628" s="0" t="n">
        <v>2034</v>
      </c>
      <c r="U628" s="0" t="n">
        <v>5165</v>
      </c>
      <c r="W628" s="0" t="n">
        <v>2028</v>
      </c>
      <c r="X628" s="0" t="n">
        <v>11390.02</v>
      </c>
    </row>
    <row r="629" customFormat="false" ht="15" hidden="false" customHeight="false" outlineLevel="0" collapsed="false">
      <c r="A629" s="0" t="n">
        <v>2027</v>
      </c>
      <c r="B629" s="0" t="n">
        <v>4.505274573</v>
      </c>
      <c r="C629" s="0" t="n">
        <v>94.61076604</v>
      </c>
      <c r="E629" s="0" t="n">
        <v>2028</v>
      </c>
      <c r="F629" s="0" t="n">
        <v>34.909784</v>
      </c>
      <c r="G629" s="0" t="n">
        <v>732.608331</v>
      </c>
      <c r="I629" s="0" t="n">
        <v>2026</v>
      </c>
      <c r="J629" s="0" t="n">
        <v>0.74</v>
      </c>
      <c r="K629" s="0" t="n">
        <v>15.36</v>
      </c>
      <c r="M629" s="0" t="n">
        <v>2028</v>
      </c>
      <c r="N629" s="0" t="n">
        <v>4.7</v>
      </c>
      <c r="O629" s="0" t="n">
        <v>97.7</v>
      </c>
      <c r="Q629" s="0" t="n">
        <v>2028</v>
      </c>
      <c r="R629" s="0" t="n">
        <v>12</v>
      </c>
      <c r="T629" s="0" t="n">
        <v>2034</v>
      </c>
      <c r="U629" s="0" t="n">
        <v>843452</v>
      </c>
      <c r="W629" s="0" t="n">
        <v>2028</v>
      </c>
      <c r="X629" s="0" t="n">
        <v>3527.232</v>
      </c>
    </row>
    <row r="630" customFormat="false" ht="15" hidden="false" customHeight="false" outlineLevel="0" collapsed="false">
      <c r="A630" s="0" t="n">
        <v>2027</v>
      </c>
      <c r="B630" s="0" t="n">
        <v>10.07351862</v>
      </c>
      <c r="C630" s="0" t="n">
        <v>211.5438911</v>
      </c>
      <c r="E630" s="0" t="n">
        <v>2028</v>
      </c>
      <c r="F630" s="0" t="n">
        <v>4.903688</v>
      </c>
      <c r="G630" s="0" t="n">
        <v>102.907617</v>
      </c>
      <c r="I630" s="0" t="n">
        <v>2026</v>
      </c>
      <c r="J630" s="0" t="n">
        <v>0</v>
      </c>
      <c r="K630" s="0" t="n">
        <v>0</v>
      </c>
      <c r="M630" s="0" t="n">
        <v>2028</v>
      </c>
      <c r="N630" s="0" t="n">
        <v>4.7</v>
      </c>
      <c r="O630" s="0" t="n">
        <v>97.7</v>
      </c>
      <c r="Q630" s="0" t="n">
        <v>2028</v>
      </c>
      <c r="R630" s="0" t="n">
        <v>12</v>
      </c>
      <c r="T630" s="0" t="n">
        <v>2034</v>
      </c>
      <c r="U630" s="0" t="n">
        <v>26086</v>
      </c>
      <c r="W630" s="0" t="n">
        <v>2028</v>
      </c>
      <c r="X630" s="0" t="n">
        <v>6246.14</v>
      </c>
    </row>
    <row r="631" customFormat="false" ht="15" hidden="false" customHeight="false" outlineLevel="0" collapsed="false">
      <c r="A631" s="0" t="n">
        <v>2027</v>
      </c>
      <c r="B631" s="0" t="n">
        <v>461.6326828</v>
      </c>
      <c r="C631" s="0" t="n">
        <v>9694.286339</v>
      </c>
      <c r="E631" s="0" t="n">
        <v>2028</v>
      </c>
      <c r="F631" s="0" t="n">
        <v>117.222728</v>
      </c>
      <c r="G631" s="0" t="n">
        <v>2460.007977</v>
      </c>
      <c r="I631" s="0" t="n">
        <v>2026</v>
      </c>
      <c r="J631" s="0" t="n">
        <v>1.48</v>
      </c>
      <c r="K631" s="0" t="n">
        <v>30.72</v>
      </c>
      <c r="M631" s="0" t="n">
        <v>2028</v>
      </c>
      <c r="N631" s="0" t="n">
        <v>2.82</v>
      </c>
      <c r="O631" s="0" t="n">
        <v>58.62</v>
      </c>
      <c r="Q631" s="0" t="n">
        <v>2028</v>
      </c>
      <c r="R631" s="0" t="n">
        <v>84</v>
      </c>
      <c r="T631" s="0" t="n">
        <v>2034</v>
      </c>
      <c r="U631" s="0" t="n">
        <v>167022</v>
      </c>
      <c r="W631" s="0" t="n">
        <v>2028</v>
      </c>
      <c r="X631" s="0" t="n">
        <v>2792.392</v>
      </c>
    </row>
    <row r="632" customFormat="false" ht="15" hidden="false" customHeight="false" outlineLevel="0" collapsed="false">
      <c r="A632" s="0" t="n">
        <v>2027</v>
      </c>
      <c r="B632" s="0" t="n">
        <v>116.4374133</v>
      </c>
      <c r="C632" s="0" t="n">
        <v>2445.185678</v>
      </c>
      <c r="E632" s="0" t="n">
        <v>2028</v>
      </c>
      <c r="F632" s="0" t="n">
        <v>5.487656</v>
      </c>
      <c r="G632" s="0" t="n">
        <v>115.162629</v>
      </c>
      <c r="I632" s="0" t="n">
        <v>2026</v>
      </c>
      <c r="J632" s="0" t="n">
        <v>2.59</v>
      </c>
      <c r="K632" s="0" t="n">
        <v>53.76</v>
      </c>
      <c r="M632" s="0" t="n">
        <v>2028</v>
      </c>
      <c r="N632" s="0" t="n">
        <v>2.35</v>
      </c>
      <c r="O632" s="0" t="n">
        <v>48.85</v>
      </c>
      <c r="Q632" s="0" t="n">
        <v>2028</v>
      </c>
      <c r="R632" s="0" t="n">
        <v>80</v>
      </c>
      <c r="T632" s="0" t="n">
        <v>2034</v>
      </c>
      <c r="U632" s="0" t="n">
        <v>5165</v>
      </c>
      <c r="W632" s="0" t="n">
        <v>2028</v>
      </c>
      <c r="X632" s="0" t="n">
        <v>1102.26</v>
      </c>
    </row>
    <row r="633" customFormat="false" ht="15" hidden="false" customHeight="false" outlineLevel="0" collapsed="false">
      <c r="A633" s="0" t="n">
        <v>2027</v>
      </c>
      <c r="B633" s="0" t="n">
        <v>103.8337108</v>
      </c>
      <c r="C633" s="0" t="n">
        <v>2180.507928</v>
      </c>
      <c r="E633" s="0" t="n">
        <v>2028</v>
      </c>
      <c r="F633" s="0" t="n">
        <v>30.006096</v>
      </c>
      <c r="G633" s="0" t="n">
        <v>629.700714</v>
      </c>
      <c r="I633" s="0" t="n">
        <v>2026</v>
      </c>
      <c r="J633" s="0" t="n">
        <v>0.74</v>
      </c>
      <c r="K633" s="0" t="n">
        <v>15.36</v>
      </c>
      <c r="M633" s="0" t="n">
        <v>2028</v>
      </c>
      <c r="N633" s="0" t="n">
        <v>1.88</v>
      </c>
      <c r="O633" s="0" t="n">
        <v>39.08</v>
      </c>
      <c r="Q633" s="0" t="n">
        <v>2028</v>
      </c>
      <c r="R633" s="0" t="n">
        <v>38</v>
      </c>
      <c r="T633" s="0" t="n">
        <v>2034</v>
      </c>
      <c r="U633" s="0" t="n">
        <v>283934</v>
      </c>
      <c r="W633" s="0" t="n">
        <v>2028</v>
      </c>
      <c r="X633" s="0" t="n">
        <v>1616.648</v>
      </c>
    </row>
    <row r="634" customFormat="false" ht="15" hidden="false" customHeight="false" outlineLevel="0" collapsed="false">
      <c r="A634" s="0" t="n">
        <v>2027</v>
      </c>
      <c r="B634" s="0" t="n">
        <v>72.21019225</v>
      </c>
      <c r="C634" s="0" t="n">
        <v>1516.414037</v>
      </c>
      <c r="E634" s="0" t="n">
        <v>2028</v>
      </c>
      <c r="F634" s="0" t="n">
        <v>27.437648</v>
      </c>
      <c r="G634" s="0" t="n">
        <v>575.799882</v>
      </c>
      <c r="I634" s="0" t="n">
        <v>2026</v>
      </c>
      <c r="J634" s="0" t="n">
        <v>2.59</v>
      </c>
      <c r="K634" s="0" t="n">
        <v>53.76</v>
      </c>
      <c r="M634" s="0" t="n">
        <v>2028</v>
      </c>
      <c r="N634" s="0" t="n">
        <v>0.94</v>
      </c>
      <c r="O634" s="0" t="n">
        <v>19.54</v>
      </c>
      <c r="Q634" s="0" t="n">
        <v>2028</v>
      </c>
      <c r="R634" s="0" t="n">
        <v>8</v>
      </c>
      <c r="T634" s="0" t="n">
        <v>2034</v>
      </c>
      <c r="U634" s="0" t="n">
        <v>8782</v>
      </c>
      <c r="W634" s="0" t="n">
        <v>2028</v>
      </c>
      <c r="X634" s="0" t="n">
        <v>1249.228</v>
      </c>
    </row>
    <row r="635" customFormat="false" ht="15" hidden="false" customHeight="false" outlineLevel="0" collapsed="false">
      <c r="A635" s="0" t="n">
        <v>2027</v>
      </c>
      <c r="B635" s="0" t="n">
        <v>53.71235512</v>
      </c>
      <c r="C635" s="0" t="n">
        <v>1127.959457</v>
      </c>
      <c r="E635" s="0" t="n">
        <v>2028</v>
      </c>
      <c r="F635" s="0" t="n">
        <v>103.817698</v>
      </c>
      <c r="G635" s="0" t="n">
        <v>2179.14376</v>
      </c>
      <c r="I635" s="0" t="n">
        <v>2026</v>
      </c>
      <c r="J635" s="0" t="n">
        <v>102.24</v>
      </c>
      <c r="K635" s="0" t="n">
        <v>2149.92</v>
      </c>
      <c r="M635" s="0" t="n">
        <v>2028</v>
      </c>
      <c r="N635" s="0" t="n">
        <v>67.26</v>
      </c>
      <c r="O635" s="0" t="n">
        <v>1410.18</v>
      </c>
      <c r="Q635" s="0" t="n">
        <v>2028</v>
      </c>
      <c r="R635" s="0" t="n">
        <v>8</v>
      </c>
      <c r="T635" s="0" t="n">
        <v>2034</v>
      </c>
      <c r="U635" s="0" t="n">
        <v>58457</v>
      </c>
      <c r="W635" s="0" t="n">
        <v>2028</v>
      </c>
      <c r="X635" s="0" t="n">
        <v>71872.88</v>
      </c>
    </row>
    <row r="636" customFormat="false" ht="15" hidden="false" customHeight="false" outlineLevel="0" collapsed="false">
      <c r="A636" s="0" t="n">
        <v>2027</v>
      </c>
      <c r="B636" s="0" t="n">
        <v>23.87215783</v>
      </c>
      <c r="C636" s="0" t="n">
        <v>501.3153144</v>
      </c>
      <c r="E636" s="0" t="n">
        <v>2028</v>
      </c>
      <c r="F636" s="0" t="n">
        <v>27.876202</v>
      </c>
      <c r="G636" s="0" t="n">
        <v>585.12424</v>
      </c>
      <c r="I636" s="0" t="n">
        <v>2026</v>
      </c>
      <c r="J636" s="0" t="n">
        <v>34.08</v>
      </c>
      <c r="K636" s="0" t="n">
        <v>716.64</v>
      </c>
      <c r="M636" s="0" t="n">
        <v>2028</v>
      </c>
      <c r="N636" s="0" t="n">
        <v>44.25</v>
      </c>
      <c r="O636" s="0" t="n">
        <v>927.75</v>
      </c>
      <c r="Q636" s="0" t="n">
        <v>2028</v>
      </c>
      <c r="R636" s="0" t="n">
        <v>8</v>
      </c>
      <c r="T636" s="0" t="n">
        <v>2034</v>
      </c>
      <c r="U636" s="0" t="n">
        <v>1808</v>
      </c>
      <c r="W636" s="0" t="n">
        <v>2028</v>
      </c>
      <c r="X636" s="0" t="n">
        <v>17968.22</v>
      </c>
    </row>
    <row r="637" customFormat="false" ht="15" hidden="false" customHeight="false" outlineLevel="0" collapsed="false">
      <c r="A637" s="0" t="n">
        <v>2027</v>
      </c>
      <c r="B637" s="0" t="n">
        <v>88.17370774</v>
      </c>
      <c r="C637" s="0" t="n">
        <v>1851.647862</v>
      </c>
      <c r="E637" s="0" t="n">
        <v>2028</v>
      </c>
      <c r="F637" s="0" t="n">
        <v>11.157874</v>
      </c>
      <c r="G637" s="0" t="n">
        <v>234.20488</v>
      </c>
      <c r="I637" s="0" t="n">
        <v>2026</v>
      </c>
      <c r="J637" s="0" t="n">
        <v>14.91</v>
      </c>
      <c r="K637" s="0" t="n">
        <v>313.53</v>
      </c>
      <c r="M637" s="0" t="n">
        <v>2028</v>
      </c>
      <c r="N637" s="0" t="n">
        <v>17.7</v>
      </c>
      <c r="O637" s="0" t="n">
        <v>371.1</v>
      </c>
      <c r="Q637" s="0" t="n">
        <v>2028</v>
      </c>
      <c r="R637" s="0" t="n">
        <v>179</v>
      </c>
      <c r="T637" s="0" t="n">
        <v>2034</v>
      </c>
      <c r="U637" s="0" t="n">
        <v>100212</v>
      </c>
      <c r="W637" s="0" t="n">
        <v>2028</v>
      </c>
      <c r="X637" s="0" t="n">
        <v>5564.352</v>
      </c>
    </row>
    <row r="638" customFormat="false" ht="15" hidden="false" customHeight="false" outlineLevel="0" collapsed="false">
      <c r="A638" s="0" t="n">
        <v>2027</v>
      </c>
      <c r="B638" s="0" t="n">
        <v>27.60144953</v>
      </c>
      <c r="C638" s="0" t="n">
        <v>579.6304402</v>
      </c>
      <c r="E638" s="0" t="n">
        <v>2028</v>
      </c>
      <c r="F638" s="0" t="n">
        <v>1.567318</v>
      </c>
      <c r="G638" s="0" t="n">
        <v>32.89816</v>
      </c>
      <c r="I638" s="0" t="n">
        <v>2026</v>
      </c>
      <c r="J638" s="0" t="n">
        <v>8.52</v>
      </c>
      <c r="K638" s="0" t="n">
        <v>179.16</v>
      </c>
      <c r="M638" s="0" t="n">
        <v>2028</v>
      </c>
      <c r="N638" s="0" t="n">
        <v>17.7</v>
      </c>
      <c r="O638" s="0" t="n">
        <v>371.1</v>
      </c>
      <c r="Q638" s="0" t="n">
        <v>2028</v>
      </c>
      <c r="R638" s="0" t="n">
        <v>170</v>
      </c>
      <c r="T638" s="0" t="n">
        <v>2034</v>
      </c>
      <c r="U638" s="0" t="n">
        <v>3099</v>
      </c>
      <c r="W638" s="0" t="n">
        <v>2028</v>
      </c>
      <c r="X638" s="0" t="n">
        <v>9853.54</v>
      </c>
    </row>
    <row r="639" customFormat="false" ht="15" hidden="false" customHeight="false" outlineLevel="0" collapsed="false">
      <c r="A639" s="0" t="n">
        <v>2027</v>
      </c>
      <c r="B639" s="0" t="n">
        <v>61.7151544</v>
      </c>
      <c r="C639" s="0" t="n">
        <v>1296.018242</v>
      </c>
      <c r="E639" s="0" t="n">
        <v>2028</v>
      </c>
      <c r="F639" s="0" t="n">
        <v>37.466758</v>
      </c>
      <c r="G639" s="0" t="n">
        <v>786.43096</v>
      </c>
      <c r="I639" s="0" t="n">
        <v>2026</v>
      </c>
      <c r="J639" s="0" t="n">
        <v>8.52</v>
      </c>
      <c r="K639" s="0" t="n">
        <v>179.16</v>
      </c>
      <c r="M639" s="0" t="n">
        <v>2028</v>
      </c>
      <c r="N639" s="0" t="n">
        <v>10.62</v>
      </c>
      <c r="O639" s="0" t="n">
        <v>222.66</v>
      </c>
      <c r="Q639" s="0" t="n">
        <v>2028</v>
      </c>
      <c r="R639" s="0" t="n">
        <v>81</v>
      </c>
      <c r="T639" s="0" t="n">
        <v>2034</v>
      </c>
      <c r="U639" s="0" t="n">
        <v>100212</v>
      </c>
      <c r="W639" s="0" t="n">
        <v>2028</v>
      </c>
      <c r="X639" s="0" t="n">
        <v>4405.112</v>
      </c>
    </row>
    <row r="640" customFormat="false" ht="15" hidden="false" customHeight="false" outlineLevel="0" collapsed="false">
      <c r="A640" s="0" t="n">
        <v>2027</v>
      </c>
      <c r="B640" s="0" t="n">
        <v>203.7573287</v>
      </c>
      <c r="C640" s="0" t="n">
        <v>4278.903902</v>
      </c>
      <c r="E640" s="0" t="n">
        <v>2028</v>
      </c>
      <c r="F640" s="0" t="n">
        <v>1.753966</v>
      </c>
      <c r="G640" s="0" t="n">
        <v>36.81592</v>
      </c>
      <c r="I640" s="0" t="n">
        <v>2026</v>
      </c>
      <c r="J640" s="0" t="n">
        <v>4.26</v>
      </c>
      <c r="K640" s="0" t="n">
        <v>89.58</v>
      </c>
      <c r="M640" s="0" t="n">
        <v>2028</v>
      </c>
      <c r="N640" s="0" t="n">
        <v>8.85</v>
      </c>
      <c r="O640" s="0" t="n">
        <v>185.55</v>
      </c>
      <c r="Q640" s="0" t="n">
        <v>2028</v>
      </c>
      <c r="R640" s="0" t="n">
        <v>18</v>
      </c>
      <c r="T640" s="0" t="n">
        <v>2034</v>
      </c>
      <c r="U640" s="0" t="n">
        <v>3099</v>
      </c>
      <c r="W640" s="0" t="n">
        <v>2028</v>
      </c>
      <c r="X640" s="0" t="n">
        <v>1738.86</v>
      </c>
    </row>
    <row r="641" customFormat="false" ht="15" hidden="false" customHeight="false" outlineLevel="0" collapsed="false">
      <c r="A641" s="0" t="n">
        <v>2027</v>
      </c>
      <c r="B641" s="0" t="n">
        <v>51.39362347</v>
      </c>
      <c r="C641" s="0" t="n">
        <v>1079.266093</v>
      </c>
      <c r="E641" s="0" t="n">
        <v>2028</v>
      </c>
      <c r="F641" s="0" t="n">
        <v>9.590556</v>
      </c>
      <c r="G641" s="0" t="n">
        <v>201.30672</v>
      </c>
      <c r="I641" s="0" t="n">
        <v>2026</v>
      </c>
      <c r="J641" s="0" t="n">
        <v>4.26</v>
      </c>
      <c r="K641" s="0" t="n">
        <v>89.58</v>
      </c>
      <c r="M641" s="0" t="n">
        <v>2028</v>
      </c>
      <c r="N641" s="0" t="n">
        <v>7.08</v>
      </c>
      <c r="O641" s="0" t="n">
        <v>148.44</v>
      </c>
      <c r="Q641" s="0" t="n">
        <v>2028</v>
      </c>
      <c r="R641" s="0" t="n">
        <v>18</v>
      </c>
      <c r="T641" s="0" t="n">
        <v>2034</v>
      </c>
      <c r="U641" s="0" t="n">
        <v>50106</v>
      </c>
      <c r="W641" s="0" t="n">
        <v>2028</v>
      </c>
      <c r="X641" s="0" t="n">
        <v>2550.328</v>
      </c>
    </row>
    <row r="642" customFormat="false" ht="15" hidden="false" customHeight="false" outlineLevel="0" collapsed="false">
      <c r="A642" s="0" t="n">
        <v>2027</v>
      </c>
      <c r="B642" s="0" t="n">
        <v>45.83054956</v>
      </c>
      <c r="C642" s="0" t="n">
        <v>962.4415407</v>
      </c>
      <c r="E642" s="0" t="n">
        <v>2028</v>
      </c>
      <c r="F642" s="0" t="n">
        <v>8.769628</v>
      </c>
      <c r="G642" s="0" t="n">
        <v>184.07536</v>
      </c>
      <c r="I642" s="0" t="n">
        <v>2026</v>
      </c>
      <c r="J642" s="0" t="n">
        <v>8.52</v>
      </c>
      <c r="K642" s="0" t="n">
        <v>179.16</v>
      </c>
      <c r="M642" s="0" t="n">
        <v>2028</v>
      </c>
      <c r="N642" s="0" t="n">
        <v>3.54</v>
      </c>
      <c r="O642" s="0" t="n">
        <v>74.22</v>
      </c>
      <c r="Q642" s="0" t="n">
        <v>2028</v>
      </c>
      <c r="R642" s="0" t="n">
        <v>18</v>
      </c>
      <c r="T642" s="0" t="n">
        <v>2034</v>
      </c>
      <c r="U642" s="0" t="n">
        <v>1549</v>
      </c>
      <c r="W642" s="0" t="n">
        <v>2028</v>
      </c>
      <c r="X642" s="0" t="n">
        <v>1970.708</v>
      </c>
    </row>
    <row r="643" customFormat="false" ht="15" hidden="false" customHeight="false" outlineLevel="0" collapsed="false">
      <c r="A643" s="0" t="n">
        <v>2027</v>
      </c>
      <c r="B643" s="0" t="n">
        <v>31.87243109</v>
      </c>
      <c r="C643" s="0" t="n">
        <v>669.321053</v>
      </c>
      <c r="E643" s="0" t="n">
        <v>2028</v>
      </c>
      <c r="F643" s="0" t="n">
        <v>385.46175</v>
      </c>
      <c r="G643" s="0" t="n">
        <v>8085.959617</v>
      </c>
      <c r="I643" s="0" t="n">
        <v>2026</v>
      </c>
      <c r="J643" s="0" t="n">
        <v>14.91</v>
      </c>
      <c r="K643" s="0" t="n">
        <v>313.53</v>
      </c>
      <c r="M643" s="0" t="n">
        <v>2028</v>
      </c>
      <c r="N643" s="0" t="n">
        <v>7.6</v>
      </c>
      <c r="O643" s="0" t="n">
        <v>155.04</v>
      </c>
      <c r="Q643" s="0" t="n">
        <v>2028</v>
      </c>
      <c r="R643" s="0" t="n">
        <v>633</v>
      </c>
      <c r="T643" s="0" t="n">
        <v>2034</v>
      </c>
      <c r="U643" s="0" t="n">
        <v>417551</v>
      </c>
      <c r="W643" s="0" t="n">
        <v>2028</v>
      </c>
      <c r="X643" s="0" t="n">
        <v>41306.26</v>
      </c>
    </row>
    <row r="644" customFormat="false" ht="15" hidden="false" customHeight="false" outlineLevel="0" collapsed="false">
      <c r="A644" s="0" t="n">
        <v>2027</v>
      </c>
      <c r="B644" s="0" t="n">
        <v>23.7077798</v>
      </c>
      <c r="C644" s="0" t="n">
        <v>497.8633759</v>
      </c>
      <c r="E644" s="0" t="n">
        <v>2028</v>
      </c>
      <c r="F644" s="0" t="n">
        <v>103.50075</v>
      </c>
      <c r="G644" s="0" t="n">
        <v>2171.169733</v>
      </c>
      <c r="I644" s="0" t="n">
        <v>2026</v>
      </c>
      <c r="J644" s="0" t="n">
        <v>6.39</v>
      </c>
      <c r="K644" s="0" t="n">
        <v>134.37</v>
      </c>
      <c r="M644" s="0" t="n">
        <v>2028</v>
      </c>
      <c r="N644" s="0" t="n">
        <v>5</v>
      </c>
      <c r="O644" s="0" t="n">
        <v>102</v>
      </c>
      <c r="Q644" s="0" t="n">
        <v>2028</v>
      </c>
      <c r="R644" s="0" t="n">
        <v>601</v>
      </c>
      <c r="T644" s="0" t="n">
        <v>2034</v>
      </c>
      <c r="U644" s="0" t="n">
        <v>12914</v>
      </c>
      <c r="W644" s="0" t="n">
        <v>2028</v>
      </c>
      <c r="X644" s="0" t="n">
        <v>10326.565</v>
      </c>
    </row>
    <row r="645" customFormat="false" ht="15" hidden="false" customHeight="false" outlineLevel="0" collapsed="false">
      <c r="A645" s="0" t="n">
        <v>2027</v>
      </c>
      <c r="B645" s="0" t="n">
        <v>10.53679102</v>
      </c>
      <c r="C645" s="0" t="n">
        <v>221.2726115</v>
      </c>
      <c r="E645" s="0" t="n">
        <v>2028</v>
      </c>
      <c r="F645" s="0" t="n">
        <v>41.42775</v>
      </c>
      <c r="G645" s="0" t="n">
        <v>869.043721</v>
      </c>
      <c r="I645" s="0" t="n">
        <v>2026</v>
      </c>
      <c r="J645" s="0" t="n">
        <v>6.39</v>
      </c>
      <c r="K645" s="0" t="n">
        <v>134.37</v>
      </c>
      <c r="M645" s="0" t="n">
        <v>2028</v>
      </c>
      <c r="N645" s="0" t="n">
        <v>2</v>
      </c>
      <c r="O645" s="0" t="n">
        <v>40.8</v>
      </c>
      <c r="Q645" s="0" t="n">
        <v>2028</v>
      </c>
      <c r="R645" s="0" t="n">
        <v>285</v>
      </c>
      <c r="T645" s="0" t="n">
        <v>2034</v>
      </c>
      <c r="U645" s="0" t="n">
        <v>158669</v>
      </c>
      <c r="W645" s="0" t="n">
        <v>2028</v>
      </c>
      <c r="X645" s="0" t="n">
        <v>3197.904</v>
      </c>
    </row>
    <row r="646" customFormat="false" ht="15" hidden="false" customHeight="false" outlineLevel="0" collapsed="false">
      <c r="A646" s="0" t="n">
        <v>2027</v>
      </c>
      <c r="B646" s="0" t="n">
        <v>38.9184731</v>
      </c>
      <c r="C646" s="0" t="n">
        <v>817.287935</v>
      </c>
      <c r="E646" s="0" t="n">
        <v>2028</v>
      </c>
      <c r="F646" s="0" t="n">
        <v>5.81925</v>
      </c>
      <c r="G646" s="0" t="n">
        <v>122.072347</v>
      </c>
      <c r="I646" s="0" t="n">
        <v>2026</v>
      </c>
      <c r="J646" s="0" t="n">
        <v>25.48</v>
      </c>
      <c r="K646" s="0" t="n">
        <v>537.16</v>
      </c>
      <c r="M646" s="0" t="n">
        <v>2028</v>
      </c>
      <c r="N646" s="0" t="n">
        <v>2</v>
      </c>
      <c r="O646" s="0" t="n">
        <v>40.8</v>
      </c>
      <c r="Q646" s="0" t="n">
        <v>2028</v>
      </c>
      <c r="R646" s="0" t="n">
        <v>63</v>
      </c>
      <c r="T646" s="0" t="n">
        <v>2034</v>
      </c>
      <c r="U646" s="0" t="n">
        <v>4906</v>
      </c>
      <c r="W646" s="0" t="n">
        <v>2028</v>
      </c>
      <c r="X646" s="0" t="n">
        <v>5662.955</v>
      </c>
    </row>
    <row r="647" customFormat="false" ht="15" hidden="false" customHeight="false" outlineLevel="0" collapsed="false">
      <c r="A647" s="0" t="n">
        <v>2027</v>
      </c>
      <c r="B647" s="0" t="n">
        <v>12.18284111</v>
      </c>
      <c r="C647" s="0" t="n">
        <v>255.8396632</v>
      </c>
      <c r="E647" s="0" t="n">
        <v>2028</v>
      </c>
      <c r="F647" s="0" t="n">
        <v>139.10925</v>
      </c>
      <c r="G647" s="0" t="n">
        <v>2918.141107</v>
      </c>
      <c r="I647" s="0" t="n">
        <v>2026</v>
      </c>
      <c r="J647" s="0" t="n">
        <v>3.92</v>
      </c>
      <c r="K647" s="0" t="n">
        <v>82.64</v>
      </c>
      <c r="M647" s="0" t="n">
        <v>2028</v>
      </c>
      <c r="N647" s="0" t="n">
        <v>1.2</v>
      </c>
      <c r="O647" s="0" t="n">
        <v>24.48</v>
      </c>
      <c r="Q647" s="0" t="n">
        <v>2028</v>
      </c>
      <c r="R647" s="0" t="n">
        <v>59</v>
      </c>
      <c r="T647" s="0" t="n">
        <v>2034</v>
      </c>
      <c r="U647" s="0" t="n">
        <v>183721</v>
      </c>
      <c r="W647" s="0" t="n">
        <v>2028</v>
      </c>
      <c r="X647" s="0" t="n">
        <v>2531.674</v>
      </c>
    </row>
    <row r="648" customFormat="false" ht="15" hidden="false" customHeight="false" outlineLevel="0" collapsed="false">
      <c r="A648" s="0" t="n">
        <v>2027</v>
      </c>
      <c r="B648" s="0" t="n">
        <v>27.24008821</v>
      </c>
      <c r="C648" s="0" t="n">
        <v>572.0418523</v>
      </c>
      <c r="E648" s="0" t="n">
        <v>2028</v>
      </c>
      <c r="F648" s="0" t="n">
        <v>6.51225</v>
      </c>
      <c r="G648" s="0" t="n">
        <v>136.609639</v>
      </c>
      <c r="I648" s="0" t="n">
        <v>2026</v>
      </c>
      <c r="J648" s="0" t="n">
        <v>2.94</v>
      </c>
      <c r="K648" s="0" t="n">
        <v>61.98</v>
      </c>
      <c r="M648" s="0" t="n">
        <v>2028</v>
      </c>
      <c r="N648" s="0" t="n">
        <v>1</v>
      </c>
      <c r="O648" s="0" t="n">
        <v>20.4</v>
      </c>
      <c r="Q648" s="0" t="n">
        <v>2028</v>
      </c>
      <c r="R648" s="0" t="n">
        <v>59</v>
      </c>
      <c r="T648" s="0" t="n">
        <v>2034</v>
      </c>
      <c r="U648" s="0" t="n">
        <v>5682</v>
      </c>
      <c r="W648" s="0" t="n">
        <v>2028</v>
      </c>
      <c r="X648" s="0" t="n">
        <v>999.345</v>
      </c>
    </row>
    <row r="649" customFormat="false" ht="15" hidden="false" customHeight="false" outlineLevel="0" collapsed="false">
      <c r="A649" s="0" t="n">
        <v>2027</v>
      </c>
      <c r="B649" s="0" t="n">
        <v>90.58350161</v>
      </c>
      <c r="C649" s="0" t="n">
        <v>1902.253534</v>
      </c>
      <c r="E649" s="0" t="n">
        <v>2028</v>
      </c>
      <c r="F649" s="0" t="n">
        <v>35.6085</v>
      </c>
      <c r="G649" s="0" t="n">
        <v>746.971374</v>
      </c>
      <c r="I649" s="0" t="n">
        <v>2026</v>
      </c>
      <c r="J649" s="0" t="n">
        <v>4.9</v>
      </c>
      <c r="K649" s="0" t="n">
        <v>103.3</v>
      </c>
      <c r="M649" s="0" t="n">
        <v>2028</v>
      </c>
      <c r="N649" s="0" t="n">
        <v>0.8</v>
      </c>
      <c r="O649" s="0" t="n">
        <v>16.32</v>
      </c>
      <c r="Q649" s="0" t="n">
        <v>2028</v>
      </c>
      <c r="R649" s="0" t="n">
        <v>113</v>
      </c>
      <c r="T649" s="0" t="n">
        <v>2034</v>
      </c>
      <c r="U649" s="0" t="n">
        <v>175372</v>
      </c>
      <c r="W649" s="0" t="n">
        <v>2028</v>
      </c>
      <c r="X649" s="0" t="n">
        <v>1465.706</v>
      </c>
    </row>
    <row r="650" customFormat="false" ht="15" hidden="false" customHeight="false" outlineLevel="0" collapsed="false">
      <c r="A650" s="0" t="n">
        <v>2027</v>
      </c>
      <c r="B650" s="0" t="n">
        <v>22.8478377</v>
      </c>
      <c r="C650" s="0" t="n">
        <v>479.8045916</v>
      </c>
      <c r="E650" s="0" t="n">
        <v>2028</v>
      </c>
      <c r="F650" s="0" t="n">
        <v>32.5605</v>
      </c>
      <c r="G650" s="0" t="n">
        <v>683.032462</v>
      </c>
      <c r="I650" s="0" t="n">
        <v>2026</v>
      </c>
      <c r="J650" s="0" t="n">
        <v>0.98</v>
      </c>
      <c r="K650" s="0" t="n">
        <v>20.66</v>
      </c>
      <c r="M650" s="0" t="n">
        <v>2028</v>
      </c>
      <c r="N650" s="0" t="n">
        <v>0.4</v>
      </c>
      <c r="O650" s="0" t="n">
        <v>8.16</v>
      </c>
      <c r="Q650" s="0" t="n">
        <v>2028</v>
      </c>
      <c r="R650" s="0" t="n">
        <v>108</v>
      </c>
      <c r="T650" s="0" t="n">
        <v>2034</v>
      </c>
      <c r="U650" s="0" t="n">
        <v>5425</v>
      </c>
      <c r="W650" s="0" t="n">
        <v>2028</v>
      </c>
      <c r="X650" s="0" t="n">
        <v>1132.591</v>
      </c>
    </row>
    <row r="651" customFormat="false" ht="15" hidden="false" customHeight="false" outlineLevel="0" collapsed="false">
      <c r="A651" s="0" t="n">
        <v>2027</v>
      </c>
      <c r="B651" s="0" t="n">
        <v>20.37468633</v>
      </c>
      <c r="C651" s="0" t="n">
        <v>427.868413</v>
      </c>
      <c r="E651" s="0" t="n">
        <v>2028</v>
      </c>
      <c r="F651" s="0" t="n">
        <v>558.662563</v>
      </c>
      <c r="G651" s="0" t="n">
        <v>11726.77433</v>
      </c>
      <c r="I651" s="0" t="n">
        <v>2026</v>
      </c>
      <c r="J651" s="0" t="n">
        <v>0.98</v>
      </c>
      <c r="K651" s="0" t="n">
        <v>20.66</v>
      </c>
      <c r="M651" s="0" t="n">
        <v>2028</v>
      </c>
      <c r="N651" s="0" t="n">
        <v>20.9</v>
      </c>
      <c r="O651" s="0" t="n">
        <v>432.44</v>
      </c>
      <c r="Q651" s="0" t="n">
        <v>2028</v>
      </c>
      <c r="R651" s="0" t="n">
        <v>51</v>
      </c>
      <c r="T651" s="0" t="n">
        <v>2034</v>
      </c>
      <c r="U651" s="0" t="n">
        <v>167022</v>
      </c>
      <c r="W651" s="0" t="n">
        <v>2028</v>
      </c>
      <c r="X651" s="0" t="n">
        <v>128362.94</v>
      </c>
    </row>
    <row r="652" customFormat="false" ht="15" hidden="false" customHeight="false" outlineLevel="0" collapsed="false">
      <c r="A652" s="0" t="n">
        <v>2027</v>
      </c>
      <c r="B652" s="0" t="n">
        <v>14.16938685</v>
      </c>
      <c r="C652" s="0" t="n">
        <v>297.5571239</v>
      </c>
      <c r="E652" s="0" t="n">
        <v>2028</v>
      </c>
      <c r="F652" s="0" t="n">
        <v>150.007087</v>
      </c>
      <c r="G652" s="0" t="n">
        <v>3148.768817</v>
      </c>
      <c r="I652" s="0" t="n">
        <v>2026</v>
      </c>
      <c r="J652" s="0" t="n">
        <v>0</v>
      </c>
      <c r="K652" s="0" t="n">
        <v>0</v>
      </c>
      <c r="M652" s="0" t="n">
        <v>2028</v>
      </c>
      <c r="N652" s="0" t="n">
        <v>13.75</v>
      </c>
      <c r="O652" s="0" t="n">
        <v>284.5</v>
      </c>
      <c r="Q652" s="0" t="n">
        <v>2028</v>
      </c>
      <c r="R652" s="0" t="n">
        <v>11</v>
      </c>
      <c r="T652" s="0" t="n">
        <v>2034</v>
      </c>
      <c r="U652" s="0" t="n">
        <v>5165</v>
      </c>
      <c r="W652" s="0" t="n">
        <v>2028</v>
      </c>
      <c r="X652" s="0" t="n">
        <v>32090.735</v>
      </c>
    </row>
    <row r="653" customFormat="false" ht="15" hidden="false" customHeight="false" outlineLevel="0" collapsed="false">
      <c r="A653" s="0" t="n">
        <v>2027</v>
      </c>
      <c r="B653" s="0" t="n">
        <v>10.53966365</v>
      </c>
      <c r="C653" s="0" t="n">
        <v>221.3329366</v>
      </c>
      <c r="E653" s="0" t="n">
        <v>2028</v>
      </c>
      <c r="F653" s="0" t="n">
        <v>60.042619</v>
      </c>
      <c r="G653" s="0" t="n">
        <v>1260.342629</v>
      </c>
      <c r="I653" s="0" t="n">
        <v>2026</v>
      </c>
      <c r="J653" s="0" t="n">
        <v>1.96</v>
      </c>
      <c r="K653" s="0" t="n">
        <v>41.32</v>
      </c>
      <c r="M653" s="0" t="n">
        <v>2028</v>
      </c>
      <c r="N653" s="0" t="n">
        <v>5.5</v>
      </c>
      <c r="O653" s="0" t="n">
        <v>113.8</v>
      </c>
      <c r="Q653" s="0" t="n">
        <v>2028</v>
      </c>
      <c r="R653" s="0" t="n">
        <v>11</v>
      </c>
      <c r="T653" s="0" t="n">
        <v>2034</v>
      </c>
      <c r="U653" s="0" t="n">
        <v>125268</v>
      </c>
      <c r="W653" s="0" t="n">
        <v>2028</v>
      </c>
      <c r="X653" s="0" t="n">
        <v>9937.776</v>
      </c>
    </row>
    <row r="654" customFormat="false" ht="15" hidden="false" customHeight="false" outlineLevel="0" collapsed="false">
      <c r="A654" s="0" t="n">
        <v>2027</v>
      </c>
      <c r="B654" s="0" t="n">
        <v>4.684294956</v>
      </c>
      <c r="C654" s="0" t="n">
        <v>98.37019407</v>
      </c>
      <c r="E654" s="0" t="n">
        <v>2028</v>
      </c>
      <c r="F654" s="0" t="n">
        <v>8.434033</v>
      </c>
      <c r="G654" s="0" t="n">
        <v>177.037103</v>
      </c>
      <c r="I654" s="0" t="n">
        <v>2026</v>
      </c>
      <c r="J654" s="0" t="n">
        <v>3.43</v>
      </c>
      <c r="K654" s="0" t="n">
        <v>72.31</v>
      </c>
      <c r="M654" s="0" t="n">
        <v>2028</v>
      </c>
      <c r="N654" s="0" t="n">
        <v>5.5</v>
      </c>
      <c r="O654" s="0" t="n">
        <v>113.8</v>
      </c>
      <c r="Q654" s="0" t="n">
        <v>2028</v>
      </c>
      <c r="R654" s="0" t="n">
        <v>11</v>
      </c>
      <c r="T654" s="0" t="n">
        <v>2034</v>
      </c>
      <c r="U654" s="0" t="n">
        <v>3874</v>
      </c>
      <c r="W654" s="0" t="n">
        <v>2028</v>
      </c>
      <c r="X654" s="0" t="n">
        <v>17598.145</v>
      </c>
    </row>
    <row r="655" customFormat="false" ht="15" hidden="false" customHeight="false" outlineLevel="0" collapsed="false">
      <c r="A655" s="0" t="n">
        <v>2027</v>
      </c>
      <c r="B655" s="0" t="n">
        <v>17.30181483</v>
      </c>
      <c r="C655" s="0" t="n">
        <v>363.3381114</v>
      </c>
      <c r="E655" s="0" t="n">
        <v>2028</v>
      </c>
      <c r="F655" s="0" t="n">
        <v>201.615673</v>
      </c>
      <c r="G655" s="0" t="n">
        <v>4232.074343</v>
      </c>
      <c r="I655" s="0" t="n">
        <v>2026</v>
      </c>
      <c r="J655" s="0" t="n">
        <v>0.98</v>
      </c>
      <c r="K655" s="0" t="n">
        <v>20.66</v>
      </c>
      <c r="M655" s="0" t="n">
        <v>2028</v>
      </c>
      <c r="N655" s="0" t="n">
        <v>3.3</v>
      </c>
      <c r="O655" s="0" t="n">
        <v>68.28</v>
      </c>
      <c r="Q655" s="0" t="n">
        <v>2028</v>
      </c>
      <c r="R655" s="0" t="n">
        <v>113</v>
      </c>
      <c r="T655" s="0" t="n">
        <v>2034</v>
      </c>
      <c r="U655" s="0" t="n">
        <v>108563</v>
      </c>
      <c r="W655" s="0" t="n">
        <v>2028</v>
      </c>
      <c r="X655" s="0" t="n">
        <v>7867.406</v>
      </c>
    </row>
    <row r="656" customFormat="false" ht="15" hidden="false" customHeight="false" outlineLevel="0" collapsed="false">
      <c r="A656" s="0" t="n">
        <v>2027</v>
      </c>
      <c r="B656" s="0" t="n">
        <v>5.416072218</v>
      </c>
      <c r="C656" s="0" t="n">
        <v>113.7375166</v>
      </c>
      <c r="E656" s="0" t="n">
        <v>2028</v>
      </c>
      <c r="F656" s="0" t="n">
        <v>9.438421</v>
      </c>
      <c r="G656" s="0" t="n">
        <v>198.120011</v>
      </c>
      <c r="I656" s="0" t="n">
        <v>2026</v>
      </c>
      <c r="J656" s="0" t="n">
        <v>3.43</v>
      </c>
      <c r="K656" s="0" t="n">
        <v>72.31</v>
      </c>
      <c r="M656" s="0" t="n">
        <v>2028</v>
      </c>
      <c r="N656" s="0" t="n">
        <v>2.75</v>
      </c>
      <c r="O656" s="0" t="n">
        <v>56.9</v>
      </c>
      <c r="Q656" s="0" t="n">
        <v>2028</v>
      </c>
      <c r="R656" s="0" t="n">
        <v>108</v>
      </c>
      <c r="T656" s="0" t="n">
        <v>2034</v>
      </c>
      <c r="U656" s="0" t="n">
        <v>3357</v>
      </c>
      <c r="W656" s="0" t="n">
        <v>2028</v>
      </c>
      <c r="X656" s="0" t="n">
        <v>3105.555</v>
      </c>
    </row>
    <row r="657" customFormat="false" ht="15" hidden="false" customHeight="false" outlineLevel="0" collapsed="false">
      <c r="A657" s="0" t="n">
        <v>2027</v>
      </c>
      <c r="B657" s="0" t="n">
        <v>12.1100065</v>
      </c>
      <c r="C657" s="0" t="n">
        <v>254.3101365</v>
      </c>
      <c r="E657" s="0" t="n">
        <v>2028</v>
      </c>
      <c r="F657" s="0" t="n">
        <v>51.608586</v>
      </c>
      <c r="G657" s="0" t="n">
        <v>1083.305526</v>
      </c>
      <c r="I657" s="0" t="n">
        <v>2026</v>
      </c>
      <c r="J657" s="0" t="n">
        <v>103.2</v>
      </c>
      <c r="K657" s="0" t="n">
        <v>2165.76</v>
      </c>
      <c r="M657" s="0" t="n">
        <v>2028</v>
      </c>
      <c r="N657" s="0" t="n">
        <v>2.2</v>
      </c>
      <c r="O657" s="0" t="n">
        <v>45.52</v>
      </c>
      <c r="Q657" s="0" t="n">
        <v>2028</v>
      </c>
      <c r="R657" s="0" t="n">
        <v>51</v>
      </c>
      <c r="T657" s="0" t="n">
        <v>2034</v>
      </c>
      <c r="U657" s="0" t="n">
        <v>91861</v>
      </c>
      <c r="W657" s="0" t="n">
        <v>2028</v>
      </c>
      <c r="X657" s="0" t="n">
        <v>4554.814</v>
      </c>
    </row>
    <row r="658" customFormat="false" ht="15" hidden="false" customHeight="false" outlineLevel="0" collapsed="false">
      <c r="A658" s="0" t="n">
        <v>2027</v>
      </c>
      <c r="B658" s="0" t="n">
        <v>411.0204783</v>
      </c>
      <c r="C658" s="0" t="n">
        <v>8631.430044</v>
      </c>
      <c r="E658" s="0" t="n">
        <v>2028</v>
      </c>
      <c r="F658" s="0" t="n">
        <v>47.191018</v>
      </c>
      <c r="G658" s="0" t="n">
        <v>990.577238</v>
      </c>
      <c r="I658" s="0" t="n">
        <v>2026</v>
      </c>
      <c r="J658" s="0" t="n">
        <v>34.4</v>
      </c>
      <c r="K658" s="0" t="n">
        <v>721.92</v>
      </c>
      <c r="M658" s="0" t="n">
        <v>2028</v>
      </c>
      <c r="N658" s="0" t="n">
        <v>1.1</v>
      </c>
      <c r="O658" s="0" t="n">
        <v>22.76</v>
      </c>
      <c r="Q658" s="0" t="n">
        <v>2028</v>
      </c>
      <c r="R658" s="0" t="n">
        <v>11</v>
      </c>
      <c r="T658" s="0" t="n">
        <v>2034</v>
      </c>
      <c r="U658" s="0" t="n">
        <v>2842</v>
      </c>
      <c r="W658" s="0" t="n">
        <v>2028</v>
      </c>
      <c r="X658" s="0" t="n">
        <v>3519.629</v>
      </c>
    </row>
    <row r="659" customFormat="false" ht="15" hidden="false" customHeight="false" outlineLevel="0" collapsed="false">
      <c r="A659" s="0" t="n">
        <v>2027</v>
      </c>
      <c r="B659" s="0" t="n">
        <v>103.6715187</v>
      </c>
      <c r="C659" s="0" t="n">
        <v>2177.101892</v>
      </c>
      <c r="E659" s="0" t="n">
        <v>2028</v>
      </c>
      <c r="F659" s="0" t="n">
        <v>357.708504</v>
      </c>
      <c r="G659" s="0" t="n">
        <v>7503.141451</v>
      </c>
      <c r="I659" s="0" t="n">
        <v>2026</v>
      </c>
      <c r="J659" s="0" t="n">
        <v>15.05</v>
      </c>
      <c r="K659" s="0" t="n">
        <v>315.84</v>
      </c>
      <c r="M659" s="0" t="n">
        <v>2028</v>
      </c>
      <c r="N659" s="0" t="n">
        <v>12.92</v>
      </c>
      <c r="O659" s="0" t="n">
        <v>269.42</v>
      </c>
      <c r="Q659" s="0" t="n">
        <v>2028</v>
      </c>
      <c r="R659" s="0" t="n">
        <v>11</v>
      </c>
      <c r="T659" s="0" t="n">
        <v>2034</v>
      </c>
      <c r="U659" s="0" t="n">
        <v>701488</v>
      </c>
      <c r="W659" s="0" t="n">
        <v>2028</v>
      </c>
      <c r="X659" s="0" t="n">
        <v>65462.08</v>
      </c>
    </row>
    <row r="660" customFormat="false" ht="15" hidden="false" customHeight="false" outlineLevel="0" collapsed="false">
      <c r="A660" s="0" t="n">
        <v>2027</v>
      </c>
      <c r="B660" s="0" t="n">
        <v>92.44965334</v>
      </c>
      <c r="C660" s="0" t="n">
        <v>1941.44272</v>
      </c>
      <c r="E660" s="0" t="n">
        <v>2028</v>
      </c>
      <c r="F660" s="0" t="n">
        <v>96.048696</v>
      </c>
      <c r="G660" s="0" t="n">
        <v>2014.676599</v>
      </c>
      <c r="I660" s="0" t="n">
        <v>2026</v>
      </c>
      <c r="J660" s="0" t="n">
        <v>8.6</v>
      </c>
      <c r="K660" s="0" t="n">
        <v>180.48</v>
      </c>
      <c r="M660" s="0" t="n">
        <v>2028</v>
      </c>
      <c r="N660" s="0" t="n">
        <v>8.5</v>
      </c>
      <c r="O660" s="0" t="n">
        <v>177.25</v>
      </c>
      <c r="Q660" s="0" t="n">
        <v>2028</v>
      </c>
      <c r="R660" s="0" t="n">
        <v>11</v>
      </c>
      <c r="T660" s="0" t="n">
        <v>2034</v>
      </c>
      <c r="U660" s="0" t="n">
        <v>21696</v>
      </c>
      <c r="W660" s="0" t="n">
        <v>2028</v>
      </c>
      <c r="X660" s="0" t="n">
        <v>16365.52</v>
      </c>
    </row>
    <row r="661" customFormat="false" ht="15" hidden="false" customHeight="false" outlineLevel="0" collapsed="false">
      <c r="A661" s="0" t="n">
        <v>2027</v>
      </c>
      <c r="B661" s="0" t="n">
        <v>64.29325492</v>
      </c>
      <c r="C661" s="0" t="n">
        <v>1350.158353</v>
      </c>
      <c r="E661" s="0" t="n">
        <v>2028</v>
      </c>
      <c r="F661" s="0" t="n">
        <v>38.444952</v>
      </c>
      <c r="G661" s="0" t="n">
        <v>806.404963</v>
      </c>
      <c r="I661" s="0" t="n">
        <v>2026</v>
      </c>
      <c r="J661" s="0" t="n">
        <v>8.6</v>
      </c>
      <c r="K661" s="0" t="n">
        <v>180.48</v>
      </c>
      <c r="M661" s="0" t="n">
        <v>2028</v>
      </c>
      <c r="N661" s="0" t="n">
        <v>3.4</v>
      </c>
      <c r="O661" s="0" t="n">
        <v>70.9</v>
      </c>
      <c r="Q661" s="0" t="n">
        <v>2028</v>
      </c>
      <c r="R661" s="0" t="n">
        <v>154</v>
      </c>
      <c r="T661" s="0" t="n">
        <v>2034</v>
      </c>
      <c r="U661" s="0" t="n">
        <v>100212</v>
      </c>
      <c r="W661" s="0" t="n">
        <v>2028</v>
      </c>
      <c r="X661" s="0" t="n">
        <v>5068.032</v>
      </c>
    </row>
    <row r="662" customFormat="false" ht="15" hidden="false" customHeight="false" outlineLevel="0" collapsed="false">
      <c r="A662" s="0" t="n">
        <v>2027</v>
      </c>
      <c r="B662" s="0" t="n">
        <v>47.82347246</v>
      </c>
      <c r="C662" s="0" t="n">
        <v>1004.292922</v>
      </c>
      <c r="E662" s="0" t="n">
        <v>2028</v>
      </c>
      <c r="F662" s="0" t="n">
        <v>5.400264</v>
      </c>
      <c r="G662" s="0" t="n">
        <v>113.273641</v>
      </c>
      <c r="I662" s="0" t="n">
        <v>2026</v>
      </c>
      <c r="J662" s="0" t="n">
        <v>4.3</v>
      </c>
      <c r="K662" s="0" t="n">
        <v>90.24</v>
      </c>
      <c r="M662" s="0" t="n">
        <v>2028</v>
      </c>
      <c r="N662" s="0" t="n">
        <v>3.4</v>
      </c>
      <c r="O662" s="0" t="n">
        <v>70.9</v>
      </c>
      <c r="Q662" s="0" t="n">
        <v>2028</v>
      </c>
      <c r="R662" s="0" t="n">
        <v>146</v>
      </c>
      <c r="T662" s="0" t="n">
        <v>2034</v>
      </c>
      <c r="U662" s="0" t="n">
        <v>3099</v>
      </c>
      <c r="W662" s="0" t="n">
        <v>2028</v>
      </c>
      <c r="X662" s="0" t="n">
        <v>8974.64</v>
      </c>
    </row>
    <row r="663" customFormat="false" ht="15" hidden="false" customHeight="false" outlineLevel="0" collapsed="false">
      <c r="A663" s="0" t="n">
        <v>2027</v>
      </c>
      <c r="B663" s="0" t="n">
        <v>21.25487665</v>
      </c>
      <c r="C663" s="0" t="n">
        <v>446.3524096</v>
      </c>
      <c r="E663" s="0" t="n">
        <v>2028</v>
      </c>
      <c r="F663" s="0" t="n">
        <v>129.093384</v>
      </c>
      <c r="G663" s="0" t="n">
        <v>2707.807921</v>
      </c>
      <c r="I663" s="0" t="n">
        <v>2026</v>
      </c>
      <c r="J663" s="0" t="n">
        <v>4.3</v>
      </c>
      <c r="K663" s="0" t="n">
        <v>90.24</v>
      </c>
      <c r="M663" s="0" t="n">
        <v>2028</v>
      </c>
      <c r="N663" s="0" t="n">
        <v>2.04</v>
      </c>
      <c r="O663" s="0" t="n">
        <v>42.54</v>
      </c>
      <c r="Q663" s="0" t="n">
        <v>2028</v>
      </c>
      <c r="R663" s="0" t="n">
        <v>69</v>
      </c>
      <c r="T663" s="0" t="n">
        <v>2034</v>
      </c>
      <c r="U663" s="0" t="n">
        <v>50106</v>
      </c>
      <c r="W663" s="0" t="n">
        <v>2028</v>
      </c>
      <c r="X663" s="0" t="n">
        <v>4012.192</v>
      </c>
    </row>
    <row r="664" customFormat="false" ht="15" hidden="false" customHeight="false" outlineLevel="0" collapsed="false">
      <c r="A664" s="0" t="n">
        <v>2027</v>
      </c>
      <c r="B664" s="0" t="n">
        <v>78.50657217</v>
      </c>
      <c r="C664" s="0" t="n">
        <v>1648.638016</v>
      </c>
      <c r="E664" s="0" t="n">
        <v>2028</v>
      </c>
      <c r="F664" s="0" t="n">
        <v>6.043368</v>
      </c>
      <c r="G664" s="0" t="n">
        <v>126.763117</v>
      </c>
      <c r="I664" s="0" t="n">
        <v>2026</v>
      </c>
      <c r="J664" s="0" t="n">
        <v>8.6</v>
      </c>
      <c r="K664" s="0" t="n">
        <v>180.48</v>
      </c>
      <c r="M664" s="0" t="n">
        <v>2028</v>
      </c>
      <c r="N664" s="0" t="n">
        <v>1.7</v>
      </c>
      <c r="O664" s="0" t="n">
        <v>35.45</v>
      </c>
      <c r="Q664" s="0" t="n">
        <v>2028</v>
      </c>
      <c r="R664" s="0" t="n">
        <v>15</v>
      </c>
      <c r="T664" s="0" t="n">
        <v>2034</v>
      </c>
      <c r="U664" s="0" t="n">
        <v>1549</v>
      </c>
      <c r="W664" s="0" t="n">
        <v>2028</v>
      </c>
      <c r="X664" s="0" t="n">
        <v>1583.76</v>
      </c>
    </row>
    <row r="665" customFormat="false" ht="15" hidden="false" customHeight="false" outlineLevel="0" collapsed="false">
      <c r="A665" s="0" t="n">
        <v>2027</v>
      </c>
      <c r="B665" s="0" t="n">
        <v>24.57529852</v>
      </c>
      <c r="C665" s="0" t="n">
        <v>516.081269</v>
      </c>
      <c r="E665" s="0" t="n">
        <v>2028</v>
      </c>
      <c r="F665" s="0" t="n">
        <v>33.044688</v>
      </c>
      <c r="G665" s="0" t="n">
        <v>693.131322</v>
      </c>
      <c r="I665" s="0" t="n">
        <v>2026</v>
      </c>
      <c r="J665" s="0" t="n">
        <v>15.05</v>
      </c>
      <c r="K665" s="0" t="n">
        <v>315.84</v>
      </c>
      <c r="M665" s="0" t="n">
        <v>2028</v>
      </c>
      <c r="N665" s="0" t="n">
        <v>1.36</v>
      </c>
      <c r="O665" s="0" t="n">
        <v>28.36</v>
      </c>
      <c r="Q665" s="0" t="n">
        <v>2028</v>
      </c>
      <c r="R665" s="0" t="n">
        <v>13</v>
      </c>
      <c r="T665" s="0" t="n">
        <v>2034</v>
      </c>
      <c r="U665" s="0" t="n">
        <v>208777</v>
      </c>
      <c r="W665" s="0" t="n">
        <v>2028</v>
      </c>
      <c r="X665" s="0" t="n">
        <v>2322.848</v>
      </c>
    </row>
    <row r="666" customFormat="false" ht="15" hidden="false" customHeight="false" outlineLevel="0" collapsed="false">
      <c r="A666" s="0" t="n">
        <v>2027</v>
      </c>
      <c r="B666" s="0" t="n">
        <v>54.94886568</v>
      </c>
      <c r="C666" s="0" t="n">
        <v>1153.926179</v>
      </c>
      <c r="E666" s="0" t="n">
        <v>2028</v>
      </c>
      <c r="F666" s="0" t="n">
        <v>30.216144</v>
      </c>
      <c r="G666" s="0" t="n">
        <v>633.800986</v>
      </c>
      <c r="I666" s="0" t="n">
        <v>2026</v>
      </c>
      <c r="J666" s="0" t="n">
        <v>6.45</v>
      </c>
      <c r="K666" s="0" t="n">
        <v>135.36</v>
      </c>
      <c r="M666" s="0" t="n">
        <v>2028</v>
      </c>
      <c r="N666" s="0" t="n">
        <v>0.68</v>
      </c>
      <c r="O666" s="0" t="n">
        <v>14.18</v>
      </c>
      <c r="Q666" s="0" t="n">
        <v>2028</v>
      </c>
      <c r="R666" s="0" t="n">
        <v>13</v>
      </c>
      <c r="T666" s="0" t="n">
        <v>2034</v>
      </c>
      <c r="U666" s="0" t="n">
        <v>6458</v>
      </c>
      <c r="W666" s="0" t="n">
        <v>2028</v>
      </c>
      <c r="X666" s="0" t="n">
        <v>1794.928</v>
      </c>
    </row>
    <row r="667" customFormat="false" ht="15" hidden="false" customHeight="false" outlineLevel="0" collapsed="false">
      <c r="A667" s="0" t="n">
        <v>2028</v>
      </c>
      <c r="B667" s="0" t="n">
        <v>194.0759175</v>
      </c>
      <c r="C667" s="0" t="n">
        <v>4075.594268</v>
      </c>
      <c r="E667" s="0" t="n">
        <v>2028</v>
      </c>
      <c r="F667" s="0" t="n">
        <v>1982.815242</v>
      </c>
      <c r="G667" s="0" t="n">
        <v>41637.57824</v>
      </c>
      <c r="I667" s="0" t="n">
        <v>2026</v>
      </c>
      <c r="J667" s="0" t="n">
        <v>6.45</v>
      </c>
      <c r="K667" s="0" t="n">
        <v>135.36</v>
      </c>
      <c r="M667" s="0" t="n">
        <v>2028</v>
      </c>
      <c r="N667" s="0" t="n">
        <v>2.28</v>
      </c>
      <c r="O667" s="0" t="n">
        <v>45.98</v>
      </c>
      <c r="Q667" s="0" t="n">
        <v>2029</v>
      </c>
      <c r="R667" s="0" t="n">
        <v>1442</v>
      </c>
      <c r="T667" s="0" t="n">
        <v>2035</v>
      </c>
      <c r="U667" s="0" t="n">
        <v>235437</v>
      </c>
      <c r="W667" s="0" t="n">
        <v>2028</v>
      </c>
      <c r="X667" s="0" t="n">
        <v>8615.52</v>
      </c>
    </row>
    <row r="668" customFormat="false" ht="15" hidden="false" customHeight="false" outlineLevel="0" collapsed="false">
      <c r="A668" s="0" t="n">
        <v>2028</v>
      </c>
      <c r="B668" s="0" t="n">
        <v>48.95168531</v>
      </c>
      <c r="C668" s="0" t="n">
        <v>1027.985391</v>
      </c>
      <c r="E668" s="0" t="n">
        <v>2028</v>
      </c>
      <c r="F668" s="0" t="n">
        <v>532.407858</v>
      </c>
      <c r="G668" s="0" t="n">
        <v>11180.15102</v>
      </c>
      <c r="I668" s="0" t="n">
        <v>2026</v>
      </c>
      <c r="J668" s="0" t="n">
        <v>15.08</v>
      </c>
      <c r="K668" s="0" t="n">
        <v>316.68</v>
      </c>
      <c r="M668" s="0" t="n">
        <v>2028</v>
      </c>
      <c r="N668" s="0" t="n">
        <v>1.5</v>
      </c>
      <c r="O668" s="0" t="n">
        <v>30.25</v>
      </c>
      <c r="Q668" s="0" t="n">
        <v>2029</v>
      </c>
      <c r="R668" s="0" t="n">
        <v>1370</v>
      </c>
      <c r="T668" s="0" t="n">
        <v>2035</v>
      </c>
      <c r="U668" s="0" t="n">
        <v>7282</v>
      </c>
      <c r="W668" s="0" t="n">
        <v>2028</v>
      </c>
      <c r="X668" s="0" t="n">
        <v>2153.88</v>
      </c>
    </row>
    <row r="669" customFormat="false" ht="15" hidden="false" customHeight="false" outlineLevel="0" collapsed="false">
      <c r="A669" s="0" t="n">
        <v>2028</v>
      </c>
      <c r="B669" s="0" t="n">
        <v>43.65293762</v>
      </c>
      <c r="C669" s="0" t="n">
        <v>916.7116899</v>
      </c>
      <c r="E669" s="0" t="n">
        <v>2028</v>
      </c>
      <c r="F669" s="0" t="n">
        <v>213.104346</v>
      </c>
      <c r="G669" s="0" t="n">
        <v>4475.025555</v>
      </c>
      <c r="I669" s="0" t="n">
        <v>2026</v>
      </c>
      <c r="J669" s="0" t="n">
        <v>2.32</v>
      </c>
      <c r="K669" s="0" t="n">
        <v>48.72</v>
      </c>
      <c r="M669" s="0" t="n">
        <v>2028</v>
      </c>
      <c r="N669" s="0" t="n">
        <v>0.6</v>
      </c>
      <c r="O669" s="0" t="n">
        <v>12.1</v>
      </c>
      <c r="Q669" s="0" t="n">
        <v>2029</v>
      </c>
      <c r="R669" s="0" t="n">
        <v>649</v>
      </c>
      <c r="T669" s="0" t="n">
        <v>2035</v>
      </c>
      <c r="U669" s="0" t="n">
        <v>454791</v>
      </c>
      <c r="W669" s="0" t="n">
        <v>2028</v>
      </c>
      <c r="X669" s="0" t="n">
        <v>667.008</v>
      </c>
    </row>
    <row r="670" customFormat="false" ht="15" hidden="false" customHeight="false" outlineLevel="0" collapsed="false">
      <c r="A670" s="0" t="n">
        <v>2028</v>
      </c>
      <c r="B670" s="0" t="n">
        <v>30.35803105</v>
      </c>
      <c r="C670" s="0" t="n">
        <v>637.5186519</v>
      </c>
      <c r="E670" s="0" t="n">
        <v>2028</v>
      </c>
      <c r="F670" s="0" t="n">
        <v>29.934222</v>
      </c>
      <c r="G670" s="0" t="n">
        <v>628.595385</v>
      </c>
      <c r="I670" s="0" t="n">
        <v>2026</v>
      </c>
      <c r="J670" s="0" t="n">
        <v>1.74</v>
      </c>
      <c r="K670" s="0" t="n">
        <v>36.54</v>
      </c>
      <c r="M670" s="0" t="n">
        <v>2028</v>
      </c>
      <c r="N670" s="0" t="n">
        <v>0.6</v>
      </c>
      <c r="O670" s="0" t="n">
        <v>12.1</v>
      </c>
      <c r="Q670" s="0" t="n">
        <v>2029</v>
      </c>
      <c r="R670" s="0" t="n">
        <v>144</v>
      </c>
      <c r="T670" s="0" t="n">
        <v>2035</v>
      </c>
      <c r="U670" s="0" t="n">
        <v>14066</v>
      </c>
      <c r="W670" s="0" t="n">
        <v>2028</v>
      </c>
      <c r="X670" s="0" t="n">
        <v>1181.16</v>
      </c>
    </row>
    <row r="671" customFormat="false" ht="15" hidden="false" customHeight="false" outlineLevel="0" collapsed="false">
      <c r="A671" s="0" t="n">
        <v>2028</v>
      </c>
      <c r="B671" s="0" t="n">
        <v>22.58131842</v>
      </c>
      <c r="C671" s="0" t="n">
        <v>474.2076868</v>
      </c>
      <c r="E671" s="0" t="n">
        <v>2028</v>
      </c>
      <c r="F671" s="0" t="n">
        <v>715.577982</v>
      </c>
      <c r="G671" s="0" t="n">
        <v>15026.58119</v>
      </c>
      <c r="I671" s="0" t="n">
        <v>2026</v>
      </c>
      <c r="J671" s="0" t="n">
        <v>2.9</v>
      </c>
      <c r="K671" s="0" t="n">
        <v>60.9</v>
      </c>
      <c r="M671" s="0" t="n">
        <v>2028</v>
      </c>
      <c r="N671" s="0" t="n">
        <v>0.36</v>
      </c>
      <c r="O671" s="0" t="n">
        <v>7.26</v>
      </c>
      <c r="Q671" s="0" t="n">
        <v>2029</v>
      </c>
      <c r="R671" s="0" t="n">
        <v>134</v>
      </c>
      <c r="T671" s="0" t="n">
        <v>2035</v>
      </c>
      <c r="U671" s="0" t="n">
        <v>225143</v>
      </c>
      <c r="W671" s="0" t="n">
        <v>2028</v>
      </c>
      <c r="X671" s="0" t="n">
        <v>528.048</v>
      </c>
    </row>
    <row r="672" customFormat="false" ht="15" hidden="false" customHeight="false" outlineLevel="0" collapsed="false">
      <c r="A672" s="0" t="n">
        <v>2028</v>
      </c>
      <c r="B672" s="0" t="n">
        <v>10.03614152</v>
      </c>
      <c r="C672" s="0" t="n">
        <v>210.7589719</v>
      </c>
      <c r="E672" s="0" t="n">
        <v>2028</v>
      </c>
      <c r="F672" s="0" t="n">
        <v>33.499014</v>
      </c>
      <c r="G672" s="0" t="n">
        <v>703.453245</v>
      </c>
      <c r="I672" s="0" t="n">
        <v>2026</v>
      </c>
      <c r="J672" s="0" t="n">
        <v>0.58</v>
      </c>
      <c r="K672" s="0" t="n">
        <v>12.18</v>
      </c>
      <c r="M672" s="0" t="n">
        <v>2028</v>
      </c>
      <c r="N672" s="0" t="n">
        <v>0.3</v>
      </c>
      <c r="O672" s="0" t="n">
        <v>6.05</v>
      </c>
      <c r="Q672" s="0" t="n">
        <v>2029</v>
      </c>
      <c r="R672" s="0" t="n">
        <v>134</v>
      </c>
      <c r="T672" s="0" t="n">
        <v>2035</v>
      </c>
      <c r="U672" s="0" t="n">
        <v>6963</v>
      </c>
      <c r="W672" s="0" t="n">
        <v>2028</v>
      </c>
      <c r="X672" s="0" t="n">
        <v>208.44</v>
      </c>
    </row>
    <row r="673" customFormat="false" ht="15" hidden="false" customHeight="false" outlineLevel="0" collapsed="false">
      <c r="A673" s="0" t="n">
        <v>2028</v>
      </c>
      <c r="B673" s="0" t="n">
        <v>37.06928445</v>
      </c>
      <c r="C673" s="0" t="n">
        <v>778.4549735</v>
      </c>
      <c r="E673" s="0" t="n">
        <v>2028</v>
      </c>
      <c r="F673" s="0" t="n">
        <v>183.170124</v>
      </c>
      <c r="G673" s="0" t="n">
        <v>3846.43017</v>
      </c>
      <c r="I673" s="0" t="n">
        <v>2026</v>
      </c>
      <c r="J673" s="0" t="n">
        <v>0.58</v>
      </c>
      <c r="K673" s="0" t="n">
        <v>12.18</v>
      </c>
      <c r="M673" s="0" t="n">
        <v>2028</v>
      </c>
      <c r="N673" s="0" t="n">
        <v>0.24</v>
      </c>
      <c r="O673" s="0" t="n">
        <v>4.84</v>
      </c>
      <c r="Q673" s="0" t="n">
        <v>2029</v>
      </c>
      <c r="R673" s="0" t="n">
        <v>423</v>
      </c>
      <c r="T673" s="0" t="n">
        <v>2035</v>
      </c>
      <c r="U673" s="0" t="n">
        <v>290436</v>
      </c>
      <c r="W673" s="0" t="n">
        <v>2028</v>
      </c>
      <c r="X673" s="0" t="n">
        <v>305.712</v>
      </c>
    </row>
    <row r="674" customFormat="false" ht="15" hidden="false" customHeight="false" outlineLevel="0" collapsed="false">
      <c r="A674" s="0" t="n">
        <v>2028</v>
      </c>
      <c r="B674" s="0" t="n">
        <v>11.60398049</v>
      </c>
      <c r="C674" s="0" t="n">
        <v>243.6835902</v>
      </c>
      <c r="E674" s="0" t="n">
        <v>2028</v>
      </c>
      <c r="F674" s="0" t="n">
        <v>167.491212</v>
      </c>
      <c r="G674" s="0" t="n">
        <v>3517.18521</v>
      </c>
      <c r="I674" s="0" t="n">
        <v>2026</v>
      </c>
      <c r="J674" s="0" t="n">
        <v>0</v>
      </c>
      <c r="K674" s="0" t="n">
        <v>0</v>
      </c>
      <c r="M674" s="0" t="n">
        <v>2028</v>
      </c>
      <c r="N674" s="0" t="n">
        <v>0.12</v>
      </c>
      <c r="O674" s="0" t="n">
        <v>2.42</v>
      </c>
      <c r="Q674" s="0" t="n">
        <v>2029</v>
      </c>
      <c r="R674" s="0" t="n">
        <v>402</v>
      </c>
      <c r="T674" s="0" t="n">
        <v>2035</v>
      </c>
      <c r="U674" s="0" t="n">
        <v>8983</v>
      </c>
      <c r="W674" s="0" t="n">
        <v>2028</v>
      </c>
      <c r="X674" s="0" t="n">
        <v>236.232</v>
      </c>
    </row>
    <row r="675" customFormat="false" ht="15" hidden="false" customHeight="false" outlineLevel="0" collapsed="false">
      <c r="A675" s="0" t="n">
        <v>2028</v>
      </c>
      <c r="B675" s="0" t="n">
        <v>25.94579124</v>
      </c>
      <c r="C675" s="0" t="n">
        <v>544.861616</v>
      </c>
      <c r="E675" s="0" t="n">
        <v>2028</v>
      </c>
      <c r="F675" s="0" t="n">
        <v>247.723418</v>
      </c>
      <c r="G675" s="0" t="n">
        <v>5192.940696</v>
      </c>
      <c r="I675" s="0" t="n">
        <v>2026</v>
      </c>
      <c r="J675" s="0" t="n">
        <v>1.16</v>
      </c>
      <c r="K675" s="0" t="n">
        <v>24.36</v>
      </c>
      <c r="M675" s="0" t="n">
        <v>2028</v>
      </c>
      <c r="N675" s="0" t="n">
        <v>10.26</v>
      </c>
      <c r="O675" s="0" t="n">
        <v>208.62</v>
      </c>
      <c r="Q675" s="0" t="n">
        <v>2029</v>
      </c>
      <c r="R675" s="0" t="n">
        <v>190</v>
      </c>
      <c r="T675" s="0" t="n">
        <v>2035</v>
      </c>
      <c r="U675" s="0" t="n">
        <v>330640</v>
      </c>
      <c r="W675" s="0" t="n">
        <v>2028</v>
      </c>
      <c r="X675" s="0" t="n">
        <v>67192.5</v>
      </c>
    </row>
    <row r="676" customFormat="false" ht="15" hidden="false" customHeight="false" outlineLevel="0" collapsed="false">
      <c r="A676" s="0" t="n">
        <v>2028</v>
      </c>
      <c r="B676" s="0" t="n">
        <v>195.563679</v>
      </c>
      <c r="C676" s="0" t="n">
        <v>4106.837259</v>
      </c>
      <c r="E676" s="0" t="n">
        <v>2028</v>
      </c>
      <c r="F676" s="0" t="n">
        <v>66.516482</v>
      </c>
      <c r="G676" s="0" t="n">
        <v>1394.362104</v>
      </c>
      <c r="I676" s="0" t="n">
        <v>2026</v>
      </c>
      <c r="J676" s="0" t="n">
        <v>2.03</v>
      </c>
      <c r="K676" s="0" t="n">
        <v>42.63</v>
      </c>
      <c r="M676" s="0" t="n">
        <v>2028</v>
      </c>
      <c r="N676" s="0" t="n">
        <v>6.75</v>
      </c>
      <c r="O676" s="0" t="n">
        <v>137.25</v>
      </c>
      <c r="Q676" s="0" t="n">
        <v>2029</v>
      </c>
      <c r="R676" s="0" t="n">
        <v>42</v>
      </c>
      <c r="T676" s="0" t="n">
        <v>2035</v>
      </c>
      <c r="U676" s="0" t="n">
        <v>10225</v>
      </c>
      <c r="W676" s="0" t="n">
        <v>2028</v>
      </c>
      <c r="X676" s="0" t="n">
        <v>16798.125</v>
      </c>
    </row>
    <row r="677" customFormat="false" ht="15" hidden="false" customHeight="false" outlineLevel="0" collapsed="false">
      <c r="A677" s="0" t="n">
        <v>2028</v>
      </c>
      <c r="B677" s="0" t="n">
        <v>49.32694274</v>
      </c>
      <c r="C677" s="0" t="n">
        <v>1035.865798</v>
      </c>
      <c r="E677" s="0" t="n">
        <v>2028</v>
      </c>
      <c r="F677" s="0" t="n">
        <v>26.624234</v>
      </c>
      <c r="G677" s="0" t="n">
        <v>558.114648</v>
      </c>
      <c r="I677" s="0" t="n">
        <v>2026</v>
      </c>
      <c r="J677" s="0" t="n">
        <v>0.58</v>
      </c>
      <c r="K677" s="0" t="n">
        <v>12.18</v>
      </c>
      <c r="M677" s="0" t="n">
        <v>2028</v>
      </c>
      <c r="N677" s="0" t="n">
        <v>2.7</v>
      </c>
      <c r="O677" s="0" t="n">
        <v>54.9</v>
      </c>
      <c r="Q677" s="0" t="n">
        <v>2029</v>
      </c>
      <c r="R677" s="0" t="n">
        <v>40</v>
      </c>
      <c r="T677" s="0" t="n">
        <v>2035</v>
      </c>
      <c r="U677" s="0" t="n">
        <v>97457</v>
      </c>
      <c r="W677" s="0" t="n">
        <v>2028</v>
      </c>
      <c r="X677" s="0" t="n">
        <v>5202</v>
      </c>
    </row>
    <row r="678" customFormat="false" ht="15" hidden="false" customHeight="false" outlineLevel="0" collapsed="false">
      <c r="A678" s="0" t="n">
        <v>2028</v>
      </c>
      <c r="B678" s="0" t="n">
        <v>43.98757552</v>
      </c>
      <c r="C678" s="0" t="n">
        <v>923.7390859</v>
      </c>
      <c r="E678" s="0" t="n">
        <v>2028</v>
      </c>
      <c r="F678" s="0" t="n">
        <v>3.739838</v>
      </c>
      <c r="G678" s="0" t="n">
        <v>78.396936</v>
      </c>
      <c r="I678" s="0" t="n">
        <v>2026</v>
      </c>
      <c r="J678" s="0" t="n">
        <v>2.03</v>
      </c>
      <c r="K678" s="0" t="n">
        <v>42.63</v>
      </c>
      <c r="M678" s="0" t="n">
        <v>2028</v>
      </c>
      <c r="N678" s="0" t="n">
        <v>2.7</v>
      </c>
      <c r="O678" s="0" t="n">
        <v>54.9</v>
      </c>
      <c r="Q678" s="0" t="n">
        <v>2029</v>
      </c>
      <c r="R678" s="0" t="n">
        <v>40</v>
      </c>
      <c r="T678" s="0" t="n">
        <v>2035</v>
      </c>
      <c r="U678" s="0" t="n">
        <v>3015</v>
      </c>
      <c r="W678" s="0" t="n">
        <v>2028</v>
      </c>
      <c r="X678" s="0" t="n">
        <v>9211.875</v>
      </c>
    </row>
    <row r="679" customFormat="false" ht="15" hidden="false" customHeight="false" outlineLevel="0" collapsed="false">
      <c r="A679" s="0" t="n">
        <v>2028</v>
      </c>
      <c r="B679" s="0" t="n">
        <v>30.59075188</v>
      </c>
      <c r="C679" s="0" t="n">
        <v>642.4057894</v>
      </c>
      <c r="E679" s="0" t="n">
        <v>2028</v>
      </c>
      <c r="F679" s="0" t="n">
        <v>89.400878</v>
      </c>
      <c r="G679" s="0" t="n">
        <v>1874.079816</v>
      </c>
      <c r="I679" s="0" t="n">
        <v>2026</v>
      </c>
      <c r="J679" s="0" t="n">
        <v>87.36</v>
      </c>
      <c r="K679" s="0" t="n">
        <v>1832.16</v>
      </c>
      <c r="M679" s="0" t="n">
        <v>2028</v>
      </c>
      <c r="N679" s="0" t="n">
        <v>1.62</v>
      </c>
      <c r="O679" s="0" t="n">
        <v>32.94</v>
      </c>
      <c r="Q679" s="0" t="n">
        <v>2029</v>
      </c>
      <c r="R679" s="0" t="n">
        <v>1822</v>
      </c>
      <c r="T679" s="0" t="n">
        <v>2035</v>
      </c>
      <c r="U679" s="0" t="n">
        <v>302979</v>
      </c>
      <c r="W679" s="0" t="n">
        <v>2028</v>
      </c>
      <c r="X679" s="0" t="n">
        <v>4118.25</v>
      </c>
    </row>
    <row r="680" customFormat="false" ht="15" hidden="false" customHeight="false" outlineLevel="0" collapsed="false">
      <c r="A680" s="0" t="n">
        <v>2028</v>
      </c>
      <c r="B680" s="0" t="n">
        <v>22.75442395</v>
      </c>
      <c r="C680" s="0" t="n">
        <v>477.842903</v>
      </c>
      <c r="E680" s="0" t="n">
        <v>2028</v>
      </c>
      <c r="F680" s="0" t="n">
        <v>4.185206</v>
      </c>
      <c r="G680" s="0" t="n">
        <v>87.733032</v>
      </c>
      <c r="I680" s="0" t="n">
        <v>2026</v>
      </c>
      <c r="J680" s="0" t="n">
        <v>29.12</v>
      </c>
      <c r="K680" s="0" t="n">
        <v>610.72</v>
      </c>
      <c r="M680" s="0" t="n">
        <v>2028</v>
      </c>
      <c r="N680" s="0" t="n">
        <v>1.35</v>
      </c>
      <c r="O680" s="0" t="n">
        <v>27.45</v>
      </c>
      <c r="Q680" s="0" t="n">
        <v>2029</v>
      </c>
      <c r="R680" s="0" t="n">
        <v>1731</v>
      </c>
      <c r="T680" s="0" t="n">
        <v>2035</v>
      </c>
      <c r="U680" s="0" t="n">
        <v>9371</v>
      </c>
      <c r="W680" s="0" t="n">
        <v>2028</v>
      </c>
      <c r="X680" s="0" t="n">
        <v>1625.625</v>
      </c>
    </row>
    <row r="681" customFormat="false" ht="15" hidden="false" customHeight="false" outlineLevel="0" collapsed="false">
      <c r="A681" s="0" t="n">
        <v>2028</v>
      </c>
      <c r="B681" s="0" t="n">
        <v>10.11307731</v>
      </c>
      <c r="C681" s="0" t="n">
        <v>212.3746236</v>
      </c>
      <c r="E681" s="0" t="n">
        <v>2028</v>
      </c>
      <c r="F681" s="0" t="n">
        <v>22.884396</v>
      </c>
      <c r="G681" s="0" t="n">
        <v>479.717712</v>
      </c>
      <c r="I681" s="0" t="n">
        <v>2026</v>
      </c>
      <c r="J681" s="0" t="n">
        <v>12.74</v>
      </c>
      <c r="K681" s="0" t="n">
        <v>267.19</v>
      </c>
      <c r="M681" s="0" t="n">
        <v>2028</v>
      </c>
      <c r="N681" s="0" t="n">
        <v>1.08</v>
      </c>
      <c r="O681" s="0" t="n">
        <v>21.96</v>
      </c>
      <c r="Q681" s="0" t="n">
        <v>2029</v>
      </c>
      <c r="R681" s="0" t="n">
        <v>820</v>
      </c>
      <c r="T681" s="0" t="n">
        <v>2035</v>
      </c>
      <c r="U681" s="0" t="n">
        <v>396575</v>
      </c>
      <c r="W681" s="0" t="n">
        <v>2028</v>
      </c>
      <c r="X681" s="0" t="n">
        <v>2384.25</v>
      </c>
    </row>
    <row r="682" customFormat="false" ht="15" hidden="false" customHeight="false" outlineLevel="0" collapsed="false">
      <c r="A682" s="0" t="n">
        <v>2028</v>
      </c>
      <c r="B682" s="0" t="n">
        <v>37.3534529</v>
      </c>
      <c r="C682" s="0" t="n">
        <v>784.422511</v>
      </c>
      <c r="E682" s="0" t="n">
        <v>2028</v>
      </c>
      <c r="F682" s="0" t="n">
        <v>20.925548</v>
      </c>
      <c r="G682" s="0" t="n">
        <v>438.655056</v>
      </c>
      <c r="I682" s="0" t="n">
        <v>2026</v>
      </c>
      <c r="J682" s="0" t="n">
        <v>7.28</v>
      </c>
      <c r="K682" s="0" t="n">
        <v>152.68</v>
      </c>
      <c r="M682" s="0" t="n">
        <v>2028</v>
      </c>
      <c r="N682" s="0" t="n">
        <v>0.54</v>
      </c>
      <c r="O682" s="0" t="n">
        <v>10.98</v>
      </c>
      <c r="Q682" s="0" t="n">
        <v>2029</v>
      </c>
      <c r="R682" s="0" t="n">
        <v>182</v>
      </c>
      <c r="T682" s="0" t="n">
        <v>2035</v>
      </c>
      <c r="U682" s="0" t="n">
        <v>12264</v>
      </c>
      <c r="W682" s="0" t="n">
        <v>2028</v>
      </c>
      <c r="X682" s="0" t="n">
        <v>1842.375</v>
      </c>
    </row>
    <row r="683" customFormat="false" ht="15" hidden="false" customHeight="false" outlineLevel="0" collapsed="false">
      <c r="A683" s="0" t="n">
        <v>2028</v>
      </c>
      <c r="B683" s="0" t="n">
        <v>11.69293514</v>
      </c>
      <c r="C683" s="0" t="n">
        <v>245.5516378</v>
      </c>
      <c r="E683" s="0" t="n">
        <v>2028</v>
      </c>
      <c r="F683" s="0" t="n">
        <v>162.921833</v>
      </c>
      <c r="G683" s="0" t="n">
        <v>3419.302697</v>
      </c>
      <c r="I683" s="0" t="n">
        <v>2026</v>
      </c>
      <c r="J683" s="0" t="n">
        <v>7.28</v>
      </c>
      <c r="K683" s="0" t="n">
        <v>152.68</v>
      </c>
      <c r="M683" s="0" t="n">
        <v>2028</v>
      </c>
      <c r="N683" s="0" t="n">
        <v>34.58</v>
      </c>
      <c r="O683" s="0" t="n">
        <v>725.8</v>
      </c>
      <c r="Q683" s="0" t="n">
        <v>2029</v>
      </c>
      <c r="R683" s="0" t="n">
        <v>174</v>
      </c>
      <c r="T683" s="0" t="n">
        <v>2035</v>
      </c>
      <c r="U683" s="0" t="n">
        <v>347046</v>
      </c>
      <c r="W683" s="0" t="n">
        <v>2028</v>
      </c>
      <c r="X683" s="0" t="n">
        <v>115579.78</v>
      </c>
    </row>
    <row r="684" customFormat="false" ht="15" hidden="false" customHeight="false" outlineLevel="0" collapsed="false">
      <c r="A684" s="0" t="n">
        <v>2028</v>
      </c>
      <c r="B684" s="0" t="n">
        <v>26.1446884</v>
      </c>
      <c r="C684" s="0" t="n">
        <v>549.0384563</v>
      </c>
      <c r="E684" s="0" t="n">
        <v>2028</v>
      </c>
      <c r="F684" s="0" t="n">
        <v>43.746317</v>
      </c>
      <c r="G684" s="0" t="n">
        <v>918.120653</v>
      </c>
      <c r="I684" s="0" t="n">
        <v>2026</v>
      </c>
      <c r="J684" s="0" t="n">
        <v>3.64</v>
      </c>
      <c r="K684" s="0" t="n">
        <v>76.34</v>
      </c>
      <c r="M684" s="0" t="n">
        <v>2028</v>
      </c>
      <c r="N684" s="0" t="n">
        <v>22.75</v>
      </c>
      <c r="O684" s="0" t="n">
        <v>477.5</v>
      </c>
      <c r="Q684" s="0" t="n">
        <v>2029</v>
      </c>
      <c r="R684" s="0" t="n">
        <v>174</v>
      </c>
      <c r="T684" s="0" t="n">
        <v>2035</v>
      </c>
      <c r="U684" s="0" t="n">
        <v>10732</v>
      </c>
      <c r="W684" s="0" t="n">
        <v>2028</v>
      </c>
      <c r="X684" s="0" t="n">
        <v>28894.945</v>
      </c>
    </row>
    <row r="685" customFormat="false" ht="15" hidden="false" customHeight="false" outlineLevel="0" collapsed="false">
      <c r="A685" s="0" t="n">
        <v>2028</v>
      </c>
      <c r="B685" s="0" t="n">
        <v>159.2161274</v>
      </c>
      <c r="C685" s="0" t="n">
        <v>3343.538676</v>
      </c>
      <c r="E685" s="0" t="n">
        <v>2028</v>
      </c>
      <c r="F685" s="0" t="n">
        <v>17.510129</v>
      </c>
      <c r="G685" s="0" t="n">
        <v>367.491761</v>
      </c>
      <c r="I685" s="0" t="n">
        <v>2026</v>
      </c>
      <c r="J685" s="0" t="n">
        <v>3.64</v>
      </c>
      <c r="K685" s="0" t="n">
        <v>76.34</v>
      </c>
      <c r="M685" s="0" t="n">
        <v>2028</v>
      </c>
      <c r="N685" s="0" t="n">
        <v>9.1</v>
      </c>
      <c r="O685" s="0" t="n">
        <v>191</v>
      </c>
      <c r="Q685" s="0" t="n">
        <v>2029</v>
      </c>
      <c r="R685" s="0" t="n">
        <v>1158</v>
      </c>
      <c r="T685" s="0" t="n">
        <v>2035</v>
      </c>
      <c r="U685" s="0" t="n">
        <v>536164</v>
      </c>
      <c r="W685" s="0" t="n">
        <v>2028</v>
      </c>
      <c r="X685" s="0" t="n">
        <v>8948.112</v>
      </c>
    </row>
    <row r="686" customFormat="false" ht="15" hidden="false" customHeight="false" outlineLevel="0" collapsed="false">
      <c r="A686" s="0" t="n">
        <v>2028</v>
      </c>
      <c r="B686" s="0" t="n">
        <v>40.15901542</v>
      </c>
      <c r="C686" s="0" t="n">
        <v>843.3393239</v>
      </c>
      <c r="E686" s="0" t="n">
        <v>2028</v>
      </c>
      <c r="F686" s="0" t="n">
        <v>2.459603</v>
      </c>
      <c r="G686" s="0" t="n">
        <v>51.620627</v>
      </c>
      <c r="I686" s="0" t="n">
        <v>2026</v>
      </c>
      <c r="J686" s="0" t="n">
        <v>7.28</v>
      </c>
      <c r="K686" s="0" t="n">
        <v>152.68</v>
      </c>
      <c r="M686" s="0" t="n">
        <v>2028</v>
      </c>
      <c r="N686" s="0" t="n">
        <v>9.1</v>
      </c>
      <c r="O686" s="0" t="n">
        <v>191</v>
      </c>
      <c r="Q686" s="0" t="n">
        <v>2029</v>
      </c>
      <c r="R686" s="0" t="n">
        <v>1100</v>
      </c>
      <c r="T686" s="0" t="n">
        <v>2035</v>
      </c>
      <c r="U686" s="0" t="n">
        <v>16250</v>
      </c>
      <c r="W686" s="0" t="n">
        <v>2028</v>
      </c>
      <c r="X686" s="0" t="n">
        <v>15845.615</v>
      </c>
    </row>
    <row r="687" customFormat="false" ht="15" hidden="false" customHeight="false" outlineLevel="0" collapsed="false">
      <c r="A687" s="0" t="n">
        <v>2028</v>
      </c>
      <c r="B687" s="0" t="n">
        <v>35.81202535</v>
      </c>
      <c r="C687" s="0" t="n">
        <v>752.0525323</v>
      </c>
      <c r="E687" s="0" t="n">
        <v>2028</v>
      </c>
      <c r="F687" s="0" t="n">
        <v>58.796843</v>
      </c>
      <c r="G687" s="0" t="n">
        <v>1233.991787</v>
      </c>
      <c r="I687" s="0" t="n">
        <v>2026</v>
      </c>
      <c r="J687" s="0" t="n">
        <v>12.74</v>
      </c>
      <c r="K687" s="0" t="n">
        <v>267.19</v>
      </c>
      <c r="M687" s="0" t="n">
        <v>2028</v>
      </c>
      <c r="N687" s="0" t="n">
        <v>5.46</v>
      </c>
      <c r="O687" s="0" t="n">
        <v>114.6</v>
      </c>
      <c r="Q687" s="0" t="n">
        <v>2029</v>
      </c>
      <c r="R687" s="0" t="n">
        <v>521</v>
      </c>
      <c r="T687" s="0" t="n">
        <v>2035</v>
      </c>
      <c r="U687" s="0" t="n">
        <v>23083</v>
      </c>
      <c r="W687" s="0" t="n">
        <v>2028</v>
      </c>
      <c r="X687" s="0" t="n">
        <v>7083.922</v>
      </c>
    </row>
    <row r="688" customFormat="false" ht="15" hidden="false" customHeight="false" outlineLevel="0" collapsed="false">
      <c r="A688" s="0" t="n">
        <v>2028</v>
      </c>
      <c r="B688" s="0" t="n">
        <v>24.90514125</v>
      </c>
      <c r="C688" s="0" t="n">
        <v>523.0079662</v>
      </c>
      <c r="E688" s="0" t="n">
        <v>2028</v>
      </c>
      <c r="F688" s="0" t="n">
        <v>2.752511</v>
      </c>
      <c r="G688" s="0" t="n">
        <v>57.767999</v>
      </c>
      <c r="I688" s="0" t="n">
        <v>2026</v>
      </c>
      <c r="J688" s="0" t="n">
        <v>5.46</v>
      </c>
      <c r="K688" s="0" t="n">
        <v>114.51</v>
      </c>
      <c r="M688" s="0" t="n">
        <v>2028</v>
      </c>
      <c r="N688" s="0" t="n">
        <v>4.55</v>
      </c>
      <c r="O688" s="0" t="n">
        <v>95.5</v>
      </c>
      <c r="Q688" s="0" t="n">
        <v>2029</v>
      </c>
      <c r="R688" s="0" t="n">
        <v>116</v>
      </c>
      <c r="T688" s="0" t="n">
        <v>2035</v>
      </c>
      <c r="U688" s="0" t="n">
        <v>714</v>
      </c>
      <c r="W688" s="0" t="n">
        <v>2028</v>
      </c>
      <c r="X688" s="0" t="n">
        <v>2796.285</v>
      </c>
    </row>
    <row r="689" customFormat="false" ht="15" hidden="false" customHeight="false" outlineLevel="0" collapsed="false">
      <c r="A689" s="0" t="n">
        <v>2028</v>
      </c>
      <c r="B689" s="0" t="n">
        <v>18.52527669</v>
      </c>
      <c r="C689" s="0" t="n">
        <v>389.0308105</v>
      </c>
      <c r="E689" s="0" t="n">
        <v>2028</v>
      </c>
      <c r="F689" s="0" t="n">
        <v>15.050526</v>
      </c>
      <c r="G689" s="0" t="n">
        <v>315.871134</v>
      </c>
      <c r="I689" s="0" t="n">
        <v>2026</v>
      </c>
      <c r="J689" s="0" t="n">
        <v>5.46</v>
      </c>
      <c r="K689" s="0" t="n">
        <v>114.51</v>
      </c>
      <c r="M689" s="0" t="n">
        <v>2028</v>
      </c>
      <c r="N689" s="0" t="n">
        <v>3.64</v>
      </c>
      <c r="O689" s="0" t="n">
        <v>76.4</v>
      </c>
      <c r="Q689" s="0" t="n">
        <v>2029</v>
      </c>
      <c r="R689" s="0" t="n">
        <v>110</v>
      </c>
      <c r="T689" s="0" t="n">
        <v>2035</v>
      </c>
      <c r="U689" s="0" t="n">
        <v>373042</v>
      </c>
      <c r="W689" s="0" t="n">
        <v>2028</v>
      </c>
      <c r="X689" s="0" t="n">
        <v>4101.218</v>
      </c>
    </row>
    <row r="690" customFormat="false" ht="15" hidden="false" customHeight="false" outlineLevel="0" collapsed="false">
      <c r="A690" s="0" t="n">
        <v>2028</v>
      </c>
      <c r="B690" s="0" t="n">
        <v>8.233456306</v>
      </c>
      <c r="C690" s="0" t="n">
        <v>172.9025824</v>
      </c>
      <c r="E690" s="0" t="n">
        <v>2028</v>
      </c>
      <c r="F690" s="0" t="n">
        <v>13.762238</v>
      </c>
      <c r="G690" s="0" t="n">
        <v>288.833342</v>
      </c>
      <c r="I690" s="0" t="n">
        <v>2026</v>
      </c>
      <c r="J690" s="0" t="n">
        <v>9.88</v>
      </c>
      <c r="K690" s="0" t="n">
        <v>206.96</v>
      </c>
      <c r="M690" s="0" t="n">
        <v>2028</v>
      </c>
      <c r="N690" s="0" t="n">
        <v>1.82</v>
      </c>
      <c r="O690" s="0" t="n">
        <v>38.2</v>
      </c>
      <c r="Q690" s="0" t="n">
        <v>2029</v>
      </c>
      <c r="R690" s="0" t="n">
        <v>110</v>
      </c>
      <c r="T690" s="0" t="n">
        <v>2035</v>
      </c>
      <c r="U690" s="0" t="n">
        <v>11539</v>
      </c>
      <c r="W690" s="0" t="n">
        <v>2028</v>
      </c>
      <c r="X690" s="0" t="n">
        <v>3169.123</v>
      </c>
    </row>
    <row r="691" customFormat="false" ht="15" hidden="false" customHeight="false" outlineLevel="0" collapsed="false">
      <c r="A691" s="0" t="n">
        <v>2028</v>
      </c>
      <c r="B691" s="0" t="n">
        <v>30.41092369</v>
      </c>
      <c r="C691" s="0" t="n">
        <v>638.6293974</v>
      </c>
      <c r="E691" s="0" t="n">
        <v>2028</v>
      </c>
      <c r="F691" s="0" t="n">
        <v>228.707305</v>
      </c>
      <c r="G691" s="0" t="n">
        <v>4798.227864</v>
      </c>
      <c r="I691" s="0" t="n">
        <v>2026</v>
      </c>
      <c r="J691" s="0" t="n">
        <v>1.52</v>
      </c>
      <c r="K691" s="0" t="n">
        <v>31.84</v>
      </c>
      <c r="M691" s="0" t="n">
        <v>2028</v>
      </c>
      <c r="N691" s="0" t="n">
        <v>1480.48</v>
      </c>
      <c r="O691" s="0" t="n">
        <v>31088.56</v>
      </c>
      <c r="Q691" s="0" t="n">
        <v>2029</v>
      </c>
      <c r="R691" s="0" t="n">
        <v>332</v>
      </c>
      <c r="T691" s="0" t="n">
        <v>2035</v>
      </c>
      <c r="U691" s="0" t="n">
        <v>142064</v>
      </c>
      <c r="W691" s="0" t="n">
        <v>2028</v>
      </c>
      <c r="X691" s="0" t="n">
        <v>51580.9</v>
      </c>
    </row>
    <row r="692" customFormat="false" ht="15" hidden="false" customHeight="false" outlineLevel="0" collapsed="false">
      <c r="A692" s="0" t="n">
        <v>2028</v>
      </c>
      <c r="B692" s="0" t="n">
        <v>9.519681058</v>
      </c>
      <c r="C692" s="0" t="n">
        <v>199.9133022</v>
      </c>
      <c r="E692" s="0" t="n">
        <v>2028</v>
      </c>
      <c r="F692" s="0" t="n">
        <v>61.410445</v>
      </c>
      <c r="G692" s="0" t="n">
        <v>1288.377336</v>
      </c>
      <c r="I692" s="0" t="n">
        <v>2026</v>
      </c>
      <c r="J692" s="0" t="n">
        <v>1.14</v>
      </c>
      <c r="K692" s="0" t="n">
        <v>23.88</v>
      </c>
      <c r="M692" s="0" t="n">
        <v>2028</v>
      </c>
      <c r="N692" s="0" t="n">
        <v>974</v>
      </c>
      <c r="O692" s="0" t="n">
        <v>20453</v>
      </c>
      <c r="Q692" s="0" t="n">
        <v>2029</v>
      </c>
      <c r="R692" s="0" t="n">
        <v>315</v>
      </c>
      <c r="T692" s="0" t="n">
        <v>2035</v>
      </c>
      <c r="U692" s="0" t="n">
        <v>4393</v>
      </c>
      <c r="W692" s="0" t="n">
        <v>2028</v>
      </c>
      <c r="X692" s="0" t="n">
        <v>12895.225</v>
      </c>
    </row>
    <row r="693" customFormat="false" ht="15" hidden="false" customHeight="false" outlineLevel="0" collapsed="false">
      <c r="A693" s="0" t="n">
        <v>2028</v>
      </c>
      <c r="B693" s="0" t="n">
        <v>21.28542509</v>
      </c>
      <c r="C693" s="0" t="n">
        <v>446.9939269</v>
      </c>
      <c r="E693" s="0" t="n">
        <v>2028</v>
      </c>
      <c r="F693" s="0" t="n">
        <v>24.580465</v>
      </c>
      <c r="G693" s="0" t="n">
        <v>515.692632</v>
      </c>
      <c r="I693" s="0" t="n">
        <v>2026</v>
      </c>
      <c r="J693" s="0" t="n">
        <v>1.9</v>
      </c>
      <c r="K693" s="0" t="n">
        <v>39.8</v>
      </c>
      <c r="M693" s="0" t="n">
        <v>2028</v>
      </c>
      <c r="N693" s="0" t="n">
        <v>389.6</v>
      </c>
      <c r="O693" s="0" t="n">
        <v>8181.2</v>
      </c>
      <c r="Q693" s="0" t="n">
        <v>2029</v>
      </c>
      <c r="R693" s="0" t="n">
        <v>149</v>
      </c>
      <c r="T693" s="0" t="n">
        <v>2035</v>
      </c>
      <c r="U693" s="0" t="n">
        <v>221106</v>
      </c>
      <c r="W693" s="0" t="n">
        <v>2028</v>
      </c>
      <c r="X693" s="0" t="n">
        <v>3993.36</v>
      </c>
    </row>
    <row r="694" customFormat="false" ht="15" hidden="false" customHeight="false" outlineLevel="0" collapsed="false">
      <c r="A694" s="0" t="n">
        <v>2028</v>
      </c>
      <c r="B694" s="0" t="n">
        <v>290.7034594</v>
      </c>
      <c r="C694" s="0" t="n">
        <v>6104.772646</v>
      </c>
      <c r="E694" s="0" t="n">
        <v>2028</v>
      </c>
      <c r="F694" s="0" t="n">
        <v>3.452755</v>
      </c>
      <c r="G694" s="0" t="n">
        <v>72.438024</v>
      </c>
      <c r="I694" s="0" t="n">
        <v>2026</v>
      </c>
      <c r="J694" s="0" t="n">
        <v>0.38</v>
      </c>
      <c r="K694" s="0" t="n">
        <v>7.96</v>
      </c>
      <c r="M694" s="0" t="n">
        <v>2028</v>
      </c>
      <c r="N694" s="0" t="n">
        <v>389.6</v>
      </c>
      <c r="O694" s="0" t="n">
        <v>8181.2</v>
      </c>
      <c r="Q694" s="0" t="n">
        <v>2029</v>
      </c>
      <c r="R694" s="0" t="n">
        <v>33</v>
      </c>
      <c r="T694" s="0" t="n">
        <v>2035</v>
      </c>
      <c r="U694" s="0" t="n">
        <v>6841</v>
      </c>
      <c r="W694" s="0" t="n">
        <v>2028</v>
      </c>
      <c r="X694" s="0" t="n">
        <v>7071.575</v>
      </c>
    </row>
    <row r="695" customFormat="false" ht="15" hidden="false" customHeight="false" outlineLevel="0" collapsed="false">
      <c r="A695" s="0" t="n">
        <v>2028</v>
      </c>
      <c r="B695" s="0" t="n">
        <v>73.32400867</v>
      </c>
      <c r="C695" s="0" t="n">
        <v>1539.804182</v>
      </c>
      <c r="E695" s="0" t="n">
        <v>2028</v>
      </c>
      <c r="F695" s="0" t="n">
        <v>82.538155</v>
      </c>
      <c r="G695" s="0" t="n">
        <v>1731.631944</v>
      </c>
      <c r="I695" s="0" t="n">
        <v>2026</v>
      </c>
      <c r="J695" s="0" t="n">
        <v>0.38</v>
      </c>
      <c r="K695" s="0" t="n">
        <v>7.96</v>
      </c>
      <c r="M695" s="0" t="n">
        <v>2028</v>
      </c>
      <c r="N695" s="0" t="n">
        <v>233.76</v>
      </c>
      <c r="O695" s="0" t="n">
        <v>4908.72</v>
      </c>
      <c r="Q695" s="0" t="n">
        <v>2029</v>
      </c>
      <c r="R695" s="0" t="n">
        <v>31</v>
      </c>
      <c r="T695" s="0" t="n">
        <v>2035</v>
      </c>
      <c r="U695" s="0" t="n">
        <v>59720</v>
      </c>
      <c r="W695" s="0" t="n">
        <v>2028</v>
      </c>
      <c r="X695" s="0" t="n">
        <v>3161.41</v>
      </c>
    </row>
    <row r="696" customFormat="false" ht="15" hidden="false" customHeight="false" outlineLevel="0" collapsed="false">
      <c r="A696" s="0" t="n">
        <v>2028</v>
      </c>
      <c r="B696" s="0" t="n">
        <v>65.38709252</v>
      </c>
      <c r="C696" s="0" t="n">
        <v>1373.128943</v>
      </c>
      <c r="E696" s="0" t="n">
        <v>2028</v>
      </c>
      <c r="F696" s="0" t="n">
        <v>3.863935</v>
      </c>
      <c r="G696" s="0" t="n">
        <v>81.064488</v>
      </c>
      <c r="I696" s="0" t="n">
        <v>2026</v>
      </c>
      <c r="J696" s="0" t="n">
        <v>0</v>
      </c>
      <c r="K696" s="0" t="n">
        <v>0</v>
      </c>
      <c r="M696" s="0" t="n">
        <v>2028</v>
      </c>
      <c r="N696" s="0" t="n">
        <v>194.8</v>
      </c>
      <c r="O696" s="0" t="n">
        <v>4090.6</v>
      </c>
      <c r="Q696" s="0" t="n">
        <v>2029</v>
      </c>
      <c r="R696" s="0" t="n">
        <v>31</v>
      </c>
      <c r="T696" s="0" t="n">
        <v>2035</v>
      </c>
      <c r="U696" s="0" t="n">
        <v>1847</v>
      </c>
      <c r="W696" s="0" t="n">
        <v>2028</v>
      </c>
      <c r="X696" s="0" t="n">
        <v>1247.925</v>
      </c>
    </row>
    <row r="697" customFormat="false" ht="15" hidden="false" customHeight="false" outlineLevel="0" collapsed="false">
      <c r="A697" s="0" t="n">
        <v>2028</v>
      </c>
      <c r="B697" s="0" t="n">
        <v>45.47284772</v>
      </c>
      <c r="C697" s="0" t="n">
        <v>954.9298021</v>
      </c>
      <c r="E697" s="0" t="n">
        <v>2028</v>
      </c>
      <c r="F697" s="0" t="n">
        <v>21.12771</v>
      </c>
      <c r="G697" s="0" t="n">
        <v>443.254608</v>
      </c>
      <c r="I697" s="0" t="n">
        <v>2026</v>
      </c>
      <c r="J697" s="0" t="n">
        <v>0.76</v>
      </c>
      <c r="K697" s="0" t="n">
        <v>15.92</v>
      </c>
      <c r="M697" s="0" t="n">
        <v>2028</v>
      </c>
      <c r="N697" s="0" t="n">
        <v>155.84</v>
      </c>
      <c r="O697" s="0" t="n">
        <v>3272.48</v>
      </c>
      <c r="Q697" s="0" t="n">
        <v>2029</v>
      </c>
      <c r="R697" s="0" t="n">
        <v>458</v>
      </c>
      <c r="T697" s="0" t="n">
        <v>2035</v>
      </c>
      <c r="U697" s="0" t="n">
        <v>145033</v>
      </c>
      <c r="W697" s="0" t="n">
        <v>2028</v>
      </c>
      <c r="X697" s="0" t="n">
        <v>1830.29</v>
      </c>
    </row>
    <row r="698" customFormat="false" ht="15" hidden="false" customHeight="false" outlineLevel="0" collapsed="false">
      <c r="A698" s="0" t="n">
        <v>2028</v>
      </c>
      <c r="B698" s="0" t="n">
        <v>33.82422438</v>
      </c>
      <c r="C698" s="0" t="n">
        <v>710.3087119</v>
      </c>
      <c r="E698" s="0" t="n">
        <v>2028</v>
      </c>
      <c r="F698" s="0" t="n">
        <v>19.31923</v>
      </c>
      <c r="G698" s="0" t="n">
        <v>405.313104</v>
      </c>
      <c r="I698" s="0" t="n">
        <v>2026</v>
      </c>
      <c r="J698" s="0" t="n">
        <v>1.33</v>
      </c>
      <c r="K698" s="0" t="n">
        <v>27.86</v>
      </c>
      <c r="M698" s="0" t="n">
        <v>2028</v>
      </c>
      <c r="N698" s="0" t="n">
        <v>77.92</v>
      </c>
      <c r="O698" s="0" t="n">
        <v>1636.24</v>
      </c>
      <c r="Q698" s="0" t="n">
        <v>2029</v>
      </c>
      <c r="R698" s="0" t="n">
        <v>435</v>
      </c>
      <c r="T698" s="0" t="n">
        <v>2035</v>
      </c>
      <c r="U698" s="0" t="n">
        <v>4486</v>
      </c>
      <c r="W698" s="0" t="n">
        <v>2028</v>
      </c>
      <c r="X698" s="0" t="n">
        <v>1414.315</v>
      </c>
    </row>
    <row r="699" customFormat="false" ht="15" hidden="false" customHeight="false" outlineLevel="0" collapsed="false">
      <c r="A699" s="0" t="n">
        <v>2028</v>
      </c>
      <c r="B699" s="0" t="n">
        <v>15.03298861</v>
      </c>
      <c r="C699" s="0" t="n">
        <v>315.6927609</v>
      </c>
      <c r="E699" s="0" t="n">
        <v>2028</v>
      </c>
      <c r="F699" s="0" t="n">
        <v>181.423997</v>
      </c>
      <c r="G699" s="0" t="n">
        <v>3801.680753</v>
      </c>
      <c r="I699" s="0" t="n">
        <v>2026</v>
      </c>
      <c r="J699" s="0" t="n">
        <v>0.38</v>
      </c>
      <c r="K699" s="0" t="n">
        <v>7.96</v>
      </c>
      <c r="M699" s="0" t="n">
        <v>2028</v>
      </c>
      <c r="N699" s="0" t="n">
        <v>215.08</v>
      </c>
      <c r="O699" s="0" t="n">
        <v>4511.36</v>
      </c>
      <c r="Q699" s="0" t="n">
        <v>2029</v>
      </c>
      <c r="R699" s="0" t="n">
        <v>206</v>
      </c>
      <c r="T699" s="0" t="n">
        <v>2035</v>
      </c>
      <c r="U699" s="0" t="n">
        <v>170630</v>
      </c>
      <c r="W699" s="0" t="n">
        <v>2028</v>
      </c>
      <c r="X699" s="0" t="n">
        <v>179498.06</v>
      </c>
    </row>
    <row r="700" customFormat="false" ht="15" hidden="false" customHeight="false" outlineLevel="0" collapsed="false">
      <c r="A700" s="0" t="n">
        <v>2028</v>
      </c>
      <c r="B700" s="0" t="n">
        <v>55.52553538</v>
      </c>
      <c r="C700" s="0" t="n">
        <v>1166.036243</v>
      </c>
      <c r="E700" s="0" t="n">
        <v>2028</v>
      </c>
      <c r="F700" s="0" t="n">
        <v>48.714353</v>
      </c>
      <c r="G700" s="0" t="n">
        <v>1020.793397</v>
      </c>
      <c r="I700" s="0" t="n">
        <v>2026</v>
      </c>
      <c r="J700" s="0" t="n">
        <v>1.33</v>
      </c>
      <c r="K700" s="0" t="n">
        <v>27.86</v>
      </c>
      <c r="M700" s="0" t="n">
        <v>2028</v>
      </c>
      <c r="N700" s="0" t="n">
        <v>141.5</v>
      </c>
      <c r="O700" s="0" t="n">
        <v>2968</v>
      </c>
      <c r="Q700" s="0" t="n">
        <v>2029</v>
      </c>
      <c r="R700" s="0" t="n">
        <v>46</v>
      </c>
      <c r="T700" s="0" t="n">
        <v>2035</v>
      </c>
      <c r="U700" s="0" t="n">
        <v>5277</v>
      </c>
      <c r="W700" s="0" t="n">
        <v>2028</v>
      </c>
      <c r="X700" s="0" t="n">
        <v>44874.515</v>
      </c>
    </row>
    <row r="701" customFormat="false" ht="15" hidden="false" customHeight="false" outlineLevel="0" collapsed="false">
      <c r="A701" s="0" t="n">
        <v>2028</v>
      </c>
      <c r="B701" s="0" t="n">
        <v>17.38143152</v>
      </c>
      <c r="C701" s="0" t="n">
        <v>365.0100619</v>
      </c>
      <c r="E701" s="0" t="n">
        <v>2028</v>
      </c>
      <c r="F701" s="0" t="n">
        <v>19.498661</v>
      </c>
      <c r="G701" s="0" t="n">
        <v>408.588089</v>
      </c>
      <c r="I701" s="0" t="n">
        <v>2026</v>
      </c>
      <c r="J701" s="0" t="n">
        <v>33.6</v>
      </c>
      <c r="K701" s="0" t="n">
        <v>700.8</v>
      </c>
      <c r="M701" s="0" t="n">
        <v>2028</v>
      </c>
      <c r="N701" s="0" t="n">
        <v>56.6</v>
      </c>
      <c r="O701" s="0" t="n">
        <v>1187.2</v>
      </c>
      <c r="Q701" s="0" t="n">
        <v>2029</v>
      </c>
      <c r="R701" s="0" t="n">
        <v>44</v>
      </c>
      <c r="T701" s="0" t="n">
        <v>2035</v>
      </c>
      <c r="U701" s="0" t="n">
        <v>861671</v>
      </c>
      <c r="W701" s="0" t="n">
        <v>2028</v>
      </c>
      <c r="X701" s="0" t="n">
        <v>13896.624</v>
      </c>
    </row>
    <row r="702" customFormat="false" ht="15" hidden="false" customHeight="false" outlineLevel="0" collapsed="false">
      <c r="A702" s="0" t="n">
        <v>2028</v>
      </c>
      <c r="B702" s="0" t="n">
        <v>38.86381868</v>
      </c>
      <c r="C702" s="0" t="n">
        <v>816.1401922</v>
      </c>
      <c r="E702" s="0" t="n">
        <v>2028</v>
      </c>
      <c r="F702" s="0" t="n">
        <v>2.738927</v>
      </c>
      <c r="G702" s="0" t="n">
        <v>57.393323</v>
      </c>
      <c r="I702" s="0" t="n">
        <v>2026</v>
      </c>
      <c r="J702" s="0" t="n">
        <v>11.2</v>
      </c>
      <c r="K702" s="0" t="n">
        <v>233.6</v>
      </c>
      <c r="M702" s="0" t="n">
        <v>2028</v>
      </c>
      <c r="N702" s="0" t="n">
        <v>56.6</v>
      </c>
      <c r="O702" s="0" t="n">
        <v>1187.2</v>
      </c>
      <c r="Q702" s="0" t="n">
        <v>2029</v>
      </c>
      <c r="R702" s="0" t="n">
        <v>44</v>
      </c>
      <c r="T702" s="0" t="n">
        <v>2035</v>
      </c>
      <c r="U702" s="0" t="n">
        <v>26649</v>
      </c>
      <c r="W702" s="0" t="n">
        <v>2028</v>
      </c>
      <c r="X702" s="0" t="n">
        <v>24608.605</v>
      </c>
    </row>
    <row r="703" customFormat="false" ht="15" hidden="false" customHeight="false" outlineLevel="0" collapsed="false">
      <c r="A703" s="0" t="n">
        <v>2028</v>
      </c>
      <c r="B703" s="0" t="n">
        <v>139.5674157</v>
      </c>
      <c r="C703" s="0" t="n">
        <v>2930.91573</v>
      </c>
      <c r="E703" s="0" t="n">
        <v>2028</v>
      </c>
      <c r="F703" s="0" t="n">
        <v>65.474087</v>
      </c>
      <c r="G703" s="0" t="n">
        <v>1371.988163</v>
      </c>
      <c r="I703" s="0" t="n">
        <v>2026</v>
      </c>
      <c r="J703" s="0" t="n">
        <v>4.9</v>
      </c>
      <c r="K703" s="0" t="n">
        <v>102.2</v>
      </c>
      <c r="M703" s="0" t="n">
        <v>2028</v>
      </c>
      <c r="N703" s="0" t="n">
        <v>33.96</v>
      </c>
      <c r="O703" s="0" t="n">
        <v>712.32</v>
      </c>
      <c r="Q703" s="0" t="n">
        <v>2029</v>
      </c>
      <c r="R703" s="0" t="n">
        <v>253</v>
      </c>
      <c r="T703" s="0" t="n">
        <v>2035</v>
      </c>
      <c r="U703" s="0" t="n">
        <v>170630</v>
      </c>
      <c r="W703" s="0" t="n">
        <v>2028</v>
      </c>
      <c r="X703" s="0" t="n">
        <v>11001.494</v>
      </c>
    </row>
    <row r="704" customFormat="false" ht="15" hidden="false" customHeight="false" outlineLevel="0" collapsed="false">
      <c r="A704" s="0" t="n">
        <v>2028</v>
      </c>
      <c r="B704" s="0" t="n">
        <v>35.20302931</v>
      </c>
      <c r="C704" s="0" t="n">
        <v>739.2636155</v>
      </c>
      <c r="E704" s="0" t="n">
        <v>2028</v>
      </c>
      <c r="F704" s="0" t="n">
        <v>3.065099</v>
      </c>
      <c r="G704" s="0" t="n">
        <v>64.228151</v>
      </c>
      <c r="I704" s="0" t="n">
        <v>2026</v>
      </c>
      <c r="J704" s="0" t="n">
        <v>2.8</v>
      </c>
      <c r="K704" s="0" t="n">
        <v>58.4</v>
      </c>
      <c r="M704" s="0" t="n">
        <v>2028</v>
      </c>
      <c r="N704" s="0" t="n">
        <v>28.3</v>
      </c>
      <c r="O704" s="0" t="n">
        <v>593.6</v>
      </c>
      <c r="Q704" s="0" t="n">
        <v>2029</v>
      </c>
      <c r="R704" s="0" t="n">
        <v>240</v>
      </c>
      <c r="T704" s="0" t="n">
        <v>2035</v>
      </c>
      <c r="U704" s="0" t="n">
        <v>5277</v>
      </c>
      <c r="W704" s="0" t="n">
        <v>2028</v>
      </c>
      <c r="X704" s="0" t="n">
        <v>4342.695</v>
      </c>
    </row>
    <row r="705" customFormat="false" ht="15" hidden="false" customHeight="false" outlineLevel="0" collapsed="false">
      <c r="A705" s="0" t="n">
        <v>2028</v>
      </c>
      <c r="B705" s="0" t="n">
        <v>31.39249717</v>
      </c>
      <c r="C705" s="0" t="n">
        <v>659.2424405</v>
      </c>
      <c r="E705" s="0" t="n">
        <v>2028</v>
      </c>
      <c r="F705" s="0" t="n">
        <v>16.759734</v>
      </c>
      <c r="G705" s="0" t="n">
        <v>351.194766</v>
      </c>
      <c r="I705" s="0" t="n">
        <v>2026</v>
      </c>
      <c r="J705" s="0" t="n">
        <v>2.8</v>
      </c>
      <c r="K705" s="0" t="n">
        <v>58.4</v>
      </c>
      <c r="M705" s="0" t="n">
        <v>2028</v>
      </c>
      <c r="N705" s="0" t="n">
        <v>22.64</v>
      </c>
      <c r="O705" s="0" t="n">
        <v>474.88</v>
      </c>
      <c r="Q705" s="0" t="n">
        <v>2029</v>
      </c>
      <c r="R705" s="0" t="n">
        <v>114</v>
      </c>
      <c r="T705" s="0" t="n">
        <v>2035</v>
      </c>
      <c r="U705" s="0" t="n">
        <v>290067</v>
      </c>
      <c r="W705" s="0" t="n">
        <v>2028</v>
      </c>
      <c r="X705" s="0" t="n">
        <v>6369.286</v>
      </c>
    </row>
    <row r="706" customFormat="false" ht="15" hidden="false" customHeight="false" outlineLevel="0" collapsed="false">
      <c r="A706" s="0" t="n">
        <v>2028</v>
      </c>
      <c r="B706" s="0" t="n">
        <v>21.83162132</v>
      </c>
      <c r="C706" s="0" t="n">
        <v>458.4640477</v>
      </c>
      <c r="E706" s="0" t="n">
        <v>2028</v>
      </c>
      <c r="F706" s="0" t="n">
        <v>15.325142</v>
      </c>
      <c r="G706" s="0" t="n">
        <v>321.133358</v>
      </c>
      <c r="I706" s="0" t="n">
        <v>2026</v>
      </c>
      <c r="J706" s="0" t="n">
        <v>1.4</v>
      </c>
      <c r="K706" s="0" t="n">
        <v>29.2</v>
      </c>
      <c r="M706" s="0" t="n">
        <v>2028</v>
      </c>
      <c r="N706" s="0" t="n">
        <v>11.32</v>
      </c>
      <c r="O706" s="0" t="n">
        <v>237.44</v>
      </c>
      <c r="Q706" s="0" t="n">
        <v>2029</v>
      </c>
      <c r="R706" s="0" t="n">
        <v>25</v>
      </c>
      <c r="T706" s="0" t="n">
        <v>2035</v>
      </c>
      <c r="U706" s="0" t="n">
        <v>8972</v>
      </c>
      <c r="W706" s="0" t="n">
        <v>2028</v>
      </c>
      <c r="X706" s="0" t="n">
        <v>4921.721</v>
      </c>
    </row>
    <row r="707" customFormat="false" ht="15" hidden="false" customHeight="false" outlineLevel="0" collapsed="false">
      <c r="A707" s="0" t="n">
        <v>2028</v>
      </c>
      <c r="B707" s="0" t="n">
        <v>16.23908981</v>
      </c>
      <c r="C707" s="0" t="n">
        <v>341.020886</v>
      </c>
      <c r="E707" s="0" t="n">
        <v>2028</v>
      </c>
      <c r="F707" s="0" t="n">
        <v>265.197684</v>
      </c>
      <c r="G707" s="0" t="n">
        <v>5567.095568</v>
      </c>
      <c r="I707" s="0" t="n">
        <v>2026</v>
      </c>
      <c r="J707" s="0" t="n">
        <v>1.4</v>
      </c>
      <c r="K707" s="0" t="n">
        <v>29.2</v>
      </c>
      <c r="M707" s="0" t="n">
        <v>2028</v>
      </c>
      <c r="N707" s="0" t="n">
        <v>259.54</v>
      </c>
      <c r="O707" s="0" t="n">
        <v>5445.4</v>
      </c>
      <c r="Q707" s="0" t="n">
        <v>2029</v>
      </c>
      <c r="R707" s="0" t="n">
        <v>24</v>
      </c>
      <c r="T707" s="0" t="n">
        <v>2035</v>
      </c>
      <c r="U707" s="0" t="n">
        <v>59720</v>
      </c>
      <c r="W707" s="0" t="n">
        <v>2028</v>
      </c>
      <c r="X707" s="0" t="n">
        <v>5088.34</v>
      </c>
    </row>
    <row r="708" customFormat="false" ht="15" hidden="false" customHeight="false" outlineLevel="0" collapsed="false">
      <c r="A708" s="0" t="n">
        <v>2028</v>
      </c>
      <c r="B708" s="0" t="n">
        <v>7.21737325</v>
      </c>
      <c r="C708" s="0" t="n">
        <v>151.5648382</v>
      </c>
      <c r="E708" s="0" t="n">
        <v>2028</v>
      </c>
      <c r="F708" s="0" t="n">
        <v>71.208516</v>
      </c>
      <c r="G708" s="0" t="n">
        <v>1494.826832</v>
      </c>
      <c r="I708" s="0" t="n">
        <v>2026</v>
      </c>
      <c r="J708" s="0" t="n">
        <v>2.8</v>
      </c>
      <c r="K708" s="0" t="n">
        <v>58.4</v>
      </c>
      <c r="M708" s="0" t="n">
        <v>2028</v>
      </c>
      <c r="N708" s="0" t="n">
        <v>170.75</v>
      </c>
      <c r="O708" s="0" t="n">
        <v>3582.5</v>
      </c>
      <c r="Q708" s="0" t="n">
        <v>2029</v>
      </c>
      <c r="R708" s="0" t="n">
        <v>24</v>
      </c>
      <c r="T708" s="0" t="n">
        <v>2035</v>
      </c>
      <c r="U708" s="0" t="n">
        <v>1847</v>
      </c>
      <c r="W708" s="0" t="n">
        <v>2028</v>
      </c>
      <c r="X708" s="0" t="n">
        <v>1272.085</v>
      </c>
    </row>
    <row r="709" customFormat="false" ht="15" hidden="false" customHeight="false" outlineLevel="0" collapsed="false">
      <c r="A709" s="0" t="n">
        <v>2028</v>
      </c>
      <c r="B709" s="0" t="n">
        <v>26.65794035</v>
      </c>
      <c r="C709" s="0" t="n">
        <v>559.8167474</v>
      </c>
      <c r="E709" s="0" t="n">
        <v>2028</v>
      </c>
      <c r="F709" s="0" t="n">
        <v>28.502292</v>
      </c>
      <c r="G709" s="0" t="n">
        <v>598.327184</v>
      </c>
      <c r="I709" s="0" t="n">
        <v>2026</v>
      </c>
      <c r="J709" s="0" t="n">
        <v>4.9</v>
      </c>
      <c r="K709" s="0" t="n">
        <v>102.2</v>
      </c>
      <c r="M709" s="0" t="n">
        <v>2028</v>
      </c>
      <c r="N709" s="0" t="n">
        <v>68.3</v>
      </c>
      <c r="O709" s="0" t="n">
        <v>1433</v>
      </c>
      <c r="Q709" s="0" t="n">
        <v>2029</v>
      </c>
      <c r="R709" s="0" t="n">
        <v>904</v>
      </c>
      <c r="T709" s="0" t="n">
        <v>2035</v>
      </c>
      <c r="U709" s="0" t="n">
        <v>102377</v>
      </c>
      <c r="W709" s="0" t="n">
        <v>2028</v>
      </c>
      <c r="X709" s="0" t="n">
        <v>393.936</v>
      </c>
    </row>
    <row r="710" customFormat="false" ht="15" hidden="false" customHeight="false" outlineLevel="0" collapsed="false">
      <c r="A710" s="0" t="n">
        <v>2028</v>
      </c>
      <c r="B710" s="0" t="n">
        <v>8.344866221</v>
      </c>
      <c r="C710" s="0" t="n">
        <v>175.2421907</v>
      </c>
      <c r="E710" s="0" t="n">
        <v>2028</v>
      </c>
      <c r="F710" s="0" t="n">
        <v>4.003644</v>
      </c>
      <c r="G710" s="0" t="n">
        <v>84.045488</v>
      </c>
      <c r="I710" s="0" t="n">
        <v>2026</v>
      </c>
      <c r="J710" s="0" t="n">
        <v>2.1</v>
      </c>
      <c r="K710" s="0" t="n">
        <v>43.8</v>
      </c>
      <c r="M710" s="0" t="n">
        <v>2028</v>
      </c>
      <c r="N710" s="0" t="n">
        <v>68.3</v>
      </c>
      <c r="O710" s="0" t="n">
        <v>1433</v>
      </c>
      <c r="Q710" s="0" t="n">
        <v>2029</v>
      </c>
      <c r="R710" s="0" t="n">
        <v>859</v>
      </c>
      <c r="T710" s="0" t="n">
        <v>2035</v>
      </c>
      <c r="U710" s="0" t="n">
        <v>3166</v>
      </c>
      <c r="W710" s="0" t="n">
        <v>2028</v>
      </c>
      <c r="X710" s="0" t="n">
        <v>697.595</v>
      </c>
    </row>
    <row r="711" customFormat="false" ht="15" hidden="false" customHeight="false" outlineLevel="0" collapsed="false">
      <c r="A711" s="0" t="n">
        <v>2028</v>
      </c>
      <c r="B711" s="0" t="n">
        <v>18.65861091</v>
      </c>
      <c r="C711" s="0" t="n">
        <v>391.8308291</v>
      </c>
      <c r="E711" s="0" t="n">
        <v>2028</v>
      </c>
      <c r="F711" s="0" t="n">
        <v>95.707164</v>
      </c>
      <c r="G711" s="0" t="n">
        <v>2009.108528</v>
      </c>
      <c r="I711" s="0" t="n">
        <v>2026</v>
      </c>
      <c r="J711" s="0" t="n">
        <v>2.1</v>
      </c>
      <c r="K711" s="0" t="n">
        <v>43.8</v>
      </c>
      <c r="M711" s="0" t="n">
        <v>2028</v>
      </c>
      <c r="N711" s="0" t="n">
        <v>40.98</v>
      </c>
      <c r="O711" s="0" t="n">
        <v>859.8</v>
      </c>
      <c r="Q711" s="0" t="n">
        <v>2029</v>
      </c>
      <c r="R711" s="0" t="n">
        <v>407</v>
      </c>
      <c r="T711" s="0" t="n">
        <v>2035</v>
      </c>
      <c r="U711" s="0" t="n">
        <v>102377</v>
      </c>
      <c r="W711" s="0" t="n">
        <v>2028</v>
      </c>
      <c r="X711" s="0" t="n">
        <v>311.866</v>
      </c>
    </row>
    <row r="712" customFormat="false" ht="15" hidden="false" customHeight="false" outlineLevel="0" collapsed="false">
      <c r="A712" s="0" t="n">
        <v>2028</v>
      </c>
      <c r="B712" s="0" t="n">
        <v>58.56136925</v>
      </c>
      <c r="C712" s="0" t="n">
        <v>1229.788754</v>
      </c>
      <c r="E712" s="0" t="n">
        <v>2028</v>
      </c>
      <c r="F712" s="0" t="n">
        <v>4.480428</v>
      </c>
      <c r="G712" s="0" t="n">
        <v>94.054256</v>
      </c>
      <c r="I712" s="0" t="n">
        <v>2026</v>
      </c>
      <c r="J712" s="0" t="n">
        <v>15.6</v>
      </c>
      <c r="K712" s="0" t="n">
        <v>330.2</v>
      </c>
      <c r="M712" s="0" t="n">
        <v>2028</v>
      </c>
      <c r="N712" s="0" t="n">
        <v>34.15</v>
      </c>
      <c r="O712" s="0" t="n">
        <v>716.5</v>
      </c>
      <c r="Q712" s="0" t="n">
        <v>2029</v>
      </c>
      <c r="R712" s="0" t="n">
        <v>90</v>
      </c>
      <c r="T712" s="0" t="n">
        <v>2035</v>
      </c>
      <c r="U712" s="0" t="n">
        <v>3166</v>
      </c>
      <c r="W712" s="0" t="n">
        <v>2028</v>
      </c>
      <c r="X712" s="0" t="n">
        <v>123.105</v>
      </c>
    </row>
    <row r="713" customFormat="false" ht="15" hidden="false" customHeight="false" outlineLevel="0" collapsed="false">
      <c r="A713" s="0" t="n">
        <v>2028</v>
      </c>
      <c r="B713" s="0" t="n">
        <v>14.77090901</v>
      </c>
      <c r="C713" s="0" t="n">
        <v>310.1890892</v>
      </c>
      <c r="E713" s="0" t="n">
        <v>2028</v>
      </c>
      <c r="F713" s="0" t="n">
        <v>24.498648</v>
      </c>
      <c r="G713" s="0" t="n">
        <v>514.281696</v>
      </c>
      <c r="I713" s="0" t="n">
        <v>2026</v>
      </c>
      <c r="J713" s="0" t="n">
        <v>2.4</v>
      </c>
      <c r="K713" s="0" t="n">
        <v>50.8</v>
      </c>
      <c r="M713" s="0" t="n">
        <v>2028</v>
      </c>
      <c r="N713" s="0" t="n">
        <v>27.32</v>
      </c>
      <c r="O713" s="0" t="n">
        <v>573.2</v>
      </c>
      <c r="Q713" s="0" t="n">
        <v>2029</v>
      </c>
      <c r="R713" s="0" t="n">
        <v>86</v>
      </c>
      <c r="T713" s="0" t="n">
        <v>2035</v>
      </c>
      <c r="U713" s="0" t="n">
        <v>51188</v>
      </c>
      <c r="W713" s="0" t="n">
        <v>2028</v>
      </c>
      <c r="X713" s="0" t="n">
        <v>180.554</v>
      </c>
    </row>
    <row r="714" customFormat="false" ht="15" hidden="false" customHeight="false" outlineLevel="0" collapsed="false">
      <c r="A714" s="0" t="n">
        <v>2028</v>
      </c>
      <c r="B714" s="0" t="n">
        <v>13.17204026</v>
      </c>
      <c r="C714" s="0" t="n">
        <v>276.6128454</v>
      </c>
      <c r="E714" s="0" t="n">
        <v>2028</v>
      </c>
      <c r="F714" s="0" t="n">
        <v>22.401624</v>
      </c>
      <c r="G714" s="0" t="n">
        <v>470.260448</v>
      </c>
      <c r="I714" s="0" t="n">
        <v>2026</v>
      </c>
      <c r="J714" s="0" t="n">
        <v>1.8</v>
      </c>
      <c r="K714" s="0" t="n">
        <v>38.1</v>
      </c>
      <c r="M714" s="0" t="n">
        <v>2028</v>
      </c>
      <c r="N714" s="0" t="n">
        <v>13.66</v>
      </c>
      <c r="O714" s="0" t="n">
        <v>286.6</v>
      </c>
      <c r="Q714" s="0" t="n">
        <v>2029</v>
      </c>
      <c r="R714" s="0" t="n">
        <v>86</v>
      </c>
      <c r="T714" s="0" t="n">
        <v>2035</v>
      </c>
      <c r="U714" s="0" t="n">
        <v>1582</v>
      </c>
      <c r="W714" s="0" t="n">
        <v>2028</v>
      </c>
      <c r="X714" s="0" t="n">
        <v>139.519</v>
      </c>
    </row>
    <row r="715" customFormat="false" ht="15" hidden="false" customHeight="false" outlineLevel="0" collapsed="false">
      <c r="A715" s="0" t="n">
        <v>2028</v>
      </c>
      <c r="B715" s="0" t="n">
        <v>9.160373365</v>
      </c>
      <c r="C715" s="0" t="n">
        <v>192.3678407</v>
      </c>
      <c r="E715" s="0" t="n">
        <v>2028</v>
      </c>
      <c r="F715" s="0" t="n">
        <v>744.198152</v>
      </c>
      <c r="G715" s="0" t="n">
        <v>15623.0217</v>
      </c>
      <c r="I715" s="0" t="n">
        <v>2026</v>
      </c>
      <c r="J715" s="0" t="n">
        <v>3</v>
      </c>
      <c r="K715" s="0" t="n">
        <v>63.5</v>
      </c>
      <c r="M715" s="0" t="n">
        <v>2028</v>
      </c>
      <c r="N715" s="0" t="n">
        <v>427.88</v>
      </c>
      <c r="O715" s="0" t="n">
        <v>8979.78</v>
      </c>
      <c r="Q715" s="0" t="n">
        <v>2029</v>
      </c>
      <c r="R715" s="0" t="n">
        <v>419</v>
      </c>
      <c r="T715" s="0" t="n">
        <v>2035</v>
      </c>
      <c r="U715" s="0" t="n">
        <v>426570</v>
      </c>
      <c r="W715" s="0" t="n">
        <v>2028</v>
      </c>
      <c r="X715" s="0" t="n">
        <v>7585.7</v>
      </c>
    </row>
    <row r="716" customFormat="false" ht="15" hidden="false" customHeight="false" outlineLevel="0" collapsed="false">
      <c r="A716" s="0" t="n">
        <v>2028</v>
      </c>
      <c r="B716" s="0" t="n">
        <v>6.813791957</v>
      </c>
      <c r="C716" s="0" t="n">
        <v>143.0896311</v>
      </c>
      <c r="E716" s="0" t="n">
        <v>2028</v>
      </c>
      <c r="F716" s="0" t="n">
        <v>199.825448</v>
      </c>
      <c r="G716" s="0" t="n">
        <v>4194.954398</v>
      </c>
      <c r="I716" s="0" t="n">
        <v>2026</v>
      </c>
      <c r="J716" s="0" t="n">
        <v>0.6</v>
      </c>
      <c r="K716" s="0" t="n">
        <v>12.7</v>
      </c>
      <c r="M716" s="0" t="n">
        <v>2028</v>
      </c>
      <c r="N716" s="0" t="n">
        <v>281.5</v>
      </c>
      <c r="O716" s="0" t="n">
        <v>5907.75</v>
      </c>
      <c r="Q716" s="0" t="n">
        <v>2029</v>
      </c>
      <c r="R716" s="0" t="n">
        <v>398</v>
      </c>
      <c r="T716" s="0" t="n">
        <v>2035</v>
      </c>
      <c r="U716" s="0" t="n">
        <v>13193</v>
      </c>
      <c r="W716" s="0" t="n">
        <v>2028</v>
      </c>
      <c r="X716" s="0" t="n">
        <v>1896.425</v>
      </c>
    </row>
    <row r="717" customFormat="false" ht="15" hidden="false" customHeight="false" outlineLevel="0" collapsed="false">
      <c r="A717" s="0" t="n">
        <v>2028</v>
      </c>
      <c r="B717" s="0" t="n">
        <v>3.028351981</v>
      </c>
      <c r="C717" s="0" t="n">
        <v>63.5953916</v>
      </c>
      <c r="E717" s="0" t="n">
        <v>2028</v>
      </c>
      <c r="F717" s="0" t="n">
        <v>79.983176</v>
      </c>
      <c r="G717" s="0" t="n">
        <v>1679.094326</v>
      </c>
      <c r="I717" s="0" t="n">
        <v>2026</v>
      </c>
      <c r="J717" s="0" t="n">
        <v>0.6</v>
      </c>
      <c r="K717" s="0" t="n">
        <v>12.7</v>
      </c>
      <c r="M717" s="0" t="n">
        <v>2028</v>
      </c>
      <c r="N717" s="0" t="n">
        <v>112.6</v>
      </c>
      <c r="O717" s="0" t="n">
        <v>2363.1</v>
      </c>
      <c r="Q717" s="0" t="n">
        <v>2029</v>
      </c>
      <c r="R717" s="0" t="n">
        <v>189</v>
      </c>
      <c r="T717" s="0" t="n">
        <v>2035</v>
      </c>
      <c r="U717" s="0" t="n">
        <v>162096</v>
      </c>
      <c r="W717" s="0" t="n">
        <v>2028</v>
      </c>
      <c r="X717" s="0" t="n">
        <v>587.28</v>
      </c>
    </row>
    <row r="718" customFormat="false" ht="15" hidden="false" customHeight="false" outlineLevel="0" collapsed="false">
      <c r="A718" s="0" t="n">
        <v>2028</v>
      </c>
      <c r="B718" s="0" t="n">
        <v>11.18545816</v>
      </c>
      <c r="C718" s="0" t="n">
        <v>234.8946213</v>
      </c>
      <c r="E718" s="0" t="n">
        <v>2028</v>
      </c>
      <c r="F718" s="0" t="n">
        <v>11.235032</v>
      </c>
      <c r="G718" s="0" t="n">
        <v>235.858082</v>
      </c>
      <c r="I718" s="0" t="n">
        <v>2026</v>
      </c>
      <c r="J718" s="0" t="n">
        <v>0</v>
      </c>
      <c r="K718" s="0" t="n">
        <v>0</v>
      </c>
      <c r="M718" s="0" t="n">
        <v>2028</v>
      </c>
      <c r="N718" s="0" t="n">
        <v>112.6</v>
      </c>
      <c r="O718" s="0" t="n">
        <v>2363.1</v>
      </c>
      <c r="Q718" s="0" t="n">
        <v>2029</v>
      </c>
      <c r="R718" s="0" t="n">
        <v>42</v>
      </c>
      <c r="T718" s="0" t="n">
        <v>2035</v>
      </c>
      <c r="U718" s="0" t="n">
        <v>5012</v>
      </c>
      <c r="W718" s="0" t="n">
        <v>2028</v>
      </c>
      <c r="X718" s="0" t="n">
        <v>1039.975</v>
      </c>
    </row>
    <row r="719" customFormat="false" ht="15" hidden="false" customHeight="false" outlineLevel="0" collapsed="false">
      <c r="A719" s="0" t="n">
        <v>2028</v>
      </c>
      <c r="B719" s="0" t="n">
        <v>3.501438997</v>
      </c>
      <c r="C719" s="0" t="n">
        <v>73.53021894</v>
      </c>
      <c r="E719" s="0" t="n">
        <v>2028</v>
      </c>
      <c r="F719" s="0" t="n">
        <v>268.573592</v>
      </c>
      <c r="G719" s="0" t="n">
        <v>5638.190642</v>
      </c>
      <c r="I719" s="0" t="n">
        <v>2026</v>
      </c>
      <c r="J719" s="0" t="n">
        <v>1.2</v>
      </c>
      <c r="K719" s="0" t="n">
        <v>25.4</v>
      </c>
      <c r="M719" s="0" t="n">
        <v>2028</v>
      </c>
      <c r="N719" s="0" t="n">
        <v>67.56</v>
      </c>
      <c r="O719" s="0" t="n">
        <v>1417.86</v>
      </c>
      <c r="Q719" s="0" t="n">
        <v>2029</v>
      </c>
      <c r="R719" s="0" t="n">
        <v>39</v>
      </c>
      <c r="T719" s="0" t="n">
        <v>2035</v>
      </c>
      <c r="U719" s="0" t="n">
        <v>187689</v>
      </c>
      <c r="W719" s="0" t="n">
        <v>2028</v>
      </c>
      <c r="X719" s="0" t="n">
        <v>464.93</v>
      </c>
    </row>
    <row r="720" customFormat="false" ht="15" hidden="false" customHeight="false" outlineLevel="0" collapsed="false">
      <c r="A720" s="0" t="n">
        <v>2028</v>
      </c>
      <c r="B720" s="0" t="n">
        <v>7.829003621</v>
      </c>
      <c r="C720" s="0" t="n">
        <v>164.409076</v>
      </c>
      <c r="E720" s="0" t="n">
        <v>2028</v>
      </c>
      <c r="F720" s="0" t="n">
        <v>12.572984</v>
      </c>
      <c r="G720" s="0" t="n">
        <v>263.945834</v>
      </c>
      <c r="I720" s="0" t="n">
        <v>2026</v>
      </c>
      <c r="J720" s="0" t="n">
        <v>2.1</v>
      </c>
      <c r="K720" s="0" t="n">
        <v>44.45</v>
      </c>
      <c r="M720" s="0" t="n">
        <v>2028</v>
      </c>
      <c r="N720" s="0" t="n">
        <v>56.3</v>
      </c>
      <c r="O720" s="0" t="n">
        <v>1181.55</v>
      </c>
      <c r="Q720" s="0" t="n">
        <v>2029</v>
      </c>
      <c r="R720" s="0" t="n">
        <v>39</v>
      </c>
      <c r="T720" s="0" t="n">
        <v>2035</v>
      </c>
      <c r="U720" s="0" t="n">
        <v>5805</v>
      </c>
      <c r="W720" s="0" t="n">
        <v>2028</v>
      </c>
      <c r="X720" s="0" t="n">
        <v>183.525</v>
      </c>
    </row>
    <row r="721" customFormat="false" ht="15" hidden="false" customHeight="false" outlineLevel="0" collapsed="false">
      <c r="A721" s="0" t="n">
        <v>2028</v>
      </c>
      <c r="B721" s="0" t="n">
        <v>234.0659196</v>
      </c>
      <c r="C721" s="0" t="n">
        <v>4915.384311</v>
      </c>
      <c r="E721" s="0" t="n">
        <v>2028</v>
      </c>
      <c r="F721" s="0" t="n">
        <v>68.748144</v>
      </c>
      <c r="G721" s="0" t="n">
        <v>1443.236244</v>
      </c>
      <c r="I721" s="0" t="n">
        <v>2026</v>
      </c>
      <c r="J721" s="0" t="n">
        <v>0.6</v>
      </c>
      <c r="K721" s="0" t="n">
        <v>12.7</v>
      </c>
      <c r="M721" s="0" t="n">
        <v>2028</v>
      </c>
      <c r="N721" s="0" t="n">
        <v>45.04</v>
      </c>
      <c r="O721" s="0" t="n">
        <v>945.24</v>
      </c>
      <c r="Q721" s="0" t="n">
        <v>2029</v>
      </c>
      <c r="R721" s="0" t="n">
        <v>55</v>
      </c>
      <c r="T721" s="0" t="n">
        <v>2035</v>
      </c>
      <c r="U721" s="0" t="n">
        <v>179160</v>
      </c>
      <c r="W721" s="0" t="n">
        <v>2028</v>
      </c>
      <c r="X721" s="0" t="n">
        <v>269.17</v>
      </c>
    </row>
    <row r="722" customFormat="false" ht="15" hidden="false" customHeight="false" outlineLevel="0" collapsed="false">
      <c r="A722" s="0" t="n">
        <v>2028</v>
      </c>
      <c r="B722" s="0" t="n">
        <v>59.03834634</v>
      </c>
      <c r="C722" s="0" t="n">
        <v>1239.805273</v>
      </c>
      <c r="E722" s="0" t="n">
        <v>2028</v>
      </c>
      <c r="F722" s="0" t="n">
        <v>62.863472</v>
      </c>
      <c r="G722" s="0" t="n">
        <v>1319.698772</v>
      </c>
      <c r="I722" s="0" t="n">
        <v>2026</v>
      </c>
      <c r="J722" s="0" t="n">
        <v>2.1</v>
      </c>
      <c r="K722" s="0" t="n">
        <v>44.45</v>
      </c>
      <c r="M722" s="0" t="n">
        <v>2028</v>
      </c>
      <c r="N722" s="0" t="n">
        <v>22.52</v>
      </c>
      <c r="O722" s="0" t="n">
        <v>472.62</v>
      </c>
      <c r="Q722" s="0" t="n">
        <v>2029</v>
      </c>
      <c r="R722" s="0" t="n">
        <v>52</v>
      </c>
      <c r="T722" s="0" t="n">
        <v>2035</v>
      </c>
      <c r="U722" s="0" t="n">
        <v>5542</v>
      </c>
      <c r="W722" s="0" t="n">
        <v>2028</v>
      </c>
      <c r="X722" s="0" t="n">
        <v>207.995</v>
      </c>
    </row>
    <row r="723" customFormat="false" ht="15" hidden="false" customHeight="false" outlineLevel="0" collapsed="false">
      <c r="A723" s="0" t="n">
        <v>2028</v>
      </c>
      <c r="B723" s="0" t="n">
        <v>52.64777369</v>
      </c>
      <c r="C723" s="0" t="n">
        <v>1105.603248</v>
      </c>
      <c r="E723" s="0" t="n">
        <v>2028</v>
      </c>
      <c r="F723" s="0" t="n">
        <v>235.388642</v>
      </c>
      <c r="G723" s="0" t="n">
        <v>4935.966196</v>
      </c>
      <c r="I723" s="0" t="n">
        <v>2026</v>
      </c>
      <c r="J723" s="0" t="n">
        <v>1078.08</v>
      </c>
      <c r="K723" s="0" t="n">
        <v>22636.32</v>
      </c>
      <c r="M723" s="0" t="n">
        <v>2028</v>
      </c>
      <c r="N723" s="0" t="n">
        <v>27.74</v>
      </c>
      <c r="O723" s="0" t="n">
        <v>578.74</v>
      </c>
      <c r="Q723" s="0" t="n">
        <v>2029</v>
      </c>
      <c r="R723" s="0" t="n">
        <v>25</v>
      </c>
      <c r="T723" s="0" t="n">
        <v>2035</v>
      </c>
      <c r="U723" s="0" t="n">
        <v>170630</v>
      </c>
      <c r="W723" s="0" t="n">
        <v>2028</v>
      </c>
      <c r="X723" s="0" t="n">
        <v>7376.76</v>
      </c>
    </row>
    <row r="724" customFormat="false" ht="15" hidden="false" customHeight="false" outlineLevel="0" collapsed="false">
      <c r="A724" s="0" t="n">
        <v>2028</v>
      </c>
      <c r="B724" s="0" t="n">
        <v>36.61340646</v>
      </c>
      <c r="C724" s="0" t="n">
        <v>768.8815357</v>
      </c>
      <c r="E724" s="0" t="n">
        <v>2028</v>
      </c>
      <c r="F724" s="0" t="n">
        <v>63.204458</v>
      </c>
      <c r="G724" s="0" t="n">
        <v>1325.361604</v>
      </c>
      <c r="I724" s="0" t="n">
        <v>2026</v>
      </c>
      <c r="J724" s="0" t="n">
        <v>359.36</v>
      </c>
      <c r="K724" s="0" t="n">
        <v>7545.44</v>
      </c>
      <c r="M724" s="0" t="n">
        <v>2028</v>
      </c>
      <c r="N724" s="0" t="n">
        <v>18.25</v>
      </c>
      <c r="O724" s="0" t="n">
        <v>380.75</v>
      </c>
      <c r="Q724" s="0" t="n">
        <v>2029</v>
      </c>
      <c r="R724" s="0" t="n">
        <v>5</v>
      </c>
      <c r="T724" s="0" t="n">
        <v>2035</v>
      </c>
      <c r="U724" s="0" t="n">
        <v>5277</v>
      </c>
      <c r="W724" s="0" t="n">
        <v>2028</v>
      </c>
      <c r="X724" s="0" t="n">
        <v>1844.19</v>
      </c>
    </row>
    <row r="725" customFormat="false" ht="15" hidden="false" customHeight="false" outlineLevel="0" collapsed="false">
      <c r="A725" s="0" t="n">
        <v>2028</v>
      </c>
      <c r="B725" s="0" t="n">
        <v>27.23427578</v>
      </c>
      <c r="C725" s="0" t="n">
        <v>571.9197914</v>
      </c>
      <c r="E725" s="0" t="n">
        <v>2028</v>
      </c>
      <c r="F725" s="0" t="n">
        <v>25.298546</v>
      </c>
      <c r="G725" s="0" t="n">
        <v>530.496148</v>
      </c>
      <c r="I725" s="0" t="n">
        <v>2026</v>
      </c>
      <c r="J725" s="0" t="n">
        <v>157.22</v>
      </c>
      <c r="K725" s="0" t="n">
        <v>3301.13</v>
      </c>
      <c r="M725" s="0" t="n">
        <v>2028</v>
      </c>
      <c r="N725" s="0" t="n">
        <v>7.3</v>
      </c>
      <c r="O725" s="0" t="n">
        <v>152.3</v>
      </c>
      <c r="Q725" s="0" t="n">
        <v>2029</v>
      </c>
      <c r="R725" s="0" t="n">
        <v>5</v>
      </c>
      <c r="T725" s="0" t="n">
        <v>2035</v>
      </c>
      <c r="U725" s="0" t="n">
        <v>127974</v>
      </c>
      <c r="W725" s="0" t="n">
        <v>2028</v>
      </c>
      <c r="X725" s="0" t="n">
        <v>571.104</v>
      </c>
    </row>
    <row r="726" customFormat="false" ht="15" hidden="false" customHeight="false" outlineLevel="0" collapsed="false">
      <c r="A726" s="0" t="n">
        <v>2028</v>
      </c>
      <c r="B726" s="0" t="n">
        <v>12.10412257</v>
      </c>
      <c r="C726" s="0" t="n">
        <v>254.186574</v>
      </c>
      <c r="E726" s="0" t="n">
        <v>2028</v>
      </c>
      <c r="F726" s="0" t="n">
        <v>3.553622</v>
      </c>
      <c r="G726" s="0" t="n">
        <v>74.517436</v>
      </c>
      <c r="I726" s="0" t="n">
        <v>2026</v>
      </c>
      <c r="J726" s="0" t="n">
        <v>89.84</v>
      </c>
      <c r="K726" s="0" t="n">
        <v>1886.36</v>
      </c>
      <c r="M726" s="0" t="n">
        <v>2028</v>
      </c>
      <c r="N726" s="0" t="n">
        <v>7.3</v>
      </c>
      <c r="O726" s="0" t="n">
        <v>152.3</v>
      </c>
      <c r="Q726" s="0" t="n">
        <v>2029</v>
      </c>
      <c r="R726" s="0" t="n">
        <v>5</v>
      </c>
      <c r="T726" s="0" t="n">
        <v>2035</v>
      </c>
      <c r="U726" s="0" t="n">
        <v>3958</v>
      </c>
      <c r="W726" s="0" t="n">
        <v>2028</v>
      </c>
      <c r="X726" s="0" t="n">
        <v>1011.33</v>
      </c>
    </row>
    <row r="727" customFormat="false" ht="15" hidden="false" customHeight="false" outlineLevel="0" collapsed="false">
      <c r="A727" s="0" t="n">
        <v>2028</v>
      </c>
      <c r="B727" s="0" t="n">
        <v>44.70753643</v>
      </c>
      <c r="C727" s="0" t="n">
        <v>938.8582651</v>
      </c>
      <c r="E727" s="0" t="n">
        <v>2028</v>
      </c>
      <c r="F727" s="0" t="n">
        <v>84.949382</v>
      </c>
      <c r="G727" s="0" t="n">
        <v>1781.340316</v>
      </c>
      <c r="I727" s="0" t="n">
        <v>2026</v>
      </c>
      <c r="J727" s="0" t="n">
        <v>89.84</v>
      </c>
      <c r="K727" s="0" t="n">
        <v>1886.36</v>
      </c>
      <c r="M727" s="0" t="n">
        <v>2028</v>
      </c>
      <c r="N727" s="0" t="n">
        <v>4.38</v>
      </c>
      <c r="O727" s="0" t="n">
        <v>91.38</v>
      </c>
      <c r="Q727" s="0" t="n">
        <v>2029</v>
      </c>
      <c r="R727" s="0" t="n">
        <v>456</v>
      </c>
      <c r="T727" s="0" t="n">
        <v>2035</v>
      </c>
      <c r="U727" s="0" t="n">
        <v>110908</v>
      </c>
      <c r="W727" s="0" t="n">
        <v>2028</v>
      </c>
      <c r="X727" s="0" t="n">
        <v>452.124</v>
      </c>
    </row>
    <row r="728" customFormat="false" ht="15" hidden="false" customHeight="false" outlineLevel="0" collapsed="false">
      <c r="A728" s="0" t="n">
        <v>2028</v>
      </c>
      <c r="B728" s="0" t="n">
        <v>13.99502008</v>
      </c>
      <c r="C728" s="0" t="n">
        <v>293.8954217</v>
      </c>
      <c r="E728" s="0" t="n">
        <v>2028</v>
      </c>
      <c r="F728" s="0" t="n">
        <v>3.976814</v>
      </c>
      <c r="G728" s="0" t="n">
        <v>83.391532</v>
      </c>
      <c r="I728" s="0" t="n">
        <v>2026</v>
      </c>
      <c r="J728" s="0" t="n">
        <v>44.92</v>
      </c>
      <c r="K728" s="0" t="n">
        <v>943.18</v>
      </c>
      <c r="M728" s="0" t="n">
        <v>2028</v>
      </c>
      <c r="N728" s="0" t="n">
        <v>3.65</v>
      </c>
      <c r="O728" s="0" t="n">
        <v>76.15</v>
      </c>
      <c r="Q728" s="0" t="n">
        <v>2029</v>
      </c>
      <c r="R728" s="0" t="n">
        <v>433</v>
      </c>
      <c r="T728" s="0" t="n">
        <v>2035</v>
      </c>
      <c r="U728" s="0" t="n">
        <v>3430</v>
      </c>
      <c r="W728" s="0" t="n">
        <v>2028</v>
      </c>
      <c r="X728" s="0" t="n">
        <v>178.47</v>
      </c>
    </row>
    <row r="729" customFormat="false" ht="15" hidden="false" customHeight="false" outlineLevel="0" collapsed="false">
      <c r="A729" s="0" t="n">
        <v>2028</v>
      </c>
      <c r="B729" s="0" t="n">
        <v>31.29200966</v>
      </c>
      <c r="C729" s="0" t="n">
        <v>657.1322028</v>
      </c>
      <c r="E729" s="0" t="n">
        <v>2028</v>
      </c>
      <c r="F729" s="0" t="n">
        <v>21.744924</v>
      </c>
      <c r="G729" s="0" t="n">
        <v>455.978712</v>
      </c>
      <c r="I729" s="0" t="n">
        <v>2026</v>
      </c>
      <c r="J729" s="0" t="n">
        <v>44.92</v>
      </c>
      <c r="K729" s="0" t="n">
        <v>943.18</v>
      </c>
      <c r="M729" s="0" t="n">
        <v>2028</v>
      </c>
      <c r="N729" s="0" t="n">
        <v>2.92</v>
      </c>
      <c r="O729" s="0" t="n">
        <v>60.92</v>
      </c>
      <c r="Q729" s="0" t="n">
        <v>2029</v>
      </c>
      <c r="R729" s="0" t="n">
        <v>205</v>
      </c>
      <c r="T729" s="0" t="n">
        <v>2035</v>
      </c>
      <c r="U729" s="0" t="n">
        <v>93845</v>
      </c>
      <c r="W729" s="0" t="n">
        <v>2028</v>
      </c>
      <c r="X729" s="0" t="n">
        <v>261.756</v>
      </c>
    </row>
    <row r="730" customFormat="false" ht="15" hidden="false" customHeight="false" outlineLevel="0" collapsed="false">
      <c r="A730" s="0" t="n">
        <v>2028</v>
      </c>
      <c r="B730" s="0" t="n">
        <v>298.5783347</v>
      </c>
      <c r="C730" s="0" t="n">
        <v>6270.145028</v>
      </c>
      <c r="E730" s="0" t="n">
        <v>2028</v>
      </c>
      <c r="F730" s="0" t="n">
        <v>19.883612</v>
      </c>
      <c r="G730" s="0" t="n">
        <v>416.948056</v>
      </c>
      <c r="I730" s="0" t="n">
        <v>2026</v>
      </c>
      <c r="J730" s="0" t="n">
        <v>89.84</v>
      </c>
      <c r="K730" s="0" t="n">
        <v>1886.36</v>
      </c>
      <c r="M730" s="0" t="n">
        <v>2028</v>
      </c>
      <c r="N730" s="0" t="n">
        <v>1.46</v>
      </c>
      <c r="O730" s="0" t="n">
        <v>30.46</v>
      </c>
      <c r="Q730" s="0" t="n">
        <v>2029</v>
      </c>
      <c r="R730" s="0" t="n">
        <v>46</v>
      </c>
      <c r="T730" s="0" t="n">
        <v>2035</v>
      </c>
      <c r="U730" s="0" t="n">
        <v>2903</v>
      </c>
      <c r="W730" s="0" t="n">
        <v>2028</v>
      </c>
      <c r="X730" s="0" t="n">
        <v>202.266</v>
      </c>
    </row>
    <row r="731" customFormat="false" ht="15" hidden="false" customHeight="false" outlineLevel="0" collapsed="false">
      <c r="A731" s="0" t="n">
        <v>2028</v>
      </c>
      <c r="B731" s="0" t="n">
        <v>75.31028508</v>
      </c>
      <c r="C731" s="0" t="n">
        <v>1581.515987</v>
      </c>
      <c r="E731" s="0" t="n">
        <v>2028</v>
      </c>
      <c r="F731" s="0" t="n">
        <v>583.332115</v>
      </c>
      <c r="G731" s="0" t="n">
        <v>12249.97442</v>
      </c>
      <c r="I731" s="0" t="n">
        <v>2026</v>
      </c>
      <c r="J731" s="0" t="n">
        <v>157.22</v>
      </c>
      <c r="K731" s="0" t="n">
        <v>3301.13</v>
      </c>
      <c r="M731" s="0" t="n">
        <v>2028</v>
      </c>
      <c r="N731" s="0" t="n">
        <v>49.02</v>
      </c>
      <c r="O731" s="0" t="n">
        <v>1022.96</v>
      </c>
      <c r="Q731" s="0" t="n">
        <v>2029</v>
      </c>
      <c r="R731" s="0" t="n">
        <v>44</v>
      </c>
      <c r="T731" s="0" t="n">
        <v>2035</v>
      </c>
      <c r="U731" s="0" t="n">
        <v>716640</v>
      </c>
      <c r="W731" s="0" t="n">
        <v>2028</v>
      </c>
      <c r="X731" s="0" t="n">
        <v>67770.34</v>
      </c>
    </row>
    <row r="732" customFormat="false" ht="15" hidden="false" customHeight="false" outlineLevel="0" collapsed="false">
      <c r="A732" s="0" t="n">
        <v>2028</v>
      </c>
      <c r="B732" s="0" t="n">
        <v>67.15836556</v>
      </c>
      <c r="C732" s="0" t="n">
        <v>1410.325677</v>
      </c>
      <c r="E732" s="0" t="n">
        <v>2028</v>
      </c>
      <c r="F732" s="0" t="n">
        <v>156.631135</v>
      </c>
      <c r="G732" s="0" t="n">
        <v>3289.253835</v>
      </c>
      <c r="I732" s="0" t="n">
        <v>2026</v>
      </c>
      <c r="J732" s="0" t="n">
        <v>67.38</v>
      </c>
      <c r="K732" s="0" t="n">
        <v>1414.77</v>
      </c>
      <c r="M732" s="0" t="n">
        <v>2028</v>
      </c>
      <c r="N732" s="0" t="n">
        <v>32.25</v>
      </c>
      <c r="O732" s="0" t="n">
        <v>673</v>
      </c>
      <c r="Q732" s="0" t="n">
        <v>2029</v>
      </c>
      <c r="R732" s="0" t="n">
        <v>44</v>
      </c>
      <c r="T732" s="0" t="n">
        <v>2035</v>
      </c>
      <c r="U732" s="0" t="n">
        <v>22165</v>
      </c>
      <c r="W732" s="0" t="n">
        <v>2028</v>
      </c>
      <c r="X732" s="0" t="n">
        <v>16942.585</v>
      </c>
    </row>
    <row r="733" customFormat="false" ht="15" hidden="false" customHeight="false" outlineLevel="0" collapsed="false">
      <c r="A733" s="0" t="n">
        <v>2028</v>
      </c>
      <c r="B733" s="0" t="n">
        <v>46.70466315</v>
      </c>
      <c r="C733" s="0" t="n">
        <v>980.7979261</v>
      </c>
      <c r="E733" s="0" t="n">
        <v>2028</v>
      </c>
      <c r="F733" s="0" t="n">
        <v>62.693995</v>
      </c>
      <c r="G733" s="0" t="n">
        <v>1316.573895</v>
      </c>
      <c r="I733" s="0" t="n">
        <v>2026</v>
      </c>
      <c r="J733" s="0" t="n">
        <v>67.38</v>
      </c>
      <c r="K733" s="0" t="n">
        <v>1414.77</v>
      </c>
      <c r="M733" s="0" t="n">
        <v>2028</v>
      </c>
      <c r="N733" s="0" t="n">
        <v>12.9</v>
      </c>
      <c r="O733" s="0" t="n">
        <v>269.2</v>
      </c>
      <c r="Q733" s="0" t="n">
        <v>2029</v>
      </c>
      <c r="R733" s="0" t="n">
        <v>742</v>
      </c>
      <c r="T733" s="0" t="n">
        <v>2035</v>
      </c>
      <c r="U733" s="0" t="n">
        <v>102377</v>
      </c>
      <c r="W733" s="0" t="n">
        <v>2028</v>
      </c>
      <c r="X733" s="0" t="n">
        <v>5246.736</v>
      </c>
    </row>
    <row r="734" customFormat="false" ht="15" hidden="false" customHeight="false" outlineLevel="0" collapsed="false">
      <c r="A734" s="0" t="n">
        <v>2028</v>
      </c>
      <c r="B734" s="0" t="n">
        <v>34.74048987</v>
      </c>
      <c r="C734" s="0" t="n">
        <v>729.5502874</v>
      </c>
      <c r="E734" s="0" t="n">
        <v>2028</v>
      </c>
      <c r="F734" s="0" t="n">
        <v>8.806465</v>
      </c>
      <c r="G734" s="0" t="n">
        <v>184.935765</v>
      </c>
      <c r="I734" s="0" t="n">
        <v>2026</v>
      </c>
      <c r="J734" s="0" t="n">
        <v>166.4</v>
      </c>
      <c r="K734" s="0" t="n">
        <v>3493.36</v>
      </c>
      <c r="M734" s="0" t="n">
        <v>2028</v>
      </c>
      <c r="N734" s="0" t="n">
        <v>12.9</v>
      </c>
      <c r="O734" s="0" t="n">
        <v>269.2</v>
      </c>
      <c r="Q734" s="0" t="n">
        <v>2029</v>
      </c>
      <c r="R734" s="0" t="n">
        <v>705</v>
      </c>
      <c r="T734" s="0" t="n">
        <v>2035</v>
      </c>
      <c r="U734" s="0" t="n">
        <v>3166</v>
      </c>
      <c r="W734" s="0" t="n">
        <v>2028</v>
      </c>
      <c r="X734" s="0" t="n">
        <v>9291.095</v>
      </c>
    </row>
    <row r="735" customFormat="false" ht="15" hidden="false" customHeight="false" outlineLevel="0" collapsed="false">
      <c r="A735" s="0" t="n">
        <v>2028</v>
      </c>
      <c r="B735" s="0" t="n">
        <v>15.44021772</v>
      </c>
      <c r="C735" s="0" t="n">
        <v>324.2445722</v>
      </c>
      <c r="E735" s="0" t="n">
        <v>2028</v>
      </c>
      <c r="F735" s="0" t="n">
        <v>210.518665</v>
      </c>
      <c r="G735" s="0" t="n">
        <v>4420.891965</v>
      </c>
      <c r="I735" s="0" t="n">
        <v>2026</v>
      </c>
      <c r="J735" s="0" t="n">
        <v>25.6</v>
      </c>
      <c r="K735" s="0" t="n">
        <v>537.44</v>
      </c>
      <c r="M735" s="0" t="n">
        <v>2028</v>
      </c>
      <c r="N735" s="0" t="n">
        <v>7.74</v>
      </c>
      <c r="O735" s="0" t="n">
        <v>161.52</v>
      </c>
      <c r="Q735" s="0" t="n">
        <v>2029</v>
      </c>
      <c r="R735" s="0" t="n">
        <v>334</v>
      </c>
      <c r="T735" s="0" t="n">
        <v>2035</v>
      </c>
      <c r="U735" s="0" t="n">
        <v>51188</v>
      </c>
      <c r="W735" s="0" t="n">
        <v>2028</v>
      </c>
      <c r="X735" s="0" t="n">
        <v>4153.666</v>
      </c>
    </row>
    <row r="736" customFormat="false" ht="15" hidden="false" customHeight="false" outlineLevel="0" collapsed="false">
      <c r="A736" s="0" t="n">
        <v>2028</v>
      </c>
      <c r="B736" s="0" t="n">
        <v>57.02966839</v>
      </c>
      <c r="C736" s="0" t="n">
        <v>1197.623036</v>
      </c>
      <c r="E736" s="0" t="n">
        <v>2028</v>
      </c>
      <c r="F736" s="0" t="n">
        <v>9.855205</v>
      </c>
      <c r="G736" s="0" t="n">
        <v>206.959305</v>
      </c>
      <c r="I736" s="0" t="n">
        <v>2026</v>
      </c>
      <c r="J736" s="0" t="n">
        <v>19.2</v>
      </c>
      <c r="K736" s="0" t="n">
        <v>403.08</v>
      </c>
      <c r="M736" s="0" t="n">
        <v>2028</v>
      </c>
      <c r="N736" s="0" t="n">
        <v>6.45</v>
      </c>
      <c r="O736" s="0" t="n">
        <v>134.6</v>
      </c>
      <c r="Q736" s="0" t="n">
        <v>2029</v>
      </c>
      <c r="R736" s="0" t="n">
        <v>74</v>
      </c>
      <c r="T736" s="0" t="n">
        <v>2035</v>
      </c>
      <c r="U736" s="0" t="n">
        <v>1582</v>
      </c>
      <c r="W736" s="0" t="n">
        <v>2028</v>
      </c>
      <c r="X736" s="0" t="n">
        <v>1639.605</v>
      </c>
    </row>
    <row r="737" customFormat="false" ht="15" hidden="false" customHeight="false" outlineLevel="0" collapsed="false">
      <c r="A737" s="0" t="n">
        <v>2028</v>
      </c>
      <c r="B737" s="0" t="n">
        <v>17.85227767</v>
      </c>
      <c r="C737" s="0" t="n">
        <v>374.8978311</v>
      </c>
      <c r="E737" s="0" t="n">
        <v>2028</v>
      </c>
      <c r="F737" s="0" t="n">
        <v>53.88753</v>
      </c>
      <c r="G737" s="0" t="n">
        <v>1131.63813</v>
      </c>
      <c r="I737" s="0" t="n">
        <v>2026</v>
      </c>
      <c r="J737" s="0" t="n">
        <v>32</v>
      </c>
      <c r="K737" s="0" t="n">
        <v>671.8</v>
      </c>
      <c r="M737" s="0" t="n">
        <v>2028</v>
      </c>
      <c r="N737" s="0" t="n">
        <v>5.16</v>
      </c>
      <c r="O737" s="0" t="n">
        <v>107.68</v>
      </c>
      <c r="Q737" s="0" t="n">
        <v>2029</v>
      </c>
      <c r="R737" s="0" t="n">
        <v>71</v>
      </c>
      <c r="T737" s="0" t="n">
        <v>2035</v>
      </c>
      <c r="U737" s="0" t="n">
        <v>213287</v>
      </c>
      <c r="W737" s="0" t="n">
        <v>2028</v>
      </c>
      <c r="X737" s="0" t="n">
        <v>2404.754</v>
      </c>
    </row>
    <row r="738" customFormat="false" ht="15" hidden="false" customHeight="false" outlineLevel="0" collapsed="false">
      <c r="A738" s="0" t="n">
        <v>2028</v>
      </c>
      <c r="B738" s="0" t="n">
        <v>39.91660191</v>
      </c>
      <c r="C738" s="0" t="n">
        <v>838.24864</v>
      </c>
      <c r="E738" s="0" t="n">
        <v>2028</v>
      </c>
      <c r="F738" s="0" t="n">
        <v>49.27489</v>
      </c>
      <c r="G738" s="0" t="n">
        <v>1034.77269</v>
      </c>
      <c r="I738" s="0" t="n">
        <v>2026</v>
      </c>
      <c r="J738" s="0" t="n">
        <v>6.4</v>
      </c>
      <c r="K738" s="0" t="n">
        <v>134.36</v>
      </c>
      <c r="M738" s="0" t="n">
        <v>2028</v>
      </c>
      <c r="N738" s="0" t="n">
        <v>2.58</v>
      </c>
      <c r="O738" s="0" t="n">
        <v>53.84</v>
      </c>
      <c r="Q738" s="0" t="n">
        <v>2029</v>
      </c>
      <c r="R738" s="0" t="n">
        <v>71</v>
      </c>
      <c r="T738" s="0" t="n">
        <v>2035</v>
      </c>
      <c r="U738" s="0" t="n">
        <v>6597</v>
      </c>
      <c r="W738" s="0" t="n">
        <v>2028</v>
      </c>
      <c r="X738" s="0" t="n">
        <v>1858.219</v>
      </c>
    </row>
    <row r="739" customFormat="false" ht="15" hidden="false" customHeight="false" outlineLevel="0" collapsed="false">
      <c r="A739" s="0" t="n">
        <v>2028</v>
      </c>
      <c r="B739" s="0" t="n">
        <v>293.9354929</v>
      </c>
      <c r="C739" s="0" t="n">
        <v>6172.64535</v>
      </c>
      <c r="E739" s="0" t="n">
        <v>2028</v>
      </c>
      <c r="F739" s="0" t="n">
        <v>1613.285911</v>
      </c>
      <c r="G739" s="0" t="n">
        <v>33877.97623</v>
      </c>
      <c r="I739" s="0" t="n">
        <v>2026</v>
      </c>
      <c r="J739" s="0" t="n">
        <v>6.4</v>
      </c>
      <c r="K739" s="0" t="n">
        <v>134.36</v>
      </c>
      <c r="M739" s="0" t="n">
        <v>2028</v>
      </c>
      <c r="N739" s="0" t="n">
        <v>57.76</v>
      </c>
      <c r="O739" s="0" t="n">
        <v>1207.26</v>
      </c>
      <c r="Q739" s="0" t="n">
        <v>2029</v>
      </c>
      <c r="R739" s="0" t="n">
        <v>331</v>
      </c>
      <c r="W739" s="0" t="n">
        <v>2028</v>
      </c>
      <c r="X739" s="0" t="n">
        <v>9568.46</v>
      </c>
    </row>
    <row r="740" customFormat="false" ht="15" hidden="false" customHeight="false" outlineLevel="0" collapsed="false">
      <c r="A740" s="0" t="n">
        <v>2028</v>
      </c>
      <c r="B740" s="0" t="n">
        <v>74.13922309</v>
      </c>
      <c r="C740" s="0" t="n">
        <v>1556.923685</v>
      </c>
      <c r="E740" s="0" t="n">
        <v>2028</v>
      </c>
      <c r="F740" s="0" t="n">
        <v>433.185139</v>
      </c>
      <c r="G740" s="0" t="n">
        <v>9096.611917</v>
      </c>
      <c r="I740" s="0" t="n">
        <v>2026</v>
      </c>
      <c r="J740" s="0" t="n">
        <v>0</v>
      </c>
      <c r="K740" s="0" t="n">
        <v>0</v>
      </c>
      <c r="M740" s="0" t="n">
        <v>2028</v>
      </c>
      <c r="N740" s="0" t="n">
        <v>38</v>
      </c>
      <c r="O740" s="0" t="n">
        <v>794.25</v>
      </c>
      <c r="Q740" s="0" t="n">
        <v>2029</v>
      </c>
      <c r="R740" s="0" t="n">
        <v>315</v>
      </c>
      <c r="W740" s="0" t="n">
        <v>2028</v>
      </c>
      <c r="X740" s="0" t="n">
        <v>2392.115</v>
      </c>
    </row>
    <row r="741" customFormat="false" ht="15" hidden="false" customHeight="false" outlineLevel="0" collapsed="false">
      <c r="A741" s="0" t="n">
        <v>2028</v>
      </c>
      <c r="B741" s="0" t="n">
        <v>66.11406452</v>
      </c>
      <c r="C741" s="0" t="n">
        <v>1388.395355</v>
      </c>
      <c r="E741" s="0" t="n">
        <v>2028</v>
      </c>
      <c r="F741" s="0" t="n">
        <v>173.388943</v>
      </c>
      <c r="G741" s="0" t="n">
        <v>3641.057329</v>
      </c>
      <c r="I741" s="0" t="n">
        <v>2026</v>
      </c>
      <c r="J741" s="0" t="n">
        <v>12.8</v>
      </c>
      <c r="K741" s="0" t="n">
        <v>268.72</v>
      </c>
      <c r="M741" s="0" t="n">
        <v>2028</v>
      </c>
      <c r="N741" s="0" t="n">
        <v>15.2</v>
      </c>
      <c r="O741" s="0" t="n">
        <v>317.7</v>
      </c>
      <c r="Q741" s="0" t="n">
        <v>2029</v>
      </c>
      <c r="R741" s="0" t="n">
        <v>149</v>
      </c>
      <c r="W741" s="0" t="n">
        <v>2028</v>
      </c>
      <c r="X741" s="0" t="n">
        <v>740.784</v>
      </c>
    </row>
    <row r="742" customFormat="false" ht="15" hidden="false" customHeight="false" outlineLevel="0" collapsed="false">
      <c r="A742" s="0" t="n">
        <v>2028</v>
      </c>
      <c r="B742" s="0" t="n">
        <v>45.97841366</v>
      </c>
      <c r="C742" s="0" t="n">
        <v>965.5466868</v>
      </c>
      <c r="E742" s="0" t="n">
        <v>2028</v>
      </c>
      <c r="F742" s="0" t="n">
        <v>24.355501</v>
      </c>
      <c r="G742" s="0" t="n">
        <v>511.450003</v>
      </c>
      <c r="I742" s="0" t="n">
        <v>2026</v>
      </c>
      <c r="J742" s="0" t="n">
        <v>22.4</v>
      </c>
      <c r="K742" s="0" t="n">
        <v>470.26</v>
      </c>
      <c r="M742" s="0" t="n">
        <v>2028</v>
      </c>
      <c r="N742" s="0" t="n">
        <v>15.2</v>
      </c>
      <c r="O742" s="0" t="n">
        <v>317.7</v>
      </c>
      <c r="Q742" s="0" t="n">
        <v>2029</v>
      </c>
      <c r="R742" s="0" t="n">
        <v>33</v>
      </c>
      <c r="W742" s="0" t="n">
        <v>2028</v>
      </c>
      <c r="X742" s="0" t="n">
        <v>1311.805</v>
      </c>
    </row>
    <row r="743" customFormat="false" ht="15" hidden="false" customHeight="false" outlineLevel="0" collapsed="false">
      <c r="A743" s="0" t="n">
        <v>2028</v>
      </c>
      <c r="B743" s="0" t="n">
        <v>34.20028123</v>
      </c>
      <c r="C743" s="0" t="n">
        <v>718.2059058</v>
      </c>
      <c r="E743" s="0" t="n">
        <v>2028</v>
      </c>
      <c r="F743" s="0" t="n">
        <v>582.218581</v>
      </c>
      <c r="G743" s="0" t="n">
        <v>12226.21924</v>
      </c>
      <c r="I743" s="0" t="n">
        <v>2026</v>
      </c>
      <c r="J743" s="0" t="n">
        <v>6.4</v>
      </c>
      <c r="K743" s="0" t="n">
        <v>134.36</v>
      </c>
      <c r="M743" s="0" t="n">
        <v>2028</v>
      </c>
      <c r="N743" s="0" t="n">
        <v>9.12</v>
      </c>
      <c r="O743" s="0" t="n">
        <v>190.62</v>
      </c>
      <c r="Q743" s="0" t="n">
        <v>2029</v>
      </c>
      <c r="R743" s="0" t="n">
        <v>31</v>
      </c>
      <c r="W743" s="0" t="n">
        <v>2028</v>
      </c>
      <c r="X743" s="0" t="n">
        <v>586.454</v>
      </c>
    </row>
    <row r="744" customFormat="false" ht="15" hidden="false" customHeight="false" outlineLevel="0" collapsed="false">
      <c r="A744" s="0" t="n">
        <v>2028</v>
      </c>
      <c r="B744" s="0" t="n">
        <v>15.20012499</v>
      </c>
      <c r="C744" s="0" t="n">
        <v>319.2026248</v>
      </c>
      <c r="E744" s="0" t="n">
        <v>2028</v>
      </c>
      <c r="F744" s="0" t="n">
        <v>27.255937</v>
      </c>
      <c r="G744" s="0" t="n">
        <v>572.357311</v>
      </c>
      <c r="I744" s="0" t="n">
        <v>2026</v>
      </c>
      <c r="J744" s="0" t="n">
        <v>22.4</v>
      </c>
      <c r="K744" s="0" t="n">
        <v>470.26</v>
      </c>
      <c r="M744" s="0" t="n">
        <v>2028</v>
      </c>
      <c r="N744" s="0" t="n">
        <v>7.6</v>
      </c>
      <c r="O744" s="0" t="n">
        <v>158.85</v>
      </c>
      <c r="Q744" s="0" t="n">
        <v>2029</v>
      </c>
      <c r="R744" s="0" t="n">
        <v>31</v>
      </c>
      <c r="W744" s="0" t="n">
        <v>2028</v>
      </c>
      <c r="X744" s="0" t="n">
        <v>231.495</v>
      </c>
    </row>
    <row r="745" customFormat="false" ht="15" hidden="false" customHeight="false" outlineLevel="0" collapsed="false">
      <c r="A745" s="0" t="n">
        <v>2028</v>
      </c>
      <c r="B745" s="0" t="n">
        <v>56.14286685</v>
      </c>
      <c r="C745" s="0" t="n">
        <v>1179.000204</v>
      </c>
      <c r="E745" s="0" t="n">
        <v>2028</v>
      </c>
      <c r="F745" s="0" t="n">
        <v>149.033442</v>
      </c>
      <c r="G745" s="0" t="n">
        <v>3129.607326</v>
      </c>
      <c r="I745" s="0" t="n">
        <v>2026</v>
      </c>
      <c r="J745" s="0" t="n">
        <v>43.2</v>
      </c>
      <c r="K745" s="0" t="n">
        <v>905.76</v>
      </c>
      <c r="M745" s="0" t="n">
        <v>2028</v>
      </c>
      <c r="N745" s="0" t="n">
        <v>6.08</v>
      </c>
      <c r="O745" s="0" t="n">
        <v>127.08</v>
      </c>
      <c r="Q745" s="0" t="n">
        <v>2029</v>
      </c>
      <c r="R745" s="0" t="n">
        <v>826</v>
      </c>
      <c r="W745" s="0" t="n">
        <v>2028</v>
      </c>
      <c r="X745" s="0" t="n">
        <v>339.526</v>
      </c>
    </row>
    <row r="746" customFormat="false" ht="15" hidden="false" customHeight="false" outlineLevel="0" collapsed="false">
      <c r="A746" s="0" t="n">
        <v>2028</v>
      </c>
      <c r="B746" s="0" t="n">
        <v>17.57467782</v>
      </c>
      <c r="C746" s="0" t="n">
        <v>369.0682343</v>
      </c>
      <c r="E746" s="0" t="n">
        <v>2028</v>
      </c>
      <c r="F746" s="0" t="n">
        <v>136.276546</v>
      </c>
      <c r="G746" s="0" t="n">
        <v>2861.720638</v>
      </c>
      <c r="I746" s="0" t="n">
        <v>2026</v>
      </c>
      <c r="J746" s="0" t="n">
        <v>14.4</v>
      </c>
      <c r="K746" s="0" t="n">
        <v>301.92</v>
      </c>
      <c r="M746" s="0" t="n">
        <v>2028</v>
      </c>
      <c r="N746" s="0" t="n">
        <v>3.04</v>
      </c>
      <c r="O746" s="0" t="n">
        <v>63.54</v>
      </c>
      <c r="Q746" s="0" t="n">
        <v>2029</v>
      </c>
      <c r="R746" s="0" t="n">
        <v>785</v>
      </c>
      <c r="W746" s="0" t="n">
        <v>2028</v>
      </c>
      <c r="X746" s="0" t="n">
        <v>262.361</v>
      </c>
    </row>
    <row r="747" customFormat="false" ht="15" hidden="false" customHeight="false" outlineLevel="0" collapsed="false">
      <c r="A747" s="0" t="n">
        <v>2028</v>
      </c>
      <c r="B747" s="0" t="n">
        <v>39.29590561</v>
      </c>
      <c r="C747" s="0" t="n">
        <v>825.2140177</v>
      </c>
      <c r="E747" s="0" t="n">
        <v>2028</v>
      </c>
      <c r="F747" s="0" t="n">
        <v>859.836677</v>
      </c>
      <c r="G747" s="0" t="n">
        <v>18055.02837</v>
      </c>
      <c r="I747" s="0" t="n">
        <v>2026</v>
      </c>
      <c r="J747" s="0" t="n">
        <v>6.3</v>
      </c>
      <c r="K747" s="0" t="n">
        <v>132.09</v>
      </c>
      <c r="M747" s="0" t="n">
        <v>2028</v>
      </c>
      <c r="N747" s="0" t="n">
        <v>110.96</v>
      </c>
      <c r="O747" s="0" t="n">
        <v>2324.84</v>
      </c>
      <c r="Q747" s="0" t="n">
        <v>2029</v>
      </c>
      <c r="R747" s="0" t="n">
        <v>372</v>
      </c>
      <c r="W747" s="0" t="n">
        <v>2028</v>
      </c>
      <c r="X747" s="0" t="n">
        <v>10646.64</v>
      </c>
    </row>
    <row r="748" customFormat="false" ht="15" hidden="false" customHeight="false" outlineLevel="0" collapsed="false">
      <c r="A748" s="0" t="n">
        <v>2028</v>
      </c>
      <c r="B748" s="0" t="n">
        <v>1104.226817</v>
      </c>
      <c r="C748" s="0" t="n">
        <v>23188.76316</v>
      </c>
      <c r="E748" s="0" t="n">
        <v>2028</v>
      </c>
      <c r="F748" s="0" t="n">
        <v>230.875673</v>
      </c>
      <c r="G748" s="0" t="n">
        <v>4847.97513</v>
      </c>
      <c r="I748" s="0" t="n">
        <v>2026</v>
      </c>
      <c r="J748" s="0" t="n">
        <v>3.6</v>
      </c>
      <c r="K748" s="0" t="n">
        <v>75.48</v>
      </c>
      <c r="M748" s="0" t="n">
        <v>2028</v>
      </c>
      <c r="N748" s="0" t="n">
        <v>73</v>
      </c>
      <c r="O748" s="0" t="n">
        <v>1529.5</v>
      </c>
      <c r="Q748" s="0" t="n">
        <v>2029</v>
      </c>
      <c r="R748" s="0" t="n">
        <v>83</v>
      </c>
      <c r="W748" s="0" t="n">
        <v>2028</v>
      </c>
      <c r="X748" s="0" t="n">
        <v>2661.66</v>
      </c>
    </row>
    <row r="749" customFormat="false" ht="15" hidden="false" customHeight="false" outlineLevel="0" collapsed="false">
      <c r="A749" s="0" t="n">
        <v>2028</v>
      </c>
      <c r="B749" s="0" t="n">
        <v>278.5186557</v>
      </c>
      <c r="C749" s="0" t="n">
        <v>5848.89177</v>
      </c>
      <c r="E749" s="0" t="n">
        <v>2028</v>
      </c>
      <c r="F749" s="0" t="n">
        <v>92.411501</v>
      </c>
      <c r="G749" s="0" t="n">
        <v>1940.47581</v>
      </c>
      <c r="I749" s="0" t="n">
        <v>2026</v>
      </c>
      <c r="J749" s="0" t="n">
        <v>3.6</v>
      </c>
      <c r="K749" s="0" t="n">
        <v>75.48</v>
      </c>
      <c r="M749" s="0" t="n">
        <v>2028</v>
      </c>
      <c r="N749" s="0" t="n">
        <v>29.2</v>
      </c>
      <c r="O749" s="0" t="n">
        <v>611.8</v>
      </c>
      <c r="Q749" s="0" t="n">
        <v>2029</v>
      </c>
      <c r="R749" s="0" t="n">
        <v>79</v>
      </c>
      <c r="W749" s="0" t="n">
        <v>2028</v>
      </c>
      <c r="X749" s="0" t="n">
        <v>824.256</v>
      </c>
    </row>
    <row r="750" customFormat="false" ht="15" hidden="false" customHeight="false" outlineLevel="0" collapsed="false">
      <c r="A750" s="0" t="n">
        <v>2028</v>
      </c>
      <c r="B750" s="0" t="n">
        <v>248.3705602</v>
      </c>
      <c r="C750" s="0" t="n">
        <v>5215.781764</v>
      </c>
      <c r="E750" s="0" t="n">
        <v>2028</v>
      </c>
      <c r="F750" s="0" t="n">
        <v>12.980807</v>
      </c>
      <c r="G750" s="0" t="n">
        <v>272.57367</v>
      </c>
      <c r="I750" s="0" t="n">
        <v>2026</v>
      </c>
      <c r="J750" s="0" t="n">
        <v>1.8</v>
      </c>
      <c r="K750" s="0" t="n">
        <v>37.74</v>
      </c>
      <c r="M750" s="0" t="n">
        <v>2028</v>
      </c>
      <c r="N750" s="0" t="n">
        <v>29.2</v>
      </c>
      <c r="O750" s="0" t="n">
        <v>611.8</v>
      </c>
      <c r="Q750" s="0" t="n">
        <v>2029</v>
      </c>
      <c r="R750" s="0" t="n">
        <v>79</v>
      </c>
      <c r="W750" s="0" t="n">
        <v>2028</v>
      </c>
      <c r="X750" s="0" t="n">
        <v>1459.62</v>
      </c>
    </row>
    <row r="751" customFormat="false" ht="15" hidden="false" customHeight="false" outlineLevel="0" collapsed="false">
      <c r="A751" s="0" t="n">
        <v>2028</v>
      </c>
      <c r="B751" s="0" t="n">
        <v>172.7270051</v>
      </c>
      <c r="C751" s="0" t="n">
        <v>3627.267107</v>
      </c>
      <c r="E751" s="0" t="n">
        <v>2028</v>
      </c>
      <c r="F751" s="0" t="n">
        <v>310.306367</v>
      </c>
      <c r="G751" s="0" t="n">
        <v>6515.87727</v>
      </c>
      <c r="I751" s="0" t="n">
        <v>2026</v>
      </c>
      <c r="J751" s="0" t="n">
        <v>1.8</v>
      </c>
      <c r="K751" s="0" t="n">
        <v>37.74</v>
      </c>
      <c r="M751" s="0" t="n">
        <v>2028</v>
      </c>
      <c r="N751" s="0" t="n">
        <v>17.52</v>
      </c>
      <c r="O751" s="0" t="n">
        <v>367.08</v>
      </c>
      <c r="Q751" s="0" t="n">
        <v>2029</v>
      </c>
      <c r="R751" s="0" t="n">
        <v>55</v>
      </c>
      <c r="W751" s="0" t="n">
        <v>2028</v>
      </c>
      <c r="X751" s="0" t="n">
        <v>652.536</v>
      </c>
    </row>
    <row r="752" customFormat="false" ht="15" hidden="false" customHeight="false" outlineLevel="0" collapsed="false">
      <c r="A752" s="0" t="n">
        <v>2028</v>
      </c>
      <c r="B752" s="0" t="n">
        <v>128.480121</v>
      </c>
      <c r="C752" s="0" t="n">
        <v>2698.08254</v>
      </c>
      <c r="E752" s="0" t="n">
        <v>2028</v>
      </c>
      <c r="F752" s="0" t="n">
        <v>14.526659</v>
      </c>
      <c r="G752" s="0" t="n">
        <v>305.03379</v>
      </c>
      <c r="I752" s="0" t="n">
        <v>2026</v>
      </c>
      <c r="J752" s="0" t="n">
        <v>3.6</v>
      </c>
      <c r="K752" s="0" t="n">
        <v>75.48</v>
      </c>
      <c r="M752" s="0" t="n">
        <v>2028</v>
      </c>
      <c r="N752" s="0" t="n">
        <v>14.6</v>
      </c>
      <c r="O752" s="0" t="n">
        <v>305.9</v>
      </c>
      <c r="Q752" s="0" t="n">
        <v>2029</v>
      </c>
      <c r="R752" s="0" t="n">
        <v>52</v>
      </c>
      <c r="W752" s="0" t="n">
        <v>2028</v>
      </c>
      <c r="X752" s="0" t="n">
        <v>257.58</v>
      </c>
    </row>
    <row r="753" customFormat="false" ht="15" hidden="false" customHeight="false" outlineLevel="0" collapsed="false">
      <c r="A753" s="0" t="n">
        <v>2028</v>
      </c>
      <c r="B753" s="0" t="n">
        <v>57.10227599</v>
      </c>
      <c r="C753" s="0" t="n">
        <v>1199.147796</v>
      </c>
      <c r="E753" s="0" t="n">
        <v>2028</v>
      </c>
      <c r="F753" s="0" t="n">
        <v>79.430694</v>
      </c>
      <c r="G753" s="0" t="n">
        <v>1667.90214</v>
      </c>
      <c r="I753" s="0" t="n">
        <v>2026</v>
      </c>
      <c r="J753" s="0" t="n">
        <v>6.3</v>
      </c>
      <c r="K753" s="0" t="n">
        <v>132.09</v>
      </c>
      <c r="M753" s="0" t="n">
        <v>2028</v>
      </c>
      <c r="N753" s="0" t="n">
        <v>11.68</v>
      </c>
      <c r="O753" s="0" t="n">
        <v>244.72</v>
      </c>
      <c r="Q753" s="0" t="n">
        <v>2029</v>
      </c>
      <c r="R753" s="0" t="n">
        <v>25</v>
      </c>
      <c r="W753" s="0" t="n">
        <v>2028</v>
      </c>
      <c r="X753" s="0" t="n">
        <v>377.784</v>
      </c>
    </row>
    <row r="754" customFormat="false" ht="15" hidden="false" customHeight="false" outlineLevel="0" collapsed="false">
      <c r="A754" s="0" t="n">
        <v>2028</v>
      </c>
      <c r="B754" s="0" t="n">
        <v>210.9117839</v>
      </c>
      <c r="C754" s="0" t="n">
        <v>4429.147462</v>
      </c>
      <c r="E754" s="0" t="n">
        <v>2028</v>
      </c>
      <c r="F754" s="0" t="n">
        <v>72.631622</v>
      </c>
      <c r="G754" s="0" t="n">
        <v>1525.13382</v>
      </c>
      <c r="I754" s="0" t="n">
        <v>2026</v>
      </c>
      <c r="J754" s="0" t="n">
        <v>2.7</v>
      </c>
      <c r="K754" s="0" t="n">
        <v>56.61</v>
      </c>
      <c r="M754" s="0" t="n">
        <v>2028</v>
      </c>
      <c r="N754" s="0" t="n">
        <v>5.84</v>
      </c>
      <c r="O754" s="0" t="n">
        <v>122.36</v>
      </c>
      <c r="Q754" s="0" t="n">
        <v>2029</v>
      </c>
      <c r="R754" s="0" t="n">
        <v>6</v>
      </c>
      <c r="W754" s="0" t="n">
        <v>2028</v>
      </c>
      <c r="X754" s="0" t="n">
        <v>291.924</v>
      </c>
    </row>
    <row r="755" customFormat="false" ht="15" hidden="false" customHeight="false" outlineLevel="0" collapsed="false">
      <c r="A755" s="0" t="n">
        <v>2028</v>
      </c>
      <c r="B755" s="0" t="n">
        <v>66.02275337</v>
      </c>
      <c r="C755" s="0" t="n">
        <v>1386.477821</v>
      </c>
      <c r="E755" s="0" t="n">
        <v>2028</v>
      </c>
      <c r="F755" s="0" t="n">
        <v>418.354486</v>
      </c>
      <c r="G755" s="0" t="n">
        <v>8780.818665</v>
      </c>
      <c r="I755" s="0" t="n">
        <v>2026</v>
      </c>
      <c r="J755" s="0" t="n">
        <v>2.7</v>
      </c>
      <c r="K755" s="0" t="n">
        <v>56.61</v>
      </c>
      <c r="M755" s="0" t="n">
        <v>2028</v>
      </c>
      <c r="N755" s="0" t="n">
        <v>111.34</v>
      </c>
      <c r="O755" s="0" t="n">
        <v>2330.92</v>
      </c>
      <c r="Q755" s="0" t="n">
        <v>2029</v>
      </c>
      <c r="R755" s="0" t="n">
        <v>5</v>
      </c>
      <c r="W755" s="0" t="n">
        <v>2028</v>
      </c>
      <c r="X755" s="0" t="n">
        <v>2874.94</v>
      </c>
    </row>
    <row r="756" customFormat="false" ht="15" hidden="false" customHeight="false" outlineLevel="0" collapsed="false">
      <c r="A756" s="0" t="n">
        <v>2028</v>
      </c>
      <c r="B756" s="0" t="n">
        <v>147.6228418</v>
      </c>
      <c r="C756" s="0" t="n">
        <v>3100.079678</v>
      </c>
      <c r="E756" s="0" t="n">
        <v>2028</v>
      </c>
      <c r="F756" s="0" t="n">
        <v>112.332814</v>
      </c>
      <c r="G756" s="0" t="n">
        <v>2357.747085</v>
      </c>
      <c r="I756" s="0" t="n">
        <v>2026</v>
      </c>
      <c r="J756" s="0" t="n">
        <v>8.32</v>
      </c>
      <c r="K756" s="0" t="n">
        <v>170.04</v>
      </c>
      <c r="M756" s="0" t="n">
        <v>2028</v>
      </c>
      <c r="N756" s="0" t="n">
        <v>73.25</v>
      </c>
      <c r="O756" s="0" t="n">
        <v>1533.5</v>
      </c>
      <c r="Q756" s="0" t="n">
        <v>2029</v>
      </c>
      <c r="R756" s="0" t="n">
        <v>5</v>
      </c>
      <c r="W756" s="0" t="n">
        <v>2028</v>
      </c>
      <c r="X756" s="0" t="n">
        <v>718.735</v>
      </c>
    </row>
    <row r="757" customFormat="false" ht="15" hidden="false" customHeight="false" outlineLevel="0" collapsed="false">
      <c r="A757" s="0" t="n">
        <v>2028</v>
      </c>
      <c r="B757" s="0" t="n">
        <v>306.5045121</v>
      </c>
      <c r="C757" s="0" t="n">
        <v>6436.594755</v>
      </c>
      <c r="E757" s="0" t="n">
        <v>2028</v>
      </c>
      <c r="F757" s="0" t="n">
        <v>44.962918</v>
      </c>
      <c r="G757" s="0" t="n">
        <v>943.724145</v>
      </c>
      <c r="I757" s="0" t="n">
        <v>2026</v>
      </c>
      <c r="J757" s="0" t="n">
        <v>1.28</v>
      </c>
      <c r="K757" s="0" t="n">
        <v>26.16</v>
      </c>
      <c r="M757" s="0" t="n">
        <v>2028</v>
      </c>
      <c r="N757" s="0" t="n">
        <v>29.3</v>
      </c>
      <c r="O757" s="0" t="n">
        <v>613.4</v>
      </c>
      <c r="Q757" s="0" t="n">
        <v>2029</v>
      </c>
      <c r="R757" s="0" t="n">
        <v>147</v>
      </c>
      <c r="W757" s="0" t="n">
        <v>2028</v>
      </c>
      <c r="X757" s="0" t="n">
        <v>222.576</v>
      </c>
    </row>
    <row r="758" customFormat="false" ht="15" hidden="false" customHeight="false" outlineLevel="0" collapsed="false">
      <c r="A758" s="0" t="n">
        <v>2028</v>
      </c>
      <c r="B758" s="0" t="n">
        <v>77.30950142</v>
      </c>
      <c r="C758" s="0" t="n">
        <v>1623.49953</v>
      </c>
      <c r="E758" s="0" t="n">
        <v>2028</v>
      </c>
      <c r="F758" s="0" t="n">
        <v>6.315826</v>
      </c>
      <c r="G758" s="0" t="n">
        <v>132.562515</v>
      </c>
      <c r="I758" s="0" t="n">
        <v>2026</v>
      </c>
      <c r="J758" s="0" t="n">
        <v>0.96</v>
      </c>
      <c r="K758" s="0" t="n">
        <v>19.62</v>
      </c>
      <c r="M758" s="0" t="n">
        <v>2028</v>
      </c>
      <c r="N758" s="0" t="n">
        <v>29.3</v>
      </c>
      <c r="O758" s="0" t="n">
        <v>613.4</v>
      </c>
      <c r="Q758" s="0" t="n">
        <v>2029</v>
      </c>
      <c r="R758" s="0" t="n">
        <v>140</v>
      </c>
      <c r="W758" s="0" t="n">
        <v>2028</v>
      </c>
      <c r="X758" s="0" t="n">
        <v>394.145</v>
      </c>
    </row>
    <row r="759" customFormat="false" ht="15" hidden="false" customHeight="false" outlineLevel="0" collapsed="false">
      <c r="A759" s="0" t="n">
        <v>2028</v>
      </c>
      <c r="B759" s="0" t="n">
        <v>68.94117785</v>
      </c>
      <c r="C759" s="0" t="n">
        <v>1447.764735</v>
      </c>
      <c r="E759" s="0" t="n">
        <v>2028</v>
      </c>
      <c r="F759" s="0" t="n">
        <v>150.979906</v>
      </c>
      <c r="G759" s="0" t="n">
        <v>3168.908715</v>
      </c>
      <c r="I759" s="0" t="n">
        <v>2026</v>
      </c>
      <c r="J759" s="0" t="n">
        <v>1.6</v>
      </c>
      <c r="K759" s="0" t="n">
        <v>32.7</v>
      </c>
      <c r="M759" s="0" t="n">
        <v>2028</v>
      </c>
      <c r="N759" s="0" t="n">
        <v>17.58</v>
      </c>
      <c r="O759" s="0" t="n">
        <v>368.04</v>
      </c>
      <c r="Q759" s="0" t="n">
        <v>2029</v>
      </c>
      <c r="R759" s="0" t="n">
        <v>66</v>
      </c>
      <c r="W759" s="0" t="n">
        <v>2028</v>
      </c>
      <c r="X759" s="0" t="n">
        <v>176.206</v>
      </c>
    </row>
    <row r="760" customFormat="false" ht="15" hidden="false" customHeight="false" outlineLevel="0" collapsed="false">
      <c r="A760" s="0" t="n">
        <v>2028</v>
      </c>
      <c r="B760" s="0" t="n">
        <v>47.94450343</v>
      </c>
      <c r="C760" s="0" t="n">
        <v>1006.834572</v>
      </c>
      <c r="E760" s="0" t="n">
        <v>2028</v>
      </c>
      <c r="F760" s="0" t="n">
        <v>7.067962</v>
      </c>
      <c r="G760" s="0" t="n">
        <v>148.349055</v>
      </c>
      <c r="I760" s="0" t="n">
        <v>2026</v>
      </c>
      <c r="J760" s="0" t="n">
        <v>0.32</v>
      </c>
      <c r="K760" s="0" t="n">
        <v>6.54</v>
      </c>
      <c r="M760" s="0" t="n">
        <v>2028</v>
      </c>
      <c r="N760" s="0" t="n">
        <v>14.65</v>
      </c>
      <c r="O760" s="0" t="n">
        <v>306.7</v>
      </c>
      <c r="Q760" s="0" t="n">
        <v>2029</v>
      </c>
      <c r="R760" s="0" t="n">
        <v>15</v>
      </c>
      <c r="W760" s="0" t="n">
        <v>2028</v>
      </c>
      <c r="X760" s="0" t="n">
        <v>69.555</v>
      </c>
    </row>
    <row r="761" customFormat="false" ht="15" hidden="false" customHeight="false" outlineLevel="0" collapsed="false">
      <c r="A761" s="0" t="n">
        <v>2028</v>
      </c>
      <c r="B761" s="0" t="n">
        <v>35.66272453</v>
      </c>
      <c r="C761" s="0" t="n">
        <v>748.9172151</v>
      </c>
      <c r="E761" s="0" t="n">
        <v>2028</v>
      </c>
      <c r="F761" s="0" t="n">
        <v>38.647092</v>
      </c>
      <c r="G761" s="0" t="n">
        <v>811.16163</v>
      </c>
      <c r="I761" s="0" t="n">
        <v>2026</v>
      </c>
      <c r="J761" s="0" t="n">
        <v>0.32</v>
      </c>
      <c r="K761" s="0" t="n">
        <v>6.54</v>
      </c>
      <c r="M761" s="0" t="n">
        <v>2028</v>
      </c>
      <c r="N761" s="0" t="n">
        <v>11.72</v>
      </c>
      <c r="O761" s="0" t="n">
        <v>245.36</v>
      </c>
      <c r="Q761" s="0" t="n">
        <v>2029</v>
      </c>
      <c r="R761" s="0" t="n">
        <v>15</v>
      </c>
      <c r="W761" s="0" t="n">
        <v>2028</v>
      </c>
      <c r="X761" s="0" t="n">
        <v>102.014</v>
      </c>
    </row>
    <row r="762" customFormat="false" ht="15" hidden="false" customHeight="false" outlineLevel="0" collapsed="false">
      <c r="A762" s="0" t="n">
        <v>2028</v>
      </c>
      <c r="B762" s="0" t="n">
        <v>15.85009979</v>
      </c>
      <c r="C762" s="0" t="n">
        <v>332.8520956</v>
      </c>
      <c r="E762" s="0" t="n">
        <v>2028</v>
      </c>
      <c r="F762" s="0" t="n">
        <v>35.338996</v>
      </c>
      <c r="G762" s="0" t="n">
        <v>741.72819</v>
      </c>
      <c r="I762" s="0" t="n">
        <v>2026</v>
      </c>
      <c r="J762" s="0" t="n">
        <v>0</v>
      </c>
      <c r="K762" s="0" t="n">
        <v>0</v>
      </c>
      <c r="M762" s="0" t="n">
        <v>2028</v>
      </c>
      <c r="N762" s="0" t="n">
        <v>5.86</v>
      </c>
      <c r="O762" s="0" t="n">
        <v>122.68</v>
      </c>
      <c r="Q762" s="0" t="n">
        <v>2029</v>
      </c>
      <c r="R762" s="0" t="n">
        <v>15</v>
      </c>
      <c r="W762" s="0" t="n">
        <v>2028</v>
      </c>
      <c r="X762" s="0" t="n">
        <v>78.829</v>
      </c>
    </row>
    <row r="763" customFormat="false" ht="15" hidden="false" customHeight="false" outlineLevel="0" collapsed="false">
      <c r="A763" s="0" t="n">
        <v>2028</v>
      </c>
      <c r="B763" s="0" t="n">
        <v>58.54360031</v>
      </c>
      <c r="C763" s="0" t="n">
        <v>1229.415607</v>
      </c>
      <c r="E763" s="0" t="n">
        <v>2028</v>
      </c>
      <c r="F763" s="0" t="n">
        <v>330.983156</v>
      </c>
      <c r="G763" s="0" t="n">
        <v>6940.881245</v>
      </c>
      <c r="I763" s="0" t="n">
        <v>2026</v>
      </c>
      <c r="J763" s="0" t="n">
        <v>0.64</v>
      </c>
      <c r="K763" s="0" t="n">
        <v>13.08</v>
      </c>
      <c r="M763" s="0" t="n">
        <v>2028</v>
      </c>
      <c r="N763" s="0" t="n">
        <v>619.78</v>
      </c>
      <c r="O763" s="0" t="n">
        <v>13011.96</v>
      </c>
      <c r="Q763" s="0" t="n">
        <v>2029</v>
      </c>
      <c r="R763" s="0" t="n">
        <v>280</v>
      </c>
      <c r="W763" s="0" t="n">
        <v>2028</v>
      </c>
      <c r="X763" s="0" t="n">
        <v>6496.98</v>
      </c>
    </row>
    <row r="764" customFormat="false" ht="15" hidden="false" customHeight="false" outlineLevel="0" collapsed="false">
      <c r="A764" s="0" t="n">
        <v>2028</v>
      </c>
      <c r="B764" s="0" t="n">
        <v>18.32619123</v>
      </c>
      <c r="C764" s="0" t="n">
        <v>384.8500158</v>
      </c>
      <c r="E764" s="0" t="n">
        <v>2028</v>
      </c>
      <c r="F764" s="0" t="n">
        <v>88.872644</v>
      </c>
      <c r="G764" s="0" t="n">
        <v>1863.703505</v>
      </c>
      <c r="I764" s="0" t="n">
        <v>2026</v>
      </c>
      <c r="J764" s="0" t="n">
        <v>1.12</v>
      </c>
      <c r="K764" s="0" t="n">
        <v>22.89</v>
      </c>
      <c r="M764" s="0" t="n">
        <v>2028</v>
      </c>
      <c r="N764" s="0" t="n">
        <v>407.75</v>
      </c>
      <c r="O764" s="0" t="n">
        <v>8560.5</v>
      </c>
      <c r="Q764" s="0" t="n">
        <v>2029</v>
      </c>
      <c r="R764" s="0" t="n">
        <v>266</v>
      </c>
      <c r="W764" s="0" t="n">
        <v>2028</v>
      </c>
      <c r="X764" s="0" t="n">
        <v>1624.245</v>
      </c>
    </row>
    <row r="765" customFormat="false" ht="15" hidden="false" customHeight="false" outlineLevel="0" collapsed="false">
      <c r="A765" s="0" t="n">
        <v>2028</v>
      </c>
      <c r="B765" s="0" t="n">
        <v>40.97624366</v>
      </c>
      <c r="C765" s="0" t="n">
        <v>860.5011168</v>
      </c>
      <c r="E765" s="0" t="n">
        <v>2028</v>
      </c>
      <c r="F765" s="0" t="n">
        <v>35.572628</v>
      </c>
      <c r="G765" s="0" t="n">
        <v>745.975685</v>
      </c>
      <c r="I765" s="0" t="n">
        <v>2026</v>
      </c>
      <c r="J765" s="0" t="n">
        <v>0.32</v>
      </c>
      <c r="K765" s="0" t="n">
        <v>6.54</v>
      </c>
      <c r="M765" s="0" t="n">
        <v>2028</v>
      </c>
      <c r="N765" s="0" t="n">
        <v>163.1</v>
      </c>
      <c r="O765" s="0" t="n">
        <v>3424.2</v>
      </c>
      <c r="Q765" s="0" t="n">
        <v>2029</v>
      </c>
      <c r="R765" s="0" t="n">
        <v>126</v>
      </c>
      <c r="W765" s="0" t="n">
        <v>2028</v>
      </c>
      <c r="X765" s="0" t="n">
        <v>502.992</v>
      </c>
    </row>
    <row r="766" customFormat="false" ht="15" hidden="false" customHeight="false" outlineLevel="0" collapsed="false">
      <c r="A766" s="0" t="n">
        <v>2028</v>
      </c>
      <c r="B766" s="0" t="n">
        <v>170.4256405</v>
      </c>
      <c r="C766" s="0" t="n">
        <v>3578.938451</v>
      </c>
      <c r="E766" s="0" t="n">
        <v>2028</v>
      </c>
      <c r="F766" s="0" t="n">
        <v>4.996796</v>
      </c>
      <c r="G766" s="0" t="n">
        <v>104.785295</v>
      </c>
      <c r="I766" s="0" t="n">
        <v>2026</v>
      </c>
      <c r="J766" s="0" t="n">
        <v>1.12</v>
      </c>
      <c r="K766" s="0" t="n">
        <v>22.89</v>
      </c>
      <c r="M766" s="0" t="n">
        <v>2028</v>
      </c>
      <c r="N766" s="0" t="n">
        <v>163.1</v>
      </c>
      <c r="O766" s="0" t="n">
        <v>3424.2</v>
      </c>
      <c r="Q766" s="0" t="n">
        <v>2029</v>
      </c>
      <c r="R766" s="0" t="n">
        <v>28</v>
      </c>
      <c r="W766" s="0" t="n">
        <v>2028</v>
      </c>
      <c r="X766" s="0" t="n">
        <v>890.715</v>
      </c>
    </row>
    <row r="767" customFormat="false" ht="15" hidden="false" customHeight="false" outlineLevel="0" collapsed="false">
      <c r="A767" s="0" t="n">
        <v>2028</v>
      </c>
      <c r="B767" s="0" t="n">
        <v>42.98638609</v>
      </c>
      <c r="C767" s="0" t="n">
        <v>902.7141079</v>
      </c>
      <c r="E767" s="0" t="n">
        <v>2028</v>
      </c>
      <c r="F767" s="0" t="n">
        <v>119.448476</v>
      </c>
      <c r="G767" s="0" t="n">
        <v>2504.893895</v>
      </c>
      <c r="I767" s="0" t="n">
        <v>2026</v>
      </c>
      <c r="J767" s="0" t="n">
        <v>27.84</v>
      </c>
      <c r="K767" s="0" t="n">
        <v>584.16</v>
      </c>
      <c r="M767" s="0" t="n">
        <v>2028</v>
      </c>
      <c r="N767" s="0" t="n">
        <v>97.86</v>
      </c>
      <c r="O767" s="0" t="n">
        <v>2054.52</v>
      </c>
      <c r="Q767" s="0" t="n">
        <v>2029</v>
      </c>
      <c r="R767" s="0" t="n">
        <v>26</v>
      </c>
      <c r="W767" s="0" t="n">
        <v>2028</v>
      </c>
      <c r="X767" s="0" t="n">
        <v>398.202</v>
      </c>
    </row>
    <row r="768" customFormat="false" ht="15" hidden="false" customHeight="false" outlineLevel="0" collapsed="false">
      <c r="A768" s="0" t="n">
        <v>2028</v>
      </c>
      <c r="B768" s="0" t="n">
        <v>38.33334887</v>
      </c>
      <c r="C768" s="0" t="n">
        <v>805.0003262</v>
      </c>
      <c r="E768" s="0" t="n">
        <v>2028</v>
      </c>
      <c r="F768" s="0" t="n">
        <v>5.591852</v>
      </c>
      <c r="G768" s="0" t="n">
        <v>117.263915</v>
      </c>
      <c r="I768" s="0" t="n">
        <v>2026</v>
      </c>
      <c r="J768" s="0" t="n">
        <v>9.28</v>
      </c>
      <c r="K768" s="0" t="n">
        <v>194.72</v>
      </c>
      <c r="M768" s="0" t="n">
        <v>2028</v>
      </c>
      <c r="N768" s="0" t="n">
        <v>81.55</v>
      </c>
      <c r="O768" s="0" t="n">
        <v>1712.1</v>
      </c>
      <c r="Q768" s="0" t="n">
        <v>2029</v>
      </c>
      <c r="R768" s="0" t="n">
        <v>26</v>
      </c>
      <c r="W768" s="0" t="n">
        <v>2028</v>
      </c>
      <c r="X768" s="0" t="n">
        <v>157.185</v>
      </c>
    </row>
    <row r="769" customFormat="false" ht="15" hidden="false" customHeight="false" outlineLevel="0" collapsed="false">
      <c r="A769" s="0" t="n">
        <v>2028</v>
      </c>
      <c r="B769" s="0" t="n">
        <v>26.65857233</v>
      </c>
      <c r="C769" s="0" t="n">
        <v>559.830019</v>
      </c>
      <c r="E769" s="0" t="n">
        <v>2028</v>
      </c>
      <c r="F769" s="0" t="n">
        <v>30.575832</v>
      </c>
      <c r="G769" s="0" t="n">
        <v>641.19039</v>
      </c>
      <c r="I769" s="0" t="n">
        <v>2026</v>
      </c>
      <c r="J769" s="0" t="n">
        <v>4.06</v>
      </c>
      <c r="K769" s="0" t="n">
        <v>85.19</v>
      </c>
      <c r="M769" s="0" t="n">
        <v>2028</v>
      </c>
      <c r="N769" s="0" t="n">
        <v>65.24</v>
      </c>
      <c r="O769" s="0" t="n">
        <v>1369.68</v>
      </c>
      <c r="Q769" s="0" t="n">
        <v>2029</v>
      </c>
      <c r="R769" s="0" t="n">
        <v>1348</v>
      </c>
      <c r="W769" s="0" t="n">
        <v>2028</v>
      </c>
      <c r="X769" s="0" t="n">
        <v>230.538</v>
      </c>
    </row>
    <row r="770" customFormat="false" ht="15" hidden="false" customHeight="false" outlineLevel="0" collapsed="false">
      <c r="A770" s="0" t="n">
        <v>2028</v>
      </c>
      <c r="B770" s="0" t="n">
        <v>19.82953735</v>
      </c>
      <c r="C770" s="0" t="n">
        <v>416.4202843</v>
      </c>
      <c r="E770" s="0" t="n">
        <v>2028</v>
      </c>
      <c r="F770" s="0" t="n">
        <v>27.958616</v>
      </c>
      <c r="G770" s="0" t="n">
        <v>586.30607</v>
      </c>
      <c r="I770" s="0" t="n">
        <v>2026</v>
      </c>
      <c r="J770" s="0" t="n">
        <v>2.32</v>
      </c>
      <c r="K770" s="0" t="n">
        <v>48.68</v>
      </c>
      <c r="M770" s="0" t="n">
        <v>2028</v>
      </c>
      <c r="N770" s="0" t="n">
        <v>32.62</v>
      </c>
      <c r="O770" s="0" t="n">
        <v>684.84</v>
      </c>
      <c r="Q770" s="0" t="n">
        <v>2029</v>
      </c>
      <c r="R770" s="0" t="n">
        <v>1280</v>
      </c>
      <c r="W770" s="0" t="n">
        <v>2028</v>
      </c>
      <c r="X770" s="0" t="n">
        <v>178.143</v>
      </c>
    </row>
    <row r="771" customFormat="false" ht="15" hidden="false" customHeight="false" outlineLevel="0" collapsed="false">
      <c r="A771" s="0" t="n">
        <v>2028</v>
      </c>
      <c r="B771" s="0" t="n">
        <v>8.81312771</v>
      </c>
      <c r="C771" s="0" t="n">
        <v>185.0756819</v>
      </c>
      <c r="E771" s="0" t="n">
        <v>2028</v>
      </c>
      <c r="F771" s="0" t="n">
        <v>214.316733</v>
      </c>
      <c r="G771" s="0" t="n">
        <v>4493.970056</v>
      </c>
      <c r="I771" s="0" t="n">
        <v>2026</v>
      </c>
      <c r="J771" s="0" t="n">
        <v>2.32</v>
      </c>
      <c r="K771" s="0" t="n">
        <v>48.68</v>
      </c>
      <c r="M771" s="0" t="n">
        <v>2028</v>
      </c>
      <c r="N771" s="0" t="n">
        <v>210.9</v>
      </c>
      <c r="O771" s="0" t="n">
        <v>4423.2</v>
      </c>
      <c r="Q771" s="0" t="n">
        <v>2029</v>
      </c>
      <c r="R771" s="0" t="n">
        <v>607</v>
      </c>
      <c r="W771" s="0" t="n">
        <v>2028</v>
      </c>
      <c r="X771" s="0" t="n">
        <v>1683.92</v>
      </c>
    </row>
    <row r="772" customFormat="false" ht="15" hidden="false" customHeight="false" outlineLevel="0" collapsed="false">
      <c r="A772" s="0" t="n">
        <v>2028</v>
      </c>
      <c r="B772" s="0" t="n">
        <v>32.55198598</v>
      </c>
      <c r="C772" s="0" t="n">
        <v>683.5917056</v>
      </c>
      <c r="E772" s="0" t="n">
        <v>2028</v>
      </c>
      <c r="F772" s="0" t="n">
        <v>57.546417</v>
      </c>
      <c r="G772" s="0" t="n">
        <v>1206.680744</v>
      </c>
      <c r="I772" s="0" t="n">
        <v>2026</v>
      </c>
      <c r="J772" s="0" t="n">
        <v>1.16</v>
      </c>
      <c r="K772" s="0" t="n">
        <v>24.34</v>
      </c>
      <c r="M772" s="0" t="n">
        <v>2028</v>
      </c>
      <c r="N772" s="0" t="n">
        <v>138.75</v>
      </c>
      <c r="O772" s="0" t="n">
        <v>2910</v>
      </c>
      <c r="Q772" s="0" t="n">
        <v>2029</v>
      </c>
      <c r="R772" s="0" t="n">
        <v>135</v>
      </c>
      <c r="W772" s="0" t="n">
        <v>2028</v>
      </c>
      <c r="X772" s="0" t="n">
        <v>420.98</v>
      </c>
    </row>
    <row r="773" customFormat="false" ht="15" hidden="false" customHeight="false" outlineLevel="0" collapsed="false">
      <c r="A773" s="0" t="n">
        <v>2028</v>
      </c>
      <c r="B773" s="0" t="n">
        <v>10.18990832</v>
      </c>
      <c r="C773" s="0" t="n">
        <v>213.9880747</v>
      </c>
      <c r="E773" s="0" t="n">
        <v>2028</v>
      </c>
      <c r="F773" s="0" t="n">
        <v>23.033829</v>
      </c>
      <c r="G773" s="0" t="n">
        <v>482.992328</v>
      </c>
      <c r="I773" s="0" t="n">
        <v>2026</v>
      </c>
      <c r="J773" s="0" t="n">
        <v>1.16</v>
      </c>
      <c r="K773" s="0" t="n">
        <v>24.34</v>
      </c>
      <c r="M773" s="0" t="n">
        <v>2028</v>
      </c>
      <c r="N773" s="0" t="n">
        <v>55.5</v>
      </c>
      <c r="O773" s="0" t="n">
        <v>1164</v>
      </c>
      <c r="Q773" s="0" t="n">
        <v>2029</v>
      </c>
      <c r="R773" s="0" t="n">
        <v>130</v>
      </c>
      <c r="W773" s="0" t="n">
        <v>2028</v>
      </c>
      <c r="X773" s="0" t="n">
        <v>130.368</v>
      </c>
    </row>
    <row r="774" customFormat="false" ht="15" hidden="false" customHeight="false" outlineLevel="0" collapsed="false">
      <c r="A774" s="0" t="n">
        <v>2028</v>
      </c>
      <c r="B774" s="0" t="n">
        <v>22.78401229</v>
      </c>
      <c r="C774" s="0" t="n">
        <v>478.4642581</v>
      </c>
      <c r="E774" s="0" t="n">
        <v>2028</v>
      </c>
      <c r="F774" s="0" t="n">
        <v>3.235503</v>
      </c>
      <c r="G774" s="0" t="n">
        <v>67.844696</v>
      </c>
      <c r="I774" s="0" t="n">
        <v>2026</v>
      </c>
      <c r="J774" s="0" t="n">
        <v>2.32</v>
      </c>
      <c r="K774" s="0" t="n">
        <v>48.68</v>
      </c>
      <c r="M774" s="0" t="n">
        <v>2028</v>
      </c>
      <c r="N774" s="0" t="n">
        <v>55.5</v>
      </c>
      <c r="O774" s="0" t="n">
        <v>1164</v>
      </c>
      <c r="Q774" s="0" t="n">
        <v>2029</v>
      </c>
      <c r="R774" s="0" t="n">
        <v>130</v>
      </c>
      <c r="W774" s="0" t="n">
        <v>2028</v>
      </c>
      <c r="X774" s="0" t="n">
        <v>230.86</v>
      </c>
    </row>
    <row r="775" customFormat="false" ht="15" hidden="false" customHeight="false" outlineLevel="0" collapsed="false">
      <c r="A775" s="0" t="n">
        <v>2028</v>
      </c>
      <c r="B775" s="0" t="n">
        <v>145.5954147</v>
      </c>
      <c r="C775" s="0" t="n">
        <v>3057.50371</v>
      </c>
      <c r="E775" s="0" t="n">
        <v>2028</v>
      </c>
      <c r="F775" s="0" t="n">
        <v>77.344743</v>
      </c>
      <c r="G775" s="0" t="n">
        <v>1621.828376</v>
      </c>
      <c r="I775" s="0" t="n">
        <v>2026</v>
      </c>
      <c r="J775" s="0" t="n">
        <v>4.06</v>
      </c>
      <c r="K775" s="0" t="n">
        <v>85.19</v>
      </c>
      <c r="M775" s="0" t="n">
        <v>2028</v>
      </c>
      <c r="N775" s="0" t="n">
        <v>33.3</v>
      </c>
      <c r="O775" s="0" t="n">
        <v>698.4</v>
      </c>
      <c r="Q775" s="0" t="n">
        <v>2029</v>
      </c>
      <c r="R775" s="0" t="n">
        <v>286</v>
      </c>
      <c r="W775" s="0" t="n">
        <v>2028</v>
      </c>
      <c r="X775" s="0" t="n">
        <v>103.208</v>
      </c>
    </row>
    <row r="776" customFormat="false" ht="15" hidden="false" customHeight="false" outlineLevel="0" collapsed="false">
      <c r="A776" s="0" t="n">
        <v>2028</v>
      </c>
      <c r="B776" s="0" t="n">
        <v>36.72346891</v>
      </c>
      <c r="C776" s="0" t="n">
        <v>771.1928472</v>
      </c>
      <c r="E776" s="0" t="n">
        <v>2028</v>
      </c>
      <c r="F776" s="0" t="n">
        <v>3.620811</v>
      </c>
      <c r="G776" s="0" t="n">
        <v>75.924152</v>
      </c>
      <c r="I776" s="0" t="n">
        <v>2026</v>
      </c>
      <c r="J776" s="0" t="n">
        <v>1.74</v>
      </c>
      <c r="K776" s="0" t="n">
        <v>36.51</v>
      </c>
      <c r="M776" s="0" t="n">
        <v>2028</v>
      </c>
      <c r="N776" s="0" t="n">
        <v>27.75</v>
      </c>
      <c r="O776" s="0" t="n">
        <v>582</v>
      </c>
      <c r="Q776" s="0" t="n">
        <v>2029</v>
      </c>
      <c r="R776" s="0" t="n">
        <v>272</v>
      </c>
      <c r="W776" s="0" t="n">
        <v>2028</v>
      </c>
      <c r="X776" s="0" t="n">
        <v>40.74</v>
      </c>
    </row>
    <row r="777" customFormat="false" ht="15" hidden="false" customHeight="false" outlineLevel="0" collapsed="false">
      <c r="A777" s="0" t="n">
        <v>2028</v>
      </c>
      <c r="B777" s="0" t="n">
        <v>32.74835764</v>
      </c>
      <c r="C777" s="0" t="n">
        <v>687.7155105</v>
      </c>
      <c r="E777" s="0" t="n">
        <v>2028</v>
      </c>
      <c r="F777" s="0" t="n">
        <v>19.798326</v>
      </c>
      <c r="G777" s="0" t="n">
        <v>415.147632</v>
      </c>
      <c r="I777" s="0" t="n">
        <v>2026</v>
      </c>
      <c r="J777" s="0" t="n">
        <v>1.74</v>
      </c>
      <c r="K777" s="0" t="n">
        <v>36.51</v>
      </c>
      <c r="M777" s="0" t="n">
        <v>2028</v>
      </c>
      <c r="N777" s="0" t="n">
        <v>22.2</v>
      </c>
      <c r="O777" s="0" t="n">
        <v>465.6</v>
      </c>
      <c r="Q777" s="0" t="n">
        <v>2029</v>
      </c>
      <c r="R777" s="0" t="n">
        <v>129</v>
      </c>
      <c r="W777" s="0" t="n">
        <v>2028</v>
      </c>
      <c r="X777" s="0" t="n">
        <v>59.752</v>
      </c>
    </row>
    <row r="778" customFormat="false" ht="15" hidden="false" customHeight="false" outlineLevel="0" collapsed="false">
      <c r="A778" s="0" t="n">
        <v>2028</v>
      </c>
      <c r="B778" s="0" t="n">
        <v>22.77454193</v>
      </c>
      <c r="C778" s="0" t="n">
        <v>478.2653804</v>
      </c>
      <c r="E778" s="0" t="n">
        <v>2028</v>
      </c>
      <c r="F778" s="0" t="n">
        <v>18.103638</v>
      </c>
      <c r="G778" s="0" t="n">
        <v>379.612016</v>
      </c>
      <c r="I778" s="0" t="n">
        <v>2026</v>
      </c>
      <c r="J778" s="0" t="n">
        <v>20.8</v>
      </c>
      <c r="K778" s="0" t="n">
        <v>436.28</v>
      </c>
      <c r="M778" s="0" t="n">
        <v>2028</v>
      </c>
      <c r="N778" s="0" t="n">
        <v>11.1</v>
      </c>
      <c r="O778" s="0" t="n">
        <v>232.8</v>
      </c>
      <c r="Q778" s="0" t="n">
        <v>2029</v>
      </c>
      <c r="R778" s="0" t="n">
        <v>29</v>
      </c>
      <c r="W778" s="0" t="n">
        <v>2028</v>
      </c>
      <c r="X778" s="0" t="n">
        <v>46.172</v>
      </c>
    </row>
    <row r="779" customFormat="false" ht="15" hidden="false" customHeight="false" outlineLevel="0" collapsed="false">
      <c r="A779" s="0" t="n">
        <v>2028</v>
      </c>
      <c r="B779" s="0" t="n">
        <v>16.94046568</v>
      </c>
      <c r="C779" s="0" t="n">
        <v>355.7497793</v>
      </c>
      <c r="E779" s="0" t="n">
        <v>2028</v>
      </c>
      <c r="F779" s="0" t="n">
        <v>231.27705</v>
      </c>
      <c r="G779" s="0" t="n">
        <v>4850.650662</v>
      </c>
      <c r="I779" s="0" t="n">
        <v>2026</v>
      </c>
      <c r="J779" s="0" t="n">
        <v>3.2</v>
      </c>
      <c r="K779" s="0" t="n">
        <v>67.12</v>
      </c>
      <c r="M779" s="0" t="n">
        <v>2028</v>
      </c>
      <c r="N779" s="0" t="n">
        <v>28.5</v>
      </c>
      <c r="O779" s="0" t="n">
        <v>594.32</v>
      </c>
      <c r="Q779" s="0" t="n">
        <v>2029</v>
      </c>
      <c r="R779" s="0" t="n">
        <v>28</v>
      </c>
      <c r="W779" s="0" t="n">
        <v>2028</v>
      </c>
      <c r="X779" s="0" t="n">
        <v>2950.58</v>
      </c>
    </row>
    <row r="780" customFormat="false" ht="15" hidden="false" customHeight="false" outlineLevel="0" collapsed="false">
      <c r="A780" s="0" t="n">
        <v>2028</v>
      </c>
      <c r="B780" s="0" t="n">
        <v>7.529095858</v>
      </c>
      <c r="C780" s="0" t="n">
        <v>158.111013</v>
      </c>
      <c r="E780" s="0" t="n">
        <v>2028</v>
      </c>
      <c r="F780" s="0" t="n">
        <v>62.10045</v>
      </c>
      <c r="G780" s="0" t="n">
        <v>1302.453438</v>
      </c>
      <c r="I780" s="0" t="n">
        <v>2026</v>
      </c>
      <c r="J780" s="0" t="n">
        <v>2.4</v>
      </c>
      <c r="K780" s="0" t="n">
        <v>50.34</v>
      </c>
      <c r="M780" s="0" t="n">
        <v>2028</v>
      </c>
      <c r="N780" s="0" t="n">
        <v>18.75</v>
      </c>
      <c r="O780" s="0" t="n">
        <v>391</v>
      </c>
      <c r="Q780" s="0" t="n">
        <v>2029</v>
      </c>
      <c r="R780" s="0" t="n">
        <v>28</v>
      </c>
      <c r="W780" s="0" t="n">
        <v>2028</v>
      </c>
      <c r="X780" s="0" t="n">
        <v>737.645</v>
      </c>
    </row>
    <row r="781" customFormat="false" ht="15" hidden="false" customHeight="false" outlineLevel="0" collapsed="false">
      <c r="A781" s="0" t="n">
        <v>2028</v>
      </c>
      <c r="B781" s="0" t="n">
        <v>27.80931252</v>
      </c>
      <c r="C781" s="0" t="n">
        <v>583.995563</v>
      </c>
      <c r="E781" s="0" t="n">
        <v>2028</v>
      </c>
      <c r="F781" s="0" t="n">
        <v>24.85665</v>
      </c>
      <c r="G781" s="0" t="n">
        <v>521.326806</v>
      </c>
      <c r="I781" s="0" t="n">
        <v>2026</v>
      </c>
      <c r="J781" s="0" t="n">
        <v>4</v>
      </c>
      <c r="K781" s="0" t="n">
        <v>83.9</v>
      </c>
      <c r="M781" s="0" t="n">
        <v>2028</v>
      </c>
      <c r="N781" s="0" t="n">
        <v>7.5</v>
      </c>
      <c r="O781" s="0" t="n">
        <v>156.4</v>
      </c>
      <c r="Q781" s="0" t="n">
        <v>2029</v>
      </c>
      <c r="R781" s="0" t="n">
        <v>522</v>
      </c>
      <c r="W781" s="0" t="n">
        <v>2028</v>
      </c>
      <c r="X781" s="0" t="n">
        <v>228.432</v>
      </c>
    </row>
    <row r="782" customFormat="false" ht="15" hidden="false" customHeight="false" outlineLevel="0" collapsed="false">
      <c r="A782" s="0" t="n">
        <v>2028</v>
      </c>
      <c r="B782" s="0" t="n">
        <v>8.705285917</v>
      </c>
      <c r="C782" s="0" t="n">
        <v>182.8110043</v>
      </c>
      <c r="E782" s="0" t="n">
        <v>2028</v>
      </c>
      <c r="F782" s="0" t="n">
        <v>3.49155</v>
      </c>
      <c r="G782" s="0" t="n">
        <v>73.229442</v>
      </c>
      <c r="I782" s="0" t="n">
        <v>2026</v>
      </c>
      <c r="J782" s="0" t="n">
        <v>0.8</v>
      </c>
      <c r="K782" s="0" t="n">
        <v>16.78</v>
      </c>
      <c r="M782" s="0" t="n">
        <v>2028</v>
      </c>
      <c r="N782" s="0" t="n">
        <v>7.5</v>
      </c>
      <c r="O782" s="0" t="n">
        <v>156.4</v>
      </c>
      <c r="Q782" s="0" t="n">
        <v>2029</v>
      </c>
      <c r="R782" s="0" t="n">
        <v>496</v>
      </c>
      <c r="W782" s="0" t="n">
        <v>2028</v>
      </c>
      <c r="X782" s="0" t="n">
        <v>404.515</v>
      </c>
    </row>
    <row r="783" customFormat="false" ht="15" hidden="false" customHeight="false" outlineLevel="0" collapsed="false">
      <c r="A783" s="0" t="n">
        <v>2028</v>
      </c>
      <c r="B783" s="0" t="n">
        <v>19.46448732</v>
      </c>
      <c r="C783" s="0" t="n">
        <v>408.7542338</v>
      </c>
      <c r="E783" s="0" t="n">
        <v>2028</v>
      </c>
      <c r="F783" s="0" t="n">
        <v>83.46555</v>
      </c>
      <c r="G783" s="0" t="n">
        <v>1750.550802</v>
      </c>
      <c r="I783" s="0" t="n">
        <v>2026</v>
      </c>
      <c r="J783" s="0" t="n">
        <v>0.8</v>
      </c>
      <c r="K783" s="0" t="n">
        <v>16.78</v>
      </c>
      <c r="M783" s="0" t="n">
        <v>2028</v>
      </c>
      <c r="N783" s="0" t="n">
        <v>4.5</v>
      </c>
      <c r="O783" s="0" t="n">
        <v>93.84</v>
      </c>
      <c r="Q783" s="0" t="n">
        <v>2029</v>
      </c>
      <c r="R783" s="0" t="n">
        <v>235</v>
      </c>
      <c r="W783" s="0" t="n">
        <v>2028</v>
      </c>
      <c r="X783" s="0" t="n">
        <v>180.842</v>
      </c>
    </row>
    <row r="784" customFormat="false" ht="15" hidden="false" customHeight="false" outlineLevel="0" collapsed="false">
      <c r="A784" s="0" t="n">
        <v>2028</v>
      </c>
      <c r="B784" s="0" t="n">
        <v>194.4606834</v>
      </c>
      <c r="C784" s="0" t="n">
        <v>4083.674352</v>
      </c>
      <c r="E784" s="0" t="n">
        <v>2028</v>
      </c>
      <c r="F784" s="0" t="n">
        <v>3.90735</v>
      </c>
      <c r="G784" s="0" t="n">
        <v>81.950154</v>
      </c>
      <c r="I784" s="0" t="n">
        <v>2026</v>
      </c>
      <c r="J784" s="0" t="n">
        <v>0</v>
      </c>
      <c r="K784" s="0" t="n">
        <v>0</v>
      </c>
      <c r="M784" s="0" t="n">
        <v>2028</v>
      </c>
      <c r="N784" s="0" t="n">
        <v>3.75</v>
      </c>
      <c r="O784" s="0" t="n">
        <v>78.2</v>
      </c>
      <c r="Q784" s="0" t="n">
        <v>2029</v>
      </c>
      <c r="R784" s="0" t="n">
        <v>52</v>
      </c>
      <c r="W784" s="0" t="n">
        <v>2028</v>
      </c>
      <c r="X784" s="0" t="n">
        <v>71.385</v>
      </c>
    </row>
    <row r="785" customFormat="false" ht="15" hidden="false" customHeight="false" outlineLevel="0" collapsed="false">
      <c r="A785" s="0" t="n">
        <v>2028</v>
      </c>
      <c r="B785" s="0" t="n">
        <v>49.04873464</v>
      </c>
      <c r="C785" s="0" t="n">
        <v>1030.023427</v>
      </c>
      <c r="E785" s="0" t="n">
        <v>2028</v>
      </c>
      <c r="F785" s="0" t="n">
        <v>21.3651</v>
      </c>
      <c r="G785" s="0" t="n">
        <v>448.097364</v>
      </c>
      <c r="I785" s="0" t="n">
        <v>2026</v>
      </c>
      <c r="J785" s="0" t="n">
        <v>1.6</v>
      </c>
      <c r="K785" s="0" t="n">
        <v>33.56</v>
      </c>
      <c r="M785" s="0" t="n">
        <v>2028</v>
      </c>
      <c r="N785" s="0" t="n">
        <v>3</v>
      </c>
      <c r="O785" s="0" t="n">
        <v>62.56</v>
      </c>
      <c r="Q785" s="0" t="n">
        <v>2029</v>
      </c>
      <c r="R785" s="0" t="n">
        <v>51</v>
      </c>
      <c r="W785" s="0" t="n">
        <v>2028</v>
      </c>
      <c r="X785" s="0" t="n">
        <v>104.698</v>
      </c>
    </row>
    <row r="786" customFormat="false" ht="15" hidden="false" customHeight="false" outlineLevel="0" collapsed="false">
      <c r="A786" s="0" t="n">
        <v>2028</v>
      </c>
      <c r="B786" s="0" t="n">
        <v>43.7394819</v>
      </c>
      <c r="C786" s="0" t="n">
        <v>918.5291199</v>
      </c>
      <c r="E786" s="0" t="n">
        <v>2028</v>
      </c>
      <c r="F786" s="0" t="n">
        <v>19.5363</v>
      </c>
      <c r="G786" s="0" t="n">
        <v>409.741332</v>
      </c>
      <c r="I786" s="0" t="n">
        <v>2026</v>
      </c>
      <c r="J786" s="0" t="n">
        <v>2.8</v>
      </c>
      <c r="K786" s="0" t="n">
        <v>58.73</v>
      </c>
      <c r="M786" s="0" t="n">
        <v>2028</v>
      </c>
      <c r="N786" s="0" t="n">
        <v>1.5</v>
      </c>
      <c r="O786" s="0" t="n">
        <v>31.28</v>
      </c>
      <c r="Q786" s="0" t="n">
        <v>2029</v>
      </c>
      <c r="R786" s="0" t="n">
        <v>51</v>
      </c>
      <c r="W786" s="0" t="n">
        <v>2028</v>
      </c>
      <c r="X786" s="0" t="n">
        <v>80.903</v>
      </c>
    </row>
    <row r="787" customFormat="false" ht="15" hidden="false" customHeight="false" outlineLevel="0" collapsed="false">
      <c r="A787" s="0" t="n">
        <v>2028</v>
      </c>
      <c r="B787" s="0" t="n">
        <v>30.41821747</v>
      </c>
      <c r="C787" s="0" t="n">
        <v>638.7825668</v>
      </c>
      <c r="E787" s="0" t="n">
        <v>2028</v>
      </c>
      <c r="F787" s="0" t="n">
        <v>847.501901</v>
      </c>
      <c r="G787" s="0" t="n">
        <v>17794.45623</v>
      </c>
      <c r="I787" s="0" t="n">
        <v>2026</v>
      </c>
      <c r="J787" s="0" t="n">
        <v>0.8</v>
      </c>
      <c r="K787" s="0" t="n">
        <v>16.78</v>
      </c>
      <c r="M787" s="0" t="n">
        <v>2028</v>
      </c>
      <c r="N787" s="0" t="n">
        <v>74.48</v>
      </c>
      <c r="O787" s="0" t="n">
        <v>1559.9</v>
      </c>
      <c r="Q787" s="0" t="n">
        <v>2029</v>
      </c>
      <c r="R787" s="0" t="n">
        <v>85</v>
      </c>
      <c r="W787" s="0" t="n">
        <v>2028</v>
      </c>
      <c r="X787" s="0" t="n">
        <v>27704.08</v>
      </c>
    </row>
    <row r="788" customFormat="false" ht="15" hidden="false" customHeight="false" outlineLevel="0" collapsed="false">
      <c r="A788" s="0" t="n">
        <v>2028</v>
      </c>
      <c r="B788" s="0" t="n">
        <v>22.62608709</v>
      </c>
      <c r="C788" s="0" t="n">
        <v>475.1478289</v>
      </c>
      <c r="E788" s="0" t="n">
        <v>2028</v>
      </c>
      <c r="F788" s="0" t="n">
        <v>227.563649</v>
      </c>
      <c r="G788" s="0" t="n">
        <v>4778.008623</v>
      </c>
      <c r="I788" s="0" t="n">
        <v>2026</v>
      </c>
      <c r="J788" s="0" t="n">
        <v>2.8</v>
      </c>
      <c r="K788" s="0" t="n">
        <v>58.73</v>
      </c>
      <c r="M788" s="0" t="n">
        <v>2028</v>
      </c>
      <c r="N788" s="0" t="n">
        <v>49</v>
      </c>
      <c r="O788" s="0" t="n">
        <v>1026.25</v>
      </c>
      <c r="Q788" s="0" t="n">
        <v>2029</v>
      </c>
      <c r="R788" s="0" t="n">
        <v>81</v>
      </c>
      <c r="W788" s="0" t="n">
        <v>2028</v>
      </c>
      <c r="X788" s="0" t="n">
        <v>6926.02</v>
      </c>
    </row>
    <row r="789" customFormat="false" ht="15" hidden="false" customHeight="false" outlineLevel="0" collapsed="false">
      <c r="A789" s="0" t="n">
        <v>2028</v>
      </c>
      <c r="B789" s="0" t="n">
        <v>10.05603871</v>
      </c>
      <c r="C789" s="0" t="n">
        <v>211.1768129</v>
      </c>
      <c r="E789" s="0" t="n">
        <v>2028</v>
      </c>
      <c r="F789" s="0" t="n">
        <v>91.085813</v>
      </c>
      <c r="G789" s="0" t="n">
        <v>1912.470651</v>
      </c>
      <c r="I789" s="0" t="n">
        <v>2026</v>
      </c>
      <c r="J789" s="0" t="n">
        <v>121.92</v>
      </c>
      <c r="K789" s="0" t="n">
        <v>2564.64</v>
      </c>
      <c r="M789" s="0" t="n">
        <v>2028</v>
      </c>
      <c r="N789" s="0" t="n">
        <v>19.6</v>
      </c>
      <c r="O789" s="0" t="n">
        <v>410.5</v>
      </c>
      <c r="Q789" s="0" t="n">
        <v>2029</v>
      </c>
      <c r="R789" s="0" t="n">
        <v>38</v>
      </c>
      <c r="W789" s="0" t="n">
        <v>2028</v>
      </c>
      <c r="X789" s="0" t="n">
        <v>2144.832</v>
      </c>
    </row>
    <row r="790" customFormat="false" ht="15" hidden="false" customHeight="false" outlineLevel="0" collapsed="false">
      <c r="A790" s="0" t="n">
        <v>2028</v>
      </c>
      <c r="B790" s="0" t="n">
        <v>37.14277629</v>
      </c>
      <c r="C790" s="0" t="n">
        <v>779.9983022</v>
      </c>
      <c r="E790" s="0" t="n">
        <v>2028</v>
      </c>
      <c r="F790" s="0" t="n">
        <v>12.794591</v>
      </c>
      <c r="G790" s="0" t="n">
        <v>268.639857</v>
      </c>
      <c r="I790" s="0" t="n">
        <v>2026</v>
      </c>
      <c r="J790" s="0" t="n">
        <v>40.64</v>
      </c>
      <c r="K790" s="0" t="n">
        <v>854.88</v>
      </c>
      <c r="M790" s="0" t="n">
        <v>2028</v>
      </c>
      <c r="N790" s="0" t="n">
        <v>19.6</v>
      </c>
      <c r="O790" s="0" t="n">
        <v>410.5</v>
      </c>
      <c r="Q790" s="0" t="n">
        <v>2029</v>
      </c>
      <c r="R790" s="0" t="n">
        <v>8</v>
      </c>
      <c r="W790" s="0" t="n">
        <v>2028</v>
      </c>
      <c r="X790" s="0" t="n">
        <v>3798.14</v>
      </c>
    </row>
    <row r="791" customFormat="false" ht="15" hidden="false" customHeight="false" outlineLevel="0" collapsed="false">
      <c r="A791" s="0" t="n">
        <v>2028</v>
      </c>
      <c r="B791" s="0" t="n">
        <v>11.626986</v>
      </c>
      <c r="C791" s="0" t="n">
        <v>244.166706</v>
      </c>
      <c r="E791" s="0" t="n">
        <v>2028</v>
      </c>
      <c r="F791" s="0" t="n">
        <v>305.854871</v>
      </c>
      <c r="G791" s="0" t="n">
        <v>6421.839417</v>
      </c>
      <c r="I791" s="0" t="n">
        <v>2026</v>
      </c>
      <c r="J791" s="0" t="n">
        <v>17.78</v>
      </c>
      <c r="K791" s="0" t="n">
        <v>374.01</v>
      </c>
      <c r="M791" s="0" t="n">
        <v>2028</v>
      </c>
      <c r="N791" s="0" t="n">
        <v>11.76</v>
      </c>
      <c r="O791" s="0" t="n">
        <v>246.3</v>
      </c>
      <c r="Q791" s="0" t="n">
        <v>2029</v>
      </c>
      <c r="R791" s="0" t="n">
        <v>8</v>
      </c>
      <c r="W791" s="0" t="n">
        <v>2028</v>
      </c>
      <c r="X791" s="0" t="n">
        <v>1697.992</v>
      </c>
    </row>
    <row r="792" customFormat="false" ht="15" hidden="false" customHeight="false" outlineLevel="0" collapsed="false">
      <c r="A792" s="0" t="n">
        <v>2028</v>
      </c>
      <c r="B792" s="0" t="n">
        <v>25.99723016</v>
      </c>
      <c r="C792" s="0" t="n">
        <v>545.9418333</v>
      </c>
      <c r="E792" s="0" t="n">
        <v>2028</v>
      </c>
      <c r="F792" s="0" t="n">
        <v>14.318267</v>
      </c>
      <c r="G792" s="0" t="n">
        <v>300.631509</v>
      </c>
      <c r="I792" s="0" t="n">
        <v>2026</v>
      </c>
      <c r="J792" s="0" t="n">
        <v>10.16</v>
      </c>
      <c r="K792" s="0" t="n">
        <v>213.72</v>
      </c>
      <c r="M792" s="0" t="n">
        <v>2028</v>
      </c>
      <c r="N792" s="0" t="n">
        <v>9.8</v>
      </c>
      <c r="O792" s="0" t="n">
        <v>205.25</v>
      </c>
      <c r="Q792" s="0" t="n">
        <v>2029</v>
      </c>
      <c r="R792" s="0" t="n">
        <v>8</v>
      </c>
      <c r="W792" s="0" t="n">
        <v>2028</v>
      </c>
      <c r="X792" s="0" t="n">
        <v>670.26</v>
      </c>
    </row>
    <row r="793" customFormat="false" ht="15" hidden="false" customHeight="false" outlineLevel="0" collapsed="false">
      <c r="A793" s="0" t="n">
        <v>2028</v>
      </c>
      <c r="B793" s="0" t="n">
        <v>154.5476346</v>
      </c>
      <c r="C793" s="0" t="n">
        <v>3245.500326</v>
      </c>
      <c r="E793" s="0" t="n">
        <v>2028</v>
      </c>
      <c r="F793" s="0" t="n">
        <v>78.291222</v>
      </c>
      <c r="G793" s="0" t="n">
        <v>1643.830794</v>
      </c>
      <c r="I793" s="0" t="n">
        <v>2026</v>
      </c>
      <c r="J793" s="0" t="n">
        <v>10.16</v>
      </c>
      <c r="K793" s="0" t="n">
        <v>213.72</v>
      </c>
      <c r="M793" s="0" t="n">
        <v>2028</v>
      </c>
      <c r="N793" s="0" t="n">
        <v>7.84</v>
      </c>
      <c r="O793" s="0" t="n">
        <v>164.2</v>
      </c>
      <c r="Q793" s="0" t="n">
        <v>2029</v>
      </c>
      <c r="R793" s="0" t="n">
        <v>217</v>
      </c>
      <c r="W793" s="0" t="n">
        <v>2028</v>
      </c>
      <c r="X793" s="0" t="n">
        <v>983.048</v>
      </c>
    </row>
    <row r="794" customFormat="false" ht="15" hidden="false" customHeight="false" outlineLevel="0" collapsed="false">
      <c r="A794" s="0" t="n">
        <v>2028</v>
      </c>
      <c r="B794" s="0" t="n">
        <v>38.98148347</v>
      </c>
      <c r="C794" s="0" t="n">
        <v>818.6111529</v>
      </c>
      <c r="E794" s="0" t="n">
        <v>2028</v>
      </c>
      <c r="F794" s="0" t="n">
        <v>71.589686</v>
      </c>
      <c r="G794" s="0" t="n">
        <v>1503.122922</v>
      </c>
      <c r="I794" s="0" t="n">
        <v>2026</v>
      </c>
      <c r="J794" s="0" t="n">
        <v>5.08</v>
      </c>
      <c r="K794" s="0" t="n">
        <v>106.86</v>
      </c>
      <c r="M794" s="0" t="n">
        <v>2028</v>
      </c>
      <c r="N794" s="0" t="n">
        <v>3.92</v>
      </c>
      <c r="O794" s="0" t="n">
        <v>82.1</v>
      </c>
      <c r="Q794" s="0" t="n">
        <v>2029</v>
      </c>
      <c r="R794" s="0" t="n">
        <v>206</v>
      </c>
      <c r="W794" s="0" t="n">
        <v>2028</v>
      </c>
      <c r="X794" s="0" t="n">
        <v>759.628</v>
      </c>
    </row>
    <row r="795" customFormat="false" ht="15" hidden="false" customHeight="false" outlineLevel="0" collapsed="false">
      <c r="A795" s="0" t="n">
        <v>2028</v>
      </c>
      <c r="B795" s="0" t="n">
        <v>34.76195468</v>
      </c>
      <c r="C795" s="0" t="n">
        <v>730.0010484</v>
      </c>
      <c r="E795" s="0" t="n">
        <v>2028</v>
      </c>
      <c r="F795" s="0" t="n">
        <v>864.976167</v>
      </c>
      <c r="G795" s="0" t="n">
        <v>18157.30422</v>
      </c>
      <c r="I795" s="0" t="n">
        <v>2026</v>
      </c>
      <c r="J795" s="0" t="n">
        <v>5.08</v>
      </c>
      <c r="K795" s="0" t="n">
        <v>106.86</v>
      </c>
      <c r="M795" s="0" t="n">
        <v>2028</v>
      </c>
      <c r="N795" s="0" t="n">
        <v>46.74</v>
      </c>
      <c r="O795" s="0" t="n">
        <v>977.36</v>
      </c>
      <c r="Q795" s="0" t="n">
        <v>2029</v>
      </c>
      <c r="R795" s="0" t="n">
        <v>97</v>
      </c>
      <c r="W795" s="0" t="n">
        <v>2028</v>
      </c>
      <c r="X795" s="0" t="n">
        <v>11066.38</v>
      </c>
    </row>
    <row r="796" customFormat="false" ht="15" hidden="false" customHeight="false" outlineLevel="0" collapsed="false">
      <c r="A796" s="0" t="n">
        <v>2028</v>
      </c>
      <c r="B796" s="0" t="n">
        <v>24.17487933</v>
      </c>
      <c r="C796" s="0" t="n">
        <v>507.672466</v>
      </c>
      <c r="E796" s="0" t="n">
        <v>2028</v>
      </c>
      <c r="F796" s="0" t="n">
        <v>232.255683</v>
      </c>
      <c r="G796" s="0" t="n">
        <v>4875.437329</v>
      </c>
      <c r="I796" s="0" t="n">
        <v>2026</v>
      </c>
      <c r="J796" s="0" t="n">
        <v>10.16</v>
      </c>
      <c r="K796" s="0" t="n">
        <v>213.72</v>
      </c>
      <c r="M796" s="0" t="n">
        <v>2028</v>
      </c>
      <c r="N796" s="0" t="n">
        <v>30.75</v>
      </c>
      <c r="O796" s="0" t="n">
        <v>643</v>
      </c>
      <c r="Q796" s="0" t="n">
        <v>2029</v>
      </c>
      <c r="R796" s="0" t="n">
        <v>22</v>
      </c>
      <c r="W796" s="0" t="n">
        <v>2028</v>
      </c>
      <c r="X796" s="0" t="n">
        <v>2766.595</v>
      </c>
    </row>
    <row r="797" customFormat="false" ht="15" hidden="false" customHeight="false" outlineLevel="0" collapsed="false">
      <c r="A797" s="0" t="n">
        <v>2028</v>
      </c>
      <c r="B797" s="0" t="n">
        <v>17.98208346</v>
      </c>
      <c r="C797" s="0" t="n">
        <v>377.6237527</v>
      </c>
      <c r="E797" s="0" t="n">
        <v>2028</v>
      </c>
      <c r="F797" s="0" t="n">
        <v>92.963871</v>
      </c>
      <c r="G797" s="0" t="n">
        <v>1951.467973</v>
      </c>
      <c r="I797" s="0" t="n">
        <v>2026</v>
      </c>
      <c r="J797" s="0" t="n">
        <v>17.78</v>
      </c>
      <c r="K797" s="0" t="n">
        <v>374.01</v>
      </c>
      <c r="M797" s="0" t="n">
        <v>2028</v>
      </c>
      <c r="N797" s="0" t="n">
        <v>12.3</v>
      </c>
      <c r="O797" s="0" t="n">
        <v>257.2</v>
      </c>
      <c r="Q797" s="0" t="n">
        <v>2029</v>
      </c>
      <c r="R797" s="0" t="n">
        <v>20</v>
      </c>
      <c r="W797" s="0" t="n">
        <v>2028</v>
      </c>
      <c r="X797" s="0" t="n">
        <v>856.752</v>
      </c>
    </row>
    <row r="798" customFormat="false" ht="15" hidden="false" customHeight="false" outlineLevel="0" collapsed="false">
      <c r="A798" s="0" t="n">
        <v>2028</v>
      </c>
      <c r="B798" s="0" t="n">
        <v>7.992037094</v>
      </c>
      <c r="C798" s="0" t="n">
        <v>167.832779</v>
      </c>
      <c r="E798" s="0" t="n">
        <v>2028</v>
      </c>
      <c r="F798" s="0" t="n">
        <v>13.058397</v>
      </c>
      <c r="G798" s="0" t="n">
        <v>274.117711</v>
      </c>
      <c r="I798" s="0" t="n">
        <v>2026</v>
      </c>
      <c r="J798" s="0" t="n">
        <v>7.62</v>
      </c>
      <c r="K798" s="0" t="n">
        <v>160.29</v>
      </c>
      <c r="M798" s="0" t="n">
        <v>2028</v>
      </c>
      <c r="N798" s="0" t="n">
        <v>12.3</v>
      </c>
      <c r="O798" s="0" t="n">
        <v>257.2</v>
      </c>
      <c r="Q798" s="0" t="n">
        <v>2029</v>
      </c>
      <c r="R798" s="0" t="n">
        <v>20</v>
      </c>
      <c r="W798" s="0" t="n">
        <v>2028</v>
      </c>
      <c r="X798" s="0" t="n">
        <v>1517.165</v>
      </c>
    </row>
    <row r="799" customFormat="false" ht="15" hidden="false" customHeight="false" outlineLevel="0" collapsed="false">
      <c r="A799" s="0" t="n">
        <v>2028</v>
      </c>
      <c r="B799" s="0" t="n">
        <v>29.51922269</v>
      </c>
      <c r="C799" s="0" t="n">
        <v>619.9036764</v>
      </c>
      <c r="E799" s="0" t="n">
        <v>2028</v>
      </c>
      <c r="F799" s="0" t="n">
        <v>312.161157</v>
      </c>
      <c r="G799" s="0" t="n">
        <v>6552.787591</v>
      </c>
      <c r="I799" s="0" t="n">
        <v>2026</v>
      </c>
      <c r="J799" s="0" t="n">
        <v>7.62</v>
      </c>
      <c r="K799" s="0" t="n">
        <v>160.29</v>
      </c>
      <c r="M799" s="0" t="n">
        <v>2028</v>
      </c>
      <c r="N799" s="0" t="n">
        <v>7.38</v>
      </c>
      <c r="O799" s="0" t="n">
        <v>154.32</v>
      </c>
      <c r="Q799" s="0" t="n">
        <v>2029</v>
      </c>
      <c r="R799" s="0" t="n">
        <v>124</v>
      </c>
      <c r="W799" s="0" t="n">
        <v>2028</v>
      </c>
      <c r="X799" s="0" t="n">
        <v>678.262</v>
      </c>
    </row>
    <row r="800" customFormat="false" ht="15" hidden="false" customHeight="false" outlineLevel="0" collapsed="false">
      <c r="A800" s="0" t="n">
        <v>2028</v>
      </c>
      <c r="B800" s="0" t="n">
        <v>9.240547507</v>
      </c>
      <c r="C800" s="0" t="n">
        <v>194.0514976</v>
      </c>
      <c r="E800" s="0" t="n">
        <v>2028</v>
      </c>
      <c r="F800" s="0" t="n">
        <v>14.613489</v>
      </c>
      <c r="G800" s="0" t="n">
        <v>306.761707</v>
      </c>
      <c r="I800" s="0" t="n">
        <v>2026</v>
      </c>
      <c r="J800" s="0" t="n">
        <v>43.68</v>
      </c>
      <c r="K800" s="0" t="n">
        <v>917.8</v>
      </c>
      <c r="M800" s="0" t="n">
        <v>2028</v>
      </c>
      <c r="N800" s="0" t="n">
        <v>6.15</v>
      </c>
      <c r="O800" s="0" t="n">
        <v>128.6</v>
      </c>
      <c r="Q800" s="0" t="n">
        <v>2029</v>
      </c>
      <c r="R800" s="0" t="n">
        <v>117</v>
      </c>
      <c r="W800" s="0" t="n">
        <v>2028</v>
      </c>
      <c r="X800" s="0" t="n">
        <v>267.735</v>
      </c>
    </row>
    <row r="801" customFormat="false" ht="15" hidden="false" customHeight="false" outlineLevel="0" collapsed="false">
      <c r="A801" s="0" t="n">
        <v>2028</v>
      </c>
      <c r="B801" s="0" t="n">
        <v>20.66129953</v>
      </c>
      <c r="C801" s="0" t="n">
        <v>433.8872901</v>
      </c>
      <c r="E801" s="0" t="n">
        <v>2028</v>
      </c>
      <c r="F801" s="0" t="n">
        <v>79.905474</v>
      </c>
      <c r="G801" s="0" t="n">
        <v>1677.350262</v>
      </c>
      <c r="I801" s="0" t="n">
        <v>2026</v>
      </c>
      <c r="J801" s="0" t="n">
        <v>6.72</v>
      </c>
      <c r="K801" s="0" t="n">
        <v>141.2</v>
      </c>
      <c r="M801" s="0" t="n">
        <v>2028</v>
      </c>
      <c r="N801" s="0" t="n">
        <v>4.92</v>
      </c>
      <c r="O801" s="0" t="n">
        <v>102.88</v>
      </c>
      <c r="Q801" s="0" t="n">
        <v>2029</v>
      </c>
      <c r="R801" s="0" t="n">
        <v>56</v>
      </c>
      <c r="W801" s="0" t="n">
        <v>2028</v>
      </c>
      <c r="X801" s="0" t="n">
        <v>392.678</v>
      </c>
    </row>
    <row r="802" customFormat="false" ht="15" hidden="false" customHeight="false" outlineLevel="0" collapsed="false">
      <c r="A802" s="0" t="n">
        <v>2028</v>
      </c>
      <c r="B802" s="0" t="n">
        <v>218.4187732</v>
      </c>
      <c r="C802" s="0" t="n">
        <v>4586.794237</v>
      </c>
      <c r="E802" s="0" t="n">
        <v>2028</v>
      </c>
      <c r="F802" s="0" t="n">
        <v>73.065762</v>
      </c>
      <c r="G802" s="0" t="n">
        <v>1533.773206</v>
      </c>
      <c r="I802" s="0" t="n">
        <v>2026</v>
      </c>
      <c r="J802" s="0" t="n">
        <v>5.04</v>
      </c>
      <c r="K802" s="0" t="n">
        <v>105.9</v>
      </c>
      <c r="M802" s="0" t="n">
        <v>2028</v>
      </c>
      <c r="N802" s="0" t="n">
        <v>2.46</v>
      </c>
      <c r="O802" s="0" t="n">
        <v>51.44</v>
      </c>
      <c r="Q802" s="0" t="n">
        <v>2029</v>
      </c>
      <c r="R802" s="0" t="n">
        <v>12</v>
      </c>
      <c r="W802" s="0" t="n">
        <v>2028</v>
      </c>
      <c r="X802" s="0" t="n">
        <v>303.433</v>
      </c>
    </row>
    <row r="803" customFormat="false" ht="15" hidden="false" customHeight="false" outlineLevel="0" collapsed="false">
      <c r="A803" s="0" t="n">
        <v>2028</v>
      </c>
      <c r="B803" s="0" t="n">
        <v>55.09167332</v>
      </c>
      <c r="C803" s="0" t="n">
        <v>1156.92514</v>
      </c>
      <c r="E803" s="0" t="n">
        <v>2028</v>
      </c>
      <c r="F803" s="0" t="n">
        <v>296.034624</v>
      </c>
      <c r="G803" s="0" t="n">
        <v>6215.699206</v>
      </c>
      <c r="I803" s="0" t="n">
        <v>2026</v>
      </c>
      <c r="J803" s="0" t="n">
        <v>8.4</v>
      </c>
      <c r="K803" s="0" t="n">
        <v>176.5</v>
      </c>
      <c r="M803" s="0" t="n">
        <v>2028</v>
      </c>
      <c r="N803" s="0" t="n">
        <v>46.74</v>
      </c>
      <c r="O803" s="0" t="n">
        <v>975.46</v>
      </c>
      <c r="Q803" s="0" t="n">
        <v>2029</v>
      </c>
      <c r="R803" s="0" t="n">
        <v>13</v>
      </c>
      <c r="W803" s="0" t="n">
        <v>2028</v>
      </c>
      <c r="X803" s="0" t="n">
        <v>14165.76</v>
      </c>
    </row>
    <row r="804" customFormat="false" ht="15" hidden="false" customHeight="false" outlineLevel="0" collapsed="false">
      <c r="A804" s="0" t="n">
        <v>2028</v>
      </c>
      <c r="B804" s="0" t="n">
        <v>49.12830608</v>
      </c>
      <c r="C804" s="0" t="n">
        <v>1031.694428</v>
      </c>
      <c r="E804" s="0" t="n">
        <v>2028</v>
      </c>
      <c r="F804" s="0" t="n">
        <v>79.488576</v>
      </c>
      <c r="G804" s="0" t="n">
        <v>1668.984094</v>
      </c>
      <c r="I804" s="0" t="n">
        <v>2026</v>
      </c>
      <c r="J804" s="0" t="n">
        <v>1.68</v>
      </c>
      <c r="K804" s="0" t="n">
        <v>35.3</v>
      </c>
      <c r="M804" s="0" t="n">
        <v>2028</v>
      </c>
      <c r="N804" s="0" t="n">
        <v>30.75</v>
      </c>
      <c r="O804" s="0" t="n">
        <v>641.75</v>
      </c>
      <c r="Q804" s="0" t="n">
        <v>2029</v>
      </c>
      <c r="R804" s="0" t="n">
        <v>13</v>
      </c>
      <c r="W804" s="0" t="n">
        <v>2028</v>
      </c>
      <c r="X804" s="0" t="n">
        <v>3541.44</v>
      </c>
    </row>
    <row r="805" customFormat="false" ht="15" hidden="false" customHeight="false" outlineLevel="0" collapsed="false">
      <c r="A805" s="0" t="n">
        <v>2028</v>
      </c>
      <c r="B805" s="0" t="n">
        <v>34.16582532</v>
      </c>
      <c r="C805" s="0" t="n">
        <v>717.4823317</v>
      </c>
      <c r="E805" s="0" t="n">
        <v>2028</v>
      </c>
      <c r="F805" s="0" t="n">
        <v>31.816512</v>
      </c>
      <c r="G805" s="0" t="n">
        <v>668.036278</v>
      </c>
      <c r="I805" s="0" t="n">
        <v>2026</v>
      </c>
      <c r="J805" s="0" t="n">
        <v>1.68</v>
      </c>
      <c r="K805" s="0" t="n">
        <v>35.3</v>
      </c>
      <c r="M805" s="0" t="n">
        <v>2028</v>
      </c>
      <c r="N805" s="0" t="n">
        <v>12.3</v>
      </c>
      <c r="O805" s="0" t="n">
        <v>256.7</v>
      </c>
      <c r="Q805" s="0" t="n">
        <v>2029</v>
      </c>
      <c r="R805" s="0" t="n">
        <v>84</v>
      </c>
      <c r="W805" s="0" t="n">
        <v>2028</v>
      </c>
      <c r="X805" s="0" t="n">
        <v>1096.704</v>
      </c>
    </row>
    <row r="806" customFormat="false" ht="15" hidden="false" customHeight="false" outlineLevel="0" collapsed="false">
      <c r="A806" s="0" t="n">
        <v>2028</v>
      </c>
      <c r="B806" s="0" t="n">
        <v>25.4136831</v>
      </c>
      <c r="C806" s="0" t="n">
        <v>533.6873451</v>
      </c>
      <c r="E806" s="0" t="n">
        <v>2028</v>
      </c>
      <c r="F806" s="0" t="n">
        <v>4.469184</v>
      </c>
      <c r="G806" s="0" t="n">
        <v>93.837346</v>
      </c>
      <c r="I806" s="0" t="n">
        <v>2026</v>
      </c>
      <c r="J806" s="0" t="n">
        <v>0</v>
      </c>
      <c r="K806" s="0" t="n">
        <v>0</v>
      </c>
      <c r="M806" s="0" t="n">
        <v>2028</v>
      </c>
      <c r="N806" s="0" t="n">
        <v>12.3</v>
      </c>
      <c r="O806" s="0" t="n">
        <v>256.7</v>
      </c>
      <c r="Q806" s="0" t="n">
        <v>2029</v>
      </c>
      <c r="R806" s="0" t="n">
        <v>80</v>
      </c>
      <c r="W806" s="0" t="n">
        <v>2028</v>
      </c>
      <c r="X806" s="0" t="n">
        <v>1942.08</v>
      </c>
    </row>
    <row r="807" customFormat="false" ht="15" hidden="false" customHeight="false" outlineLevel="0" collapsed="false">
      <c r="A807" s="0" t="n">
        <v>2028</v>
      </c>
      <c r="B807" s="0" t="n">
        <v>11.29497027</v>
      </c>
      <c r="C807" s="0" t="n">
        <v>237.1943756</v>
      </c>
      <c r="E807" s="0" t="n">
        <v>2028</v>
      </c>
      <c r="F807" s="0" t="n">
        <v>106.835904</v>
      </c>
      <c r="G807" s="0" t="n">
        <v>2243.183026</v>
      </c>
      <c r="I807" s="0" t="n">
        <v>2026</v>
      </c>
      <c r="J807" s="0" t="n">
        <v>3.36</v>
      </c>
      <c r="K807" s="0" t="n">
        <v>70.6</v>
      </c>
      <c r="M807" s="0" t="n">
        <v>2028</v>
      </c>
      <c r="N807" s="0" t="n">
        <v>7.38</v>
      </c>
      <c r="O807" s="0" t="n">
        <v>154.02</v>
      </c>
      <c r="Q807" s="0" t="n">
        <v>2029</v>
      </c>
      <c r="R807" s="0" t="n">
        <v>38</v>
      </c>
      <c r="W807" s="0" t="n">
        <v>2028</v>
      </c>
      <c r="X807" s="0" t="n">
        <v>868.224</v>
      </c>
    </row>
    <row r="808" customFormat="false" ht="15" hidden="false" customHeight="false" outlineLevel="0" collapsed="false">
      <c r="A808" s="0" t="n">
        <v>2028</v>
      </c>
      <c r="B808" s="0" t="n">
        <v>41.71886824</v>
      </c>
      <c r="C808" s="0" t="n">
        <v>876.0962331</v>
      </c>
      <c r="E808" s="0" t="n">
        <v>2028</v>
      </c>
      <c r="F808" s="0" t="n">
        <v>5.001408</v>
      </c>
      <c r="G808" s="0" t="n">
        <v>105.012202</v>
      </c>
      <c r="I808" s="0" t="n">
        <v>2026</v>
      </c>
      <c r="J808" s="0" t="n">
        <v>5.88</v>
      </c>
      <c r="K808" s="0" t="n">
        <v>123.55</v>
      </c>
      <c r="M808" s="0" t="n">
        <v>2028</v>
      </c>
      <c r="N808" s="0" t="n">
        <v>6.15</v>
      </c>
      <c r="O808" s="0" t="n">
        <v>128.35</v>
      </c>
      <c r="Q808" s="0" t="n">
        <v>2029</v>
      </c>
      <c r="R808" s="0" t="n">
        <v>8</v>
      </c>
      <c r="W808" s="0" t="n">
        <v>2028</v>
      </c>
      <c r="X808" s="0" t="n">
        <v>342.72</v>
      </c>
    </row>
    <row r="809" customFormat="false" ht="15" hidden="false" customHeight="false" outlineLevel="0" collapsed="false">
      <c r="A809" s="0" t="n">
        <v>2028</v>
      </c>
      <c r="B809" s="0" t="n">
        <v>13.05946258</v>
      </c>
      <c r="C809" s="0" t="n">
        <v>274.2487141</v>
      </c>
      <c r="E809" s="0" t="n">
        <v>2028</v>
      </c>
      <c r="F809" s="0" t="n">
        <v>27.347328</v>
      </c>
      <c r="G809" s="0" t="n">
        <v>574.198932</v>
      </c>
      <c r="I809" s="0" t="n">
        <v>2026</v>
      </c>
      <c r="J809" s="0" t="n">
        <v>1.68</v>
      </c>
      <c r="K809" s="0" t="n">
        <v>35.3</v>
      </c>
      <c r="M809" s="0" t="n">
        <v>2028</v>
      </c>
      <c r="N809" s="0" t="n">
        <v>4.92</v>
      </c>
      <c r="O809" s="0" t="n">
        <v>102.68</v>
      </c>
      <c r="Q809" s="0" t="n">
        <v>2029</v>
      </c>
      <c r="R809" s="0" t="n">
        <v>8</v>
      </c>
      <c r="W809" s="0" t="n">
        <v>2028</v>
      </c>
      <c r="X809" s="0" t="n">
        <v>502.656</v>
      </c>
    </row>
    <row r="810" customFormat="false" ht="15" hidden="false" customHeight="false" outlineLevel="0" collapsed="false">
      <c r="A810" s="0" t="n">
        <v>2028</v>
      </c>
      <c r="B810" s="0" t="n">
        <v>29.20016024</v>
      </c>
      <c r="C810" s="0" t="n">
        <v>613.2033651</v>
      </c>
      <c r="E810" s="0" t="n">
        <v>2028</v>
      </c>
      <c r="F810" s="0" t="n">
        <v>25.006464</v>
      </c>
      <c r="G810" s="0" t="n">
        <v>525.048916</v>
      </c>
      <c r="I810" s="0" t="n">
        <v>2026</v>
      </c>
      <c r="J810" s="0" t="n">
        <v>5.88</v>
      </c>
      <c r="K810" s="0" t="n">
        <v>123.55</v>
      </c>
      <c r="M810" s="0" t="n">
        <v>2028</v>
      </c>
      <c r="N810" s="0" t="n">
        <v>2.46</v>
      </c>
      <c r="O810" s="0" t="n">
        <v>51.34</v>
      </c>
      <c r="Q810" s="0" t="n">
        <v>2029</v>
      </c>
      <c r="R810" s="0" t="n">
        <v>8</v>
      </c>
      <c r="W810" s="0" t="n">
        <v>2028</v>
      </c>
      <c r="X810" s="0" t="n">
        <v>388.416</v>
      </c>
    </row>
    <row r="811" customFormat="false" ht="15" hidden="false" customHeight="false" outlineLevel="0" collapsed="false">
      <c r="A811" s="0" t="n">
        <v>2028</v>
      </c>
      <c r="B811" s="0" t="n">
        <v>274.5689428</v>
      </c>
      <c r="C811" s="0" t="n">
        <v>5765.947799</v>
      </c>
      <c r="E811" s="0" t="n">
        <v>2028</v>
      </c>
      <c r="F811" s="0" t="n">
        <v>392.143087</v>
      </c>
      <c r="G811" s="0" t="n">
        <v>8227.295592</v>
      </c>
      <c r="I811" s="0" t="n">
        <v>2027</v>
      </c>
      <c r="J811" s="0" t="n">
        <v>771.36</v>
      </c>
      <c r="K811" s="0" t="n">
        <v>16202.4</v>
      </c>
      <c r="M811" s="0" t="n">
        <v>2028</v>
      </c>
      <c r="N811" s="0" t="n">
        <v>241.68</v>
      </c>
      <c r="O811" s="0" t="n">
        <v>5072.24</v>
      </c>
      <c r="Q811" s="0" t="n">
        <v>2029</v>
      </c>
      <c r="R811" s="0" t="n">
        <v>859</v>
      </c>
      <c r="W811" s="0" t="n">
        <v>2028</v>
      </c>
      <c r="X811" s="0" t="n">
        <v>9059.44</v>
      </c>
    </row>
    <row r="812" customFormat="false" ht="15" hidden="false" customHeight="false" outlineLevel="0" collapsed="false">
      <c r="A812" s="0" t="n">
        <v>2028</v>
      </c>
      <c r="B812" s="0" t="n">
        <v>69.25440649</v>
      </c>
      <c r="C812" s="0" t="n">
        <v>1454.342536</v>
      </c>
      <c r="E812" s="0" t="n">
        <v>2028</v>
      </c>
      <c r="F812" s="0" t="n">
        <v>105.294763</v>
      </c>
      <c r="G812" s="0" t="n">
        <v>2209.120008</v>
      </c>
      <c r="I812" s="0" t="n">
        <v>2027</v>
      </c>
      <c r="J812" s="0" t="n">
        <v>257.12</v>
      </c>
      <c r="K812" s="0" t="n">
        <v>5400.8</v>
      </c>
      <c r="M812" s="0" t="n">
        <v>2028</v>
      </c>
      <c r="N812" s="0" t="n">
        <v>159</v>
      </c>
      <c r="O812" s="0" t="n">
        <v>3337</v>
      </c>
      <c r="Q812" s="0" t="n">
        <v>2029</v>
      </c>
      <c r="R812" s="0" t="n">
        <v>816</v>
      </c>
      <c r="W812" s="0" t="n">
        <v>2028</v>
      </c>
      <c r="X812" s="0" t="n">
        <v>2264.86</v>
      </c>
    </row>
    <row r="813" customFormat="false" ht="15" hidden="false" customHeight="false" outlineLevel="0" collapsed="false">
      <c r="A813" s="0" t="n">
        <v>2028</v>
      </c>
      <c r="B813" s="0" t="n">
        <v>61.75800215</v>
      </c>
      <c r="C813" s="0" t="n">
        <v>1296.918045</v>
      </c>
      <c r="E813" s="0" t="n">
        <v>2028</v>
      </c>
      <c r="F813" s="0" t="n">
        <v>42.145831</v>
      </c>
      <c r="G813" s="0" t="n">
        <v>884.233896</v>
      </c>
      <c r="I813" s="0" t="n">
        <v>2027</v>
      </c>
      <c r="J813" s="0" t="n">
        <v>112.49</v>
      </c>
      <c r="K813" s="0" t="n">
        <v>2362.85</v>
      </c>
      <c r="M813" s="0" t="n">
        <v>2028</v>
      </c>
      <c r="N813" s="0" t="n">
        <v>63.6</v>
      </c>
      <c r="O813" s="0" t="n">
        <v>1334.8</v>
      </c>
      <c r="Q813" s="0" t="n">
        <v>2029</v>
      </c>
      <c r="R813" s="0" t="n">
        <v>387</v>
      </c>
      <c r="W813" s="0" t="n">
        <v>2028</v>
      </c>
      <c r="X813" s="0" t="n">
        <v>701.376</v>
      </c>
    </row>
    <row r="814" customFormat="false" ht="15" hidden="false" customHeight="false" outlineLevel="0" collapsed="false">
      <c r="A814" s="0" t="n">
        <v>2028</v>
      </c>
      <c r="B814" s="0" t="n">
        <v>42.94903044</v>
      </c>
      <c r="C814" s="0" t="n">
        <v>901.9296392</v>
      </c>
      <c r="E814" s="0" t="n">
        <v>2028</v>
      </c>
      <c r="F814" s="0" t="n">
        <v>5.920117</v>
      </c>
      <c r="G814" s="0" t="n">
        <v>124.206072</v>
      </c>
      <c r="I814" s="0" t="n">
        <v>2027</v>
      </c>
      <c r="J814" s="0" t="n">
        <v>64.28</v>
      </c>
      <c r="K814" s="0" t="n">
        <v>1350.2</v>
      </c>
      <c r="M814" s="0" t="n">
        <v>2028</v>
      </c>
      <c r="N814" s="0" t="n">
        <v>63.6</v>
      </c>
      <c r="O814" s="0" t="n">
        <v>1334.8</v>
      </c>
      <c r="Q814" s="0" t="n">
        <v>2029</v>
      </c>
      <c r="R814" s="0" t="n">
        <v>86</v>
      </c>
      <c r="W814" s="0" t="n">
        <v>2028</v>
      </c>
      <c r="X814" s="0" t="n">
        <v>1242.02</v>
      </c>
    </row>
    <row r="815" customFormat="false" ht="15" hidden="false" customHeight="false" outlineLevel="0" collapsed="false">
      <c r="A815" s="0" t="n">
        <v>2028</v>
      </c>
      <c r="B815" s="0" t="n">
        <v>31.94692471</v>
      </c>
      <c r="C815" s="0" t="n">
        <v>670.8854189</v>
      </c>
      <c r="E815" s="0" t="n">
        <v>2028</v>
      </c>
      <c r="F815" s="0" t="n">
        <v>141.520477</v>
      </c>
      <c r="G815" s="0" t="n">
        <v>2969.147832</v>
      </c>
      <c r="I815" s="0" t="n">
        <v>2027</v>
      </c>
      <c r="J815" s="0" t="n">
        <v>64.28</v>
      </c>
      <c r="K815" s="0" t="n">
        <v>1350.2</v>
      </c>
      <c r="M815" s="0" t="n">
        <v>2028</v>
      </c>
      <c r="N815" s="0" t="n">
        <v>38.16</v>
      </c>
      <c r="O815" s="0" t="n">
        <v>800.88</v>
      </c>
      <c r="Q815" s="0" t="n">
        <v>2029</v>
      </c>
      <c r="R815" s="0" t="n">
        <v>83</v>
      </c>
      <c r="W815" s="0" t="n">
        <v>2028</v>
      </c>
      <c r="X815" s="0" t="n">
        <v>555.256</v>
      </c>
    </row>
    <row r="816" customFormat="false" ht="15" hidden="false" customHeight="false" outlineLevel="0" collapsed="false">
      <c r="A816" s="0" t="n">
        <v>2028</v>
      </c>
      <c r="B816" s="0" t="n">
        <v>14.1986332</v>
      </c>
      <c r="C816" s="0" t="n">
        <v>298.1712973</v>
      </c>
      <c r="E816" s="0" t="n">
        <v>2028</v>
      </c>
      <c r="F816" s="0" t="n">
        <v>6.625129</v>
      </c>
      <c r="G816" s="0" t="n">
        <v>138.997464</v>
      </c>
      <c r="I816" s="0" t="n">
        <v>2027</v>
      </c>
      <c r="J816" s="0" t="n">
        <v>32.14</v>
      </c>
      <c r="K816" s="0" t="n">
        <v>675.1</v>
      </c>
      <c r="M816" s="0" t="n">
        <v>2028</v>
      </c>
      <c r="N816" s="0" t="n">
        <v>31.8</v>
      </c>
      <c r="O816" s="0" t="n">
        <v>667.4</v>
      </c>
      <c r="Q816" s="0" t="n">
        <v>2029</v>
      </c>
      <c r="R816" s="0" t="n">
        <v>83</v>
      </c>
      <c r="W816" s="0" t="n">
        <v>2028</v>
      </c>
      <c r="X816" s="0" t="n">
        <v>219.18</v>
      </c>
    </row>
    <row r="817" customFormat="false" ht="15" hidden="false" customHeight="false" outlineLevel="0" collapsed="false">
      <c r="A817" s="0" t="n">
        <v>2028</v>
      </c>
      <c r="B817" s="0" t="n">
        <v>52.44377753</v>
      </c>
      <c r="C817" s="0" t="n">
        <v>1101.319328</v>
      </c>
      <c r="E817" s="0" t="n">
        <v>2028</v>
      </c>
      <c r="F817" s="0" t="n">
        <v>36.225714</v>
      </c>
      <c r="G817" s="0" t="n">
        <v>760.027824</v>
      </c>
      <c r="I817" s="0" t="n">
        <v>2027</v>
      </c>
      <c r="J817" s="0" t="n">
        <v>32.14</v>
      </c>
      <c r="K817" s="0" t="n">
        <v>675.1</v>
      </c>
      <c r="M817" s="0" t="n">
        <v>2028</v>
      </c>
      <c r="N817" s="0" t="n">
        <v>25.44</v>
      </c>
      <c r="O817" s="0" t="n">
        <v>533.92</v>
      </c>
      <c r="Q817" s="0" t="n">
        <v>2029</v>
      </c>
      <c r="R817" s="0" t="n">
        <v>85</v>
      </c>
      <c r="W817" s="0" t="n">
        <v>2028</v>
      </c>
      <c r="X817" s="0" t="n">
        <v>321.464</v>
      </c>
    </row>
    <row r="818" customFormat="false" ht="15" hidden="false" customHeight="false" outlineLevel="0" collapsed="false">
      <c r="A818" s="0" t="n">
        <v>2028</v>
      </c>
      <c r="B818" s="0" t="n">
        <v>16.4167337</v>
      </c>
      <c r="C818" s="0" t="n">
        <v>344.7514076</v>
      </c>
      <c r="E818" s="0" t="n">
        <v>2028</v>
      </c>
      <c r="F818" s="0" t="n">
        <v>33.124882</v>
      </c>
      <c r="G818" s="0" t="n">
        <v>694.971312</v>
      </c>
      <c r="I818" s="0" t="n">
        <v>2027</v>
      </c>
      <c r="J818" s="0" t="n">
        <v>64.28</v>
      </c>
      <c r="K818" s="0" t="n">
        <v>1350.2</v>
      </c>
      <c r="M818" s="0" t="n">
        <v>2028</v>
      </c>
      <c r="N818" s="0" t="n">
        <v>12.72</v>
      </c>
      <c r="O818" s="0" t="n">
        <v>266.96</v>
      </c>
      <c r="Q818" s="0" t="n">
        <v>2029</v>
      </c>
      <c r="R818" s="0" t="n">
        <v>81</v>
      </c>
      <c r="W818" s="0" t="n">
        <v>2028</v>
      </c>
      <c r="X818" s="0" t="n">
        <v>248.404</v>
      </c>
    </row>
    <row r="819" customFormat="false" ht="15" hidden="false" customHeight="false" outlineLevel="0" collapsed="false">
      <c r="A819" s="0" t="n">
        <v>2028</v>
      </c>
      <c r="B819" s="0" t="n">
        <v>36.7068133</v>
      </c>
      <c r="C819" s="0" t="n">
        <v>770.8430793</v>
      </c>
      <c r="E819" s="0" t="n">
        <v>2028</v>
      </c>
      <c r="F819" s="0" t="n">
        <v>553.523073</v>
      </c>
      <c r="G819" s="0" t="n">
        <v>11614.2195</v>
      </c>
      <c r="I819" s="0" t="n">
        <v>2027</v>
      </c>
      <c r="J819" s="0" t="n">
        <v>112.49</v>
      </c>
      <c r="K819" s="0" t="n">
        <v>2362.85</v>
      </c>
      <c r="M819" s="0" t="n">
        <v>2028</v>
      </c>
      <c r="N819" s="0" t="n">
        <v>182.4</v>
      </c>
      <c r="O819" s="0" t="n">
        <v>3825.84</v>
      </c>
      <c r="Q819" s="0" t="n">
        <v>2029</v>
      </c>
      <c r="R819" s="0" t="n">
        <v>38</v>
      </c>
      <c r="W819" s="0" t="n">
        <v>2028</v>
      </c>
      <c r="X819" s="0" t="n">
        <v>24566.88</v>
      </c>
    </row>
    <row r="820" customFormat="false" ht="15" hidden="false" customHeight="false" outlineLevel="0" collapsed="false">
      <c r="A820" s="0" t="n">
        <v>2028</v>
      </c>
      <c r="B820" s="0" t="n">
        <v>896.2993273</v>
      </c>
      <c r="C820" s="0" t="n">
        <v>18822.28587</v>
      </c>
      <c r="E820" s="0" t="n">
        <v>2028</v>
      </c>
      <c r="F820" s="0" t="n">
        <v>148.627077</v>
      </c>
      <c r="G820" s="0" t="n">
        <v>3118.546598</v>
      </c>
      <c r="I820" s="0" t="n">
        <v>2027</v>
      </c>
      <c r="J820" s="0" t="n">
        <v>48.21</v>
      </c>
      <c r="K820" s="0" t="n">
        <v>1012.65</v>
      </c>
      <c r="M820" s="0" t="n">
        <v>2028</v>
      </c>
      <c r="N820" s="0" t="n">
        <v>120</v>
      </c>
      <c r="O820" s="0" t="n">
        <v>2517</v>
      </c>
      <c r="Q820" s="0" t="n">
        <v>2029</v>
      </c>
      <c r="R820" s="0" t="n">
        <v>8</v>
      </c>
      <c r="W820" s="0" t="n">
        <v>2028</v>
      </c>
      <c r="X820" s="0" t="n">
        <v>6141.72</v>
      </c>
    </row>
    <row r="821" customFormat="false" ht="15" hidden="false" customHeight="false" outlineLevel="0" collapsed="false">
      <c r="A821" s="0" t="n">
        <v>2028</v>
      </c>
      <c r="B821" s="0" t="n">
        <v>226.0731943</v>
      </c>
      <c r="C821" s="0" t="n">
        <v>4747.53708</v>
      </c>
      <c r="E821" s="0" t="n">
        <v>2028</v>
      </c>
      <c r="F821" s="0" t="n">
        <v>59.490249</v>
      </c>
      <c r="G821" s="0" t="n">
        <v>1248.245726</v>
      </c>
      <c r="I821" s="0" t="n">
        <v>2027</v>
      </c>
      <c r="J821" s="0" t="n">
        <v>48.21</v>
      </c>
      <c r="K821" s="0" t="n">
        <v>1012.65</v>
      </c>
      <c r="M821" s="0" t="n">
        <v>2028</v>
      </c>
      <c r="N821" s="0" t="n">
        <v>48</v>
      </c>
      <c r="O821" s="0" t="n">
        <v>1006.8</v>
      </c>
      <c r="Q821" s="0" t="n">
        <v>2029</v>
      </c>
      <c r="R821" s="0" t="n">
        <v>8</v>
      </c>
      <c r="W821" s="0" t="n">
        <v>2028</v>
      </c>
      <c r="X821" s="0" t="n">
        <v>1901.952</v>
      </c>
    </row>
    <row r="822" customFormat="false" ht="15" hidden="false" customHeight="false" outlineLevel="0" collapsed="false">
      <c r="A822" s="0" t="n">
        <v>2028</v>
      </c>
      <c r="B822" s="0" t="n">
        <v>201.6020283</v>
      </c>
      <c r="C822" s="0" t="n">
        <v>4233.642595</v>
      </c>
      <c r="E822" s="0" t="n">
        <v>2028</v>
      </c>
      <c r="F822" s="0" t="n">
        <v>8.356443</v>
      </c>
      <c r="G822" s="0" t="n">
        <v>175.337882</v>
      </c>
      <c r="I822" s="0" t="n">
        <v>2027</v>
      </c>
      <c r="J822" s="0" t="n">
        <v>48.88</v>
      </c>
      <c r="K822" s="0" t="n">
        <v>1025.96</v>
      </c>
      <c r="M822" s="0" t="n">
        <v>2028</v>
      </c>
      <c r="N822" s="0" t="n">
        <v>48</v>
      </c>
      <c r="O822" s="0" t="n">
        <v>1006.8</v>
      </c>
      <c r="Q822" s="0" t="n">
        <v>2029</v>
      </c>
      <c r="R822" s="0" t="n">
        <v>8</v>
      </c>
      <c r="W822" s="0" t="n">
        <v>2028</v>
      </c>
      <c r="X822" s="0" t="n">
        <v>3368.04</v>
      </c>
    </row>
    <row r="823" customFormat="false" ht="15" hidden="false" customHeight="false" outlineLevel="0" collapsed="false">
      <c r="A823" s="0" t="n">
        <v>2028</v>
      </c>
      <c r="B823" s="0" t="n">
        <v>140.2022629</v>
      </c>
      <c r="C823" s="0" t="n">
        <v>2944.24752</v>
      </c>
      <c r="E823" s="0" t="n">
        <v>2028</v>
      </c>
      <c r="F823" s="0" t="n">
        <v>199.760883</v>
      </c>
      <c r="G823" s="0" t="n">
        <v>4191.454442</v>
      </c>
      <c r="I823" s="0" t="n">
        <v>2027</v>
      </c>
      <c r="J823" s="0" t="n">
        <v>7.52</v>
      </c>
      <c r="K823" s="0" t="n">
        <v>157.84</v>
      </c>
      <c r="M823" s="0" t="n">
        <v>2028</v>
      </c>
      <c r="N823" s="0" t="n">
        <v>28.8</v>
      </c>
      <c r="O823" s="0" t="n">
        <v>604.08</v>
      </c>
      <c r="Q823" s="0" t="n">
        <v>2029</v>
      </c>
      <c r="R823" s="0" t="n">
        <v>338</v>
      </c>
      <c r="W823" s="0" t="n">
        <v>2028</v>
      </c>
      <c r="X823" s="0" t="n">
        <v>1505.712</v>
      </c>
    </row>
    <row r="824" customFormat="false" ht="15" hidden="false" customHeight="false" outlineLevel="0" collapsed="false">
      <c r="A824" s="0" t="n">
        <v>2028</v>
      </c>
      <c r="B824" s="0" t="n">
        <v>104.2871303</v>
      </c>
      <c r="C824" s="0" t="n">
        <v>2190.029737</v>
      </c>
      <c r="E824" s="0" t="n">
        <v>2028</v>
      </c>
      <c r="F824" s="0" t="n">
        <v>9.351591</v>
      </c>
      <c r="G824" s="0" t="n">
        <v>196.218434</v>
      </c>
      <c r="I824" s="0" t="n">
        <v>2027</v>
      </c>
      <c r="J824" s="0" t="n">
        <v>5.64</v>
      </c>
      <c r="K824" s="0" t="n">
        <v>118.38</v>
      </c>
      <c r="M824" s="0" t="n">
        <v>2028</v>
      </c>
      <c r="N824" s="0" t="n">
        <v>24</v>
      </c>
      <c r="O824" s="0" t="n">
        <v>503.4</v>
      </c>
      <c r="Q824" s="0" t="n">
        <v>2029</v>
      </c>
      <c r="R824" s="0" t="n">
        <v>321</v>
      </c>
      <c r="W824" s="0" t="n">
        <v>2028</v>
      </c>
      <c r="X824" s="0" t="n">
        <v>594.36</v>
      </c>
    </row>
    <row r="825" customFormat="false" ht="15" hidden="false" customHeight="false" outlineLevel="0" collapsed="false">
      <c r="A825" s="0" t="n">
        <v>2028</v>
      </c>
      <c r="B825" s="0" t="n">
        <v>46.34983571</v>
      </c>
      <c r="C825" s="0" t="n">
        <v>973.3465499</v>
      </c>
      <c r="E825" s="0" t="n">
        <v>2028</v>
      </c>
      <c r="F825" s="0" t="n">
        <v>51.133806</v>
      </c>
      <c r="G825" s="0" t="n">
        <v>1072.907844</v>
      </c>
      <c r="I825" s="0" t="n">
        <v>2027</v>
      </c>
      <c r="J825" s="0" t="n">
        <v>9.4</v>
      </c>
      <c r="K825" s="0" t="n">
        <v>197.3</v>
      </c>
      <c r="M825" s="0" t="n">
        <v>2028</v>
      </c>
      <c r="N825" s="0" t="n">
        <v>19.2</v>
      </c>
      <c r="O825" s="0" t="n">
        <v>402.72</v>
      </c>
      <c r="Q825" s="0" t="n">
        <v>2029</v>
      </c>
      <c r="R825" s="0" t="n">
        <v>152</v>
      </c>
      <c r="W825" s="0" t="n">
        <v>2028</v>
      </c>
      <c r="X825" s="0" t="n">
        <v>871.728</v>
      </c>
    </row>
    <row r="826" customFormat="false" ht="15" hidden="false" customHeight="false" outlineLevel="0" collapsed="false">
      <c r="A826" s="0" t="n">
        <v>2028</v>
      </c>
      <c r="B826" s="0" t="n">
        <v>171.1967932</v>
      </c>
      <c r="C826" s="0" t="n">
        <v>3595.132657</v>
      </c>
      <c r="E826" s="0" t="n">
        <v>2028</v>
      </c>
      <c r="F826" s="0" t="n">
        <v>46.756878</v>
      </c>
      <c r="G826" s="0" t="n">
        <v>981.069572</v>
      </c>
      <c r="I826" s="0" t="n">
        <v>2027</v>
      </c>
      <c r="J826" s="0" t="n">
        <v>1.88</v>
      </c>
      <c r="K826" s="0" t="n">
        <v>39.46</v>
      </c>
      <c r="M826" s="0" t="n">
        <v>2028</v>
      </c>
      <c r="N826" s="0" t="n">
        <v>9.6</v>
      </c>
      <c r="O826" s="0" t="n">
        <v>201.36</v>
      </c>
      <c r="Q826" s="0" t="n">
        <v>2029</v>
      </c>
      <c r="R826" s="0" t="n">
        <v>34</v>
      </c>
      <c r="W826" s="0" t="n">
        <v>2028</v>
      </c>
      <c r="X826" s="0" t="n">
        <v>673.608</v>
      </c>
    </row>
    <row r="827" customFormat="false" ht="15" hidden="false" customHeight="false" outlineLevel="0" collapsed="false">
      <c r="A827" s="0" t="n">
        <v>2028</v>
      </c>
      <c r="B827" s="0" t="n">
        <v>53.59057444</v>
      </c>
      <c r="C827" s="0" t="n">
        <v>1125.402063</v>
      </c>
      <c r="E827" s="0" t="n">
        <v>2028</v>
      </c>
      <c r="F827" s="0" t="n">
        <v>387.517546</v>
      </c>
      <c r="G827" s="0" t="n">
        <v>8128.103435</v>
      </c>
      <c r="I827" s="0" t="n">
        <v>2027</v>
      </c>
      <c r="J827" s="0" t="n">
        <v>1.88</v>
      </c>
      <c r="K827" s="0" t="n">
        <v>39.46</v>
      </c>
      <c r="M827" s="0" t="n">
        <v>2028</v>
      </c>
      <c r="N827" s="0" t="n">
        <v>164.92</v>
      </c>
      <c r="O827" s="0" t="n">
        <v>3456.48</v>
      </c>
      <c r="Q827" s="0" t="n">
        <v>2029</v>
      </c>
      <c r="R827" s="0" t="n">
        <v>32</v>
      </c>
      <c r="W827" s="0" t="n">
        <v>2028</v>
      </c>
      <c r="X827" s="0" t="n">
        <v>13034.26</v>
      </c>
    </row>
    <row r="828" customFormat="false" ht="15" hidden="false" customHeight="false" outlineLevel="0" collapsed="false">
      <c r="A828" s="0" t="n">
        <v>2028</v>
      </c>
      <c r="B828" s="0" t="n">
        <v>119.8252495</v>
      </c>
      <c r="C828" s="0" t="n">
        <v>2516.330239</v>
      </c>
      <c r="E828" s="0" t="n">
        <v>2028</v>
      </c>
      <c r="F828" s="0" t="n">
        <v>104.052754</v>
      </c>
      <c r="G828" s="0" t="n">
        <v>2182.485815</v>
      </c>
      <c r="I828" s="0" t="n">
        <v>2027</v>
      </c>
      <c r="J828" s="0" t="n">
        <v>0</v>
      </c>
      <c r="K828" s="0" t="n">
        <v>0</v>
      </c>
      <c r="M828" s="0" t="n">
        <v>2028</v>
      </c>
      <c r="N828" s="0" t="n">
        <v>108.5</v>
      </c>
      <c r="O828" s="0" t="n">
        <v>2274</v>
      </c>
      <c r="Q828" s="0" t="n">
        <v>2029</v>
      </c>
      <c r="R828" s="0" t="n">
        <v>32</v>
      </c>
      <c r="W828" s="0" t="n">
        <v>2028</v>
      </c>
      <c r="X828" s="0" t="n">
        <v>3258.565</v>
      </c>
    </row>
    <row r="829" customFormat="false" ht="15" hidden="false" customHeight="false" outlineLevel="0" collapsed="false">
      <c r="A829" s="0" t="n">
        <v>2028</v>
      </c>
      <c r="B829" s="0" t="n">
        <v>159.1135232</v>
      </c>
      <c r="C829" s="0" t="n">
        <v>3341.383987</v>
      </c>
      <c r="E829" s="0" t="n">
        <v>2028</v>
      </c>
      <c r="F829" s="0" t="n">
        <v>41.648698</v>
      </c>
      <c r="G829" s="0" t="n">
        <v>873.573155</v>
      </c>
      <c r="I829" s="0" t="n">
        <v>2027</v>
      </c>
      <c r="J829" s="0" t="n">
        <v>3.76</v>
      </c>
      <c r="K829" s="0" t="n">
        <v>78.92</v>
      </c>
      <c r="M829" s="0" t="n">
        <v>2028</v>
      </c>
      <c r="N829" s="0" t="n">
        <v>43.4</v>
      </c>
      <c r="O829" s="0" t="n">
        <v>909.6</v>
      </c>
      <c r="Q829" s="0" t="n">
        <v>2029</v>
      </c>
      <c r="R829" s="0" t="n">
        <v>408</v>
      </c>
      <c r="W829" s="0" t="n">
        <v>2028</v>
      </c>
      <c r="X829" s="0" t="n">
        <v>1009.104</v>
      </c>
    </row>
    <row r="830" customFormat="false" ht="15" hidden="false" customHeight="false" outlineLevel="0" collapsed="false">
      <c r="A830" s="0" t="n">
        <v>2028</v>
      </c>
      <c r="B830" s="0" t="n">
        <v>40.1331356</v>
      </c>
      <c r="C830" s="0" t="n">
        <v>842.7958476</v>
      </c>
      <c r="E830" s="0" t="n">
        <v>2028</v>
      </c>
      <c r="F830" s="0" t="n">
        <v>5.850286</v>
      </c>
      <c r="G830" s="0" t="n">
        <v>122.708585</v>
      </c>
      <c r="I830" s="0" t="n">
        <v>2027</v>
      </c>
      <c r="J830" s="0" t="n">
        <v>6.58</v>
      </c>
      <c r="K830" s="0" t="n">
        <v>138.11</v>
      </c>
      <c r="M830" s="0" t="n">
        <v>2028</v>
      </c>
      <c r="N830" s="0" t="n">
        <v>43.4</v>
      </c>
      <c r="O830" s="0" t="n">
        <v>909.6</v>
      </c>
      <c r="Q830" s="0" t="n">
        <v>2029</v>
      </c>
      <c r="R830" s="0" t="n">
        <v>387</v>
      </c>
      <c r="W830" s="0" t="n">
        <v>2028</v>
      </c>
      <c r="X830" s="0" t="n">
        <v>1786.955</v>
      </c>
    </row>
    <row r="831" customFormat="false" ht="15" hidden="false" customHeight="false" outlineLevel="0" collapsed="false">
      <c r="A831" s="0" t="n">
        <v>2028</v>
      </c>
      <c r="B831" s="0" t="n">
        <v>35.78894687</v>
      </c>
      <c r="C831" s="0" t="n">
        <v>751.5678843</v>
      </c>
      <c r="E831" s="0" t="n">
        <v>2028</v>
      </c>
      <c r="F831" s="0" t="n">
        <v>139.851166</v>
      </c>
      <c r="G831" s="0" t="n">
        <v>2933.350385</v>
      </c>
      <c r="I831" s="0" t="n">
        <v>2027</v>
      </c>
      <c r="J831" s="0" t="n">
        <v>1.88</v>
      </c>
      <c r="K831" s="0" t="n">
        <v>39.46</v>
      </c>
      <c r="M831" s="0" t="n">
        <v>2028</v>
      </c>
      <c r="N831" s="0" t="n">
        <v>26.04</v>
      </c>
      <c r="O831" s="0" t="n">
        <v>545.76</v>
      </c>
      <c r="Q831" s="0" t="n">
        <v>2029</v>
      </c>
      <c r="R831" s="0" t="n">
        <v>183</v>
      </c>
      <c r="W831" s="0" t="n">
        <v>2028</v>
      </c>
      <c r="X831" s="0" t="n">
        <v>798.874</v>
      </c>
    </row>
    <row r="832" customFormat="false" ht="15" hidden="false" customHeight="false" outlineLevel="0" collapsed="false">
      <c r="A832" s="0" t="n">
        <v>2028</v>
      </c>
      <c r="B832" s="0" t="n">
        <v>24.88909154</v>
      </c>
      <c r="C832" s="0" t="n">
        <v>522.6709223</v>
      </c>
      <c r="E832" s="0" t="n">
        <v>2028</v>
      </c>
      <c r="F832" s="0" t="n">
        <v>6.546982</v>
      </c>
      <c r="G832" s="0" t="n">
        <v>137.321645</v>
      </c>
      <c r="I832" s="0" t="n">
        <v>2027</v>
      </c>
      <c r="J832" s="0" t="n">
        <v>6.58</v>
      </c>
      <c r="K832" s="0" t="n">
        <v>138.11</v>
      </c>
      <c r="M832" s="0" t="n">
        <v>2028</v>
      </c>
      <c r="N832" s="0" t="n">
        <v>21.7</v>
      </c>
      <c r="O832" s="0" t="n">
        <v>454.8</v>
      </c>
      <c r="Q832" s="0" t="n">
        <v>2029</v>
      </c>
      <c r="R832" s="0" t="n">
        <v>41</v>
      </c>
      <c r="W832" s="0" t="n">
        <v>2028</v>
      </c>
      <c r="X832" s="0" t="n">
        <v>315.345</v>
      </c>
    </row>
    <row r="833" customFormat="false" ht="15" hidden="false" customHeight="false" outlineLevel="0" collapsed="false">
      <c r="A833" s="0" t="n">
        <v>2028</v>
      </c>
      <c r="B833" s="0" t="n">
        <v>18.51333838</v>
      </c>
      <c r="C833" s="0" t="n">
        <v>388.7801059</v>
      </c>
      <c r="E833" s="0" t="n">
        <v>2028</v>
      </c>
      <c r="F833" s="0" t="n">
        <v>35.798412</v>
      </c>
      <c r="G833" s="0" t="n">
        <v>750.86457</v>
      </c>
      <c r="I833" s="0" t="n">
        <v>2027</v>
      </c>
      <c r="J833" s="0" t="n">
        <v>326.88</v>
      </c>
      <c r="K833" s="0" t="n">
        <v>6865.92</v>
      </c>
      <c r="M833" s="0" t="n">
        <v>2028</v>
      </c>
      <c r="N833" s="0" t="n">
        <v>17.36</v>
      </c>
      <c r="O833" s="0" t="n">
        <v>363.84</v>
      </c>
      <c r="Q833" s="0" t="n">
        <v>2029</v>
      </c>
      <c r="R833" s="0" t="n">
        <v>40</v>
      </c>
      <c r="W833" s="0" t="n">
        <v>2028</v>
      </c>
      <c r="X833" s="0" t="n">
        <v>462.506</v>
      </c>
    </row>
    <row r="834" customFormat="false" ht="15" hidden="false" customHeight="false" outlineLevel="0" collapsed="false">
      <c r="A834" s="0" t="n">
        <v>2028</v>
      </c>
      <c r="B834" s="0" t="n">
        <v>8.228150389</v>
      </c>
      <c r="C834" s="0" t="n">
        <v>172.7911582</v>
      </c>
      <c r="E834" s="0" t="n">
        <v>2028</v>
      </c>
      <c r="F834" s="0" t="n">
        <v>32.734156</v>
      </c>
      <c r="G834" s="0" t="n">
        <v>686.59241</v>
      </c>
      <c r="I834" s="0" t="n">
        <v>2027</v>
      </c>
      <c r="J834" s="0" t="n">
        <v>108.96</v>
      </c>
      <c r="K834" s="0" t="n">
        <v>2288.64</v>
      </c>
      <c r="M834" s="0" t="n">
        <v>2028</v>
      </c>
      <c r="N834" s="0" t="n">
        <v>8.68</v>
      </c>
      <c r="O834" s="0" t="n">
        <v>181.92</v>
      </c>
      <c r="Q834" s="0" t="n">
        <v>2029</v>
      </c>
      <c r="R834" s="0" t="n">
        <v>40</v>
      </c>
      <c r="W834" s="0" t="n">
        <v>2028</v>
      </c>
      <c r="X834" s="0" t="n">
        <v>357.391</v>
      </c>
    </row>
    <row r="835" customFormat="false" ht="15" hidden="false" customHeight="false" outlineLevel="0" collapsed="false">
      <c r="A835" s="0" t="n">
        <v>2028</v>
      </c>
      <c r="B835" s="0" t="n">
        <v>30.39132586</v>
      </c>
      <c r="C835" s="0" t="n">
        <v>638.2178431</v>
      </c>
      <c r="E835" s="0" t="n">
        <v>2028</v>
      </c>
      <c r="F835" s="0" t="n">
        <v>321.218125</v>
      </c>
      <c r="G835" s="0" t="n">
        <v>6741.469033</v>
      </c>
      <c r="I835" s="0" t="n">
        <v>2027</v>
      </c>
      <c r="J835" s="0" t="n">
        <v>47.67</v>
      </c>
      <c r="K835" s="0" t="n">
        <v>1001.28</v>
      </c>
      <c r="M835" s="0" t="n">
        <v>2028</v>
      </c>
      <c r="N835" s="0" t="n">
        <v>264.48</v>
      </c>
      <c r="O835" s="0" t="n">
        <v>5551.8</v>
      </c>
      <c r="Q835" s="0" t="n">
        <v>2029</v>
      </c>
      <c r="R835" s="0" t="n">
        <v>286</v>
      </c>
      <c r="W835" s="0" t="n">
        <v>2028</v>
      </c>
      <c r="X835" s="0" t="n">
        <v>5353.7</v>
      </c>
    </row>
    <row r="836" customFormat="false" ht="15" hidden="false" customHeight="false" outlineLevel="0" collapsed="false">
      <c r="A836" s="0" t="n">
        <v>2028</v>
      </c>
      <c r="B836" s="0" t="n">
        <v>9.513546255</v>
      </c>
      <c r="C836" s="0" t="n">
        <v>199.7844713</v>
      </c>
      <c r="E836" s="0" t="n">
        <v>2028</v>
      </c>
      <c r="F836" s="0" t="n">
        <v>86.250625</v>
      </c>
      <c r="G836" s="0" t="n">
        <v>1810.159117</v>
      </c>
      <c r="I836" s="0" t="n">
        <v>2027</v>
      </c>
      <c r="J836" s="0" t="n">
        <v>27.24</v>
      </c>
      <c r="K836" s="0" t="n">
        <v>572.16</v>
      </c>
      <c r="M836" s="0" t="n">
        <v>2028</v>
      </c>
      <c r="N836" s="0" t="n">
        <v>174</v>
      </c>
      <c r="O836" s="0" t="n">
        <v>3652.5</v>
      </c>
      <c r="Q836" s="0" t="n">
        <v>2029</v>
      </c>
      <c r="R836" s="0" t="n">
        <v>272</v>
      </c>
      <c r="W836" s="0" t="n">
        <v>2028</v>
      </c>
      <c r="X836" s="0" t="n">
        <v>1338.425</v>
      </c>
    </row>
    <row r="837" customFormat="false" ht="15" hidden="false" customHeight="false" outlineLevel="0" collapsed="false">
      <c r="A837" s="0" t="n">
        <v>2028</v>
      </c>
      <c r="B837" s="0" t="n">
        <v>21.27170804</v>
      </c>
      <c r="C837" s="0" t="n">
        <v>446.7058689</v>
      </c>
      <c r="E837" s="0" t="n">
        <v>2028</v>
      </c>
      <c r="F837" s="0" t="n">
        <v>34.523125</v>
      </c>
      <c r="G837" s="0" t="n">
        <v>724.543729</v>
      </c>
      <c r="I837" s="0" t="n">
        <v>2027</v>
      </c>
      <c r="J837" s="0" t="n">
        <v>27.24</v>
      </c>
      <c r="K837" s="0" t="n">
        <v>572.16</v>
      </c>
      <c r="M837" s="0" t="n">
        <v>2028</v>
      </c>
      <c r="N837" s="0" t="n">
        <v>69.6</v>
      </c>
      <c r="O837" s="0" t="n">
        <v>1461</v>
      </c>
      <c r="Q837" s="0" t="n">
        <v>2029</v>
      </c>
      <c r="R837" s="0" t="n">
        <v>129</v>
      </c>
      <c r="W837" s="0" t="n">
        <v>2028</v>
      </c>
      <c r="X837" s="0" t="n">
        <v>414.48</v>
      </c>
    </row>
    <row r="838" customFormat="false" ht="15" hidden="false" customHeight="false" outlineLevel="0" collapsed="false">
      <c r="A838" s="0" t="n">
        <v>2028</v>
      </c>
      <c r="B838" s="0" t="n">
        <v>269.7465436</v>
      </c>
      <c r="C838" s="0" t="n">
        <v>5664.677416</v>
      </c>
      <c r="E838" s="0" t="n">
        <v>2028</v>
      </c>
      <c r="F838" s="0" t="n">
        <v>4.849375</v>
      </c>
      <c r="G838" s="0" t="n">
        <v>101.774803</v>
      </c>
      <c r="I838" s="0" t="n">
        <v>2027</v>
      </c>
      <c r="J838" s="0" t="n">
        <v>13.62</v>
      </c>
      <c r="K838" s="0" t="n">
        <v>286.08</v>
      </c>
      <c r="M838" s="0" t="n">
        <v>2028</v>
      </c>
      <c r="N838" s="0" t="n">
        <v>69.6</v>
      </c>
      <c r="O838" s="0" t="n">
        <v>1461</v>
      </c>
      <c r="Q838" s="0" t="n">
        <v>2029</v>
      </c>
      <c r="R838" s="0" t="n">
        <v>29</v>
      </c>
      <c r="W838" s="0" t="n">
        <v>2028</v>
      </c>
      <c r="X838" s="0" t="n">
        <v>733.975</v>
      </c>
    </row>
    <row r="839" customFormat="false" ht="15" hidden="false" customHeight="false" outlineLevel="0" collapsed="false">
      <c r="A839" s="0" t="n">
        <v>2028</v>
      </c>
      <c r="B839" s="0" t="n">
        <v>68.03805481</v>
      </c>
      <c r="C839" s="0" t="n">
        <v>1428.799151</v>
      </c>
      <c r="E839" s="0" t="n">
        <v>2028</v>
      </c>
      <c r="F839" s="0" t="n">
        <v>115.924375</v>
      </c>
      <c r="G839" s="0" t="n">
        <v>2432.928043</v>
      </c>
      <c r="I839" s="0" t="n">
        <v>2027</v>
      </c>
      <c r="J839" s="0" t="n">
        <v>13.62</v>
      </c>
      <c r="K839" s="0" t="n">
        <v>286.08</v>
      </c>
      <c r="M839" s="0" t="n">
        <v>2028</v>
      </c>
      <c r="N839" s="0" t="n">
        <v>41.76</v>
      </c>
      <c r="O839" s="0" t="n">
        <v>876.6</v>
      </c>
      <c r="Q839" s="0" t="n">
        <v>2029</v>
      </c>
      <c r="R839" s="0" t="n">
        <v>28</v>
      </c>
      <c r="W839" s="0" t="n">
        <v>2028</v>
      </c>
      <c r="X839" s="0" t="n">
        <v>328.13</v>
      </c>
    </row>
    <row r="840" customFormat="false" ht="15" hidden="false" customHeight="false" outlineLevel="0" collapsed="false">
      <c r="A840" s="0" t="n">
        <v>2028</v>
      </c>
      <c r="B840" s="0" t="n">
        <v>60.67331377</v>
      </c>
      <c r="C840" s="0" t="n">
        <v>1274.139589</v>
      </c>
      <c r="E840" s="0" t="n">
        <v>2028</v>
      </c>
      <c r="F840" s="0" t="n">
        <v>5.426875</v>
      </c>
      <c r="G840" s="0" t="n">
        <v>113.894911</v>
      </c>
      <c r="I840" s="0" t="n">
        <v>2027</v>
      </c>
      <c r="J840" s="0" t="n">
        <v>27.24</v>
      </c>
      <c r="K840" s="0" t="n">
        <v>572.16</v>
      </c>
      <c r="M840" s="0" t="n">
        <v>2028</v>
      </c>
      <c r="N840" s="0" t="n">
        <v>34.8</v>
      </c>
      <c r="O840" s="0" t="n">
        <v>730.5</v>
      </c>
      <c r="Q840" s="0" t="n">
        <v>2029</v>
      </c>
      <c r="R840" s="0" t="n">
        <v>28</v>
      </c>
      <c r="W840" s="0" t="n">
        <v>2028</v>
      </c>
      <c r="X840" s="0" t="n">
        <v>129.525</v>
      </c>
    </row>
    <row r="841" customFormat="false" ht="15" hidden="false" customHeight="false" outlineLevel="0" collapsed="false">
      <c r="A841" s="0" t="n">
        <v>2028</v>
      </c>
      <c r="B841" s="0" t="n">
        <v>42.19469396</v>
      </c>
      <c r="C841" s="0" t="n">
        <v>886.0885731</v>
      </c>
      <c r="E841" s="0" t="n">
        <v>2028</v>
      </c>
      <c r="F841" s="0" t="n">
        <v>29.67375</v>
      </c>
      <c r="G841" s="0" t="n">
        <v>622.768926</v>
      </c>
      <c r="I841" s="0" t="n">
        <v>2027</v>
      </c>
      <c r="J841" s="0" t="n">
        <v>47.67</v>
      </c>
      <c r="K841" s="0" t="n">
        <v>1001.28</v>
      </c>
      <c r="M841" s="0" t="n">
        <v>2028</v>
      </c>
      <c r="N841" s="0" t="n">
        <v>27.84</v>
      </c>
      <c r="O841" s="0" t="n">
        <v>584.4</v>
      </c>
      <c r="Q841" s="0" t="n">
        <v>2029</v>
      </c>
      <c r="R841" s="0" t="n">
        <v>121</v>
      </c>
      <c r="W841" s="0" t="n">
        <v>2028</v>
      </c>
      <c r="X841" s="0" t="n">
        <v>189.97</v>
      </c>
    </row>
    <row r="842" customFormat="false" ht="15" hidden="false" customHeight="false" outlineLevel="0" collapsed="false">
      <c r="A842" s="0" t="n">
        <v>2028</v>
      </c>
      <c r="B842" s="0" t="n">
        <v>31.38582401</v>
      </c>
      <c r="C842" s="0" t="n">
        <v>659.1023043</v>
      </c>
      <c r="E842" s="0" t="n">
        <v>2028</v>
      </c>
      <c r="F842" s="0" t="n">
        <v>27.13375</v>
      </c>
      <c r="G842" s="0" t="n">
        <v>569.461438</v>
      </c>
      <c r="I842" s="0" t="n">
        <v>2027</v>
      </c>
      <c r="J842" s="0" t="n">
        <v>20.43</v>
      </c>
      <c r="K842" s="0" t="n">
        <v>429.12</v>
      </c>
      <c r="M842" s="0" t="n">
        <v>2028</v>
      </c>
      <c r="N842" s="0" t="n">
        <v>13.92</v>
      </c>
      <c r="O842" s="0" t="n">
        <v>292.2</v>
      </c>
      <c r="Q842" s="0" t="n">
        <v>2029</v>
      </c>
      <c r="R842" s="0" t="n">
        <v>115</v>
      </c>
      <c r="W842" s="0" t="n">
        <v>2028</v>
      </c>
      <c r="X842" s="0" t="n">
        <v>146.795</v>
      </c>
    </row>
    <row r="843" customFormat="false" ht="15" hidden="false" customHeight="false" outlineLevel="0" collapsed="false">
      <c r="A843" s="0" t="n">
        <v>2028</v>
      </c>
      <c r="B843" s="0" t="n">
        <v>13.94925512</v>
      </c>
      <c r="C843" s="0" t="n">
        <v>292.9343575</v>
      </c>
      <c r="E843" s="0" t="n">
        <v>2028</v>
      </c>
      <c r="F843" s="0" t="n">
        <v>119.236168</v>
      </c>
      <c r="G843" s="0" t="n">
        <v>2495.736344</v>
      </c>
      <c r="I843" s="0" t="n">
        <v>2027</v>
      </c>
      <c r="J843" s="0" t="n">
        <v>20.43</v>
      </c>
      <c r="K843" s="0" t="n">
        <v>429.12</v>
      </c>
      <c r="M843" s="0" t="n">
        <v>2028</v>
      </c>
      <c r="N843" s="0" t="n">
        <v>171.38</v>
      </c>
      <c r="O843" s="0" t="n">
        <v>3595.94</v>
      </c>
      <c r="Q843" s="0" t="n">
        <v>2029</v>
      </c>
      <c r="R843" s="0" t="n">
        <v>54</v>
      </c>
      <c r="W843" s="0" t="n">
        <v>2028</v>
      </c>
      <c r="X843" s="0" t="n">
        <v>5201.18</v>
      </c>
    </row>
    <row r="844" customFormat="false" ht="15" hidden="false" customHeight="false" outlineLevel="0" collapsed="false">
      <c r="A844" s="0" t="n">
        <v>2028</v>
      </c>
      <c r="B844" s="0" t="n">
        <v>51.52267979</v>
      </c>
      <c r="C844" s="0" t="n">
        <v>1081.976276</v>
      </c>
      <c r="E844" s="0" t="n">
        <v>2028</v>
      </c>
      <c r="F844" s="0" t="n">
        <v>32.016232</v>
      </c>
      <c r="G844" s="0" t="n">
        <v>670.132856</v>
      </c>
      <c r="I844" s="0" t="n">
        <v>2027</v>
      </c>
      <c r="J844" s="0" t="n">
        <v>58.76</v>
      </c>
      <c r="K844" s="0" t="n">
        <v>1230.32</v>
      </c>
      <c r="M844" s="0" t="n">
        <v>2028</v>
      </c>
      <c r="N844" s="0" t="n">
        <v>112.75</v>
      </c>
      <c r="O844" s="0" t="n">
        <v>2365.75</v>
      </c>
      <c r="Q844" s="0" t="n">
        <v>2029</v>
      </c>
      <c r="R844" s="0" t="n">
        <v>12</v>
      </c>
      <c r="W844" s="0" t="n">
        <v>2028</v>
      </c>
      <c r="X844" s="0" t="n">
        <v>1300.295</v>
      </c>
    </row>
    <row r="845" customFormat="false" ht="15" hidden="false" customHeight="false" outlineLevel="0" collapsed="false">
      <c r="A845" s="0" t="n">
        <v>2028</v>
      </c>
      <c r="B845" s="0" t="n">
        <v>16.12839794</v>
      </c>
      <c r="C845" s="0" t="n">
        <v>338.6963567</v>
      </c>
      <c r="E845" s="0" t="n">
        <v>2028</v>
      </c>
      <c r="F845" s="0" t="n">
        <v>12.814984</v>
      </c>
      <c r="G845" s="0" t="n">
        <v>268.230872</v>
      </c>
      <c r="I845" s="0" t="n">
        <v>2027</v>
      </c>
      <c r="J845" s="0" t="n">
        <v>9.04</v>
      </c>
      <c r="K845" s="0" t="n">
        <v>189.28</v>
      </c>
      <c r="M845" s="0" t="n">
        <v>2028</v>
      </c>
      <c r="N845" s="0" t="n">
        <v>45.1</v>
      </c>
      <c r="O845" s="0" t="n">
        <v>946.3</v>
      </c>
      <c r="Q845" s="0" t="n">
        <v>2029</v>
      </c>
      <c r="R845" s="0" t="n">
        <v>12</v>
      </c>
      <c r="W845" s="0" t="n">
        <v>2028</v>
      </c>
      <c r="X845" s="0" t="n">
        <v>402.672</v>
      </c>
    </row>
    <row r="846" customFormat="false" ht="15" hidden="false" customHeight="false" outlineLevel="0" collapsed="false">
      <c r="A846" s="0" t="n">
        <v>2028</v>
      </c>
      <c r="B846" s="0" t="n">
        <v>36.06211217</v>
      </c>
      <c r="C846" s="0" t="n">
        <v>757.3043556</v>
      </c>
      <c r="E846" s="0" t="n">
        <v>2028</v>
      </c>
      <c r="F846" s="0" t="n">
        <v>1.800088</v>
      </c>
      <c r="G846" s="0" t="n">
        <v>37.677704</v>
      </c>
      <c r="I846" s="0" t="n">
        <v>2027</v>
      </c>
      <c r="J846" s="0" t="n">
        <v>6.78</v>
      </c>
      <c r="K846" s="0" t="n">
        <v>141.96</v>
      </c>
      <c r="M846" s="0" t="n">
        <v>2028</v>
      </c>
      <c r="N846" s="0" t="n">
        <v>45.1</v>
      </c>
      <c r="O846" s="0" t="n">
        <v>946.3</v>
      </c>
      <c r="Q846" s="0" t="n">
        <v>2029</v>
      </c>
      <c r="R846" s="0" t="n">
        <v>12</v>
      </c>
      <c r="W846" s="0" t="n">
        <v>2028</v>
      </c>
      <c r="X846" s="0" t="n">
        <v>713.065</v>
      </c>
    </row>
    <row r="847" customFormat="false" ht="15" hidden="false" customHeight="false" outlineLevel="0" collapsed="false">
      <c r="A847" s="0" t="n">
        <v>2028</v>
      </c>
      <c r="B847" s="0" t="n">
        <v>96.93535453</v>
      </c>
      <c r="C847" s="0" t="n">
        <v>2035.642445</v>
      </c>
      <c r="E847" s="0" t="n">
        <v>2028</v>
      </c>
      <c r="F847" s="0" t="n">
        <v>43.031128</v>
      </c>
      <c r="G847" s="0" t="n">
        <v>900.686024</v>
      </c>
      <c r="I847" s="0" t="n">
        <v>2027</v>
      </c>
      <c r="J847" s="0" t="n">
        <v>11.3</v>
      </c>
      <c r="K847" s="0" t="n">
        <v>236.6</v>
      </c>
      <c r="M847" s="0" t="n">
        <v>2028</v>
      </c>
      <c r="N847" s="0" t="n">
        <v>27.06</v>
      </c>
      <c r="O847" s="0" t="n">
        <v>567.78</v>
      </c>
      <c r="Q847" s="0" t="n">
        <v>2029</v>
      </c>
      <c r="R847" s="0" t="n">
        <v>84</v>
      </c>
      <c r="W847" s="0" t="n">
        <v>2028</v>
      </c>
      <c r="X847" s="0" t="n">
        <v>318.782</v>
      </c>
    </row>
    <row r="848" customFormat="false" ht="15" hidden="false" customHeight="false" outlineLevel="0" collapsed="false">
      <c r="A848" s="0" t="n">
        <v>2028</v>
      </c>
      <c r="B848" s="0" t="n">
        <v>24.44996283</v>
      </c>
      <c r="C848" s="0" t="n">
        <v>513.4492194</v>
      </c>
      <c r="E848" s="0" t="n">
        <v>2028</v>
      </c>
      <c r="F848" s="0" t="n">
        <v>2.014456</v>
      </c>
      <c r="G848" s="0" t="n">
        <v>42.164648</v>
      </c>
      <c r="I848" s="0" t="n">
        <v>2027</v>
      </c>
      <c r="J848" s="0" t="n">
        <v>2.26</v>
      </c>
      <c r="K848" s="0" t="n">
        <v>47.32</v>
      </c>
      <c r="M848" s="0" t="n">
        <v>2028</v>
      </c>
      <c r="N848" s="0" t="n">
        <v>22.55</v>
      </c>
      <c r="O848" s="0" t="n">
        <v>473.15</v>
      </c>
      <c r="Q848" s="0" t="n">
        <v>2029</v>
      </c>
      <c r="R848" s="0" t="n">
        <v>80</v>
      </c>
      <c r="W848" s="0" t="n">
        <v>2028</v>
      </c>
      <c r="X848" s="0" t="n">
        <v>125.835</v>
      </c>
    </row>
    <row r="849" customFormat="false" ht="15" hidden="false" customHeight="false" outlineLevel="0" collapsed="false">
      <c r="A849" s="0" t="n">
        <v>2028</v>
      </c>
      <c r="B849" s="0" t="n">
        <v>21.80339033</v>
      </c>
      <c r="C849" s="0" t="n">
        <v>457.871197</v>
      </c>
      <c r="E849" s="0" t="n">
        <v>2028</v>
      </c>
      <c r="F849" s="0" t="n">
        <v>11.014896</v>
      </c>
      <c r="G849" s="0" t="n">
        <v>230.553168</v>
      </c>
      <c r="I849" s="0" t="n">
        <v>2027</v>
      </c>
      <c r="J849" s="0" t="n">
        <v>2.26</v>
      </c>
      <c r="K849" s="0" t="n">
        <v>47.32</v>
      </c>
      <c r="M849" s="0" t="n">
        <v>2028</v>
      </c>
      <c r="N849" s="0" t="n">
        <v>18.04</v>
      </c>
      <c r="O849" s="0" t="n">
        <v>378.52</v>
      </c>
      <c r="Q849" s="0" t="n">
        <v>2029</v>
      </c>
      <c r="R849" s="0" t="n">
        <v>38</v>
      </c>
      <c r="W849" s="0" t="n">
        <v>2028</v>
      </c>
      <c r="X849" s="0" t="n">
        <v>184.558</v>
      </c>
    </row>
    <row r="850" customFormat="false" ht="15" hidden="false" customHeight="false" outlineLevel="0" collapsed="false">
      <c r="A850" s="0" t="n">
        <v>2028</v>
      </c>
      <c r="B850" s="0" t="n">
        <v>15.16296581</v>
      </c>
      <c r="C850" s="0" t="n">
        <v>318.422282</v>
      </c>
      <c r="E850" s="0" t="n">
        <v>2028</v>
      </c>
      <c r="F850" s="0" t="n">
        <v>10.072048</v>
      </c>
      <c r="G850" s="0" t="n">
        <v>210.818384</v>
      </c>
      <c r="I850" s="0" t="n">
        <v>2027</v>
      </c>
      <c r="J850" s="0" t="n">
        <v>0</v>
      </c>
      <c r="K850" s="0" t="n">
        <v>0</v>
      </c>
      <c r="M850" s="0" t="n">
        <v>2028</v>
      </c>
      <c r="N850" s="0" t="n">
        <v>9.02</v>
      </c>
      <c r="O850" s="0" t="n">
        <v>189.26</v>
      </c>
      <c r="Q850" s="0" t="n">
        <v>2029</v>
      </c>
      <c r="R850" s="0" t="n">
        <v>8</v>
      </c>
      <c r="W850" s="0" t="n">
        <v>2028</v>
      </c>
      <c r="X850" s="0" t="n">
        <v>142.613</v>
      </c>
    </row>
    <row r="851" customFormat="false" ht="15" hidden="false" customHeight="false" outlineLevel="0" collapsed="false">
      <c r="A851" s="0" t="n">
        <v>2028</v>
      </c>
      <c r="B851" s="0" t="n">
        <v>11.2787209</v>
      </c>
      <c r="C851" s="0" t="n">
        <v>236.8531388</v>
      </c>
      <c r="E851" s="0" t="n">
        <v>2028</v>
      </c>
      <c r="F851" s="0" t="n">
        <v>1423.63873</v>
      </c>
      <c r="G851" s="0" t="n">
        <v>29890.24594</v>
      </c>
      <c r="I851" s="0" t="n">
        <v>2027</v>
      </c>
      <c r="J851" s="0" t="n">
        <v>4.52</v>
      </c>
      <c r="K851" s="0" t="n">
        <v>94.64</v>
      </c>
      <c r="M851" s="0" t="n">
        <v>2028</v>
      </c>
      <c r="N851" s="0" t="n">
        <v>44.46</v>
      </c>
      <c r="O851" s="0" t="n">
        <v>932.14</v>
      </c>
      <c r="Q851" s="0" t="n">
        <v>2029</v>
      </c>
      <c r="R851" s="0" t="n">
        <v>8</v>
      </c>
      <c r="W851" s="0" t="n">
        <v>2028</v>
      </c>
      <c r="X851" s="0" t="n">
        <v>53846.38</v>
      </c>
    </row>
    <row r="852" customFormat="false" ht="15" hidden="false" customHeight="false" outlineLevel="0" collapsed="false">
      <c r="A852" s="0" t="n">
        <v>2028</v>
      </c>
      <c r="B852" s="0" t="n">
        <v>5.012764843</v>
      </c>
      <c r="C852" s="0" t="n">
        <v>105.2680617</v>
      </c>
      <c r="E852" s="0" t="n">
        <v>2028</v>
      </c>
      <c r="F852" s="0" t="n">
        <v>382.26277</v>
      </c>
      <c r="G852" s="0" t="n">
        <v>8025.862158</v>
      </c>
      <c r="I852" s="0" t="n">
        <v>2027</v>
      </c>
      <c r="J852" s="0" t="n">
        <v>7.91</v>
      </c>
      <c r="K852" s="0" t="n">
        <v>165.62</v>
      </c>
      <c r="M852" s="0" t="n">
        <v>2028</v>
      </c>
      <c r="N852" s="0" t="n">
        <v>29.25</v>
      </c>
      <c r="O852" s="0" t="n">
        <v>613.25</v>
      </c>
      <c r="Q852" s="0" t="n">
        <v>2029</v>
      </c>
      <c r="R852" s="0" t="n">
        <v>8</v>
      </c>
      <c r="W852" s="0" t="n">
        <v>2028</v>
      </c>
      <c r="X852" s="0" t="n">
        <v>13461.595</v>
      </c>
    </row>
    <row r="853" customFormat="false" ht="15" hidden="false" customHeight="false" outlineLevel="0" collapsed="false">
      <c r="A853" s="0" t="n">
        <v>2028</v>
      </c>
      <c r="B853" s="0" t="n">
        <v>18.5150444</v>
      </c>
      <c r="C853" s="0" t="n">
        <v>388.8159325</v>
      </c>
      <c r="E853" s="0" t="n">
        <v>2028</v>
      </c>
      <c r="F853" s="0" t="n">
        <v>153.00649</v>
      </c>
      <c r="G853" s="0" t="n">
        <v>3212.473446</v>
      </c>
      <c r="I853" s="0" t="n">
        <v>2027</v>
      </c>
      <c r="J853" s="0" t="n">
        <v>2.26</v>
      </c>
      <c r="K853" s="0" t="n">
        <v>47.32</v>
      </c>
      <c r="M853" s="0" t="n">
        <v>2028</v>
      </c>
      <c r="N853" s="0" t="n">
        <v>11.7</v>
      </c>
      <c r="O853" s="0" t="n">
        <v>245.3</v>
      </c>
      <c r="Q853" s="0" t="n">
        <v>2029</v>
      </c>
      <c r="R853" s="0" t="n">
        <v>180</v>
      </c>
      <c r="W853" s="0" t="n">
        <v>2028</v>
      </c>
      <c r="X853" s="0" t="n">
        <v>4168.752</v>
      </c>
    </row>
    <row r="854" customFormat="false" ht="15" hidden="false" customHeight="false" outlineLevel="0" collapsed="false">
      <c r="A854" s="0" t="n">
        <v>2028</v>
      </c>
      <c r="B854" s="0" t="n">
        <v>5.79585544</v>
      </c>
      <c r="C854" s="0" t="n">
        <v>121.7129642</v>
      </c>
      <c r="E854" s="0" t="n">
        <v>2028</v>
      </c>
      <c r="F854" s="0" t="n">
        <v>21.49243</v>
      </c>
      <c r="G854" s="0" t="n">
        <v>451.247922</v>
      </c>
      <c r="I854" s="0" t="n">
        <v>2027</v>
      </c>
      <c r="J854" s="0" t="n">
        <v>7.91</v>
      </c>
      <c r="K854" s="0" t="n">
        <v>165.62</v>
      </c>
      <c r="M854" s="0" t="n">
        <v>2028</v>
      </c>
      <c r="N854" s="0" t="n">
        <v>11.7</v>
      </c>
      <c r="O854" s="0" t="n">
        <v>245.3</v>
      </c>
      <c r="Q854" s="0" t="n">
        <v>2029</v>
      </c>
      <c r="R854" s="0" t="n">
        <v>171</v>
      </c>
      <c r="W854" s="0" t="n">
        <v>2028</v>
      </c>
      <c r="X854" s="0" t="n">
        <v>7382.165</v>
      </c>
    </row>
    <row r="855" customFormat="false" ht="15" hidden="false" customHeight="false" outlineLevel="0" collapsed="false">
      <c r="A855" s="0" t="n">
        <v>2028</v>
      </c>
      <c r="B855" s="0" t="n">
        <v>12.95917857</v>
      </c>
      <c r="C855" s="0" t="n">
        <v>272.1427501</v>
      </c>
      <c r="E855" s="0" t="n">
        <v>2028</v>
      </c>
      <c r="F855" s="0" t="n">
        <v>513.77683</v>
      </c>
      <c r="G855" s="0" t="n">
        <v>10787.08768</v>
      </c>
      <c r="I855" s="0" t="n">
        <v>2027</v>
      </c>
      <c r="J855" s="0" t="n">
        <v>208.32</v>
      </c>
      <c r="K855" s="0" t="n">
        <v>4378.56</v>
      </c>
      <c r="M855" s="0" t="n">
        <v>2028</v>
      </c>
      <c r="N855" s="0" t="n">
        <v>7.02</v>
      </c>
      <c r="O855" s="0" t="n">
        <v>147.18</v>
      </c>
      <c r="Q855" s="0" t="n">
        <v>2029</v>
      </c>
      <c r="R855" s="0" t="n">
        <v>81</v>
      </c>
      <c r="W855" s="0" t="n">
        <v>2028</v>
      </c>
      <c r="X855" s="0" t="n">
        <v>3300.262</v>
      </c>
    </row>
    <row r="856" customFormat="false" ht="15" hidden="false" customHeight="false" outlineLevel="0" collapsed="false">
      <c r="A856" s="0" t="n">
        <v>2028</v>
      </c>
      <c r="B856" s="0" t="n">
        <v>154.4706814</v>
      </c>
      <c r="C856" s="0" t="n">
        <v>3243.884309</v>
      </c>
      <c r="E856" s="0" t="n">
        <v>2028</v>
      </c>
      <c r="F856" s="0" t="n">
        <v>24.05191</v>
      </c>
      <c r="G856" s="0" t="n">
        <v>504.985914</v>
      </c>
      <c r="I856" s="0" t="n">
        <v>2027</v>
      </c>
      <c r="J856" s="0" t="n">
        <v>69.44</v>
      </c>
      <c r="K856" s="0" t="n">
        <v>1459.52</v>
      </c>
      <c r="M856" s="0" t="n">
        <v>2028</v>
      </c>
      <c r="N856" s="0" t="n">
        <v>5.85</v>
      </c>
      <c r="O856" s="0" t="n">
        <v>122.65</v>
      </c>
      <c r="Q856" s="0" t="n">
        <v>2029</v>
      </c>
      <c r="R856" s="0" t="n">
        <v>18</v>
      </c>
      <c r="W856" s="0" t="n">
        <v>2028</v>
      </c>
      <c r="X856" s="0" t="n">
        <v>1302.735</v>
      </c>
    </row>
    <row r="857" customFormat="false" ht="15" hidden="false" customHeight="false" outlineLevel="0" collapsed="false">
      <c r="A857" s="0" t="n">
        <v>2028</v>
      </c>
      <c r="B857" s="0" t="n">
        <v>38.96207361</v>
      </c>
      <c r="C857" s="0" t="n">
        <v>818.2035457</v>
      </c>
      <c r="E857" s="0" t="n">
        <v>2028</v>
      </c>
      <c r="F857" s="0" t="n">
        <v>131.51406</v>
      </c>
      <c r="G857" s="0" t="n">
        <v>2761.225524</v>
      </c>
      <c r="I857" s="0" t="n">
        <v>2027</v>
      </c>
      <c r="J857" s="0" t="n">
        <v>30.38</v>
      </c>
      <c r="K857" s="0" t="n">
        <v>638.54</v>
      </c>
      <c r="M857" s="0" t="n">
        <v>2028</v>
      </c>
      <c r="N857" s="0" t="n">
        <v>4.68</v>
      </c>
      <c r="O857" s="0" t="n">
        <v>98.12</v>
      </c>
      <c r="Q857" s="0" t="n">
        <v>2029</v>
      </c>
      <c r="R857" s="0" t="n">
        <v>18</v>
      </c>
      <c r="W857" s="0" t="n">
        <v>2028</v>
      </c>
      <c r="X857" s="0" t="n">
        <v>1910.678</v>
      </c>
    </row>
    <row r="858" customFormat="false" ht="15" hidden="false" customHeight="false" outlineLevel="0" collapsed="false">
      <c r="A858" s="0" t="n">
        <v>2028</v>
      </c>
      <c r="B858" s="0" t="n">
        <v>34.74464583</v>
      </c>
      <c r="C858" s="0" t="n">
        <v>729.6375624</v>
      </c>
      <c r="E858" s="0" t="n">
        <v>2028</v>
      </c>
      <c r="F858" s="0" t="n">
        <v>120.25678</v>
      </c>
      <c r="G858" s="0" t="n">
        <v>2524.871412</v>
      </c>
      <c r="I858" s="0" t="n">
        <v>2027</v>
      </c>
      <c r="J858" s="0" t="n">
        <v>17.36</v>
      </c>
      <c r="K858" s="0" t="n">
        <v>364.88</v>
      </c>
      <c r="M858" s="0" t="n">
        <v>2028</v>
      </c>
      <c r="N858" s="0" t="n">
        <v>2.34</v>
      </c>
      <c r="O858" s="0" t="n">
        <v>49.06</v>
      </c>
      <c r="Q858" s="0" t="n">
        <v>2029</v>
      </c>
      <c r="R858" s="0" t="n">
        <v>18</v>
      </c>
      <c r="W858" s="0" t="n">
        <v>2028</v>
      </c>
      <c r="X858" s="0" t="n">
        <v>1476.433</v>
      </c>
    </row>
    <row r="859" customFormat="false" ht="15" hidden="false" customHeight="false" outlineLevel="0" collapsed="false">
      <c r="A859" s="0" t="n">
        <v>2028</v>
      </c>
      <c r="B859" s="0" t="n">
        <v>24.16284205</v>
      </c>
      <c r="C859" s="0" t="n">
        <v>507.4196831</v>
      </c>
      <c r="E859" s="0" t="n">
        <v>2028</v>
      </c>
      <c r="F859" s="0" t="n">
        <v>688.177711</v>
      </c>
      <c r="G859" s="0" t="n">
        <v>14447.62034</v>
      </c>
      <c r="I859" s="0" t="n">
        <v>2027</v>
      </c>
      <c r="J859" s="0" t="n">
        <v>17.36</v>
      </c>
      <c r="K859" s="0" t="n">
        <v>364.88</v>
      </c>
      <c r="M859" s="0" t="n">
        <v>2028</v>
      </c>
      <c r="N859" s="0" t="n">
        <v>98.8</v>
      </c>
      <c r="O859" s="0" t="n">
        <v>2073.28</v>
      </c>
      <c r="Q859" s="0" t="n">
        <v>2029</v>
      </c>
      <c r="R859" s="0" t="n">
        <v>636</v>
      </c>
      <c r="W859" s="0" t="n">
        <v>2028</v>
      </c>
      <c r="X859" s="0" t="n">
        <v>14120.5</v>
      </c>
    </row>
    <row r="860" customFormat="false" ht="15" hidden="false" customHeight="false" outlineLevel="0" collapsed="false">
      <c r="A860" s="0" t="n">
        <v>2028</v>
      </c>
      <c r="B860" s="0" t="n">
        <v>17.97312973</v>
      </c>
      <c r="C860" s="0" t="n">
        <v>377.4357243</v>
      </c>
      <c r="E860" s="0" t="n">
        <v>2028</v>
      </c>
      <c r="F860" s="0" t="n">
        <v>184.783339</v>
      </c>
      <c r="G860" s="0" t="n">
        <v>3879.346111</v>
      </c>
      <c r="I860" s="0" t="n">
        <v>2027</v>
      </c>
      <c r="J860" s="0" t="n">
        <v>8.68</v>
      </c>
      <c r="K860" s="0" t="n">
        <v>182.44</v>
      </c>
      <c r="M860" s="0" t="n">
        <v>2028</v>
      </c>
      <c r="N860" s="0" t="n">
        <v>65</v>
      </c>
      <c r="O860" s="0" t="n">
        <v>1364</v>
      </c>
      <c r="Q860" s="0" t="n">
        <v>2029</v>
      </c>
      <c r="R860" s="0" t="n">
        <v>604</v>
      </c>
      <c r="W860" s="0" t="n">
        <v>2028</v>
      </c>
      <c r="X860" s="0" t="n">
        <v>3530.125</v>
      </c>
    </row>
    <row r="861" customFormat="false" ht="15" hidden="false" customHeight="false" outlineLevel="0" collapsed="false">
      <c r="A861" s="0" t="n">
        <v>2028</v>
      </c>
      <c r="B861" s="0" t="n">
        <v>7.988057657</v>
      </c>
      <c r="C861" s="0" t="n">
        <v>167.7492108</v>
      </c>
      <c r="E861" s="0" t="n">
        <v>2028</v>
      </c>
      <c r="F861" s="0" t="n">
        <v>73.962343</v>
      </c>
      <c r="G861" s="0" t="n">
        <v>1552.767307</v>
      </c>
      <c r="I861" s="0" t="n">
        <v>2027</v>
      </c>
      <c r="J861" s="0" t="n">
        <v>8.68</v>
      </c>
      <c r="K861" s="0" t="n">
        <v>182.44</v>
      </c>
      <c r="M861" s="0" t="n">
        <v>2028</v>
      </c>
      <c r="N861" s="0" t="n">
        <v>26</v>
      </c>
      <c r="O861" s="0" t="n">
        <v>545.6</v>
      </c>
      <c r="Q861" s="0" t="n">
        <v>2029</v>
      </c>
      <c r="R861" s="0" t="n">
        <v>286</v>
      </c>
      <c r="W861" s="0" t="n">
        <v>2028</v>
      </c>
      <c r="X861" s="0" t="n">
        <v>1093.2</v>
      </c>
    </row>
    <row r="862" customFormat="false" ht="15" hidden="false" customHeight="false" outlineLevel="0" collapsed="false">
      <c r="A862" s="0" t="n">
        <v>2028</v>
      </c>
      <c r="B862" s="0" t="n">
        <v>29.50452432</v>
      </c>
      <c r="C862" s="0" t="n">
        <v>619.5950107</v>
      </c>
      <c r="E862" s="0" t="n">
        <v>2028</v>
      </c>
      <c r="F862" s="0" t="n">
        <v>10.389301</v>
      </c>
      <c r="G862" s="0" t="n">
        <v>218.113249</v>
      </c>
      <c r="I862" s="0" t="n">
        <v>2027</v>
      </c>
      <c r="J862" s="0" t="n">
        <v>17.36</v>
      </c>
      <c r="K862" s="0" t="n">
        <v>364.88</v>
      </c>
      <c r="M862" s="0" t="n">
        <v>2028</v>
      </c>
      <c r="N862" s="0" t="n">
        <v>26</v>
      </c>
      <c r="O862" s="0" t="n">
        <v>545.6</v>
      </c>
      <c r="Q862" s="0" t="n">
        <v>2029</v>
      </c>
      <c r="R862" s="0" t="n">
        <v>64</v>
      </c>
      <c r="W862" s="0" t="n">
        <v>2028</v>
      </c>
      <c r="X862" s="0" t="n">
        <v>1935.875</v>
      </c>
    </row>
    <row r="863" customFormat="false" ht="15" hidden="false" customHeight="false" outlineLevel="0" collapsed="false">
      <c r="A863" s="0" t="n">
        <v>2028</v>
      </c>
      <c r="B863" s="0" t="n">
        <v>9.235946404</v>
      </c>
      <c r="C863" s="0" t="n">
        <v>193.9548745</v>
      </c>
      <c r="E863" s="0" t="n">
        <v>2028</v>
      </c>
      <c r="F863" s="0" t="n">
        <v>248.356381</v>
      </c>
      <c r="G863" s="0" t="n">
        <v>5214.000169</v>
      </c>
      <c r="I863" s="0" t="n">
        <v>2027</v>
      </c>
      <c r="J863" s="0" t="n">
        <v>30.38</v>
      </c>
      <c r="K863" s="0" t="n">
        <v>638.54</v>
      </c>
      <c r="M863" s="0" t="n">
        <v>2028</v>
      </c>
      <c r="N863" s="0" t="n">
        <v>15.6</v>
      </c>
      <c r="O863" s="0" t="n">
        <v>327.36</v>
      </c>
      <c r="Q863" s="0" t="n">
        <v>2029</v>
      </c>
      <c r="R863" s="0" t="n">
        <v>59</v>
      </c>
      <c r="W863" s="0" t="n">
        <v>2028</v>
      </c>
      <c r="X863" s="0" t="n">
        <v>865.45</v>
      </c>
    </row>
    <row r="864" customFormat="false" ht="15" hidden="false" customHeight="false" outlineLevel="0" collapsed="false">
      <c r="A864" s="0" t="n">
        <v>2028</v>
      </c>
      <c r="B864" s="0" t="n">
        <v>20.65101174</v>
      </c>
      <c r="C864" s="0" t="n">
        <v>433.6712466</v>
      </c>
      <c r="E864" s="0" t="n">
        <v>2028</v>
      </c>
      <c r="F864" s="0" t="n">
        <v>11.626537</v>
      </c>
      <c r="G864" s="0" t="n">
        <v>244.087813</v>
      </c>
      <c r="I864" s="0" t="n">
        <v>2027</v>
      </c>
      <c r="J864" s="0" t="n">
        <v>13.02</v>
      </c>
      <c r="K864" s="0" t="n">
        <v>273.66</v>
      </c>
      <c r="M864" s="0" t="n">
        <v>2028</v>
      </c>
      <c r="N864" s="0" t="n">
        <v>13</v>
      </c>
      <c r="O864" s="0" t="n">
        <v>272.8</v>
      </c>
      <c r="Q864" s="0" t="n">
        <v>2029</v>
      </c>
      <c r="R864" s="0" t="n">
        <v>59</v>
      </c>
      <c r="W864" s="0" t="n">
        <v>2028</v>
      </c>
      <c r="X864" s="0" t="n">
        <v>341.625</v>
      </c>
    </row>
    <row r="865" customFormat="false" ht="15" hidden="false" customHeight="false" outlineLevel="0" collapsed="false">
      <c r="A865" s="0" t="n">
        <v>2028</v>
      </c>
      <c r="B865" s="0" t="n">
        <v>172.9650954</v>
      </c>
      <c r="C865" s="0" t="n">
        <v>3632.267004</v>
      </c>
      <c r="E865" s="0" t="n">
        <v>2028</v>
      </c>
      <c r="F865" s="0" t="n">
        <v>63.573042</v>
      </c>
      <c r="G865" s="0" t="n">
        <v>1334.654058</v>
      </c>
      <c r="I865" s="0" t="n">
        <v>2027</v>
      </c>
      <c r="J865" s="0" t="n">
        <v>13.02</v>
      </c>
      <c r="K865" s="0" t="n">
        <v>273.66</v>
      </c>
      <c r="M865" s="0" t="n">
        <v>2028</v>
      </c>
      <c r="N865" s="0" t="n">
        <v>10.4</v>
      </c>
      <c r="O865" s="0" t="n">
        <v>218.24</v>
      </c>
      <c r="Q865" s="0" t="n">
        <v>2029</v>
      </c>
      <c r="R865" s="0" t="n">
        <v>114</v>
      </c>
      <c r="W865" s="0" t="n">
        <v>2028</v>
      </c>
      <c r="X865" s="0" t="n">
        <v>501.05</v>
      </c>
    </row>
    <row r="866" customFormat="false" ht="15" hidden="false" customHeight="false" outlineLevel="0" collapsed="false">
      <c r="A866" s="0" t="n">
        <v>2028</v>
      </c>
      <c r="B866" s="0" t="n">
        <v>43.62691171</v>
      </c>
      <c r="C866" s="0" t="n">
        <v>916.1651459</v>
      </c>
      <c r="E866" s="0" t="n">
        <v>2028</v>
      </c>
      <c r="F866" s="0" t="n">
        <v>58.131346</v>
      </c>
      <c r="G866" s="0" t="n">
        <v>1220.410954</v>
      </c>
      <c r="I866" s="0" t="n">
        <v>2027</v>
      </c>
      <c r="J866" s="0" t="n">
        <v>48.88</v>
      </c>
      <c r="K866" s="0" t="n">
        <v>1021.28</v>
      </c>
      <c r="M866" s="0" t="n">
        <v>2028</v>
      </c>
      <c r="N866" s="0" t="n">
        <v>5.2</v>
      </c>
      <c r="O866" s="0" t="n">
        <v>109.12</v>
      </c>
      <c r="Q866" s="0" t="n">
        <v>2029</v>
      </c>
      <c r="R866" s="0" t="n">
        <v>108</v>
      </c>
      <c r="W866" s="0" t="n">
        <v>2028</v>
      </c>
      <c r="X866" s="0" t="n">
        <v>387.175</v>
      </c>
    </row>
    <row r="867" customFormat="false" ht="15" hidden="false" customHeight="false" outlineLevel="0" collapsed="false">
      <c r="A867" s="0" t="n">
        <v>2028</v>
      </c>
      <c r="B867" s="0" t="n">
        <v>38.90454115</v>
      </c>
      <c r="C867" s="0" t="n">
        <v>816.9953642</v>
      </c>
      <c r="E867" s="0" t="n">
        <v>2028</v>
      </c>
      <c r="F867" s="0" t="n">
        <v>76.578401</v>
      </c>
      <c r="G867" s="0" t="n">
        <v>1599.923237</v>
      </c>
      <c r="I867" s="0" t="n">
        <v>2027</v>
      </c>
      <c r="J867" s="0" t="n">
        <v>7.52</v>
      </c>
      <c r="K867" s="0" t="n">
        <v>157.12</v>
      </c>
      <c r="M867" s="0" t="n">
        <v>2028</v>
      </c>
      <c r="N867" s="0" t="n">
        <v>144.4</v>
      </c>
      <c r="O867" s="0" t="n">
        <v>3032.02</v>
      </c>
      <c r="Q867" s="0" t="n">
        <v>2029</v>
      </c>
      <c r="R867" s="0" t="n">
        <v>51</v>
      </c>
      <c r="W867" s="0" t="n">
        <v>2028</v>
      </c>
      <c r="X867" s="0" t="n">
        <v>4387.12</v>
      </c>
    </row>
    <row r="868" customFormat="false" ht="15" hidden="false" customHeight="false" outlineLevel="0" collapsed="false">
      <c r="A868" s="0" t="n">
        <v>2028</v>
      </c>
      <c r="B868" s="0" t="n">
        <v>27.05580271</v>
      </c>
      <c r="C868" s="0" t="n">
        <v>568.171857</v>
      </c>
      <c r="E868" s="0" t="n">
        <v>2028</v>
      </c>
      <c r="F868" s="0" t="n">
        <v>20.562149</v>
      </c>
      <c r="G868" s="0" t="n">
        <v>429.597113</v>
      </c>
      <c r="I868" s="0" t="n">
        <v>2027</v>
      </c>
      <c r="J868" s="0" t="n">
        <v>5.64</v>
      </c>
      <c r="K868" s="0" t="n">
        <v>117.84</v>
      </c>
      <c r="M868" s="0" t="n">
        <v>2028</v>
      </c>
      <c r="N868" s="0" t="n">
        <v>95</v>
      </c>
      <c r="O868" s="0" t="n">
        <v>1994.75</v>
      </c>
      <c r="Q868" s="0" t="n">
        <v>2029</v>
      </c>
      <c r="R868" s="0" t="n">
        <v>11</v>
      </c>
      <c r="W868" s="0" t="n">
        <v>2028</v>
      </c>
      <c r="X868" s="0" t="n">
        <v>1096.78</v>
      </c>
    </row>
    <row r="869" customFormat="false" ht="15" hidden="false" customHeight="false" outlineLevel="0" collapsed="false">
      <c r="A869" s="0" t="n">
        <v>2028</v>
      </c>
      <c r="B869" s="0" t="n">
        <v>20.12501059</v>
      </c>
      <c r="C869" s="0" t="n">
        <v>422.6252223</v>
      </c>
      <c r="E869" s="0" t="n">
        <v>2028</v>
      </c>
      <c r="F869" s="0" t="n">
        <v>8.230313</v>
      </c>
      <c r="G869" s="0" t="n">
        <v>171.952781</v>
      </c>
      <c r="I869" s="0" t="n">
        <v>2027</v>
      </c>
      <c r="J869" s="0" t="n">
        <v>9.4</v>
      </c>
      <c r="K869" s="0" t="n">
        <v>196.4</v>
      </c>
      <c r="M869" s="0" t="n">
        <v>2028</v>
      </c>
      <c r="N869" s="0" t="n">
        <v>38</v>
      </c>
      <c r="O869" s="0" t="n">
        <v>797.9</v>
      </c>
      <c r="Q869" s="0" t="n">
        <v>2029</v>
      </c>
      <c r="R869" s="0" t="n">
        <v>11</v>
      </c>
      <c r="W869" s="0" t="n">
        <v>2028</v>
      </c>
      <c r="X869" s="0" t="n">
        <v>339.648</v>
      </c>
    </row>
    <row r="870" customFormat="false" ht="15" hidden="false" customHeight="false" outlineLevel="0" collapsed="false">
      <c r="A870" s="0" t="n">
        <v>2028</v>
      </c>
      <c r="B870" s="0" t="n">
        <v>8.94444915</v>
      </c>
      <c r="C870" s="0" t="n">
        <v>187.8334321</v>
      </c>
      <c r="E870" s="0" t="n">
        <v>2028</v>
      </c>
      <c r="F870" s="0" t="n">
        <v>1.156091</v>
      </c>
      <c r="G870" s="0" t="n">
        <v>24.153767</v>
      </c>
      <c r="I870" s="0" t="n">
        <v>2027</v>
      </c>
      <c r="J870" s="0" t="n">
        <v>1.88</v>
      </c>
      <c r="K870" s="0" t="n">
        <v>39.28</v>
      </c>
      <c r="M870" s="0" t="n">
        <v>2028</v>
      </c>
      <c r="N870" s="0" t="n">
        <v>38</v>
      </c>
      <c r="O870" s="0" t="n">
        <v>797.9</v>
      </c>
      <c r="Q870" s="0" t="n">
        <v>2029</v>
      </c>
      <c r="R870" s="0" t="n">
        <v>11</v>
      </c>
      <c r="W870" s="0" t="n">
        <v>2028</v>
      </c>
      <c r="X870" s="0" t="n">
        <v>601.46</v>
      </c>
    </row>
    <row r="871" customFormat="false" ht="15" hidden="false" customHeight="false" outlineLevel="0" collapsed="false">
      <c r="A871" s="0" t="n">
        <v>2028</v>
      </c>
      <c r="B871" s="0" t="n">
        <v>33.03703213</v>
      </c>
      <c r="C871" s="0" t="n">
        <v>693.7776747</v>
      </c>
      <c r="E871" s="0" t="n">
        <v>2028</v>
      </c>
      <c r="F871" s="0" t="n">
        <v>27.636371</v>
      </c>
      <c r="G871" s="0" t="n">
        <v>577.396127</v>
      </c>
      <c r="I871" s="0" t="n">
        <v>2027</v>
      </c>
      <c r="J871" s="0" t="n">
        <v>1.88</v>
      </c>
      <c r="K871" s="0" t="n">
        <v>39.28</v>
      </c>
      <c r="M871" s="0" t="n">
        <v>2028</v>
      </c>
      <c r="N871" s="0" t="n">
        <v>22.8</v>
      </c>
      <c r="O871" s="0" t="n">
        <v>478.74</v>
      </c>
      <c r="Q871" s="0" t="n">
        <v>2029</v>
      </c>
      <c r="R871" s="0" t="n">
        <v>114</v>
      </c>
      <c r="W871" s="0" t="n">
        <v>2028</v>
      </c>
      <c r="X871" s="0" t="n">
        <v>268.888</v>
      </c>
    </row>
    <row r="872" customFormat="false" ht="15" hidden="false" customHeight="false" outlineLevel="0" collapsed="false">
      <c r="A872" s="0" t="n">
        <v>2028</v>
      </c>
      <c r="B872" s="0" t="n">
        <v>10.3417447</v>
      </c>
      <c r="C872" s="0" t="n">
        <v>217.1766388</v>
      </c>
      <c r="E872" s="0" t="n">
        <v>2028</v>
      </c>
      <c r="F872" s="0" t="n">
        <v>1.293767</v>
      </c>
      <c r="G872" s="0" t="n">
        <v>27.030179</v>
      </c>
      <c r="I872" s="0" t="n">
        <v>2027</v>
      </c>
      <c r="J872" s="0" t="n">
        <v>0</v>
      </c>
      <c r="K872" s="0" t="n">
        <v>0</v>
      </c>
      <c r="M872" s="0" t="n">
        <v>2028</v>
      </c>
      <c r="N872" s="0" t="n">
        <v>19</v>
      </c>
      <c r="O872" s="0" t="n">
        <v>398.95</v>
      </c>
      <c r="Q872" s="0" t="n">
        <v>2029</v>
      </c>
      <c r="R872" s="0" t="n">
        <v>108</v>
      </c>
      <c r="W872" s="0" t="n">
        <v>2028</v>
      </c>
      <c r="X872" s="0" t="n">
        <v>106.14</v>
      </c>
    </row>
    <row r="873" customFormat="false" ht="15" hidden="false" customHeight="false" outlineLevel="0" collapsed="false">
      <c r="A873" s="0" t="n">
        <v>2028</v>
      </c>
      <c r="B873" s="0" t="n">
        <v>23.12350916</v>
      </c>
      <c r="C873" s="0" t="n">
        <v>485.5936924</v>
      </c>
      <c r="E873" s="0" t="n">
        <v>2028</v>
      </c>
      <c r="F873" s="0" t="n">
        <v>7.074222</v>
      </c>
      <c r="G873" s="0" t="n">
        <v>147.799014</v>
      </c>
      <c r="I873" s="0" t="n">
        <v>2027</v>
      </c>
      <c r="J873" s="0" t="n">
        <v>3.76</v>
      </c>
      <c r="K873" s="0" t="n">
        <v>78.56</v>
      </c>
      <c r="M873" s="0" t="n">
        <v>2028</v>
      </c>
      <c r="N873" s="0" t="n">
        <v>15.2</v>
      </c>
      <c r="O873" s="0" t="n">
        <v>319.16</v>
      </c>
      <c r="Q873" s="0" t="n">
        <v>2029</v>
      </c>
      <c r="R873" s="0" t="n">
        <v>51</v>
      </c>
      <c r="W873" s="0" t="n">
        <v>2028</v>
      </c>
      <c r="X873" s="0" t="n">
        <v>155.672</v>
      </c>
    </row>
    <row r="874" customFormat="false" ht="15" hidden="false" customHeight="false" outlineLevel="0" collapsed="false">
      <c r="A874" s="0" t="n">
        <v>2028</v>
      </c>
      <c r="B874" s="0" t="n">
        <v>104.9384852</v>
      </c>
      <c r="C874" s="0" t="n">
        <v>2203.708188</v>
      </c>
      <c r="E874" s="0" t="n">
        <v>2028</v>
      </c>
      <c r="F874" s="0" t="n">
        <v>6.468686</v>
      </c>
      <c r="G874" s="0" t="n">
        <v>135.147782</v>
      </c>
      <c r="I874" s="0" t="n">
        <v>2027</v>
      </c>
      <c r="J874" s="0" t="n">
        <v>6.58</v>
      </c>
      <c r="K874" s="0" t="n">
        <v>137.48</v>
      </c>
      <c r="M874" s="0" t="n">
        <v>2028</v>
      </c>
      <c r="N874" s="0" t="n">
        <v>7.6</v>
      </c>
      <c r="O874" s="0" t="n">
        <v>159.58</v>
      </c>
      <c r="Q874" s="0" t="n">
        <v>2029</v>
      </c>
      <c r="R874" s="0" t="n">
        <v>11</v>
      </c>
      <c r="W874" s="0" t="n">
        <v>2028</v>
      </c>
      <c r="X874" s="0" t="n">
        <v>120.292</v>
      </c>
    </row>
    <row r="875" customFormat="false" ht="15" hidden="false" customHeight="false" outlineLevel="0" collapsed="false">
      <c r="A875" s="0" t="n">
        <v>2028</v>
      </c>
      <c r="B875" s="0" t="n">
        <v>26.46858903</v>
      </c>
      <c r="C875" s="0" t="n">
        <v>555.8403696</v>
      </c>
      <c r="E875" s="0" t="n">
        <v>2028</v>
      </c>
      <c r="F875" s="0" t="n">
        <v>638.324658</v>
      </c>
      <c r="G875" s="0" t="n">
        <v>13404.81782</v>
      </c>
      <c r="I875" s="0" t="n">
        <v>2027</v>
      </c>
      <c r="J875" s="0" t="n">
        <v>1.88</v>
      </c>
      <c r="K875" s="0" t="n">
        <v>39.28</v>
      </c>
      <c r="M875" s="0" t="n">
        <v>2028</v>
      </c>
      <c r="N875" s="0" t="n">
        <v>227.24</v>
      </c>
      <c r="O875" s="0" t="n">
        <v>4766.34</v>
      </c>
      <c r="Q875" s="0" t="n">
        <v>2029</v>
      </c>
      <c r="R875" s="0" t="n">
        <v>11</v>
      </c>
      <c r="W875" s="0" t="n">
        <v>2028</v>
      </c>
      <c r="X875" s="0" t="n">
        <v>45100.66</v>
      </c>
    </row>
    <row r="876" customFormat="false" ht="15" hidden="false" customHeight="false" outlineLevel="0" collapsed="false">
      <c r="A876" s="0" t="n">
        <v>2028</v>
      </c>
      <c r="B876" s="0" t="n">
        <v>23.60351147</v>
      </c>
      <c r="C876" s="0" t="n">
        <v>495.6737409</v>
      </c>
      <c r="E876" s="0" t="n">
        <v>2028</v>
      </c>
      <c r="F876" s="0" t="n">
        <v>171.397242</v>
      </c>
      <c r="G876" s="0" t="n">
        <v>3599.342082</v>
      </c>
      <c r="I876" s="0" t="n">
        <v>2027</v>
      </c>
      <c r="J876" s="0" t="n">
        <v>6.58</v>
      </c>
      <c r="K876" s="0" t="n">
        <v>137.48</v>
      </c>
      <c r="M876" s="0" t="n">
        <v>2028</v>
      </c>
      <c r="N876" s="0" t="n">
        <v>149.5</v>
      </c>
      <c r="O876" s="0" t="n">
        <v>3135.75</v>
      </c>
      <c r="Q876" s="0" t="n">
        <v>2029</v>
      </c>
      <c r="R876" s="0" t="n">
        <v>11</v>
      </c>
      <c r="W876" s="0" t="n">
        <v>2028</v>
      </c>
      <c r="X876" s="0" t="n">
        <v>11275.165</v>
      </c>
    </row>
    <row r="877" customFormat="false" ht="15" hidden="false" customHeight="false" outlineLevel="0" collapsed="false">
      <c r="A877" s="0" t="n">
        <v>2028</v>
      </c>
      <c r="B877" s="0" t="n">
        <v>16.41484338</v>
      </c>
      <c r="C877" s="0" t="n">
        <v>344.711711</v>
      </c>
      <c r="E877" s="0" t="n">
        <v>2028</v>
      </c>
      <c r="F877" s="0" t="n">
        <v>68.604354</v>
      </c>
      <c r="G877" s="0" t="n">
        <v>1440.691434</v>
      </c>
      <c r="I877" s="0" t="n">
        <v>2027</v>
      </c>
      <c r="J877" s="0" t="n">
        <v>932.16</v>
      </c>
      <c r="K877" s="0" t="n">
        <v>19577.76</v>
      </c>
      <c r="M877" s="0" t="n">
        <v>2028</v>
      </c>
      <c r="N877" s="0" t="n">
        <v>59.8</v>
      </c>
      <c r="O877" s="0" t="n">
        <v>1254.3</v>
      </c>
      <c r="Q877" s="0" t="n">
        <v>2029</v>
      </c>
      <c r="R877" s="0" t="n">
        <v>155</v>
      </c>
      <c r="W877" s="0" t="n">
        <v>2028</v>
      </c>
      <c r="X877" s="0" t="n">
        <v>3491.664</v>
      </c>
    </row>
    <row r="878" customFormat="false" ht="15" hidden="false" customHeight="false" outlineLevel="0" collapsed="false">
      <c r="A878" s="0" t="n">
        <v>2028</v>
      </c>
      <c r="B878" s="0" t="n">
        <v>12.20990929</v>
      </c>
      <c r="C878" s="0" t="n">
        <v>256.408095</v>
      </c>
      <c r="E878" s="0" t="n">
        <v>2028</v>
      </c>
      <c r="F878" s="0" t="n">
        <v>9.636678</v>
      </c>
      <c r="G878" s="0" t="n">
        <v>202.370238</v>
      </c>
      <c r="I878" s="0" t="n">
        <v>2027</v>
      </c>
      <c r="J878" s="0" t="n">
        <v>310.72</v>
      </c>
      <c r="K878" s="0" t="n">
        <v>6525.92</v>
      </c>
      <c r="M878" s="0" t="n">
        <v>2028</v>
      </c>
      <c r="N878" s="0" t="n">
        <v>59.8</v>
      </c>
      <c r="O878" s="0" t="n">
        <v>1254.3</v>
      </c>
      <c r="Q878" s="0" t="n">
        <v>2029</v>
      </c>
      <c r="R878" s="0" t="n">
        <v>147</v>
      </c>
      <c r="W878" s="0" t="n">
        <v>2028</v>
      </c>
      <c r="X878" s="0" t="n">
        <v>6183.155</v>
      </c>
    </row>
    <row r="879" customFormat="false" ht="15" hidden="false" customHeight="false" outlineLevel="0" collapsed="false">
      <c r="A879" s="0" t="n">
        <v>2028</v>
      </c>
      <c r="B879" s="0" t="n">
        <v>5.426626349</v>
      </c>
      <c r="C879" s="0" t="n">
        <v>113.9591533</v>
      </c>
      <c r="E879" s="0" t="n">
        <v>2028</v>
      </c>
      <c r="F879" s="0" t="n">
        <v>230.364918</v>
      </c>
      <c r="G879" s="0" t="n">
        <v>4837.663278</v>
      </c>
      <c r="I879" s="0" t="n">
        <v>2027</v>
      </c>
      <c r="J879" s="0" t="n">
        <v>135.94</v>
      </c>
      <c r="K879" s="0" t="n">
        <v>2855.09</v>
      </c>
      <c r="M879" s="0" t="n">
        <v>2028</v>
      </c>
      <c r="N879" s="0" t="n">
        <v>35.88</v>
      </c>
      <c r="O879" s="0" t="n">
        <v>752.58</v>
      </c>
      <c r="Q879" s="0" t="n">
        <v>2029</v>
      </c>
      <c r="R879" s="0" t="n">
        <v>70</v>
      </c>
      <c r="W879" s="0" t="n">
        <v>2028</v>
      </c>
      <c r="X879" s="0" t="n">
        <v>2764.234</v>
      </c>
    </row>
    <row r="880" customFormat="false" ht="15" hidden="false" customHeight="false" outlineLevel="0" collapsed="false">
      <c r="A880" s="0" t="n">
        <v>2028</v>
      </c>
      <c r="B880" s="0" t="n">
        <v>20.04367469</v>
      </c>
      <c r="C880" s="0" t="n">
        <v>420.9171685</v>
      </c>
      <c r="E880" s="0" t="n">
        <v>2028</v>
      </c>
      <c r="F880" s="0" t="n">
        <v>10.784286</v>
      </c>
      <c r="G880" s="0" t="n">
        <v>226.470006</v>
      </c>
      <c r="I880" s="0" t="n">
        <v>2027</v>
      </c>
      <c r="J880" s="0" t="n">
        <v>77.68</v>
      </c>
      <c r="K880" s="0" t="n">
        <v>1631.48</v>
      </c>
      <c r="M880" s="0" t="n">
        <v>2028</v>
      </c>
      <c r="N880" s="0" t="n">
        <v>29.9</v>
      </c>
      <c r="O880" s="0" t="n">
        <v>627.15</v>
      </c>
      <c r="Q880" s="0" t="n">
        <v>2029</v>
      </c>
      <c r="R880" s="0" t="n">
        <v>15</v>
      </c>
      <c r="W880" s="0" t="n">
        <v>2028</v>
      </c>
      <c r="X880" s="0" t="n">
        <v>1091.145</v>
      </c>
    </row>
    <row r="881" customFormat="false" ht="15" hidden="false" customHeight="false" outlineLevel="0" collapsed="false">
      <c r="A881" s="0" t="n">
        <v>2028</v>
      </c>
      <c r="B881" s="0" t="n">
        <v>6.2743701</v>
      </c>
      <c r="C881" s="0" t="n">
        <v>131.7617721</v>
      </c>
      <c r="E881" s="0" t="n">
        <v>2028</v>
      </c>
      <c r="F881" s="0" t="n">
        <v>58.967676</v>
      </c>
      <c r="G881" s="0" t="n">
        <v>1238.321196</v>
      </c>
      <c r="I881" s="0" t="n">
        <v>2027</v>
      </c>
      <c r="J881" s="0" t="n">
        <v>77.68</v>
      </c>
      <c r="K881" s="0" t="n">
        <v>1631.48</v>
      </c>
      <c r="M881" s="0" t="n">
        <v>2028</v>
      </c>
      <c r="N881" s="0" t="n">
        <v>23.92</v>
      </c>
      <c r="O881" s="0" t="n">
        <v>501.72</v>
      </c>
      <c r="Q881" s="0" t="n">
        <v>2029</v>
      </c>
      <c r="R881" s="0" t="n">
        <v>13</v>
      </c>
      <c r="W881" s="0" t="n">
        <v>2028</v>
      </c>
      <c r="X881" s="0" t="n">
        <v>1600.346</v>
      </c>
    </row>
    <row r="882" customFormat="false" ht="15" hidden="false" customHeight="false" outlineLevel="0" collapsed="false">
      <c r="A882" s="0" t="n">
        <v>2028</v>
      </c>
      <c r="B882" s="0" t="n">
        <v>14.02910811</v>
      </c>
      <c r="C882" s="0" t="n">
        <v>294.6112703</v>
      </c>
      <c r="E882" s="0" t="n">
        <v>2028</v>
      </c>
      <c r="F882" s="0" t="n">
        <v>53.920188</v>
      </c>
      <c r="G882" s="0" t="n">
        <v>1132.323948</v>
      </c>
      <c r="I882" s="0" t="n">
        <v>2027</v>
      </c>
      <c r="J882" s="0" t="n">
        <v>38.84</v>
      </c>
      <c r="K882" s="0" t="n">
        <v>815.74</v>
      </c>
      <c r="M882" s="0" t="n">
        <v>2028</v>
      </c>
      <c r="N882" s="0" t="n">
        <v>11.96</v>
      </c>
      <c r="O882" s="0" t="n">
        <v>250.86</v>
      </c>
      <c r="Q882" s="0" t="n">
        <v>2029</v>
      </c>
      <c r="R882" s="0" t="n">
        <v>13</v>
      </c>
      <c r="W882" s="0" t="n">
        <v>2028</v>
      </c>
      <c r="X882" s="0" t="n">
        <v>1236.631</v>
      </c>
    </row>
    <row r="883" customFormat="false" ht="15" hidden="false" customHeight="false" outlineLevel="0" collapsed="false">
      <c r="A883" s="0" t="n">
        <v>2028</v>
      </c>
      <c r="B883" s="0" t="n">
        <v>523.3585707</v>
      </c>
      <c r="C883" s="0" t="n">
        <v>10990.52998</v>
      </c>
      <c r="E883" s="0" t="n">
        <v>2029</v>
      </c>
      <c r="F883" s="0" t="n">
        <v>263.655837</v>
      </c>
      <c r="G883" s="0" t="n">
        <v>5528.549393</v>
      </c>
      <c r="I883" s="0" t="n">
        <v>2027</v>
      </c>
      <c r="J883" s="0" t="n">
        <v>38.84</v>
      </c>
      <c r="K883" s="0" t="n">
        <v>815.74</v>
      </c>
      <c r="M883" s="0" t="n">
        <v>2028</v>
      </c>
      <c r="N883" s="0" t="n">
        <v>172.9</v>
      </c>
      <c r="O883" s="0" t="n">
        <v>3626.72</v>
      </c>
      <c r="Q883" s="0" t="n">
        <v>2030</v>
      </c>
      <c r="R883" s="0" t="n">
        <v>1450</v>
      </c>
      <c r="W883" s="0" t="n">
        <v>2029</v>
      </c>
      <c r="X883" s="0" t="n">
        <v>160418.18</v>
      </c>
    </row>
    <row r="884" customFormat="false" ht="15" hidden="false" customHeight="false" outlineLevel="0" collapsed="false">
      <c r="A884" s="0" t="n">
        <v>2028</v>
      </c>
      <c r="B884" s="0" t="n">
        <v>132.0065074</v>
      </c>
      <c r="C884" s="0" t="n">
        <v>2772.136656</v>
      </c>
      <c r="E884" s="0" t="n">
        <v>2029</v>
      </c>
      <c r="F884" s="0" t="n">
        <v>70.794513</v>
      </c>
      <c r="G884" s="0" t="n">
        <v>1484.476757</v>
      </c>
      <c r="I884" s="0" t="n">
        <v>2027</v>
      </c>
      <c r="J884" s="0" t="n">
        <v>77.68</v>
      </c>
      <c r="K884" s="0" t="n">
        <v>1631.48</v>
      </c>
      <c r="M884" s="0" t="n">
        <v>2028</v>
      </c>
      <c r="N884" s="0" t="n">
        <v>113.75</v>
      </c>
      <c r="O884" s="0" t="n">
        <v>2386</v>
      </c>
      <c r="Q884" s="0" t="n">
        <v>2030</v>
      </c>
      <c r="R884" s="0" t="n">
        <v>1378</v>
      </c>
      <c r="W884" s="0" t="n">
        <v>2029</v>
      </c>
      <c r="X884" s="0" t="n">
        <v>40104.545</v>
      </c>
    </row>
    <row r="885" customFormat="false" ht="15" hidden="false" customHeight="false" outlineLevel="0" collapsed="false">
      <c r="A885" s="0" t="n">
        <v>2028</v>
      </c>
      <c r="B885" s="0" t="n">
        <v>117.7175372</v>
      </c>
      <c r="C885" s="0" t="n">
        <v>2472.06828</v>
      </c>
      <c r="E885" s="0" t="n">
        <v>2029</v>
      </c>
      <c r="F885" s="0" t="n">
        <v>28.336581</v>
      </c>
      <c r="G885" s="0" t="n">
        <v>594.184409</v>
      </c>
      <c r="I885" s="0" t="n">
        <v>2027</v>
      </c>
      <c r="J885" s="0" t="n">
        <v>135.94</v>
      </c>
      <c r="K885" s="0" t="n">
        <v>2855.09</v>
      </c>
      <c r="M885" s="0" t="n">
        <v>2028</v>
      </c>
      <c r="N885" s="0" t="n">
        <v>45.5</v>
      </c>
      <c r="O885" s="0" t="n">
        <v>954.4</v>
      </c>
      <c r="Q885" s="0" t="n">
        <v>2030</v>
      </c>
      <c r="R885" s="0" t="n">
        <v>653</v>
      </c>
      <c r="W885" s="0" t="n">
        <v>2029</v>
      </c>
      <c r="X885" s="0" t="n">
        <v>12419.472</v>
      </c>
    </row>
    <row r="886" customFormat="false" ht="15" hidden="false" customHeight="false" outlineLevel="0" collapsed="false">
      <c r="A886" s="0" t="n">
        <v>2028</v>
      </c>
      <c r="B886" s="0" t="n">
        <v>81.86557063</v>
      </c>
      <c r="C886" s="0" t="n">
        <v>1719.176983</v>
      </c>
      <c r="E886" s="0" t="n">
        <v>2029</v>
      </c>
      <c r="F886" s="0" t="n">
        <v>3.980367</v>
      </c>
      <c r="G886" s="0" t="n">
        <v>83.463563</v>
      </c>
      <c r="I886" s="0" t="n">
        <v>2027</v>
      </c>
      <c r="J886" s="0" t="n">
        <v>58.26</v>
      </c>
      <c r="K886" s="0" t="n">
        <v>1223.61</v>
      </c>
      <c r="M886" s="0" t="n">
        <v>2028</v>
      </c>
      <c r="N886" s="0" t="n">
        <v>45.5</v>
      </c>
      <c r="O886" s="0" t="n">
        <v>954.4</v>
      </c>
      <c r="Q886" s="0" t="n">
        <v>2030</v>
      </c>
      <c r="R886" s="0" t="n">
        <v>145</v>
      </c>
      <c r="W886" s="0" t="n">
        <v>2029</v>
      </c>
      <c r="X886" s="0" t="n">
        <v>21992.815</v>
      </c>
    </row>
    <row r="887" customFormat="false" ht="15" hidden="false" customHeight="false" outlineLevel="0" collapsed="false">
      <c r="A887" s="0" t="n">
        <v>2028</v>
      </c>
      <c r="B887" s="0" t="n">
        <v>60.89434836</v>
      </c>
      <c r="C887" s="0" t="n">
        <v>1278.781316</v>
      </c>
      <c r="E887" s="0" t="n">
        <v>2029</v>
      </c>
      <c r="F887" s="0" t="n">
        <v>95.150727</v>
      </c>
      <c r="G887" s="0" t="n">
        <v>1995.197603</v>
      </c>
      <c r="I887" s="0" t="n">
        <v>2027</v>
      </c>
      <c r="J887" s="0" t="n">
        <v>58.26</v>
      </c>
      <c r="K887" s="0" t="n">
        <v>1223.61</v>
      </c>
      <c r="M887" s="0" t="n">
        <v>2028</v>
      </c>
      <c r="N887" s="0" t="n">
        <v>27.3</v>
      </c>
      <c r="O887" s="0" t="n">
        <v>572.64</v>
      </c>
      <c r="Q887" s="0" t="n">
        <v>2030</v>
      </c>
      <c r="R887" s="0" t="n">
        <v>134</v>
      </c>
      <c r="W887" s="0" t="n">
        <v>2029</v>
      </c>
      <c r="X887" s="0" t="n">
        <v>9832.082</v>
      </c>
    </row>
    <row r="888" customFormat="false" ht="15" hidden="false" customHeight="false" outlineLevel="0" collapsed="false">
      <c r="A888" s="0" t="n">
        <v>2028</v>
      </c>
      <c r="B888" s="0" t="n">
        <v>27.06415483</v>
      </c>
      <c r="C888" s="0" t="n">
        <v>568.3472514</v>
      </c>
      <c r="E888" s="0" t="n">
        <v>2029</v>
      </c>
      <c r="F888" s="0" t="n">
        <v>4.454379</v>
      </c>
      <c r="G888" s="0" t="n">
        <v>93.403031</v>
      </c>
      <c r="I888" s="0" t="n">
        <v>2027</v>
      </c>
      <c r="J888" s="0" t="n">
        <v>61.36</v>
      </c>
      <c r="K888" s="0" t="n">
        <v>1287</v>
      </c>
      <c r="M888" s="0" t="n">
        <v>2028</v>
      </c>
      <c r="N888" s="0" t="n">
        <v>22.75</v>
      </c>
      <c r="O888" s="0" t="n">
        <v>477.2</v>
      </c>
      <c r="Q888" s="0" t="n">
        <v>2030</v>
      </c>
      <c r="R888" s="0" t="n">
        <v>134</v>
      </c>
      <c r="W888" s="0" t="n">
        <v>2029</v>
      </c>
      <c r="X888" s="0" t="n">
        <v>3881.085</v>
      </c>
    </row>
    <row r="889" customFormat="false" ht="15" hidden="false" customHeight="false" outlineLevel="0" collapsed="false">
      <c r="A889" s="0" t="n">
        <v>2028</v>
      </c>
      <c r="B889" s="0" t="n">
        <v>99.96360173</v>
      </c>
      <c r="C889" s="0" t="n">
        <v>2099.235636</v>
      </c>
      <c r="E889" s="0" t="n">
        <v>2029</v>
      </c>
      <c r="F889" s="0" t="n">
        <v>24.356214</v>
      </c>
      <c r="G889" s="0" t="n">
        <v>510.720846</v>
      </c>
      <c r="I889" s="0" t="n">
        <v>2027</v>
      </c>
      <c r="J889" s="0" t="n">
        <v>9.44</v>
      </c>
      <c r="K889" s="0" t="n">
        <v>198</v>
      </c>
      <c r="M889" s="0" t="n">
        <v>2028</v>
      </c>
      <c r="N889" s="0" t="n">
        <v>18.2</v>
      </c>
      <c r="O889" s="0" t="n">
        <v>381.76</v>
      </c>
      <c r="Q889" s="0" t="n">
        <v>2030</v>
      </c>
      <c r="R889" s="0" t="n">
        <v>425</v>
      </c>
      <c r="W889" s="0" t="n">
        <v>2029</v>
      </c>
      <c r="X889" s="0" t="n">
        <v>5692.258</v>
      </c>
    </row>
    <row r="890" customFormat="false" ht="15" hidden="false" customHeight="false" outlineLevel="0" collapsed="false">
      <c r="A890" s="0" t="n">
        <v>2028</v>
      </c>
      <c r="B890" s="0" t="n">
        <v>31.29209805</v>
      </c>
      <c r="C890" s="0" t="n">
        <v>657.1340592</v>
      </c>
      <c r="E890" s="0" t="n">
        <v>2029</v>
      </c>
      <c r="F890" s="0" t="n">
        <v>22.271382</v>
      </c>
      <c r="G890" s="0" t="n">
        <v>467.004398</v>
      </c>
      <c r="I890" s="0" t="n">
        <v>2027</v>
      </c>
      <c r="J890" s="0" t="n">
        <v>7.08</v>
      </c>
      <c r="K890" s="0" t="n">
        <v>148.5</v>
      </c>
      <c r="M890" s="0" t="n">
        <v>2028</v>
      </c>
      <c r="N890" s="0" t="n">
        <v>9.1</v>
      </c>
      <c r="O890" s="0" t="n">
        <v>190.88</v>
      </c>
      <c r="Q890" s="0" t="n">
        <v>2030</v>
      </c>
      <c r="R890" s="0" t="n">
        <v>404</v>
      </c>
      <c r="W890" s="0" t="n">
        <v>2029</v>
      </c>
      <c r="X890" s="0" t="n">
        <v>4398.563</v>
      </c>
    </row>
    <row r="891" customFormat="false" ht="15" hidden="false" customHeight="false" outlineLevel="0" collapsed="false">
      <c r="A891" s="0" t="n">
        <v>2028</v>
      </c>
      <c r="B891" s="0" t="n">
        <v>69.96721896</v>
      </c>
      <c r="C891" s="0" t="n">
        <v>1469.311598</v>
      </c>
      <c r="E891" s="0" t="n">
        <v>2029</v>
      </c>
      <c r="F891" s="0" t="n">
        <v>354.110861</v>
      </c>
      <c r="G891" s="0" t="n">
        <v>7435.300183</v>
      </c>
      <c r="I891" s="0" t="n">
        <v>2027</v>
      </c>
      <c r="J891" s="0" t="n">
        <v>11.8</v>
      </c>
      <c r="K891" s="0" t="n">
        <v>247.5</v>
      </c>
      <c r="M891" s="0" t="n">
        <v>2028</v>
      </c>
      <c r="N891" s="0" t="n">
        <v>67.64</v>
      </c>
      <c r="O891" s="0" t="n">
        <v>1418.16</v>
      </c>
      <c r="Q891" s="0" t="n">
        <v>2030</v>
      </c>
      <c r="R891" s="0" t="n">
        <v>191</v>
      </c>
      <c r="W891" s="0" t="n">
        <v>2029</v>
      </c>
      <c r="X891" s="0" t="n">
        <v>60756.9</v>
      </c>
    </row>
    <row r="892" customFormat="false" ht="15" hidden="false" customHeight="false" outlineLevel="0" collapsed="false">
      <c r="A892" s="0" t="n">
        <v>2028</v>
      </c>
      <c r="B892" s="0" t="n">
        <v>197.1027426</v>
      </c>
      <c r="C892" s="0" t="n">
        <v>4139.157594</v>
      </c>
      <c r="E892" s="0" t="n">
        <v>2029</v>
      </c>
      <c r="F892" s="0" t="n">
        <v>95.082689</v>
      </c>
      <c r="G892" s="0" t="n">
        <v>1996.460467</v>
      </c>
      <c r="I892" s="0" t="n">
        <v>2027</v>
      </c>
      <c r="J892" s="0" t="n">
        <v>2.36</v>
      </c>
      <c r="K892" s="0" t="n">
        <v>49.5</v>
      </c>
      <c r="M892" s="0" t="n">
        <v>2028</v>
      </c>
      <c r="N892" s="0" t="n">
        <v>44.5</v>
      </c>
      <c r="O892" s="0" t="n">
        <v>933</v>
      </c>
      <c r="Q892" s="0" t="n">
        <v>2030</v>
      </c>
      <c r="R892" s="0" t="n">
        <v>43</v>
      </c>
      <c r="W892" s="0" t="n">
        <v>2029</v>
      </c>
      <c r="X892" s="0" t="n">
        <v>15189.225</v>
      </c>
    </row>
    <row r="893" customFormat="false" ht="15" hidden="false" customHeight="false" outlineLevel="0" collapsed="false">
      <c r="A893" s="0" t="n">
        <v>2028</v>
      </c>
      <c r="B893" s="0" t="n">
        <v>49.71514009</v>
      </c>
      <c r="C893" s="0" t="n">
        <v>1044.017942</v>
      </c>
      <c r="E893" s="0" t="n">
        <v>2029</v>
      </c>
      <c r="F893" s="0" t="n">
        <v>38.058293</v>
      </c>
      <c r="G893" s="0" t="n">
        <v>799.113679</v>
      </c>
      <c r="I893" s="0" t="n">
        <v>2027</v>
      </c>
      <c r="J893" s="0" t="n">
        <v>2.36</v>
      </c>
      <c r="K893" s="0" t="n">
        <v>49.5</v>
      </c>
      <c r="M893" s="0" t="n">
        <v>2028</v>
      </c>
      <c r="N893" s="0" t="n">
        <v>17.8</v>
      </c>
      <c r="O893" s="0" t="n">
        <v>373.2</v>
      </c>
      <c r="Q893" s="0" t="n">
        <v>2030</v>
      </c>
      <c r="R893" s="0" t="n">
        <v>40</v>
      </c>
      <c r="W893" s="0" t="n">
        <v>2029</v>
      </c>
      <c r="X893" s="0" t="n">
        <v>4703.76</v>
      </c>
    </row>
    <row r="894" customFormat="false" ht="15" hidden="false" customHeight="false" outlineLevel="0" collapsed="false">
      <c r="A894" s="0" t="n">
        <v>2028</v>
      </c>
      <c r="B894" s="0" t="n">
        <v>44.33375266</v>
      </c>
      <c r="C894" s="0" t="n">
        <v>931.0088059</v>
      </c>
      <c r="E894" s="0" t="n">
        <v>2029</v>
      </c>
      <c r="F894" s="0" t="n">
        <v>5.345951</v>
      </c>
      <c r="G894" s="0" t="n">
        <v>112.249453</v>
      </c>
      <c r="I894" s="0" t="n">
        <v>2027</v>
      </c>
      <c r="J894" s="0" t="n">
        <v>0</v>
      </c>
      <c r="K894" s="0" t="n">
        <v>0</v>
      </c>
      <c r="M894" s="0" t="n">
        <v>2028</v>
      </c>
      <c r="N894" s="0" t="n">
        <v>17.8</v>
      </c>
      <c r="O894" s="0" t="n">
        <v>373.2</v>
      </c>
      <c r="Q894" s="0" t="n">
        <v>2030</v>
      </c>
      <c r="R894" s="0" t="n">
        <v>40</v>
      </c>
      <c r="W894" s="0" t="n">
        <v>2029</v>
      </c>
      <c r="X894" s="0" t="n">
        <v>8329.575</v>
      </c>
    </row>
    <row r="895" customFormat="false" ht="15" hidden="false" customHeight="false" outlineLevel="0" collapsed="false">
      <c r="A895" s="0" t="n">
        <v>2028</v>
      </c>
      <c r="B895" s="0" t="n">
        <v>30.83149756</v>
      </c>
      <c r="C895" s="0" t="n">
        <v>647.4614488</v>
      </c>
      <c r="E895" s="0" t="n">
        <v>2029</v>
      </c>
      <c r="F895" s="0" t="n">
        <v>127.795031</v>
      </c>
      <c r="G895" s="0" t="n">
        <v>2683.324693</v>
      </c>
      <c r="I895" s="0" t="n">
        <v>2027</v>
      </c>
      <c r="J895" s="0" t="n">
        <v>4.72</v>
      </c>
      <c r="K895" s="0" t="n">
        <v>99</v>
      </c>
      <c r="M895" s="0" t="n">
        <v>2028</v>
      </c>
      <c r="N895" s="0" t="n">
        <v>10.68</v>
      </c>
      <c r="O895" s="0" t="n">
        <v>223.92</v>
      </c>
      <c r="Q895" s="0" t="n">
        <v>2030</v>
      </c>
      <c r="R895" s="0" t="n">
        <v>1832</v>
      </c>
      <c r="W895" s="0" t="n">
        <v>2029</v>
      </c>
      <c r="X895" s="0" t="n">
        <v>3723.81</v>
      </c>
    </row>
    <row r="896" customFormat="false" ht="15" hidden="false" customHeight="false" outlineLevel="0" collapsed="false">
      <c r="A896" s="0" t="n">
        <v>2028</v>
      </c>
      <c r="B896" s="0" t="n">
        <v>22.93349864</v>
      </c>
      <c r="C896" s="0" t="n">
        <v>481.6034715</v>
      </c>
      <c r="E896" s="0" t="n">
        <v>2029</v>
      </c>
      <c r="F896" s="0" t="n">
        <v>5.982587</v>
      </c>
      <c r="G896" s="0" t="n">
        <v>125.616961</v>
      </c>
      <c r="I896" s="0" t="n">
        <v>2027</v>
      </c>
      <c r="J896" s="0" t="n">
        <v>8.26</v>
      </c>
      <c r="K896" s="0" t="n">
        <v>173.25</v>
      </c>
      <c r="M896" s="0" t="n">
        <v>2028</v>
      </c>
      <c r="N896" s="0" t="n">
        <v>8.9</v>
      </c>
      <c r="O896" s="0" t="n">
        <v>186.6</v>
      </c>
      <c r="Q896" s="0" t="n">
        <v>2030</v>
      </c>
      <c r="R896" s="0" t="n">
        <v>1741</v>
      </c>
      <c r="W896" s="0" t="n">
        <v>2029</v>
      </c>
      <c r="X896" s="0" t="n">
        <v>1469.925</v>
      </c>
    </row>
    <row r="897" customFormat="false" ht="15" hidden="false" customHeight="false" outlineLevel="0" collapsed="false">
      <c r="A897" s="0" t="n">
        <v>2028</v>
      </c>
      <c r="B897" s="0" t="n">
        <v>10.19266606</v>
      </c>
      <c r="C897" s="0" t="n">
        <v>214.0459873</v>
      </c>
      <c r="E897" s="0" t="n">
        <v>2029</v>
      </c>
      <c r="F897" s="0" t="n">
        <v>32.712342</v>
      </c>
      <c r="G897" s="0" t="n">
        <v>686.864226</v>
      </c>
      <c r="I897" s="0" t="n">
        <v>2027</v>
      </c>
      <c r="J897" s="0" t="n">
        <v>2.36</v>
      </c>
      <c r="K897" s="0" t="n">
        <v>49.5</v>
      </c>
      <c r="M897" s="0" t="n">
        <v>2028</v>
      </c>
      <c r="N897" s="0" t="n">
        <v>7.12</v>
      </c>
      <c r="O897" s="0" t="n">
        <v>149.28</v>
      </c>
      <c r="Q897" s="0" t="n">
        <v>2030</v>
      </c>
      <c r="R897" s="0" t="n">
        <v>825</v>
      </c>
      <c r="W897" s="0" t="n">
        <v>2029</v>
      </c>
      <c r="X897" s="0" t="n">
        <v>2155.89</v>
      </c>
    </row>
    <row r="898" customFormat="false" ht="15" hidden="false" customHeight="false" outlineLevel="0" collapsed="false">
      <c r="A898" s="0" t="n">
        <v>2028</v>
      </c>
      <c r="B898" s="0" t="n">
        <v>37.64742027</v>
      </c>
      <c r="C898" s="0" t="n">
        <v>790.5958256</v>
      </c>
      <c r="E898" s="0" t="n">
        <v>2029</v>
      </c>
      <c r="F898" s="0" t="n">
        <v>29.912246</v>
      </c>
      <c r="G898" s="0" t="n">
        <v>628.070338</v>
      </c>
      <c r="I898" s="0" t="n">
        <v>2027</v>
      </c>
      <c r="J898" s="0" t="n">
        <v>8.26</v>
      </c>
      <c r="K898" s="0" t="n">
        <v>173.25</v>
      </c>
      <c r="M898" s="0" t="n">
        <v>2028</v>
      </c>
      <c r="N898" s="0" t="n">
        <v>3.56</v>
      </c>
      <c r="O898" s="0" t="n">
        <v>74.64</v>
      </c>
      <c r="Q898" s="0" t="n">
        <v>2030</v>
      </c>
      <c r="R898" s="0" t="n">
        <v>183</v>
      </c>
      <c r="W898" s="0" t="n">
        <v>2029</v>
      </c>
      <c r="X898" s="0" t="n">
        <v>1665.915</v>
      </c>
    </row>
    <row r="899" customFormat="false" ht="15" hidden="false" customHeight="false" outlineLevel="0" collapsed="false">
      <c r="A899" s="0" t="n">
        <v>2028</v>
      </c>
      <c r="B899" s="0" t="n">
        <v>11.78495719</v>
      </c>
      <c r="C899" s="0" t="n">
        <v>247.4841009</v>
      </c>
      <c r="E899" s="0" t="n">
        <v>2029</v>
      </c>
      <c r="F899" s="0" t="n">
        <v>269.823225</v>
      </c>
      <c r="G899" s="0" t="n">
        <v>5661.662184</v>
      </c>
      <c r="I899" s="0" t="n">
        <v>2027</v>
      </c>
      <c r="J899" s="0" t="n">
        <v>155.52</v>
      </c>
      <c r="K899" s="0" t="n">
        <v>3264.48</v>
      </c>
      <c r="M899" s="0" t="n">
        <v>2028</v>
      </c>
      <c r="N899" s="0" t="n">
        <v>97.66</v>
      </c>
      <c r="O899" s="0" t="n">
        <v>2046.3</v>
      </c>
      <c r="Q899" s="0" t="n">
        <v>2030</v>
      </c>
      <c r="R899" s="0" t="n">
        <v>175</v>
      </c>
      <c r="W899" s="0" t="n">
        <v>2029</v>
      </c>
      <c r="X899" s="0" t="n">
        <v>118466.5</v>
      </c>
    </row>
    <row r="900" customFormat="false" ht="15" hidden="false" customHeight="false" outlineLevel="0" collapsed="false">
      <c r="A900" s="0" t="n">
        <v>2028</v>
      </c>
      <c r="B900" s="0" t="n">
        <v>26.35044408</v>
      </c>
      <c r="C900" s="0" t="n">
        <v>553.3593256</v>
      </c>
      <c r="E900" s="0" t="n">
        <v>2029</v>
      </c>
      <c r="F900" s="0" t="n">
        <v>72.450525</v>
      </c>
      <c r="G900" s="0" t="n">
        <v>1520.219016</v>
      </c>
      <c r="I900" s="0" t="n">
        <v>2027</v>
      </c>
      <c r="J900" s="0" t="n">
        <v>51.84</v>
      </c>
      <c r="K900" s="0" t="n">
        <v>1088.16</v>
      </c>
      <c r="M900" s="0" t="n">
        <v>2028</v>
      </c>
      <c r="N900" s="0" t="n">
        <v>64.25</v>
      </c>
      <c r="O900" s="0" t="n">
        <v>1346.25</v>
      </c>
      <c r="Q900" s="0" t="n">
        <v>2030</v>
      </c>
      <c r="R900" s="0" t="n">
        <v>175</v>
      </c>
      <c r="W900" s="0" t="n">
        <v>2029</v>
      </c>
      <c r="X900" s="0" t="n">
        <v>29616.625</v>
      </c>
    </row>
    <row r="901" customFormat="false" ht="15" hidden="false" customHeight="false" outlineLevel="0" collapsed="false">
      <c r="A901" s="0" t="n">
        <v>2028</v>
      </c>
      <c r="B901" s="0" t="n">
        <v>334.5667714</v>
      </c>
      <c r="C901" s="0" t="n">
        <v>7025.9022</v>
      </c>
      <c r="E901" s="0" t="n">
        <v>2029</v>
      </c>
      <c r="F901" s="0" t="n">
        <v>28.999425</v>
      </c>
      <c r="G901" s="0" t="n">
        <v>608.490792</v>
      </c>
      <c r="I901" s="0" t="n">
        <v>2027</v>
      </c>
      <c r="J901" s="0" t="n">
        <v>22.68</v>
      </c>
      <c r="K901" s="0" t="n">
        <v>476.07</v>
      </c>
      <c r="M901" s="0" t="n">
        <v>2028</v>
      </c>
      <c r="N901" s="0" t="n">
        <v>25.7</v>
      </c>
      <c r="O901" s="0" t="n">
        <v>538.5</v>
      </c>
      <c r="Q901" s="0" t="n">
        <v>2030</v>
      </c>
      <c r="R901" s="0" t="n">
        <v>1165</v>
      </c>
      <c r="W901" s="0" t="n">
        <v>2029</v>
      </c>
      <c r="X901" s="0" t="n">
        <v>9171.6</v>
      </c>
    </row>
    <row r="902" customFormat="false" ht="15" hidden="false" customHeight="false" outlineLevel="0" collapsed="false">
      <c r="A902" s="0" t="n">
        <v>2028</v>
      </c>
      <c r="B902" s="0" t="n">
        <v>84.38763302</v>
      </c>
      <c r="C902" s="0" t="n">
        <v>1772.140293</v>
      </c>
      <c r="E902" s="0" t="n">
        <v>2029</v>
      </c>
      <c r="F902" s="0" t="n">
        <v>4.073475</v>
      </c>
      <c r="G902" s="0" t="n">
        <v>85.473144</v>
      </c>
      <c r="I902" s="0" t="n">
        <v>2027</v>
      </c>
      <c r="J902" s="0" t="n">
        <v>12.96</v>
      </c>
      <c r="K902" s="0" t="n">
        <v>272.04</v>
      </c>
      <c r="M902" s="0" t="n">
        <v>2028</v>
      </c>
      <c r="N902" s="0" t="n">
        <v>25.7</v>
      </c>
      <c r="O902" s="0" t="n">
        <v>538.5</v>
      </c>
      <c r="Q902" s="0" t="n">
        <v>2030</v>
      </c>
      <c r="R902" s="0" t="n">
        <v>1106</v>
      </c>
      <c r="W902" s="0" t="n">
        <v>2029</v>
      </c>
      <c r="X902" s="0" t="n">
        <v>16241.375</v>
      </c>
    </row>
    <row r="903" customFormat="false" ht="15" hidden="false" customHeight="false" outlineLevel="0" collapsed="false">
      <c r="A903" s="0" t="n">
        <v>2028</v>
      </c>
      <c r="B903" s="0" t="n">
        <v>75.25314107</v>
      </c>
      <c r="C903" s="0" t="n">
        <v>1580.315962</v>
      </c>
      <c r="E903" s="0" t="n">
        <v>2029</v>
      </c>
      <c r="F903" s="0" t="n">
        <v>97.376475</v>
      </c>
      <c r="G903" s="0" t="n">
        <v>2043.236664</v>
      </c>
      <c r="I903" s="0" t="n">
        <v>2027</v>
      </c>
      <c r="J903" s="0" t="n">
        <v>12.96</v>
      </c>
      <c r="K903" s="0" t="n">
        <v>272.04</v>
      </c>
      <c r="M903" s="0" t="n">
        <v>2028</v>
      </c>
      <c r="N903" s="0" t="n">
        <v>15.42</v>
      </c>
      <c r="O903" s="0" t="n">
        <v>323.1</v>
      </c>
      <c r="Q903" s="0" t="n">
        <v>2030</v>
      </c>
      <c r="R903" s="0" t="n">
        <v>524</v>
      </c>
      <c r="W903" s="0" t="n">
        <v>2029</v>
      </c>
      <c r="X903" s="0" t="n">
        <v>7260.85</v>
      </c>
    </row>
    <row r="904" customFormat="false" ht="15" hidden="false" customHeight="false" outlineLevel="0" collapsed="false">
      <c r="A904" s="0" t="n">
        <v>2028</v>
      </c>
      <c r="B904" s="0" t="n">
        <v>52.33409978</v>
      </c>
      <c r="C904" s="0" t="n">
        <v>1099.016095</v>
      </c>
      <c r="E904" s="0" t="n">
        <v>2029</v>
      </c>
      <c r="F904" s="0" t="n">
        <v>4.558575</v>
      </c>
      <c r="G904" s="0" t="n">
        <v>95.651928</v>
      </c>
      <c r="I904" s="0" t="n">
        <v>2027</v>
      </c>
      <c r="J904" s="0" t="n">
        <v>6.48</v>
      </c>
      <c r="K904" s="0" t="n">
        <v>136.02</v>
      </c>
      <c r="M904" s="0" t="n">
        <v>2028</v>
      </c>
      <c r="N904" s="0" t="n">
        <v>12.85</v>
      </c>
      <c r="O904" s="0" t="n">
        <v>269.25</v>
      </c>
      <c r="Q904" s="0" t="n">
        <v>2030</v>
      </c>
      <c r="R904" s="0" t="n">
        <v>116</v>
      </c>
      <c r="W904" s="0" t="n">
        <v>2029</v>
      </c>
      <c r="X904" s="0" t="n">
        <v>2866.125</v>
      </c>
    </row>
    <row r="905" customFormat="false" ht="15" hidden="false" customHeight="false" outlineLevel="0" collapsed="false">
      <c r="A905" s="0" t="n">
        <v>2028</v>
      </c>
      <c r="B905" s="0" t="n">
        <v>38.92785304</v>
      </c>
      <c r="C905" s="0" t="n">
        <v>817.4849139</v>
      </c>
      <c r="E905" s="0" t="n">
        <v>2029</v>
      </c>
      <c r="F905" s="0" t="n">
        <v>24.92595</v>
      </c>
      <c r="G905" s="0" t="n">
        <v>523.017648</v>
      </c>
      <c r="I905" s="0" t="n">
        <v>2027</v>
      </c>
      <c r="J905" s="0" t="n">
        <v>6.48</v>
      </c>
      <c r="K905" s="0" t="n">
        <v>136.02</v>
      </c>
      <c r="M905" s="0" t="n">
        <v>2028</v>
      </c>
      <c r="N905" s="0" t="n">
        <v>10.28</v>
      </c>
      <c r="O905" s="0" t="n">
        <v>215.4</v>
      </c>
      <c r="Q905" s="0" t="n">
        <v>2030</v>
      </c>
      <c r="R905" s="0" t="n">
        <v>110</v>
      </c>
      <c r="W905" s="0" t="n">
        <v>2029</v>
      </c>
      <c r="X905" s="0" t="n">
        <v>4203.65</v>
      </c>
    </row>
    <row r="906" customFormat="false" ht="15" hidden="false" customHeight="false" outlineLevel="0" collapsed="false">
      <c r="A906" s="0" t="n">
        <v>2028</v>
      </c>
      <c r="B906" s="0" t="n">
        <v>17.30126802</v>
      </c>
      <c r="C906" s="0" t="n">
        <v>363.3266284</v>
      </c>
      <c r="E906" s="0" t="n">
        <v>2029</v>
      </c>
      <c r="F906" s="0" t="n">
        <v>22.79235</v>
      </c>
      <c r="G906" s="0" t="n">
        <v>478.248624</v>
      </c>
      <c r="I906" s="0" t="n">
        <v>2027</v>
      </c>
      <c r="J906" s="0" t="n">
        <v>12.96</v>
      </c>
      <c r="K906" s="0" t="n">
        <v>272.04</v>
      </c>
      <c r="M906" s="0" t="n">
        <v>2028</v>
      </c>
      <c r="N906" s="0" t="n">
        <v>5.14</v>
      </c>
      <c r="O906" s="0" t="n">
        <v>107.7</v>
      </c>
      <c r="Q906" s="0" t="n">
        <v>2030</v>
      </c>
      <c r="R906" s="0" t="n">
        <v>110</v>
      </c>
      <c r="W906" s="0" t="n">
        <v>2029</v>
      </c>
      <c r="X906" s="0" t="n">
        <v>3248.275</v>
      </c>
    </row>
    <row r="907" customFormat="false" ht="15" hidden="false" customHeight="false" outlineLevel="0" collapsed="false">
      <c r="A907" s="0" t="n">
        <v>2028</v>
      </c>
      <c r="B907" s="0" t="n">
        <v>63.90360523</v>
      </c>
      <c r="C907" s="0" t="n">
        <v>1341.97571</v>
      </c>
      <c r="E907" s="0" t="n">
        <v>2029</v>
      </c>
      <c r="F907" s="0" t="n">
        <v>592.069248</v>
      </c>
      <c r="G907" s="0" t="n">
        <v>12428.82867</v>
      </c>
      <c r="I907" s="0" t="n">
        <v>2027</v>
      </c>
      <c r="J907" s="0" t="n">
        <v>22.68</v>
      </c>
      <c r="K907" s="0" t="n">
        <v>476.07</v>
      </c>
      <c r="M907" s="0" t="n">
        <v>2028</v>
      </c>
      <c r="N907" s="0" t="n">
        <v>153</v>
      </c>
      <c r="O907" s="0" t="n">
        <v>3211.2</v>
      </c>
      <c r="Q907" s="0" t="n">
        <v>2030</v>
      </c>
      <c r="R907" s="0" t="n">
        <v>333</v>
      </c>
      <c r="W907" s="0" t="n">
        <v>2029</v>
      </c>
      <c r="X907" s="0" t="n">
        <v>112150.56</v>
      </c>
    </row>
    <row r="908" customFormat="false" ht="15" hidden="false" customHeight="false" outlineLevel="0" collapsed="false">
      <c r="A908" s="0" t="n">
        <v>2028</v>
      </c>
      <c r="B908" s="0" t="n">
        <v>20.00405994</v>
      </c>
      <c r="C908" s="0" t="n">
        <v>420.0852587</v>
      </c>
      <c r="E908" s="0" t="n">
        <v>2029</v>
      </c>
      <c r="F908" s="0" t="n">
        <v>158.977152</v>
      </c>
      <c r="G908" s="0" t="n">
        <v>3337.278183</v>
      </c>
      <c r="I908" s="0" t="n">
        <v>2027</v>
      </c>
      <c r="J908" s="0" t="n">
        <v>9.72</v>
      </c>
      <c r="K908" s="0" t="n">
        <v>204.03</v>
      </c>
      <c r="M908" s="0" t="n">
        <v>2028</v>
      </c>
      <c r="N908" s="0" t="n">
        <v>17</v>
      </c>
      <c r="O908" s="0" t="n">
        <v>356.8</v>
      </c>
      <c r="Q908" s="0" t="n">
        <v>2030</v>
      </c>
      <c r="R908" s="0" t="n">
        <v>317</v>
      </c>
      <c r="W908" s="0" t="n">
        <v>2029</v>
      </c>
      <c r="X908" s="0" t="n">
        <v>28037.64</v>
      </c>
    </row>
    <row r="909" customFormat="false" ht="15" hidden="false" customHeight="false" outlineLevel="0" collapsed="false">
      <c r="A909" s="0" t="n">
        <v>2028</v>
      </c>
      <c r="B909" s="0" t="n">
        <v>44.72785556</v>
      </c>
      <c r="C909" s="0" t="n">
        <v>939.2849667</v>
      </c>
      <c r="E909" s="0" t="n">
        <v>2029</v>
      </c>
      <c r="F909" s="0" t="n">
        <v>63.633024</v>
      </c>
      <c r="G909" s="0" t="n">
        <v>1335.796371</v>
      </c>
      <c r="I909" s="0" t="n">
        <v>2027</v>
      </c>
      <c r="J909" s="0" t="n">
        <v>9.72</v>
      </c>
      <c r="K909" s="0" t="n">
        <v>204.03</v>
      </c>
      <c r="M909" s="0" t="n">
        <v>2028</v>
      </c>
      <c r="N909" s="0" t="n">
        <v>214.2</v>
      </c>
      <c r="O909" s="0" t="n">
        <v>4494.6</v>
      </c>
      <c r="Q909" s="0" t="n">
        <v>2030</v>
      </c>
      <c r="R909" s="0" t="n">
        <v>150</v>
      </c>
      <c r="W909" s="0" t="n">
        <v>2029</v>
      </c>
      <c r="X909" s="0" t="n">
        <v>8682.624</v>
      </c>
    </row>
    <row r="910" customFormat="false" ht="15" hidden="false" customHeight="false" outlineLevel="0" collapsed="false">
      <c r="A910" s="0" t="n">
        <v>2028</v>
      </c>
      <c r="B910" s="0" t="n">
        <v>131.8977489</v>
      </c>
      <c r="C910" s="0" t="n">
        <v>2769.852726</v>
      </c>
      <c r="E910" s="0" t="n">
        <v>2029</v>
      </c>
      <c r="F910" s="0" t="n">
        <v>8.938368</v>
      </c>
      <c r="G910" s="0" t="n">
        <v>187.635897</v>
      </c>
      <c r="I910" s="0" t="n">
        <v>2027</v>
      </c>
      <c r="J910" s="0" t="n">
        <v>19.24</v>
      </c>
      <c r="K910" s="0" t="n">
        <v>404.04</v>
      </c>
      <c r="M910" s="0" t="n">
        <v>2028</v>
      </c>
      <c r="N910" s="0" t="n">
        <v>23.8</v>
      </c>
      <c r="O910" s="0" t="n">
        <v>499.4</v>
      </c>
      <c r="Q910" s="0" t="n">
        <v>2030</v>
      </c>
      <c r="R910" s="0" t="n">
        <v>33</v>
      </c>
      <c r="W910" s="0" t="n">
        <v>2029</v>
      </c>
      <c r="X910" s="0" t="n">
        <v>15375.48</v>
      </c>
    </row>
    <row r="911" customFormat="false" ht="15" hidden="false" customHeight="false" outlineLevel="0" collapsed="false">
      <c r="A911" s="0" t="n">
        <v>2028</v>
      </c>
      <c r="B911" s="0" t="n">
        <v>33.26851253</v>
      </c>
      <c r="C911" s="0" t="n">
        <v>698.6387632</v>
      </c>
      <c r="E911" s="0" t="n">
        <v>2029</v>
      </c>
      <c r="F911" s="0" t="n">
        <v>213.671808</v>
      </c>
      <c r="G911" s="0" t="n">
        <v>4485.438657</v>
      </c>
      <c r="I911" s="0" t="n">
        <v>2027</v>
      </c>
      <c r="J911" s="0" t="n">
        <v>2.96</v>
      </c>
      <c r="K911" s="0" t="n">
        <v>62.16</v>
      </c>
      <c r="M911" s="0" t="n">
        <v>2028</v>
      </c>
      <c r="N911" s="0" t="n">
        <v>183.6</v>
      </c>
      <c r="O911" s="0" t="n">
        <v>3852.9</v>
      </c>
      <c r="Q911" s="0" t="n">
        <v>2030</v>
      </c>
      <c r="R911" s="0" t="n">
        <v>31</v>
      </c>
      <c r="W911" s="0" t="n">
        <v>2029</v>
      </c>
      <c r="X911" s="0" t="n">
        <v>6873.744</v>
      </c>
    </row>
    <row r="912" customFormat="false" ht="15" hidden="false" customHeight="false" outlineLevel="0" collapsed="false">
      <c r="A912" s="0" t="n">
        <v>2028</v>
      </c>
      <c r="B912" s="0" t="n">
        <v>29.66738108</v>
      </c>
      <c r="C912" s="0" t="n">
        <v>623.0150026</v>
      </c>
      <c r="E912" s="0" t="n">
        <v>2029</v>
      </c>
      <c r="F912" s="0" t="n">
        <v>10.002816</v>
      </c>
      <c r="G912" s="0" t="n">
        <v>209.980989</v>
      </c>
      <c r="I912" s="0" t="n">
        <v>2027</v>
      </c>
      <c r="J912" s="0" t="n">
        <v>2.22</v>
      </c>
      <c r="K912" s="0" t="n">
        <v>46.62</v>
      </c>
      <c r="M912" s="0" t="n">
        <v>2028</v>
      </c>
      <c r="N912" s="0" t="n">
        <v>20.4</v>
      </c>
      <c r="O912" s="0" t="n">
        <v>428.1</v>
      </c>
      <c r="Q912" s="0" t="n">
        <v>2030</v>
      </c>
      <c r="R912" s="0" t="n">
        <v>31</v>
      </c>
      <c r="W912" s="0" t="n">
        <v>2029</v>
      </c>
      <c r="X912" s="0" t="n">
        <v>2713.32</v>
      </c>
    </row>
    <row r="913" customFormat="false" ht="15" hidden="false" customHeight="false" outlineLevel="0" collapsed="false">
      <c r="A913" s="0" t="n">
        <v>2028</v>
      </c>
      <c r="B913" s="0" t="n">
        <v>20.63190532</v>
      </c>
      <c r="C913" s="0" t="n">
        <v>433.2700117</v>
      </c>
      <c r="E913" s="0" t="n">
        <v>2029</v>
      </c>
      <c r="F913" s="0" t="n">
        <v>54.694656</v>
      </c>
      <c r="G913" s="0" t="n">
        <v>1148.160474</v>
      </c>
      <c r="I913" s="0" t="n">
        <v>2027</v>
      </c>
      <c r="J913" s="0" t="n">
        <v>3.7</v>
      </c>
      <c r="K913" s="0" t="n">
        <v>77.7</v>
      </c>
      <c r="M913" s="0" t="n">
        <v>2028</v>
      </c>
      <c r="N913" s="0" t="n">
        <v>61.2</v>
      </c>
      <c r="O913" s="0" t="n">
        <v>1284.3</v>
      </c>
      <c r="Q913" s="0" t="n">
        <v>2030</v>
      </c>
      <c r="R913" s="0" t="n">
        <v>461</v>
      </c>
      <c r="W913" s="0" t="n">
        <v>2029</v>
      </c>
      <c r="X913" s="0" t="n">
        <v>3979.536</v>
      </c>
    </row>
    <row r="914" customFormat="false" ht="15" hidden="false" customHeight="false" outlineLevel="0" collapsed="false">
      <c r="A914" s="0" t="n">
        <v>2028</v>
      </c>
      <c r="B914" s="0" t="n">
        <v>15.34670094</v>
      </c>
      <c r="C914" s="0" t="n">
        <v>322.2807197</v>
      </c>
      <c r="E914" s="0" t="n">
        <v>2029</v>
      </c>
      <c r="F914" s="0" t="n">
        <v>50.012928</v>
      </c>
      <c r="G914" s="0" t="n">
        <v>1049.880762</v>
      </c>
      <c r="I914" s="0" t="n">
        <v>2027</v>
      </c>
      <c r="J914" s="0" t="n">
        <v>0.74</v>
      </c>
      <c r="K914" s="0" t="n">
        <v>15.54</v>
      </c>
      <c r="M914" s="0" t="n">
        <v>2028</v>
      </c>
      <c r="N914" s="0" t="n">
        <v>6.8</v>
      </c>
      <c r="O914" s="0" t="n">
        <v>142.7</v>
      </c>
      <c r="Q914" s="0" t="n">
        <v>2030</v>
      </c>
      <c r="R914" s="0" t="n">
        <v>438</v>
      </c>
      <c r="W914" s="0" t="n">
        <v>2029</v>
      </c>
      <c r="X914" s="0" t="n">
        <v>3075.096</v>
      </c>
    </row>
    <row r="915" customFormat="false" ht="15" hidden="false" customHeight="false" outlineLevel="0" collapsed="false">
      <c r="A915" s="0" t="n">
        <v>2028</v>
      </c>
      <c r="B915" s="0" t="n">
        <v>6.820755973</v>
      </c>
      <c r="C915" s="0" t="n">
        <v>143.2358754</v>
      </c>
      <c r="E915" s="0" t="n">
        <v>2029</v>
      </c>
      <c r="F915" s="0" t="n">
        <v>325.843666</v>
      </c>
      <c r="G915" s="0" t="n">
        <v>6833.465904</v>
      </c>
      <c r="I915" s="0" t="n">
        <v>2027</v>
      </c>
      <c r="J915" s="0" t="n">
        <v>0.74</v>
      </c>
      <c r="K915" s="0" t="n">
        <v>15.54</v>
      </c>
      <c r="M915" s="0" t="n">
        <v>2028</v>
      </c>
      <c r="N915" s="0" t="n">
        <v>612.9</v>
      </c>
      <c r="O915" s="0" t="n">
        <v>12855.6</v>
      </c>
      <c r="Q915" s="0" t="n">
        <v>2030</v>
      </c>
      <c r="R915" s="0" t="n">
        <v>207</v>
      </c>
      <c r="W915" s="0" t="n">
        <v>2029</v>
      </c>
      <c r="X915" s="0" t="n">
        <v>45997.18</v>
      </c>
    </row>
    <row r="916" customFormat="false" ht="15" hidden="false" customHeight="false" outlineLevel="0" collapsed="false">
      <c r="A916" s="0" t="n">
        <v>2028</v>
      </c>
      <c r="B916" s="0" t="n">
        <v>25.193003</v>
      </c>
      <c r="C916" s="0" t="n">
        <v>529.0530629</v>
      </c>
      <c r="E916" s="0" t="n">
        <v>2029</v>
      </c>
      <c r="F916" s="0" t="n">
        <v>87.492634</v>
      </c>
      <c r="G916" s="0" t="n">
        <v>1834.861296</v>
      </c>
      <c r="I916" s="0" t="n">
        <v>2027</v>
      </c>
      <c r="J916" s="0" t="n">
        <v>0</v>
      </c>
      <c r="K916" s="0" t="n">
        <v>0</v>
      </c>
      <c r="M916" s="0" t="n">
        <v>2028</v>
      </c>
      <c r="N916" s="0" t="n">
        <v>68.1</v>
      </c>
      <c r="O916" s="0" t="n">
        <v>1428.4</v>
      </c>
      <c r="Q916" s="0" t="n">
        <v>2030</v>
      </c>
      <c r="R916" s="0" t="n">
        <v>46</v>
      </c>
      <c r="W916" s="0" t="n">
        <v>2029</v>
      </c>
      <c r="X916" s="0" t="n">
        <v>11499.295</v>
      </c>
    </row>
    <row r="917" customFormat="false" ht="15" hidden="false" customHeight="false" outlineLevel="0" collapsed="false">
      <c r="A917" s="0" t="n">
        <v>2028</v>
      </c>
      <c r="B917" s="0" t="n">
        <v>7.886289673</v>
      </c>
      <c r="C917" s="0" t="n">
        <v>165.6120831</v>
      </c>
      <c r="E917" s="0" t="n">
        <v>2029</v>
      </c>
      <c r="F917" s="0" t="n">
        <v>35.020258</v>
      </c>
      <c r="G917" s="0" t="n">
        <v>734.431152</v>
      </c>
      <c r="I917" s="0" t="n">
        <v>2027</v>
      </c>
      <c r="J917" s="0" t="n">
        <v>1.48</v>
      </c>
      <c r="K917" s="0" t="n">
        <v>31.08</v>
      </c>
      <c r="M917" s="0" t="n">
        <v>2028</v>
      </c>
      <c r="N917" s="0" t="n">
        <v>65.7</v>
      </c>
      <c r="O917" s="0" t="n">
        <v>1368.9</v>
      </c>
      <c r="Q917" s="0" t="n">
        <v>2030</v>
      </c>
      <c r="R917" s="0" t="n">
        <v>44</v>
      </c>
      <c r="W917" s="0" t="n">
        <v>2029</v>
      </c>
      <c r="X917" s="0" t="n">
        <v>3561.072</v>
      </c>
    </row>
    <row r="918" customFormat="false" ht="15" hidden="false" customHeight="false" outlineLevel="0" collapsed="false">
      <c r="A918" s="0" t="n">
        <v>2028</v>
      </c>
      <c r="B918" s="0" t="n">
        <v>17.63326177</v>
      </c>
      <c r="C918" s="0" t="n">
        <v>370.2984972</v>
      </c>
      <c r="E918" s="0" t="n">
        <v>2029</v>
      </c>
      <c r="F918" s="0" t="n">
        <v>4.919206</v>
      </c>
      <c r="G918" s="0" t="n">
        <v>103.163664</v>
      </c>
      <c r="I918" s="0" t="n">
        <v>2027</v>
      </c>
      <c r="J918" s="0" t="n">
        <v>2.59</v>
      </c>
      <c r="K918" s="0" t="n">
        <v>54.39</v>
      </c>
      <c r="M918" s="0" t="n">
        <v>2028</v>
      </c>
      <c r="N918" s="0" t="n">
        <v>7.3</v>
      </c>
      <c r="O918" s="0" t="n">
        <v>152.1</v>
      </c>
      <c r="Q918" s="0" t="n">
        <v>2030</v>
      </c>
      <c r="R918" s="0" t="n">
        <v>44</v>
      </c>
      <c r="W918" s="0" t="n">
        <v>2029</v>
      </c>
      <c r="X918" s="0" t="n">
        <v>6306.065</v>
      </c>
    </row>
    <row r="919" customFormat="false" ht="15" hidden="false" customHeight="false" outlineLevel="0" collapsed="false">
      <c r="A919" s="0" t="n">
        <v>2028</v>
      </c>
      <c r="B919" s="0" t="n">
        <v>258.1779157</v>
      </c>
      <c r="C919" s="0" t="n">
        <v>5421.736229</v>
      </c>
      <c r="E919" s="0" t="n">
        <v>2029</v>
      </c>
      <c r="F919" s="0" t="n">
        <v>117.593686</v>
      </c>
      <c r="G919" s="0" t="n">
        <v>2466.128784</v>
      </c>
      <c r="I919" s="0" t="n">
        <v>2027</v>
      </c>
      <c r="J919" s="0" t="n">
        <v>0.74</v>
      </c>
      <c r="K919" s="0" t="n">
        <v>15.54</v>
      </c>
      <c r="M919" s="0" t="n">
        <v>2029</v>
      </c>
      <c r="N919" s="0" t="n">
        <v>6.84</v>
      </c>
      <c r="O919" s="0" t="n">
        <v>142.12</v>
      </c>
      <c r="Q919" s="0" t="n">
        <v>2030</v>
      </c>
      <c r="R919" s="0" t="n">
        <v>254</v>
      </c>
      <c r="W919" s="0" t="n">
        <v>2029</v>
      </c>
      <c r="X919" s="0" t="n">
        <v>2819.182</v>
      </c>
    </row>
    <row r="920" customFormat="false" ht="15" hidden="false" customHeight="false" outlineLevel="0" collapsed="false">
      <c r="A920" s="0" t="n">
        <v>2028</v>
      </c>
      <c r="B920" s="0" t="n">
        <v>65.12010476</v>
      </c>
      <c r="C920" s="0" t="n">
        <v>1367.5222</v>
      </c>
      <c r="E920" s="0" t="n">
        <v>2029</v>
      </c>
      <c r="F920" s="0" t="n">
        <v>5.505022</v>
      </c>
      <c r="G920" s="0" t="n">
        <v>115.449168</v>
      </c>
      <c r="I920" s="0" t="n">
        <v>2027</v>
      </c>
      <c r="J920" s="0" t="n">
        <v>2.59</v>
      </c>
      <c r="K920" s="0" t="n">
        <v>54.39</v>
      </c>
      <c r="M920" s="0" t="n">
        <v>2029</v>
      </c>
      <c r="N920" s="0" t="n">
        <v>4.5</v>
      </c>
      <c r="O920" s="0" t="n">
        <v>93.5</v>
      </c>
      <c r="Q920" s="0" t="n">
        <v>2030</v>
      </c>
      <c r="R920" s="0" t="n">
        <v>242</v>
      </c>
      <c r="W920" s="0" t="n">
        <v>2029</v>
      </c>
      <c r="X920" s="0" t="n">
        <v>1112.835</v>
      </c>
    </row>
    <row r="921" customFormat="false" ht="15" hidden="false" customHeight="false" outlineLevel="0" collapsed="false">
      <c r="A921" s="0" t="n">
        <v>2028</v>
      </c>
      <c r="B921" s="0" t="n">
        <v>58.07121558</v>
      </c>
      <c r="C921" s="0" t="n">
        <v>1219.495527</v>
      </c>
      <c r="E921" s="0" t="n">
        <v>2029</v>
      </c>
      <c r="F921" s="0" t="n">
        <v>30.101052</v>
      </c>
      <c r="G921" s="0" t="n">
        <v>631.267488</v>
      </c>
      <c r="I921" s="0" t="n">
        <v>2027</v>
      </c>
      <c r="J921" s="0" t="n">
        <v>46.56</v>
      </c>
      <c r="K921" s="0" t="n">
        <v>978.72</v>
      </c>
      <c r="M921" s="0" t="n">
        <v>2029</v>
      </c>
      <c r="N921" s="0" t="n">
        <v>1.8</v>
      </c>
      <c r="O921" s="0" t="n">
        <v>37.4</v>
      </c>
      <c r="Q921" s="0" t="n">
        <v>2030</v>
      </c>
      <c r="R921" s="0" t="n">
        <v>114</v>
      </c>
      <c r="W921" s="0" t="n">
        <v>2029</v>
      </c>
      <c r="X921" s="0" t="n">
        <v>1632.158</v>
      </c>
    </row>
    <row r="922" customFormat="false" ht="15" hidden="false" customHeight="false" outlineLevel="0" collapsed="false">
      <c r="A922" s="0" t="n">
        <v>2028</v>
      </c>
      <c r="B922" s="0" t="n">
        <v>40.38508888</v>
      </c>
      <c r="C922" s="0" t="n">
        <v>848.0868665</v>
      </c>
      <c r="E922" s="0" t="n">
        <v>2029</v>
      </c>
      <c r="F922" s="0" t="n">
        <v>27.524476</v>
      </c>
      <c r="G922" s="0" t="n">
        <v>577.232544</v>
      </c>
      <c r="I922" s="0" t="n">
        <v>2027</v>
      </c>
      <c r="J922" s="0" t="n">
        <v>15.52</v>
      </c>
      <c r="K922" s="0" t="n">
        <v>326.24</v>
      </c>
      <c r="M922" s="0" t="n">
        <v>2029</v>
      </c>
      <c r="N922" s="0" t="n">
        <v>1.8</v>
      </c>
      <c r="O922" s="0" t="n">
        <v>37.4</v>
      </c>
      <c r="Q922" s="0" t="n">
        <v>2030</v>
      </c>
      <c r="R922" s="0" t="n">
        <v>25</v>
      </c>
      <c r="W922" s="0" t="n">
        <v>2029</v>
      </c>
      <c r="X922" s="0" t="n">
        <v>1261.213</v>
      </c>
    </row>
    <row r="923" customFormat="false" ht="15" hidden="false" customHeight="false" outlineLevel="0" collapsed="false">
      <c r="A923" s="0" t="n">
        <v>2028</v>
      </c>
      <c r="B923" s="0" t="n">
        <v>30.03977926</v>
      </c>
      <c r="C923" s="0" t="n">
        <v>630.8353645</v>
      </c>
      <c r="E923" s="0" t="n">
        <v>2029</v>
      </c>
      <c r="F923" s="0" t="n">
        <v>104.331647</v>
      </c>
      <c r="G923" s="0" t="n">
        <v>2184.797199</v>
      </c>
      <c r="I923" s="0" t="n">
        <v>2027</v>
      </c>
      <c r="J923" s="0" t="n">
        <v>6.79</v>
      </c>
      <c r="K923" s="0" t="n">
        <v>142.73</v>
      </c>
      <c r="M923" s="0" t="n">
        <v>2029</v>
      </c>
      <c r="N923" s="0" t="n">
        <v>1.08</v>
      </c>
      <c r="O923" s="0" t="n">
        <v>22.44</v>
      </c>
      <c r="Q923" s="0" t="n">
        <v>2030</v>
      </c>
      <c r="R923" s="0" t="n">
        <v>24</v>
      </c>
      <c r="W923" s="0" t="n">
        <v>2029</v>
      </c>
      <c r="X923" s="0" t="n">
        <v>72562.94</v>
      </c>
    </row>
    <row r="924" customFormat="false" ht="15" hidden="false" customHeight="false" outlineLevel="0" collapsed="false">
      <c r="A924" s="0" t="n">
        <v>2028</v>
      </c>
      <c r="B924" s="0" t="n">
        <v>13.351013</v>
      </c>
      <c r="C924" s="0" t="n">
        <v>280.3712731</v>
      </c>
      <c r="E924" s="0" t="n">
        <v>2029</v>
      </c>
      <c r="F924" s="0" t="n">
        <v>28.014203</v>
      </c>
      <c r="G924" s="0" t="n">
        <v>586.642251</v>
      </c>
      <c r="I924" s="0" t="n">
        <v>2027</v>
      </c>
      <c r="J924" s="0" t="n">
        <v>3.88</v>
      </c>
      <c r="K924" s="0" t="n">
        <v>81.56</v>
      </c>
      <c r="M924" s="0" t="n">
        <v>2029</v>
      </c>
      <c r="N924" s="0" t="n">
        <v>0.9</v>
      </c>
      <c r="O924" s="0" t="n">
        <v>18.7</v>
      </c>
      <c r="Q924" s="0" t="n">
        <v>2030</v>
      </c>
      <c r="R924" s="0" t="n">
        <v>24</v>
      </c>
      <c r="W924" s="0" t="n">
        <v>2029</v>
      </c>
      <c r="X924" s="0" t="n">
        <v>18140.735</v>
      </c>
    </row>
    <row r="925" customFormat="false" ht="15" hidden="false" customHeight="false" outlineLevel="0" collapsed="false">
      <c r="A925" s="0" t="n">
        <v>2028</v>
      </c>
      <c r="B925" s="0" t="n">
        <v>49.31302512</v>
      </c>
      <c r="C925" s="0" t="n">
        <v>1035.573527</v>
      </c>
      <c r="E925" s="0" t="n">
        <v>2029</v>
      </c>
      <c r="F925" s="0" t="n">
        <v>11.213111</v>
      </c>
      <c r="G925" s="0" t="n">
        <v>234.812487</v>
      </c>
      <c r="I925" s="0" t="n">
        <v>2027</v>
      </c>
      <c r="J925" s="0" t="n">
        <v>3.88</v>
      </c>
      <c r="K925" s="0" t="n">
        <v>81.56</v>
      </c>
      <c r="M925" s="0" t="n">
        <v>2029</v>
      </c>
      <c r="N925" s="0" t="n">
        <v>0.72</v>
      </c>
      <c r="O925" s="0" t="n">
        <v>14.96</v>
      </c>
      <c r="Q925" s="0" t="n">
        <v>2030</v>
      </c>
      <c r="R925" s="0" t="n">
        <v>909</v>
      </c>
      <c r="W925" s="0" t="n">
        <v>2029</v>
      </c>
      <c r="X925" s="0" t="n">
        <v>5617.776</v>
      </c>
    </row>
    <row r="926" customFormat="false" ht="15" hidden="false" customHeight="false" outlineLevel="0" collapsed="false">
      <c r="A926" s="0" t="n">
        <v>2028</v>
      </c>
      <c r="B926" s="0" t="n">
        <v>15.43669886</v>
      </c>
      <c r="C926" s="0" t="n">
        <v>324.1706761</v>
      </c>
      <c r="E926" s="0" t="n">
        <v>2029</v>
      </c>
      <c r="F926" s="0" t="n">
        <v>1.575077</v>
      </c>
      <c r="G926" s="0" t="n">
        <v>32.983509</v>
      </c>
      <c r="I926" s="0" t="n">
        <v>2027</v>
      </c>
      <c r="J926" s="0" t="n">
        <v>1.94</v>
      </c>
      <c r="K926" s="0" t="n">
        <v>40.78</v>
      </c>
      <c r="M926" s="0" t="n">
        <v>2029</v>
      </c>
      <c r="N926" s="0" t="n">
        <v>0.36</v>
      </c>
      <c r="O926" s="0" t="n">
        <v>7.48</v>
      </c>
      <c r="Q926" s="0" t="n">
        <v>2030</v>
      </c>
      <c r="R926" s="0" t="n">
        <v>864</v>
      </c>
      <c r="W926" s="0" t="n">
        <v>2029</v>
      </c>
      <c r="X926" s="0" t="n">
        <v>9948.145</v>
      </c>
    </row>
    <row r="927" customFormat="false" ht="15" hidden="false" customHeight="false" outlineLevel="0" collapsed="false">
      <c r="A927" s="0" t="n">
        <v>2028</v>
      </c>
      <c r="B927" s="0" t="n">
        <v>34.51551531</v>
      </c>
      <c r="C927" s="0" t="n">
        <v>724.8258215</v>
      </c>
      <c r="E927" s="0" t="n">
        <v>2029</v>
      </c>
      <c r="F927" s="0" t="n">
        <v>37.652237</v>
      </c>
      <c r="G927" s="0" t="n">
        <v>788.471229</v>
      </c>
      <c r="I927" s="0" t="n">
        <v>2027</v>
      </c>
      <c r="J927" s="0" t="n">
        <v>1.94</v>
      </c>
      <c r="K927" s="0" t="n">
        <v>40.78</v>
      </c>
      <c r="M927" s="0" t="n">
        <v>2029</v>
      </c>
      <c r="N927" s="0" t="n">
        <v>17.86</v>
      </c>
      <c r="O927" s="0" t="n">
        <v>371.26</v>
      </c>
      <c r="Q927" s="0" t="n">
        <v>2030</v>
      </c>
      <c r="R927" s="0" t="n">
        <v>409</v>
      </c>
      <c r="W927" s="0" t="n">
        <v>2029</v>
      </c>
      <c r="X927" s="0" t="n">
        <v>4447.406</v>
      </c>
    </row>
    <row r="928" customFormat="false" ht="15" hidden="false" customHeight="false" outlineLevel="0" collapsed="false">
      <c r="A928" s="0" t="n">
        <v>2028</v>
      </c>
      <c r="B928" s="0" t="n">
        <v>169.8613172</v>
      </c>
      <c r="C928" s="0" t="n">
        <v>3567.087661</v>
      </c>
      <c r="E928" s="0" t="n">
        <v>2029</v>
      </c>
      <c r="F928" s="0" t="n">
        <v>1.762649</v>
      </c>
      <c r="G928" s="0" t="n">
        <v>36.911433</v>
      </c>
      <c r="I928" s="0" t="n">
        <v>2027</v>
      </c>
      <c r="J928" s="0" t="n">
        <v>3.88</v>
      </c>
      <c r="K928" s="0" t="n">
        <v>81.56</v>
      </c>
      <c r="M928" s="0" t="n">
        <v>2029</v>
      </c>
      <c r="N928" s="0" t="n">
        <v>11.75</v>
      </c>
      <c r="O928" s="0" t="n">
        <v>244.25</v>
      </c>
      <c r="Q928" s="0" t="n">
        <v>2030</v>
      </c>
      <c r="R928" s="0" t="n">
        <v>91</v>
      </c>
      <c r="W928" s="0" t="n">
        <v>2029</v>
      </c>
      <c r="X928" s="0" t="n">
        <v>1755.555</v>
      </c>
    </row>
    <row r="929" customFormat="false" ht="15" hidden="false" customHeight="false" outlineLevel="0" collapsed="false">
      <c r="A929" s="0" t="n">
        <v>2028</v>
      </c>
      <c r="B929" s="0" t="n">
        <v>42.84404706</v>
      </c>
      <c r="C929" s="0" t="n">
        <v>899.7249884</v>
      </c>
      <c r="E929" s="0" t="n">
        <v>2029</v>
      </c>
      <c r="F929" s="0" t="n">
        <v>9.638034</v>
      </c>
      <c r="G929" s="0" t="n">
        <v>201.828978</v>
      </c>
      <c r="I929" s="0" t="n">
        <v>2027</v>
      </c>
      <c r="J929" s="0" t="n">
        <v>6.79</v>
      </c>
      <c r="K929" s="0" t="n">
        <v>142.73</v>
      </c>
      <c r="M929" s="0" t="n">
        <v>2029</v>
      </c>
      <c r="N929" s="0" t="n">
        <v>4.7</v>
      </c>
      <c r="O929" s="0" t="n">
        <v>97.7</v>
      </c>
      <c r="Q929" s="0" t="n">
        <v>2030</v>
      </c>
      <c r="R929" s="0" t="n">
        <v>86</v>
      </c>
      <c r="W929" s="0" t="n">
        <v>2029</v>
      </c>
      <c r="X929" s="0" t="n">
        <v>2574.814</v>
      </c>
    </row>
    <row r="930" customFormat="false" ht="15" hidden="false" customHeight="false" outlineLevel="0" collapsed="false">
      <c r="A930" s="0" t="n">
        <v>2028</v>
      </c>
      <c r="B930" s="0" t="n">
        <v>38.20641725</v>
      </c>
      <c r="C930" s="0" t="n">
        <v>802.3347622</v>
      </c>
      <c r="E930" s="0" t="n">
        <v>2029</v>
      </c>
      <c r="F930" s="0" t="n">
        <v>8.813042</v>
      </c>
      <c r="G930" s="0" t="n">
        <v>184.552914</v>
      </c>
      <c r="I930" s="0" t="n">
        <v>2027</v>
      </c>
      <c r="J930" s="0" t="n">
        <v>2.91</v>
      </c>
      <c r="K930" s="0" t="n">
        <v>61.17</v>
      </c>
      <c r="M930" s="0" t="n">
        <v>2029</v>
      </c>
      <c r="N930" s="0" t="n">
        <v>4.7</v>
      </c>
      <c r="O930" s="0" t="n">
        <v>97.7</v>
      </c>
      <c r="Q930" s="0" t="n">
        <v>2030</v>
      </c>
      <c r="R930" s="0" t="n">
        <v>86</v>
      </c>
      <c r="W930" s="0" t="n">
        <v>2029</v>
      </c>
      <c r="X930" s="0" t="n">
        <v>1989.629</v>
      </c>
    </row>
    <row r="931" customFormat="false" ht="15" hidden="false" customHeight="false" outlineLevel="0" collapsed="false">
      <c r="A931" s="0" t="n">
        <v>2028</v>
      </c>
      <c r="B931" s="0" t="n">
        <v>26.57029891</v>
      </c>
      <c r="C931" s="0" t="n">
        <v>557.9762772</v>
      </c>
      <c r="E931" s="0" t="n">
        <v>2029</v>
      </c>
      <c r="F931" s="0" t="n">
        <v>385.975699</v>
      </c>
      <c r="G931" s="0" t="n">
        <v>8105.489679</v>
      </c>
      <c r="I931" s="0" t="n">
        <v>2027</v>
      </c>
      <c r="J931" s="0" t="n">
        <v>2.91</v>
      </c>
      <c r="K931" s="0" t="n">
        <v>61.17</v>
      </c>
      <c r="M931" s="0" t="n">
        <v>2029</v>
      </c>
      <c r="N931" s="0" t="n">
        <v>2.82</v>
      </c>
      <c r="O931" s="0" t="n">
        <v>58.62</v>
      </c>
      <c r="Q931" s="0" t="n">
        <v>2030</v>
      </c>
      <c r="R931" s="0" t="n">
        <v>421</v>
      </c>
      <c r="W931" s="0" t="n">
        <v>2029</v>
      </c>
      <c r="X931" s="0" t="n">
        <v>41702.44</v>
      </c>
    </row>
    <row r="932" customFormat="false" ht="15" hidden="false" customHeight="false" outlineLevel="0" collapsed="false">
      <c r="A932" s="0" t="n">
        <v>2028</v>
      </c>
      <c r="B932" s="0" t="n">
        <v>19.76387663</v>
      </c>
      <c r="C932" s="0" t="n">
        <v>415.0414092</v>
      </c>
      <c r="E932" s="0" t="n">
        <v>2029</v>
      </c>
      <c r="F932" s="0" t="n">
        <v>103.638751</v>
      </c>
      <c r="G932" s="0" t="n">
        <v>2176.413771</v>
      </c>
      <c r="I932" s="0" t="n">
        <v>2027</v>
      </c>
      <c r="J932" s="0" t="n">
        <v>4.16</v>
      </c>
      <c r="K932" s="0" t="n">
        <v>85.8</v>
      </c>
      <c r="M932" s="0" t="n">
        <v>2029</v>
      </c>
      <c r="N932" s="0" t="n">
        <v>2.35</v>
      </c>
      <c r="O932" s="0" t="n">
        <v>48.85</v>
      </c>
      <c r="Q932" s="0" t="n">
        <v>2030</v>
      </c>
      <c r="R932" s="0" t="n">
        <v>400</v>
      </c>
      <c r="W932" s="0" t="n">
        <v>2029</v>
      </c>
      <c r="X932" s="0" t="n">
        <v>10425.61</v>
      </c>
    </row>
    <row r="933" customFormat="false" ht="15" hidden="false" customHeight="false" outlineLevel="0" collapsed="false">
      <c r="A933" s="0" t="n">
        <v>2028</v>
      </c>
      <c r="B933" s="0" t="n">
        <v>8.783945168</v>
      </c>
      <c r="C933" s="0" t="n">
        <v>184.4628485</v>
      </c>
      <c r="E933" s="0" t="n">
        <v>2029</v>
      </c>
      <c r="F933" s="0" t="n">
        <v>41.482987</v>
      </c>
      <c r="G933" s="0" t="n">
        <v>871.142727</v>
      </c>
      <c r="I933" s="0" t="n">
        <v>2027</v>
      </c>
      <c r="J933" s="0" t="n">
        <v>0.64</v>
      </c>
      <c r="K933" s="0" t="n">
        <v>13.2</v>
      </c>
      <c r="M933" s="0" t="n">
        <v>2029</v>
      </c>
      <c r="N933" s="0" t="n">
        <v>1.88</v>
      </c>
      <c r="O933" s="0" t="n">
        <v>39.08</v>
      </c>
      <c r="Q933" s="0" t="n">
        <v>2030</v>
      </c>
      <c r="R933" s="0" t="n">
        <v>190</v>
      </c>
      <c r="W933" s="0" t="n">
        <v>2029</v>
      </c>
      <c r="X933" s="0" t="n">
        <v>3228.576</v>
      </c>
    </row>
    <row r="934" customFormat="false" ht="15" hidden="false" customHeight="false" outlineLevel="0" collapsed="false">
      <c r="A934" s="0" t="n">
        <v>2028</v>
      </c>
      <c r="B934" s="0" t="n">
        <v>32.44419795</v>
      </c>
      <c r="C934" s="0" t="n">
        <v>681.3281569</v>
      </c>
      <c r="E934" s="0" t="n">
        <v>2029</v>
      </c>
      <c r="F934" s="0" t="n">
        <v>5.827009</v>
      </c>
      <c r="G934" s="0" t="n">
        <v>122.367189</v>
      </c>
      <c r="I934" s="0" t="n">
        <v>2027</v>
      </c>
      <c r="J934" s="0" t="n">
        <v>0.48</v>
      </c>
      <c r="K934" s="0" t="n">
        <v>9.9</v>
      </c>
      <c r="M934" s="0" t="n">
        <v>2029</v>
      </c>
      <c r="N934" s="0" t="n">
        <v>0.94</v>
      </c>
      <c r="O934" s="0" t="n">
        <v>19.54</v>
      </c>
      <c r="Q934" s="0" t="n">
        <v>2030</v>
      </c>
      <c r="R934" s="0" t="n">
        <v>42</v>
      </c>
      <c r="W934" s="0" t="n">
        <v>2029</v>
      </c>
      <c r="X934" s="0" t="n">
        <v>5717.27</v>
      </c>
    </row>
    <row r="935" customFormat="false" ht="15" hidden="false" customHeight="false" outlineLevel="0" collapsed="false">
      <c r="A935" s="0" t="n">
        <v>2028</v>
      </c>
      <c r="B935" s="0" t="n">
        <v>10.1561669</v>
      </c>
      <c r="C935" s="0" t="n">
        <v>213.279505</v>
      </c>
      <c r="E935" s="0" t="n">
        <v>2029</v>
      </c>
      <c r="F935" s="0" t="n">
        <v>139.294729</v>
      </c>
      <c r="G935" s="0" t="n">
        <v>2925.189309</v>
      </c>
      <c r="I935" s="0" t="n">
        <v>2027</v>
      </c>
      <c r="J935" s="0" t="n">
        <v>0.8</v>
      </c>
      <c r="K935" s="0" t="n">
        <v>16.5</v>
      </c>
      <c r="M935" s="0" t="n">
        <v>2029</v>
      </c>
      <c r="N935" s="0" t="n">
        <v>67.26</v>
      </c>
      <c r="O935" s="0" t="n">
        <v>1410.18</v>
      </c>
      <c r="Q935" s="0" t="n">
        <v>2030</v>
      </c>
      <c r="R935" s="0" t="n">
        <v>40</v>
      </c>
      <c r="W935" s="0" t="n">
        <v>2029</v>
      </c>
      <c r="X935" s="0" t="n">
        <v>2555.956</v>
      </c>
    </row>
    <row r="936" customFormat="false" ht="15" hidden="false" customHeight="false" outlineLevel="0" collapsed="false">
      <c r="A936" s="0" t="n">
        <v>2028</v>
      </c>
      <c r="B936" s="0" t="n">
        <v>22.70856854</v>
      </c>
      <c r="C936" s="0" t="n">
        <v>476.8799394</v>
      </c>
      <c r="E936" s="0" t="n">
        <v>2029</v>
      </c>
      <c r="F936" s="0" t="n">
        <v>6.520933</v>
      </c>
      <c r="G936" s="0" t="n">
        <v>136.939593</v>
      </c>
      <c r="I936" s="0" t="n">
        <v>2027</v>
      </c>
      <c r="J936" s="0" t="n">
        <v>0.16</v>
      </c>
      <c r="K936" s="0" t="n">
        <v>3.3</v>
      </c>
      <c r="M936" s="0" t="n">
        <v>2029</v>
      </c>
      <c r="N936" s="0" t="n">
        <v>44.25</v>
      </c>
      <c r="O936" s="0" t="n">
        <v>927.75</v>
      </c>
      <c r="Q936" s="0" t="n">
        <v>2030</v>
      </c>
      <c r="R936" s="0" t="n">
        <v>40</v>
      </c>
      <c r="W936" s="0" t="n">
        <v>2029</v>
      </c>
      <c r="X936" s="0" t="n">
        <v>1008.93</v>
      </c>
    </row>
    <row r="937" customFormat="false" ht="15" hidden="false" customHeight="false" outlineLevel="0" collapsed="false">
      <c r="A937" s="0" t="n">
        <v>2028</v>
      </c>
      <c r="B937" s="0" t="n">
        <v>115.6606281</v>
      </c>
      <c r="C937" s="0" t="n">
        <v>2428.87319</v>
      </c>
      <c r="E937" s="0" t="n">
        <v>2029</v>
      </c>
      <c r="F937" s="0" t="n">
        <v>35.655978</v>
      </c>
      <c r="G937" s="0" t="n">
        <v>748.775538</v>
      </c>
      <c r="I937" s="0" t="n">
        <v>2027</v>
      </c>
      <c r="J937" s="0" t="n">
        <v>0.16</v>
      </c>
      <c r="K937" s="0" t="n">
        <v>3.3</v>
      </c>
      <c r="M937" s="0" t="n">
        <v>2029</v>
      </c>
      <c r="N937" s="0" t="n">
        <v>17.7</v>
      </c>
      <c r="O937" s="0" t="n">
        <v>371.1</v>
      </c>
      <c r="Q937" s="0" t="n">
        <v>2030</v>
      </c>
      <c r="R937" s="0" t="n">
        <v>55</v>
      </c>
      <c r="W937" s="0" t="n">
        <v>2029</v>
      </c>
      <c r="X937" s="0" t="n">
        <v>1479.764</v>
      </c>
    </row>
    <row r="938" customFormat="false" ht="15" hidden="false" customHeight="false" outlineLevel="0" collapsed="false">
      <c r="A938" s="0" t="n">
        <v>2028</v>
      </c>
      <c r="B938" s="0" t="n">
        <v>29.17303054</v>
      </c>
      <c r="C938" s="0" t="n">
        <v>612.6336413</v>
      </c>
      <c r="E938" s="0" t="n">
        <v>2029</v>
      </c>
      <c r="F938" s="0" t="n">
        <v>32.603914</v>
      </c>
      <c r="G938" s="0" t="n">
        <v>684.682194</v>
      </c>
      <c r="I938" s="0" t="n">
        <v>2027</v>
      </c>
      <c r="J938" s="0" t="n">
        <v>0</v>
      </c>
      <c r="K938" s="0" t="n">
        <v>0</v>
      </c>
      <c r="M938" s="0" t="n">
        <v>2029</v>
      </c>
      <c r="N938" s="0" t="n">
        <v>17.7</v>
      </c>
      <c r="O938" s="0" t="n">
        <v>371.1</v>
      </c>
      <c r="Q938" s="0" t="n">
        <v>2030</v>
      </c>
      <c r="R938" s="0" t="n">
        <v>52</v>
      </c>
      <c r="W938" s="0" t="n">
        <v>2029</v>
      </c>
      <c r="X938" s="0" t="n">
        <v>1143.454</v>
      </c>
    </row>
    <row r="939" customFormat="false" ht="15" hidden="false" customHeight="false" outlineLevel="0" collapsed="false">
      <c r="A939" s="0" t="n">
        <v>2028</v>
      </c>
      <c r="B939" s="0" t="n">
        <v>26.01521223</v>
      </c>
      <c r="C939" s="0" t="n">
        <v>546.3194568</v>
      </c>
      <c r="E939" s="0" t="n">
        <v>2029</v>
      </c>
      <c r="F939" s="0" t="n">
        <v>560.20441</v>
      </c>
      <c r="G939" s="0" t="n">
        <v>11755.55548</v>
      </c>
      <c r="I939" s="0" t="n">
        <v>2027</v>
      </c>
      <c r="J939" s="0" t="n">
        <v>0.32</v>
      </c>
      <c r="K939" s="0" t="n">
        <v>6.6</v>
      </c>
      <c r="M939" s="0" t="n">
        <v>2029</v>
      </c>
      <c r="N939" s="0" t="n">
        <v>10.62</v>
      </c>
      <c r="O939" s="0" t="n">
        <v>222.66</v>
      </c>
      <c r="Q939" s="0" t="n">
        <v>2030</v>
      </c>
      <c r="R939" s="0" t="n">
        <v>25</v>
      </c>
      <c r="W939" s="0" t="n">
        <v>2029</v>
      </c>
      <c r="X939" s="0" t="n">
        <v>129596.12</v>
      </c>
    </row>
    <row r="940" customFormat="false" ht="15" hidden="false" customHeight="false" outlineLevel="0" collapsed="false">
      <c r="A940" s="0" t="n">
        <v>2028</v>
      </c>
      <c r="B940" s="0" t="n">
        <v>18.09203833</v>
      </c>
      <c r="C940" s="0" t="n">
        <v>379.9328049</v>
      </c>
      <c r="E940" s="0" t="n">
        <v>2029</v>
      </c>
      <c r="F940" s="0" t="n">
        <v>150.42109</v>
      </c>
      <c r="G940" s="0" t="n">
        <v>3156.496873</v>
      </c>
      <c r="I940" s="0" t="n">
        <v>2027</v>
      </c>
      <c r="J940" s="0" t="n">
        <v>0.56</v>
      </c>
      <c r="K940" s="0" t="n">
        <v>11.55</v>
      </c>
      <c r="M940" s="0" t="n">
        <v>2029</v>
      </c>
      <c r="N940" s="0" t="n">
        <v>8.85</v>
      </c>
      <c r="O940" s="0" t="n">
        <v>185.55</v>
      </c>
      <c r="Q940" s="0" t="n">
        <v>2030</v>
      </c>
      <c r="R940" s="0" t="n">
        <v>5</v>
      </c>
      <c r="W940" s="0" t="n">
        <v>2029</v>
      </c>
      <c r="X940" s="0" t="n">
        <v>32399.03</v>
      </c>
    </row>
    <row r="941" customFormat="false" ht="15" hidden="false" customHeight="false" outlineLevel="0" collapsed="false">
      <c r="A941" s="0" t="n">
        <v>2028</v>
      </c>
      <c r="B941" s="0" t="n">
        <v>13.45746296</v>
      </c>
      <c r="C941" s="0" t="n">
        <v>282.6067221</v>
      </c>
      <c r="E941" s="0" t="n">
        <v>2029</v>
      </c>
      <c r="F941" s="0" t="n">
        <v>60.20833</v>
      </c>
      <c r="G941" s="0" t="n">
        <v>1263.435901</v>
      </c>
      <c r="I941" s="0" t="n">
        <v>2027</v>
      </c>
      <c r="J941" s="0" t="n">
        <v>0.16</v>
      </c>
      <c r="K941" s="0" t="n">
        <v>3.3</v>
      </c>
      <c r="M941" s="0" t="n">
        <v>2029</v>
      </c>
      <c r="N941" s="0" t="n">
        <v>7.08</v>
      </c>
      <c r="O941" s="0" t="n">
        <v>148.44</v>
      </c>
      <c r="Q941" s="0" t="n">
        <v>2030</v>
      </c>
      <c r="R941" s="0" t="n">
        <v>5</v>
      </c>
      <c r="W941" s="0" t="n">
        <v>2029</v>
      </c>
      <c r="X941" s="0" t="n">
        <v>10033.248</v>
      </c>
    </row>
    <row r="942" customFormat="false" ht="15" hidden="false" customHeight="false" outlineLevel="0" collapsed="false">
      <c r="A942" s="0" t="n">
        <v>2028</v>
      </c>
      <c r="B942" s="0" t="n">
        <v>5.981094649</v>
      </c>
      <c r="C942" s="0" t="n">
        <v>125.6029876</v>
      </c>
      <c r="E942" s="0" t="n">
        <v>2029</v>
      </c>
      <c r="F942" s="0" t="n">
        <v>8.45731</v>
      </c>
      <c r="G942" s="0" t="n">
        <v>177.471607</v>
      </c>
      <c r="I942" s="0" t="n">
        <v>2027</v>
      </c>
      <c r="J942" s="0" t="n">
        <v>0.56</v>
      </c>
      <c r="K942" s="0" t="n">
        <v>11.55</v>
      </c>
      <c r="M942" s="0" t="n">
        <v>2029</v>
      </c>
      <c r="N942" s="0" t="n">
        <v>3.54</v>
      </c>
      <c r="O942" s="0" t="n">
        <v>74.22</v>
      </c>
      <c r="Q942" s="0" t="n">
        <v>2030</v>
      </c>
      <c r="R942" s="0" t="n">
        <v>5</v>
      </c>
      <c r="W942" s="0" t="n">
        <v>2029</v>
      </c>
      <c r="X942" s="0" t="n">
        <v>17767.21</v>
      </c>
    </row>
    <row r="943" customFormat="false" ht="15" hidden="false" customHeight="false" outlineLevel="0" collapsed="false">
      <c r="A943" s="0" t="n">
        <v>2028</v>
      </c>
      <c r="B943" s="0" t="n">
        <v>22.09164732</v>
      </c>
      <c r="C943" s="0" t="n">
        <v>463.9245937</v>
      </c>
      <c r="E943" s="0" t="n">
        <v>2029</v>
      </c>
      <c r="F943" s="0" t="n">
        <v>202.17211</v>
      </c>
      <c r="G943" s="0" t="n">
        <v>4242.461167</v>
      </c>
      <c r="I943" s="0" t="n">
        <v>2027</v>
      </c>
      <c r="J943" s="0" t="n">
        <v>560.64</v>
      </c>
      <c r="K943" s="0" t="n">
        <v>11778.24</v>
      </c>
      <c r="M943" s="0" t="n">
        <v>2029</v>
      </c>
      <c r="N943" s="0" t="n">
        <v>7.6</v>
      </c>
      <c r="O943" s="0" t="n">
        <v>155.04</v>
      </c>
      <c r="Q943" s="0" t="n">
        <v>2030</v>
      </c>
      <c r="R943" s="0" t="n">
        <v>458</v>
      </c>
      <c r="W943" s="0" t="n">
        <v>2029</v>
      </c>
      <c r="X943" s="0" t="n">
        <v>7942.988</v>
      </c>
    </row>
    <row r="944" customFormat="false" ht="15" hidden="false" customHeight="false" outlineLevel="0" collapsed="false">
      <c r="A944" s="0" t="n">
        <v>2028</v>
      </c>
      <c r="B944" s="0" t="n">
        <v>6.915457047</v>
      </c>
      <c r="C944" s="0" t="n">
        <v>145.224598</v>
      </c>
      <c r="E944" s="0" t="n">
        <v>2029</v>
      </c>
      <c r="F944" s="0" t="n">
        <v>9.46447</v>
      </c>
      <c r="G944" s="0" t="n">
        <v>198.606259</v>
      </c>
      <c r="I944" s="0" t="n">
        <v>2027</v>
      </c>
      <c r="J944" s="0" t="n">
        <v>186.88</v>
      </c>
      <c r="K944" s="0" t="n">
        <v>3926.08</v>
      </c>
      <c r="M944" s="0" t="n">
        <v>2029</v>
      </c>
      <c r="N944" s="0" t="n">
        <v>5</v>
      </c>
      <c r="O944" s="0" t="n">
        <v>102</v>
      </c>
      <c r="Q944" s="0" t="n">
        <v>2030</v>
      </c>
      <c r="R944" s="0" t="n">
        <v>435</v>
      </c>
      <c r="W944" s="0" t="n">
        <v>2029</v>
      </c>
      <c r="X944" s="0" t="n">
        <v>3135.39</v>
      </c>
    </row>
    <row r="945" customFormat="false" ht="15" hidden="false" customHeight="false" outlineLevel="0" collapsed="false">
      <c r="A945" s="0" t="n">
        <v>2028</v>
      </c>
      <c r="B945" s="0" t="n">
        <v>15.46253935</v>
      </c>
      <c r="C945" s="0" t="n">
        <v>324.7133263</v>
      </c>
      <c r="E945" s="0" t="n">
        <v>2029</v>
      </c>
      <c r="F945" s="0" t="n">
        <v>51.75102</v>
      </c>
      <c r="G945" s="0" t="n">
        <v>1085.964294</v>
      </c>
      <c r="I945" s="0" t="n">
        <v>2027</v>
      </c>
      <c r="J945" s="0" t="n">
        <v>81.76</v>
      </c>
      <c r="K945" s="0" t="n">
        <v>1717.66</v>
      </c>
      <c r="M945" s="0" t="n">
        <v>2029</v>
      </c>
      <c r="N945" s="0" t="n">
        <v>2</v>
      </c>
      <c r="O945" s="0" t="n">
        <v>40.8</v>
      </c>
      <c r="Q945" s="0" t="n">
        <v>2030</v>
      </c>
      <c r="R945" s="0" t="n">
        <v>206</v>
      </c>
      <c r="W945" s="0" t="n">
        <v>2029</v>
      </c>
      <c r="X945" s="0" t="n">
        <v>4598.572</v>
      </c>
    </row>
    <row r="946" customFormat="false" ht="15" hidden="false" customHeight="false" outlineLevel="0" collapsed="false">
      <c r="A946" s="0" t="n">
        <v>2028</v>
      </c>
      <c r="B946" s="0" t="n">
        <v>78.28703414</v>
      </c>
      <c r="C946" s="0" t="n">
        <v>1644.027717</v>
      </c>
      <c r="E946" s="0" t="n">
        <v>2029</v>
      </c>
      <c r="F946" s="0" t="n">
        <v>47.32126</v>
      </c>
      <c r="G946" s="0" t="n">
        <v>993.008422</v>
      </c>
      <c r="I946" s="0" t="n">
        <v>2027</v>
      </c>
      <c r="J946" s="0" t="n">
        <v>46.72</v>
      </c>
      <c r="K946" s="0" t="n">
        <v>981.52</v>
      </c>
      <c r="M946" s="0" t="n">
        <v>2029</v>
      </c>
      <c r="N946" s="0" t="n">
        <v>2</v>
      </c>
      <c r="O946" s="0" t="n">
        <v>40.8</v>
      </c>
      <c r="Q946" s="0" t="n">
        <v>2030</v>
      </c>
      <c r="R946" s="0" t="n">
        <v>46</v>
      </c>
      <c r="W946" s="0" t="n">
        <v>2029</v>
      </c>
      <c r="X946" s="0" t="n">
        <v>3553.442</v>
      </c>
    </row>
    <row r="947" customFormat="false" ht="15" hidden="false" customHeight="false" outlineLevel="0" collapsed="false">
      <c r="A947" s="0" t="n">
        <v>2028</v>
      </c>
      <c r="B947" s="0" t="n">
        <v>19.74630499</v>
      </c>
      <c r="C947" s="0" t="n">
        <v>414.6724048</v>
      </c>
      <c r="E947" s="0" t="n">
        <v>2029</v>
      </c>
      <c r="F947" s="0" t="n">
        <v>358.222453</v>
      </c>
      <c r="G947" s="0" t="n">
        <v>7521.129666</v>
      </c>
      <c r="I947" s="0" t="n">
        <v>2027</v>
      </c>
      <c r="J947" s="0" t="n">
        <v>46.72</v>
      </c>
      <c r="K947" s="0" t="n">
        <v>981.52</v>
      </c>
      <c r="M947" s="0" t="n">
        <v>2029</v>
      </c>
      <c r="N947" s="0" t="n">
        <v>1.2</v>
      </c>
      <c r="O947" s="0" t="n">
        <v>24.48</v>
      </c>
      <c r="Q947" s="0" t="n">
        <v>2030</v>
      </c>
      <c r="R947" s="0" t="n">
        <v>44</v>
      </c>
      <c r="W947" s="0" t="n">
        <v>2029</v>
      </c>
      <c r="X947" s="0" t="n">
        <v>66091.38</v>
      </c>
    </row>
    <row r="948" customFormat="false" ht="15" hidden="false" customHeight="false" outlineLevel="0" collapsed="false">
      <c r="A948" s="0" t="n">
        <v>2028</v>
      </c>
      <c r="B948" s="0" t="n">
        <v>17.60887729</v>
      </c>
      <c r="C948" s="0" t="n">
        <v>369.7864232</v>
      </c>
      <c r="E948" s="0" t="n">
        <v>2029</v>
      </c>
      <c r="F948" s="0" t="n">
        <v>96.186697</v>
      </c>
      <c r="G948" s="0" t="n">
        <v>2019.506634</v>
      </c>
      <c r="I948" s="0" t="n">
        <v>2027</v>
      </c>
      <c r="J948" s="0" t="n">
        <v>23.36</v>
      </c>
      <c r="K948" s="0" t="n">
        <v>490.76</v>
      </c>
      <c r="M948" s="0" t="n">
        <v>2029</v>
      </c>
      <c r="N948" s="0" t="n">
        <v>1</v>
      </c>
      <c r="O948" s="0" t="n">
        <v>20.4</v>
      </c>
      <c r="Q948" s="0" t="n">
        <v>2030</v>
      </c>
      <c r="R948" s="0" t="n">
        <v>44</v>
      </c>
      <c r="W948" s="0" t="n">
        <v>2029</v>
      </c>
      <c r="X948" s="0" t="n">
        <v>16522.845</v>
      </c>
    </row>
    <row r="949" customFormat="false" ht="15" hidden="false" customHeight="false" outlineLevel="0" collapsed="false">
      <c r="A949" s="0" t="n">
        <v>2028</v>
      </c>
      <c r="B949" s="0" t="n">
        <v>12.24593058</v>
      </c>
      <c r="C949" s="0" t="n">
        <v>257.1645421</v>
      </c>
      <c r="E949" s="0" t="n">
        <v>2029</v>
      </c>
      <c r="F949" s="0" t="n">
        <v>38.500189</v>
      </c>
      <c r="G949" s="0" t="n">
        <v>808.338258</v>
      </c>
      <c r="I949" s="0" t="n">
        <v>2027</v>
      </c>
      <c r="J949" s="0" t="n">
        <v>23.36</v>
      </c>
      <c r="K949" s="0" t="n">
        <v>490.76</v>
      </c>
      <c r="M949" s="0" t="n">
        <v>2029</v>
      </c>
      <c r="N949" s="0" t="n">
        <v>0.8</v>
      </c>
      <c r="O949" s="0" t="n">
        <v>16.32</v>
      </c>
      <c r="Q949" s="0" t="n">
        <v>2030</v>
      </c>
      <c r="R949" s="0" t="n">
        <v>746</v>
      </c>
      <c r="W949" s="0" t="n">
        <v>2029</v>
      </c>
      <c r="X949" s="0" t="n">
        <v>5116.752</v>
      </c>
    </row>
    <row r="950" customFormat="false" ht="15" hidden="false" customHeight="false" outlineLevel="0" collapsed="false">
      <c r="A950" s="0" t="n">
        <v>2028</v>
      </c>
      <c r="B950" s="0" t="n">
        <v>9.108932569</v>
      </c>
      <c r="C950" s="0" t="n">
        <v>191.2875839</v>
      </c>
      <c r="E950" s="0" t="n">
        <v>2029</v>
      </c>
      <c r="F950" s="0" t="n">
        <v>5.408023</v>
      </c>
      <c r="G950" s="0" t="n">
        <v>113.545206</v>
      </c>
      <c r="I950" s="0" t="n">
        <v>2027</v>
      </c>
      <c r="J950" s="0" t="n">
        <v>46.72</v>
      </c>
      <c r="K950" s="0" t="n">
        <v>981.52</v>
      </c>
      <c r="M950" s="0" t="n">
        <v>2029</v>
      </c>
      <c r="N950" s="0" t="n">
        <v>0.4</v>
      </c>
      <c r="O950" s="0" t="n">
        <v>8.16</v>
      </c>
      <c r="Q950" s="0" t="n">
        <v>2030</v>
      </c>
      <c r="R950" s="0" t="n">
        <v>709</v>
      </c>
      <c r="W950" s="0" t="n">
        <v>2029</v>
      </c>
      <c r="X950" s="0" t="n">
        <v>9060.915</v>
      </c>
    </row>
    <row r="951" customFormat="false" ht="15" hidden="false" customHeight="false" outlineLevel="0" collapsed="false">
      <c r="A951" s="0" t="n">
        <v>2028</v>
      </c>
      <c r="B951" s="0" t="n">
        <v>4.048414475</v>
      </c>
      <c r="C951" s="0" t="n">
        <v>85.01670397</v>
      </c>
      <c r="E951" s="0" t="n">
        <v>2029</v>
      </c>
      <c r="F951" s="0" t="n">
        <v>129.278863</v>
      </c>
      <c r="G951" s="0" t="n">
        <v>2714.299686</v>
      </c>
      <c r="I951" s="0" t="n">
        <v>2027</v>
      </c>
      <c r="J951" s="0" t="n">
        <v>81.76</v>
      </c>
      <c r="K951" s="0" t="n">
        <v>1717.66</v>
      </c>
      <c r="M951" s="0" t="n">
        <v>2029</v>
      </c>
      <c r="N951" s="0" t="n">
        <v>20.9</v>
      </c>
      <c r="O951" s="0" t="n">
        <v>432.44</v>
      </c>
      <c r="Q951" s="0" t="n">
        <v>2030</v>
      </c>
      <c r="R951" s="0" t="n">
        <v>336</v>
      </c>
      <c r="W951" s="0" t="n">
        <v>2029</v>
      </c>
      <c r="X951" s="0" t="n">
        <v>4050.762</v>
      </c>
    </row>
    <row r="952" customFormat="false" ht="15" hidden="false" customHeight="false" outlineLevel="0" collapsed="false">
      <c r="A952" s="0" t="n">
        <v>2028</v>
      </c>
      <c r="B952" s="0" t="n">
        <v>14.95313986</v>
      </c>
      <c r="C952" s="0" t="n">
        <v>314.015937</v>
      </c>
      <c r="E952" s="0" t="n">
        <v>2029</v>
      </c>
      <c r="F952" s="0" t="n">
        <v>6.052051</v>
      </c>
      <c r="G952" s="0" t="n">
        <v>127.067022</v>
      </c>
      <c r="I952" s="0" t="n">
        <v>2027</v>
      </c>
      <c r="J952" s="0" t="n">
        <v>35.04</v>
      </c>
      <c r="K952" s="0" t="n">
        <v>736.14</v>
      </c>
      <c r="M952" s="0" t="n">
        <v>2029</v>
      </c>
      <c r="N952" s="0" t="n">
        <v>13.75</v>
      </c>
      <c r="O952" s="0" t="n">
        <v>284.5</v>
      </c>
      <c r="Q952" s="0" t="n">
        <v>2030</v>
      </c>
      <c r="R952" s="0" t="n">
        <v>75</v>
      </c>
      <c r="W952" s="0" t="n">
        <v>2029</v>
      </c>
      <c r="X952" s="0" t="n">
        <v>1598.985</v>
      </c>
    </row>
    <row r="953" customFormat="false" ht="15" hidden="false" customHeight="false" outlineLevel="0" collapsed="false">
      <c r="A953" s="0" t="n">
        <v>2028</v>
      </c>
      <c r="B953" s="0" t="n">
        <v>4.680854936</v>
      </c>
      <c r="C953" s="0" t="n">
        <v>98.29795366</v>
      </c>
      <c r="E953" s="0" t="n">
        <v>2029</v>
      </c>
      <c r="F953" s="0" t="n">
        <v>33.092166</v>
      </c>
      <c r="G953" s="0" t="n">
        <v>694.793052</v>
      </c>
      <c r="I953" s="0" t="n">
        <v>2027</v>
      </c>
      <c r="J953" s="0" t="n">
        <v>35.04</v>
      </c>
      <c r="K953" s="0" t="n">
        <v>736.14</v>
      </c>
      <c r="M953" s="0" t="n">
        <v>2029</v>
      </c>
      <c r="N953" s="0" t="n">
        <v>5.5</v>
      </c>
      <c r="O953" s="0" t="n">
        <v>113.8</v>
      </c>
      <c r="Q953" s="0" t="n">
        <v>2030</v>
      </c>
      <c r="R953" s="0" t="n">
        <v>71</v>
      </c>
      <c r="W953" s="0" t="n">
        <v>2029</v>
      </c>
      <c r="X953" s="0" t="n">
        <v>2345.178</v>
      </c>
    </row>
    <row r="954" customFormat="false" ht="15" hidden="false" customHeight="false" outlineLevel="0" collapsed="false">
      <c r="A954" s="0" t="n">
        <v>2028</v>
      </c>
      <c r="B954" s="0" t="n">
        <v>10.46610559</v>
      </c>
      <c r="C954" s="0" t="n">
        <v>219.7882173</v>
      </c>
      <c r="E954" s="0" t="n">
        <v>2029</v>
      </c>
      <c r="F954" s="0" t="n">
        <v>30.259558</v>
      </c>
      <c r="G954" s="0" t="n">
        <v>635.320476</v>
      </c>
      <c r="I954" s="0" t="n">
        <v>2027</v>
      </c>
      <c r="J954" s="0" t="n">
        <v>52</v>
      </c>
      <c r="K954" s="0" t="n">
        <v>1096.68</v>
      </c>
      <c r="M954" s="0" t="n">
        <v>2029</v>
      </c>
      <c r="N954" s="0" t="n">
        <v>5.5</v>
      </c>
      <c r="O954" s="0" t="n">
        <v>113.8</v>
      </c>
      <c r="Q954" s="0" t="n">
        <v>2030</v>
      </c>
      <c r="R954" s="0" t="n">
        <v>71</v>
      </c>
      <c r="W954" s="0" t="n">
        <v>2029</v>
      </c>
      <c r="X954" s="0" t="n">
        <v>1812.183</v>
      </c>
    </row>
    <row r="955" customFormat="false" ht="15" hidden="false" customHeight="false" outlineLevel="0" collapsed="false">
      <c r="A955" s="0" t="n">
        <v>2028</v>
      </c>
      <c r="B955" s="0" t="n">
        <v>479.6235139</v>
      </c>
      <c r="C955" s="0" t="n">
        <v>10072.09379</v>
      </c>
      <c r="E955" s="0" t="n">
        <v>2029</v>
      </c>
      <c r="F955" s="0" t="n">
        <v>1987.954732</v>
      </c>
      <c r="G955" s="0" t="n">
        <v>41739.34014</v>
      </c>
      <c r="I955" s="0" t="n">
        <v>2027</v>
      </c>
      <c r="J955" s="0" t="n">
        <v>8</v>
      </c>
      <c r="K955" s="0" t="n">
        <v>168.72</v>
      </c>
      <c r="M955" s="0" t="n">
        <v>2029</v>
      </c>
      <c r="N955" s="0" t="n">
        <v>3.3</v>
      </c>
      <c r="O955" s="0" t="n">
        <v>68.28</v>
      </c>
      <c r="Q955" s="0" t="n">
        <v>2030</v>
      </c>
      <c r="R955" s="0" t="n">
        <v>333</v>
      </c>
      <c r="W955" s="0" t="n">
        <v>2029</v>
      </c>
      <c r="X955" s="0" t="n">
        <v>8698.6</v>
      </c>
    </row>
    <row r="956" customFormat="false" ht="15" hidden="false" customHeight="false" outlineLevel="0" collapsed="false">
      <c r="A956" s="0" t="n">
        <v>2028</v>
      </c>
      <c r="B956" s="0" t="n">
        <v>120.9752329</v>
      </c>
      <c r="C956" s="0" t="n">
        <v>2540.47989</v>
      </c>
      <c r="E956" s="0" t="n">
        <v>2029</v>
      </c>
      <c r="F956" s="0" t="n">
        <v>533.787868</v>
      </c>
      <c r="G956" s="0" t="n">
        <v>11207.47521</v>
      </c>
      <c r="I956" s="0" t="n">
        <v>2027</v>
      </c>
      <c r="J956" s="0" t="n">
        <v>6</v>
      </c>
      <c r="K956" s="0" t="n">
        <v>126.54</v>
      </c>
      <c r="M956" s="0" t="n">
        <v>2029</v>
      </c>
      <c r="N956" s="0" t="n">
        <v>2.75</v>
      </c>
      <c r="O956" s="0" t="n">
        <v>56.9</v>
      </c>
      <c r="Q956" s="0" t="n">
        <v>2030</v>
      </c>
      <c r="R956" s="0" t="n">
        <v>316</v>
      </c>
      <c r="W956" s="0" t="n">
        <v>2029</v>
      </c>
      <c r="X956" s="0" t="n">
        <v>2174.65</v>
      </c>
    </row>
    <row r="957" customFormat="false" ht="15" hidden="false" customHeight="false" outlineLevel="0" collapsed="false">
      <c r="A957" s="0" t="n">
        <v>2028</v>
      </c>
      <c r="B957" s="0" t="n">
        <v>107.8803367</v>
      </c>
      <c r="C957" s="0" t="n">
        <v>2265.487071</v>
      </c>
      <c r="E957" s="0" t="n">
        <v>2029</v>
      </c>
      <c r="F957" s="0" t="n">
        <v>213.656716</v>
      </c>
      <c r="G957" s="0" t="n">
        <v>4485.962481</v>
      </c>
      <c r="I957" s="0" t="n">
        <v>2027</v>
      </c>
      <c r="J957" s="0" t="n">
        <v>10</v>
      </c>
      <c r="K957" s="0" t="n">
        <v>210.9</v>
      </c>
      <c r="M957" s="0" t="n">
        <v>2029</v>
      </c>
      <c r="N957" s="0" t="n">
        <v>2.2</v>
      </c>
      <c r="O957" s="0" t="n">
        <v>45.52</v>
      </c>
      <c r="Q957" s="0" t="n">
        <v>2030</v>
      </c>
      <c r="R957" s="0" t="n">
        <v>150</v>
      </c>
      <c r="W957" s="0" t="n">
        <v>2029</v>
      </c>
      <c r="X957" s="0" t="n">
        <v>673.44</v>
      </c>
    </row>
    <row r="958" customFormat="false" ht="15" hidden="false" customHeight="false" outlineLevel="0" collapsed="false">
      <c r="A958" s="0" t="n">
        <v>2028</v>
      </c>
      <c r="B958" s="0" t="n">
        <v>75.02438071</v>
      </c>
      <c r="C958" s="0" t="n">
        <v>1575.511995</v>
      </c>
      <c r="E958" s="0" t="n">
        <v>2029</v>
      </c>
      <c r="F958" s="0" t="n">
        <v>30.011812</v>
      </c>
      <c r="G958" s="0" t="n">
        <v>630.131667</v>
      </c>
      <c r="I958" s="0" t="n">
        <v>2027</v>
      </c>
      <c r="J958" s="0" t="n">
        <v>2</v>
      </c>
      <c r="K958" s="0" t="n">
        <v>42.18</v>
      </c>
      <c r="M958" s="0" t="n">
        <v>2029</v>
      </c>
      <c r="N958" s="0" t="n">
        <v>1.1</v>
      </c>
      <c r="O958" s="0" t="n">
        <v>22.76</v>
      </c>
      <c r="Q958" s="0" t="n">
        <v>2030</v>
      </c>
      <c r="R958" s="0" t="n">
        <v>33</v>
      </c>
      <c r="W958" s="0" t="n">
        <v>2029</v>
      </c>
      <c r="X958" s="0" t="n">
        <v>1192.55</v>
      </c>
    </row>
    <row r="959" customFormat="false" ht="15" hidden="false" customHeight="false" outlineLevel="0" collapsed="false">
      <c r="A959" s="0" t="n">
        <v>2028</v>
      </c>
      <c r="B959" s="0" t="n">
        <v>55.80564258</v>
      </c>
      <c r="C959" s="0" t="n">
        <v>1171.918494</v>
      </c>
      <c r="E959" s="0" t="n">
        <v>2029</v>
      </c>
      <c r="F959" s="0" t="n">
        <v>717.432772</v>
      </c>
      <c r="G959" s="0" t="n">
        <v>15063.30603</v>
      </c>
      <c r="I959" s="0" t="n">
        <v>2027</v>
      </c>
      <c r="J959" s="0" t="n">
        <v>2</v>
      </c>
      <c r="K959" s="0" t="n">
        <v>42.18</v>
      </c>
      <c r="M959" s="0" t="n">
        <v>2029</v>
      </c>
      <c r="N959" s="0" t="n">
        <v>12.92</v>
      </c>
      <c r="O959" s="0" t="n">
        <v>269.42</v>
      </c>
      <c r="Q959" s="0" t="n">
        <v>2030</v>
      </c>
      <c r="R959" s="0" t="n">
        <v>31</v>
      </c>
      <c r="W959" s="0" t="n">
        <v>2029</v>
      </c>
      <c r="X959" s="0" t="n">
        <v>533.14</v>
      </c>
    </row>
    <row r="960" customFormat="false" ht="15" hidden="false" customHeight="false" outlineLevel="0" collapsed="false">
      <c r="A960" s="0" t="n">
        <v>2028</v>
      </c>
      <c r="B960" s="0" t="n">
        <v>24.80250782</v>
      </c>
      <c r="C960" s="0" t="n">
        <v>520.8526641</v>
      </c>
      <c r="E960" s="0" t="n">
        <v>2029</v>
      </c>
      <c r="F960" s="0" t="n">
        <v>33.585844</v>
      </c>
      <c r="G960" s="0" t="n">
        <v>705.172479</v>
      </c>
      <c r="I960" s="0" t="n">
        <v>2027</v>
      </c>
      <c r="J960" s="0" t="n">
        <v>0</v>
      </c>
      <c r="K960" s="0" t="n">
        <v>0</v>
      </c>
      <c r="M960" s="0" t="n">
        <v>2029</v>
      </c>
      <c r="N960" s="0" t="n">
        <v>8.5</v>
      </c>
      <c r="O960" s="0" t="n">
        <v>177.25</v>
      </c>
      <c r="Q960" s="0" t="n">
        <v>2030</v>
      </c>
      <c r="R960" s="0" t="n">
        <v>31</v>
      </c>
      <c r="W960" s="0" t="n">
        <v>2029</v>
      </c>
      <c r="X960" s="0" t="n">
        <v>210.45</v>
      </c>
    </row>
    <row r="961" customFormat="false" ht="15" hidden="false" customHeight="false" outlineLevel="0" collapsed="false">
      <c r="A961" s="0" t="n">
        <v>2028</v>
      </c>
      <c r="B961" s="0" t="n">
        <v>91.61002917</v>
      </c>
      <c r="C961" s="0" t="n">
        <v>1923.810613</v>
      </c>
      <c r="E961" s="0" t="n">
        <v>2029</v>
      </c>
      <c r="F961" s="0" t="n">
        <v>183.644904</v>
      </c>
      <c r="G961" s="0" t="n">
        <v>3855.830814</v>
      </c>
      <c r="I961" s="0" t="n">
        <v>2027</v>
      </c>
      <c r="J961" s="0" t="n">
        <v>4</v>
      </c>
      <c r="K961" s="0" t="n">
        <v>84.36</v>
      </c>
      <c r="M961" s="0" t="n">
        <v>2029</v>
      </c>
      <c r="N961" s="0" t="n">
        <v>3.4</v>
      </c>
      <c r="O961" s="0" t="n">
        <v>70.9</v>
      </c>
      <c r="Q961" s="0" t="n">
        <v>2030</v>
      </c>
      <c r="R961" s="0" t="n">
        <v>831</v>
      </c>
      <c r="W961" s="0" t="n">
        <v>2029</v>
      </c>
      <c r="X961" s="0" t="n">
        <v>308.66</v>
      </c>
    </row>
    <row r="962" customFormat="false" ht="15" hidden="false" customHeight="false" outlineLevel="0" collapsed="false">
      <c r="A962" s="0" t="n">
        <v>2028</v>
      </c>
      <c r="B962" s="0" t="n">
        <v>28.67713814</v>
      </c>
      <c r="C962" s="0" t="n">
        <v>602.2199009</v>
      </c>
      <c r="E962" s="0" t="n">
        <v>2029</v>
      </c>
      <c r="F962" s="0" t="n">
        <v>167.925352</v>
      </c>
      <c r="G962" s="0" t="n">
        <v>3525.781182</v>
      </c>
      <c r="I962" s="0" t="n">
        <v>2027</v>
      </c>
      <c r="J962" s="0" t="n">
        <v>7</v>
      </c>
      <c r="K962" s="0" t="n">
        <v>147.63</v>
      </c>
      <c r="M962" s="0" t="n">
        <v>2029</v>
      </c>
      <c r="N962" s="0" t="n">
        <v>3.4</v>
      </c>
      <c r="O962" s="0" t="n">
        <v>70.9</v>
      </c>
      <c r="Q962" s="0" t="n">
        <v>2030</v>
      </c>
      <c r="R962" s="0" t="n">
        <v>789</v>
      </c>
      <c r="W962" s="0" t="n">
        <v>2029</v>
      </c>
      <c r="X962" s="0" t="n">
        <v>238.51</v>
      </c>
    </row>
    <row r="963" customFormat="false" ht="15" hidden="false" customHeight="false" outlineLevel="0" collapsed="false">
      <c r="A963" s="0" t="n">
        <v>2028</v>
      </c>
      <c r="B963" s="0" t="n">
        <v>64.12032839</v>
      </c>
      <c r="C963" s="0" t="n">
        <v>1346.526896</v>
      </c>
      <c r="E963" s="0" t="n">
        <v>2029</v>
      </c>
      <c r="F963" s="0" t="n">
        <v>246.69552</v>
      </c>
      <c r="G963" s="0" t="n">
        <v>5175.46643</v>
      </c>
      <c r="I963" s="0" t="n">
        <v>2027</v>
      </c>
      <c r="J963" s="0" t="n">
        <v>2</v>
      </c>
      <c r="K963" s="0" t="n">
        <v>42.18</v>
      </c>
      <c r="M963" s="0" t="n">
        <v>2029</v>
      </c>
      <c r="N963" s="0" t="n">
        <v>2.04</v>
      </c>
      <c r="O963" s="0" t="n">
        <v>42.54</v>
      </c>
      <c r="Q963" s="0" t="n">
        <v>2030</v>
      </c>
      <c r="R963" s="0" t="n">
        <v>374</v>
      </c>
      <c r="W963" s="0" t="n">
        <v>2029</v>
      </c>
      <c r="X963" s="0" t="n">
        <v>67837.92</v>
      </c>
    </row>
    <row r="964" customFormat="false" ht="15" hidden="false" customHeight="false" outlineLevel="0" collapsed="false">
      <c r="A964" s="0" t="n">
        <v>2028</v>
      </c>
      <c r="B964" s="0" t="n">
        <v>211.6981955</v>
      </c>
      <c r="C964" s="0" t="n">
        <v>4445.662106</v>
      </c>
      <c r="E964" s="0" t="n">
        <v>2029</v>
      </c>
      <c r="F964" s="0" t="n">
        <v>66.24048</v>
      </c>
      <c r="G964" s="0" t="n">
        <v>1389.67007</v>
      </c>
      <c r="I964" s="0" t="n">
        <v>2027</v>
      </c>
      <c r="J964" s="0" t="n">
        <v>7</v>
      </c>
      <c r="K964" s="0" t="n">
        <v>147.63</v>
      </c>
      <c r="M964" s="0" t="n">
        <v>2029</v>
      </c>
      <c r="N964" s="0" t="n">
        <v>1.7</v>
      </c>
      <c r="O964" s="0" t="n">
        <v>35.45</v>
      </c>
      <c r="Q964" s="0" t="n">
        <v>2030</v>
      </c>
      <c r="R964" s="0" t="n">
        <v>83</v>
      </c>
      <c r="W964" s="0" t="n">
        <v>2029</v>
      </c>
      <c r="X964" s="0" t="n">
        <v>16959.48</v>
      </c>
    </row>
    <row r="965" customFormat="false" ht="15" hidden="false" customHeight="false" outlineLevel="0" collapsed="false">
      <c r="A965" s="0" t="n">
        <v>2028</v>
      </c>
      <c r="B965" s="0" t="n">
        <v>53.39654491</v>
      </c>
      <c r="C965" s="0" t="n">
        <v>1121.327443</v>
      </c>
      <c r="E965" s="0" t="n">
        <v>2029</v>
      </c>
      <c r="F965" s="0" t="n">
        <v>26.51376</v>
      </c>
      <c r="G965" s="0" t="n">
        <v>556.23659</v>
      </c>
      <c r="I965" s="0" t="n">
        <v>2027</v>
      </c>
      <c r="J965" s="0" t="n">
        <v>412.32</v>
      </c>
      <c r="K965" s="0" t="n">
        <v>8662.56</v>
      </c>
      <c r="M965" s="0" t="n">
        <v>2029</v>
      </c>
      <c r="N965" s="0" t="n">
        <v>1.36</v>
      </c>
      <c r="O965" s="0" t="n">
        <v>28.36</v>
      </c>
      <c r="Q965" s="0" t="n">
        <v>2030</v>
      </c>
      <c r="R965" s="0" t="n">
        <v>80</v>
      </c>
      <c r="W965" s="0" t="n">
        <v>2029</v>
      </c>
      <c r="X965" s="0" t="n">
        <v>5251.968</v>
      </c>
    </row>
    <row r="966" customFormat="false" ht="15" hidden="false" customHeight="false" outlineLevel="0" collapsed="false">
      <c r="A966" s="0" t="n">
        <v>2028</v>
      </c>
      <c r="B966" s="0" t="n">
        <v>47.61666589</v>
      </c>
      <c r="C966" s="0" t="n">
        <v>999.9499838</v>
      </c>
      <c r="E966" s="0" t="n">
        <v>2029</v>
      </c>
      <c r="F966" s="0" t="n">
        <v>3.72432</v>
      </c>
      <c r="G966" s="0" t="n">
        <v>78.13313</v>
      </c>
      <c r="I966" s="0" t="n">
        <v>2027</v>
      </c>
      <c r="J966" s="0" t="n">
        <v>137.44</v>
      </c>
      <c r="K966" s="0" t="n">
        <v>2887.52</v>
      </c>
      <c r="M966" s="0" t="n">
        <v>2029</v>
      </c>
      <c r="N966" s="0" t="n">
        <v>0.68</v>
      </c>
      <c r="O966" s="0" t="n">
        <v>14.18</v>
      </c>
      <c r="Q966" s="0" t="n">
        <v>2030</v>
      </c>
      <c r="R966" s="0" t="n">
        <v>80</v>
      </c>
      <c r="W966" s="0" t="n">
        <v>2029</v>
      </c>
      <c r="X966" s="0" t="n">
        <v>9300.36</v>
      </c>
    </row>
    <row r="967" customFormat="false" ht="15" hidden="false" customHeight="false" outlineLevel="0" collapsed="false">
      <c r="A967" s="0" t="n">
        <v>2028</v>
      </c>
      <c r="B967" s="0" t="n">
        <v>33.11456915</v>
      </c>
      <c r="C967" s="0" t="n">
        <v>695.4059522</v>
      </c>
      <c r="E967" s="0" t="n">
        <v>2029</v>
      </c>
      <c r="F967" s="0" t="n">
        <v>89.02992</v>
      </c>
      <c r="G967" s="0" t="n">
        <v>1867.77353</v>
      </c>
      <c r="I967" s="0" t="n">
        <v>2027</v>
      </c>
      <c r="J967" s="0" t="n">
        <v>60.13</v>
      </c>
      <c r="K967" s="0" t="n">
        <v>1263.29</v>
      </c>
      <c r="M967" s="0" t="n">
        <v>2029</v>
      </c>
      <c r="N967" s="0" t="n">
        <v>2.28</v>
      </c>
      <c r="O967" s="0" t="n">
        <v>45.98</v>
      </c>
      <c r="Q967" s="0" t="n">
        <v>2030</v>
      </c>
      <c r="R967" s="0" t="n">
        <v>55</v>
      </c>
      <c r="W967" s="0" t="n">
        <v>2029</v>
      </c>
      <c r="X967" s="0" t="n">
        <v>4157.808</v>
      </c>
    </row>
    <row r="968" customFormat="false" ht="15" hidden="false" customHeight="false" outlineLevel="0" collapsed="false">
      <c r="A968" s="0" t="n">
        <v>2028</v>
      </c>
      <c r="B968" s="0" t="n">
        <v>24.63172362</v>
      </c>
      <c r="C968" s="0" t="n">
        <v>517.266196</v>
      </c>
      <c r="E968" s="0" t="n">
        <v>2029</v>
      </c>
      <c r="F968" s="0" t="n">
        <v>4.16784</v>
      </c>
      <c r="G968" s="0" t="n">
        <v>87.43781</v>
      </c>
      <c r="I968" s="0" t="n">
        <v>2027</v>
      </c>
      <c r="J968" s="0" t="n">
        <v>34.36</v>
      </c>
      <c r="K968" s="0" t="n">
        <v>721.88</v>
      </c>
      <c r="M968" s="0" t="n">
        <v>2029</v>
      </c>
      <c r="N968" s="0" t="n">
        <v>1.5</v>
      </c>
      <c r="O968" s="0" t="n">
        <v>30.25</v>
      </c>
      <c r="Q968" s="0" t="n">
        <v>2030</v>
      </c>
      <c r="R968" s="0" t="n">
        <v>53</v>
      </c>
      <c r="W968" s="0" t="n">
        <v>2029</v>
      </c>
      <c r="X968" s="0" t="n">
        <v>1641.24</v>
      </c>
    </row>
    <row r="969" customFormat="false" ht="15" hidden="false" customHeight="false" outlineLevel="0" collapsed="false">
      <c r="A969" s="0" t="n">
        <v>2028</v>
      </c>
      <c r="B969" s="0" t="n">
        <v>10.94743272</v>
      </c>
      <c r="C969" s="0" t="n">
        <v>229.8960871</v>
      </c>
      <c r="E969" s="0" t="n">
        <v>2029</v>
      </c>
      <c r="F969" s="0" t="n">
        <v>22.78944</v>
      </c>
      <c r="G969" s="0" t="n">
        <v>478.10346</v>
      </c>
      <c r="I969" s="0" t="n">
        <v>2027</v>
      </c>
      <c r="J969" s="0" t="n">
        <v>34.36</v>
      </c>
      <c r="K969" s="0" t="n">
        <v>721.88</v>
      </c>
      <c r="M969" s="0" t="n">
        <v>2029</v>
      </c>
      <c r="N969" s="0" t="n">
        <v>0.6</v>
      </c>
      <c r="O969" s="0" t="n">
        <v>12.1</v>
      </c>
      <c r="Q969" s="0" t="n">
        <v>2030</v>
      </c>
      <c r="R969" s="0" t="n">
        <v>25</v>
      </c>
      <c r="W969" s="0" t="n">
        <v>2029</v>
      </c>
      <c r="X969" s="0" t="n">
        <v>2407.152</v>
      </c>
    </row>
    <row r="970" customFormat="false" ht="15" hidden="false" customHeight="false" outlineLevel="0" collapsed="false">
      <c r="A970" s="0" t="n">
        <v>2028</v>
      </c>
      <c r="B970" s="0" t="n">
        <v>40.43521076</v>
      </c>
      <c r="C970" s="0" t="n">
        <v>849.1394259</v>
      </c>
      <c r="E970" s="0" t="n">
        <v>2029</v>
      </c>
      <c r="F970" s="0" t="n">
        <v>20.83872</v>
      </c>
      <c r="G970" s="0" t="n">
        <v>437.17898</v>
      </c>
      <c r="I970" s="0" t="n">
        <v>2027</v>
      </c>
      <c r="J970" s="0" t="n">
        <v>17.18</v>
      </c>
      <c r="K970" s="0" t="n">
        <v>360.94</v>
      </c>
      <c r="M970" s="0" t="n">
        <v>2029</v>
      </c>
      <c r="N970" s="0" t="n">
        <v>0.6</v>
      </c>
      <c r="O970" s="0" t="n">
        <v>12.1</v>
      </c>
      <c r="Q970" s="0" t="n">
        <v>2030</v>
      </c>
      <c r="R970" s="0" t="n">
        <v>6</v>
      </c>
      <c r="W970" s="0" t="n">
        <v>2029</v>
      </c>
      <c r="X970" s="0" t="n">
        <v>1860.072</v>
      </c>
    </row>
    <row r="971" customFormat="false" ht="15" hidden="false" customHeight="false" outlineLevel="0" collapsed="false">
      <c r="A971" s="0" t="n">
        <v>2028</v>
      </c>
      <c r="B971" s="0" t="n">
        <v>12.65763296</v>
      </c>
      <c r="C971" s="0" t="n">
        <v>265.8102921</v>
      </c>
      <c r="E971" s="0" t="n">
        <v>2029</v>
      </c>
      <c r="F971" s="0" t="n">
        <v>162.407884</v>
      </c>
      <c r="G971" s="0" t="n">
        <v>3407.995819</v>
      </c>
      <c r="I971" s="0" t="n">
        <v>2027</v>
      </c>
      <c r="J971" s="0" t="n">
        <v>17.18</v>
      </c>
      <c r="K971" s="0" t="n">
        <v>360.94</v>
      </c>
      <c r="M971" s="0" t="n">
        <v>2029</v>
      </c>
      <c r="N971" s="0" t="n">
        <v>0.36</v>
      </c>
      <c r="O971" s="0" t="n">
        <v>7.26</v>
      </c>
      <c r="Q971" s="0" t="n">
        <v>2030</v>
      </c>
      <c r="R971" s="0" t="n">
        <v>5</v>
      </c>
      <c r="W971" s="0" t="n">
        <v>2029</v>
      </c>
      <c r="X971" s="0" t="n">
        <v>116689.58</v>
      </c>
    </row>
    <row r="972" customFormat="false" ht="15" hidden="false" customHeight="false" outlineLevel="0" collapsed="false">
      <c r="A972" s="0" t="n">
        <v>2028</v>
      </c>
      <c r="B972" s="0" t="n">
        <v>28.30169377</v>
      </c>
      <c r="C972" s="0" t="n">
        <v>594.3355693</v>
      </c>
      <c r="E972" s="0" t="n">
        <v>2029</v>
      </c>
      <c r="F972" s="0" t="n">
        <v>43.608316</v>
      </c>
      <c r="G972" s="0" t="n">
        <v>915.084631</v>
      </c>
      <c r="I972" s="0" t="n">
        <v>2027</v>
      </c>
      <c r="J972" s="0" t="n">
        <v>34.36</v>
      </c>
      <c r="K972" s="0" t="n">
        <v>721.88</v>
      </c>
      <c r="M972" s="0" t="n">
        <v>2029</v>
      </c>
      <c r="N972" s="0" t="n">
        <v>0.3</v>
      </c>
      <c r="O972" s="0" t="n">
        <v>6.05</v>
      </c>
      <c r="Q972" s="0" t="n">
        <v>2030</v>
      </c>
      <c r="R972" s="0" t="n">
        <v>5</v>
      </c>
      <c r="W972" s="0" t="n">
        <v>2029</v>
      </c>
      <c r="X972" s="0" t="n">
        <v>29172.395</v>
      </c>
    </row>
    <row r="973" customFormat="false" ht="15" hidden="false" customHeight="false" outlineLevel="0" collapsed="false">
      <c r="A973" s="0" t="n">
        <v>2028</v>
      </c>
      <c r="B973" s="0" t="n">
        <v>94.11373797</v>
      </c>
      <c r="C973" s="0" t="n">
        <v>1976.388497</v>
      </c>
      <c r="E973" s="0" t="n">
        <v>2029</v>
      </c>
      <c r="F973" s="0" t="n">
        <v>17.454892</v>
      </c>
      <c r="G973" s="0" t="n">
        <v>366.276547</v>
      </c>
      <c r="I973" s="0" t="n">
        <v>2027</v>
      </c>
      <c r="J973" s="0" t="n">
        <v>60.13</v>
      </c>
      <c r="K973" s="0" t="n">
        <v>1263.29</v>
      </c>
      <c r="M973" s="0" t="n">
        <v>2029</v>
      </c>
      <c r="N973" s="0" t="n">
        <v>0.24</v>
      </c>
      <c r="O973" s="0" t="n">
        <v>4.84</v>
      </c>
      <c r="Q973" s="0" t="n">
        <v>2030</v>
      </c>
      <c r="R973" s="0" t="n">
        <v>148</v>
      </c>
      <c r="W973" s="0" t="n">
        <v>2029</v>
      </c>
      <c r="X973" s="0" t="n">
        <v>9034.032</v>
      </c>
    </row>
    <row r="974" customFormat="false" ht="15" hidden="false" customHeight="false" outlineLevel="0" collapsed="false">
      <c r="A974" s="0" t="n">
        <v>2028</v>
      </c>
      <c r="B974" s="0" t="n">
        <v>23.7382677</v>
      </c>
      <c r="C974" s="0" t="n">
        <v>498.5036216</v>
      </c>
      <c r="E974" s="0" t="n">
        <v>2029</v>
      </c>
      <c r="F974" s="0" t="n">
        <v>2.451844</v>
      </c>
      <c r="G974" s="0" t="n">
        <v>51.449929</v>
      </c>
      <c r="I974" s="0" t="n">
        <v>2027</v>
      </c>
      <c r="J974" s="0" t="n">
        <v>25.77</v>
      </c>
      <c r="K974" s="0" t="n">
        <v>541.41</v>
      </c>
      <c r="M974" s="0" t="n">
        <v>2029</v>
      </c>
      <c r="N974" s="0" t="n">
        <v>0.12</v>
      </c>
      <c r="O974" s="0" t="n">
        <v>2.42</v>
      </c>
      <c r="Q974" s="0" t="n">
        <v>2030</v>
      </c>
      <c r="R974" s="0" t="n">
        <v>141</v>
      </c>
      <c r="W974" s="0" t="n">
        <v>2029</v>
      </c>
      <c r="X974" s="0" t="n">
        <v>15997.765</v>
      </c>
    </row>
    <row r="975" customFormat="false" ht="15" hidden="false" customHeight="false" outlineLevel="0" collapsed="false">
      <c r="A975" s="0" t="n">
        <v>2028</v>
      </c>
      <c r="B975" s="0" t="n">
        <v>21.16873224</v>
      </c>
      <c r="C975" s="0" t="n">
        <v>444.543377</v>
      </c>
      <c r="E975" s="0" t="n">
        <v>2029</v>
      </c>
      <c r="F975" s="0" t="n">
        <v>58.611364</v>
      </c>
      <c r="G975" s="0" t="n">
        <v>1229.911249</v>
      </c>
      <c r="I975" s="0" t="n">
        <v>2027</v>
      </c>
      <c r="J975" s="0" t="n">
        <v>25.77</v>
      </c>
      <c r="K975" s="0" t="n">
        <v>541.41</v>
      </c>
      <c r="M975" s="0" t="n">
        <v>2029</v>
      </c>
      <c r="N975" s="0" t="n">
        <v>10.26</v>
      </c>
      <c r="O975" s="0" t="n">
        <v>208.62</v>
      </c>
      <c r="Q975" s="0" t="n">
        <v>2030</v>
      </c>
      <c r="R975" s="0" t="n">
        <v>67</v>
      </c>
      <c r="W975" s="0" t="n">
        <v>2029</v>
      </c>
      <c r="X975" s="0" t="n">
        <v>7151.942</v>
      </c>
    </row>
    <row r="976" customFormat="false" ht="15" hidden="false" customHeight="false" outlineLevel="0" collapsed="false">
      <c r="A976" s="0" t="n">
        <v>2028</v>
      </c>
      <c r="B976" s="0" t="n">
        <v>14.72159872</v>
      </c>
      <c r="C976" s="0" t="n">
        <v>309.1535731</v>
      </c>
      <c r="E976" s="0" t="n">
        <v>2029</v>
      </c>
      <c r="F976" s="0" t="n">
        <v>2.743828</v>
      </c>
      <c r="G976" s="0" t="n">
        <v>57.576973</v>
      </c>
      <c r="I976" s="0" t="n">
        <v>2027</v>
      </c>
      <c r="J976" s="0" t="n">
        <v>50.96</v>
      </c>
      <c r="K976" s="0" t="n">
        <v>1069.12</v>
      </c>
      <c r="M976" s="0" t="n">
        <v>2029</v>
      </c>
      <c r="N976" s="0" t="n">
        <v>6.75</v>
      </c>
      <c r="O976" s="0" t="n">
        <v>137.25</v>
      </c>
      <c r="Q976" s="0" t="n">
        <v>2030</v>
      </c>
      <c r="R976" s="0" t="n">
        <v>15</v>
      </c>
      <c r="W976" s="0" t="n">
        <v>2029</v>
      </c>
      <c r="X976" s="0" t="n">
        <v>2823.135</v>
      </c>
    </row>
    <row r="977" customFormat="false" ht="15" hidden="false" customHeight="false" outlineLevel="0" collapsed="false">
      <c r="A977" s="0" t="n">
        <v>2028</v>
      </c>
      <c r="B977" s="0" t="n">
        <v>10.9504173</v>
      </c>
      <c r="C977" s="0" t="n">
        <v>229.9587633</v>
      </c>
      <c r="E977" s="0" t="n">
        <v>2029</v>
      </c>
      <c r="F977" s="0" t="n">
        <v>15.003048</v>
      </c>
      <c r="G977" s="0" t="n">
        <v>314.826618</v>
      </c>
      <c r="I977" s="0" t="n">
        <v>2027</v>
      </c>
      <c r="J977" s="0" t="n">
        <v>7.84</v>
      </c>
      <c r="K977" s="0" t="n">
        <v>164.48</v>
      </c>
      <c r="M977" s="0" t="n">
        <v>2029</v>
      </c>
      <c r="N977" s="0" t="n">
        <v>2.7</v>
      </c>
      <c r="O977" s="0" t="n">
        <v>54.9</v>
      </c>
      <c r="Q977" s="0" t="n">
        <v>2030</v>
      </c>
      <c r="R977" s="0" t="n">
        <v>15</v>
      </c>
      <c r="W977" s="0" t="n">
        <v>2029</v>
      </c>
      <c r="X977" s="0" t="n">
        <v>4140.598</v>
      </c>
    </row>
    <row r="978" customFormat="false" ht="15" hidden="false" customHeight="false" outlineLevel="0" collapsed="false">
      <c r="A978" s="0" t="n">
        <v>2028</v>
      </c>
      <c r="B978" s="0" t="n">
        <v>4.866852133</v>
      </c>
      <c r="C978" s="0" t="n">
        <v>102.2038948</v>
      </c>
      <c r="E978" s="0" t="n">
        <v>2029</v>
      </c>
      <c r="F978" s="0" t="n">
        <v>13.718824</v>
      </c>
      <c r="G978" s="0" t="n">
        <v>287.878234</v>
      </c>
      <c r="I978" s="0" t="n">
        <v>2027</v>
      </c>
      <c r="J978" s="0" t="n">
        <v>5.88</v>
      </c>
      <c r="K978" s="0" t="n">
        <v>123.36</v>
      </c>
      <c r="M978" s="0" t="n">
        <v>2029</v>
      </c>
      <c r="N978" s="0" t="n">
        <v>2.7</v>
      </c>
      <c r="O978" s="0" t="n">
        <v>54.9</v>
      </c>
      <c r="Q978" s="0" t="n">
        <v>2030</v>
      </c>
      <c r="R978" s="0" t="n">
        <v>15</v>
      </c>
      <c r="W978" s="0" t="n">
        <v>2029</v>
      </c>
      <c r="X978" s="0" t="n">
        <v>3199.553</v>
      </c>
    </row>
    <row r="979" customFormat="false" ht="15" hidden="false" customHeight="false" outlineLevel="0" collapsed="false">
      <c r="A979" s="0" t="n">
        <v>2028</v>
      </c>
      <c r="B979" s="0" t="n">
        <v>17.97610424</v>
      </c>
      <c r="C979" s="0" t="n">
        <v>377.498189</v>
      </c>
      <c r="E979" s="0" t="n">
        <v>2029</v>
      </c>
      <c r="F979" s="0" t="n">
        <v>228.193356</v>
      </c>
      <c r="G979" s="0" t="n">
        <v>4782.295445</v>
      </c>
      <c r="I979" s="0" t="n">
        <v>2027</v>
      </c>
      <c r="J979" s="0" t="n">
        <v>9.8</v>
      </c>
      <c r="K979" s="0" t="n">
        <v>205.6</v>
      </c>
      <c r="M979" s="0" t="n">
        <v>2029</v>
      </c>
      <c r="N979" s="0" t="n">
        <v>1.62</v>
      </c>
      <c r="O979" s="0" t="n">
        <v>32.94</v>
      </c>
      <c r="Q979" s="0" t="n">
        <v>2030</v>
      </c>
      <c r="R979" s="0" t="n">
        <v>282</v>
      </c>
      <c r="W979" s="0" t="n">
        <v>2029</v>
      </c>
      <c r="X979" s="0" t="n">
        <v>52076.28</v>
      </c>
    </row>
    <row r="980" customFormat="false" ht="15" hidden="false" customHeight="false" outlineLevel="0" collapsed="false">
      <c r="A980" s="0" t="n">
        <v>2028</v>
      </c>
      <c r="B980" s="0" t="n">
        <v>5.627148349</v>
      </c>
      <c r="C980" s="0" t="n">
        <v>118.1701153</v>
      </c>
      <c r="E980" s="0" t="n">
        <v>2029</v>
      </c>
      <c r="F980" s="0" t="n">
        <v>61.272444</v>
      </c>
      <c r="G980" s="0" t="n">
        <v>1284.099305</v>
      </c>
      <c r="I980" s="0" t="n">
        <v>2027</v>
      </c>
      <c r="J980" s="0" t="n">
        <v>1.96</v>
      </c>
      <c r="K980" s="0" t="n">
        <v>41.12</v>
      </c>
      <c r="M980" s="0" t="n">
        <v>2029</v>
      </c>
      <c r="N980" s="0" t="n">
        <v>1.35</v>
      </c>
      <c r="O980" s="0" t="n">
        <v>27.45</v>
      </c>
      <c r="Q980" s="0" t="n">
        <v>2030</v>
      </c>
      <c r="R980" s="0" t="n">
        <v>267</v>
      </c>
      <c r="W980" s="0" t="n">
        <v>2029</v>
      </c>
      <c r="X980" s="0" t="n">
        <v>13019.07</v>
      </c>
    </row>
    <row r="981" customFormat="false" ht="15" hidden="false" customHeight="false" outlineLevel="0" collapsed="false">
      <c r="A981" s="0" t="n">
        <v>2028</v>
      </c>
      <c r="B981" s="0" t="n">
        <v>12.58195983</v>
      </c>
      <c r="C981" s="0" t="n">
        <v>264.2211564</v>
      </c>
      <c r="E981" s="0" t="n">
        <v>2029</v>
      </c>
      <c r="F981" s="0" t="n">
        <v>24.525228</v>
      </c>
      <c r="G981" s="0" t="n">
        <v>513.980285</v>
      </c>
      <c r="I981" s="0" t="n">
        <v>2027</v>
      </c>
      <c r="J981" s="0" t="n">
        <v>1.96</v>
      </c>
      <c r="K981" s="0" t="n">
        <v>41.12</v>
      </c>
      <c r="M981" s="0" t="n">
        <v>2029</v>
      </c>
      <c r="N981" s="0" t="n">
        <v>1.08</v>
      </c>
      <c r="O981" s="0" t="n">
        <v>21.96</v>
      </c>
      <c r="Q981" s="0" t="n">
        <v>2030</v>
      </c>
      <c r="R981" s="0" t="n">
        <v>127</v>
      </c>
      <c r="W981" s="0" t="n">
        <v>2029</v>
      </c>
      <c r="X981" s="0" t="n">
        <v>4031.712</v>
      </c>
    </row>
    <row r="982" customFormat="false" ht="15" hidden="false" customHeight="false" outlineLevel="0" collapsed="false">
      <c r="A982" s="0" t="n">
        <v>2028</v>
      </c>
      <c r="B982" s="0" t="n">
        <v>427.0388416</v>
      </c>
      <c r="C982" s="0" t="n">
        <v>8967.815673</v>
      </c>
      <c r="E982" s="0" t="n">
        <v>2029</v>
      </c>
      <c r="F982" s="0" t="n">
        <v>3.444996</v>
      </c>
      <c r="G982" s="0" t="n">
        <v>72.197495</v>
      </c>
      <c r="I982" s="0" t="n">
        <v>2027</v>
      </c>
      <c r="J982" s="0" t="n">
        <v>0</v>
      </c>
      <c r="K982" s="0" t="n">
        <v>0</v>
      </c>
      <c r="M982" s="0" t="n">
        <v>2029</v>
      </c>
      <c r="N982" s="0" t="n">
        <v>0.54</v>
      </c>
      <c r="O982" s="0" t="n">
        <v>10.98</v>
      </c>
      <c r="Q982" s="0" t="n">
        <v>2030</v>
      </c>
      <c r="R982" s="0" t="n">
        <v>28</v>
      </c>
      <c r="W982" s="0" t="n">
        <v>2029</v>
      </c>
      <c r="X982" s="0" t="n">
        <v>7139.49</v>
      </c>
    </row>
    <row r="983" customFormat="false" ht="15" hidden="false" customHeight="false" outlineLevel="0" collapsed="false">
      <c r="A983" s="0" t="n">
        <v>2028</v>
      </c>
      <c r="B983" s="0" t="n">
        <v>107.7118235</v>
      </c>
      <c r="C983" s="0" t="n">
        <v>2261.948294</v>
      </c>
      <c r="E983" s="0" t="n">
        <v>2029</v>
      </c>
      <c r="F983" s="0" t="n">
        <v>82.352676</v>
      </c>
      <c r="G983" s="0" t="n">
        <v>1725.882095</v>
      </c>
      <c r="I983" s="0" t="n">
        <v>2027</v>
      </c>
      <c r="J983" s="0" t="n">
        <v>3.92</v>
      </c>
      <c r="K983" s="0" t="n">
        <v>82.24</v>
      </c>
      <c r="M983" s="0" t="n">
        <v>2029</v>
      </c>
      <c r="N983" s="0" t="n">
        <v>34.58</v>
      </c>
      <c r="O983" s="0" t="n">
        <v>725.8</v>
      </c>
      <c r="Q983" s="0" t="n">
        <v>2030</v>
      </c>
      <c r="R983" s="0" t="n">
        <v>26</v>
      </c>
      <c r="W983" s="0" t="n">
        <v>2029</v>
      </c>
      <c r="X983" s="0" t="n">
        <v>3191.772</v>
      </c>
    </row>
    <row r="984" customFormat="false" ht="15" hidden="false" customHeight="false" outlineLevel="0" collapsed="false">
      <c r="A984" s="0" t="n">
        <v>2028</v>
      </c>
      <c r="B984" s="0" t="n">
        <v>96.05261769</v>
      </c>
      <c r="C984" s="0" t="n">
        <v>2017.104971</v>
      </c>
      <c r="E984" s="0" t="n">
        <v>2029</v>
      </c>
      <c r="F984" s="0" t="n">
        <v>3.855252</v>
      </c>
      <c r="G984" s="0" t="n">
        <v>80.795315</v>
      </c>
      <c r="I984" s="0" t="n">
        <v>2027</v>
      </c>
      <c r="J984" s="0" t="n">
        <v>6.86</v>
      </c>
      <c r="K984" s="0" t="n">
        <v>143.92</v>
      </c>
      <c r="M984" s="0" t="n">
        <v>2029</v>
      </c>
      <c r="N984" s="0" t="n">
        <v>22.75</v>
      </c>
      <c r="O984" s="0" t="n">
        <v>477.5</v>
      </c>
      <c r="Q984" s="0" t="n">
        <v>2030</v>
      </c>
      <c r="R984" s="0" t="n">
        <v>26</v>
      </c>
      <c r="W984" s="0" t="n">
        <v>2029</v>
      </c>
      <c r="X984" s="0" t="n">
        <v>1259.91</v>
      </c>
    </row>
    <row r="985" customFormat="false" ht="15" hidden="false" customHeight="false" outlineLevel="0" collapsed="false">
      <c r="A985" s="0" t="n">
        <v>2028</v>
      </c>
      <c r="B985" s="0" t="n">
        <v>66.7989031</v>
      </c>
      <c r="C985" s="0" t="n">
        <v>1402.776965</v>
      </c>
      <c r="E985" s="0" t="n">
        <v>2029</v>
      </c>
      <c r="F985" s="0" t="n">
        <v>21.080232</v>
      </c>
      <c r="G985" s="0" t="n">
        <v>441.78279</v>
      </c>
      <c r="I985" s="0" t="n">
        <v>2027</v>
      </c>
      <c r="J985" s="0" t="n">
        <v>1.96</v>
      </c>
      <c r="K985" s="0" t="n">
        <v>41.12</v>
      </c>
      <c r="M985" s="0" t="n">
        <v>2029</v>
      </c>
      <c r="N985" s="0" t="n">
        <v>9.1</v>
      </c>
      <c r="O985" s="0" t="n">
        <v>191</v>
      </c>
      <c r="Q985" s="0" t="n">
        <v>2030</v>
      </c>
      <c r="R985" s="0" t="n">
        <v>1355</v>
      </c>
      <c r="W985" s="0" t="n">
        <v>2029</v>
      </c>
      <c r="X985" s="0" t="n">
        <v>1847.868</v>
      </c>
    </row>
    <row r="986" customFormat="false" ht="15" hidden="false" customHeight="false" outlineLevel="0" collapsed="false">
      <c r="A986" s="0" t="n">
        <v>2028</v>
      </c>
      <c r="B986" s="0" t="n">
        <v>49.68725734</v>
      </c>
      <c r="C986" s="0" t="n">
        <v>1043.432404</v>
      </c>
      <c r="E986" s="0" t="n">
        <v>2029</v>
      </c>
      <c r="F986" s="0" t="n">
        <v>19.275816</v>
      </c>
      <c r="G986" s="0" t="n">
        <v>403.96727</v>
      </c>
      <c r="I986" s="0" t="n">
        <v>2027</v>
      </c>
      <c r="J986" s="0" t="n">
        <v>6.86</v>
      </c>
      <c r="K986" s="0" t="n">
        <v>143.92</v>
      </c>
      <c r="M986" s="0" t="n">
        <v>2029</v>
      </c>
      <c r="N986" s="0" t="n">
        <v>9.1</v>
      </c>
      <c r="O986" s="0" t="n">
        <v>191</v>
      </c>
      <c r="Q986" s="0" t="n">
        <v>2030</v>
      </c>
      <c r="R986" s="0" t="n">
        <v>1287</v>
      </c>
      <c r="W986" s="0" t="n">
        <v>2029</v>
      </c>
      <c r="X986" s="0" t="n">
        <v>1427.898</v>
      </c>
    </row>
    <row r="987" customFormat="false" ht="15" hidden="false" customHeight="false" outlineLevel="0" collapsed="false">
      <c r="A987" s="0" t="n">
        <v>2028</v>
      </c>
      <c r="B987" s="0" t="n">
        <v>22.08322548</v>
      </c>
      <c r="C987" s="0" t="n">
        <v>463.7477352</v>
      </c>
      <c r="E987" s="0" t="n">
        <v>2029</v>
      </c>
      <c r="F987" s="0" t="n">
        <v>180.396099</v>
      </c>
      <c r="G987" s="0" t="n">
        <v>3788.318079</v>
      </c>
      <c r="I987" s="0" t="n">
        <v>2027</v>
      </c>
      <c r="J987" s="0" t="n">
        <v>109.92</v>
      </c>
      <c r="K987" s="0" t="n">
        <v>2306.4</v>
      </c>
      <c r="M987" s="0" t="n">
        <v>2029</v>
      </c>
      <c r="N987" s="0" t="n">
        <v>5.46</v>
      </c>
      <c r="O987" s="0" t="n">
        <v>114.6</v>
      </c>
      <c r="Q987" s="0" t="n">
        <v>2030</v>
      </c>
      <c r="R987" s="0" t="n">
        <v>610</v>
      </c>
      <c r="W987" s="0" t="n">
        <v>2029</v>
      </c>
      <c r="X987" s="0" t="n">
        <v>181221.66</v>
      </c>
    </row>
    <row r="988" customFormat="false" ht="15" hidden="false" customHeight="false" outlineLevel="0" collapsed="false">
      <c r="A988" s="0" t="n">
        <v>2028</v>
      </c>
      <c r="B988" s="0" t="n">
        <v>81.56614428</v>
      </c>
      <c r="C988" s="0" t="n">
        <v>1712.88903</v>
      </c>
      <c r="E988" s="0" t="n">
        <v>2029</v>
      </c>
      <c r="F988" s="0" t="n">
        <v>48.438351</v>
      </c>
      <c r="G988" s="0" t="n">
        <v>1017.205371</v>
      </c>
      <c r="I988" s="0" t="n">
        <v>2027</v>
      </c>
      <c r="J988" s="0" t="n">
        <v>36.64</v>
      </c>
      <c r="K988" s="0" t="n">
        <v>768.8</v>
      </c>
      <c r="M988" s="0" t="n">
        <v>2029</v>
      </c>
      <c r="N988" s="0" t="n">
        <v>4.55</v>
      </c>
      <c r="O988" s="0" t="n">
        <v>95.5</v>
      </c>
      <c r="Q988" s="0" t="n">
        <v>2030</v>
      </c>
      <c r="R988" s="0" t="n">
        <v>136</v>
      </c>
      <c r="W988" s="0" t="n">
        <v>2029</v>
      </c>
      <c r="X988" s="0" t="n">
        <v>45305.415</v>
      </c>
    </row>
    <row r="989" customFormat="false" ht="15" hidden="false" customHeight="false" outlineLevel="0" collapsed="false">
      <c r="A989" s="0" t="n">
        <v>2028</v>
      </c>
      <c r="B989" s="0" t="n">
        <v>25.53305143</v>
      </c>
      <c r="C989" s="0" t="n">
        <v>536.1940801</v>
      </c>
      <c r="E989" s="0" t="n">
        <v>2029</v>
      </c>
      <c r="F989" s="0" t="n">
        <v>19.388187</v>
      </c>
      <c r="G989" s="0" t="n">
        <v>407.151927</v>
      </c>
      <c r="I989" s="0" t="n">
        <v>2027</v>
      </c>
      <c r="J989" s="0" t="n">
        <v>16.03</v>
      </c>
      <c r="K989" s="0" t="n">
        <v>336.35</v>
      </c>
      <c r="M989" s="0" t="n">
        <v>2029</v>
      </c>
      <c r="N989" s="0" t="n">
        <v>3.64</v>
      </c>
      <c r="O989" s="0" t="n">
        <v>76.4</v>
      </c>
      <c r="Q989" s="0" t="n">
        <v>2030</v>
      </c>
      <c r="R989" s="0" t="n">
        <v>131</v>
      </c>
      <c r="W989" s="0" t="n">
        <v>2029</v>
      </c>
      <c r="X989" s="0" t="n">
        <v>14030.064</v>
      </c>
    </row>
    <row r="990" customFormat="false" ht="15" hidden="false" customHeight="false" outlineLevel="0" collapsed="false">
      <c r="A990" s="0" t="n">
        <v>2028</v>
      </c>
      <c r="B990" s="0" t="n">
        <v>57.09034266</v>
      </c>
      <c r="C990" s="0" t="n">
        <v>1198.897196</v>
      </c>
      <c r="E990" s="0" t="n">
        <v>2029</v>
      </c>
      <c r="F990" s="0" t="n">
        <v>2.723409</v>
      </c>
      <c r="G990" s="0" t="n">
        <v>57.191589</v>
      </c>
      <c r="I990" s="0" t="n">
        <v>2027</v>
      </c>
      <c r="J990" s="0" t="n">
        <v>9.16</v>
      </c>
      <c r="K990" s="0" t="n">
        <v>192.2</v>
      </c>
      <c r="M990" s="0" t="n">
        <v>2029</v>
      </c>
      <c r="N990" s="0" t="n">
        <v>1.82</v>
      </c>
      <c r="O990" s="0" t="n">
        <v>38.2</v>
      </c>
      <c r="Q990" s="0" t="n">
        <v>2030</v>
      </c>
      <c r="R990" s="0" t="n">
        <v>131</v>
      </c>
      <c r="W990" s="0" t="n">
        <v>2029</v>
      </c>
      <c r="X990" s="0" t="n">
        <v>24844.905</v>
      </c>
    </row>
    <row r="991" customFormat="false" ht="15" hidden="false" customHeight="false" outlineLevel="0" collapsed="false">
      <c r="A991" s="0" t="n">
        <v>2029</v>
      </c>
      <c r="B991" s="0" t="n">
        <v>201.6394844</v>
      </c>
      <c r="C991" s="0" t="n">
        <v>4234.429172</v>
      </c>
      <c r="E991" s="0" t="n">
        <v>2029</v>
      </c>
      <c r="F991" s="0" t="n">
        <v>65.103129</v>
      </c>
      <c r="G991" s="0" t="n">
        <v>1367.165709</v>
      </c>
      <c r="I991" s="0" t="n">
        <v>2027</v>
      </c>
      <c r="J991" s="0" t="n">
        <v>9.16</v>
      </c>
      <c r="K991" s="0" t="n">
        <v>192.2</v>
      </c>
      <c r="M991" s="0" t="n">
        <v>2029</v>
      </c>
      <c r="N991" s="0" t="n">
        <v>1480.48</v>
      </c>
      <c r="O991" s="0" t="n">
        <v>31088.56</v>
      </c>
      <c r="Q991" s="0" t="n">
        <v>2030</v>
      </c>
      <c r="R991" s="0" t="n">
        <v>288</v>
      </c>
      <c r="W991" s="0" t="n">
        <v>2029</v>
      </c>
      <c r="X991" s="0" t="n">
        <v>11107.134</v>
      </c>
    </row>
    <row r="992" customFormat="false" ht="15" hidden="false" customHeight="false" outlineLevel="0" collapsed="false">
      <c r="A992" s="0" t="n">
        <v>2029</v>
      </c>
      <c r="B992" s="0" t="n">
        <v>50.85944051</v>
      </c>
      <c r="C992" s="0" t="n">
        <v>1068.048251</v>
      </c>
      <c r="E992" s="0" t="n">
        <v>2029</v>
      </c>
      <c r="F992" s="0" t="n">
        <v>3.047733</v>
      </c>
      <c r="G992" s="0" t="n">
        <v>64.002393</v>
      </c>
      <c r="I992" s="0" t="n">
        <v>2027</v>
      </c>
      <c r="J992" s="0" t="n">
        <v>4.58</v>
      </c>
      <c r="K992" s="0" t="n">
        <v>96.1</v>
      </c>
      <c r="M992" s="0" t="n">
        <v>2029</v>
      </c>
      <c r="N992" s="0" t="n">
        <v>974</v>
      </c>
      <c r="O992" s="0" t="n">
        <v>20453</v>
      </c>
      <c r="Q992" s="0" t="n">
        <v>2030</v>
      </c>
      <c r="R992" s="0" t="n">
        <v>273</v>
      </c>
      <c r="W992" s="0" t="n">
        <v>2029</v>
      </c>
      <c r="X992" s="0" t="n">
        <v>4384.395</v>
      </c>
    </row>
    <row r="993" customFormat="false" ht="15" hidden="false" customHeight="false" outlineLevel="0" collapsed="false">
      <c r="A993" s="0" t="n">
        <v>2029</v>
      </c>
      <c r="B993" s="0" t="n">
        <v>45.35418893</v>
      </c>
      <c r="C993" s="0" t="n">
        <v>952.4379676</v>
      </c>
      <c r="E993" s="0" t="n">
        <v>2029</v>
      </c>
      <c r="F993" s="0" t="n">
        <v>16.664778</v>
      </c>
      <c r="G993" s="0" t="n">
        <v>349.960338</v>
      </c>
      <c r="I993" s="0" t="n">
        <v>2027</v>
      </c>
      <c r="J993" s="0" t="n">
        <v>4.58</v>
      </c>
      <c r="K993" s="0" t="n">
        <v>96.1</v>
      </c>
      <c r="M993" s="0" t="n">
        <v>2029</v>
      </c>
      <c r="N993" s="0" t="n">
        <v>389.6</v>
      </c>
      <c r="O993" s="0" t="n">
        <v>8181.2</v>
      </c>
      <c r="Q993" s="0" t="n">
        <v>2030</v>
      </c>
      <c r="R993" s="0" t="n">
        <v>129</v>
      </c>
      <c r="W993" s="0" t="n">
        <v>2029</v>
      </c>
      <c r="X993" s="0" t="n">
        <v>6430.446</v>
      </c>
    </row>
    <row r="994" customFormat="false" ht="15" hidden="false" customHeight="false" outlineLevel="0" collapsed="false">
      <c r="A994" s="0" t="n">
        <v>2029</v>
      </c>
      <c r="B994" s="0" t="n">
        <v>31.54115051</v>
      </c>
      <c r="C994" s="0" t="n">
        <v>662.3641608</v>
      </c>
      <c r="E994" s="0" t="n">
        <v>2029</v>
      </c>
      <c r="F994" s="0" t="n">
        <v>15.238314</v>
      </c>
      <c r="G994" s="0" t="n">
        <v>320.004594</v>
      </c>
      <c r="I994" s="0" t="n">
        <v>2027</v>
      </c>
      <c r="J994" s="0" t="n">
        <v>9.16</v>
      </c>
      <c r="K994" s="0" t="n">
        <v>192.2</v>
      </c>
      <c r="M994" s="0" t="n">
        <v>2029</v>
      </c>
      <c r="N994" s="0" t="n">
        <v>389.6</v>
      </c>
      <c r="O994" s="0" t="n">
        <v>8181.2</v>
      </c>
      <c r="Q994" s="0" t="n">
        <v>2030</v>
      </c>
      <c r="R994" s="0" t="n">
        <v>29</v>
      </c>
      <c r="W994" s="0" t="n">
        <v>2029</v>
      </c>
      <c r="X994" s="0" t="n">
        <v>4968.981</v>
      </c>
    </row>
    <row r="995" customFormat="false" ht="15" hidden="false" customHeight="false" outlineLevel="0" collapsed="false">
      <c r="A995" s="0" t="n">
        <v>2029</v>
      </c>
      <c r="B995" s="0" t="n">
        <v>23.46136223</v>
      </c>
      <c r="C995" s="0" t="n">
        <v>492.6886069</v>
      </c>
      <c r="E995" s="0" t="n">
        <v>2029</v>
      </c>
      <c r="F995" s="0" t="n">
        <v>264.683735</v>
      </c>
      <c r="G995" s="0" t="n">
        <v>5555.274741</v>
      </c>
      <c r="I995" s="0" t="n">
        <v>2027</v>
      </c>
      <c r="J995" s="0" t="n">
        <v>16.03</v>
      </c>
      <c r="K995" s="0" t="n">
        <v>336.35</v>
      </c>
      <c r="M995" s="0" t="n">
        <v>2029</v>
      </c>
      <c r="N995" s="0" t="n">
        <v>233.76</v>
      </c>
      <c r="O995" s="0" t="n">
        <v>4908.72</v>
      </c>
      <c r="Q995" s="0" t="n">
        <v>2030</v>
      </c>
      <c r="R995" s="0" t="n">
        <v>28</v>
      </c>
      <c r="W995" s="0" t="n">
        <v>2029</v>
      </c>
      <c r="X995" s="0" t="n">
        <v>5154.68</v>
      </c>
    </row>
    <row r="996" customFormat="false" ht="15" hidden="false" customHeight="false" outlineLevel="0" collapsed="false">
      <c r="A996" s="0" t="n">
        <v>2029</v>
      </c>
      <c r="B996" s="0" t="n">
        <v>10.4272721</v>
      </c>
      <c r="C996" s="0" t="n">
        <v>218.9727142</v>
      </c>
      <c r="E996" s="0" t="n">
        <v>2029</v>
      </c>
      <c r="F996" s="0" t="n">
        <v>71.070515</v>
      </c>
      <c r="G996" s="0" t="n">
        <v>1491.652809</v>
      </c>
      <c r="I996" s="0" t="n">
        <v>2027</v>
      </c>
      <c r="J996" s="0" t="n">
        <v>6.87</v>
      </c>
      <c r="K996" s="0" t="n">
        <v>144.15</v>
      </c>
      <c r="M996" s="0" t="n">
        <v>2029</v>
      </c>
      <c r="N996" s="0" t="n">
        <v>194.8</v>
      </c>
      <c r="O996" s="0" t="n">
        <v>4090.6</v>
      </c>
      <c r="Q996" s="0" t="n">
        <v>2030</v>
      </c>
      <c r="R996" s="0" t="n">
        <v>28</v>
      </c>
      <c r="W996" s="0" t="n">
        <v>2029</v>
      </c>
      <c r="X996" s="0" t="n">
        <v>1288.67</v>
      </c>
    </row>
    <row r="997" customFormat="false" ht="15" hidden="false" customHeight="false" outlineLevel="0" collapsed="false">
      <c r="A997" s="0" t="n">
        <v>2029</v>
      </c>
      <c r="B997" s="0" t="n">
        <v>38.51395628</v>
      </c>
      <c r="C997" s="0" t="n">
        <v>808.7930819</v>
      </c>
      <c r="E997" s="0" t="n">
        <v>2029</v>
      </c>
      <c r="F997" s="0" t="n">
        <v>28.447055</v>
      </c>
      <c r="G997" s="0" t="n">
        <v>597.056733</v>
      </c>
      <c r="I997" s="0" t="n">
        <v>2027</v>
      </c>
      <c r="J997" s="0" t="n">
        <v>6.87</v>
      </c>
      <c r="K997" s="0" t="n">
        <v>144.15</v>
      </c>
      <c r="M997" s="0" t="n">
        <v>2029</v>
      </c>
      <c r="N997" s="0" t="n">
        <v>155.84</v>
      </c>
      <c r="O997" s="0" t="n">
        <v>3272.48</v>
      </c>
      <c r="Q997" s="0" t="n">
        <v>2030</v>
      </c>
      <c r="R997" s="0" t="n">
        <v>524</v>
      </c>
      <c r="W997" s="0" t="n">
        <v>2029</v>
      </c>
      <c r="X997" s="0" t="n">
        <v>399.072</v>
      </c>
    </row>
    <row r="998" customFormat="false" ht="15" hidden="false" customHeight="false" outlineLevel="0" collapsed="false">
      <c r="A998" s="0" t="n">
        <v>2029</v>
      </c>
      <c r="B998" s="0" t="n">
        <v>12.05621322</v>
      </c>
      <c r="C998" s="0" t="n">
        <v>253.1804775</v>
      </c>
      <c r="E998" s="0" t="n">
        <v>2029</v>
      </c>
      <c r="F998" s="0" t="n">
        <v>3.995885</v>
      </c>
      <c r="G998" s="0" t="n">
        <v>83.867031</v>
      </c>
      <c r="I998" s="0" t="n">
        <v>2027</v>
      </c>
      <c r="J998" s="0" t="n">
        <v>29.12</v>
      </c>
      <c r="K998" s="0" t="n">
        <v>607.88</v>
      </c>
      <c r="M998" s="0" t="n">
        <v>2029</v>
      </c>
      <c r="N998" s="0" t="n">
        <v>77.92</v>
      </c>
      <c r="O998" s="0" t="n">
        <v>1636.24</v>
      </c>
      <c r="Q998" s="0" t="n">
        <v>2030</v>
      </c>
      <c r="R998" s="0" t="n">
        <v>498</v>
      </c>
      <c r="W998" s="0" t="n">
        <v>2029</v>
      </c>
      <c r="X998" s="0" t="n">
        <v>706.69</v>
      </c>
    </row>
    <row r="999" customFormat="false" ht="15" hidden="false" customHeight="false" outlineLevel="0" collapsed="false">
      <c r="A999" s="0" t="n">
        <v>2029</v>
      </c>
      <c r="B999" s="0" t="n">
        <v>26.95695598</v>
      </c>
      <c r="C999" s="0" t="n">
        <v>566.0960757</v>
      </c>
      <c r="E999" s="0" t="n">
        <v>2029</v>
      </c>
      <c r="F999" s="0" t="n">
        <v>95.521685</v>
      </c>
      <c r="G999" s="0" t="n">
        <v>2004.842511</v>
      </c>
      <c r="I999" s="0" t="n">
        <v>2027</v>
      </c>
      <c r="J999" s="0" t="n">
        <v>4.48</v>
      </c>
      <c r="K999" s="0" t="n">
        <v>93.52</v>
      </c>
      <c r="M999" s="0" t="n">
        <v>2029</v>
      </c>
      <c r="N999" s="0" t="n">
        <v>215.08</v>
      </c>
      <c r="O999" s="0" t="n">
        <v>4511.36</v>
      </c>
      <c r="Q999" s="0" t="n">
        <v>2030</v>
      </c>
      <c r="R999" s="0" t="n">
        <v>236</v>
      </c>
      <c r="W999" s="0" t="n">
        <v>2029</v>
      </c>
      <c r="X999" s="0" t="n">
        <v>315.932</v>
      </c>
    </row>
    <row r="1000" customFormat="false" ht="15" hidden="false" customHeight="false" outlineLevel="0" collapsed="false">
      <c r="A1000" s="0" t="n">
        <v>2029</v>
      </c>
      <c r="B1000" s="0" t="n">
        <v>203.1852272</v>
      </c>
      <c r="C1000" s="0" t="n">
        <v>4266.889771</v>
      </c>
      <c r="E1000" s="0" t="n">
        <v>2029</v>
      </c>
      <c r="F1000" s="0" t="n">
        <v>4.471745</v>
      </c>
      <c r="G1000" s="0" t="n">
        <v>93.854547</v>
      </c>
      <c r="I1000" s="0" t="n">
        <v>2027</v>
      </c>
      <c r="J1000" s="0" t="n">
        <v>3.36</v>
      </c>
      <c r="K1000" s="0" t="n">
        <v>70.14</v>
      </c>
      <c r="M1000" s="0" t="n">
        <v>2029</v>
      </c>
      <c r="N1000" s="0" t="n">
        <v>141.5</v>
      </c>
      <c r="O1000" s="0" t="n">
        <v>2968</v>
      </c>
      <c r="Q1000" s="0" t="n">
        <v>2030</v>
      </c>
      <c r="R1000" s="0" t="n">
        <v>52</v>
      </c>
      <c r="W1000" s="0" t="n">
        <v>2029</v>
      </c>
      <c r="X1000" s="0" t="n">
        <v>124.71</v>
      </c>
    </row>
    <row r="1001" customFormat="false" ht="15" hidden="false" customHeight="false" outlineLevel="0" collapsed="false">
      <c r="A1001" s="0" t="n">
        <v>2029</v>
      </c>
      <c r="B1001" s="0" t="n">
        <v>51.24932256</v>
      </c>
      <c r="C1001" s="0" t="n">
        <v>1076.235774</v>
      </c>
      <c r="E1001" s="0" t="n">
        <v>2029</v>
      </c>
      <c r="F1001" s="0" t="n">
        <v>24.45117</v>
      </c>
      <c r="G1001" s="0" t="n">
        <v>513.189702</v>
      </c>
      <c r="I1001" s="0" t="n">
        <v>2027</v>
      </c>
      <c r="J1001" s="0" t="n">
        <v>5.6</v>
      </c>
      <c r="K1001" s="0" t="n">
        <v>116.9</v>
      </c>
      <c r="M1001" s="0" t="n">
        <v>2029</v>
      </c>
      <c r="N1001" s="0" t="n">
        <v>56.6</v>
      </c>
      <c r="O1001" s="0" t="n">
        <v>1187.2</v>
      </c>
      <c r="Q1001" s="0" t="n">
        <v>2030</v>
      </c>
      <c r="R1001" s="0" t="n">
        <v>51</v>
      </c>
      <c r="W1001" s="0" t="n">
        <v>2029</v>
      </c>
      <c r="X1001" s="0" t="n">
        <v>182.908</v>
      </c>
    </row>
    <row r="1002" customFormat="false" ht="15" hidden="false" customHeight="false" outlineLevel="0" collapsed="false">
      <c r="A1002" s="0" t="n">
        <v>2029</v>
      </c>
      <c r="B1002" s="0" t="n">
        <v>45.70186842</v>
      </c>
      <c r="C1002" s="0" t="n">
        <v>959.7392367</v>
      </c>
      <c r="E1002" s="0" t="n">
        <v>2029</v>
      </c>
      <c r="F1002" s="0" t="n">
        <v>22.35821</v>
      </c>
      <c r="G1002" s="0" t="n">
        <v>469.261926</v>
      </c>
      <c r="I1002" s="0" t="n">
        <v>2027</v>
      </c>
      <c r="J1002" s="0" t="n">
        <v>1.12</v>
      </c>
      <c r="K1002" s="0" t="n">
        <v>23.38</v>
      </c>
      <c r="M1002" s="0" t="n">
        <v>2029</v>
      </c>
      <c r="N1002" s="0" t="n">
        <v>56.6</v>
      </c>
      <c r="O1002" s="0" t="n">
        <v>1187.2</v>
      </c>
      <c r="Q1002" s="0" t="n">
        <v>2030</v>
      </c>
      <c r="R1002" s="0" t="n">
        <v>51</v>
      </c>
      <c r="W1002" s="0" t="n">
        <v>2029</v>
      </c>
      <c r="X1002" s="0" t="n">
        <v>141.338</v>
      </c>
    </row>
    <row r="1003" customFormat="false" ht="15" hidden="false" customHeight="false" outlineLevel="0" collapsed="false">
      <c r="A1003" s="0" t="n">
        <v>2029</v>
      </c>
      <c r="B1003" s="0" t="n">
        <v>31.78294099</v>
      </c>
      <c r="C1003" s="0" t="n">
        <v>667.4417607</v>
      </c>
      <c r="E1003" s="0" t="n">
        <v>2029</v>
      </c>
      <c r="F1003" s="0" t="n">
        <v>745.739999</v>
      </c>
      <c r="G1003" s="0" t="n">
        <v>15652.3168</v>
      </c>
      <c r="I1003" s="0" t="n">
        <v>2027</v>
      </c>
      <c r="J1003" s="0" t="n">
        <v>1.12</v>
      </c>
      <c r="K1003" s="0" t="n">
        <v>23.38</v>
      </c>
      <c r="M1003" s="0" t="n">
        <v>2029</v>
      </c>
      <c r="N1003" s="0" t="n">
        <v>33.96</v>
      </c>
      <c r="O1003" s="0" t="n">
        <v>712.32</v>
      </c>
      <c r="Q1003" s="0" t="n">
        <v>2030</v>
      </c>
      <c r="R1003" s="0" t="n">
        <v>85</v>
      </c>
      <c r="W1003" s="0" t="n">
        <v>2029</v>
      </c>
      <c r="X1003" s="0" t="n">
        <v>7628.48</v>
      </c>
    </row>
    <row r="1004" customFormat="false" ht="15" hidden="false" customHeight="false" outlineLevel="0" collapsed="false">
      <c r="A1004" s="0" t="n">
        <v>2029</v>
      </c>
      <c r="B1004" s="0" t="n">
        <v>23.64121407</v>
      </c>
      <c r="C1004" s="0" t="n">
        <v>496.4654955</v>
      </c>
      <c r="E1004" s="0" t="n">
        <v>2029</v>
      </c>
      <c r="F1004" s="0" t="n">
        <v>200.239451</v>
      </c>
      <c r="G1004" s="0" t="n">
        <v>4202.820455</v>
      </c>
      <c r="I1004" s="0" t="n">
        <v>2027</v>
      </c>
      <c r="J1004" s="0" t="n">
        <v>0</v>
      </c>
      <c r="K1004" s="0" t="n">
        <v>0</v>
      </c>
      <c r="M1004" s="0" t="n">
        <v>2029</v>
      </c>
      <c r="N1004" s="0" t="n">
        <v>28.3</v>
      </c>
      <c r="O1004" s="0" t="n">
        <v>593.6</v>
      </c>
      <c r="Q1004" s="0" t="n">
        <v>2030</v>
      </c>
      <c r="R1004" s="0" t="n">
        <v>81</v>
      </c>
      <c r="W1004" s="0" t="n">
        <v>2029</v>
      </c>
      <c r="X1004" s="0" t="n">
        <v>1907.12</v>
      </c>
    </row>
    <row r="1005" customFormat="false" ht="15" hidden="false" customHeight="false" outlineLevel="0" collapsed="false">
      <c r="A1005" s="0" t="n">
        <v>2029</v>
      </c>
      <c r="B1005" s="0" t="n">
        <v>10.50720625</v>
      </c>
      <c r="C1005" s="0" t="n">
        <v>220.6513313</v>
      </c>
      <c r="E1005" s="0" t="n">
        <v>2029</v>
      </c>
      <c r="F1005" s="0" t="n">
        <v>80.148887</v>
      </c>
      <c r="G1005" s="0" t="n">
        <v>1682.242835</v>
      </c>
      <c r="I1005" s="0" t="n">
        <v>2027</v>
      </c>
      <c r="J1005" s="0" t="n">
        <v>2.24</v>
      </c>
      <c r="K1005" s="0" t="n">
        <v>46.76</v>
      </c>
      <c r="M1005" s="0" t="n">
        <v>2029</v>
      </c>
      <c r="N1005" s="0" t="n">
        <v>22.64</v>
      </c>
      <c r="O1005" s="0" t="n">
        <v>474.88</v>
      </c>
      <c r="Q1005" s="0" t="n">
        <v>2030</v>
      </c>
      <c r="R1005" s="0" t="n">
        <v>38</v>
      </c>
      <c r="W1005" s="0" t="n">
        <v>2029</v>
      </c>
      <c r="X1005" s="0" t="n">
        <v>590.592</v>
      </c>
    </row>
    <row r="1006" customFormat="false" ht="15" hidden="false" customHeight="false" outlineLevel="0" collapsed="false">
      <c r="A1006" s="0" t="n">
        <v>2029</v>
      </c>
      <c r="B1006" s="0" t="n">
        <v>38.8091994</v>
      </c>
      <c r="C1006" s="0" t="n">
        <v>814.9931874</v>
      </c>
      <c r="E1006" s="0" t="n">
        <v>2029</v>
      </c>
      <c r="F1006" s="0" t="n">
        <v>11.258309</v>
      </c>
      <c r="G1006" s="0" t="n">
        <v>236.300345</v>
      </c>
      <c r="I1006" s="0" t="n">
        <v>2027</v>
      </c>
      <c r="J1006" s="0" t="n">
        <v>3.92</v>
      </c>
      <c r="K1006" s="0" t="n">
        <v>81.83</v>
      </c>
      <c r="M1006" s="0" t="n">
        <v>2029</v>
      </c>
      <c r="N1006" s="0" t="n">
        <v>11.32</v>
      </c>
      <c r="O1006" s="0" t="n">
        <v>237.44</v>
      </c>
      <c r="Q1006" s="0" t="n">
        <v>2030</v>
      </c>
      <c r="R1006" s="0" t="n">
        <v>9</v>
      </c>
      <c r="W1006" s="0" t="n">
        <v>2029</v>
      </c>
      <c r="X1006" s="0" t="n">
        <v>1045.84</v>
      </c>
    </row>
    <row r="1007" customFormat="false" ht="15" hidden="false" customHeight="false" outlineLevel="0" collapsed="false">
      <c r="A1007" s="0" t="n">
        <v>2029</v>
      </c>
      <c r="B1007" s="0" t="n">
        <v>12.14863462</v>
      </c>
      <c r="C1007" s="0" t="n">
        <v>255.1213271</v>
      </c>
      <c r="E1007" s="0" t="n">
        <v>2029</v>
      </c>
      <c r="F1007" s="0" t="n">
        <v>269.130029</v>
      </c>
      <c r="G1007" s="0" t="n">
        <v>5648.762945</v>
      </c>
      <c r="I1007" s="0" t="n">
        <v>2027</v>
      </c>
      <c r="J1007" s="0" t="n">
        <v>1.12</v>
      </c>
      <c r="K1007" s="0" t="n">
        <v>23.38</v>
      </c>
      <c r="M1007" s="0" t="n">
        <v>2029</v>
      </c>
      <c r="N1007" s="0" t="n">
        <v>260.3</v>
      </c>
      <c r="O1007" s="0" t="n">
        <v>5464.02</v>
      </c>
      <c r="Q1007" s="0" t="n">
        <v>2030</v>
      </c>
      <c r="R1007" s="0" t="n">
        <v>8</v>
      </c>
      <c r="W1007" s="0" t="n">
        <v>2029</v>
      </c>
      <c r="X1007" s="0" t="n">
        <v>467.552</v>
      </c>
    </row>
    <row r="1008" customFormat="false" ht="15" hidden="false" customHeight="false" outlineLevel="0" collapsed="false">
      <c r="A1008" s="0" t="n">
        <v>2029</v>
      </c>
      <c r="B1008" s="0" t="n">
        <v>27.1636046</v>
      </c>
      <c r="C1008" s="0" t="n">
        <v>570.4356967</v>
      </c>
      <c r="E1008" s="0" t="n">
        <v>2029</v>
      </c>
      <c r="F1008" s="0" t="n">
        <v>12.599033</v>
      </c>
      <c r="G1008" s="0" t="n">
        <v>264.440765</v>
      </c>
      <c r="I1008" s="0" t="n">
        <v>2027</v>
      </c>
      <c r="J1008" s="0" t="n">
        <v>3.92</v>
      </c>
      <c r="K1008" s="0" t="n">
        <v>81.83</v>
      </c>
      <c r="M1008" s="0" t="n">
        <v>2029</v>
      </c>
      <c r="N1008" s="0" t="n">
        <v>171.25</v>
      </c>
      <c r="O1008" s="0" t="n">
        <v>3594.75</v>
      </c>
      <c r="Q1008" s="0" t="n">
        <v>2030</v>
      </c>
      <c r="R1008" s="0" t="n">
        <v>8</v>
      </c>
      <c r="W1008" s="0" t="n">
        <v>2029</v>
      </c>
      <c r="X1008" s="0" t="n">
        <v>184.56</v>
      </c>
    </row>
    <row r="1009" customFormat="false" ht="15" hidden="false" customHeight="false" outlineLevel="0" collapsed="false">
      <c r="A1009" s="0" t="n">
        <v>2029</v>
      </c>
      <c r="B1009" s="0" t="n">
        <v>165.4211313</v>
      </c>
      <c r="C1009" s="0" t="n">
        <v>3473.843757</v>
      </c>
      <c r="E1009" s="0" t="n">
        <v>2029</v>
      </c>
      <c r="F1009" s="0" t="n">
        <v>68.890578</v>
      </c>
      <c r="G1009" s="0" t="n">
        <v>1445.94249</v>
      </c>
      <c r="I1009" s="0" t="n">
        <v>2027</v>
      </c>
      <c r="J1009" s="0" t="n">
        <v>776.64</v>
      </c>
      <c r="K1009" s="0" t="n">
        <v>16313.28</v>
      </c>
      <c r="M1009" s="0" t="n">
        <v>2029</v>
      </c>
      <c r="N1009" s="0" t="n">
        <v>68.5</v>
      </c>
      <c r="O1009" s="0" t="n">
        <v>1437.9</v>
      </c>
      <c r="Q1009" s="0" t="n">
        <v>2030</v>
      </c>
      <c r="R1009" s="0" t="n">
        <v>218</v>
      </c>
      <c r="W1009" s="0" t="n">
        <v>2029</v>
      </c>
      <c r="X1009" s="0" t="n">
        <v>270.688</v>
      </c>
    </row>
    <row r="1010" customFormat="false" ht="15" hidden="false" customHeight="false" outlineLevel="0" collapsed="false">
      <c r="A1010" s="0" t="n">
        <v>2029</v>
      </c>
      <c r="B1010" s="0" t="n">
        <v>41.72410088</v>
      </c>
      <c r="C1010" s="0" t="n">
        <v>876.2061185</v>
      </c>
      <c r="E1010" s="0" t="n">
        <v>2029</v>
      </c>
      <c r="F1010" s="0" t="n">
        <v>62.993714</v>
      </c>
      <c r="G1010" s="0" t="n">
        <v>1322.17337</v>
      </c>
      <c r="I1010" s="0" t="n">
        <v>2027</v>
      </c>
      <c r="J1010" s="0" t="n">
        <v>258.88</v>
      </c>
      <c r="K1010" s="0" t="n">
        <v>5437.76</v>
      </c>
      <c r="M1010" s="0" t="n">
        <v>2029</v>
      </c>
      <c r="N1010" s="0" t="n">
        <v>68.5</v>
      </c>
      <c r="O1010" s="0" t="n">
        <v>1437.9</v>
      </c>
      <c r="Q1010" s="0" t="n">
        <v>2030</v>
      </c>
      <c r="R1010" s="0" t="n">
        <v>207</v>
      </c>
      <c r="W1010" s="0" t="n">
        <v>2029</v>
      </c>
      <c r="X1010" s="0" t="n">
        <v>209.168</v>
      </c>
    </row>
    <row r="1011" customFormat="false" ht="15" hidden="false" customHeight="false" outlineLevel="0" collapsed="false">
      <c r="A1011" s="0" t="n">
        <v>2029</v>
      </c>
      <c r="B1011" s="0" t="n">
        <v>37.20769901</v>
      </c>
      <c r="C1011" s="0" t="n">
        <v>781.3616792</v>
      </c>
      <c r="E1011" s="0" t="n">
        <v>2029</v>
      </c>
      <c r="F1011" s="0" t="n">
        <v>235.902591</v>
      </c>
      <c r="G1011" s="0" t="n">
        <v>4946.759125</v>
      </c>
      <c r="I1011" s="0" t="n">
        <v>2027</v>
      </c>
      <c r="J1011" s="0" t="n">
        <v>113.26</v>
      </c>
      <c r="K1011" s="0" t="n">
        <v>2379.02</v>
      </c>
      <c r="M1011" s="0" t="n">
        <v>2029</v>
      </c>
      <c r="N1011" s="0" t="n">
        <v>41.1</v>
      </c>
      <c r="O1011" s="0" t="n">
        <v>862.74</v>
      </c>
      <c r="Q1011" s="0" t="n">
        <v>2030</v>
      </c>
      <c r="R1011" s="0" t="n">
        <v>98</v>
      </c>
      <c r="W1011" s="0" t="n">
        <v>2029</v>
      </c>
      <c r="X1011" s="0" t="n">
        <v>7470.38</v>
      </c>
    </row>
    <row r="1012" customFormat="false" ht="15" hidden="false" customHeight="false" outlineLevel="0" collapsed="false">
      <c r="A1012" s="0" t="n">
        <v>2029</v>
      </c>
      <c r="B1012" s="0" t="n">
        <v>25.87574957</v>
      </c>
      <c r="C1012" s="0" t="n">
        <v>543.3907409</v>
      </c>
      <c r="E1012" s="0" t="n">
        <v>2029</v>
      </c>
      <c r="F1012" s="0" t="n">
        <v>63.342459</v>
      </c>
      <c r="G1012" s="0" t="n">
        <v>1328.259625</v>
      </c>
      <c r="I1012" s="0" t="n">
        <v>2027</v>
      </c>
      <c r="J1012" s="0" t="n">
        <v>64.72</v>
      </c>
      <c r="K1012" s="0" t="n">
        <v>1359.44</v>
      </c>
      <c r="M1012" s="0" t="n">
        <v>2029</v>
      </c>
      <c r="N1012" s="0" t="n">
        <v>34.25</v>
      </c>
      <c r="O1012" s="0" t="n">
        <v>718.95</v>
      </c>
      <c r="Q1012" s="0" t="n">
        <v>2030</v>
      </c>
      <c r="R1012" s="0" t="n">
        <v>22</v>
      </c>
      <c r="W1012" s="0" t="n">
        <v>2029</v>
      </c>
      <c r="X1012" s="0" t="n">
        <v>1867.595</v>
      </c>
    </row>
    <row r="1013" customFormat="false" ht="15" hidden="false" customHeight="false" outlineLevel="0" collapsed="false">
      <c r="A1013" s="0" t="n">
        <v>2029</v>
      </c>
      <c r="B1013" s="0" t="n">
        <v>19.24724761</v>
      </c>
      <c r="C1013" s="0" t="n">
        <v>404.1921997</v>
      </c>
      <c r="E1013" s="0" t="n">
        <v>2029</v>
      </c>
      <c r="F1013" s="0" t="n">
        <v>25.353783</v>
      </c>
      <c r="G1013" s="0" t="n">
        <v>531.656125</v>
      </c>
      <c r="I1013" s="0" t="n">
        <v>2027</v>
      </c>
      <c r="J1013" s="0" t="n">
        <v>64.72</v>
      </c>
      <c r="K1013" s="0" t="n">
        <v>1359.44</v>
      </c>
      <c r="M1013" s="0" t="n">
        <v>2029</v>
      </c>
      <c r="N1013" s="0" t="n">
        <v>27.4</v>
      </c>
      <c r="O1013" s="0" t="n">
        <v>575.16</v>
      </c>
      <c r="Q1013" s="0" t="n">
        <v>2030</v>
      </c>
      <c r="R1013" s="0" t="n">
        <v>20</v>
      </c>
      <c r="W1013" s="0" t="n">
        <v>2029</v>
      </c>
      <c r="X1013" s="0" t="n">
        <v>578.352</v>
      </c>
    </row>
    <row r="1014" customFormat="false" ht="15" hidden="false" customHeight="false" outlineLevel="0" collapsed="false">
      <c r="A1014" s="0" t="n">
        <v>2029</v>
      </c>
      <c r="B1014" s="0" t="n">
        <v>8.554332269</v>
      </c>
      <c r="C1014" s="0" t="n">
        <v>179.6409776</v>
      </c>
      <c r="E1014" s="0" t="n">
        <v>2029</v>
      </c>
      <c r="F1014" s="0" t="n">
        <v>3.561381</v>
      </c>
      <c r="G1014" s="0" t="n">
        <v>74.680375</v>
      </c>
      <c r="I1014" s="0" t="n">
        <v>2027</v>
      </c>
      <c r="J1014" s="0" t="n">
        <v>32.36</v>
      </c>
      <c r="K1014" s="0" t="n">
        <v>679.72</v>
      </c>
      <c r="M1014" s="0" t="n">
        <v>2029</v>
      </c>
      <c r="N1014" s="0" t="n">
        <v>13.7</v>
      </c>
      <c r="O1014" s="0" t="n">
        <v>287.58</v>
      </c>
      <c r="Q1014" s="0" t="n">
        <v>2030</v>
      </c>
      <c r="R1014" s="0" t="n">
        <v>20</v>
      </c>
      <c r="W1014" s="0" t="n">
        <v>2029</v>
      </c>
      <c r="X1014" s="0" t="n">
        <v>1024.165</v>
      </c>
    </row>
    <row r="1015" customFormat="false" ht="15" hidden="false" customHeight="false" outlineLevel="0" collapsed="false">
      <c r="A1015" s="0" t="n">
        <v>2029</v>
      </c>
      <c r="B1015" s="0" t="n">
        <v>31.5961045</v>
      </c>
      <c r="C1015" s="0" t="n">
        <v>663.5181944</v>
      </c>
      <c r="E1015" s="0" t="n">
        <v>2029</v>
      </c>
      <c r="F1015" s="0" t="n">
        <v>85.134861</v>
      </c>
      <c r="G1015" s="0" t="n">
        <v>1785.235375</v>
      </c>
      <c r="I1015" s="0" t="n">
        <v>2027</v>
      </c>
      <c r="J1015" s="0" t="n">
        <v>32.36</v>
      </c>
      <c r="K1015" s="0" t="n">
        <v>679.72</v>
      </c>
      <c r="M1015" s="0" t="n">
        <v>2029</v>
      </c>
      <c r="N1015" s="0" t="n">
        <v>427.88</v>
      </c>
      <c r="O1015" s="0" t="n">
        <v>8979.78</v>
      </c>
      <c r="Q1015" s="0" t="n">
        <v>2030</v>
      </c>
      <c r="R1015" s="0" t="n">
        <v>124</v>
      </c>
      <c r="W1015" s="0" t="n">
        <v>2029</v>
      </c>
      <c r="X1015" s="0" t="n">
        <v>457.862</v>
      </c>
    </row>
    <row r="1016" customFormat="false" ht="15" hidden="false" customHeight="false" outlineLevel="0" collapsed="false">
      <c r="A1016" s="0" t="n">
        <v>2029</v>
      </c>
      <c r="B1016" s="0" t="n">
        <v>9.890684038</v>
      </c>
      <c r="C1016" s="0" t="n">
        <v>207.7043648</v>
      </c>
      <c r="E1016" s="0" t="n">
        <v>2029</v>
      </c>
      <c r="F1016" s="0" t="n">
        <v>3.985497</v>
      </c>
      <c r="G1016" s="0" t="n">
        <v>83.573875</v>
      </c>
      <c r="I1016" s="0" t="n">
        <v>2027</v>
      </c>
      <c r="J1016" s="0" t="n">
        <v>64.72</v>
      </c>
      <c r="K1016" s="0" t="n">
        <v>1359.44</v>
      </c>
      <c r="M1016" s="0" t="n">
        <v>2029</v>
      </c>
      <c r="N1016" s="0" t="n">
        <v>281.5</v>
      </c>
      <c r="O1016" s="0" t="n">
        <v>5907.75</v>
      </c>
      <c r="Q1016" s="0" t="n">
        <v>2030</v>
      </c>
      <c r="R1016" s="0" t="n">
        <v>118</v>
      </c>
      <c r="W1016" s="0" t="n">
        <v>2029</v>
      </c>
      <c r="X1016" s="0" t="n">
        <v>180.735</v>
      </c>
    </row>
    <row r="1017" customFormat="false" ht="15" hidden="false" customHeight="false" outlineLevel="0" collapsed="false">
      <c r="A1017" s="0" t="n">
        <v>2029</v>
      </c>
      <c r="B1017" s="0" t="n">
        <v>22.11496508</v>
      </c>
      <c r="C1017" s="0" t="n">
        <v>464.4142667</v>
      </c>
      <c r="E1017" s="0" t="n">
        <v>2029</v>
      </c>
      <c r="F1017" s="0" t="n">
        <v>21.792402</v>
      </c>
      <c r="G1017" s="0" t="n">
        <v>456.97575</v>
      </c>
      <c r="I1017" s="0" t="n">
        <v>2027</v>
      </c>
      <c r="J1017" s="0" t="n">
        <v>113.26</v>
      </c>
      <c r="K1017" s="0" t="n">
        <v>2379.02</v>
      </c>
      <c r="M1017" s="0" t="n">
        <v>2029</v>
      </c>
      <c r="N1017" s="0" t="n">
        <v>112.6</v>
      </c>
      <c r="O1017" s="0" t="n">
        <v>2363.1</v>
      </c>
      <c r="Q1017" s="0" t="n">
        <v>2030</v>
      </c>
      <c r="R1017" s="0" t="n">
        <v>56</v>
      </c>
      <c r="W1017" s="0" t="n">
        <v>2029</v>
      </c>
      <c r="X1017" s="0" t="n">
        <v>265.078</v>
      </c>
    </row>
    <row r="1018" customFormat="false" ht="15" hidden="false" customHeight="false" outlineLevel="0" collapsed="false">
      <c r="A1018" s="0" t="n">
        <v>2029</v>
      </c>
      <c r="B1018" s="0" t="n">
        <v>302.0328147</v>
      </c>
      <c r="C1018" s="0" t="n">
        <v>6342.689109</v>
      </c>
      <c r="E1018" s="0" t="n">
        <v>2029</v>
      </c>
      <c r="F1018" s="0" t="n">
        <v>19.927026</v>
      </c>
      <c r="G1018" s="0" t="n">
        <v>417.85975</v>
      </c>
      <c r="I1018" s="0" t="n">
        <v>2027</v>
      </c>
      <c r="J1018" s="0" t="n">
        <v>48.54</v>
      </c>
      <c r="K1018" s="0" t="n">
        <v>1019.58</v>
      </c>
      <c r="M1018" s="0" t="n">
        <v>2029</v>
      </c>
      <c r="N1018" s="0" t="n">
        <v>112.6</v>
      </c>
      <c r="O1018" s="0" t="n">
        <v>2363.1</v>
      </c>
      <c r="Q1018" s="0" t="n">
        <v>2030</v>
      </c>
      <c r="R1018" s="0" t="n">
        <v>12</v>
      </c>
      <c r="W1018" s="0" t="n">
        <v>2029</v>
      </c>
      <c r="X1018" s="0" t="n">
        <v>204.833</v>
      </c>
    </row>
    <row r="1019" customFormat="false" ht="15" hidden="false" customHeight="false" outlineLevel="0" collapsed="false">
      <c r="A1019" s="0" t="n">
        <v>2029</v>
      </c>
      <c r="B1019" s="0" t="n">
        <v>76.1816071</v>
      </c>
      <c r="C1019" s="0" t="n">
        <v>1599.813749</v>
      </c>
      <c r="E1019" s="0" t="n">
        <v>2029</v>
      </c>
      <c r="F1019" s="0" t="n">
        <v>581.790268</v>
      </c>
      <c r="G1019" s="0" t="n">
        <v>12211.42824</v>
      </c>
      <c r="I1019" s="0" t="n">
        <v>2027</v>
      </c>
      <c r="J1019" s="0" t="n">
        <v>48.54</v>
      </c>
      <c r="K1019" s="0" t="n">
        <v>1019.58</v>
      </c>
      <c r="M1019" s="0" t="n">
        <v>2029</v>
      </c>
      <c r="N1019" s="0" t="n">
        <v>67.56</v>
      </c>
      <c r="O1019" s="0" t="n">
        <v>1417.86</v>
      </c>
      <c r="Q1019" s="0" t="n">
        <v>2030</v>
      </c>
      <c r="R1019" s="0" t="n">
        <v>13</v>
      </c>
      <c r="W1019" s="0" t="n">
        <v>2029</v>
      </c>
      <c r="X1019" s="0" t="n">
        <v>68617.88</v>
      </c>
    </row>
    <row r="1020" customFormat="false" ht="15" hidden="false" customHeight="false" outlineLevel="0" collapsed="false">
      <c r="A1020" s="0" t="n">
        <v>2029</v>
      </c>
      <c r="B1020" s="0" t="n">
        <v>67.93537182</v>
      </c>
      <c r="C1020" s="0" t="n">
        <v>1426.642808</v>
      </c>
      <c r="E1020" s="0" t="n">
        <v>2029</v>
      </c>
      <c r="F1020" s="0" t="n">
        <v>156.217132</v>
      </c>
      <c r="G1020" s="0" t="n">
        <v>3278.90376</v>
      </c>
      <c r="I1020" s="0" t="n">
        <v>2027</v>
      </c>
      <c r="J1020" s="0" t="n">
        <v>178.88</v>
      </c>
      <c r="K1020" s="0" t="n">
        <v>3760.64</v>
      </c>
      <c r="M1020" s="0" t="n">
        <v>2029</v>
      </c>
      <c r="N1020" s="0" t="n">
        <v>56.3</v>
      </c>
      <c r="O1020" s="0" t="n">
        <v>1181.55</v>
      </c>
      <c r="Q1020" s="0" t="n">
        <v>2030</v>
      </c>
      <c r="R1020" s="0" t="n">
        <v>13</v>
      </c>
      <c r="W1020" s="0" t="n">
        <v>2029</v>
      </c>
      <c r="X1020" s="0" t="n">
        <v>17154.47</v>
      </c>
    </row>
    <row r="1021" customFormat="false" ht="15" hidden="false" customHeight="false" outlineLevel="0" collapsed="false">
      <c r="A1021" s="0" t="n">
        <v>2029</v>
      </c>
      <c r="B1021" s="0" t="n">
        <v>47.24502495</v>
      </c>
      <c r="C1021" s="0" t="n">
        <v>992.1455239</v>
      </c>
      <c r="E1021" s="0" t="n">
        <v>2029</v>
      </c>
      <c r="F1021" s="0" t="n">
        <v>62.528284</v>
      </c>
      <c r="G1021" s="0" t="n">
        <v>1312.43112</v>
      </c>
      <c r="I1021" s="0" t="n">
        <v>2027</v>
      </c>
      <c r="J1021" s="0" t="n">
        <v>27.52</v>
      </c>
      <c r="K1021" s="0" t="n">
        <v>578.56</v>
      </c>
      <c r="M1021" s="0" t="n">
        <v>2029</v>
      </c>
      <c r="N1021" s="0" t="n">
        <v>45.04</v>
      </c>
      <c r="O1021" s="0" t="n">
        <v>945.24</v>
      </c>
      <c r="Q1021" s="0" t="n">
        <v>2030</v>
      </c>
      <c r="R1021" s="0" t="n">
        <v>85</v>
      </c>
      <c r="W1021" s="0" t="n">
        <v>2029</v>
      </c>
      <c r="X1021" s="0" t="n">
        <v>5312.352</v>
      </c>
    </row>
    <row r="1022" customFormat="false" ht="15" hidden="false" customHeight="false" outlineLevel="0" collapsed="false">
      <c r="A1022" s="0" t="n">
        <v>2029</v>
      </c>
      <c r="B1022" s="0" t="n">
        <v>35.14242905</v>
      </c>
      <c r="C1022" s="0" t="n">
        <v>737.99101</v>
      </c>
      <c r="E1022" s="0" t="n">
        <v>2029</v>
      </c>
      <c r="F1022" s="0" t="n">
        <v>8.783188</v>
      </c>
      <c r="G1022" s="0" t="n">
        <v>184.35384</v>
      </c>
      <c r="I1022" s="0" t="n">
        <v>2027</v>
      </c>
      <c r="J1022" s="0" t="n">
        <v>20.64</v>
      </c>
      <c r="K1022" s="0" t="n">
        <v>433.92</v>
      </c>
      <c r="M1022" s="0" t="n">
        <v>2029</v>
      </c>
      <c r="N1022" s="0" t="n">
        <v>22.52</v>
      </c>
      <c r="O1022" s="0" t="n">
        <v>472.62</v>
      </c>
      <c r="Q1022" s="0" t="n">
        <v>2030</v>
      </c>
      <c r="R1022" s="0" t="n">
        <v>81</v>
      </c>
      <c r="W1022" s="0" t="n">
        <v>2029</v>
      </c>
      <c r="X1022" s="0" t="n">
        <v>9407.29</v>
      </c>
    </row>
    <row r="1023" customFormat="false" ht="15" hidden="false" customHeight="false" outlineLevel="0" collapsed="false">
      <c r="A1023" s="0" t="n">
        <v>2029</v>
      </c>
      <c r="B1023" s="0" t="n">
        <v>15.61885736</v>
      </c>
      <c r="C1023" s="0" t="n">
        <v>327.9960045</v>
      </c>
      <c r="E1023" s="0" t="n">
        <v>2029</v>
      </c>
      <c r="F1023" s="0" t="n">
        <v>209.962228</v>
      </c>
      <c r="G1023" s="0" t="n">
        <v>4406.98104</v>
      </c>
      <c r="I1023" s="0" t="n">
        <v>2027</v>
      </c>
      <c r="J1023" s="0" t="n">
        <v>34.4</v>
      </c>
      <c r="K1023" s="0" t="n">
        <v>723.2</v>
      </c>
      <c r="M1023" s="0" t="n">
        <v>2029</v>
      </c>
      <c r="N1023" s="0" t="n">
        <v>27.74</v>
      </c>
      <c r="O1023" s="0" t="n">
        <v>578.74</v>
      </c>
      <c r="Q1023" s="0" t="n">
        <v>2030</v>
      </c>
      <c r="R1023" s="0" t="n">
        <v>38</v>
      </c>
      <c r="W1023" s="0" t="n">
        <v>2029</v>
      </c>
      <c r="X1023" s="0" t="n">
        <v>4205.612</v>
      </c>
    </row>
    <row r="1024" customFormat="false" ht="15" hidden="false" customHeight="false" outlineLevel="0" collapsed="false">
      <c r="A1024" s="0" t="n">
        <v>2029</v>
      </c>
      <c r="B1024" s="0" t="n">
        <v>57.68948804</v>
      </c>
      <c r="C1024" s="0" t="n">
        <v>1211.479249</v>
      </c>
      <c r="E1024" s="0" t="n">
        <v>2029</v>
      </c>
      <c r="F1024" s="0" t="n">
        <v>9.829156</v>
      </c>
      <c r="G1024" s="0" t="n">
        <v>206.30808</v>
      </c>
      <c r="I1024" s="0" t="n">
        <v>2027</v>
      </c>
      <c r="J1024" s="0" t="n">
        <v>6.88</v>
      </c>
      <c r="K1024" s="0" t="n">
        <v>144.64</v>
      </c>
      <c r="M1024" s="0" t="n">
        <v>2029</v>
      </c>
      <c r="N1024" s="0" t="n">
        <v>18.25</v>
      </c>
      <c r="O1024" s="0" t="n">
        <v>380.75</v>
      </c>
      <c r="Q1024" s="0" t="n">
        <v>2030</v>
      </c>
      <c r="R1024" s="0" t="n">
        <v>8</v>
      </c>
      <c r="W1024" s="0" t="n">
        <v>2029</v>
      </c>
      <c r="X1024" s="0" t="n">
        <v>1660.11</v>
      </c>
    </row>
    <row r="1025" customFormat="false" ht="15" hidden="false" customHeight="false" outlineLevel="0" collapsed="false">
      <c r="A1025" s="0" t="n">
        <v>2029</v>
      </c>
      <c r="B1025" s="0" t="n">
        <v>18.05882426</v>
      </c>
      <c r="C1025" s="0" t="n">
        <v>379.2353095</v>
      </c>
      <c r="E1025" s="0" t="n">
        <v>2029</v>
      </c>
      <c r="F1025" s="0" t="n">
        <v>53.745096</v>
      </c>
      <c r="G1025" s="0" t="n">
        <v>1128.07728</v>
      </c>
      <c r="I1025" s="0" t="n">
        <v>2027</v>
      </c>
      <c r="J1025" s="0" t="n">
        <v>6.88</v>
      </c>
      <c r="K1025" s="0" t="n">
        <v>144.64</v>
      </c>
      <c r="M1025" s="0" t="n">
        <v>2029</v>
      </c>
      <c r="N1025" s="0" t="n">
        <v>7.3</v>
      </c>
      <c r="O1025" s="0" t="n">
        <v>152.3</v>
      </c>
      <c r="Q1025" s="0" t="n">
        <v>2030</v>
      </c>
      <c r="R1025" s="0" t="n">
        <v>8</v>
      </c>
      <c r="W1025" s="0" t="n">
        <v>2029</v>
      </c>
      <c r="X1025" s="0" t="n">
        <v>2434.828</v>
      </c>
    </row>
    <row r="1026" customFormat="false" ht="15" hidden="false" customHeight="false" outlineLevel="0" collapsed="false">
      <c r="A1026" s="0" t="n">
        <v>2029</v>
      </c>
      <c r="B1026" s="0" t="n">
        <v>40.37842746</v>
      </c>
      <c r="C1026" s="0" t="n">
        <v>847.9469767</v>
      </c>
      <c r="E1026" s="0" t="n">
        <v>2029</v>
      </c>
      <c r="F1026" s="0" t="n">
        <v>49.144648</v>
      </c>
      <c r="G1026" s="0" t="n">
        <v>1031.51664</v>
      </c>
      <c r="I1026" s="0" t="n">
        <v>2027</v>
      </c>
      <c r="J1026" s="0" t="n">
        <v>0</v>
      </c>
      <c r="K1026" s="0" t="n">
        <v>0</v>
      </c>
      <c r="M1026" s="0" t="n">
        <v>2029</v>
      </c>
      <c r="N1026" s="0" t="n">
        <v>7.3</v>
      </c>
      <c r="O1026" s="0" t="n">
        <v>152.3</v>
      </c>
      <c r="Q1026" s="0" t="n">
        <v>2030</v>
      </c>
      <c r="R1026" s="0" t="n">
        <v>8</v>
      </c>
      <c r="W1026" s="0" t="n">
        <v>2029</v>
      </c>
      <c r="X1026" s="0" t="n">
        <v>1881.458</v>
      </c>
    </row>
    <row r="1027" customFormat="false" ht="15" hidden="false" customHeight="false" outlineLevel="0" collapsed="false">
      <c r="A1027" s="0" t="n">
        <v>2029</v>
      </c>
      <c r="B1027" s="0" t="n">
        <v>145.0066659</v>
      </c>
      <c r="C1027" s="0" t="n">
        <v>3045.139984</v>
      </c>
      <c r="E1027" s="0" t="n">
        <v>2029</v>
      </c>
      <c r="F1027" s="0" t="n">
        <v>1612.258013</v>
      </c>
      <c r="G1027" s="0" t="n">
        <v>33853.30668</v>
      </c>
      <c r="I1027" s="0" t="n">
        <v>2027</v>
      </c>
      <c r="J1027" s="0" t="n">
        <v>13.76</v>
      </c>
      <c r="K1027" s="0" t="n">
        <v>289.28</v>
      </c>
      <c r="M1027" s="0" t="n">
        <v>2029</v>
      </c>
      <c r="N1027" s="0" t="n">
        <v>4.38</v>
      </c>
      <c r="O1027" s="0" t="n">
        <v>91.38</v>
      </c>
      <c r="Q1027" s="0" t="n">
        <v>2030</v>
      </c>
      <c r="R1027" s="0" t="n">
        <v>864</v>
      </c>
      <c r="W1027" s="0" t="n">
        <v>2029</v>
      </c>
      <c r="X1027" s="0" t="n">
        <v>9730.28</v>
      </c>
    </row>
    <row r="1028" customFormat="false" ht="15" hidden="false" customHeight="false" outlineLevel="0" collapsed="false">
      <c r="A1028" s="0" t="n">
        <v>2029</v>
      </c>
      <c r="B1028" s="0" t="n">
        <v>36.57496905</v>
      </c>
      <c r="C1028" s="0" t="n">
        <v>768.0743501</v>
      </c>
      <c r="E1028" s="0" t="n">
        <v>2029</v>
      </c>
      <c r="F1028" s="0" t="n">
        <v>432.909137</v>
      </c>
      <c r="G1028" s="0" t="n">
        <v>9089.987869</v>
      </c>
      <c r="I1028" s="0" t="n">
        <v>2027</v>
      </c>
      <c r="J1028" s="0" t="n">
        <v>24.08</v>
      </c>
      <c r="K1028" s="0" t="n">
        <v>506.24</v>
      </c>
      <c r="M1028" s="0" t="n">
        <v>2029</v>
      </c>
      <c r="N1028" s="0" t="n">
        <v>3.65</v>
      </c>
      <c r="O1028" s="0" t="n">
        <v>76.15</v>
      </c>
      <c r="Q1028" s="0" t="n">
        <v>2030</v>
      </c>
      <c r="R1028" s="0" t="n">
        <v>821</v>
      </c>
      <c r="W1028" s="0" t="n">
        <v>2029</v>
      </c>
      <c r="X1028" s="0" t="n">
        <v>2432.57</v>
      </c>
    </row>
    <row r="1029" customFormat="false" ht="15" hidden="false" customHeight="false" outlineLevel="0" collapsed="false">
      <c r="A1029" s="0" t="n">
        <v>2029</v>
      </c>
      <c r="B1029" s="0" t="n">
        <v>32.61593206</v>
      </c>
      <c r="C1029" s="0" t="n">
        <v>684.9345733</v>
      </c>
      <c r="E1029" s="0" t="n">
        <v>2029</v>
      </c>
      <c r="F1029" s="0" t="n">
        <v>173.278469</v>
      </c>
      <c r="G1029" s="0" t="n">
        <v>3638.405953</v>
      </c>
      <c r="I1029" s="0" t="n">
        <v>2027</v>
      </c>
      <c r="J1029" s="0" t="n">
        <v>6.88</v>
      </c>
      <c r="K1029" s="0" t="n">
        <v>144.64</v>
      </c>
      <c r="M1029" s="0" t="n">
        <v>2029</v>
      </c>
      <c r="N1029" s="0" t="n">
        <v>2.92</v>
      </c>
      <c r="O1029" s="0" t="n">
        <v>60.92</v>
      </c>
      <c r="Q1029" s="0" t="n">
        <v>2030</v>
      </c>
      <c r="R1029" s="0" t="n">
        <v>389</v>
      </c>
      <c r="W1029" s="0" t="n">
        <v>2029</v>
      </c>
      <c r="X1029" s="0" t="n">
        <v>753.312</v>
      </c>
    </row>
    <row r="1030" customFormat="false" ht="15" hidden="false" customHeight="false" outlineLevel="0" collapsed="false">
      <c r="A1030" s="0" t="n">
        <v>2029</v>
      </c>
      <c r="B1030" s="0" t="n">
        <v>22.68244779</v>
      </c>
      <c r="C1030" s="0" t="n">
        <v>476.3314035</v>
      </c>
      <c r="E1030" s="0" t="n">
        <v>2029</v>
      </c>
      <c r="F1030" s="0" t="n">
        <v>24.339983</v>
      </c>
      <c r="G1030" s="0" t="n">
        <v>511.077571</v>
      </c>
      <c r="I1030" s="0" t="n">
        <v>2027</v>
      </c>
      <c r="J1030" s="0" t="n">
        <v>24.08</v>
      </c>
      <c r="K1030" s="0" t="n">
        <v>506.24</v>
      </c>
      <c r="M1030" s="0" t="n">
        <v>2029</v>
      </c>
      <c r="N1030" s="0" t="n">
        <v>1.46</v>
      </c>
      <c r="O1030" s="0" t="n">
        <v>30.46</v>
      </c>
      <c r="Q1030" s="0" t="n">
        <v>2030</v>
      </c>
      <c r="R1030" s="0" t="n">
        <v>86</v>
      </c>
      <c r="W1030" s="0" t="n">
        <v>2029</v>
      </c>
      <c r="X1030" s="0" t="n">
        <v>1333.99</v>
      </c>
    </row>
    <row r="1031" customFormat="false" ht="15" hidden="false" customHeight="false" outlineLevel="0" collapsed="false">
      <c r="A1031" s="0" t="n">
        <v>2029</v>
      </c>
      <c r="B1031" s="0" t="n">
        <v>16.87196298</v>
      </c>
      <c r="C1031" s="0" t="n">
        <v>354.3112226</v>
      </c>
      <c r="E1031" s="0" t="n">
        <v>2029</v>
      </c>
      <c r="F1031" s="0" t="n">
        <v>581.847623</v>
      </c>
      <c r="G1031" s="0" t="n">
        <v>12217.31625</v>
      </c>
      <c r="I1031" s="0" t="n">
        <v>2027</v>
      </c>
      <c r="J1031" s="0" t="n">
        <v>399.36</v>
      </c>
      <c r="K1031" s="0" t="n">
        <v>8387.04</v>
      </c>
      <c r="M1031" s="0" t="n">
        <v>2029</v>
      </c>
      <c r="N1031" s="0" t="n">
        <v>49.02</v>
      </c>
      <c r="O1031" s="0" t="n">
        <v>1022.96</v>
      </c>
      <c r="Q1031" s="0" t="n">
        <v>2030</v>
      </c>
      <c r="R1031" s="0" t="n">
        <v>83</v>
      </c>
      <c r="W1031" s="0" t="n">
        <v>2029</v>
      </c>
      <c r="X1031" s="0" t="n">
        <v>596.372</v>
      </c>
    </row>
    <row r="1032" customFormat="false" ht="15" hidden="false" customHeight="false" outlineLevel="0" collapsed="false">
      <c r="A1032" s="0" t="n">
        <v>2029</v>
      </c>
      <c r="B1032" s="0" t="n">
        <v>7.498650214</v>
      </c>
      <c r="C1032" s="0" t="n">
        <v>157.4716545</v>
      </c>
      <c r="E1032" s="0" t="n">
        <v>2029</v>
      </c>
      <c r="F1032" s="0" t="n">
        <v>27.238571</v>
      </c>
      <c r="G1032" s="0" t="n">
        <v>571.940527</v>
      </c>
      <c r="I1032" s="0" t="n">
        <v>2027</v>
      </c>
      <c r="J1032" s="0" t="n">
        <v>133.12</v>
      </c>
      <c r="K1032" s="0" t="n">
        <v>2795.68</v>
      </c>
      <c r="M1032" s="0" t="n">
        <v>2029</v>
      </c>
      <c r="N1032" s="0" t="n">
        <v>32.25</v>
      </c>
      <c r="O1032" s="0" t="n">
        <v>673</v>
      </c>
      <c r="Q1032" s="0" t="n">
        <v>2030</v>
      </c>
      <c r="R1032" s="0" t="n">
        <v>83</v>
      </c>
      <c r="W1032" s="0" t="n">
        <v>2029</v>
      </c>
      <c r="X1032" s="0" t="n">
        <v>235.41</v>
      </c>
    </row>
    <row r="1033" customFormat="false" ht="15" hidden="false" customHeight="false" outlineLevel="0" collapsed="false">
      <c r="A1033" s="0" t="n">
        <v>2029</v>
      </c>
      <c r="B1033" s="0" t="n">
        <v>27.69685912</v>
      </c>
      <c r="C1033" s="0" t="n">
        <v>581.6340416</v>
      </c>
      <c r="E1033" s="0" t="n">
        <v>2029</v>
      </c>
      <c r="F1033" s="0" t="n">
        <v>148.938486</v>
      </c>
      <c r="G1033" s="0" t="n">
        <v>3127.328382</v>
      </c>
      <c r="I1033" s="0" t="n">
        <v>2027</v>
      </c>
      <c r="J1033" s="0" t="n">
        <v>58.24</v>
      </c>
      <c r="K1033" s="0" t="n">
        <v>1223.11</v>
      </c>
      <c r="M1033" s="0" t="n">
        <v>2029</v>
      </c>
      <c r="N1033" s="0" t="n">
        <v>12.9</v>
      </c>
      <c r="O1033" s="0" t="n">
        <v>269.2</v>
      </c>
      <c r="Q1033" s="0" t="n">
        <v>2030</v>
      </c>
      <c r="R1033" s="0" t="n">
        <v>85</v>
      </c>
      <c r="W1033" s="0" t="n">
        <v>2029</v>
      </c>
      <c r="X1033" s="0" t="n">
        <v>345.268</v>
      </c>
    </row>
    <row r="1034" customFormat="false" ht="15" hidden="false" customHeight="false" outlineLevel="0" collapsed="false">
      <c r="A1034" s="0" t="n">
        <v>2029</v>
      </c>
      <c r="B1034" s="0" t="n">
        <v>8.670084075</v>
      </c>
      <c r="C1034" s="0" t="n">
        <v>182.0717656</v>
      </c>
      <c r="E1034" s="0" t="n">
        <v>2029</v>
      </c>
      <c r="F1034" s="0" t="n">
        <v>136.189718</v>
      </c>
      <c r="G1034" s="0" t="n">
        <v>2859.636766</v>
      </c>
      <c r="I1034" s="0" t="n">
        <v>2027</v>
      </c>
      <c r="J1034" s="0" t="n">
        <v>33.28</v>
      </c>
      <c r="K1034" s="0" t="n">
        <v>698.92</v>
      </c>
      <c r="M1034" s="0" t="n">
        <v>2029</v>
      </c>
      <c r="N1034" s="0" t="n">
        <v>12.9</v>
      </c>
      <c r="O1034" s="0" t="n">
        <v>269.2</v>
      </c>
      <c r="Q1034" s="0" t="n">
        <v>2030</v>
      </c>
      <c r="R1034" s="0" t="n">
        <v>81</v>
      </c>
      <c r="W1034" s="0" t="n">
        <v>2029</v>
      </c>
      <c r="X1034" s="0" t="n">
        <v>266.798</v>
      </c>
    </row>
    <row r="1035" customFormat="false" ht="15" hidden="false" customHeight="false" outlineLevel="0" collapsed="false">
      <c r="A1035" s="0" t="n">
        <v>2029</v>
      </c>
      <c r="B1035" s="0" t="n">
        <v>19.38577815</v>
      </c>
      <c r="C1035" s="0" t="n">
        <v>407.1013412</v>
      </c>
      <c r="E1035" s="0" t="n">
        <v>2029</v>
      </c>
      <c r="F1035" s="0" t="n">
        <v>859.322728</v>
      </c>
      <c r="G1035" s="0" t="n">
        <v>18043.72149</v>
      </c>
      <c r="I1035" s="0" t="n">
        <v>2027</v>
      </c>
      <c r="J1035" s="0" t="n">
        <v>33.28</v>
      </c>
      <c r="K1035" s="0" t="n">
        <v>698.92</v>
      </c>
      <c r="M1035" s="0" t="n">
        <v>2029</v>
      </c>
      <c r="N1035" s="0" t="n">
        <v>7.74</v>
      </c>
      <c r="O1035" s="0" t="n">
        <v>161.52</v>
      </c>
      <c r="Q1035" s="0" t="n">
        <v>2030</v>
      </c>
      <c r="R1035" s="0" t="n">
        <v>38</v>
      </c>
      <c r="W1035" s="0" t="n">
        <v>2029</v>
      </c>
      <c r="X1035" s="0" t="n">
        <v>10773.74</v>
      </c>
    </row>
    <row r="1036" customFormat="false" ht="15" hidden="false" customHeight="false" outlineLevel="0" collapsed="false">
      <c r="A1036" s="0" t="n">
        <v>2029</v>
      </c>
      <c r="B1036" s="0" t="n">
        <v>60.84363505</v>
      </c>
      <c r="C1036" s="0" t="n">
        <v>1277.716336</v>
      </c>
      <c r="E1036" s="0" t="n">
        <v>2029</v>
      </c>
      <c r="F1036" s="0" t="n">
        <v>230.737672</v>
      </c>
      <c r="G1036" s="0" t="n">
        <v>4844.939108</v>
      </c>
      <c r="I1036" s="0" t="n">
        <v>2027</v>
      </c>
      <c r="J1036" s="0" t="n">
        <v>16.64</v>
      </c>
      <c r="K1036" s="0" t="n">
        <v>349.46</v>
      </c>
      <c r="M1036" s="0" t="n">
        <v>2029</v>
      </c>
      <c r="N1036" s="0" t="n">
        <v>6.45</v>
      </c>
      <c r="O1036" s="0" t="n">
        <v>134.6</v>
      </c>
      <c r="Q1036" s="0" t="n">
        <v>2030</v>
      </c>
      <c r="R1036" s="0" t="n">
        <v>9</v>
      </c>
      <c r="W1036" s="0" t="n">
        <v>2029</v>
      </c>
      <c r="X1036" s="0" t="n">
        <v>2693.435</v>
      </c>
    </row>
    <row r="1037" customFormat="false" ht="15" hidden="false" customHeight="false" outlineLevel="0" collapsed="false">
      <c r="A1037" s="0" t="n">
        <v>2029</v>
      </c>
      <c r="B1037" s="0" t="n">
        <v>15.34656393</v>
      </c>
      <c r="C1037" s="0" t="n">
        <v>322.2778425</v>
      </c>
      <c r="E1037" s="0" t="n">
        <v>2029</v>
      </c>
      <c r="F1037" s="0" t="n">
        <v>92.356264</v>
      </c>
      <c r="G1037" s="0" t="n">
        <v>1939.260596</v>
      </c>
      <c r="I1037" s="0" t="n">
        <v>2027</v>
      </c>
      <c r="J1037" s="0" t="n">
        <v>16.64</v>
      </c>
      <c r="K1037" s="0" t="n">
        <v>349.46</v>
      </c>
      <c r="M1037" s="0" t="n">
        <v>2029</v>
      </c>
      <c r="N1037" s="0" t="n">
        <v>5.16</v>
      </c>
      <c r="O1037" s="0" t="n">
        <v>107.68</v>
      </c>
      <c r="Q1037" s="0" t="n">
        <v>2030</v>
      </c>
      <c r="R1037" s="0" t="n">
        <v>8</v>
      </c>
      <c r="W1037" s="0" t="n">
        <v>2029</v>
      </c>
      <c r="X1037" s="0" t="n">
        <v>834.096</v>
      </c>
    </row>
    <row r="1038" customFormat="false" ht="15" hidden="false" customHeight="false" outlineLevel="0" collapsed="false">
      <c r="A1038" s="0" t="n">
        <v>2029</v>
      </c>
      <c r="B1038" s="0" t="n">
        <v>13.68538373</v>
      </c>
      <c r="C1038" s="0" t="n">
        <v>287.3930584</v>
      </c>
      <c r="E1038" s="0" t="n">
        <v>2029</v>
      </c>
      <c r="F1038" s="0" t="n">
        <v>12.973048</v>
      </c>
      <c r="G1038" s="0" t="n">
        <v>272.402972</v>
      </c>
      <c r="I1038" s="0" t="n">
        <v>2027</v>
      </c>
      <c r="J1038" s="0" t="n">
        <v>33.28</v>
      </c>
      <c r="K1038" s="0" t="n">
        <v>698.92</v>
      </c>
      <c r="M1038" s="0" t="n">
        <v>2029</v>
      </c>
      <c r="N1038" s="0" t="n">
        <v>2.58</v>
      </c>
      <c r="O1038" s="0" t="n">
        <v>53.84</v>
      </c>
      <c r="Q1038" s="0" t="n">
        <v>2030</v>
      </c>
      <c r="R1038" s="0" t="n">
        <v>8</v>
      </c>
      <c r="W1038" s="0" t="n">
        <v>2029</v>
      </c>
      <c r="X1038" s="0" t="n">
        <v>1477.045</v>
      </c>
    </row>
    <row r="1039" customFormat="false" ht="15" hidden="false" customHeight="false" outlineLevel="0" collapsed="false">
      <c r="A1039" s="0" t="n">
        <v>2029</v>
      </c>
      <c r="B1039" s="0" t="n">
        <v>9.517373331</v>
      </c>
      <c r="C1039" s="0" t="n">
        <v>199.8648399</v>
      </c>
      <c r="E1039" s="0" t="n">
        <v>2029</v>
      </c>
      <c r="F1039" s="0" t="n">
        <v>310.120888</v>
      </c>
      <c r="G1039" s="0" t="n">
        <v>6511.796732</v>
      </c>
      <c r="I1039" s="0" t="n">
        <v>2027</v>
      </c>
      <c r="J1039" s="0" t="n">
        <v>58.24</v>
      </c>
      <c r="K1039" s="0" t="n">
        <v>1223.11</v>
      </c>
      <c r="M1039" s="0" t="n">
        <v>2029</v>
      </c>
      <c r="N1039" s="0" t="n">
        <v>57.76</v>
      </c>
      <c r="O1039" s="0" t="n">
        <v>1207.26</v>
      </c>
      <c r="Q1039" s="0" t="n">
        <v>2030</v>
      </c>
      <c r="R1039" s="0" t="n">
        <v>340</v>
      </c>
      <c r="W1039" s="0" t="n">
        <v>2029</v>
      </c>
      <c r="X1039" s="0" t="n">
        <v>660.326</v>
      </c>
    </row>
    <row r="1040" customFormat="false" ht="15" hidden="false" customHeight="false" outlineLevel="0" collapsed="false">
      <c r="A1040" s="0" t="n">
        <v>2029</v>
      </c>
      <c r="B1040" s="0" t="n">
        <v>7.079340468</v>
      </c>
      <c r="C1040" s="0" t="n">
        <v>148.6661498</v>
      </c>
      <c r="E1040" s="0" t="n">
        <v>2029</v>
      </c>
      <c r="F1040" s="0" t="n">
        <v>14.517976</v>
      </c>
      <c r="G1040" s="0" t="n">
        <v>304.842764</v>
      </c>
      <c r="I1040" s="0" t="n">
        <v>2027</v>
      </c>
      <c r="J1040" s="0" t="n">
        <v>24.96</v>
      </c>
      <c r="K1040" s="0" t="n">
        <v>524.19</v>
      </c>
      <c r="M1040" s="0" t="n">
        <v>2029</v>
      </c>
      <c r="N1040" s="0" t="n">
        <v>38</v>
      </c>
      <c r="O1040" s="0" t="n">
        <v>794.25</v>
      </c>
      <c r="Q1040" s="0" t="n">
        <v>2030</v>
      </c>
      <c r="R1040" s="0" t="n">
        <v>323</v>
      </c>
      <c r="W1040" s="0" t="n">
        <v>2029</v>
      </c>
      <c r="X1040" s="0" t="n">
        <v>260.655</v>
      </c>
    </row>
    <row r="1041" customFormat="false" ht="15" hidden="false" customHeight="false" outlineLevel="0" collapsed="false">
      <c r="A1041" s="0" t="n">
        <v>2029</v>
      </c>
      <c r="B1041" s="0" t="n">
        <v>3.146373541</v>
      </c>
      <c r="C1041" s="0" t="n">
        <v>66.07384436</v>
      </c>
      <c r="E1041" s="0" t="n">
        <v>2029</v>
      </c>
      <c r="F1041" s="0" t="n">
        <v>79.383216</v>
      </c>
      <c r="G1041" s="0" t="n">
        <v>1666.857624</v>
      </c>
      <c r="I1041" s="0" t="n">
        <v>2027</v>
      </c>
      <c r="J1041" s="0" t="n">
        <v>24.96</v>
      </c>
      <c r="K1041" s="0" t="n">
        <v>524.19</v>
      </c>
      <c r="M1041" s="0" t="n">
        <v>2029</v>
      </c>
      <c r="N1041" s="0" t="n">
        <v>15.2</v>
      </c>
      <c r="O1041" s="0" t="n">
        <v>317.7</v>
      </c>
      <c r="Q1041" s="0" t="n">
        <v>2030</v>
      </c>
      <c r="R1041" s="0" t="n">
        <v>153</v>
      </c>
      <c r="W1041" s="0" t="n">
        <v>2029</v>
      </c>
      <c r="X1041" s="0" t="n">
        <v>382.294</v>
      </c>
    </row>
    <row r="1042" customFormat="false" ht="15" hidden="false" customHeight="false" outlineLevel="0" collapsed="false">
      <c r="A1042" s="0" t="n">
        <v>2029</v>
      </c>
      <c r="B1042" s="0" t="n">
        <v>11.62138015</v>
      </c>
      <c r="C1042" s="0" t="n">
        <v>244.0489831</v>
      </c>
      <c r="E1042" s="0" t="n">
        <v>2029</v>
      </c>
      <c r="F1042" s="0" t="n">
        <v>72.588208</v>
      </c>
      <c r="G1042" s="0" t="n">
        <v>1524.178712</v>
      </c>
      <c r="I1042" s="0" t="n">
        <v>2027</v>
      </c>
      <c r="J1042" s="0" t="n">
        <v>184.08</v>
      </c>
      <c r="K1042" s="0" t="n">
        <v>3861</v>
      </c>
      <c r="M1042" s="0" t="n">
        <v>2029</v>
      </c>
      <c r="N1042" s="0" t="n">
        <v>15.2</v>
      </c>
      <c r="O1042" s="0" t="n">
        <v>317.7</v>
      </c>
      <c r="Q1042" s="0" t="n">
        <v>2030</v>
      </c>
      <c r="R1042" s="0" t="n">
        <v>34</v>
      </c>
      <c r="W1042" s="0" t="n">
        <v>2029</v>
      </c>
      <c r="X1042" s="0" t="n">
        <v>295.409</v>
      </c>
    </row>
    <row r="1043" customFormat="false" ht="15" hidden="false" customHeight="false" outlineLevel="0" collapsed="false">
      <c r="A1043" s="0" t="n">
        <v>2029</v>
      </c>
      <c r="B1043" s="0" t="n">
        <v>3.637897802</v>
      </c>
      <c r="C1043" s="0" t="n">
        <v>76.39585385</v>
      </c>
      <c r="E1043" s="0" t="n">
        <v>2029</v>
      </c>
      <c r="F1043" s="0" t="n">
        <v>418.354486</v>
      </c>
      <c r="G1043" s="0" t="n">
        <v>8782.360512</v>
      </c>
      <c r="I1043" s="0" t="n">
        <v>2027</v>
      </c>
      <c r="J1043" s="0" t="n">
        <v>28.32</v>
      </c>
      <c r="K1043" s="0" t="n">
        <v>594</v>
      </c>
      <c r="M1043" s="0" t="n">
        <v>2029</v>
      </c>
      <c r="N1043" s="0" t="n">
        <v>9.12</v>
      </c>
      <c r="O1043" s="0" t="n">
        <v>190.62</v>
      </c>
      <c r="Q1043" s="0" t="n">
        <v>2030</v>
      </c>
      <c r="R1043" s="0" t="n">
        <v>32</v>
      </c>
      <c r="W1043" s="0" t="n">
        <v>2029</v>
      </c>
      <c r="X1043" s="0" t="n">
        <v>2907.8</v>
      </c>
    </row>
    <row r="1044" customFormat="false" ht="15" hidden="false" customHeight="false" outlineLevel="0" collapsed="false">
      <c r="A1044" s="0" t="n">
        <v>2029</v>
      </c>
      <c r="B1044" s="0" t="n">
        <v>8.134117171</v>
      </c>
      <c r="C1044" s="0" t="n">
        <v>170.8164606</v>
      </c>
      <c r="E1044" s="0" t="n">
        <v>2029</v>
      </c>
      <c r="F1044" s="0" t="n">
        <v>112.332814</v>
      </c>
      <c r="G1044" s="0" t="n">
        <v>2358.161088</v>
      </c>
      <c r="I1044" s="0" t="n">
        <v>2027</v>
      </c>
      <c r="J1044" s="0" t="n">
        <v>21.24</v>
      </c>
      <c r="K1044" s="0" t="n">
        <v>445.5</v>
      </c>
      <c r="M1044" s="0" t="n">
        <v>2029</v>
      </c>
      <c r="N1044" s="0" t="n">
        <v>7.6</v>
      </c>
      <c r="O1044" s="0" t="n">
        <v>158.85</v>
      </c>
      <c r="Q1044" s="0" t="n">
        <v>2030</v>
      </c>
      <c r="R1044" s="0" t="n">
        <v>32</v>
      </c>
      <c r="W1044" s="0" t="n">
        <v>2029</v>
      </c>
      <c r="X1044" s="0" t="n">
        <v>726.95</v>
      </c>
    </row>
    <row r="1045" customFormat="false" ht="15" hidden="false" customHeight="false" outlineLevel="0" collapsed="false">
      <c r="A1045" s="0" t="n">
        <v>2029</v>
      </c>
      <c r="B1045" s="0" t="n">
        <v>243.187985</v>
      </c>
      <c r="C1045" s="0" t="n">
        <v>5106.947686</v>
      </c>
      <c r="E1045" s="0" t="n">
        <v>2029</v>
      </c>
      <c r="F1045" s="0" t="n">
        <v>44.962918</v>
      </c>
      <c r="G1045" s="0" t="n">
        <v>943.889856</v>
      </c>
      <c r="I1045" s="0" t="n">
        <v>2027</v>
      </c>
      <c r="J1045" s="0" t="n">
        <v>35.4</v>
      </c>
      <c r="K1045" s="0" t="n">
        <v>742.5</v>
      </c>
      <c r="M1045" s="0" t="n">
        <v>2029</v>
      </c>
      <c r="N1045" s="0" t="n">
        <v>6.08</v>
      </c>
      <c r="O1045" s="0" t="n">
        <v>127.08</v>
      </c>
      <c r="Q1045" s="0" t="n">
        <v>2030</v>
      </c>
      <c r="R1045" s="0" t="n">
        <v>410</v>
      </c>
      <c r="W1045" s="0" t="n">
        <v>2029</v>
      </c>
      <c r="X1045" s="0" t="n">
        <v>225.12</v>
      </c>
    </row>
    <row r="1046" customFormat="false" ht="15" hidden="false" customHeight="false" outlineLevel="0" collapsed="false">
      <c r="A1046" s="0" t="n">
        <v>2029</v>
      </c>
      <c r="B1046" s="0" t="n">
        <v>61.33920099</v>
      </c>
      <c r="C1046" s="0" t="n">
        <v>1288.123221</v>
      </c>
      <c r="E1046" s="0" t="n">
        <v>2029</v>
      </c>
      <c r="F1046" s="0" t="n">
        <v>6.315826</v>
      </c>
      <c r="G1046" s="0" t="n">
        <v>132.585792</v>
      </c>
      <c r="I1046" s="0" t="n">
        <v>2027</v>
      </c>
      <c r="J1046" s="0" t="n">
        <v>7.08</v>
      </c>
      <c r="K1046" s="0" t="n">
        <v>148.5</v>
      </c>
      <c r="M1046" s="0" t="n">
        <v>2029</v>
      </c>
      <c r="N1046" s="0" t="n">
        <v>3.04</v>
      </c>
      <c r="O1046" s="0" t="n">
        <v>63.54</v>
      </c>
      <c r="Q1046" s="0" t="n">
        <v>2030</v>
      </c>
      <c r="R1046" s="0" t="n">
        <v>389</v>
      </c>
      <c r="W1046" s="0" t="n">
        <v>2029</v>
      </c>
      <c r="X1046" s="0" t="n">
        <v>398.65</v>
      </c>
    </row>
    <row r="1047" customFormat="false" ht="15" hidden="false" customHeight="false" outlineLevel="0" collapsed="false">
      <c r="A1047" s="0" t="n">
        <v>2029</v>
      </c>
      <c r="B1047" s="0" t="n">
        <v>54.69957362</v>
      </c>
      <c r="C1047" s="0" t="n">
        <v>1148.691046</v>
      </c>
      <c r="E1047" s="0" t="n">
        <v>2029</v>
      </c>
      <c r="F1047" s="0" t="n">
        <v>150.979906</v>
      </c>
      <c r="G1047" s="0" t="n">
        <v>3169.465152</v>
      </c>
      <c r="I1047" s="0" t="n">
        <v>2027</v>
      </c>
      <c r="J1047" s="0" t="n">
        <v>7.08</v>
      </c>
      <c r="K1047" s="0" t="n">
        <v>148.5</v>
      </c>
      <c r="M1047" s="0" t="n">
        <v>2029</v>
      </c>
      <c r="N1047" s="0" t="n">
        <v>110.96</v>
      </c>
      <c r="O1047" s="0" t="n">
        <v>2324.84</v>
      </c>
      <c r="Q1047" s="0" t="n">
        <v>2030</v>
      </c>
      <c r="R1047" s="0" t="n">
        <v>184</v>
      </c>
      <c r="W1047" s="0" t="n">
        <v>2029</v>
      </c>
      <c r="X1047" s="0" t="n">
        <v>178.22</v>
      </c>
    </row>
    <row r="1048" customFormat="false" ht="15" hidden="false" customHeight="false" outlineLevel="0" collapsed="false">
      <c r="A1048" s="0" t="n">
        <v>2029</v>
      </c>
      <c r="B1048" s="0" t="n">
        <v>38.04031171</v>
      </c>
      <c r="C1048" s="0" t="n">
        <v>798.846546</v>
      </c>
      <c r="E1048" s="0" t="n">
        <v>2029</v>
      </c>
      <c r="F1048" s="0" t="n">
        <v>7.067962</v>
      </c>
      <c r="G1048" s="0" t="n">
        <v>148.375104</v>
      </c>
      <c r="I1048" s="0" t="n">
        <v>2027</v>
      </c>
      <c r="J1048" s="0" t="n">
        <v>0</v>
      </c>
      <c r="K1048" s="0" t="n">
        <v>0</v>
      </c>
      <c r="M1048" s="0" t="n">
        <v>2029</v>
      </c>
      <c r="N1048" s="0" t="n">
        <v>73</v>
      </c>
      <c r="O1048" s="0" t="n">
        <v>1529.5</v>
      </c>
      <c r="Q1048" s="0" t="n">
        <v>2030</v>
      </c>
      <c r="R1048" s="0" t="n">
        <v>41</v>
      </c>
      <c r="W1048" s="0" t="n">
        <v>2029</v>
      </c>
      <c r="X1048" s="0" t="n">
        <v>70.35</v>
      </c>
    </row>
    <row r="1049" customFormat="false" ht="15" hidden="false" customHeight="false" outlineLevel="0" collapsed="false">
      <c r="A1049" s="0" t="n">
        <v>2029</v>
      </c>
      <c r="B1049" s="0" t="n">
        <v>28.29565561</v>
      </c>
      <c r="C1049" s="0" t="n">
        <v>594.2087679</v>
      </c>
      <c r="E1049" s="0" t="n">
        <v>2029</v>
      </c>
      <c r="F1049" s="0" t="n">
        <v>38.647092</v>
      </c>
      <c r="G1049" s="0" t="n">
        <v>811.304064</v>
      </c>
      <c r="I1049" s="0" t="n">
        <v>2027</v>
      </c>
      <c r="J1049" s="0" t="n">
        <v>14.16</v>
      </c>
      <c r="K1049" s="0" t="n">
        <v>297</v>
      </c>
      <c r="M1049" s="0" t="n">
        <v>2029</v>
      </c>
      <c r="N1049" s="0" t="n">
        <v>29.2</v>
      </c>
      <c r="O1049" s="0" t="n">
        <v>611.8</v>
      </c>
      <c r="Q1049" s="0" t="n">
        <v>2030</v>
      </c>
      <c r="R1049" s="0" t="n">
        <v>40</v>
      </c>
      <c r="W1049" s="0" t="n">
        <v>2029</v>
      </c>
      <c r="X1049" s="0" t="n">
        <v>103.18</v>
      </c>
    </row>
    <row r="1050" customFormat="false" ht="15" hidden="false" customHeight="false" outlineLevel="0" collapsed="false">
      <c r="A1050" s="0" t="n">
        <v>2029</v>
      </c>
      <c r="B1050" s="0" t="n">
        <v>12.57584694</v>
      </c>
      <c r="C1050" s="0" t="n">
        <v>264.0927857</v>
      </c>
      <c r="E1050" s="0" t="n">
        <v>2029</v>
      </c>
      <c r="F1050" s="0" t="n">
        <v>35.338996</v>
      </c>
      <c r="G1050" s="0" t="n">
        <v>741.858432</v>
      </c>
      <c r="I1050" s="0" t="n">
        <v>2027</v>
      </c>
      <c r="J1050" s="0" t="n">
        <v>24.78</v>
      </c>
      <c r="K1050" s="0" t="n">
        <v>519.75</v>
      </c>
      <c r="M1050" s="0" t="n">
        <v>2029</v>
      </c>
      <c r="N1050" s="0" t="n">
        <v>29.2</v>
      </c>
      <c r="O1050" s="0" t="n">
        <v>611.8</v>
      </c>
      <c r="Q1050" s="0" t="n">
        <v>2030</v>
      </c>
      <c r="R1050" s="0" t="n">
        <v>40</v>
      </c>
      <c r="W1050" s="0" t="n">
        <v>2029</v>
      </c>
      <c r="X1050" s="0" t="n">
        <v>79.73</v>
      </c>
    </row>
    <row r="1051" customFormat="false" ht="15" hidden="false" customHeight="false" outlineLevel="0" collapsed="false">
      <c r="A1051" s="0" t="n">
        <v>2029</v>
      </c>
      <c r="B1051" s="0" t="n">
        <v>46.44988779</v>
      </c>
      <c r="C1051" s="0" t="n">
        <v>975.4476437</v>
      </c>
      <c r="E1051" s="0" t="n">
        <v>2029</v>
      </c>
      <c r="F1051" s="0" t="n">
        <v>332.011054</v>
      </c>
      <c r="G1051" s="0" t="n">
        <v>6964.00895</v>
      </c>
      <c r="I1051" s="0" t="n">
        <v>2027</v>
      </c>
      <c r="J1051" s="0" t="n">
        <v>7.08</v>
      </c>
      <c r="K1051" s="0" t="n">
        <v>148.5</v>
      </c>
      <c r="M1051" s="0" t="n">
        <v>2029</v>
      </c>
      <c r="N1051" s="0" t="n">
        <v>17.52</v>
      </c>
      <c r="O1051" s="0" t="n">
        <v>367.08</v>
      </c>
      <c r="Q1051" s="0" t="n">
        <v>2030</v>
      </c>
      <c r="R1051" s="0" t="n">
        <v>288</v>
      </c>
      <c r="W1051" s="0" t="n">
        <v>2029</v>
      </c>
      <c r="X1051" s="0" t="n">
        <v>6598.66</v>
      </c>
    </row>
    <row r="1052" customFormat="false" ht="15" hidden="false" customHeight="false" outlineLevel="0" collapsed="false">
      <c r="A1052" s="0" t="n">
        <v>2029</v>
      </c>
      <c r="B1052" s="0" t="n">
        <v>14.5404369</v>
      </c>
      <c r="C1052" s="0" t="n">
        <v>305.3491749</v>
      </c>
      <c r="E1052" s="0" t="n">
        <v>2029</v>
      </c>
      <c r="F1052" s="0" t="n">
        <v>89.148646</v>
      </c>
      <c r="G1052" s="0" t="n">
        <v>1869.91355</v>
      </c>
      <c r="I1052" s="0" t="n">
        <v>2027</v>
      </c>
      <c r="J1052" s="0" t="n">
        <v>24.78</v>
      </c>
      <c r="K1052" s="0" t="n">
        <v>519.75</v>
      </c>
      <c r="M1052" s="0" t="n">
        <v>2029</v>
      </c>
      <c r="N1052" s="0" t="n">
        <v>14.6</v>
      </c>
      <c r="O1052" s="0" t="n">
        <v>305.9</v>
      </c>
      <c r="Q1052" s="0" t="n">
        <v>2030</v>
      </c>
      <c r="R1052" s="0" t="n">
        <v>273</v>
      </c>
      <c r="W1052" s="0" t="n">
        <v>2029</v>
      </c>
      <c r="X1052" s="0" t="n">
        <v>1649.665</v>
      </c>
    </row>
    <row r="1053" customFormat="false" ht="15" hidden="false" customHeight="false" outlineLevel="0" collapsed="false">
      <c r="A1053" s="0" t="n">
        <v>2029</v>
      </c>
      <c r="B1053" s="0" t="n">
        <v>32.51152833</v>
      </c>
      <c r="C1053" s="0" t="n">
        <v>682.742095</v>
      </c>
      <c r="E1053" s="0" t="n">
        <v>2029</v>
      </c>
      <c r="F1053" s="0" t="n">
        <v>35.683102</v>
      </c>
      <c r="G1053" s="0" t="n">
        <v>748.46135</v>
      </c>
      <c r="I1053" s="0" t="n">
        <v>2027</v>
      </c>
      <c r="J1053" s="0" t="n">
        <v>315.84</v>
      </c>
      <c r="K1053" s="0" t="n">
        <v>6635.52</v>
      </c>
      <c r="M1053" s="0" t="n">
        <v>2029</v>
      </c>
      <c r="N1053" s="0" t="n">
        <v>11.68</v>
      </c>
      <c r="O1053" s="0" t="n">
        <v>244.72</v>
      </c>
      <c r="Q1053" s="0" t="n">
        <v>2030</v>
      </c>
      <c r="R1053" s="0" t="n">
        <v>129</v>
      </c>
      <c r="W1053" s="0" t="n">
        <v>2029</v>
      </c>
      <c r="X1053" s="0" t="n">
        <v>510.864</v>
      </c>
    </row>
    <row r="1054" customFormat="false" ht="15" hidden="false" customHeight="false" outlineLevel="0" collapsed="false">
      <c r="A1054" s="0" t="n">
        <v>2029</v>
      </c>
      <c r="B1054" s="0" t="n">
        <v>310.2145913</v>
      </c>
      <c r="C1054" s="0" t="n">
        <v>6514.506418</v>
      </c>
      <c r="E1054" s="0" t="n">
        <v>2029</v>
      </c>
      <c r="F1054" s="0" t="n">
        <v>5.012314</v>
      </c>
      <c r="G1054" s="0" t="n">
        <v>105.13445</v>
      </c>
      <c r="I1054" s="0" t="n">
        <v>2027</v>
      </c>
      <c r="J1054" s="0" t="n">
        <v>105.28</v>
      </c>
      <c r="K1054" s="0" t="n">
        <v>2211.84</v>
      </c>
      <c r="M1054" s="0" t="n">
        <v>2029</v>
      </c>
      <c r="N1054" s="0" t="n">
        <v>5.84</v>
      </c>
      <c r="O1054" s="0" t="n">
        <v>122.36</v>
      </c>
      <c r="Q1054" s="0" t="n">
        <v>2030</v>
      </c>
      <c r="R1054" s="0" t="n">
        <v>29</v>
      </c>
      <c r="W1054" s="0" t="n">
        <v>2029</v>
      </c>
      <c r="X1054" s="0" t="n">
        <v>904.655</v>
      </c>
    </row>
    <row r="1055" customFormat="false" ht="15" hidden="false" customHeight="false" outlineLevel="0" collapsed="false">
      <c r="A1055" s="0" t="n">
        <v>2029</v>
      </c>
      <c r="B1055" s="0" t="n">
        <v>78.2452931</v>
      </c>
      <c r="C1055" s="0" t="n">
        <v>1643.151155</v>
      </c>
      <c r="E1055" s="0" t="n">
        <v>2029</v>
      </c>
      <c r="F1055" s="0" t="n">
        <v>119.819434</v>
      </c>
      <c r="G1055" s="0" t="n">
        <v>2513.24045</v>
      </c>
      <c r="I1055" s="0" t="n">
        <v>2027</v>
      </c>
      <c r="J1055" s="0" t="n">
        <v>46.06</v>
      </c>
      <c r="K1055" s="0" t="n">
        <v>967.68</v>
      </c>
      <c r="M1055" s="0" t="n">
        <v>2029</v>
      </c>
      <c r="N1055" s="0" t="n">
        <v>111.34</v>
      </c>
      <c r="O1055" s="0" t="n">
        <v>2330.92</v>
      </c>
      <c r="Q1055" s="0" t="n">
        <v>2030</v>
      </c>
      <c r="R1055" s="0" t="n">
        <v>28</v>
      </c>
      <c r="W1055" s="0" t="n">
        <v>2029</v>
      </c>
      <c r="X1055" s="0" t="n">
        <v>404.434</v>
      </c>
    </row>
    <row r="1056" customFormat="false" ht="15" hidden="false" customHeight="false" outlineLevel="0" collapsed="false">
      <c r="A1056" s="0" t="n">
        <v>2029</v>
      </c>
      <c r="B1056" s="0" t="n">
        <v>69.77567528</v>
      </c>
      <c r="C1056" s="0" t="n">
        <v>1465.289181</v>
      </c>
      <c r="E1056" s="0" t="n">
        <v>2029</v>
      </c>
      <c r="F1056" s="0" t="n">
        <v>5.609218</v>
      </c>
      <c r="G1056" s="0" t="n">
        <v>117.65465</v>
      </c>
      <c r="I1056" s="0" t="n">
        <v>2027</v>
      </c>
      <c r="J1056" s="0" t="n">
        <v>26.32</v>
      </c>
      <c r="K1056" s="0" t="n">
        <v>552.96</v>
      </c>
      <c r="M1056" s="0" t="n">
        <v>2029</v>
      </c>
      <c r="N1056" s="0" t="n">
        <v>73.25</v>
      </c>
      <c r="O1056" s="0" t="n">
        <v>1533.5</v>
      </c>
      <c r="Q1056" s="0" t="n">
        <v>2030</v>
      </c>
      <c r="R1056" s="0" t="n">
        <v>28</v>
      </c>
      <c r="W1056" s="0" t="n">
        <v>2029</v>
      </c>
      <c r="X1056" s="0" t="n">
        <v>159.645</v>
      </c>
    </row>
    <row r="1057" customFormat="false" ht="15" hidden="false" customHeight="false" outlineLevel="0" collapsed="false">
      <c r="A1057" s="0" t="n">
        <v>2029</v>
      </c>
      <c r="B1057" s="0" t="n">
        <v>48.52484694</v>
      </c>
      <c r="C1057" s="0" t="n">
        <v>1019.021786</v>
      </c>
      <c r="E1057" s="0" t="n">
        <v>2029</v>
      </c>
      <c r="F1057" s="0" t="n">
        <v>30.670788</v>
      </c>
      <c r="G1057" s="0" t="n">
        <v>643.3269</v>
      </c>
      <c r="I1057" s="0" t="n">
        <v>2027</v>
      </c>
      <c r="J1057" s="0" t="n">
        <v>26.32</v>
      </c>
      <c r="K1057" s="0" t="n">
        <v>552.96</v>
      </c>
      <c r="M1057" s="0" t="n">
        <v>2029</v>
      </c>
      <c r="N1057" s="0" t="n">
        <v>29.3</v>
      </c>
      <c r="O1057" s="0" t="n">
        <v>613.4</v>
      </c>
      <c r="Q1057" s="0" t="n">
        <v>2030</v>
      </c>
      <c r="R1057" s="0" t="n">
        <v>121</v>
      </c>
      <c r="W1057" s="0" t="n">
        <v>2029</v>
      </c>
      <c r="X1057" s="0" t="n">
        <v>234.146</v>
      </c>
    </row>
    <row r="1058" customFormat="false" ht="15" hidden="false" customHeight="false" outlineLevel="0" collapsed="false">
      <c r="A1058" s="0" t="n">
        <v>2029</v>
      </c>
      <c r="B1058" s="0" t="n">
        <v>36.09440344</v>
      </c>
      <c r="C1058" s="0" t="n">
        <v>757.9824721</v>
      </c>
      <c r="E1058" s="0" t="n">
        <v>2029</v>
      </c>
      <c r="F1058" s="0" t="n">
        <v>28.045444</v>
      </c>
      <c r="G1058" s="0" t="n">
        <v>588.2597</v>
      </c>
      <c r="I1058" s="0" t="n">
        <v>2027</v>
      </c>
      <c r="J1058" s="0" t="n">
        <v>13.16</v>
      </c>
      <c r="K1058" s="0" t="n">
        <v>276.48</v>
      </c>
      <c r="M1058" s="0" t="n">
        <v>2029</v>
      </c>
      <c r="N1058" s="0" t="n">
        <v>29.3</v>
      </c>
      <c r="O1058" s="0" t="n">
        <v>613.4</v>
      </c>
      <c r="Q1058" s="0" t="n">
        <v>2030</v>
      </c>
      <c r="R1058" s="0" t="n">
        <v>115</v>
      </c>
      <c r="W1058" s="0" t="n">
        <v>2029</v>
      </c>
      <c r="X1058" s="0" t="n">
        <v>180.931</v>
      </c>
    </row>
    <row r="1059" customFormat="false" ht="15" hidden="false" customHeight="false" outlineLevel="0" collapsed="false">
      <c r="A1059" s="0" t="n">
        <v>2029</v>
      </c>
      <c r="B1059" s="0" t="n">
        <v>16.04195708</v>
      </c>
      <c r="C1059" s="0" t="n">
        <v>336.8810987</v>
      </c>
      <c r="E1059" s="0" t="n">
        <v>2029</v>
      </c>
      <c r="F1059" s="0" t="n">
        <v>214.830682</v>
      </c>
      <c r="G1059" s="0" t="n">
        <v>4502.707189</v>
      </c>
      <c r="I1059" s="0" t="n">
        <v>2027</v>
      </c>
      <c r="J1059" s="0" t="n">
        <v>13.16</v>
      </c>
      <c r="K1059" s="0" t="n">
        <v>276.48</v>
      </c>
      <c r="M1059" s="0" t="n">
        <v>2029</v>
      </c>
      <c r="N1059" s="0" t="n">
        <v>17.58</v>
      </c>
      <c r="O1059" s="0" t="n">
        <v>368.04</v>
      </c>
      <c r="Q1059" s="0" t="n">
        <v>2030</v>
      </c>
      <c r="R1059" s="0" t="n">
        <v>55</v>
      </c>
      <c r="W1059" s="0" t="n">
        <v>2029</v>
      </c>
      <c r="X1059" s="0" t="n">
        <v>1701.28</v>
      </c>
    </row>
    <row r="1060" customFormat="false" ht="15" hidden="false" customHeight="false" outlineLevel="0" collapsed="false">
      <c r="A1060" s="0" t="n">
        <v>2029</v>
      </c>
      <c r="B1060" s="0" t="n">
        <v>59.25224043</v>
      </c>
      <c r="C1060" s="0" t="n">
        <v>1244.297049</v>
      </c>
      <c r="E1060" s="0" t="n">
        <v>2029</v>
      </c>
      <c r="F1060" s="0" t="n">
        <v>57.684418</v>
      </c>
      <c r="G1060" s="0" t="n">
        <v>1209.026761</v>
      </c>
      <c r="I1060" s="0" t="n">
        <v>2027</v>
      </c>
      <c r="J1060" s="0" t="n">
        <v>26.32</v>
      </c>
      <c r="K1060" s="0" t="n">
        <v>552.96</v>
      </c>
      <c r="M1060" s="0" t="n">
        <v>2029</v>
      </c>
      <c r="N1060" s="0" t="n">
        <v>14.65</v>
      </c>
      <c r="O1060" s="0" t="n">
        <v>306.7</v>
      </c>
      <c r="Q1060" s="0" t="n">
        <v>2030</v>
      </c>
      <c r="R1060" s="0" t="n">
        <v>12</v>
      </c>
      <c r="W1060" s="0" t="n">
        <v>2029</v>
      </c>
      <c r="X1060" s="0" t="n">
        <v>425.32</v>
      </c>
    </row>
    <row r="1061" customFormat="false" ht="15" hidden="false" customHeight="false" outlineLevel="0" collapsed="false">
      <c r="A1061" s="0" t="n">
        <v>2029</v>
      </c>
      <c r="B1061" s="0" t="n">
        <v>18.54802033</v>
      </c>
      <c r="C1061" s="0" t="n">
        <v>389.508427</v>
      </c>
      <c r="E1061" s="0" t="n">
        <v>2029</v>
      </c>
      <c r="F1061" s="0" t="n">
        <v>23.089066</v>
      </c>
      <c r="G1061" s="0" t="n">
        <v>483.931357</v>
      </c>
      <c r="I1061" s="0" t="n">
        <v>2027</v>
      </c>
      <c r="J1061" s="0" t="n">
        <v>46.06</v>
      </c>
      <c r="K1061" s="0" t="n">
        <v>967.68</v>
      </c>
      <c r="M1061" s="0" t="n">
        <v>2029</v>
      </c>
      <c r="N1061" s="0" t="n">
        <v>11.72</v>
      </c>
      <c r="O1061" s="0" t="n">
        <v>245.36</v>
      </c>
      <c r="Q1061" s="0" t="n">
        <v>2030</v>
      </c>
      <c r="R1061" s="0" t="n">
        <v>12</v>
      </c>
      <c r="W1061" s="0" t="n">
        <v>2029</v>
      </c>
      <c r="X1061" s="0" t="n">
        <v>131.712</v>
      </c>
    </row>
    <row r="1062" customFormat="false" ht="15" hidden="false" customHeight="false" outlineLevel="0" collapsed="false">
      <c r="A1062" s="0" t="n">
        <v>2029</v>
      </c>
      <c r="B1062" s="0" t="n">
        <v>41.47223998</v>
      </c>
      <c r="C1062" s="0" t="n">
        <v>870.9170395</v>
      </c>
      <c r="E1062" s="0" t="n">
        <v>2029</v>
      </c>
      <c r="F1062" s="0" t="n">
        <v>3.243262</v>
      </c>
      <c r="G1062" s="0" t="n">
        <v>67.976599</v>
      </c>
      <c r="I1062" s="0" t="n">
        <v>2027</v>
      </c>
      <c r="J1062" s="0" t="n">
        <v>19.74</v>
      </c>
      <c r="K1062" s="0" t="n">
        <v>414.72</v>
      </c>
      <c r="M1062" s="0" t="n">
        <v>2029</v>
      </c>
      <c r="N1062" s="0" t="n">
        <v>5.86</v>
      </c>
      <c r="O1062" s="0" t="n">
        <v>122.68</v>
      </c>
      <c r="Q1062" s="0" t="n">
        <v>2030</v>
      </c>
      <c r="R1062" s="0" t="n">
        <v>12</v>
      </c>
      <c r="W1062" s="0" t="n">
        <v>2029</v>
      </c>
      <c r="X1062" s="0" t="n">
        <v>233.24</v>
      </c>
    </row>
    <row r="1063" customFormat="false" ht="15" hidden="false" customHeight="false" outlineLevel="0" collapsed="false">
      <c r="A1063" s="0" t="n">
        <v>2029</v>
      </c>
      <c r="B1063" s="0" t="n">
        <v>305.3908077</v>
      </c>
      <c r="C1063" s="0" t="n">
        <v>6413.206962</v>
      </c>
      <c r="E1063" s="0" t="n">
        <v>2029</v>
      </c>
      <c r="F1063" s="0" t="n">
        <v>77.530222</v>
      </c>
      <c r="G1063" s="0" t="n">
        <v>1624.981519</v>
      </c>
      <c r="I1063" s="0" t="n">
        <v>2027</v>
      </c>
      <c r="J1063" s="0" t="n">
        <v>19.74</v>
      </c>
      <c r="K1063" s="0" t="n">
        <v>414.72</v>
      </c>
      <c r="M1063" s="0" t="n">
        <v>2029</v>
      </c>
      <c r="N1063" s="0" t="n">
        <v>619.78</v>
      </c>
      <c r="O1063" s="0" t="n">
        <v>13011.96</v>
      </c>
      <c r="Q1063" s="0" t="n">
        <v>2030</v>
      </c>
      <c r="R1063" s="0" t="n">
        <v>85</v>
      </c>
      <c r="W1063" s="0" t="n">
        <v>2029</v>
      </c>
      <c r="X1063" s="0" t="n">
        <v>104.272</v>
      </c>
    </row>
    <row r="1064" customFormat="false" ht="15" hidden="false" customHeight="false" outlineLevel="0" collapsed="false">
      <c r="A1064" s="0" t="n">
        <v>2029</v>
      </c>
      <c r="B1064" s="0" t="n">
        <v>77.02859224</v>
      </c>
      <c r="C1064" s="0" t="n">
        <v>1617.600437</v>
      </c>
      <c r="E1064" s="0" t="n">
        <v>2029</v>
      </c>
      <c r="F1064" s="0" t="n">
        <v>3.629494</v>
      </c>
      <c r="G1064" s="0" t="n">
        <v>76.071763</v>
      </c>
      <c r="I1064" s="0" t="n">
        <v>2027</v>
      </c>
      <c r="J1064" s="0" t="n">
        <v>510.64</v>
      </c>
      <c r="K1064" s="0" t="n">
        <v>10718.76</v>
      </c>
      <c r="M1064" s="0" t="n">
        <v>2029</v>
      </c>
      <c r="N1064" s="0" t="n">
        <v>407.75</v>
      </c>
      <c r="O1064" s="0" t="n">
        <v>8560.5</v>
      </c>
      <c r="Q1064" s="0" t="n">
        <v>2030</v>
      </c>
      <c r="R1064" s="0" t="n">
        <v>81</v>
      </c>
      <c r="W1064" s="0" t="n">
        <v>2029</v>
      </c>
      <c r="X1064" s="0" t="n">
        <v>41.16</v>
      </c>
    </row>
    <row r="1065" customFormat="false" ht="15" hidden="false" customHeight="false" outlineLevel="0" collapsed="false">
      <c r="A1065" s="0" t="n">
        <v>2029</v>
      </c>
      <c r="B1065" s="0" t="n">
        <v>68.69067552</v>
      </c>
      <c r="C1065" s="0" t="n">
        <v>1442.504186</v>
      </c>
      <c r="E1065" s="0" t="n">
        <v>2029</v>
      </c>
      <c r="F1065" s="0" t="n">
        <v>19.845804</v>
      </c>
      <c r="G1065" s="0" t="n">
        <v>415.954758</v>
      </c>
      <c r="I1065" s="0" t="n">
        <v>2027</v>
      </c>
      <c r="J1065" s="0" t="n">
        <v>78.56</v>
      </c>
      <c r="K1065" s="0" t="n">
        <v>1649.04</v>
      </c>
      <c r="M1065" s="0" t="n">
        <v>2029</v>
      </c>
      <c r="N1065" s="0" t="n">
        <v>163.1</v>
      </c>
      <c r="O1065" s="0" t="n">
        <v>3424.2</v>
      </c>
      <c r="Q1065" s="0" t="n">
        <v>2030</v>
      </c>
      <c r="R1065" s="0" t="n">
        <v>38</v>
      </c>
      <c r="W1065" s="0" t="n">
        <v>2029</v>
      </c>
      <c r="X1065" s="0" t="n">
        <v>60.368</v>
      </c>
    </row>
    <row r="1066" customFormat="false" ht="15" hidden="false" customHeight="false" outlineLevel="0" collapsed="false">
      <c r="A1066" s="0" t="n">
        <v>2029</v>
      </c>
      <c r="B1066" s="0" t="n">
        <v>47.77029391</v>
      </c>
      <c r="C1066" s="0" t="n">
        <v>1003.176172</v>
      </c>
      <c r="E1066" s="0" t="n">
        <v>2029</v>
      </c>
      <c r="F1066" s="0" t="n">
        <v>18.147052</v>
      </c>
      <c r="G1066" s="0" t="n">
        <v>380.350054</v>
      </c>
      <c r="I1066" s="0" t="n">
        <v>2027</v>
      </c>
      <c r="J1066" s="0" t="n">
        <v>58.92</v>
      </c>
      <c r="K1066" s="0" t="n">
        <v>1236.78</v>
      </c>
      <c r="M1066" s="0" t="n">
        <v>2029</v>
      </c>
      <c r="N1066" s="0" t="n">
        <v>163.1</v>
      </c>
      <c r="O1066" s="0" t="n">
        <v>3424.2</v>
      </c>
      <c r="Q1066" s="0" t="n">
        <v>2030</v>
      </c>
      <c r="R1066" s="0" t="n">
        <v>8</v>
      </c>
      <c r="W1066" s="0" t="n">
        <v>2029</v>
      </c>
      <c r="X1066" s="0" t="n">
        <v>46.648</v>
      </c>
    </row>
    <row r="1067" customFormat="false" ht="15" hidden="false" customHeight="false" outlineLevel="0" collapsed="false">
      <c r="A1067" s="0" t="n">
        <v>2029</v>
      </c>
      <c r="B1067" s="0" t="n">
        <v>35.53314166</v>
      </c>
      <c r="C1067" s="0" t="n">
        <v>746.1959749</v>
      </c>
      <c r="E1067" s="0" t="n">
        <v>2029</v>
      </c>
      <c r="F1067" s="0" t="n">
        <v>229.221254</v>
      </c>
      <c r="G1067" s="0" t="n">
        <v>4810.56264</v>
      </c>
      <c r="I1067" s="0" t="n">
        <v>2027</v>
      </c>
      <c r="J1067" s="0" t="n">
        <v>98.2</v>
      </c>
      <c r="K1067" s="0" t="n">
        <v>2061.3</v>
      </c>
      <c r="M1067" s="0" t="n">
        <v>2029</v>
      </c>
      <c r="N1067" s="0" t="n">
        <v>97.86</v>
      </c>
      <c r="O1067" s="0" t="n">
        <v>2054.52</v>
      </c>
      <c r="Q1067" s="0" t="n">
        <v>2030</v>
      </c>
      <c r="R1067" s="0" t="n">
        <v>8</v>
      </c>
      <c r="W1067" s="0" t="n">
        <v>2029</v>
      </c>
      <c r="X1067" s="0" t="n">
        <v>2985.3</v>
      </c>
    </row>
    <row r="1068" customFormat="false" ht="15" hidden="false" customHeight="false" outlineLevel="0" collapsed="false">
      <c r="A1068" s="0" t="n">
        <v>2029</v>
      </c>
      <c r="B1068" s="0" t="n">
        <v>15.79250741</v>
      </c>
      <c r="C1068" s="0" t="n">
        <v>331.6426555</v>
      </c>
      <c r="E1068" s="0" t="n">
        <v>2029</v>
      </c>
      <c r="F1068" s="0" t="n">
        <v>61.548446</v>
      </c>
      <c r="G1068" s="0" t="n">
        <v>1291.68936</v>
      </c>
      <c r="I1068" s="0" t="n">
        <v>2027</v>
      </c>
      <c r="J1068" s="0" t="n">
        <v>19.64</v>
      </c>
      <c r="K1068" s="0" t="n">
        <v>412.26</v>
      </c>
      <c r="M1068" s="0" t="n">
        <v>2029</v>
      </c>
      <c r="N1068" s="0" t="n">
        <v>81.55</v>
      </c>
      <c r="O1068" s="0" t="n">
        <v>1712.1</v>
      </c>
      <c r="Q1068" s="0" t="n">
        <v>2030</v>
      </c>
      <c r="R1068" s="0" t="n">
        <v>8</v>
      </c>
      <c r="W1068" s="0" t="n">
        <v>2029</v>
      </c>
      <c r="X1068" s="0" t="n">
        <v>746.325</v>
      </c>
    </row>
    <row r="1069" customFormat="false" ht="15" hidden="false" customHeight="false" outlineLevel="0" collapsed="false">
      <c r="A1069" s="0" t="n">
        <v>2029</v>
      </c>
      <c r="B1069" s="0" t="n">
        <v>58.33087827</v>
      </c>
      <c r="C1069" s="0" t="n">
        <v>1224.948444</v>
      </c>
      <c r="E1069" s="0" t="n">
        <v>2029</v>
      </c>
      <c r="F1069" s="0" t="n">
        <v>24.635702</v>
      </c>
      <c r="G1069" s="0" t="n">
        <v>517.01832</v>
      </c>
      <c r="I1069" s="0" t="n">
        <v>2027</v>
      </c>
      <c r="J1069" s="0" t="n">
        <v>19.64</v>
      </c>
      <c r="K1069" s="0" t="n">
        <v>412.26</v>
      </c>
      <c r="M1069" s="0" t="n">
        <v>2029</v>
      </c>
      <c r="N1069" s="0" t="n">
        <v>65.24</v>
      </c>
      <c r="O1069" s="0" t="n">
        <v>1369.68</v>
      </c>
      <c r="Q1069" s="0" t="n">
        <v>2030</v>
      </c>
      <c r="R1069" s="0" t="n">
        <v>181</v>
      </c>
      <c r="W1069" s="0" t="n">
        <v>2029</v>
      </c>
      <c r="X1069" s="0" t="n">
        <v>231.12</v>
      </c>
    </row>
    <row r="1070" customFormat="false" ht="15" hidden="false" customHeight="false" outlineLevel="0" collapsed="false">
      <c r="A1070" s="0" t="n">
        <v>2029</v>
      </c>
      <c r="B1070" s="0" t="n">
        <v>18.2596018</v>
      </c>
      <c r="C1070" s="0" t="n">
        <v>383.4516379</v>
      </c>
      <c r="E1070" s="0" t="n">
        <v>2029</v>
      </c>
      <c r="F1070" s="0" t="n">
        <v>3.460514</v>
      </c>
      <c r="G1070" s="0" t="n">
        <v>72.62424</v>
      </c>
      <c r="I1070" s="0" t="n">
        <v>2027</v>
      </c>
      <c r="J1070" s="0" t="n">
        <v>0</v>
      </c>
      <c r="K1070" s="0" t="n">
        <v>0</v>
      </c>
      <c r="M1070" s="0" t="n">
        <v>2029</v>
      </c>
      <c r="N1070" s="0" t="n">
        <v>32.62</v>
      </c>
      <c r="O1070" s="0" t="n">
        <v>684.84</v>
      </c>
      <c r="Q1070" s="0" t="n">
        <v>2030</v>
      </c>
      <c r="R1070" s="0" t="n">
        <v>172</v>
      </c>
      <c r="W1070" s="0" t="n">
        <v>2029</v>
      </c>
      <c r="X1070" s="0" t="n">
        <v>409.275</v>
      </c>
    </row>
    <row r="1071" customFormat="false" ht="15" hidden="false" customHeight="false" outlineLevel="0" collapsed="false">
      <c r="A1071" s="0" t="n">
        <v>2029</v>
      </c>
      <c r="B1071" s="0" t="n">
        <v>40.82735377</v>
      </c>
      <c r="C1071" s="0" t="n">
        <v>857.3744292</v>
      </c>
      <c r="E1071" s="0" t="n">
        <v>2029</v>
      </c>
      <c r="F1071" s="0" t="n">
        <v>82.723634</v>
      </c>
      <c r="G1071" s="0" t="n">
        <v>1736.08344</v>
      </c>
      <c r="I1071" s="0" t="n">
        <v>2027</v>
      </c>
      <c r="J1071" s="0" t="n">
        <v>39.28</v>
      </c>
      <c r="K1071" s="0" t="n">
        <v>824.52</v>
      </c>
      <c r="M1071" s="0" t="n">
        <v>2029</v>
      </c>
      <c r="N1071" s="0" t="n">
        <v>210.9</v>
      </c>
      <c r="O1071" s="0" t="n">
        <v>4423.2</v>
      </c>
      <c r="Q1071" s="0" t="n">
        <v>2030</v>
      </c>
      <c r="R1071" s="0" t="n">
        <v>82</v>
      </c>
      <c r="W1071" s="0" t="n">
        <v>2029</v>
      </c>
      <c r="X1071" s="0" t="n">
        <v>182.97</v>
      </c>
    </row>
    <row r="1072" customFormat="false" ht="15" hidden="false" customHeight="false" outlineLevel="0" collapsed="false">
      <c r="A1072" s="0" t="n">
        <v>2029</v>
      </c>
      <c r="B1072" s="0" t="n">
        <v>1147.260973</v>
      </c>
      <c r="C1072" s="0" t="n">
        <v>24092.48044</v>
      </c>
      <c r="E1072" s="0" t="n">
        <v>2029</v>
      </c>
      <c r="F1072" s="0" t="n">
        <v>3.872618</v>
      </c>
      <c r="G1072" s="0" t="n">
        <v>81.27288</v>
      </c>
      <c r="I1072" s="0" t="n">
        <v>2027</v>
      </c>
      <c r="J1072" s="0" t="n">
        <v>68.74</v>
      </c>
      <c r="K1072" s="0" t="n">
        <v>1442.91</v>
      </c>
      <c r="M1072" s="0" t="n">
        <v>2029</v>
      </c>
      <c r="N1072" s="0" t="n">
        <v>138.75</v>
      </c>
      <c r="O1072" s="0" t="n">
        <v>2910</v>
      </c>
      <c r="Q1072" s="0" t="n">
        <v>2030</v>
      </c>
      <c r="R1072" s="0" t="n">
        <v>18</v>
      </c>
      <c r="W1072" s="0" t="n">
        <v>2029</v>
      </c>
      <c r="X1072" s="0" t="n">
        <v>72.225</v>
      </c>
    </row>
    <row r="1073" customFormat="false" ht="15" hidden="false" customHeight="false" outlineLevel="0" collapsed="false">
      <c r="A1073" s="0" t="n">
        <v>2029</v>
      </c>
      <c r="B1073" s="0" t="n">
        <v>289.3731424</v>
      </c>
      <c r="C1073" s="0" t="n">
        <v>6076.83599</v>
      </c>
      <c r="E1073" s="0" t="n">
        <v>2029</v>
      </c>
      <c r="F1073" s="0" t="n">
        <v>21.175188</v>
      </c>
      <c r="G1073" s="0" t="n">
        <v>444.39408</v>
      </c>
      <c r="I1073" s="0" t="n">
        <v>2027</v>
      </c>
      <c r="J1073" s="0" t="n">
        <v>19.64</v>
      </c>
      <c r="K1073" s="0" t="n">
        <v>412.26</v>
      </c>
      <c r="M1073" s="0" t="n">
        <v>2029</v>
      </c>
      <c r="N1073" s="0" t="n">
        <v>55.5</v>
      </c>
      <c r="O1073" s="0" t="n">
        <v>1164</v>
      </c>
      <c r="Q1073" s="0" t="n">
        <v>2030</v>
      </c>
      <c r="R1073" s="0" t="n">
        <v>19</v>
      </c>
      <c r="W1073" s="0" t="n">
        <v>2029</v>
      </c>
      <c r="X1073" s="0" t="n">
        <v>105.93</v>
      </c>
    </row>
    <row r="1074" customFormat="false" ht="15" hidden="false" customHeight="false" outlineLevel="0" collapsed="false">
      <c r="A1074" s="0" t="n">
        <v>2029</v>
      </c>
      <c r="B1074" s="0" t="n">
        <v>258.0501091</v>
      </c>
      <c r="C1074" s="0" t="n">
        <v>5419.052291</v>
      </c>
      <c r="E1074" s="0" t="n">
        <v>2029</v>
      </c>
      <c r="F1074" s="0" t="n">
        <v>19.362644</v>
      </c>
      <c r="G1074" s="0" t="n">
        <v>406.35504</v>
      </c>
      <c r="I1074" s="0" t="n">
        <v>2027</v>
      </c>
      <c r="J1074" s="0" t="n">
        <v>68.74</v>
      </c>
      <c r="K1074" s="0" t="n">
        <v>1442.91</v>
      </c>
      <c r="M1074" s="0" t="n">
        <v>2029</v>
      </c>
      <c r="N1074" s="0" t="n">
        <v>55.5</v>
      </c>
      <c r="O1074" s="0" t="n">
        <v>1164</v>
      </c>
      <c r="Q1074" s="0" t="n">
        <v>2030</v>
      </c>
      <c r="R1074" s="0" t="n">
        <v>19</v>
      </c>
      <c r="W1074" s="0" t="n">
        <v>2029</v>
      </c>
      <c r="X1074" s="0" t="n">
        <v>81.855</v>
      </c>
    </row>
    <row r="1075" customFormat="false" ht="15" hidden="false" customHeight="false" outlineLevel="0" collapsed="false">
      <c r="A1075" s="0" t="n">
        <v>2029</v>
      </c>
      <c r="B1075" s="0" t="n">
        <v>179.4585577</v>
      </c>
      <c r="C1075" s="0" t="n">
        <v>3768.629711</v>
      </c>
      <c r="E1075" s="0" t="n">
        <v>2029</v>
      </c>
      <c r="F1075" s="0" t="n">
        <v>845.446105</v>
      </c>
      <c r="G1075" s="0" t="n">
        <v>17754.36821</v>
      </c>
      <c r="I1075" s="0" t="n">
        <v>2027</v>
      </c>
      <c r="J1075" s="0" t="n">
        <v>431.04</v>
      </c>
      <c r="K1075" s="0" t="n">
        <v>9056.64</v>
      </c>
      <c r="M1075" s="0" t="n">
        <v>2029</v>
      </c>
      <c r="N1075" s="0" t="n">
        <v>33.3</v>
      </c>
      <c r="O1075" s="0" t="n">
        <v>698.4</v>
      </c>
      <c r="Q1075" s="0" t="n">
        <v>2030</v>
      </c>
      <c r="R1075" s="0" t="n">
        <v>640</v>
      </c>
      <c r="W1075" s="0" t="n">
        <v>2029</v>
      </c>
      <c r="X1075" s="0" t="n">
        <v>28079.18</v>
      </c>
    </row>
    <row r="1076" customFormat="false" ht="15" hidden="false" customHeight="false" outlineLevel="0" collapsed="false">
      <c r="A1076" s="0" t="n">
        <v>2029</v>
      </c>
      <c r="B1076" s="0" t="n">
        <v>133.4872748</v>
      </c>
      <c r="C1076" s="0" t="n">
        <v>2803.232772</v>
      </c>
      <c r="E1076" s="0" t="n">
        <v>2029</v>
      </c>
      <c r="F1076" s="0" t="n">
        <v>227.011645</v>
      </c>
      <c r="G1076" s="0" t="n">
        <v>4767.244545</v>
      </c>
      <c r="I1076" s="0" t="n">
        <v>2027</v>
      </c>
      <c r="J1076" s="0" t="n">
        <v>143.68</v>
      </c>
      <c r="K1076" s="0" t="n">
        <v>3018.88</v>
      </c>
      <c r="M1076" s="0" t="n">
        <v>2029</v>
      </c>
      <c r="N1076" s="0" t="n">
        <v>27.75</v>
      </c>
      <c r="O1076" s="0" t="n">
        <v>582</v>
      </c>
      <c r="Q1076" s="0" t="n">
        <v>2030</v>
      </c>
      <c r="R1076" s="0" t="n">
        <v>608</v>
      </c>
      <c r="W1076" s="0" t="n">
        <v>2029</v>
      </c>
      <c r="X1076" s="0" t="n">
        <v>7019.795</v>
      </c>
    </row>
    <row r="1077" customFormat="false" ht="15" hidden="false" customHeight="false" outlineLevel="0" collapsed="false">
      <c r="A1077" s="0" t="n">
        <v>2029</v>
      </c>
      <c r="B1077" s="0" t="n">
        <v>59.3276777</v>
      </c>
      <c r="C1077" s="0" t="n">
        <v>1245.881232</v>
      </c>
      <c r="E1077" s="0" t="n">
        <v>2029</v>
      </c>
      <c r="F1077" s="0" t="n">
        <v>90.864865</v>
      </c>
      <c r="G1077" s="0" t="n">
        <v>1908.162165</v>
      </c>
      <c r="I1077" s="0" t="n">
        <v>2027</v>
      </c>
      <c r="J1077" s="0" t="n">
        <v>62.86</v>
      </c>
      <c r="K1077" s="0" t="n">
        <v>1320.76</v>
      </c>
      <c r="M1077" s="0" t="n">
        <v>2029</v>
      </c>
      <c r="N1077" s="0" t="n">
        <v>22.2</v>
      </c>
      <c r="O1077" s="0" t="n">
        <v>465.6</v>
      </c>
      <c r="Q1077" s="0" t="n">
        <v>2030</v>
      </c>
      <c r="R1077" s="0" t="n">
        <v>288</v>
      </c>
      <c r="W1077" s="0" t="n">
        <v>2029</v>
      </c>
      <c r="X1077" s="0" t="n">
        <v>2173.872</v>
      </c>
    </row>
    <row r="1078" customFormat="false" ht="15" hidden="false" customHeight="false" outlineLevel="0" collapsed="false">
      <c r="A1078" s="0" t="n">
        <v>2029</v>
      </c>
      <c r="B1078" s="0" t="n">
        <v>219.1314816</v>
      </c>
      <c r="C1078" s="0" t="n">
        <v>4601.761114</v>
      </c>
      <c r="E1078" s="0" t="n">
        <v>2029</v>
      </c>
      <c r="F1078" s="0" t="n">
        <v>12.763555</v>
      </c>
      <c r="G1078" s="0" t="n">
        <v>268.034655</v>
      </c>
      <c r="I1078" s="0" t="n">
        <v>2027</v>
      </c>
      <c r="J1078" s="0" t="n">
        <v>35.92</v>
      </c>
      <c r="K1078" s="0" t="n">
        <v>754.72</v>
      </c>
      <c r="M1078" s="0" t="n">
        <v>2029</v>
      </c>
      <c r="N1078" s="0" t="n">
        <v>11.1</v>
      </c>
      <c r="O1078" s="0" t="n">
        <v>232.8</v>
      </c>
      <c r="Q1078" s="0" t="n">
        <v>2030</v>
      </c>
      <c r="R1078" s="0" t="n">
        <v>64</v>
      </c>
      <c r="W1078" s="0" t="n">
        <v>2029</v>
      </c>
      <c r="X1078" s="0" t="n">
        <v>3849.565</v>
      </c>
    </row>
    <row r="1079" customFormat="false" ht="15" hidden="false" customHeight="false" outlineLevel="0" collapsed="false">
      <c r="A1079" s="0" t="n">
        <v>2029</v>
      </c>
      <c r="B1079" s="0" t="n">
        <v>68.59580578</v>
      </c>
      <c r="C1079" s="0" t="n">
        <v>1440.511921</v>
      </c>
      <c r="E1079" s="0" t="n">
        <v>2029</v>
      </c>
      <c r="F1079" s="0" t="n">
        <v>305.112955</v>
      </c>
      <c r="G1079" s="0" t="n">
        <v>6407.372055</v>
      </c>
      <c r="I1079" s="0" t="n">
        <v>2027</v>
      </c>
      <c r="J1079" s="0" t="n">
        <v>35.92</v>
      </c>
      <c r="K1079" s="0" t="n">
        <v>754.72</v>
      </c>
      <c r="M1079" s="0" t="n">
        <v>2029</v>
      </c>
      <c r="N1079" s="0" t="n">
        <v>28.5</v>
      </c>
      <c r="O1079" s="0" t="n">
        <v>594.32</v>
      </c>
      <c r="Q1079" s="0" t="n">
        <v>2030</v>
      </c>
      <c r="R1079" s="0" t="n">
        <v>59</v>
      </c>
      <c r="W1079" s="0" t="n">
        <v>2029</v>
      </c>
      <c r="X1079" s="0" t="n">
        <v>1720.982</v>
      </c>
    </row>
    <row r="1080" customFormat="false" ht="15" hidden="false" customHeight="false" outlineLevel="0" collapsed="false">
      <c r="A1080" s="0" t="n">
        <v>2029</v>
      </c>
      <c r="B1080" s="0" t="n">
        <v>153.3760298</v>
      </c>
      <c r="C1080" s="0" t="n">
        <v>3220.896625</v>
      </c>
      <c r="E1080" s="0" t="n">
        <v>2029</v>
      </c>
      <c r="F1080" s="0" t="n">
        <v>14.283535</v>
      </c>
      <c r="G1080" s="0" t="n">
        <v>299.954235</v>
      </c>
      <c r="I1080" s="0" t="n">
        <v>2027</v>
      </c>
      <c r="J1080" s="0" t="n">
        <v>17.96</v>
      </c>
      <c r="K1080" s="0" t="n">
        <v>377.36</v>
      </c>
      <c r="M1080" s="0" t="n">
        <v>2029</v>
      </c>
      <c r="N1080" s="0" t="n">
        <v>18.75</v>
      </c>
      <c r="O1080" s="0" t="n">
        <v>391</v>
      </c>
      <c r="Q1080" s="0" t="n">
        <v>2030</v>
      </c>
      <c r="R1080" s="0" t="n">
        <v>59</v>
      </c>
      <c r="W1080" s="0" t="n">
        <v>2029</v>
      </c>
      <c r="X1080" s="0" t="n">
        <v>679.335</v>
      </c>
    </row>
    <row r="1081" customFormat="false" ht="15" hidden="false" customHeight="false" outlineLevel="0" collapsed="false">
      <c r="A1081" s="0" t="n">
        <v>2029</v>
      </c>
      <c r="B1081" s="0" t="n">
        <v>318.4496694</v>
      </c>
      <c r="C1081" s="0" t="n">
        <v>6687.443057</v>
      </c>
      <c r="E1081" s="0" t="n">
        <v>2029</v>
      </c>
      <c r="F1081" s="0" t="n">
        <v>78.10131</v>
      </c>
      <c r="G1081" s="0" t="n">
        <v>1640.12751</v>
      </c>
      <c r="I1081" s="0" t="n">
        <v>2027</v>
      </c>
      <c r="J1081" s="0" t="n">
        <v>17.96</v>
      </c>
      <c r="K1081" s="0" t="n">
        <v>377.36</v>
      </c>
      <c r="M1081" s="0" t="n">
        <v>2029</v>
      </c>
      <c r="N1081" s="0" t="n">
        <v>7.5</v>
      </c>
      <c r="O1081" s="0" t="n">
        <v>156.4</v>
      </c>
      <c r="Q1081" s="0" t="n">
        <v>2030</v>
      </c>
      <c r="R1081" s="0" t="n">
        <v>115</v>
      </c>
      <c r="W1081" s="0" t="n">
        <v>2029</v>
      </c>
      <c r="X1081" s="0" t="n">
        <v>996.358</v>
      </c>
    </row>
    <row r="1082" customFormat="false" ht="15" hidden="false" customHeight="false" outlineLevel="0" collapsed="false">
      <c r="A1082" s="0" t="n">
        <v>2029</v>
      </c>
      <c r="B1082" s="0" t="n">
        <v>80.3224233</v>
      </c>
      <c r="C1082" s="0" t="n">
        <v>1686.770889</v>
      </c>
      <c r="E1082" s="0" t="n">
        <v>2029</v>
      </c>
      <c r="F1082" s="0" t="n">
        <v>71.41603</v>
      </c>
      <c r="G1082" s="0" t="n">
        <v>1499.73663</v>
      </c>
      <c r="I1082" s="0" t="n">
        <v>2027</v>
      </c>
      <c r="J1082" s="0" t="n">
        <v>35.92</v>
      </c>
      <c r="K1082" s="0" t="n">
        <v>754.72</v>
      </c>
      <c r="M1082" s="0" t="n">
        <v>2029</v>
      </c>
      <c r="N1082" s="0" t="n">
        <v>7.5</v>
      </c>
      <c r="O1082" s="0" t="n">
        <v>156.4</v>
      </c>
      <c r="Q1082" s="0" t="n">
        <v>2030</v>
      </c>
      <c r="R1082" s="0" t="n">
        <v>109</v>
      </c>
      <c r="W1082" s="0" t="n">
        <v>2029</v>
      </c>
      <c r="X1082" s="0" t="n">
        <v>769.913</v>
      </c>
    </row>
    <row r="1083" customFormat="false" ht="15" hidden="false" customHeight="false" outlineLevel="0" collapsed="false">
      <c r="A1083" s="0" t="n">
        <v>2029</v>
      </c>
      <c r="B1083" s="0" t="n">
        <v>71.62796769</v>
      </c>
      <c r="C1083" s="0" t="n">
        <v>1504.187322</v>
      </c>
      <c r="E1083" s="0" t="n">
        <v>2029</v>
      </c>
      <c r="F1083" s="0" t="n">
        <v>870.115657</v>
      </c>
      <c r="G1083" s="0" t="n">
        <v>18267.28931</v>
      </c>
      <c r="I1083" s="0" t="n">
        <v>2027</v>
      </c>
      <c r="J1083" s="0" t="n">
        <v>62.86</v>
      </c>
      <c r="K1083" s="0" t="n">
        <v>1320.76</v>
      </c>
      <c r="M1083" s="0" t="n">
        <v>2029</v>
      </c>
      <c r="N1083" s="0" t="n">
        <v>4.5</v>
      </c>
      <c r="O1083" s="0" t="n">
        <v>93.84</v>
      </c>
      <c r="Q1083" s="0" t="n">
        <v>2030</v>
      </c>
      <c r="R1083" s="0" t="n">
        <v>52</v>
      </c>
      <c r="W1083" s="0" t="n">
        <v>2029</v>
      </c>
      <c r="X1083" s="0" t="n">
        <v>11205.26</v>
      </c>
    </row>
    <row r="1084" customFormat="false" ht="15" hidden="false" customHeight="false" outlineLevel="0" collapsed="false">
      <c r="A1084" s="0" t="n">
        <v>2029</v>
      </c>
      <c r="B1084" s="0" t="n">
        <v>49.81300654</v>
      </c>
      <c r="C1084" s="0" t="n">
        <v>1046.073137</v>
      </c>
      <c r="E1084" s="0" t="n">
        <v>2029</v>
      </c>
      <c r="F1084" s="0" t="n">
        <v>233.635693</v>
      </c>
      <c r="G1084" s="0" t="n">
        <v>4904.969543</v>
      </c>
      <c r="I1084" s="0" t="n">
        <v>2027</v>
      </c>
      <c r="J1084" s="0" t="n">
        <v>26.94</v>
      </c>
      <c r="K1084" s="0" t="n">
        <v>566.04</v>
      </c>
      <c r="M1084" s="0" t="n">
        <v>2029</v>
      </c>
      <c r="N1084" s="0" t="n">
        <v>3.75</v>
      </c>
      <c r="O1084" s="0" t="n">
        <v>78.2</v>
      </c>
      <c r="Q1084" s="0" t="n">
        <v>2030</v>
      </c>
      <c r="R1084" s="0" t="n">
        <v>11</v>
      </c>
      <c r="W1084" s="0" t="n">
        <v>2029</v>
      </c>
      <c r="X1084" s="0" t="n">
        <v>2801.315</v>
      </c>
    </row>
    <row r="1085" customFormat="false" ht="15" hidden="false" customHeight="false" outlineLevel="0" collapsed="false">
      <c r="A1085" s="0" t="n">
        <v>2029</v>
      </c>
      <c r="B1085" s="0" t="n">
        <v>37.05257961</v>
      </c>
      <c r="C1085" s="0" t="n">
        <v>778.1041718</v>
      </c>
      <c r="E1085" s="0" t="n">
        <v>2029</v>
      </c>
      <c r="F1085" s="0" t="n">
        <v>93.516241</v>
      </c>
      <c r="G1085" s="0" t="n">
        <v>1963.288691</v>
      </c>
      <c r="I1085" s="0" t="n">
        <v>2027</v>
      </c>
      <c r="J1085" s="0" t="n">
        <v>26.94</v>
      </c>
      <c r="K1085" s="0" t="n">
        <v>566.04</v>
      </c>
      <c r="M1085" s="0" t="n">
        <v>2029</v>
      </c>
      <c r="N1085" s="0" t="n">
        <v>3</v>
      </c>
      <c r="O1085" s="0" t="n">
        <v>62.56</v>
      </c>
      <c r="Q1085" s="0" t="n">
        <v>2030</v>
      </c>
      <c r="R1085" s="0" t="n">
        <v>11</v>
      </c>
      <c r="W1085" s="0" t="n">
        <v>2029</v>
      </c>
      <c r="X1085" s="0" t="n">
        <v>867.504</v>
      </c>
    </row>
    <row r="1086" customFormat="false" ht="15" hidden="false" customHeight="false" outlineLevel="0" collapsed="false">
      <c r="A1086" s="0" t="n">
        <v>2029</v>
      </c>
      <c r="B1086" s="0" t="n">
        <v>16.46781316</v>
      </c>
      <c r="C1086" s="0" t="n">
        <v>345.8240764</v>
      </c>
      <c r="E1086" s="0" t="n">
        <v>2029</v>
      </c>
      <c r="F1086" s="0" t="n">
        <v>13.135987</v>
      </c>
      <c r="G1086" s="0" t="n">
        <v>275.778137</v>
      </c>
      <c r="I1086" s="0" t="n">
        <v>2027</v>
      </c>
      <c r="J1086" s="0" t="n">
        <v>101.92</v>
      </c>
      <c r="K1086" s="0" t="n">
        <v>2141.88</v>
      </c>
      <c r="M1086" s="0" t="n">
        <v>2029</v>
      </c>
      <c r="N1086" s="0" t="n">
        <v>1.5</v>
      </c>
      <c r="O1086" s="0" t="n">
        <v>31.28</v>
      </c>
      <c r="Q1086" s="0" t="n">
        <v>2030</v>
      </c>
      <c r="R1086" s="0" t="n">
        <v>11</v>
      </c>
      <c r="W1086" s="0" t="n">
        <v>2029</v>
      </c>
      <c r="X1086" s="0" t="n">
        <v>1536.205</v>
      </c>
    </row>
    <row r="1087" customFormat="false" ht="15" hidden="false" customHeight="false" outlineLevel="0" collapsed="false">
      <c r="A1087" s="0" t="n">
        <v>2029</v>
      </c>
      <c r="B1087" s="0" t="n">
        <v>60.82517362</v>
      </c>
      <c r="C1087" s="0" t="n">
        <v>1277.328646</v>
      </c>
      <c r="E1087" s="0" t="n">
        <v>2029</v>
      </c>
      <c r="F1087" s="0" t="n">
        <v>314.015947</v>
      </c>
      <c r="G1087" s="0" t="n">
        <v>6592.480097</v>
      </c>
      <c r="I1087" s="0" t="n">
        <v>2027</v>
      </c>
      <c r="J1087" s="0" t="n">
        <v>15.68</v>
      </c>
      <c r="K1087" s="0" t="n">
        <v>329.52</v>
      </c>
      <c r="M1087" s="0" t="n">
        <v>2029</v>
      </c>
      <c r="N1087" s="0" t="n">
        <v>74.48</v>
      </c>
      <c r="O1087" s="0" t="n">
        <v>1559.9</v>
      </c>
      <c r="Q1087" s="0" t="n">
        <v>2030</v>
      </c>
      <c r="R1087" s="0" t="n">
        <v>115</v>
      </c>
      <c r="W1087" s="0" t="n">
        <v>2029</v>
      </c>
      <c r="X1087" s="0" t="n">
        <v>686.774</v>
      </c>
    </row>
    <row r="1088" customFormat="false" ht="15" hidden="false" customHeight="false" outlineLevel="0" collapsed="false">
      <c r="A1088" s="0" t="n">
        <v>2029</v>
      </c>
      <c r="B1088" s="0" t="n">
        <v>19.04040335</v>
      </c>
      <c r="C1088" s="0" t="n">
        <v>399.8484703</v>
      </c>
      <c r="E1088" s="0" t="n">
        <v>2029</v>
      </c>
      <c r="F1088" s="0" t="n">
        <v>14.700319</v>
      </c>
      <c r="G1088" s="0" t="n">
        <v>308.619869</v>
      </c>
      <c r="I1088" s="0" t="n">
        <v>2027</v>
      </c>
      <c r="J1088" s="0" t="n">
        <v>11.76</v>
      </c>
      <c r="K1088" s="0" t="n">
        <v>247.14</v>
      </c>
      <c r="M1088" s="0" t="n">
        <v>2029</v>
      </c>
      <c r="N1088" s="0" t="n">
        <v>49</v>
      </c>
      <c r="O1088" s="0" t="n">
        <v>1026.25</v>
      </c>
      <c r="Q1088" s="0" t="n">
        <v>2030</v>
      </c>
      <c r="R1088" s="0" t="n">
        <v>109</v>
      </c>
      <c r="W1088" s="0" t="n">
        <v>2029</v>
      </c>
      <c r="X1088" s="0" t="n">
        <v>271.095</v>
      </c>
    </row>
    <row r="1089" customFormat="false" ht="15" hidden="false" customHeight="false" outlineLevel="0" collapsed="false">
      <c r="A1089" s="0" t="n">
        <v>2029</v>
      </c>
      <c r="B1089" s="0" t="n">
        <v>42.57317831</v>
      </c>
      <c r="C1089" s="0" t="n">
        <v>894.0367444</v>
      </c>
      <c r="E1089" s="0" t="n">
        <v>2029</v>
      </c>
      <c r="F1089" s="0" t="n">
        <v>80.380254</v>
      </c>
      <c r="G1089" s="0" t="n">
        <v>1687.510554</v>
      </c>
      <c r="I1089" s="0" t="n">
        <v>2027</v>
      </c>
      <c r="J1089" s="0" t="n">
        <v>19.6</v>
      </c>
      <c r="K1089" s="0" t="n">
        <v>411.9</v>
      </c>
      <c r="M1089" s="0" t="n">
        <v>2029</v>
      </c>
      <c r="N1089" s="0" t="n">
        <v>19.6</v>
      </c>
      <c r="O1089" s="0" t="n">
        <v>410.5</v>
      </c>
      <c r="Q1089" s="0" t="n">
        <v>2030</v>
      </c>
      <c r="R1089" s="0" t="n">
        <v>52</v>
      </c>
      <c r="W1089" s="0" t="n">
        <v>2029</v>
      </c>
      <c r="X1089" s="0" t="n">
        <v>397.606</v>
      </c>
    </row>
    <row r="1090" customFormat="false" ht="15" hidden="false" customHeight="false" outlineLevel="0" collapsed="false">
      <c r="A1090" s="0" t="n">
        <v>2029</v>
      </c>
      <c r="B1090" s="0" t="n">
        <v>177.0675038</v>
      </c>
      <c r="C1090" s="0" t="n">
        <v>3718.417581</v>
      </c>
      <c r="E1090" s="0" t="n">
        <v>2029</v>
      </c>
      <c r="F1090" s="0" t="n">
        <v>73.499902</v>
      </c>
      <c r="G1090" s="0" t="n">
        <v>1543.063802</v>
      </c>
      <c r="I1090" s="0" t="n">
        <v>2027</v>
      </c>
      <c r="J1090" s="0" t="n">
        <v>3.92</v>
      </c>
      <c r="K1090" s="0" t="n">
        <v>82.38</v>
      </c>
      <c r="M1090" s="0" t="n">
        <v>2029</v>
      </c>
      <c r="N1090" s="0" t="n">
        <v>19.6</v>
      </c>
      <c r="O1090" s="0" t="n">
        <v>410.5</v>
      </c>
      <c r="Q1090" s="0" t="n">
        <v>2030</v>
      </c>
      <c r="R1090" s="0" t="n">
        <v>11</v>
      </c>
      <c r="W1090" s="0" t="n">
        <v>2029</v>
      </c>
      <c r="X1090" s="0" t="n">
        <v>307.241</v>
      </c>
    </row>
    <row r="1091" customFormat="false" ht="15" hidden="false" customHeight="false" outlineLevel="0" collapsed="false">
      <c r="A1091" s="0" t="n">
        <v>2029</v>
      </c>
      <c r="B1091" s="0" t="n">
        <v>44.66166043</v>
      </c>
      <c r="C1091" s="0" t="n">
        <v>937.8948689</v>
      </c>
      <c r="E1091" s="0" t="n">
        <v>2029</v>
      </c>
      <c r="F1091" s="0" t="n">
        <v>297.062522</v>
      </c>
      <c r="G1091" s="0" t="n">
        <v>6232.145574</v>
      </c>
      <c r="I1091" s="0" t="n">
        <v>2027</v>
      </c>
      <c r="J1091" s="0" t="n">
        <v>3.92</v>
      </c>
      <c r="K1091" s="0" t="n">
        <v>82.38</v>
      </c>
      <c r="M1091" s="0" t="n">
        <v>2029</v>
      </c>
      <c r="N1091" s="0" t="n">
        <v>11.76</v>
      </c>
      <c r="O1091" s="0" t="n">
        <v>246.3</v>
      </c>
      <c r="Q1091" s="0" t="n">
        <v>2030</v>
      </c>
      <c r="R1091" s="0" t="n">
        <v>11</v>
      </c>
      <c r="W1091" s="0" t="n">
        <v>2029</v>
      </c>
      <c r="X1091" s="0" t="n">
        <v>14469.56</v>
      </c>
    </row>
    <row r="1092" customFormat="false" ht="15" hidden="false" customHeight="false" outlineLevel="0" collapsed="false">
      <c r="A1092" s="0" t="n">
        <v>2029</v>
      </c>
      <c r="B1092" s="0" t="n">
        <v>39.82728407</v>
      </c>
      <c r="C1092" s="0" t="n">
        <v>836.3729655</v>
      </c>
      <c r="E1092" s="0" t="n">
        <v>2029</v>
      </c>
      <c r="F1092" s="0" t="n">
        <v>79.764578</v>
      </c>
      <c r="G1092" s="0" t="n">
        <v>1673.400126</v>
      </c>
      <c r="I1092" s="0" t="n">
        <v>2027</v>
      </c>
      <c r="J1092" s="0" t="n">
        <v>0</v>
      </c>
      <c r="K1092" s="0" t="n">
        <v>0</v>
      </c>
      <c r="M1092" s="0" t="n">
        <v>2029</v>
      </c>
      <c r="N1092" s="0" t="n">
        <v>9.8</v>
      </c>
      <c r="O1092" s="0" t="n">
        <v>205.25</v>
      </c>
      <c r="Q1092" s="0" t="n">
        <v>2030</v>
      </c>
      <c r="R1092" s="0" t="n">
        <v>11</v>
      </c>
      <c r="W1092" s="0" t="n">
        <v>2029</v>
      </c>
      <c r="X1092" s="0" t="n">
        <v>3617.39</v>
      </c>
    </row>
    <row r="1093" customFormat="false" ht="15" hidden="false" customHeight="false" outlineLevel="0" collapsed="false">
      <c r="A1093" s="0" t="n">
        <v>2029</v>
      </c>
      <c r="B1093" s="0" t="n">
        <v>27.69751573</v>
      </c>
      <c r="C1093" s="0" t="n">
        <v>581.6478303</v>
      </c>
      <c r="E1093" s="0" t="n">
        <v>2029</v>
      </c>
      <c r="F1093" s="0" t="n">
        <v>31.926986</v>
      </c>
      <c r="G1093" s="0" t="n">
        <v>669.803862</v>
      </c>
      <c r="I1093" s="0" t="n">
        <v>2027</v>
      </c>
      <c r="J1093" s="0" t="n">
        <v>7.84</v>
      </c>
      <c r="K1093" s="0" t="n">
        <v>164.76</v>
      </c>
      <c r="M1093" s="0" t="n">
        <v>2029</v>
      </c>
      <c r="N1093" s="0" t="n">
        <v>7.84</v>
      </c>
      <c r="O1093" s="0" t="n">
        <v>164.2</v>
      </c>
      <c r="Q1093" s="0" t="n">
        <v>2030</v>
      </c>
      <c r="R1093" s="0" t="n">
        <v>156</v>
      </c>
      <c r="W1093" s="0" t="n">
        <v>2029</v>
      </c>
      <c r="X1093" s="0" t="n">
        <v>1120.224</v>
      </c>
    </row>
    <row r="1094" customFormat="false" ht="15" hidden="false" customHeight="false" outlineLevel="0" collapsed="false">
      <c r="A1094" s="0" t="n">
        <v>2029</v>
      </c>
      <c r="B1094" s="0" t="n">
        <v>20.60233818</v>
      </c>
      <c r="C1094" s="0" t="n">
        <v>432.6491018</v>
      </c>
      <c r="E1094" s="0" t="n">
        <v>2029</v>
      </c>
      <c r="F1094" s="0" t="n">
        <v>4.484702</v>
      </c>
      <c r="G1094" s="0" t="n">
        <v>94.085634</v>
      </c>
      <c r="I1094" s="0" t="n">
        <v>2027</v>
      </c>
      <c r="J1094" s="0" t="n">
        <v>13.72</v>
      </c>
      <c r="K1094" s="0" t="n">
        <v>288.33</v>
      </c>
      <c r="M1094" s="0" t="n">
        <v>2029</v>
      </c>
      <c r="N1094" s="0" t="n">
        <v>3.92</v>
      </c>
      <c r="O1094" s="0" t="n">
        <v>82.1</v>
      </c>
      <c r="Q1094" s="0" t="n">
        <v>2030</v>
      </c>
      <c r="R1094" s="0" t="n">
        <v>148</v>
      </c>
      <c r="W1094" s="0" t="n">
        <v>2029</v>
      </c>
      <c r="X1094" s="0" t="n">
        <v>1983.73</v>
      </c>
    </row>
    <row r="1095" customFormat="false" ht="15" hidden="false" customHeight="false" outlineLevel="0" collapsed="false">
      <c r="A1095" s="0" t="n">
        <v>2029</v>
      </c>
      <c r="B1095" s="0" t="n">
        <v>9.156594747</v>
      </c>
      <c r="C1095" s="0" t="n">
        <v>192.2884897</v>
      </c>
      <c r="E1095" s="0" t="n">
        <v>2029</v>
      </c>
      <c r="F1095" s="0" t="n">
        <v>107.206862</v>
      </c>
      <c r="G1095" s="0" t="n">
        <v>2249.118354</v>
      </c>
      <c r="I1095" s="0" t="n">
        <v>2027</v>
      </c>
      <c r="J1095" s="0" t="n">
        <v>3.92</v>
      </c>
      <c r="K1095" s="0" t="n">
        <v>82.38</v>
      </c>
      <c r="M1095" s="0" t="n">
        <v>2029</v>
      </c>
      <c r="N1095" s="0" t="n">
        <v>46.74</v>
      </c>
      <c r="O1095" s="0" t="n">
        <v>977.36</v>
      </c>
      <c r="Q1095" s="0" t="n">
        <v>2030</v>
      </c>
      <c r="R1095" s="0" t="n">
        <v>70</v>
      </c>
      <c r="W1095" s="0" t="n">
        <v>2029</v>
      </c>
      <c r="X1095" s="0" t="n">
        <v>886.844</v>
      </c>
    </row>
    <row r="1096" customFormat="false" ht="15" hidden="false" customHeight="false" outlineLevel="0" collapsed="false">
      <c r="A1096" s="0" t="n">
        <v>2029</v>
      </c>
      <c r="B1096" s="0" t="n">
        <v>33.82060871</v>
      </c>
      <c r="C1096" s="0" t="n">
        <v>710.232783</v>
      </c>
      <c r="E1096" s="0" t="n">
        <v>2029</v>
      </c>
      <c r="F1096" s="0" t="n">
        <v>5.018774</v>
      </c>
      <c r="G1096" s="0" t="n">
        <v>105.290058</v>
      </c>
      <c r="I1096" s="0" t="n">
        <v>2027</v>
      </c>
      <c r="J1096" s="0" t="n">
        <v>13.72</v>
      </c>
      <c r="K1096" s="0" t="n">
        <v>288.33</v>
      </c>
      <c r="M1096" s="0" t="n">
        <v>2029</v>
      </c>
      <c r="N1096" s="0" t="n">
        <v>30.75</v>
      </c>
      <c r="O1096" s="0" t="n">
        <v>643</v>
      </c>
      <c r="Q1096" s="0" t="n">
        <v>2030</v>
      </c>
      <c r="R1096" s="0" t="n">
        <v>16</v>
      </c>
      <c r="W1096" s="0" t="n">
        <v>2029</v>
      </c>
      <c r="X1096" s="0" t="n">
        <v>350.07</v>
      </c>
    </row>
    <row r="1097" customFormat="false" ht="15" hidden="false" customHeight="false" outlineLevel="0" collapsed="false">
      <c r="A1097" s="0" t="n">
        <v>2029</v>
      </c>
      <c r="B1097" s="0" t="n">
        <v>10.58703154</v>
      </c>
      <c r="C1097" s="0" t="n">
        <v>222.3276623</v>
      </c>
      <c r="E1097" s="0" t="n">
        <v>2029</v>
      </c>
      <c r="F1097" s="0" t="n">
        <v>27.442284</v>
      </c>
      <c r="G1097" s="0" t="n">
        <v>575.718228</v>
      </c>
      <c r="I1097" s="0" t="n">
        <v>2027</v>
      </c>
      <c r="J1097" s="0" t="n">
        <v>257.76</v>
      </c>
      <c r="K1097" s="0" t="n">
        <v>5414.4</v>
      </c>
      <c r="M1097" s="0" t="n">
        <v>2029</v>
      </c>
      <c r="N1097" s="0" t="n">
        <v>12.3</v>
      </c>
      <c r="O1097" s="0" t="n">
        <v>257.2</v>
      </c>
      <c r="Q1097" s="0" t="n">
        <v>2030</v>
      </c>
      <c r="R1097" s="0" t="n">
        <v>13</v>
      </c>
      <c r="W1097" s="0" t="n">
        <v>2029</v>
      </c>
      <c r="X1097" s="0" t="n">
        <v>513.436</v>
      </c>
    </row>
    <row r="1098" customFormat="false" ht="15" hidden="false" customHeight="false" outlineLevel="0" collapsed="false">
      <c r="A1098" s="0" t="n">
        <v>2029</v>
      </c>
      <c r="B1098" s="0" t="n">
        <v>23.67195553</v>
      </c>
      <c r="C1098" s="0" t="n">
        <v>497.1110662</v>
      </c>
      <c r="E1098" s="0" t="n">
        <v>2029</v>
      </c>
      <c r="F1098" s="0" t="n">
        <v>25.093292</v>
      </c>
      <c r="G1098" s="0" t="n">
        <v>526.438164</v>
      </c>
      <c r="I1098" s="0" t="n">
        <v>2027</v>
      </c>
      <c r="J1098" s="0" t="n">
        <v>85.92</v>
      </c>
      <c r="K1098" s="0" t="n">
        <v>1804.8</v>
      </c>
      <c r="M1098" s="0" t="n">
        <v>2029</v>
      </c>
      <c r="N1098" s="0" t="n">
        <v>12.3</v>
      </c>
      <c r="O1098" s="0" t="n">
        <v>257.2</v>
      </c>
      <c r="Q1098" s="0" t="n">
        <v>2030</v>
      </c>
      <c r="R1098" s="0" t="n">
        <v>13</v>
      </c>
      <c r="W1098" s="0" t="n">
        <v>2029</v>
      </c>
      <c r="X1098" s="0" t="n">
        <v>396.746</v>
      </c>
    </row>
    <row r="1099" customFormat="false" ht="15" hidden="false" customHeight="false" outlineLevel="0" collapsed="false">
      <c r="A1099" s="0" t="n">
        <v>2029</v>
      </c>
      <c r="B1099" s="0" t="n">
        <v>151.2695894</v>
      </c>
      <c r="C1099" s="0" t="n">
        <v>3176.661377</v>
      </c>
      <c r="E1099" s="0" t="n">
        <v>2029</v>
      </c>
      <c r="F1099" s="0" t="n">
        <v>395.226781</v>
      </c>
      <c r="G1099" s="0" t="n">
        <v>8296.678707</v>
      </c>
      <c r="I1099" s="0" t="n">
        <v>2027</v>
      </c>
      <c r="J1099" s="0" t="n">
        <v>37.59</v>
      </c>
      <c r="K1099" s="0" t="n">
        <v>789.6</v>
      </c>
      <c r="M1099" s="0" t="n">
        <v>2029</v>
      </c>
      <c r="N1099" s="0" t="n">
        <v>7.38</v>
      </c>
      <c r="O1099" s="0" t="n">
        <v>154.32</v>
      </c>
      <c r="Q1099" s="0" t="n">
        <v>2031</v>
      </c>
      <c r="R1099" s="0" t="n">
        <v>1458</v>
      </c>
      <c r="W1099" s="0" t="n">
        <v>2029</v>
      </c>
      <c r="X1099" s="0" t="n">
        <v>9182.82</v>
      </c>
    </row>
    <row r="1100" customFormat="false" ht="15" hidden="false" customHeight="false" outlineLevel="0" collapsed="false">
      <c r="A1100" s="0" t="n">
        <v>2029</v>
      </c>
      <c r="B1100" s="0" t="n">
        <v>38.15466354</v>
      </c>
      <c r="C1100" s="0" t="n">
        <v>801.2479344</v>
      </c>
      <c r="E1100" s="0" t="n">
        <v>2029</v>
      </c>
      <c r="F1100" s="0" t="n">
        <v>106.122769</v>
      </c>
      <c r="G1100" s="0" t="n">
        <v>2227.750143</v>
      </c>
      <c r="I1100" s="0" t="n">
        <v>2027</v>
      </c>
      <c r="J1100" s="0" t="n">
        <v>21.48</v>
      </c>
      <c r="K1100" s="0" t="n">
        <v>451.2</v>
      </c>
      <c r="M1100" s="0" t="n">
        <v>2029</v>
      </c>
      <c r="N1100" s="0" t="n">
        <v>6.15</v>
      </c>
      <c r="O1100" s="0" t="n">
        <v>128.6</v>
      </c>
      <c r="Q1100" s="0" t="n">
        <v>2031</v>
      </c>
      <c r="R1100" s="0" t="n">
        <v>1385</v>
      </c>
      <c r="W1100" s="0" t="n">
        <v>2029</v>
      </c>
      <c r="X1100" s="0" t="n">
        <v>2295.705</v>
      </c>
    </row>
    <row r="1101" customFormat="false" ht="15" hidden="false" customHeight="false" outlineLevel="0" collapsed="false">
      <c r="A1101" s="0" t="n">
        <v>2029</v>
      </c>
      <c r="B1101" s="0" t="n">
        <v>34.02463341</v>
      </c>
      <c r="C1101" s="0" t="n">
        <v>714.5173016</v>
      </c>
      <c r="E1101" s="0" t="n">
        <v>2029</v>
      </c>
      <c r="F1101" s="0" t="n">
        <v>42.477253</v>
      </c>
      <c r="G1101" s="0" t="n">
        <v>891.690891</v>
      </c>
      <c r="I1101" s="0" t="n">
        <v>2027</v>
      </c>
      <c r="J1101" s="0" t="n">
        <v>21.48</v>
      </c>
      <c r="K1101" s="0" t="n">
        <v>451.2</v>
      </c>
      <c r="M1101" s="0" t="n">
        <v>2029</v>
      </c>
      <c r="N1101" s="0" t="n">
        <v>4.92</v>
      </c>
      <c r="O1101" s="0" t="n">
        <v>102.88</v>
      </c>
      <c r="Q1101" s="0" t="n">
        <v>2031</v>
      </c>
      <c r="R1101" s="0" t="n">
        <v>656</v>
      </c>
      <c r="W1101" s="0" t="n">
        <v>2029</v>
      </c>
      <c r="X1101" s="0" t="n">
        <v>710.928</v>
      </c>
    </row>
    <row r="1102" customFormat="false" ht="15" hidden="false" customHeight="false" outlineLevel="0" collapsed="false">
      <c r="A1102" s="0" t="n">
        <v>2029</v>
      </c>
      <c r="B1102" s="0" t="n">
        <v>23.66211609</v>
      </c>
      <c r="C1102" s="0" t="n">
        <v>496.9044378</v>
      </c>
      <c r="E1102" s="0" t="n">
        <v>2029</v>
      </c>
      <c r="F1102" s="0" t="n">
        <v>5.966671</v>
      </c>
      <c r="G1102" s="0" t="n">
        <v>125.253537</v>
      </c>
      <c r="I1102" s="0" t="n">
        <v>2027</v>
      </c>
      <c r="J1102" s="0" t="n">
        <v>10.74</v>
      </c>
      <c r="K1102" s="0" t="n">
        <v>225.6</v>
      </c>
      <c r="M1102" s="0" t="n">
        <v>2029</v>
      </c>
      <c r="N1102" s="0" t="n">
        <v>2.46</v>
      </c>
      <c r="O1102" s="0" t="n">
        <v>51.44</v>
      </c>
      <c r="Q1102" s="0" t="n">
        <v>2031</v>
      </c>
      <c r="R1102" s="0" t="n">
        <v>146</v>
      </c>
      <c r="W1102" s="0" t="n">
        <v>2029</v>
      </c>
      <c r="X1102" s="0" t="n">
        <v>1258.935</v>
      </c>
    </row>
    <row r="1103" customFormat="false" ht="15" hidden="false" customHeight="false" outlineLevel="0" collapsed="false">
      <c r="A1103" s="0" t="n">
        <v>2029</v>
      </c>
      <c r="B1103" s="0" t="n">
        <v>17.60067302</v>
      </c>
      <c r="C1103" s="0" t="n">
        <v>369.6141333</v>
      </c>
      <c r="E1103" s="0" t="n">
        <v>2029</v>
      </c>
      <c r="F1103" s="0" t="n">
        <v>142.633351</v>
      </c>
      <c r="G1103" s="0" t="n">
        <v>2994.187497</v>
      </c>
      <c r="I1103" s="0" t="n">
        <v>2027</v>
      </c>
      <c r="J1103" s="0" t="n">
        <v>10.74</v>
      </c>
      <c r="K1103" s="0" t="n">
        <v>225.6</v>
      </c>
      <c r="M1103" s="0" t="n">
        <v>2029</v>
      </c>
      <c r="N1103" s="0" t="n">
        <v>46.74</v>
      </c>
      <c r="O1103" s="0" t="n">
        <v>975.46</v>
      </c>
      <c r="Q1103" s="0" t="n">
        <v>2031</v>
      </c>
      <c r="R1103" s="0" t="n">
        <v>135</v>
      </c>
      <c r="W1103" s="0" t="n">
        <v>2029</v>
      </c>
      <c r="X1103" s="0" t="n">
        <v>562.818</v>
      </c>
    </row>
    <row r="1104" customFormat="false" ht="15" hidden="false" customHeight="false" outlineLevel="0" collapsed="false">
      <c r="A1104" s="0" t="n">
        <v>2029</v>
      </c>
      <c r="B1104" s="0" t="n">
        <v>7.82252134</v>
      </c>
      <c r="C1104" s="0" t="n">
        <v>164.2729481</v>
      </c>
      <c r="E1104" s="0" t="n">
        <v>2029</v>
      </c>
      <c r="F1104" s="0" t="n">
        <v>6.677227</v>
      </c>
      <c r="G1104" s="0" t="n">
        <v>140.169669</v>
      </c>
      <c r="I1104" s="0" t="n">
        <v>2027</v>
      </c>
      <c r="J1104" s="0" t="n">
        <v>21.48</v>
      </c>
      <c r="K1104" s="0" t="n">
        <v>451.2</v>
      </c>
      <c r="M1104" s="0" t="n">
        <v>2029</v>
      </c>
      <c r="N1104" s="0" t="n">
        <v>30.75</v>
      </c>
      <c r="O1104" s="0" t="n">
        <v>641.75</v>
      </c>
      <c r="Q1104" s="0" t="n">
        <v>2031</v>
      </c>
      <c r="R1104" s="0" t="n">
        <v>135</v>
      </c>
      <c r="W1104" s="0" t="n">
        <v>2029</v>
      </c>
      <c r="X1104" s="0" t="n">
        <v>222.165</v>
      </c>
    </row>
    <row r="1105" customFormat="false" ht="15" hidden="false" customHeight="false" outlineLevel="0" collapsed="false">
      <c r="A1105" s="0" t="n">
        <v>2029</v>
      </c>
      <c r="B1105" s="0" t="n">
        <v>28.89310281</v>
      </c>
      <c r="C1105" s="0" t="n">
        <v>606.755159</v>
      </c>
      <c r="E1105" s="0" t="n">
        <v>2029</v>
      </c>
      <c r="F1105" s="0" t="n">
        <v>36.510582</v>
      </c>
      <c r="G1105" s="0" t="n">
        <v>766.437354</v>
      </c>
      <c r="I1105" s="0" t="n">
        <v>2027</v>
      </c>
      <c r="J1105" s="0" t="n">
        <v>37.59</v>
      </c>
      <c r="K1105" s="0" t="n">
        <v>789.6</v>
      </c>
      <c r="M1105" s="0" t="n">
        <v>2029</v>
      </c>
      <c r="N1105" s="0" t="n">
        <v>12.3</v>
      </c>
      <c r="O1105" s="0" t="n">
        <v>256.7</v>
      </c>
      <c r="Q1105" s="0" t="n">
        <v>2031</v>
      </c>
      <c r="R1105" s="0" t="n">
        <v>428</v>
      </c>
      <c r="W1105" s="0" t="n">
        <v>2029</v>
      </c>
      <c r="X1105" s="0" t="n">
        <v>325.842</v>
      </c>
    </row>
    <row r="1106" customFormat="false" ht="15" hidden="false" customHeight="false" outlineLevel="0" collapsed="false">
      <c r="A1106" s="0" t="n">
        <v>2029</v>
      </c>
      <c r="B1106" s="0" t="n">
        <v>9.044550121</v>
      </c>
      <c r="C1106" s="0" t="n">
        <v>189.9355525</v>
      </c>
      <c r="E1106" s="0" t="n">
        <v>2029</v>
      </c>
      <c r="F1106" s="0" t="n">
        <v>33.385366</v>
      </c>
      <c r="G1106" s="0" t="n">
        <v>700.832202</v>
      </c>
      <c r="I1106" s="0" t="n">
        <v>2027</v>
      </c>
      <c r="J1106" s="0" t="n">
        <v>16.11</v>
      </c>
      <c r="K1106" s="0" t="n">
        <v>338.4</v>
      </c>
      <c r="M1106" s="0" t="n">
        <v>2029</v>
      </c>
      <c r="N1106" s="0" t="n">
        <v>12.3</v>
      </c>
      <c r="O1106" s="0" t="n">
        <v>256.7</v>
      </c>
      <c r="Q1106" s="0" t="n">
        <v>2031</v>
      </c>
      <c r="R1106" s="0" t="n">
        <v>406</v>
      </c>
      <c r="W1106" s="0" t="n">
        <v>2029</v>
      </c>
      <c r="X1106" s="0" t="n">
        <v>251.787</v>
      </c>
    </row>
    <row r="1107" customFormat="false" ht="15" hidden="false" customHeight="false" outlineLevel="0" collapsed="false">
      <c r="A1107" s="0" t="n">
        <v>2029</v>
      </c>
      <c r="B1107" s="0" t="n">
        <v>20.22306135</v>
      </c>
      <c r="C1107" s="0" t="n">
        <v>424.6842883</v>
      </c>
      <c r="E1107" s="0" t="n">
        <v>2029</v>
      </c>
      <c r="F1107" s="0" t="n">
        <v>551.467277</v>
      </c>
      <c r="G1107" s="0" t="n">
        <v>11573.61753</v>
      </c>
      <c r="I1107" s="0" t="n">
        <v>2027</v>
      </c>
      <c r="J1107" s="0" t="n">
        <v>16.11</v>
      </c>
      <c r="K1107" s="0" t="n">
        <v>338.4</v>
      </c>
      <c r="M1107" s="0" t="n">
        <v>2029</v>
      </c>
      <c r="N1107" s="0" t="n">
        <v>7.38</v>
      </c>
      <c r="O1107" s="0" t="n">
        <v>154.02</v>
      </c>
      <c r="Q1107" s="0" t="n">
        <v>2031</v>
      </c>
      <c r="R1107" s="0" t="n">
        <v>192</v>
      </c>
      <c r="W1107" s="0" t="n">
        <v>2029</v>
      </c>
      <c r="X1107" s="0" t="n">
        <v>24920.28</v>
      </c>
    </row>
    <row r="1108" customFormat="false" ht="15" hidden="false" customHeight="false" outlineLevel="0" collapsed="false">
      <c r="A1108" s="0" t="n">
        <v>2029</v>
      </c>
      <c r="B1108" s="0" t="n">
        <v>202.0392454</v>
      </c>
      <c r="C1108" s="0" t="n">
        <v>4242.824154</v>
      </c>
      <c r="E1108" s="0" t="n">
        <v>2029</v>
      </c>
      <c r="F1108" s="0" t="n">
        <v>148.075073</v>
      </c>
      <c r="G1108" s="0" t="n">
        <v>3107.644519</v>
      </c>
      <c r="I1108" s="0" t="n">
        <v>2027</v>
      </c>
      <c r="J1108" s="0" t="n">
        <v>101.92</v>
      </c>
      <c r="K1108" s="0" t="n">
        <v>2141.88</v>
      </c>
      <c r="M1108" s="0" t="n">
        <v>2029</v>
      </c>
      <c r="N1108" s="0" t="n">
        <v>6.15</v>
      </c>
      <c r="O1108" s="0" t="n">
        <v>128.35</v>
      </c>
      <c r="Q1108" s="0" t="n">
        <v>2031</v>
      </c>
      <c r="R1108" s="0" t="n">
        <v>43</v>
      </c>
      <c r="W1108" s="0" t="n">
        <v>2029</v>
      </c>
      <c r="X1108" s="0" t="n">
        <v>6230.07</v>
      </c>
    </row>
    <row r="1109" customFormat="false" ht="15" hidden="false" customHeight="false" outlineLevel="0" collapsed="false">
      <c r="A1109" s="0" t="n">
        <v>2029</v>
      </c>
      <c r="B1109" s="0" t="n">
        <v>50.96027208</v>
      </c>
      <c r="C1109" s="0" t="n">
        <v>1070.165714</v>
      </c>
      <c r="E1109" s="0" t="n">
        <v>2029</v>
      </c>
      <c r="F1109" s="0" t="n">
        <v>59.269301</v>
      </c>
      <c r="G1109" s="0" t="n">
        <v>1243.882003</v>
      </c>
      <c r="I1109" s="0" t="n">
        <v>2027</v>
      </c>
      <c r="J1109" s="0" t="n">
        <v>15.68</v>
      </c>
      <c r="K1109" s="0" t="n">
        <v>329.52</v>
      </c>
      <c r="M1109" s="0" t="n">
        <v>2029</v>
      </c>
      <c r="N1109" s="0" t="n">
        <v>4.92</v>
      </c>
      <c r="O1109" s="0" t="n">
        <v>102.68</v>
      </c>
      <c r="Q1109" s="0" t="n">
        <v>2031</v>
      </c>
      <c r="R1109" s="0" t="n">
        <v>40</v>
      </c>
      <c r="W1109" s="0" t="n">
        <v>2029</v>
      </c>
      <c r="X1109" s="0" t="n">
        <v>1929.312</v>
      </c>
    </row>
    <row r="1110" customFormat="false" ht="15" hidden="false" customHeight="false" outlineLevel="0" collapsed="false">
      <c r="A1110" s="0" t="n">
        <v>2029</v>
      </c>
      <c r="B1110" s="0" t="n">
        <v>45.44410604</v>
      </c>
      <c r="C1110" s="0" t="n">
        <v>954.3262269</v>
      </c>
      <c r="E1110" s="0" t="n">
        <v>2029</v>
      </c>
      <c r="F1110" s="0" t="n">
        <v>8.325407</v>
      </c>
      <c r="G1110" s="0" t="n">
        <v>174.724921</v>
      </c>
      <c r="I1110" s="0" t="n">
        <v>2027</v>
      </c>
      <c r="J1110" s="0" t="n">
        <v>11.76</v>
      </c>
      <c r="K1110" s="0" t="n">
        <v>247.14</v>
      </c>
      <c r="M1110" s="0" t="n">
        <v>2029</v>
      </c>
      <c r="N1110" s="0" t="n">
        <v>2.46</v>
      </c>
      <c r="O1110" s="0" t="n">
        <v>51.34</v>
      </c>
      <c r="Q1110" s="0" t="n">
        <v>2031</v>
      </c>
      <c r="R1110" s="0" t="n">
        <v>40</v>
      </c>
      <c r="W1110" s="0" t="n">
        <v>2029</v>
      </c>
      <c r="X1110" s="0" t="n">
        <v>3416.49</v>
      </c>
    </row>
    <row r="1111" customFormat="false" ht="15" hidden="false" customHeight="false" outlineLevel="0" collapsed="false">
      <c r="A1111" s="0" t="n">
        <v>2029</v>
      </c>
      <c r="B1111" s="0" t="n">
        <v>31.60368253</v>
      </c>
      <c r="C1111" s="0" t="n">
        <v>663.6773332</v>
      </c>
      <c r="E1111" s="0" t="n">
        <v>2029</v>
      </c>
      <c r="F1111" s="0" t="n">
        <v>199.018967</v>
      </c>
      <c r="G1111" s="0" t="n">
        <v>4176.801601</v>
      </c>
      <c r="I1111" s="0" t="n">
        <v>2027</v>
      </c>
      <c r="J1111" s="0" t="n">
        <v>19.6</v>
      </c>
      <c r="K1111" s="0" t="n">
        <v>411.9</v>
      </c>
      <c r="M1111" s="0" t="n">
        <v>2029</v>
      </c>
      <c r="N1111" s="0" t="n">
        <v>241.68</v>
      </c>
      <c r="O1111" s="0" t="n">
        <v>5072.24</v>
      </c>
      <c r="Q1111" s="0" t="n">
        <v>2031</v>
      </c>
      <c r="R1111" s="0" t="n">
        <v>1842</v>
      </c>
      <c r="W1111" s="0" t="n">
        <v>2029</v>
      </c>
      <c r="X1111" s="0" t="n">
        <v>1527.372</v>
      </c>
    </row>
    <row r="1112" customFormat="false" ht="15" hidden="false" customHeight="false" outlineLevel="0" collapsed="false">
      <c r="A1112" s="0" t="n">
        <v>2029</v>
      </c>
      <c r="B1112" s="0" t="n">
        <v>23.50787564</v>
      </c>
      <c r="C1112" s="0" t="n">
        <v>493.6653884</v>
      </c>
      <c r="E1112" s="0" t="n">
        <v>2029</v>
      </c>
      <c r="F1112" s="0" t="n">
        <v>9.316859</v>
      </c>
      <c r="G1112" s="0" t="n">
        <v>195.532477</v>
      </c>
      <c r="I1112" s="0" t="n">
        <v>2027</v>
      </c>
      <c r="J1112" s="0" t="n">
        <v>3.92</v>
      </c>
      <c r="K1112" s="0" t="n">
        <v>82.38</v>
      </c>
      <c r="M1112" s="0" t="n">
        <v>2029</v>
      </c>
      <c r="N1112" s="0" t="n">
        <v>159</v>
      </c>
      <c r="O1112" s="0" t="n">
        <v>3337</v>
      </c>
      <c r="Q1112" s="0" t="n">
        <v>2031</v>
      </c>
      <c r="R1112" s="0" t="n">
        <v>1750</v>
      </c>
      <c r="W1112" s="0" t="n">
        <v>2029</v>
      </c>
      <c r="X1112" s="0" t="n">
        <v>602.91</v>
      </c>
    </row>
    <row r="1113" customFormat="false" ht="15" hidden="false" customHeight="false" outlineLevel="0" collapsed="false">
      <c r="A1113" s="0" t="n">
        <v>2029</v>
      </c>
      <c r="B1113" s="0" t="n">
        <v>10.44794473</v>
      </c>
      <c r="C1113" s="0" t="n">
        <v>219.4068393</v>
      </c>
      <c r="E1113" s="0" t="n">
        <v>2029</v>
      </c>
      <c r="F1113" s="0" t="n">
        <v>50.943894</v>
      </c>
      <c r="G1113" s="0" t="n">
        <v>1069.157082</v>
      </c>
      <c r="I1113" s="0" t="n">
        <v>2027</v>
      </c>
      <c r="J1113" s="0" t="n">
        <v>3.92</v>
      </c>
      <c r="K1113" s="0" t="n">
        <v>82.38</v>
      </c>
      <c r="M1113" s="0" t="n">
        <v>2029</v>
      </c>
      <c r="N1113" s="0" t="n">
        <v>63.6</v>
      </c>
      <c r="O1113" s="0" t="n">
        <v>1334.8</v>
      </c>
      <c r="Q1113" s="0" t="n">
        <v>2031</v>
      </c>
      <c r="R1113" s="0" t="n">
        <v>829</v>
      </c>
      <c r="W1113" s="0" t="n">
        <v>2029</v>
      </c>
      <c r="X1113" s="0" t="n">
        <v>884.268</v>
      </c>
    </row>
    <row r="1114" customFormat="false" ht="15" hidden="false" customHeight="false" outlineLevel="0" collapsed="false">
      <c r="A1114" s="0" t="n">
        <v>2029</v>
      </c>
      <c r="B1114" s="0" t="n">
        <v>38.59031226</v>
      </c>
      <c r="C1114" s="0" t="n">
        <v>810.3965574</v>
      </c>
      <c r="E1114" s="0" t="n">
        <v>2029</v>
      </c>
      <c r="F1114" s="0" t="n">
        <v>46.583222</v>
      </c>
      <c r="G1114" s="0" t="n">
        <v>977.639866</v>
      </c>
      <c r="I1114" s="0" t="n">
        <v>2027</v>
      </c>
      <c r="J1114" s="0" t="n">
        <v>0</v>
      </c>
      <c r="K1114" s="0" t="n">
        <v>0</v>
      </c>
      <c r="M1114" s="0" t="n">
        <v>2029</v>
      </c>
      <c r="N1114" s="0" t="n">
        <v>63.6</v>
      </c>
      <c r="O1114" s="0" t="n">
        <v>1334.8</v>
      </c>
      <c r="Q1114" s="0" t="n">
        <v>2031</v>
      </c>
      <c r="R1114" s="0" t="n">
        <v>184</v>
      </c>
      <c r="W1114" s="0" t="n">
        <v>2029</v>
      </c>
      <c r="X1114" s="0" t="n">
        <v>683.298</v>
      </c>
    </row>
    <row r="1115" customFormat="false" ht="15" hidden="false" customHeight="false" outlineLevel="0" collapsed="false">
      <c r="A1115" s="0" t="n">
        <v>2029</v>
      </c>
      <c r="B1115" s="0" t="n">
        <v>12.0801153</v>
      </c>
      <c r="C1115" s="0" t="n">
        <v>253.6824214</v>
      </c>
      <c r="E1115" s="0" t="n">
        <v>2029</v>
      </c>
      <c r="F1115" s="0" t="n">
        <v>387.517546</v>
      </c>
      <c r="G1115" s="0" t="n">
        <v>8134.270823</v>
      </c>
      <c r="I1115" s="0" t="n">
        <v>2027</v>
      </c>
      <c r="J1115" s="0" t="n">
        <v>7.84</v>
      </c>
      <c r="K1115" s="0" t="n">
        <v>164.76</v>
      </c>
      <c r="M1115" s="0" t="n">
        <v>2029</v>
      </c>
      <c r="N1115" s="0" t="n">
        <v>38.16</v>
      </c>
      <c r="O1115" s="0" t="n">
        <v>800.88</v>
      </c>
      <c r="Q1115" s="0" t="n">
        <v>2031</v>
      </c>
      <c r="R1115" s="0" t="n">
        <v>176</v>
      </c>
      <c r="W1115" s="0" t="n">
        <v>2029</v>
      </c>
      <c r="X1115" s="0" t="n">
        <v>13240.72</v>
      </c>
    </row>
    <row r="1116" customFormat="false" ht="15" hidden="false" customHeight="false" outlineLevel="0" collapsed="false">
      <c r="A1116" s="0" t="n">
        <v>2029</v>
      </c>
      <c r="B1116" s="0" t="n">
        <v>27.01039959</v>
      </c>
      <c r="C1116" s="0" t="n">
        <v>567.2183914</v>
      </c>
      <c r="E1116" s="0" t="n">
        <v>2029</v>
      </c>
      <c r="F1116" s="0" t="n">
        <v>104.052754</v>
      </c>
      <c r="G1116" s="0" t="n">
        <v>2184.141827</v>
      </c>
      <c r="I1116" s="0" t="n">
        <v>2027</v>
      </c>
      <c r="J1116" s="0" t="n">
        <v>13.72</v>
      </c>
      <c r="K1116" s="0" t="n">
        <v>288.33</v>
      </c>
      <c r="M1116" s="0" t="n">
        <v>2029</v>
      </c>
      <c r="N1116" s="0" t="n">
        <v>31.8</v>
      </c>
      <c r="O1116" s="0" t="n">
        <v>667.4</v>
      </c>
      <c r="Q1116" s="0" t="n">
        <v>2031</v>
      </c>
      <c r="R1116" s="0" t="n">
        <v>176</v>
      </c>
      <c r="W1116" s="0" t="n">
        <v>2029</v>
      </c>
      <c r="X1116" s="0" t="n">
        <v>3310.18</v>
      </c>
    </row>
    <row r="1117" customFormat="false" ht="15" hidden="false" customHeight="false" outlineLevel="0" collapsed="false">
      <c r="A1117" s="0" t="n">
        <v>2029</v>
      </c>
      <c r="B1117" s="0" t="n">
        <v>160.570697</v>
      </c>
      <c r="C1117" s="0" t="n">
        <v>3371.984636</v>
      </c>
      <c r="E1117" s="0" t="n">
        <v>2029</v>
      </c>
      <c r="F1117" s="0" t="n">
        <v>41.648698</v>
      </c>
      <c r="G1117" s="0" t="n">
        <v>874.235999</v>
      </c>
      <c r="I1117" s="0" t="n">
        <v>2027</v>
      </c>
      <c r="J1117" s="0" t="n">
        <v>3.92</v>
      </c>
      <c r="K1117" s="0" t="n">
        <v>82.38</v>
      </c>
      <c r="M1117" s="0" t="n">
        <v>2029</v>
      </c>
      <c r="N1117" s="0" t="n">
        <v>25.44</v>
      </c>
      <c r="O1117" s="0" t="n">
        <v>533.92</v>
      </c>
      <c r="Q1117" s="0" t="n">
        <v>2031</v>
      </c>
      <c r="R1117" s="0" t="n">
        <v>1171</v>
      </c>
      <c r="W1117" s="0" t="n">
        <v>2029</v>
      </c>
      <c r="X1117" s="0" t="n">
        <v>1025.088</v>
      </c>
    </row>
    <row r="1118" customFormat="false" ht="15" hidden="false" customHeight="false" outlineLevel="0" collapsed="false">
      <c r="A1118" s="0" t="n">
        <v>2029</v>
      </c>
      <c r="B1118" s="0" t="n">
        <v>40.50067791</v>
      </c>
      <c r="C1118" s="0" t="n">
        <v>850.5142362</v>
      </c>
      <c r="E1118" s="0" t="n">
        <v>2029</v>
      </c>
      <c r="F1118" s="0" t="n">
        <v>5.850286</v>
      </c>
      <c r="G1118" s="0" t="n">
        <v>122.801693</v>
      </c>
      <c r="I1118" s="0" t="n">
        <v>2027</v>
      </c>
      <c r="J1118" s="0" t="n">
        <v>13.72</v>
      </c>
      <c r="K1118" s="0" t="n">
        <v>288.33</v>
      </c>
      <c r="M1118" s="0" t="n">
        <v>2029</v>
      </c>
      <c r="N1118" s="0" t="n">
        <v>12.72</v>
      </c>
      <c r="O1118" s="0" t="n">
        <v>266.96</v>
      </c>
      <c r="Q1118" s="0" t="n">
        <v>2031</v>
      </c>
      <c r="R1118" s="0" t="n">
        <v>1112</v>
      </c>
      <c r="W1118" s="0" t="n">
        <v>2029</v>
      </c>
      <c r="X1118" s="0" t="n">
        <v>1815.26</v>
      </c>
    </row>
    <row r="1119" customFormat="false" ht="15" hidden="false" customHeight="false" outlineLevel="0" collapsed="false">
      <c r="A1119" s="0" t="n">
        <v>2029</v>
      </c>
      <c r="B1119" s="0" t="n">
        <v>36.11670478</v>
      </c>
      <c r="C1119" s="0" t="n">
        <v>758.4508003</v>
      </c>
      <c r="E1119" s="0" t="n">
        <v>2029</v>
      </c>
      <c r="F1119" s="0" t="n">
        <v>139.851166</v>
      </c>
      <c r="G1119" s="0" t="n">
        <v>2935.576133</v>
      </c>
      <c r="I1119" s="0" t="n">
        <v>2027</v>
      </c>
      <c r="J1119" s="0" t="n">
        <v>27.36</v>
      </c>
      <c r="K1119" s="0" t="n">
        <v>572.16</v>
      </c>
      <c r="M1119" s="0" t="n">
        <v>2029</v>
      </c>
      <c r="N1119" s="0" t="n">
        <v>182.4</v>
      </c>
      <c r="O1119" s="0" t="n">
        <v>3825.84</v>
      </c>
      <c r="Q1119" s="0" t="n">
        <v>2031</v>
      </c>
      <c r="R1119" s="0" t="n">
        <v>527</v>
      </c>
      <c r="W1119" s="0" t="n">
        <v>2029</v>
      </c>
      <c r="X1119" s="0" t="n">
        <v>811.528</v>
      </c>
    </row>
    <row r="1120" customFormat="false" ht="15" hidden="false" customHeight="false" outlineLevel="0" collapsed="false">
      <c r="A1120" s="0" t="n">
        <v>2029</v>
      </c>
      <c r="B1120" s="0" t="n">
        <v>25.11702773</v>
      </c>
      <c r="C1120" s="0" t="n">
        <v>527.4575824</v>
      </c>
      <c r="E1120" s="0" t="n">
        <v>2029</v>
      </c>
      <c r="F1120" s="0" t="n">
        <v>6.546982</v>
      </c>
      <c r="G1120" s="0" t="n">
        <v>137.425841</v>
      </c>
      <c r="I1120" s="0" t="n">
        <v>2027</v>
      </c>
      <c r="J1120" s="0" t="n">
        <v>9.12</v>
      </c>
      <c r="K1120" s="0" t="n">
        <v>190.72</v>
      </c>
      <c r="M1120" s="0" t="n">
        <v>2029</v>
      </c>
      <c r="N1120" s="0" t="n">
        <v>120</v>
      </c>
      <c r="O1120" s="0" t="n">
        <v>2517</v>
      </c>
      <c r="Q1120" s="0" t="n">
        <v>2031</v>
      </c>
      <c r="R1120" s="0" t="n">
        <v>117</v>
      </c>
      <c r="W1120" s="0" t="n">
        <v>2029</v>
      </c>
      <c r="X1120" s="0" t="n">
        <v>320.34</v>
      </c>
    </row>
    <row r="1121" customFormat="false" ht="15" hidden="false" customHeight="false" outlineLevel="0" collapsed="false">
      <c r="A1121" s="0" t="n">
        <v>2029</v>
      </c>
      <c r="B1121" s="0" t="n">
        <v>18.68288494</v>
      </c>
      <c r="C1121" s="0" t="n">
        <v>392.3405837</v>
      </c>
      <c r="E1121" s="0" t="n">
        <v>2029</v>
      </c>
      <c r="F1121" s="0" t="n">
        <v>35.798412</v>
      </c>
      <c r="G1121" s="0" t="n">
        <v>751.434306</v>
      </c>
      <c r="I1121" s="0" t="n">
        <v>2027</v>
      </c>
      <c r="J1121" s="0" t="n">
        <v>3.99</v>
      </c>
      <c r="K1121" s="0" t="n">
        <v>83.44</v>
      </c>
      <c r="M1121" s="0" t="n">
        <v>2029</v>
      </c>
      <c r="N1121" s="0" t="n">
        <v>48</v>
      </c>
      <c r="O1121" s="0" t="n">
        <v>1006.8</v>
      </c>
      <c r="Q1121" s="0" t="n">
        <v>2031</v>
      </c>
      <c r="R1121" s="0" t="n">
        <v>111</v>
      </c>
      <c r="W1121" s="0" t="n">
        <v>2029</v>
      </c>
      <c r="X1121" s="0" t="n">
        <v>469.832</v>
      </c>
    </row>
    <row r="1122" customFormat="false" ht="15" hidden="false" customHeight="false" outlineLevel="0" collapsed="false">
      <c r="A1122" s="0" t="n">
        <v>2029</v>
      </c>
      <c r="B1122" s="0" t="n">
        <v>8.303504418</v>
      </c>
      <c r="C1122" s="0" t="n">
        <v>174.3735928</v>
      </c>
      <c r="E1122" s="0" t="n">
        <v>2029</v>
      </c>
      <c r="F1122" s="0" t="n">
        <v>32.734156</v>
      </c>
      <c r="G1122" s="0" t="n">
        <v>687.113378</v>
      </c>
      <c r="I1122" s="0" t="n">
        <v>2027</v>
      </c>
      <c r="J1122" s="0" t="n">
        <v>2.28</v>
      </c>
      <c r="K1122" s="0" t="n">
        <v>47.68</v>
      </c>
      <c r="M1122" s="0" t="n">
        <v>2029</v>
      </c>
      <c r="N1122" s="0" t="n">
        <v>48</v>
      </c>
      <c r="O1122" s="0" t="n">
        <v>1006.8</v>
      </c>
      <c r="Q1122" s="0" t="n">
        <v>2031</v>
      </c>
      <c r="R1122" s="0" t="n">
        <v>111</v>
      </c>
      <c r="W1122" s="0" t="n">
        <v>2029</v>
      </c>
      <c r="X1122" s="0" t="n">
        <v>363.052</v>
      </c>
    </row>
    <row r="1123" customFormat="false" ht="15" hidden="false" customHeight="false" outlineLevel="0" collapsed="false">
      <c r="A1123" s="0" t="n">
        <v>2029</v>
      </c>
      <c r="B1123" s="0" t="n">
        <v>30.66965194</v>
      </c>
      <c r="C1123" s="0" t="n">
        <v>644.0626907</v>
      </c>
      <c r="E1123" s="0" t="n">
        <v>2029</v>
      </c>
      <c r="F1123" s="0" t="n">
        <v>326.357615</v>
      </c>
      <c r="G1123" s="0" t="n">
        <v>6847.856476</v>
      </c>
      <c r="I1123" s="0" t="n">
        <v>2027</v>
      </c>
      <c r="J1123" s="0" t="n">
        <v>2.28</v>
      </c>
      <c r="K1123" s="0" t="n">
        <v>47.68</v>
      </c>
      <c r="M1123" s="0" t="n">
        <v>2029</v>
      </c>
      <c r="N1123" s="0" t="n">
        <v>28.8</v>
      </c>
      <c r="O1123" s="0" t="n">
        <v>604.08</v>
      </c>
      <c r="Q1123" s="0" t="n">
        <v>2031</v>
      </c>
      <c r="R1123" s="0" t="n">
        <v>335</v>
      </c>
      <c r="W1123" s="0" t="n">
        <v>2029</v>
      </c>
      <c r="X1123" s="0" t="n">
        <v>5454.76</v>
      </c>
    </row>
    <row r="1124" customFormat="false" ht="15" hidden="false" customHeight="false" outlineLevel="0" collapsed="false">
      <c r="A1124" s="0" t="n">
        <v>2029</v>
      </c>
      <c r="B1124" s="0" t="n">
        <v>9.600672036</v>
      </c>
      <c r="C1124" s="0" t="n">
        <v>201.6141128</v>
      </c>
      <c r="E1124" s="0" t="n">
        <v>2029</v>
      </c>
      <c r="F1124" s="0" t="n">
        <v>87.630635</v>
      </c>
      <c r="G1124" s="0" t="n">
        <v>1838.725324</v>
      </c>
      <c r="I1124" s="0" t="n">
        <v>2027</v>
      </c>
      <c r="J1124" s="0" t="n">
        <v>1.14</v>
      </c>
      <c r="K1124" s="0" t="n">
        <v>23.84</v>
      </c>
      <c r="M1124" s="0" t="n">
        <v>2029</v>
      </c>
      <c r="N1124" s="0" t="n">
        <v>24</v>
      </c>
      <c r="O1124" s="0" t="n">
        <v>503.4</v>
      </c>
      <c r="Q1124" s="0" t="n">
        <v>2031</v>
      </c>
      <c r="R1124" s="0" t="n">
        <v>318</v>
      </c>
      <c r="W1124" s="0" t="n">
        <v>2029</v>
      </c>
      <c r="X1124" s="0" t="n">
        <v>1363.69</v>
      </c>
    </row>
    <row r="1125" customFormat="false" ht="15" hidden="false" customHeight="false" outlineLevel="0" collapsed="false">
      <c r="A1125" s="0" t="n">
        <v>2029</v>
      </c>
      <c r="B1125" s="0" t="n">
        <v>21.46651597</v>
      </c>
      <c r="C1125" s="0" t="n">
        <v>450.7968353</v>
      </c>
      <c r="E1125" s="0" t="n">
        <v>2029</v>
      </c>
      <c r="F1125" s="0" t="n">
        <v>35.075495</v>
      </c>
      <c r="G1125" s="0" t="n">
        <v>735.977788</v>
      </c>
      <c r="I1125" s="0" t="n">
        <v>2027</v>
      </c>
      <c r="J1125" s="0" t="n">
        <v>1.14</v>
      </c>
      <c r="K1125" s="0" t="n">
        <v>23.84</v>
      </c>
      <c r="M1125" s="0" t="n">
        <v>2029</v>
      </c>
      <c r="N1125" s="0" t="n">
        <v>19.2</v>
      </c>
      <c r="O1125" s="0" t="n">
        <v>402.72</v>
      </c>
      <c r="Q1125" s="0" t="n">
        <v>2031</v>
      </c>
      <c r="R1125" s="0" t="n">
        <v>151</v>
      </c>
      <c r="W1125" s="0" t="n">
        <v>2029</v>
      </c>
      <c r="X1125" s="0" t="n">
        <v>422.304</v>
      </c>
    </row>
    <row r="1126" customFormat="false" ht="15" hidden="false" customHeight="false" outlineLevel="0" collapsed="false">
      <c r="A1126" s="0" t="n">
        <v>2029</v>
      </c>
      <c r="B1126" s="0" t="n">
        <v>226.9310348</v>
      </c>
      <c r="C1126" s="0" t="n">
        <v>4765.551731</v>
      </c>
      <c r="E1126" s="0" t="n">
        <v>2029</v>
      </c>
      <c r="F1126" s="0" t="n">
        <v>4.926965</v>
      </c>
      <c r="G1126" s="0" t="n">
        <v>103.380916</v>
      </c>
      <c r="I1126" s="0" t="n">
        <v>2027</v>
      </c>
      <c r="J1126" s="0" t="n">
        <v>2.28</v>
      </c>
      <c r="K1126" s="0" t="n">
        <v>47.68</v>
      </c>
      <c r="M1126" s="0" t="n">
        <v>2029</v>
      </c>
      <c r="N1126" s="0" t="n">
        <v>9.6</v>
      </c>
      <c r="O1126" s="0" t="n">
        <v>201.36</v>
      </c>
      <c r="Q1126" s="0" t="n">
        <v>2031</v>
      </c>
      <c r="R1126" s="0" t="n">
        <v>34</v>
      </c>
      <c r="W1126" s="0" t="n">
        <v>2029</v>
      </c>
      <c r="X1126" s="0" t="n">
        <v>747.83</v>
      </c>
    </row>
    <row r="1127" customFormat="false" ht="15" hidden="false" customHeight="false" outlineLevel="0" collapsed="false">
      <c r="A1127" s="0" t="n">
        <v>2029</v>
      </c>
      <c r="B1127" s="0" t="n">
        <v>57.23871742</v>
      </c>
      <c r="C1127" s="0" t="n">
        <v>1202.013066</v>
      </c>
      <c r="E1127" s="0" t="n">
        <v>2029</v>
      </c>
      <c r="F1127" s="0" t="n">
        <v>117.779165</v>
      </c>
      <c r="G1127" s="0" t="n">
        <v>2471.322196</v>
      </c>
      <c r="I1127" s="0" t="n">
        <v>2027</v>
      </c>
      <c r="J1127" s="0" t="n">
        <v>3.99</v>
      </c>
      <c r="K1127" s="0" t="n">
        <v>83.44</v>
      </c>
      <c r="M1127" s="0" t="n">
        <v>2029</v>
      </c>
      <c r="N1127" s="0" t="n">
        <v>164.92</v>
      </c>
      <c r="O1127" s="0" t="n">
        <v>3456.48</v>
      </c>
      <c r="Q1127" s="0" t="n">
        <v>2031</v>
      </c>
      <c r="R1127" s="0" t="n">
        <v>31</v>
      </c>
      <c r="W1127" s="0" t="n">
        <v>2029</v>
      </c>
      <c r="X1127" s="0" t="n">
        <v>334.324</v>
      </c>
    </row>
    <row r="1128" customFormat="false" ht="15" hidden="false" customHeight="false" outlineLevel="0" collapsed="false">
      <c r="A1128" s="0" t="n">
        <v>2029</v>
      </c>
      <c r="B1128" s="0" t="n">
        <v>51.04294459</v>
      </c>
      <c r="C1128" s="0" t="n">
        <v>1071.901836</v>
      </c>
      <c r="E1128" s="0" t="n">
        <v>2029</v>
      </c>
      <c r="F1128" s="0" t="n">
        <v>5.513705</v>
      </c>
      <c r="G1128" s="0" t="n">
        <v>115.692292</v>
      </c>
      <c r="I1128" s="0" t="n">
        <v>2027</v>
      </c>
      <c r="J1128" s="0" t="n">
        <v>1.71</v>
      </c>
      <c r="K1128" s="0" t="n">
        <v>35.76</v>
      </c>
      <c r="M1128" s="0" t="n">
        <v>2029</v>
      </c>
      <c r="N1128" s="0" t="n">
        <v>108.5</v>
      </c>
      <c r="O1128" s="0" t="n">
        <v>2274</v>
      </c>
      <c r="Q1128" s="0" t="n">
        <v>2031</v>
      </c>
      <c r="R1128" s="0" t="n">
        <v>31</v>
      </c>
      <c r="W1128" s="0" t="n">
        <v>2029</v>
      </c>
      <c r="X1128" s="0" t="n">
        <v>131.97</v>
      </c>
    </row>
    <row r="1129" customFormat="false" ht="15" hidden="false" customHeight="false" outlineLevel="0" collapsed="false">
      <c r="A1129" s="0" t="n">
        <v>2029</v>
      </c>
      <c r="B1129" s="0" t="n">
        <v>35.49734293</v>
      </c>
      <c r="C1129" s="0" t="n">
        <v>745.4442016</v>
      </c>
      <c r="E1129" s="0" t="n">
        <v>2029</v>
      </c>
      <c r="F1129" s="0" t="n">
        <v>30.14853</v>
      </c>
      <c r="G1129" s="0" t="n">
        <v>632.596872</v>
      </c>
      <c r="I1129" s="0" t="n">
        <v>2027</v>
      </c>
      <c r="J1129" s="0" t="n">
        <v>1.71</v>
      </c>
      <c r="K1129" s="0" t="n">
        <v>35.76</v>
      </c>
      <c r="M1129" s="0" t="n">
        <v>2029</v>
      </c>
      <c r="N1129" s="0" t="n">
        <v>43.4</v>
      </c>
      <c r="O1129" s="0" t="n">
        <v>909.6</v>
      </c>
      <c r="Q1129" s="0" t="n">
        <v>2031</v>
      </c>
      <c r="R1129" s="0" t="n">
        <v>463</v>
      </c>
      <c r="W1129" s="0" t="n">
        <v>2029</v>
      </c>
      <c r="X1129" s="0" t="n">
        <v>193.556</v>
      </c>
    </row>
    <row r="1130" customFormat="false" ht="15" hidden="false" customHeight="false" outlineLevel="0" collapsed="false">
      <c r="A1130" s="0" t="n">
        <v>2029</v>
      </c>
      <c r="B1130" s="0" t="n">
        <v>26.40411042</v>
      </c>
      <c r="C1130" s="0" t="n">
        <v>554.4863188</v>
      </c>
      <c r="E1130" s="0" t="n">
        <v>2029</v>
      </c>
      <c r="F1130" s="0" t="n">
        <v>27.56789</v>
      </c>
      <c r="G1130" s="0" t="n">
        <v>578.448136</v>
      </c>
      <c r="I1130" s="0" t="n">
        <v>2027</v>
      </c>
      <c r="J1130" s="0" t="n">
        <v>9.36</v>
      </c>
      <c r="K1130" s="0" t="n">
        <v>195.52</v>
      </c>
      <c r="M1130" s="0" t="n">
        <v>2029</v>
      </c>
      <c r="N1130" s="0" t="n">
        <v>43.4</v>
      </c>
      <c r="O1130" s="0" t="n">
        <v>909.6</v>
      </c>
      <c r="Q1130" s="0" t="n">
        <v>2031</v>
      </c>
      <c r="R1130" s="0" t="n">
        <v>440</v>
      </c>
      <c r="W1130" s="0" t="n">
        <v>2029</v>
      </c>
      <c r="X1130" s="0" t="n">
        <v>149.566</v>
      </c>
    </row>
    <row r="1131" customFormat="false" ht="15" hidden="false" customHeight="false" outlineLevel="0" collapsed="false">
      <c r="A1131" s="0" t="n">
        <v>2029</v>
      </c>
      <c r="B1131" s="0" t="n">
        <v>11.73516019</v>
      </c>
      <c r="C1131" s="0" t="n">
        <v>246.4383639</v>
      </c>
      <c r="E1131" s="0" t="n">
        <v>2029</v>
      </c>
      <c r="F1131" s="0" t="n">
        <v>119.236168</v>
      </c>
      <c r="G1131" s="0" t="n">
        <v>2502.417681</v>
      </c>
      <c r="I1131" s="0" t="n">
        <v>2027</v>
      </c>
      <c r="J1131" s="0" t="n">
        <v>1.44</v>
      </c>
      <c r="K1131" s="0" t="n">
        <v>30.08</v>
      </c>
      <c r="M1131" s="0" t="n">
        <v>2029</v>
      </c>
      <c r="N1131" s="0" t="n">
        <v>26.04</v>
      </c>
      <c r="O1131" s="0" t="n">
        <v>545.76</v>
      </c>
      <c r="Q1131" s="0" t="n">
        <v>2031</v>
      </c>
      <c r="R1131" s="0" t="n">
        <v>208</v>
      </c>
      <c r="W1131" s="0" t="n">
        <v>2029</v>
      </c>
      <c r="X1131" s="0" t="n">
        <v>5291.7</v>
      </c>
    </row>
    <row r="1132" customFormat="false" ht="15" hidden="false" customHeight="false" outlineLevel="0" collapsed="false">
      <c r="A1132" s="0" t="n">
        <v>2029</v>
      </c>
      <c r="B1132" s="0" t="n">
        <v>43.34474461</v>
      </c>
      <c r="C1132" s="0" t="n">
        <v>910.2396368</v>
      </c>
      <c r="E1132" s="0" t="n">
        <v>2029</v>
      </c>
      <c r="F1132" s="0" t="n">
        <v>32.016232</v>
      </c>
      <c r="G1132" s="0" t="n">
        <v>671.926869</v>
      </c>
      <c r="I1132" s="0" t="n">
        <v>2027</v>
      </c>
      <c r="J1132" s="0" t="n">
        <v>1.08</v>
      </c>
      <c r="K1132" s="0" t="n">
        <v>22.56</v>
      </c>
      <c r="M1132" s="0" t="n">
        <v>2029</v>
      </c>
      <c r="N1132" s="0" t="n">
        <v>21.7</v>
      </c>
      <c r="O1132" s="0" t="n">
        <v>454.8</v>
      </c>
      <c r="Q1132" s="0" t="n">
        <v>2031</v>
      </c>
      <c r="R1132" s="0" t="n">
        <v>46</v>
      </c>
      <c r="W1132" s="0" t="n">
        <v>2029</v>
      </c>
      <c r="X1132" s="0" t="n">
        <v>1322.925</v>
      </c>
    </row>
    <row r="1133" customFormat="false" ht="15" hidden="false" customHeight="false" outlineLevel="0" collapsed="false">
      <c r="A1133" s="0" t="n">
        <v>2029</v>
      </c>
      <c r="B1133" s="0" t="n">
        <v>13.56841865</v>
      </c>
      <c r="C1133" s="0" t="n">
        <v>284.9367917</v>
      </c>
      <c r="E1133" s="0" t="n">
        <v>2029</v>
      </c>
      <c r="F1133" s="0" t="n">
        <v>12.814984</v>
      </c>
      <c r="G1133" s="0" t="n">
        <v>268.948953</v>
      </c>
      <c r="I1133" s="0" t="n">
        <v>2027</v>
      </c>
      <c r="J1133" s="0" t="n">
        <v>1.8</v>
      </c>
      <c r="K1133" s="0" t="n">
        <v>37.6</v>
      </c>
      <c r="M1133" s="0" t="n">
        <v>2029</v>
      </c>
      <c r="N1133" s="0" t="n">
        <v>17.36</v>
      </c>
      <c r="O1133" s="0" t="n">
        <v>363.84</v>
      </c>
      <c r="Q1133" s="0" t="n">
        <v>2031</v>
      </c>
      <c r="R1133" s="0" t="n">
        <v>45</v>
      </c>
      <c r="W1133" s="0" t="n">
        <v>2029</v>
      </c>
      <c r="X1133" s="0" t="n">
        <v>409.68</v>
      </c>
    </row>
    <row r="1134" customFormat="false" ht="15" hidden="false" customHeight="false" outlineLevel="0" collapsed="false">
      <c r="A1134" s="0" t="n">
        <v>2029</v>
      </c>
      <c r="B1134" s="0" t="n">
        <v>30.33815493</v>
      </c>
      <c r="C1134" s="0" t="n">
        <v>637.1012536</v>
      </c>
      <c r="E1134" s="0" t="n">
        <v>2029</v>
      </c>
      <c r="F1134" s="0" t="n">
        <v>1.800088</v>
      </c>
      <c r="G1134" s="0" t="n">
        <v>37.778571</v>
      </c>
      <c r="I1134" s="0" t="n">
        <v>2027</v>
      </c>
      <c r="J1134" s="0" t="n">
        <v>0.36</v>
      </c>
      <c r="K1134" s="0" t="n">
        <v>7.52</v>
      </c>
      <c r="M1134" s="0" t="n">
        <v>2029</v>
      </c>
      <c r="N1134" s="0" t="n">
        <v>8.68</v>
      </c>
      <c r="O1134" s="0" t="n">
        <v>181.92</v>
      </c>
      <c r="Q1134" s="0" t="n">
        <v>2031</v>
      </c>
      <c r="R1134" s="0" t="n">
        <v>45</v>
      </c>
      <c r="W1134" s="0" t="n">
        <v>2029</v>
      </c>
      <c r="X1134" s="0" t="n">
        <v>725.475</v>
      </c>
    </row>
    <row r="1135" customFormat="false" ht="15" hidden="false" customHeight="false" outlineLevel="0" collapsed="false">
      <c r="A1135" s="0" t="n">
        <v>2029</v>
      </c>
      <c r="B1135" s="0" t="n">
        <v>285.2695005</v>
      </c>
      <c r="C1135" s="0" t="n">
        <v>5990.65951</v>
      </c>
      <c r="E1135" s="0" t="n">
        <v>2029</v>
      </c>
      <c r="F1135" s="0" t="n">
        <v>43.031128</v>
      </c>
      <c r="G1135" s="0" t="n">
        <v>903.097251</v>
      </c>
      <c r="I1135" s="0" t="n">
        <v>2027</v>
      </c>
      <c r="J1135" s="0" t="n">
        <v>0.36</v>
      </c>
      <c r="K1135" s="0" t="n">
        <v>7.52</v>
      </c>
      <c r="M1135" s="0" t="n">
        <v>2029</v>
      </c>
      <c r="N1135" s="0" t="n">
        <v>264.48</v>
      </c>
      <c r="O1135" s="0" t="n">
        <v>5551.8</v>
      </c>
      <c r="Q1135" s="0" t="n">
        <v>2031</v>
      </c>
      <c r="R1135" s="0" t="n">
        <v>256</v>
      </c>
      <c r="W1135" s="0" t="n">
        <v>2029</v>
      </c>
      <c r="X1135" s="0" t="n">
        <v>324.33</v>
      </c>
    </row>
    <row r="1136" customFormat="false" ht="15" hidden="false" customHeight="false" outlineLevel="0" collapsed="false">
      <c r="A1136" s="0" t="n">
        <v>2029</v>
      </c>
      <c r="B1136" s="0" t="n">
        <v>71.95340355</v>
      </c>
      <c r="C1136" s="0" t="n">
        <v>1511.021475</v>
      </c>
      <c r="E1136" s="0" t="n">
        <v>2029</v>
      </c>
      <c r="F1136" s="0" t="n">
        <v>2.014456</v>
      </c>
      <c r="G1136" s="0" t="n">
        <v>42.277527</v>
      </c>
      <c r="I1136" s="0" t="n">
        <v>2027</v>
      </c>
      <c r="J1136" s="0" t="n">
        <v>0</v>
      </c>
      <c r="K1136" s="0" t="n">
        <v>0</v>
      </c>
      <c r="M1136" s="0" t="n">
        <v>2029</v>
      </c>
      <c r="N1136" s="0" t="n">
        <v>174</v>
      </c>
      <c r="O1136" s="0" t="n">
        <v>3652.5</v>
      </c>
      <c r="Q1136" s="0" t="n">
        <v>2031</v>
      </c>
      <c r="R1136" s="0" t="n">
        <v>243</v>
      </c>
      <c r="W1136" s="0" t="n">
        <v>2029</v>
      </c>
      <c r="X1136" s="0" t="n">
        <v>128.025</v>
      </c>
    </row>
    <row r="1137" customFormat="false" ht="15" hidden="false" customHeight="false" outlineLevel="0" collapsed="false">
      <c r="A1137" s="0" t="n">
        <v>2029</v>
      </c>
      <c r="B1137" s="0" t="n">
        <v>64.16484779</v>
      </c>
      <c r="C1137" s="0" t="n">
        <v>1347.461804</v>
      </c>
      <c r="E1137" s="0" t="n">
        <v>2029</v>
      </c>
      <c r="F1137" s="0" t="n">
        <v>11.014896</v>
      </c>
      <c r="G1137" s="0" t="n">
        <v>231.170382</v>
      </c>
      <c r="I1137" s="0" t="n">
        <v>2027</v>
      </c>
      <c r="J1137" s="0" t="n">
        <v>0.72</v>
      </c>
      <c r="K1137" s="0" t="n">
        <v>15.04</v>
      </c>
      <c r="M1137" s="0" t="n">
        <v>2029</v>
      </c>
      <c r="N1137" s="0" t="n">
        <v>69.6</v>
      </c>
      <c r="O1137" s="0" t="n">
        <v>1461</v>
      </c>
      <c r="Q1137" s="0" t="n">
        <v>2031</v>
      </c>
      <c r="R1137" s="0" t="n">
        <v>115</v>
      </c>
      <c r="W1137" s="0" t="n">
        <v>2029</v>
      </c>
      <c r="X1137" s="0" t="n">
        <v>187.77</v>
      </c>
    </row>
    <row r="1138" customFormat="false" ht="15" hidden="false" customHeight="false" outlineLevel="0" collapsed="false">
      <c r="A1138" s="0" t="n">
        <v>2029</v>
      </c>
      <c r="B1138" s="0" t="n">
        <v>44.62284894</v>
      </c>
      <c r="C1138" s="0" t="n">
        <v>937.0798278</v>
      </c>
      <c r="E1138" s="0" t="n">
        <v>2029</v>
      </c>
      <c r="F1138" s="0" t="n">
        <v>10.072048</v>
      </c>
      <c r="G1138" s="0" t="n">
        <v>211.382766</v>
      </c>
      <c r="I1138" s="0" t="n">
        <v>2027</v>
      </c>
      <c r="J1138" s="0" t="n">
        <v>1.26</v>
      </c>
      <c r="K1138" s="0" t="n">
        <v>26.32</v>
      </c>
      <c r="M1138" s="0" t="n">
        <v>2029</v>
      </c>
      <c r="N1138" s="0" t="n">
        <v>69.6</v>
      </c>
      <c r="O1138" s="0" t="n">
        <v>1461</v>
      </c>
      <c r="Q1138" s="0" t="n">
        <v>2031</v>
      </c>
      <c r="R1138" s="0" t="n">
        <v>26</v>
      </c>
      <c r="W1138" s="0" t="n">
        <v>2029</v>
      </c>
      <c r="X1138" s="0" t="n">
        <v>145.095</v>
      </c>
    </row>
    <row r="1139" customFormat="false" ht="15" hidden="false" customHeight="false" outlineLevel="0" collapsed="false">
      <c r="A1139" s="0" t="n">
        <v>2029</v>
      </c>
      <c r="B1139" s="0" t="n">
        <v>33.19196687</v>
      </c>
      <c r="C1139" s="0" t="n">
        <v>697.0313043</v>
      </c>
      <c r="E1139" s="0" t="n">
        <v>2029</v>
      </c>
      <c r="F1139" s="0" t="n">
        <v>1424.666628</v>
      </c>
      <c r="G1139" s="0" t="n">
        <v>29909.26206</v>
      </c>
      <c r="I1139" s="0" t="n">
        <v>2027</v>
      </c>
      <c r="J1139" s="0" t="n">
        <v>0.36</v>
      </c>
      <c r="K1139" s="0" t="n">
        <v>7.52</v>
      </c>
      <c r="M1139" s="0" t="n">
        <v>2029</v>
      </c>
      <c r="N1139" s="0" t="n">
        <v>41.76</v>
      </c>
      <c r="O1139" s="0" t="n">
        <v>876.6</v>
      </c>
      <c r="Q1139" s="0" t="n">
        <v>2031</v>
      </c>
      <c r="R1139" s="0" t="n">
        <v>24</v>
      </c>
      <c r="W1139" s="0" t="n">
        <v>2029</v>
      </c>
      <c r="X1139" s="0" t="n">
        <v>54315.1</v>
      </c>
    </row>
    <row r="1140" customFormat="false" ht="15" hidden="false" customHeight="false" outlineLevel="0" collapsed="false">
      <c r="A1140" s="0" t="n">
        <v>2029</v>
      </c>
      <c r="B1140" s="0" t="n">
        <v>14.75198528</v>
      </c>
      <c r="C1140" s="0" t="n">
        <v>309.7916908</v>
      </c>
      <c r="E1140" s="0" t="n">
        <v>2029</v>
      </c>
      <c r="F1140" s="0" t="n">
        <v>382.538772</v>
      </c>
      <c r="G1140" s="0" t="n">
        <v>8030.968195</v>
      </c>
      <c r="I1140" s="0" t="n">
        <v>2027</v>
      </c>
      <c r="J1140" s="0" t="n">
        <v>1.26</v>
      </c>
      <c r="K1140" s="0" t="n">
        <v>26.32</v>
      </c>
      <c r="M1140" s="0" t="n">
        <v>2029</v>
      </c>
      <c r="N1140" s="0" t="n">
        <v>34.8</v>
      </c>
      <c r="O1140" s="0" t="n">
        <v>730.5</v>
      </c>
      <c r="Q1140" s="0" t="n">
        <v>2031</v>
      </c>
      <c r="R1140" s="0" t="n">
        <v>24</v>
      </c>
      <c r="W1140" s="0" t="n">
        <v>2029</v>
      </c>
      <c r="X1140" s="0" t="n">
        <v>13578.775</v>
      </c>
    </row>
    <row r="1141" customFormat="false" ht="15" hidden="false" customHeight="false" outlineLevel="0" collapsed="false">
      <c r="A1141" s="0" t="n">
        <v>2029</v>
      </c>
      <c r="B1141" s="0" t="n">
        <v>54.48762728</v>
      </c>
      <c r="C1141" s="0" t="n">
        <v>1144.240173</v>
      </c>
      <c r="E1141" s="0" t="n">
        <v>2029</v>
      </c>
      <c r="F1141" s="0" t="n">
        <v>153.116964</v>
      </c>
      <c r="G1141" s="0" t="n">
        <v>3214.517215</v>
      </c>
      <c r="I1141" s="0" t="n">
        <v>2027</v>
      </c>
      <c r="J1141" s="0" t="n">
        <v>123.36</v>
      </c>
      <c r="K1141" s="0" t="n">
        <v>2590.56</v>
      </c>
      <c r="M1141" s="0" t="n">
        <v>2029</v>
      </c>
      <c r="N1141" s="0" t="n">
        <v>27.84</v>
      </c>
      <c r="O1141" s="0" t="n">
        <v>584.4</v>
      </c>
      <c r="Q1141" s="0" t="n">
        <v>2031</v>
      </c>
      <c r="R1141" s="0" t="n">
        <v>914</v>
      </c>
      <c r="W1141" s="0" t="n">
        <v>2029</v>
      </c>
      <c r="X1141" s="0" t="n">
        <v>4205.04</v>
      </c>
    </row>
    <row r="1142" customFormat="false" ht="15" hidden="false" customHeight="false" outlineLevel="0" collapsed="false">
      <c r="A1142" s="0" t="n">
        <v>2029</v>
      </c>
      <c r="B1142" s="0" t="n">
        <v>17.05653004</v>
      </c>
      <c r="C1142" s="0" t="n">
        <v>358.1871308</v>
      </c>
      <c r="E1142" s="0" t="n">
        <v>2029</v>
      </c>
      <c r="F1142" s="0" t="n">
        <v>21.507948</v>
      </c>
      <c r="G1142" s="0" t="n">
        <v>451.535005</v>
      </c>
      <c r="I1142" s="0" t="n">
        <v>2027</v>
      </c>
      <c r="J1142" s="0" t="n">
        <v>41.12</v>
      </c>
      <c r="K1142" s="0" t="n">
        <v>863.52</v>
      </c>
      <c r="M1142" s="0" t="n">
        <v>2029</v>
      </c>
      <c r="N1142" s="0" t="n">
        <v>13.92</v>
      </c>
      <c r="O1142" s="0" t="n">
        <v>292.2</v>
      </c>
      <c r="Q1142" s="0" t="n">
        <v>2031</v>
      </c>
      <c r="R1142" s="0" t="n">
        <v>868</v>
      </c>
      <c r="W1142" s="0" t="n">
        <v>2029</v>
      </c>
      <c r="X1142" s="0" t="n">
        <v>7446.425</v>
      </c>
    </row>
    <row r="1143" customFormat="false" ht="15" hidden="false" customHeight="false" outlineLevel="0" collapsed="false">
      <c r="A1143" s="0" t="n">
        <v>2029</v>
      </c>
      <c r="B1143" s="0" t="n">
        <v>38.13735882</v>
      </c>
      <c r="C1143" s="0" t="n">
        <v>800.8845353</v>
      </c>
      <c r="E1143" s="0" t="n">
        <v>2029</v>
      </c>
      <c r="F1143" s="0" t="n">
        <v>514.147788</v>
      </c>
      <c r="G1143" s="0" t="n">
        <v>10793.95041</v>
      </c>
      <c r="I1143" s="0" t="n">
        <v>2027</v>
      </c>
      <c r="J1143" s="0" t="n">
        <v>17.99</v>
      </c>
      <c r="K1143" s="0" t="n">
        <v>377.79</v>
      </c>
      <c r="M1143" s="0" t="n">
        <v>2029</v>
      </c>
      <c r="N1143" s="0" t="n">
        <v>171.38</v>
      </c>
      <c r="O1143" s="0" t="n">
        <v>3595.94</v>
      </c>
      <c r="Q1143" s="0" t="n">
        <v>2031</v>
      </c>
      <c r="R1143" s="0" t="n">
        <v>411</v>
      </c>
      <c r="W1143" s="0" t="n">
        <v>2029</v>
      </c>
      <c r="X1143" s="0" t="n">
        <v>3328.99</v>
      </c>
    </row>
    <row r="1144" customFormat="false" ht="15" hidden="false" customHeight="false" outlineLevel="0" collapsed="false">
      <c r="A1144" s="0" t="n">
        <v>2029</v>
      </c>
      <c r="B1144" s="0" t="n">
        <v>931.2300902</v>
      </c>
      <c r="C1144" s="0" t="n">
        <v>19555.83189</v>
      </c>
      <c r="E1144" s="0" t="n">
        <v>2029</v>
      </c>
      <c r="F1144" s="0" t="n">
        <v>24.069276</v>
      </c>
      <c r="G1144" s="0" t="n">
        <v>505.307185</v>
      </c>
      <c r="I1144" s="0" t="n">
        <v>2027</v>
      </c>
      <c r="J1144" s="0" t="n">
        <v>10.28</v>
      </c>
      <c r="K1144" s="0" t="n">
        <v>215.88</v>
      </c>
      <c r="M1144" s="0" t="n">
        <v>2029</v>
      </c>
      <c r="N1144" s="0" t="n">
        <v>112.75</v>
      </c>
      <c r="O1144" s="0" t="n">
        <v>2365.75</v>
      </c>
      <c r="Q1144" s="0" t="n">
        <v>2031</v>
      </c>
      <c r="R1144" s="0" t="n">
        <v>91</v>
      </c>
      <c r="W1144" s="0" t="n">
        <v>2029</v>
      </c>
      <c r="X1144" s="0" t="n">
        <v>1314.075</v>
      </c>
    </row>
    <row r="1145" customFormat="false" ht="15" hidden="false" customHeight="false" outlineLevel="0" collapsed="false">
      <c r="A1145" s="0" t="n">
        <v>2029</v>
      </c>
      <c r="B1145" s="0" t="n">
        <v>234.8837656</v>
      </c>
      <c r="C1145" s="0" t="n">
        <v>4932.559077</v>
      </c>
      <c r="E1145" s="0" t="n">
        <v>2029</v>
      </c>
      <c r="F1145" s="0" t="n">
        <v>131.609016</v>
      </c>
      <c r="G1145" s="0" t="n">
        <v>2762.98221</v>
      </c>
      <c r="I1145" s="0" t="n">
        <v>2027</v>
      </c>
      <c r="J1145" s="0" t="n">
        <v>10.28</v>
      </c>
      <c r="K1145" s="0" t="n">
        <v>215.88</v>
      </c>
      <c r="M1145" s="0" t="n">
        <v>2029</v>
      </c>
      <c r="N1145" s="0" t="n">
        <v>45.1</v>
      </c>
      <c r="O1145" s="0" t="n">
        <v>946.3</v>
      </c>
      <c r="Q1145" s="0" t="n">
        <v>2031</v>
      </c>
      <c r="R1145" s="0" t="n">
        <v>87</v>
      </c>
      <c r="W1145" s="0" t="n">
        <v>2029</v>
      </c>
      <c r="X1145" s="0" t="n">
        <v>1927.31</v>
      </c>
    </row>
    <row r="1146" customFormat="false" ht="15" hidden="false" customHeight="false" outlineLevel="0" collapsed="false">
      <c r="A1146" s="0" t="n">
        <v>2029</v>
      </c>
      <c r="B1146" s="0" t="n">
        <v>209.4589043</v>
      </c>
      <c r="C1146" s="0" t="n">
        <v>4398.63699</v>
      </c>
      <c r="E1146" s="0" t="n">
        <v>2029</v>
      </c>
      <c r="F1146" s="0" t="n">
        <v>120.343608</v>
      </c>
      <c r="G1146" s="0" t="n">
        <v>2526.47773</v>
      </c>
      <c r="I1146" s="0" t="n">
        <v>2027</v>
      </c>
      <c r="J1146" s="0" t="n">
        <v>5.14</v>
      </c>
      <c r="K1146" s="0" t="n">
        <v>107.94</v>
      </c>
      <c r="M1146" s="0" t="n">
        <v>2029</v>
      </c>
      <c r="N1146" s="0" t="n">
        <v>45.1</v>
      </c>
      <c r="O1146" s="0" t="n">
        <v>946.3</v>
      </c>
      <c r="Q1146" s="0" t="n">
        <v>2031</v>
      </c>
      <c r="R1146" s="0" t="n">
        <v>87</v>
      </c>
      <c r="W1146" s="0" t="n">
        <v>2029</v>
      </c>
      <c r="X1146" s="0" t="n">
        <v>1489.285</v>
      </c>
    </row>
    <row r="1147" customFormat="false" ht="15" hidden="false" customHeight="false" outlineLevel="0" collapsed="false">
      <c r="A1147" s="0" t="n">
        <v>2029</v>
      </c>
      <c r="B1147" s="0" t="n">
        <v>145.6662545</v>
      </c>
      <c r="C1147" s="0" t="n">
        <v>3058.991344</v>
      </c>
      <c r="E1147" s="0" t="n">
        <v>2029</v>
      </c>
      <c r="F1147" s="0" t="n">
        <v>680.982425</v>
      </c>
      <c r="G1147" s="0" t="n">
        <v>14292.40774</v>
      </c>
      <c r="I1147" s="0" t="n">
        <v>2027</v>
      </c>
      <c r="J1147" s="0" t="n">
        <v>5.14</v>
      </c>
      <c r="K1147" s="0" t="n">
        <v>107.94</v>
      </c>
      <c r="M1147" s="0" t="n">
        <v>2029</v>
      </c>
      <c r="N1147" s="0" t="n">
        <v>27.06</v>
      </c>
      <c r="O1147" s="0" t="n">
        <v>567.78</v>
      </c>
      <c r="Q1147" s="0" t="n">
        <v>2031</v>
      </c>
      <c r="R1147" s="0" t="n">
        <v>424</v>
      </c>
      <c r="W1147" s="0" t="n">
        <v>2029</v>
      </c>
      <c r="X1147" s="0" t="n">
        <v>14350.52</v>
      </c>
    </row>
    <row r="1148" customFormat="false" ht="15" hidden="false" customHeight="false" outlineLevel="0" collapsed="false">
      <c r="A1148" s="0" t="n">
        <v>2029</v>
      </c>
      <c r="B1148" s="0" t="n">
        <v>108.35143</v>
      </c>
      <c r="C1148" s="0" t="n">
        <v>2275.380029</v>
      </c>
      <c r="E1148" s="0" t="n">
        <v>2029</v>
      </c>
      <c r="F1148" s="0" t="n">
        <v>182.851325</v>
      </c>
      <c r="G1148" s="0" t="n">
        <v>3837.669809</v>
      </c>
      <c r="I1148" s="0" t="n">
        <v>2027</v>
      </c>
      <c r="J1148" s="0" t="n">
        <v>10.28</v>
      </c>
      <c r="K1148" s="0" t="n">
        <v>215.88</v>
      </c>
      <c r="M1148" s="0" t="n">
        <v>2029</v>
      </c>
      <c r="N1148" s="0" t="n">
        <v>22.55</v>
      </c>
      <c r="O1148" s="0" t="n">
        <v>473.15</v>
      </c>
      <c r="Q1148" s="0" t="n">
        <v>2031</v>
      </c>
      <c r="R1148" s="0" t="n">
        <v>402</v>
      </c>
      <c r="W1148" s="0" t="n">
        <v>2029</v>
      </c>
      <c r="X1148" s="0" t="n">
        <v>3587.63</v>
      </c>
    </row>
    <row r="1149" customFormat="false" ht="15" hidden="false" customHeight="false" outlineLevel="0" collapsed="false">
      <c r="A1149" s="0" t="n">
        <v>2029</v>
      </c>
      <c r="B1149" s="0" t="n">
        <v>48.1561911</v>
      </c>
      <c r="C1149" s="0" t="n">
        <v>1011.280013</v>
      </c>
      <c r="E1149" s="0" t="n">
        <v>2029</v>
      </c>
      <c r="F1149" s="0" t="n">
        <v>73.189025</v>
      </c>
      <c r="G1149" s="0" t="n">
        <v>1536.085733</v>
      </c>
      <c r="I1149" s="0" t="n">
        <v>2027</v>
      </c>
      <c r="J1149" s="0" t="n">
        <v>17.99</v>
      </c>
      <c r="K1149" s="0" t="n">
        <v>377.79</v>
      </c>
      <c r="M1149" s="0" t="n">
        <v>2029</v>
      </c>
      <c r="N1149" s="0" t="n">
        <v>18.04</v>
      </c>
      <c r="O1149" s="0" t="n">
        <v>378.52</v>
      </c>
      <c r="Q1149" s="0" t="n">
        <v>2031</v>
      </c>
      <c r="R1149" s="0" t="n">
        <v>191</v>
      </c>
      <c r="W1149" s="0" t="n">
        <v>2029</v>
      </c>
      <c r="X1149" s="0" t="n">
        <v>1111.008</v>
      </c>
    </row>
    <row r="1150" customFormat="false" ht="15" hidden="false" customHeight="false" outlineLevel="0" collapsed="false">
      <c r="A1150" s="0" t="n">
        <v>2029</v>
      </c>
      <c r="B1150" s="0" t="n">
        <v>177.8687101</v>
      </c>
      <c r="C1150" s="0" t="n">
        <v>3735.242911</v>
      </c>
      <c r="E1150" s="0" t="n">
        <v>2029</v>
      </c>
      <c r="F1150" s="0" t="n">
        <v>10.280675</v>
      </c>
      <c r="G1150" s="0" t="n">
        <v>215.770031</v>
      </c>
      <c r="I1150" s="0" t="n">
        <v>2027</v>
      </c>
      <c r="J1150" s="0" t="n">
        <v>7.71</v>
      </c>
      <c r="K1150" s="0" t="n">
        <v>161.91</v>
      </c>
      <c r="M1150" s="0" t="n">
        <v>2029</v>
      </c>
      <c r="N1150" s="0" t="n">
        <v>9.02</v>
      </c>
      <c r="O1150" s="0" t="n">
        <v>189.26</v>
      </c>
      <c r="Q1150" s="0" t="n">
        <v>2031</v>
      </c>
      <c r="R1150" s="0" t="n">
        <v>42</v>
      </c>
      <c r="W1150" s="0" t="n">
        <v>2029</v>
      </c>
      <c r="X1150" s="0" t="n">
        <v>1967.41</v>
      </c>
    </row>
    <row r="1151" customFormat="false" ht="15" hidden="false" customHeight="false" outlineLevel="0" collapsed="false">
      <c r="A1151" s="0" t="n">
        <v>2029</v>
      </c>
      <c r="B1151" s="0" t="n">
        <v>55.67911739</v>
      </c>
      <c r="C1151" s="0" t="n">
        <v>1169.261465</v>
      </c>
      <c r="E1151" s="0" t="n">
        <v>2029</v>
      </c>
      <c r="F1151" s="0" t="n">
        <v>245.759675</v>
      </c>
      <c r="G1151" s="0" t="n">
        <v>5157.985511</v>
      </c>
      <c r="I1151" s="0" t="n">
        <v>2027</v>
      </c>
      <c r="J1151" s="0" t="n">
        <v>7.71</v>
      </c>
      <c r="K1151" s="0" t="n">
        <v>161.91</v>
      </c>
      <c r="M1151" s="0" t="n">
        <v>2029</v>
      </c>
      <c r="N1151" s="0" t="n">
        <v>44.46</v>
      </c>
      <c r="O1151" s="0" t="n">
        <v>932.14</v>
      </c>
      <c r="Q1151" s="0" t="n">
        <v>2031</v>
      </c>
      <c r="R1151" s="0" t="n">
        <v>40</v>
      </c>
      <c r="W1151" s="0" t="n">
        <v>2029</v>
      </c>
      <c r="X1151" s="0" t="n">
        <v>879.548</v>
      </c>
    </row>
    <row r="1152" customFormat="false" ht="15" hidden="false" customHeight="false" outlineLevel="0" collapsed="false">
      <c r="A1152" s="0" t="n">
        <v>2029</v>
      </c>
      <c r="B1152" s="0" t="n">
        <v>124.4951039</v>
      </c>
      <c r="C1152" s="0" t="n">
        <v>2614.397182</v>
      </c>
      <c r="E1152" s="0" t="n">
        <v>2029</v>
      </c>
      <c r="F1152" s="0" t="n">
        <v>11.504975</v>
      </c>
      <c r="G1152" s="0" t="n">
        <v>241.465547</v>
      </c>
      <c r="I1152" s="0" t="n">
        <v>2027</v>
      </c>
      <c r="J1152" s="0" t="n">
        <v>15.6</v>
      </c>
      <c r="K1152" s="0" t="n">
        <v>328.12</v>
      </c>
      <c r="M1152" s="0" t="n">
        <v>2029</v>
      </c>
      <c r="N1152" s="0" t="n">
        <v>29.25</v>
      </c>
      <c r="O1152" s="0" t="n">
        <v>613.25</v>
      </c>
      <c r="Q1152" s="0" t="n">
        <v>2031</v>
      </c>
      <c r="R1152" s="0" t="n">
        <v>40</v>
      </c>
      <c r="W1152" s="0" t="n">
        <v>2029</v>
      </c>
      <c r="X1152" s="0" t="n">
        <v>347.19</v>
      </c>
    </row>
    <row r="1153" customFormat="false" ht="15" hidden="false" customHeight="false" outlineLevel="0" collapsed="false">
      <c r="A1153" s="0" t="n">
        <v>2029</v>
      </c>
      <c r="B1153" s="0" t="n">
        <v>165.3145283</v>
      </c>
      <c r="C1153" s="0" t="n">
        <v>3471.605095</v>
      </c>
      <c r="E1153" s="0" t="n">
        <v>2029</v>
      </c>
      <c r="F1153" s="0" t="n">
        <v>62.90835</v>
      </c>
      <c r="G1153" s="0" t="n">
        <v>1320.315702</v>
      </c>
      <c r="I1153" s="0" t="n">
        <v>2027</v>
      </c>
      <c r="J1153" s="0" t="n">
        <v>2.4</v>
      </c>
      <c r="K1153" s="0" t="n">
        <v>50.48</v>
      </c>
      <c r="M1153" s="0" t="n">
        <v>2029</v>
      </c>
      <c r="N1153" s="0" t="n">
        <v>11.7</v>
      </c>
      <c r="O1153" s="0" t="n">
        <v>245.3</v>
      </c>
      <c r="Q1153" s="0" t="n">
        <v>2031</v>
      </c>
      <c r="R1153" s="0" t="n">
        <v>55</v>
      </c>
      <c r="W1153" s="0" t="n">
        <v>2029</v>
      </c>
      <c r="X1153" s="0" t="n">
        <v>509.212</v>
      </c>
    </row>
    <row r="1154" customFormat="false" ht="15" hidden="false" customHeight="false" outlineLevel="0" collapsed="false">
      <c r="A1154" s="0" t="n">
        <v>2029</v>
      </c>
      <c r="B1154" s="0" t="n">
        <v>41.69721247</v>
      </c>
      <c r="C1154" s="0" t="n">
        <v>875.6414618</v>
      </c>
      <c r="E1154" s="0" t="n">
        <v>2029</v>
      </c>
      <c r="F1154" s="0" t="n">
        <v>57.52355</v>
      </c>
      <c r="G1154" s="0" t="n">
        <v>1207.299926</v>
      </c>
      <c r="I1154" s="0" t="n">
        <v>2027</v>
      </c>
      <c r="J1154" s="0" t="n">
        <v>1.8</v>
      </c>
      <c r="K1154" s="0" t="n">
        <v>37.86</v>
      </c>
      <c r="M1154" s="0" t="n">
        <v>2029</v>
      </c>
      <c r="N1154" s="0" t="n">
        <v>11.7</v>
      </c>
      <c r="O1154" s="0" t="n">
        <v>245.3</v>
      </c>
      <c r="Q1154" s="0" t="n">
        <v>2031</v>
      </c>
      <c r="R1154" s="0" t="n">
        <v>53</v>
      </c>
      <c r="W1154" s="0" t="n">
        <v>2029</v>
      </c>
      <c r="X1154" s="0" t="n">
        <v>393.482</v>
      </c>
    </row>
    <row r="1155" customFormat="false" ht="15" hidden="false" customHeight="false" outlineLevel="0" collapsed="false">
      <c r="A1155" s="0" t="n">
        <v>2029</v>
      </c>
      <c r="B1155" s="0" t="n">
        <v>37.18372112</v>
      </c>
      <c r="C1155" s="0" t="n">
        <v>780.8581434</v>
      </c>
      <c r="E1155" s="0" t="n">
        <v>2029</v>
      </c>
      <c r="F1155" s="0" t="n">
        <v>78.120248</v>
      </c>
      <c r="G1155" s="0" t="n">
        <v>1632.815973</v>
      </c>
      <c r="I1155" s="0" t="n">
        <v>2027</v>
      </c>
      <c r="J1155" s="0" t="n">
        <v>3</v>
      </c>
      <c r="K1155" s="0" t="n">
        <v>63.1</v>
      </c>
      <c r="M1155" s="0" t="n">
        <v>2029</v>
      </c>
      <c r="N1155" s="0" t="n">
        <v>7.02</v>
      </c>
      <c r="O1155" s="0" t="n">
        <v>147.18</v>
      </c>
      <c r="Q1155" s="0" t="n">
        <v>2031</v>
      </c>
      <c r="R1155" s="0" t="n">
        <v>25</v>
      </c>
      <c r="W1155" s="0" t="n">
        <v>2029</v>
      </c>
      <c r="X1155" s="0" t="n">
        <v>4527.86</v>
      </c>
    </row>
    <row r="1156" customFormat="false" ht="15" hidden="false" customHeight="false" outlineLevel="0" collapsed="false">
      <c r="A1156" s="0" t="n">
        <v>2029</v>
      </c>
      <c r="B1156" s="0" t="n">
        <v>25.85907436</v>
      </c>
      <c r="C1156" s="0" t="n">
        <v>543.0405616</v>
      </c>
      <c r="E1156" s="0" t="n">
        <v>2029</v>
      </c>
      <c r="F1156" s="0" t="n">
        <v>20.976152</v>
      </c>
      <c r="G1156" s="0" t="n">
        <v>438.429177</v>
      </c>
      <c r="I1156" s="0" t="n">
        <v>2027</v>
      </c>
      <c r="J1156" s="0" t="n">
        <v>0.6</v>
      </c>
      <c r="K1156" s="0" t="n">
        <v>12.62</v>
      </c>
      <c r="M1156" s="0" t="n">
        <v>2029</v>
      </c>
      <c r="N1156" s="0" t="n">
        <v>5.85</v>
      </c>
      <c r="O1156" s="0" t="n">
        <v>122.65</v>
      </c>
      <c r="Q1156" s="0" t="n">
        <v>2031</v>
      </c>
      <c r="R1156" s="0" t="n">
        <v>6</v>
      </c>
      <c r="W1156" s="0" t="n">
        <v>2029</v>
      </c>
      <c r="X1156" s="0" t="n">
        <v>1131.965</v>
      </c>
    </row>
    <row r="1157" customFormat="false" ht="15" hidden="false" customHeight="false" outlineLevel="0" collapsed="false">
      <c r="A1157" s="0" t="n">
        <v>2029</v>
      </c>
      <c r="B1157" s="0" t="n">
        <v>19.23484403</v>
      </c>
      <c r="C1157" s="0" t="n">
        <v>403.9317246</v>
      </c>
      <c r="E1157" s="0" t="n">
        <v>2029</v>
      </c>
      <c r="F1157" s="0" t="n">
        <v>8.396024</v>
      </c>
      <c r="G1157" s="0" t="n">
        <v>175.487949</v>
      </c>
      <c r="I1157" s="0" t="n">
        <v>2027</v>
      </c>
      <c r="J1157" s="0" t="n">
        <v>0.6</v>
      </c>
      <c r="K1157" s="0" t="n">
        <v>12.62</v>
      </c>
      <c r="M1157" s="0" t="n">
        <v>2029</v>
      </c>
      <c r="N1157" s="0" t="n">
        <v>4.68</v>
      </c>
      <c r="O1157" s="0" t="n">
        <v>98.12</v>
      </c>
      <c r="Q1157" s="0" t="n">
        <v>2031</v>
      </c>
      <c r="R1157" s="0" t="n">
        <v>5</v>
      </c>
      <c r="W1157" s="0" t="n">
        <v>2029</v>
      </c>
      <c r="X1157" s="0" t="n">
        <v>350.544</v>
      </c>
    </row>
    <row r="1158" customFormat="false" ht="15" hidden="false" customHeight="false" outlineLevel="0" collapsed="false">
      <c r="A1158" s="0" t="n">
        <v>2029</v>
      </c>
      <c r="B1158" s="0" t="n">
        <v>8.548819569</v>
      </c>
      <c r="C1158" s="0" t="n">
        <v>179.5252109</v>
      </c>
      <c r="E1158" s="0" t="n">
        <v>2029</v>
      </c>
      <c r="F1158" s="0" t="n">
        <v>1.179368</v>
      </c>
      <c r="G1158" s="0" t="n">
        <v>24.650343</v>
      </c>
      <c r="I1158" s="0" t="n">
        <v>2027</v>
      </c>
      <c r="J1158" s="0" t="n">
        <v>0</v>
      </c>
      <c r="K1158" s="0" t="n">
        <v>0</v>
      </c>
      <c r="M1158" s="0" t="n">
        <v>2029</v>
      </c>
      <c r="N1158" s="0" t="n">
        <v>2.34</v>
      </c>
      <c r="O1158" s="0" t="n">
        <v>49.06</v>
      </c>
      <c r="Q1158" s="0" t="n">
        <v>2031</v>
      </c>
      <c r="R1158" s="0" t="n">
        <v>5</v>
      </c>
      <c r="W1158" s="0" t="n">
        <v>2029</v>
      </c>
      <c r="X1158" s="0" t="n">
        <v>620.755</v>
      </c>
    </row>
    <row r="1159" customFormat="false" ht="15" hidden="false" customHeight="false" outlineLevel="0" collapsed="false">
      <c r="A1159" s="0" t="n">
        <v>2029</v>
      </c>
      <c r="B1159" s="0" t="n">
        <v>31.5757429</v>
      </c>
      <c r="C1159" s="0" t="n">
        <v>663.0906009</v>
      </c>
      <c r="E1159" s="0" t="n">
        <v>2029</v>
      </c>
      <c r="F1159" s="0" t="n">
        <v>28.192808</v>
      </c>
      <c r="G1159" s="0" t="n">
        <v>589.266783</v>
      </c>
      <c r="I1159" s="0" t="n">
        <v>2027</v>
      </c>
      <c r="J1159" s="0" t="n">
        <v>1.2</v>
      </c>
      <c r="K1159" s="0" t="n">
        <v>25.24</v>
      </c>
      <c r="M1159" s="0" t="n">
        <v>2029</v>
      </c>
      <c r="N1159" s="0" t="n">
        <v>98.8</v>
      </c>
      <c r="O1159" s="0" t="n">
        <v>2073.28</v>
      </c>
      <c r="Q1159" s="0" t="n">
        <v>2031</v>
      </c>
      <c r="R1159" s="0" t="n">
        <v>461</v>
      </c>
      <c r="W1159" s="0" t="n">
        <v>2029</v>
      </c>
      <c r="X1159" s="0" t="n">
        <v>277.514</v>
      </c>
    </row>
    <row r="1160" customFormat="false" ht="15" hidden="false" customHeight="false" outlineLevel="0" collapsed="false">
      <c r="A1160" s="0" t="n">
        <v>2029</v>
      </c>
      <c r="B1160" s="0" t="n">
        <v>9.884310148</v>
      </c>
      <c r="C1160" s="0" t="n">
        <v>207.5705131</v>
      </c>
      <c r="E1160" s="0" t="n">
        <v>2029</v>
      </c>
      <c r="F1160" s="0" t="n">
        <v>1.319816</v>
      </c>
      <c r="G1160" s="0" t="n">
        <v>27.585891</v>
      </c>
      <c r="I1160" s="0" t="n">
        <v>2027</v>
      </c>
      <c r="J1160" s="0" t="n">
        <v>2.1</v>
      </c>
      <c r="K1160" s="0" t="n">
        <v>44.17</v>
      </c>
      <c r="M1160" s="0" t="n">
        <v>2029</v>
      </c>
      <c r="N1160" s="0" t="n">
        <v>65</v>
      </c>
      <c r="O1160" s="0" t="n">
        <v>1364</v>
      </c>
      <c r="Q1160" s="0" t="n">
        <v>2031</v>
      </c>
      <c r="R1160" s="0" t="n">
        <v>438</v>
      </c>
      <c r="W1160" s="0" t="n">
        <v>2029</v>
      </c>
      <c r="X1160" s="0" t="n">
        <v>109.545</v>
      </c>
    </row>
    <row r="1161" customFormat="false" ht="15" hidden="false" customHeight="false" outlineLevel="0" collapsed="false">
      <c r="A1161" s="0" t="n">
        <v>2029</v>
      </c>
      <c r="B1161" s="0" t="n">
        <v>22.10071345</v>
      </c>
      <c r="C1161" s="0" t="n">
        <v>464.1149825</v>
      </c>
      <c r="E1161" s="0" t="n">
        <v>2029</v>
      </c>
      <c r="F1161" s="0" t="n">
        <v>7.216656</v>
      </c>
      <c r="G1161" s="0" t="n">
        <v>150.837606</v>
      </c>
      <c r="I1161" s="0" t="n">
        <v>2027</v>
      </c>
      <c r="J1161" s="0" t="n">
        <v>0.6</v>
      </c>
      <c r="K1161" s="0" t="n">
        <v>12.62</v>
      </c>
      <c r="M1161" s="0" t="n">
        <v>2029</v>
      </c>
      <c r="N1161" s="0" t="n">
        <v>26</v>
      </c>
      <c r="O1161" s="0" t="n">
        <v>545.6</v>
      </c>
      <c r="Q1161" s="0" t="n">
        <v>2031</v>
      </c>
      <c r="R1161" s="0" t="n">
        <v>207</v>
      </c>
      <c r="W1161" s="0" t="n">
        <v>2029</v>
      </c>
      <c r="X1161" s="0" t="n">
        <v>160.666</v>
      </c>
    </row>
    <row r="1162" customFormat="false" ht="15" hidden="false" customHeight="false" outlineLevel="0" collapsed="false">
      <c r="A1162" s="0" t="n">
        <v>2029</v>
      </c>
      <c r="B1162" s="0" t="n">
        <v>280.2591617</v>
      </c>
      <c r="C1162" s="0" t="n">
        <v>5885.442396</v>
      </c>
      <c r="E1162" s="0" t="n">
        <v>2029</v>
      </c>
      <c r="F1162" s="0" t="n">
        <v>6.598928</v>
      </c>
      <c r="G1162" s="0" t="n">
        <v>137.926278</v>
      </c>
      <c r="I1162" s="0" t="n">
        <v>2027</v>
      </c>
      <c r="J1162" s="0" t="n">
        <v>2.1</v>
      </c>
      <c r="K1162" s="0" t="n">
        <v>44.17</v>
      </c>
      <c r="M1162" s="0" t="n">
        <v>2029</v>
      </c>
      <c r="N1162" s="0" t="n">
        <v>26</v>
      </c>
      <c r="O1162" s="0" t="n">
        <v>545.6</v>
      </c>
      <c r="Q1162" s="0" t="n">
        <v>2031</v>
      </c>
      <c r="R1162" s="0" t="n">
        <v>46</v>
      </c>
      <c r="W1162" s="0" t="n">
        <v>2029</v>
      </c>
      <c r="X1162" s="0" t="n">
        <v>124.151</v>
      </c>
    </row>
    <row r="1163" customFormat="false" ht="15" hidden="false" customHeight="false" outlineLevel="0" collapsed="false">
      <c r="A1163" s="0" t="n">
        <v>2029</v>
      </c>
      <c r="B1163" s="0" t="n">
        <v>70.68964796</v>
      </c>
      <c r="C1163" s="0" t="n">
        <v>1484.482607</v>
      </c>
      <c r="E1163" s="0" t="n">
        <v>2029</v>
      </c>
      <c r="F1163" s="0" t="n">
        <v>637.810709</v>
      </c>
      <c r="G1163" s="0" t="n">
        <v>13387.8575</v>
      </c>
      <c r="I1163" s="0" t="n">
        <v>2027</v>
      </c>
      <c r="J1163" s="0" t="n">
        <v>98.88</v>
      </c>
      <c r="K1163" s="0" t="n">
        <v>2076.48</v>
      </c>
      <c r="M1163" s="0" t="n">
        <v>2029</v>
      </c>
      <c r="N1163" s="0" t="n">
        <v>15.6</v>
      </c>
      <c r="O1163" s="0" t="n">
        <v>327.36</v>
      </c>
      <c r="Q1163" s="0" t="n">
        <v>2031</v>
      </c>
      <c r="R1163" s="0" t="n">
        <v>44</v>
      </c>
      <c r="W1163" s="0" t="n">
        <v>2029</v>
      </c>
      <c r="X1163" s="0" t="n">
        <v>45777.7</v>
      </c>
    </row>
    <row r="1164" customFormat="false" ht="15" hidden="false" customHeight="false" outlineLevel="0" collapsed="false">
      <c r="A1164" s="0" t="n">
        <v>2029</v>
      </c>
      <c r="B1164" s="0" t="n">
        <v>63.03788671</v>
      </c>
      <c r="C1164" s="0" t="n">
        <v>1323.795621</v>
      </c>
      <c r="E1164" s="0" t="n">
        <v>2029</v>
      </c>
      <c r="F1164" s="0" t="n">
        <v>171.259241</v>
      </c>
      <c r="G1164" s="0" t="n">
        <v>3594.788049</v>
      </c>
      <c r="I1164" s="0" t="n">
        <v>2027</v>
      </c>
      <c r="J1164" s="0" t="n">
        <v>32.96</v>
      </c>
      <c r="K1164" s="0" t="n">
        <v>692.16</v>
      </c>
      <c r="M1164" s="0" t="n">
        <v>2029</v>
      </c>
      <c r="N1164" s="0" t="n">
        <v>13</v>
      </c>
      <c r="O1164" s="0" t="n">
        <v>272.8</v>
      </c>
      <c r="Q1164" s="0" t="n">
        <v>2031</v>
      </c>
      <c r="R1164" s="0" t="n">
        <v>44</v>
      </c>
      <c r="W1164" s="0" t="n">
        <v>2029</v>
      </c>
      <c r="X1164" s="0" t="n">
        <v>11444.425</v>
      </c>
    </row>
    <row r="1165" customFormat="false" ht="15" hidden="false" customHeight="false" outlineLevel="0" collapsed="false">
      <c r="A1165" s="0" t="n">
        <v>2029</v>
      </c>
      <c r="B1165" s="0" t="n">
        <v>43.8391143</v>
      </c>
      <c r="C1165" s="0" t="n">
        <v>920.6214003</v>
      </c>
      <c r="E1165" s="0" t="n">
        <v>2029</v>
      </c>
      <c r="F1165" s="0" t="n">
        <v>68.549117</v>
      </c>
      <c r="G1165" s="0" t="n">
        <v>1438.868613</v>
      </c>
      <c r="I1165" s="0" t="n">
        <v>2027</v>
      </c>
      <c r="J1165" s="0" t="n">
        <v>14.42</v>
      </c>
      <c r="K1165" s="0" t="n">
        <v>302.82</v>
      </c>
      <c r="M1165" s="0" t="n">
        <v>2029</v>
      </c>
      <c r="N1165" s="0" t="n">
        <v>10.4</v>
      </c>
      <c r="O1165" s="0" t="n">
        <v>218.24</v>
      </c>
      <c r="Q1165" s="0" t="n">
        <v>2031</v>
      </c>
      <c r="R1165" s="0" t="n">
        <v>750</v>
      </c>
      <c r="W1165" s="0" t="n">
        <v>2029</v>
      </c>
      <c r="X1165" s="0" t="n">
        <v>3544.08</v>
      </c>
    </row>
    <row r="1166" customFormat="false" ht="15" hidden="false" customHeight="false" outlineLevel="0" collapsed="false">
      <c r="A1166" s="0" t="n">
        <v>2029</v>
      </c>
      <c r="B1166" s="0" t="n">
        <v>32.60899884</v>
      </c>
      <c r="C1166" s="0" t="n">
        <v>684.7889757</v>
      </c>
      <c r="E1166" s="0" t="n">
        <v>2029</v>
      </c>
      <c r="F1166" s="0" t="n">
        <v>9.628919</v>
      </c>
      <c r="G1166" s="0" t="n">
        <v>202.114191</v>
      </c>
      <c r="I1166" s="0" t="n">
        <v>2027</v>
      </c>
      <c r="J1166" s="0" t="n">
        <v>8.24</v>
      </c>
      <c r="K1166" s="0" t="n">
        <v>173.04</v>
      </c>
      <c r="M1166" s="0" t="n">
        <v>2029</v>
      </c>
      <c r="N1166" s="0" t="n">
        <v>5.2</v>
      </c>
      <c r="O1166" s="0" t="n">
        <v>109.12</v>
      </c>
      <c r="Q1166" s="0" t="n">
        <v>2031</v>
      </c>
      <c r="R1166" s="0" t="n">
        <v>713</v>
      </c>
      <c r="W1166" s="0" t="n">
        <v>2029</v>
      </c>
      <c r="X1166" s="0" t="n">
        <v>6275.975</v>
      </c>
    </row>
    <row r="1167" customFormat="false" ht="15" hidden="false" customHeight="false" outlineLevel="0" collapsed="false">
      <c r="A1167" s="0" t="n">
        <v>2029</v>
      </c>
      <c r="B1167" s="0" t="n">
        <v>14.49288837</v>
      </c>
      <c r="C1167" s="0" t="n">
        <v>304.3506559</v>
      </c>
      <c r="E1167" s="0" t="n">
        <v>2029</v>
      </c>
      <c r="F1167" s="0" t="n">
        <v>230.179439</v>
      </c>
      <c r="G1167" s="0" t="n">
        <v>4831.542471</v>
      </c>
      <c r="I1167" s="0" t="n">
        <v>2027</v>
      </c>
      <c r="J1167" s="0" t="n">
        <v>8.24</v>
      </c>
      <c r="K1167" s="0" t="n">
        <v>173.04</v>
      </c>
      <c r="M1167" s="0" t="n">
        <v>2029</v>
      </c>
      <c r="N1167" s="0" t="n">
        <v>144.4</v>
      </c>
      <c r="O1167" s="0" t="n">
        <v>3032.02</v>
      </c>
      <c r="Q1167" s="0" t="n">
        <v>2031</v>
      </c>
      <c r="R1167" s="0" t="n">
        <v>338</v>
      </c>
      <c r="W1167" s="0" t="n">
        <v>2029</v>
      </c>
      <c r="X1167" s="0" t="n">
        <v>2805.73</v>
      </c>
    </row>
    <row r="1168" customFormat="false" ht="15" hidden="false" customHeight="false" outlineLevel="0" collapsed="false">
      <c r="A1168" s="0" t="n">
        <v>2029</v>
      </c>
      <c r="B1168" s="0" t="n">
        <v>53.53063233</v>
      </c>
      <c r="C1168" s="0" t="n">
        <v>1124.143279</v>
      </c>
      <c r="E1168" s="0" t="n">
        <v>2029</v>
      </c>
      <c r="F1168" s="0" t="n">
        <v>10.775603</v>
      </c>
      <c r="G1168" s="0" t="n">
        <v>226.183467</v>
      </c>
      <c r="I1168" s="0" t="n">
        <v>2027</v>
      </c>
      <c r="J1168" s="0" t="n">
        <v>4.12</v>
      </c>
      <c r="K1168" s="0" t="n">
        <v>86.52</v>
      </c>
      <c r="M1168" s="0" t="n">
        <v>2029</v>
      </c>
      <c r="N1168" s="0" t="n">
        <v>95</v>
      </c>
      <c r="O1168" s="0" t="n">
        <v>1994.75</v>
      </c>
      <c r="Q1168" s="0" t="n">
        <v>2031</v>
      </c>
      <c r="R1168" s="0" t="n">
        <v>75</v>
      </c>
      <c r="W1168" s="0" t="n">
        <v>2029</v>
      </c>
      <c r="X1168" s="0" t="n">
        <v>1107.525</v>
      </c>
    </row>
    <row r="1169" customFormat="false" ht="15" hidden="false" customHeight="false" outlineLevel="0" collapsed="false">
      <c r="A1169" s="0" t="n">
        <v>2029</v>
      </c>
      <c r="B1169" s="0" t="n">
        <v>16.7569572</v>
      </c>
      <c r="C1169" s="0" t="n">
        <v>351.8961012</v>
      </c>
      <c r="E1169" s="0" t="n">
        <v>2029</v>
      </c>
      <c r="F1169" s="0" t="n">
        <v>58.920198</v>
      </c>
      <c r="G1169" s="0" t="n">
        <v>1236.754422</v>
      </c>
      <c r="I1169" s="0" t="n">
        <v>2027</v>
      </c>
      <c r="J1169" s="0" t="n">
        <v>4.12</v>
      </c>
      <c r="K1169" s="0" t="n">
        <v>86.52</v>
      </c>
      <c r="M1169" s="0" t="n">
        <v>2029</v>
      </c>
      <c r="N1169" s="0" t="n">
        <v>38</v>
      </c>
      <c r="O1169" s="0" t="n">
        <v>797.9</v>
      </c>
      <c r="Q1169" s="0" t="n">
        <v>2031</v>
      </c>
      <c r="R1169" s="0" t="n">
        <v>72</v>
      </c>
      <c r="W1169" s="0" t="n">
        <v>2029</v>
      </c>
      <c r="X1169" s="0" t="n">
        <v>1624.37</v>
      </c>
    </row>
    <row r="1170" customFormat="false" ht="15" hidden="false" customHeight="false" outlineLevel="0" collapsed="false">
      <c r="A1170" s="0" t="n">
        <v>2029</v>
      </c>
      <c r="B1170" s="0" t="n">
        <v>37.46753227</v>
      </c>
      <c r="C1170" s="0" t="n">
        <v>786.8181776</v>
      </c>
      <c r="E1170" s="0" t="n">
        <v>2029</v>
      </c>
      <c r="F1170" s="0" t="n">
        <v>53.876774</v>
      </c>
      <c r="G1170" s="0" t="n">
        <v>1130.891286</v>
      </c>
      <c r="I1170" s="0" t="n">
        <v>2027</v>
      </c>
      <c r="J1170" s="0" t="n">
        <v>8.24</v>
      </c>
      <c r="K1170" s="0" t="n">
        <v>173.04</v>
      </c>
      <c r="M1170" s="0" t="n">
        <v>2029</v>
      </c>
      <c r="N1170" s="0" t="n">
        <v>38</v>
      </c>
      <c r="O1170" s="0" t="n">
        <v>797.9</v>
      </c>
      <c r="Q1170" s="0" t="n">
        <v>2031</v>
      </c>
      <c r="R1170" s="0" t="n">
        <v>72</v>
      </c>
      <c r="W1170" s="0" t="n">
        <v>2029</v>
      </c>
      <c r="X1170" s="0" t="n">
        <v>1255.195</v>
      </c>
    </row>
    <row r="1171" customFormat="false" ht="15" hidden="false" customHeight="false" outlineLevel="0" collapsed="false">
      <c r="A1171" s="0" t="n">
        <v>2029</v>
      </c>
      <c r="B1171" s="0" t="n">
        <v>100.7131392</v>
      </c>
      <c r="C1171" s="0" t="n">
        <v>2114.975924</v>
      </c>
      <c r="E1171" s="0" t="n">
        <v>2030</v>
      </c>
      <c r="F1171" s="0" t="n">
        <v>264.169786</v>
      </c>
      <c r="G1171" s="0" t="n">
        <v>5541.912067</v>
      </c>
      <c r="I1171" s="0" t="n">
        <v>2027</v>
      </c>
      <c r="J1171" s="0" t="n">
        <v>14.42</v>
      </c>
      <c r="K1171" s="0" t="n">
        <v>302.82</v>
      </c>
      <c r="M1171" s="0" t="n">
        <v>2029</v>
      </c>
      <c r="N1171" s="0" t="n">
        <v>22.8</v>
      </c>
      <c r="O1171" s="0" t="n">
        <v>478.74</v>
      </c>
      <c r="Q1171" s="0" t="n">
        <v>2031</v>
      </c>
      <c r="R1171" s="0" t="n">
        <v>335</v>
      </c>
      <c r="W1171" s="0" t="n">
        <v>2030</v>
      </c>
      <c r="X1171" s="0" t="n">
        <v>161452.34</v>
      </c>
    </row>
    <row r="1172" customFormat="false" ht="15" hidden="false" customHeight="false" outlineLevel="0" collapsed="false">
      <c r="A1172" s="0" t="n">
        <v>2029</v>
      </c>
      <c r="B1172" s="0" t="n">
        <v>25.40283184</v>
      </c>
      <c r="C1172" s="0" t="n">
        <v>533.4594686</v>
      </c>
      <c r="E1172" s="0" t="n">
        <v>2030</v>
      </c>
      <c r="F1172" s="0" t="n">
        <v>70.932514</v>
      </c>
      <c r="G1172" s="0" t="n">
        <v>1488.064783</v>
      </c>
      <c r="I1172" s="0" t="n">
        <v>2027</v>
      </c>
      <c r="J1172" s="0" t="n">
        <v>6.18</v>
      </c>
      <c r="K1172" s="0" t="n">
        <v>129.78</v>
      </c>
      <c r="M1172" s="0" t="n">
        <v>2029</v>
      </c>
      <c r="N1172" s="0" t="n">
        <v>19</v>
      </c>
      <c r="O1172" s="0" t="n">
        <v>398.95</v>
      </c>
      <c r="Q1172" s="0" t="n">
        <v>2031</v>
      </c>
      <c r="R1172" s="0" t="n">
        <v>318</v>
      </c>
      <c r="W1172" s="0" t="n">
        <v>2030</v>
      </c>
      <c r="X1172" s="0" t="n">
        <v>40363.085</v>
      </c>
    </row>
    <row r="1173" customFormat="false" ht="15" hidden="false" customHeight="false" outlineLevel="0" collapsed="false">
      <c r="A1173" s="0" t="n">
        <v>2029</v>
      </c>
      <c r="B1173" s="0" t="n">
        <v>22.65311657</v>
      </c>
      <c r="C1173" s="0" t="n">
        <v>475.715448</v>
      </c>
      <c r="E1173" s="0" t="n">
        <v>2030</v>
      </c>
      <c r="F1173" s="0" t="n">
        <v>28.391818</v>
      </c>
      <c r="G1173" s="0" t="n">
        <v>595.620571</v>
      </c>
      <c r="I1173" s="0" t="n">
        <v>2027</v>
      </c>
      <c r="J1173" s="0" t="n">
        <v>6.18</v>
      </c>
      <c r="K1173" s="0" t="n">
        <v>129.78</v>
      </c>
      <c r="M1173" s="0" t="n">
        <v>2029</v>
      </c>
      <c r="N1173" s="0" t="n">
        <v>15.2</v>
      </c>
      <c r="O1173" s="0" t="n">
        <v>319.16</v>
      </c>
      <c r="Q1173" s="0" t="n">
        <v>2031</v>
      </c>
      <c r="R1173" s="0" t="n">
        <v>151</v>
      </c>
      <c r="W1173" s="0" t="n">
        <v>2030</v>
      </c>
      <c r="X1173" s="0" t="n">
        <v>12499.536</v>
      </c>
    </row>
    <row r="1174" customFormat="false" ht="15" hidden="false" customHeight="false" outlineLevel="0" collapsed="false">
      <c r="A1174" s="0" t="n">
        <v>2029</v>
      </c>
      <c r="B1174" s="0" t="n">
        <v>15.75390005</v>
      </c>
      <c r="C1174" s="0" t="n">
        <v>330.8319011</v>
      </c>
      <c r="E1174" s="0" t="n">
        <v>2030</v>
      </c>
      <c r="F1174" s="0" t="n">
        <v>3.988126</v>
      </c>
      <c r="G1174" s="0" t="n">
        <v>83.665297</v>
      </c>
      <c r="I1174" s="0" t="n">
        <v>2027</v>
      </c>
      <c r="J1174" s="0" t="n">
        <v>37.96</v>
      </c>
      <c r="K1174" s="0" t="n">
        <v>797.68</v>
      </c>
      <c r="M1174" s="0" t="n">
        <v>2029</v>
      </c>
      <c r="N1174" s="0" t="n">
        <v>7.6</v>
      </c>
      <c r="O1174" s="0" t="n">
        <v>159.58</v>
      </c>
      <c r="Q1174" s="0" t="n">
        <v>2031</v>
      </c>
      <c r="R1174" s="0" t="n">
        <v>33</v>
      </c>
      <c r="W1174" s="0" t="n">
        <v>2030</v>
      </c>
      <c r="X1174" s="0" t="n">
        <v>22134.595</v>
      </c>
    </row>
    <row r="1175" customFormat="false" ht="15" hidden="false" customHeight="false" outlineLevel="0" collapsed="false">
      <c r="A1175" s="0" t="n">
        <v>2029</v>
      </c>
      <c r="B1175" s="0" t="n">
        <v>11.71827754</v>
      </c>
      <c r="C1175" s="0" t="n">
        <v>246.0838284</v>
      </c>
      <c r="E1175" s="0" t="n">
        <v>2030</v>
      </c>
      <c r="F1175" s="0" t="n">
        <v>95.336206</v>
      </c>
      <c r="G1175" s="0" t="n">
        <v>2000.020057</v>
      </c>
      <c r="I1175" s="0" t="n">
        <v>2027</v>
      </c>
      <c r="J1175" s="0" t="n">
        <v>5.84</v>
      </c>
      <c r="K1175" s="0" t="n">
        <v>122.72</v>
      </c>
      <c r="M1175" s="0" t="n">
        <v>2029</v>
      </c>
      <c r="N1175" s="0" t="n">
        <v>227.24</v>
      </c>
      <c r="O1175" s="0" t="n">
        <v>4766.34</v>
      </c>
      <c r="Q1175" s="0" t="n">
        <v>2031</v>
      </c>
      <c r="R1175" s="0" t="n">
        <v>31</v>
      </c>
      <c r="W1175" s="0" t="n">
        <v>2030</v>
      </c>
      <c r="X1175" s="0" t="n">
        <v>9895.466</v>
      </c>
    </row>
    <row r="1176" customFormat="false" ht="15" hidden="false" customHeight="false" outlineLevel="0" collapsed="false">
      <c r="A1176" s="0" t="n">
        <v>2029</v>
      </c>
      <c r="B1176" s="0" t="n">
        <v>5.208123352</v>
      </c>
      <c r="C1176" s="0" t="n">
        <v>109.3705904</v>
      </c>
      <c r="E1176" s="0" t="n">
        <v>2030</v>
      </c>
      <c r="F1176" s="0" t="n">
        <v>4.463062</v>
      </c>
      <c r="G1176" s="0" t="n">
        <v>93.628789</v>
      </c>
      <c r="I1176" s="0" t="n">
        <v>2027</v>
      </c>
      <c r="J1176" s="0" t="n">
        <v>4.38</v>
      </c>
      <c r="K1176" s="0" t="n">
        <v>92.04</v>
      </c>
      <c r="M1176" s="0" t="n">
        <v>2029</v>
      </c>
      <c r="N1176" s="0" t="n">
        <v>149.5</v>
      </c>
      <c r="O1176" s="0" t="n">
        <v>3135.75</v>
      </c>
      <c r="Q1176" s="0" t="n">
        <v>2031</v>
      </c>
      <c r="R1176" s="0" t="n">
        <v>31</v>
      </c>
      <c r="W1176" s="0" t="n">
        <v>2030</v>
      </c>
      <c r="X1176" s="0" t="n">
        <v>3906.105</v>
      </c>
    </row>
    <row r="1177" customFormat="false" ht="15" hidden="false" customHeight="false" outlineLevel="0" collapsed="false">
      <c r="A1177" s="0" t="n">
        <v>2029</v>
      </c>
      <c r="B1177" s="0" t="n">
        <v>19.23661654</v>
      </c>
      <c r="C1177" s="0" t="n">
        <v>403.9689474</v>
      </c>
      <c r="E1177" s="0" t="n">
        <v>2030</v>
      </c>
      <c r="F1177" s="0" t="n">
        <v>24.403692</v>
      </c>
      <c r="G1177" s="0" t="n">
        <v>511.955274</v>
      </c>
      <c r="I1177" s="0" t="n">
        <v>2027</v>
      </c>
      <c r="J1177" s="0" t="n">
        <v>7.3</v>
      </c>
      <c r="K1177" s="0" t="n">
        <v>153.4</v>
      </c>
      <c r="M1177" s="0" t="n">
        <v>2029</v>
      </c>
      <c r="N1177" s="0" t="n">
        <v>59.8</v>
      </c>
      <c r="O1177" s="0" t="n">
        <v>1254.3</v>
      </c>
      <c r="Q1177" s="0" t="n">
        <v>2031</v>
      </c>
      <c r="R1177" s="0" t="n">
        <v>835</v>
      </c>
      <c r="W1177" s="0" t="n">
        <v>2030</v>
      </c>
      <c r="X1177" s="0" t="n">
        <v>5728.954</v>
      </c>
    </row>
    <row r="1178" customFormat="false" ht="15" hidden="false" customHeight="false" outlineLevel="0" collapsed="false">
      <c r="A1178" s="0" t="n">
        <v>2029</v>
      </c>
      <c r="B1178" s="0" t="n">
        <v>6.021732718</v>
      </c>
      <c r="C1178" s="0" t="n">
        <v>126.4563871</v>
      </c>
      <c r="E1178" s="0" t="n">
        <v>2030</v>
      </c>
      <c r="F1178" s="0" t="n">
        <v>22.314796</v>
      </c>
      <c r="G1178" s="0" t="n">
        <v>468.133162</v>
      </c>
      <c r="I1178" s="0" t="n">
        <v>2027</v>
      </c>
      <c r="J1178" s="0" t="n">
        <v>1.46</v>
      </c>
      <c r="K1178" s="0" t="n">
        <v>30.68</v>
      </c>
      <c r="M1178" s="0" t="n">
        <v>2029</v>
      </c>
      <c r="N1178" s="0" t="n">
        <v>59.8</v>
      </c>
      <c r="O1178" s="0" t="n">
        <v>1254.3</v>
      </c>
      <c r="Q1178" s="0" t="n">
        <v>2031</v>
      </c>
      <c r="R1178" s="0" t="n">
        <v>793</v>
      </c>
      <c r="W1178" s="0" t="n">
        <v>2030</v>
      </c>
      <c r="X1178" s="0" t="n">
        <v>4426.919</v>
      </c>
    </row>
    <row r="1179" customFormat="false" ht="15" hidden="false" customHeight="false" outlineLevel="0" collapsed="false">
      <c r="A1179" s="0" t="n">
        <v>2029</v>
      </c>
      <c r="B1179" s="0" t="n">
        <v>13.46422636</v>
      </c>
      <c r="C1179" s="0" t="n">
        <v>282.7487536</v>
      </c>
      <c r="E1179" s="0" t="n">
        <v>2030</v>
      </c>
      <c r="F1179" s="0" t="n">
        <v>355.138759</v>
      </c>
      <c r="G1179" s="0" t="n">
        <v>7453.288398</v>
      </c>
      <c r="I1179" s="0" t="n">
        <v>2027</v>
      </c>
      <c r="J1179" s="0" t="n">
        <v>1.46</v>
      </c>
      <c r="K1179" s="0" t="n">
        <v>30.68</v>
      </c>
      <c r="M1179" s="0" t="n">
        <v>2029</v>
      </c>
      <c r="N1179" s="0" t="n">
        <v>35.88</v>
      </c>
      <c r="O1179" s="0" t="n">
        <v>752.58</v>
      </c>
      <c r="Q1179" s="0" t="n">
        <v>2031</v>
      </c>
      <c r="R1179" s="0" t="n">
        <v>376</v>
      </c>
      <c r="W1179" s="0" t="n">
        <v>2030</v>
      </c>
      <c r="X1179" s="0" t="n">
        <v>61148.12</v>
      </c>
    </row>
    <row r="1180" customFormat="false" ht="15" hidden="false" customHeight="false" outlineLevel="0" collapsed="false">
      <c r="A1180" s="0" t="n">
        <v>2029</v>
      </c>
      <c r="B1180" s="0" t="n">
        <v>160.4907448</v>
      </c>
      <c r="C1180" s="0" t="n">
        <v>3370.30564</v>
      </c>
      <c r="E1180" s="0" t="n">
        <v>2030</v>
      </c>
      <c r="F1180" s="0" t="n">
        <v>95.358691</v>
      </c>
      <c r="G1180" s="0" t="n">
        <v>2001.290502</v>
      </c>
      <c r="I1180" s="0" t="n">
        <v>2027</v>
      </c>
      <c r="J1180" s="0" t="n">
        <v>0</v>
      </c>
      <c r="K1180" s="0" t="n">
        <v>0</v>
      </c>
      <c r="M1180" s="0" t="n">
        <v>2029</v>
      </c>
      <c r="N1180" s="0" t="n">
        <v>29.9</v>
      </c>
      <c r="O1180" s="0" t="n">
        <v>627.15</v>
      </c>
      <c r="Q1180" s="0" t="n">
        <v>2031</v>
      </c>
      <c r="R1180" s="0" t="n">
        <v>84</v>
      </c>
      <c r="W1180" s="0" t="n">
        <v>2030</v>
      </c>
      <c r="X1180" s="0" t="n">
        <v>15287.03</v>
      </c>
    </row>
    <row r="1181" customFormat="false" ht="15" hidden="false" customHeight="false" outlineLevel="0" collapsed="false">
      <c r="A1181" s="0" t="n">
        <v>2029</v>
      </c>
      <c r="B1181" s="0" t="n">
        <v>40.4805116</v>
      </c>
      <c r="C1181" s="0" t="n">
        <v>850.0907436</v>
      </c>
      <c r="E1181" s="0" t="n">
        <v>2030</v>
      </c>
      <c r="F1181" s="0" t="n">
        <v>38.168767</v>
      </c>
      <c r="G1181" s="0" t="n">
        <v>801.046974</v>
      </c>
      <c r="I1181" s="0" t="n">
        <v>2027</v>
      </c>
      <c r="J1181" s="0" t="n">
        <v>2.92</v>
      </c>
      <c r="K1181" s="0" t="n">
        <v>61.36</v>
      </c>
      <c r="M1181" s="0" t="n">
        <v>2029</v>
      </c>
      <c r="N1181" s="0" t="n">
        <v>23.92</v>
      </c>
      <c r="O1181" s="0" t="n">
        <v>501.72</v>
      </c>
      <c r="Q1181" s="0" t="n">
        <v>2031</v>
      </c>
      <c r="R1181" s="0" t="n">
        <v>80</v>
      </c>
      <c r="W1181" s="0" t="n">
        <v>2030</v>
      </c>
      <c r="X1181" s="0" t="n">
        <v>4734.048</v>
      </c>
    </row>
    <row r="1182" customFormat="false" ht="15" hidden="false" customHeight="false" outlineLevel="0" collapsed="false">
      <c r="A1182" s="0" t="n">
        <v>2029</v>
      </c>
      <c r="B1182" s="0" t="n">
        <v>36.09872135</v>
      </c>
      <c r="C1182" s="0" t="n">
        <v>758.0731484</v>
      </c>
      <c r="E1182" s="0" t="n">
        <v>2030</v>
      </c>
      <c r="F1182" s="0" t="n">
        <v>5.361469</v>
      </c>
      <c r="G1182" s="0" t="n">
        <v>112.521018</v>
      </c>
      <c r="I1182" s="0" t="n">
        <v>2027</v>
      </c>
      <c r="J1182" s="0" t="n">
        <v>5.11</v>
      </c>
      <c r="K1182" s="0" t="n">
        <v>107.38</v>
      </c>
      <c r="M1182" s="0" t="n">
        <v>2029</v>
      </c>
      <c r="N1182" s="0" t="n">
        <v>11.96</v>
      </c>
      <c r="O1182" s="0" t="n">
        <v>250.86</v>
      </c>
      <c r="Q1182" s="0" t="n">
        <v>2031</v>
      </c>
      <c r="R1182" s="0" t="n">
        <v>80</v>
      </c>
      <c r="W1182" s="0" t="n">
        <v>2030</v>
      </c>
      <c r="X1182" s="0" t="n">
        <v>8383.21</v>
      </c>
    </row>
    <row r="1183" customFormat="false" ht="15" hidden="false" customHeight="false" outlineLevel="0" collapsed="false">
      <c r="A1183" s="0" t="n">
        <v>2029</v>
      </c>
      <c r="B1183" s="0" t="n">
        <v>25.10452133</v>
      </c>
      <c r="C1183" s="0" t="n">
        <v>527.194948</v>
      </c>
      <c r="E1183" s="0" t="n">
        <v>2030</v>
      </c>
      <c r="F1183" s="0" t="n">
        <v>128.165989</v>
      </c>
      <c r="G1183" s="0" t="n">
        <v>2689.816458</v>
      </c>
      <c r="I1183" s="0" t="n">
        <v>2027</v>
      </c>
      <c r="J1183" s="0" t="n">
        <v>1.46</v>
      </c>
      <c r="K1183" s="0" t="n">
        <v>30.68</v>
      </c>
      <c r="M1183" s="0" t="n">
        <v>2029</v>
      </c>
      <c r="N1183" s="0" t="n">
        <v>172.9</v>
      </c>
      <c r="O1183" s="0" t="n">
        <v>3626.72</v>
      </c>
      <c r="Q1183" s="0" t="n">
        <v>2031</v>
      </c>
      <c r="R1183" s="0" t="n">
        <v>56</v>
      </c>
      <c r="W1183" s="0" t="n">
        <v>2030</v>
      </c>
      <c r="X1183" s="0" t="n">
        <v>3747.788</v>
      </c>
    </row>
    <row r="1184" customFormat="false" ht="15" hidden="false" customHeight="false" outlineLevel="0" collapsed="false">
      <c r="A1184" s="0" t="n">
        <v>2029</v>
      </c>
      <c r="B1184" s="0" t="n">
        <v>18.67358226</v>
      </c>
      <c r="C1184" s="0" t="n">
        <v>392.1452274</v>
      </c>
      <c r="E1184" s="0" t="n">
        <v>2030</v>
      </c>
      <c r="F1184" s="0" t="n">
        <v>5.999953</v>
      </c>
      <c r="G1184" s="0" t="n">
        <v>125.920866</v>
      </c>
      <c r="I1184" s="0" t="n">
        <v>2027</v>
      </c>
      <c r="J1184" s="0" t="n">
        <v>5.11</v>
      </c>
      <c r="K1184" s="0" t="n">
        <v>107.38</v>
      </c>
      <c r="M1184" s="0" t="n">
        <v>2029</v>
      </c>
      <c r="N1184" s="0" t="n">
        <v>113.75</v>
      </c>
      <c r="O1184" s="0" t="n">
        <v>2386</v>
      </c>
      <c r="Q1184" s="0" t="n">
        <v>2031</v>
      </c>
      <c r="R1184" s="0" t="n">
        <v>53</v>
      </c>
      <c r="W1184" s="0" t="n">
        <v>2030</v>
      </c>
      <c r="X1184" s="0" t="n">
        <v>1479.39</v>
      </c>
    </row>
    <row r="1185" customFormat="false" ht="15" hidden="false" customHeight="false" outlineLevel="0" collapsed="false">
      <c r="A1185" s="0" t="n">
        <v>2029</v>
      </c>
      <c r="B1185" s="0" t="n">
        <v>8.299369893</v>
      </c>
      <c r="C1185" s="0" t="n">
        <v>174.2867677</v>
      </c>
      <c r="E1185" s="0" t="n">
        <v>2030</v>
      </c>
      <c r="F1185" s="0" t="n">
        <v>32.807298</v>
      </c>
      <c r="G1185" s="0" t="n">
        <v>688.525956</v>
      </c>
      <c r="I1185" s="0" t="n">
        <v>2027</v>
      </c>
      <c r="J1185" s="0" t="n">
        <v>968.64</v>
      </c>
      <c r="K1185" s="0" t="n">
        <v>20338.56</v>
      </c>
      <c r="M1185" s="0" t="n">
        <v>2029</v>
      </c>
      <c r="N1185" s="0" t="n">
        <v>45.5</v>
      </c>
      <c r="O1185" s="0" t="n">
        <v>954.4</v>
      </c>
      <c r="Q1185" s="0" t="n">
        <v>2031</v>
      </c>
      <c r="R1185" s="0" t="n">
        <v>25</v>
      </c>
      <c r="W1185" s="0" t="n">
        <v>2030</v>
      </c>
      <c r="X1185" s="0" t="n">
        <v>2169.772</v>
      </c>
    </row>
    <row r="1186" customFormat="false" ht="15" hidden="false" customHeight="false" outlineLevel="0" collapsed="false">
      <c r="A1186" s="0" t="n">
        <v>2029</v>
      </c>
      <c r="B1186" s="0" t="n">
        <v>30.65438074</v>
      </c>
      <c r="C1186" s="0" t="n">
        <v>643.7419956</v>
      </c>
      <c r="E1186" s="0" t="n">
        <v>2030</v>
      </c>
      <c r="F1186" s="0" t="n">
        <v>29.999074</v>
      </c>
      <c r="G1186" s="0" t="n">
        <v>629.589828</v>
      </c>
      <c r="I1186" s="0" t="n">
        <v>2027</v>
      </c>
      <c r="J1186" s="0" t="n">
        <v>322.88</v>
      </c>
      <c r="K1186" s="0" t="n">
        <v>6779.52</v>
      </c>
      <c r="M1186" s="0" t="n">
        <v>2029</v>
      </c>
      <c r="N1186" s="0" t="n">
        <v>45.5</v>
      </c>
      <c r="O1186" s="0" t="n">
        <v>954.4</v>
      </c>
      <c r="Q1186" s="0" t="n">
        <v>2031</v>
      </c>
      <c r="R1186" s="0" t="n">
        <v>6</v>
      </c>
      <c r="W1186" s="0" t="n">
        <v>2030</v>
      </c>
      <c r="X1186" s="0" t="n">
        <v>1676.642</v>
      </c>
    </row>
    <row r="1187" customFormat="false" ht="15" hidden="false" customHeight="false" outlineLevel="0" collapsed="false">
      <c r="A1187" s="0" t="n">
        <v>2029</v>
      </c>
      <c r="B1187" s="0" t="n">
        <v>9.595891619</v>
      </c>
      <c r="C1187" s="0" t="n">
        <v>201.513724</v>
      </c>
      <c r="E1187" s="0" t="n">
        <v>2030</v>
      </c>
      <c r="F1187" s="0" t="n">
        <v>270.337174</v>
      </c>
      <c r="G1187" s="0" t="n">
        <v>5675.024858</v>
      </c>
      <c r="I1187" s="0" t="n">
        <v>2027</v>
      </c>
      <c r="J1187" s="0" t="n">
        <v>141.26</v>
      </c>
      <c r="K1187" s="0" t="n">
        <v>2966.04</v>
      </c>
      <c r="M1187" s="0" t="n">
        <v>2029</v>
      </c>
      <c r="N1187" s="0" t="n">
        <v>27.3</v>
      </c>
      <c r="O1187" s="0" t="n">
        <v>572.64</v>
      </c>
      <c r="Q1187" s="0" t="n">
        <v>2031</v>
      </c>
      <c r="R1187" s="0" t="n">
        <v>5</v>
      </c>
      <c r="W1187" s="0" t="n">
        <v>2030</v>
      </c>
      <c r="X1187" s="0" t="n">
        <v>119230.34</v>
      </c>
    </row>
    <row r="1188" customFormat="false" ht="15" hidden="false" customHeight="false" outlineLevel="0" collapsed="false">
      <c r="A1188" s="0" t="n">
        <v>2029</v>
      </c>
      <c r="B1188" s="0" t="n">
        <v>21.45582725</v>
      </c>
      <c r="C1188" s="0" t="n">
        <v>450.5723722</v>
      </c>
      <c r="E1188" s="0" t="n">
        <v>2030</v>
      </c>
      <c r="F1188" s="0" t="n">
        <v>72.588526</v>
      </c>
      <c r="G1188" s="0" t="n">
        <v>1523.807042</v>
      </c>
      <c r="I1188" s="0" t="n">
        <v>2027</v>
      </c>
      <c r="J1188" s="0" t="n">
        <v>80.72</v>
      </c>
      <c r="K1188" s="0" t="n">
        <v>1694.88</v>
      </c>
      <c r="M1188" s="0" t="n">
        <v>2029</v>
      </c>
      <c r="N1188" s="0" t="n">
        <v>22.75</v>
      </c>
      <c r="O1188" s="0" t="n">
        <v>477.2</v>
      </c>
      <c r="Q1188" s="0" t="n">
        <v>2031</v>
      </c>
      <c r="R1188" s="0" t="n">
        <v>5</v>
      </c>
      <c r="W1188" s="0" t="n">
        <v>2030</v>
      </c>
      <c r="X1188" s="0" t="n">
        <v>29807.585</v>
      </c>
    </row>
    <row r="1189" customFormat="false" ht="15" hidden="false" customHeight="false" outlineLevel="0" collapsed="false">
      <c r="A1189" s="0" t="n">
        <v>2029</v>
      </c>
      <c r="B1189" s="0" t="n">
        <v>179.7059269</v>
      </c>
      <c r="C1189" s="0" t="n">
        <v>3773.824465</v>
      </c>
      <c r="E1189" s="0" t="n">
        <v>2030</v>
      </c>
      <c r="F1189" s="0" t="n">
        <v>29.054662</v>
      </c>
      <c r="G1189" s="0" t="n">
        <v>609.926954</v>
      </c>
      <c r="I1189" s="0" t="n">
        <v>2027</v>
      </c>
      <c r="J1189" s="0" t="n">
        <v>80.72</v>
      </c>
      <c r="K1189" s="0" t="n">
        <v>1694.88</v>
      </c>
      <c r="M1189" s="0" t="n">
        <v>2029</v>
      </c>
      <c r="N1189" s="0" t="n">
        <v>18.2</v>
      </c>
      <c r="O1189" s="0" t="n">
        <v>381.76</v>
      </c>
      <c r="Q1189" s="0" t="n">
        <v>2031</v>
      </c>
      <c r="R1189" s="0" t="n">
        <v>149</v>
      </c>
      <c r="W1189" s="0" t="n">
        <v>2030</v>
      </c>
      <c r="X1189" s="0" t="n">
        <v>9230.736</v>
      </c>
    </row>
    <row r="1190" customFormat="false" ht="15" hidden="false" customHeight="false" outlineLevel="0" collapsed="false">
      <c r="A1190" s="0" t="n">
        <v>2029</v>
      </c>
      <c r="B1190" s="0" t="n">
        <v>45.32714874</v>
      </c>
      <c r="C1190" s="0" t="n">
        <v>951.8701236</v>
      </c>
      <c r="E1190" s="0" t="n">
        <v>2030</v>
      </c>
      <c r="F1190" s="0" t="n">
        <v>4.081234</v>
      </c>
      <c r="G1190" s="0" t="n">
        <v>85.674878</v>
      </c>
      <c r="I1190" s="0" t="n">
        <v>2027</v>
      </c>
      <c r="J1190" s="0" t="n">
        <v>40.36</v>
      </c>
      <c r="K1190" s="0" t="n">
        <v>847.44</v>
      </c>
      <c r="M1190" s="0" t="n">
        <v>2029</v>
      </c>
      <c r="N1190" s="0" t="n">
        <v>9.1</v>
      </c>
      <c r="O1190" s="0" t="n">
        <v>190.88</v>
      </c>
      <c r="Q1190" s="0" t="n">
        <v>2031</v>
      </c>
      <c r="R1190" s="0" t="n">
        <v>141</v>
      </c>
      <c r="W1190" s="0" t="n">
        <v>2030</v>
      </c>
      <c r="X1190" s="0" t="n">
        <v>16346.095</v>
      </c>
    </row>
    <row r="1191" customFormat="false" ht="15" hidden="false" customHeight="false" outlineLevel="0" collapsed="false">
      <c r="A1191" s="0" t="n">
        <v>2029</v>
      </c>
      <c r="B1191" s="0" t="n">
        <v>40.42073698</v>
      </c>
      <c r="C1191" s="0" t="n">
        <v>848.8354766</v>
      </c>
      <c r="E1191" s="0" t="n">
        <v>2030</v>
      </c>
      <c r="F1191" s="0" t="n">
        <v>97.561954</v>
      </c>
      <c r="G1191" s="0" t="n">
        <v>2048.059118</v>
      </c>
      <c r="I1191" s="0" t="n">
        <v>2027</v>
      </c>
      <c r="J1191" s="0" t="n">
        <v>40.36</v>
      </c>
      <c r="K1191" s="0" t="n">
        <v>847.44</v>
      </c>
      <c r="M1191" s="0" t="n">
        <v>2029</v>
      </c>
      <c r="N1191" s="0" t="n">
        <v>67.64</v>
      </c>
      <c r="O1191" s="0" t="n">
        <v>1418.16</v>
      </c>
      <c r="Q1191" s="0" t="n">
        <v>2031</v>
      </c>
      <c r="R1191" s="0" t="n">
        <v>67</v>
      </c>
      <c r="W1191" s="0" t="n">
        <v>2030</v>
      </c>
      <c r="X1191" s="0" t="n">
        <v>7307.666</v>
      </c>
    </row>
    <row r="1192" customFormat="false" ht="15" hidden="false" customHeight="false" outlineLevel="0" collapsed="false">
      <c r="A1192" s="0" t="n">
        <v>2029</v>
      </c>
      <c r="B1192" s="0" t="n">
        <v>28.11022706</v>
      </c>
      <c r="C1192" s="0" t="n">
        <v>590.3147682</v>
      </c>
      <c r="E1192" s="0" t="n">
        <v>2030</v>
      </c>
      <c r="F1192" s="0" t="n">
        <v>4.567258</v>
      </c>
      <c r="G1192" s="0" t="n">
        <v>95.877686</v>
      </c>
      <c r="I1192" s="0" t="n">
        <v>2027</v>
      </c>
      <c r="J1192" s="0" t="n">
        <v>80.72</v>
      </c>
      <c r="K1192" s="0" t="n">
        <v>1694.88</v>
      </c>
      <c r="M1192" s="0" t="n">
        <v>2029</v>
      </c>
      <c r="N1192" s="0" t="n">
        <v>44.5</v>
      </c>
      <c r="O1192" s="0" t="n">
        <v>933</v>
      </c>
      <c r="Q1192" s="0" t="n">
        <v>2031</v>
      </c>
      <c r="R1192" s="0" t="n">
        <v>15</v>
      </c>
      <c r="W1192" s="0" t="n">
        <v>2030</v>
      </c>
      <c r="X1192" s="0" t="n">
        <v>2884.605</v>
      </c>
    </row>
    <row r="1193" customFormat="false" ht="15" hidden="false" customHeight="false" outlineLevel="0" collapsed="false">
      <c r="A1193" s="0" t="n">
        <v>2029</v>
      </c>
      <c r="B1193" s="0" t="n">
        <v>20.90932666</v>
      </c>
      <c r="C1193" s="0" t="n">
        <v>439.0958599</v>
      </c>
      <c r="E1193" s="0" t="n">
        <v>2030</v>
      </c>
      <c r="F1193" s="0" t="n">
        <v>24.973428</v>
      </c>
      <c r="G1193" s="0" t="n">
        <v>524.252076</v>
      </c>
      <c r="I1193" s="0" t="n">
        <v>2027</v>
      </c>
      <c r="J1193" s="0" t="n">
        <v>141.26</v>
      </c>
      <c r="K1193" s="0" t="n">
        <v>2966.04</v>
      </c>
      <c r="M1193" s="0" t="n">
        <v>2029</v>
      </c>
      <c r="N1193" s="0" t="n">
        <v>17.8</v>
      </c>
      <c r="O1193" s="0" t="n">
        <v>373.2</v>
      </c>
      <c r="Q1193" s="0" t="n">
        <v>2031</v>
      </c>
      <c r="R1193" s="0" t="n">
        <v>15</v>
      </c>
      <c r="W1193" s="0" t="n">
        <v>2030</v>
      </c>
      <c r="X1193" s="0" t="n">
        <v>4230.754</v>
      </c>
    </row>
    <row r="1194" customFormat="false" ht="15" hidden="false" customHeight="false" outlineLevel="0" collapsed="false">
      <c r="A1194" s="0" t="n">
        <v>2029</v>
      </c>
      <c r="B1194" s="0" t="n">
        <v>9.293034073</v>
      </c>
      <c r="C1194" s="0" t="n">
        <v>195.1537155</v>
      </c>
      <c r="E1194" s="0" t="n">
        <v>2030</v>
      </c>
      <c r="F1194" s="0" t="n">
        <v>22.835764</v>
      </c>
      <c r="G1194" s="0" t="n">
        <v>479.377388</v>
      </c>
      <c r="I1194" s="0" t="n">
        <v>2027</v>
      </c>
      <c r="J1194" s="0" t="n">
        <v>60.54</v>
      </c>
      <c r="K1194" s="0" t="n">
        <v>1271.16</v>
      </c>
      <c r="M1194" s="0" t="n">
        <v>2029</v>
      </c>
      <c r="N1194" s="0" t="n">
        <v>17.8</v>
      </c>
      <c r="O1194" s="0" t="n">
        <v>373.2</v>
      </c>
      <c r="Q1194" s="0" t="n">
        <v>2031</v>
      </c>
      <c r="R1194" s="0" t="n">
        <v>15</v>
      </c>
      <c r="W1194" s="0" t="n">
        <v>2030</v>
      </c>
      <c r="X1194" s="0" t="n">
        <v>3269.219</v>
      </c>
    </row>
    <row r="1195" customFormat="false" ht="15" hidden="false" customHeight="false" outlineLevel="0" collapsed="false">
      <c r="A1195" s="0" t="n">
        <v>2029</v>
      </c>
      <c r="B1195" s="0" t="n">
        <v>34.32455818</v>
      </c>
      <c r="C1195" s="0" t="n">
        <v>720.8157218</v>
      </c>
      <c r="E1195" s="0" t="n">
        <v>2030</v>
      </c>
      <c r="F1195" s="0" t="n">
        <v>593.611095</v>
      </c>
      <c r="G1195" s="0" t="n">
        <v>12459.15166</v>
      </c>
      <c r="I1195" s="0" t="n">
        <v>2027</v>
      </c>
      <c r="J1195" s="0" t="n">
        <v>60.54</v>
      </c>
      <c r="K1195" s="0" t="n">
        <v>1271.16</v>
      </c>
      <c r="M1195" s="0" t="n">
        <v>2029</v>
      </c>
      <c r="N1195" s="0" t="n">
        <v>10.68</v>
      </c>
      <c r="O1195" s="0" t="n">
        <v>223.92</v>
      </c>
      <c r="Q1195" s="0" t="n">
        <v>2031</v>
      </c>
      <c r="R1195" s="0" t="n">
        <v>283</v>
      </c>
      <c r="W1195" s="0" t="n">
        <v>2030</v>
      </c>
      <c r="X1195" s="0" t="n">
        <v>112873.48</v>
      </c>
    </row>
    <row r="1196" customFormat="false" ht="15" hidden="false" customHeight="false" outlineLevel="0" collapsed="false">
      <c r="A1196" s="0" t="n">
        <v>2029</v>
      </c>
      <c r="B1196" s="0" t="n">
        <v>10.74478532</v>
      </c>
      <c r="C1196" s="0" t="n">
        <v>225.6404917</v>
      </c>
      <c r="E1196" s="0" t="n">
        <v>2030</v>
      </c>
      <c r="F1196" s="0" t="n">
        <v>159.391155</v>
      </c>
      <c r="G1196" s="0" t="n">
        <v>3345.420242</v>
      </c>
      <c r="I1196" s="0" t="n">
        <v>2027</v>
      </c>
      <c r="J1196" s="0" t="n">
        <v>111.28</v>
      </c>
      <c r="K1196" s="0" t="n">
        <v>2332.2</v>
      </c>
      <c r="M1196" s="0" t="n">
        <v>2029</v>
      </c>
      <c r="N1196" s="0" t="n">
        <v>8.9</v>
      </c>
      <c r="O1196" s="0" t="n">
        <v>186.6</v>
      </c>
      <c r="Q1196" s="0" t="n">
        <v>2031</v>
      </c>
      <c r="R1196" s="0" t="n">
        <v>269</v>
      </c>
      <c r="W1196" s="0" t="n">
        <v>2030</v>
      </c>
      <c r="X1196" s="0" t="n">
        <v>28218.37</v>
      </c>
    </row>
    <row r="1197" customFormat="false" ht="15" hidden="false" customHeight="false" outlineLevel="0" collapsed="false">
      <c r="A1197" s="0" t="n">
        <v>2029</v>
      </c>
      <c r="B1197" s="0" t="n">
        <v>24.02468335</v>
      </c>
      <c r="C1197" s="0" t="n">
        <v>504.5183503</v>
      </c>
      <c r="E1197" s="0" t="n">
        <v>2030</v>
      </c>
      <c r="F1197" s="0" t="n">
        <v>63.798735</v>
      </c>
      <c r="G1197" s="0" t="n">
        <v>1339.055354</v>
      </c>
      <c r="I1197" s="0" t="n">
        <v>2027</v>
      </c>
      <c r="J1197" s="0" t="n">
        <v>17.12</v>
      </c>
      <c r="K1197" s="0" t="n">
        <v>358.8</v>
      </c>
      <c r="M1197" s="0" t="n">
        <v>2029</v>
      </c>
      <c r="N1197" s="0" t="n">
        <v>7.12</v>
      </c>
      <c r="O1197" s="0" t="n">
        <v>149.28</v>
      </c>
      <c r="Q1197" s="0" t="n">
        <v>2031</v>
      </c>
      <c r="R1197" s="0" t="n">
        <v>127</v>
      </c>
      <c r="W1197" s="0" t="n">
        <v>2030</v>
      </c>
      <c r="X1197" s="0" t="n">
        <v>8738.592</v>
      </c>
    </row>
    <row r="1198" customFormat="false" ht="15" hidden="false" customHeight="false" outlineLevel="0" collapsed="false">
      <c r="A1198" s="0" t="n">
        <v>2029</v>
      </c>
      <c r="B1198" s="0" t="n">
        <v>109.0281695</v>
      </c>
      <c r="C1198" s="0" t="n">
        <v>2289.59156</v>
      </c>
      <c r="E1198" s="0" t="n">
        <v>2030</v>
      </c>
      <c r="F1198" s="0" t="n">
        <v>8.961645</v>
      </c>
      <c r="G1198" s="0" t="n">
        <v>188.093678</v>
      </c>
      <c r="I1198" s="0" t="n">
        <v>2027</v>
      </c>
      <c r="J1198" s="0" t="n">
        <v>12.84</v>
      </c>
      <c r="K1198" s="0" t="n">
        <v>269.1</v>
      </c>
      <c r="M1198" s="0" t="n">
        <v>2029</v>
      </c>
      <c r="N1198" s="0" t="n">
        <v>3.56</v>
      </c>
      <c r="O1198" s="0" t="n">
        <v>74.64</v>
      </c>
      <c r="Q1198" s="0" t="n">
        <v>2031</v>
      </c>
      <c r="R1198" s="0" t="n">
        <v>28</v>
      </c>
      <c r="W1198" s="0" t="n">
        <v>2030</v>
      </c>
      <c r="X1198" s="0" t="n">
        <v>15474.59</v>
      </c>
    </row>
    <row r="1199" customFormat="false" ht="15" hidden="false" customHeight="false" outlineLevel="0" collapsed="false">
      <c r="A1199" s="0" t="n">
        <v>2029</v>
      </c>
      <c r="B1199" s="0" t="n">
        <v>27.50012836</v>
      </c>
      <c r="C1199" s="0" t="n">
        <v>577.5026955</v>
      </c>
      <c r="E1199" s="0" t="n">
        <v>2030</v>
      </c>
      <c r="F1199" s="0" t="n">
        <v>214.228245</v>
      </c>
      <c r="G1199" s="0" t="n">
        <v>4496.381918</v>
      </c>
      <c r="I1199" s="0" t="n">
        <v>2027</v>
      </c>
      <c r="J1199" s="0" t="n">
        <v>21.4</v>
      </c>
      <c r="K1199" s="0" t="n">
        <v>448.5</v>
      </c>
      <c r="M1199" s="0" t="n">
        <v>2029</v>
      </c>
      <c r="N1199" s="0" t="n">
        <v>97.66</v>
      </c>
      <c r="O1199" s="0" t="n">
        <v>2046.3</v>
      </c>
      <c r="Q1199" s="0" t="n">
        <v>2031</v>
      </c>
      <c r="R1199" s="0" t="n">
        <v>27</v>
      </c>
      <c r="W1199" s="0" t="n">
        <v>2030</v>
      </c>
      <c r="X1199" s="0" t="n">
        <v>6918.052</v>
      </c>
    </row>
    <row r="1200" customFormat="false" ht="15" hidden="false" customHeight="false" outlineLevel="0" collapsed="false">
      <c r="A1200" s="0" t="n">
        <v>2029</v>
      </c>
      <c r="B1200" s="0" t="n">
        <v>24.5233924</v>
      </c>
      <c r="C1200" s="0" t="n">
        <v>514.9912405</v>
      </c>
      <c r="E1200" s="0" t="n">
        <v>2030</v>
      </c>
      <c r="F1200" s="0" t="n">
        <v>10.028865</v>
      </c>
      <c r="G1200" s="0" t="n">
        <v>210.493286</v>
      </c>
      <c r="I1200" s="0" t="n">
        <v>2027</v>
      </c>
      <c r="J1200" s="0" t="n">
        <v>4.28</v>
      </c>
      <c r="K1200" s="0" t="n">
        <v>89.7</v>
      </c>
      <c r="M1200" s="0" t="n">
        <v>2029</v>
      </c>
      <c r="N1200" s="0" t="n">
        <v>64.25</v>
      </c>
      <c r="O1200" s="0" t="n">
        <v>1346.25</v>
      </c>
      <c r="Q1200" s="0" t="n">
        <v>2031</v>
      </c>
      <c r="R1200" s="0" t="n">
        <v>27</v>
      </c>
      <c r="W1200" s="0" t="n">
        <v>2030</v>
      </c>
      <c r="X1200" s="0" t="n">
        <v>2730.81</v>
      </c>
    </row>
    <row r="1201" customFormat="false" ht="15" hidden="false" customHeight="false" outlineLevel="0" collapsed="false">
      <c r="A1201" s="0" t="n">
        <v>2029</v>
      </c>
      <c r="B1201" s="0" t="n">
        <v>17.05456605</v>
      </c>
      <c r="C1201" s="0" t="n">
        <v>358.1458871</v>
      </c>
      <c r="E1201" s="0" t="n">
        <v>2030</v>
      </c>
      <c r="F1201" s="0" t="n">
        <v>54.83709</v>
      </c>
      <c r="G1201" s="0" t="n">
        <v>1150.961676</v>
      </c>
      <c r="I1201" s="0" t="n">
        <v>2027</v>
      </c>
      <c r="J1201" s="0" t="n">
        <v>4.28</v>
      </c>
      <c r="K1201" s="0" t="n">
        <v>89.7</v>
      </c>
      <c r="M1201" s="0" t="n">
        <v>2029</v>
      </c>
      <c r="N1201" s="0" t="n">
        <v>25.7</v>
      </c>
      <c r="O1201" s="0" t="n">
        <v>538.5</v>
      </c>
      <c r="Q1201" s="0" t="n">
        <v>2031</v>
      </c>
      <c r="R1201" s="0" t="n">
        <v>1362</v>
      </c>
      <c r="W1201" s="0" t="n">
        <v>2030</v>
      </c>
      <c r="X1201" s="0" t="n">
        <v>4005.188</v>
      </c>
    </row>
    <row r="1202" customFormat="false" ht="15" hidden="false" customHeight="false" outlineLevel="0" collapsed="false">
      <c r="A1202" s="0" t="n">
        <v>2029</v>
      </c>
      <c r="B1202" s="0" t="n">
        <v>12.6857564</v>
      </c>
      <c r="C1202" s="0" t="n">
        <v>266.4008843</v>
      </c>
      <c r="E1202" s="0" t="n">
        <v>2030</v>
      </c>
      <c r="F1202" s="0" t="n">
        <v>50.14317</v>
      </c>
      <c r="G1202" s="0" t="n">
        <v>1052.442188</v>
      </c>
      <c r="I1202" s="0" t="n">
        <v>2027</v>
      </c>
      <c r="J1202" s="0" t="n">
        <v>0</v>
      </c>
      <c r="K1202" s="0" t="n">
        <v>0</v>
      </c>
      <c r="M1202" s="0" t="n">
        <v>2029</v>
      </c>
      <c r="N1202" s="0" t="n">
        <v>25.7</v>
      </c>
      <c r="O1202" s="0" t="n">
        <v>538.5</v>
      </c>
      <c r="Q1202" s="0" t="n">
        <v>2031</v>
      </c>
      <c r="R1202" s="0" t="n">
        <v>1294</v>
      </c>
      <c r="W1202" s="0" t="n">
        <v>2030</v>
      </c>
      <c r="X1202" s="0" t="n">
        <v>3094.918</v>
      </c>
    </row>
    <row r="1203" customFormat="false" ht="15" hidden="false" customHeight="false" outlineLevel="0" collapsed="false">
      <c r="A1203" s="0" t="n">
        <v>2029</v>
      </c>
      <c r="B1203" s="0" t="n">
        <v>5.638113954</v>
      </c>
      <c r="C1203" s="0" t="n">
        <v>118.400393</v>
      </c>
      <c r="E1203" s="0" t="n">
        <v>2030</v>
      </c>
      <c r="F1203" s="0" t="n">
        <v>326.357615</v>
      </c>
      <c r="G1203" s="0" t="n">
        <v>6849.912272</v>
      </c>
      <c r="I1203" s="0" t="n">
        <v>2027</v>
      </c>
      <c r="J1203" s="0" t="n">
        <v>8.56</v>
      </c>
      <c r="K1203" s="0" t="n">
        <v>179.4</v>
      </c>
      <c r="M1203" s="0" t="n">
        <v>2029</v>
      </c>
      <c r="N1203" s="0" t="n">
        <v>15.42</v>
      </c>
      <c r="O1203" s="0" t="n">
        <v>323.1</v>
      </c>
      <c r="Q1203" s="0" t="n">
        <v>2031</v>
      </c>
      <c r="R1203" s="0" t="n">
        <v>613</v>
      </c>
      <c r="W1203" s="0" t="n">
        <v>2030</v>
      </c>
      <c r="X1203" s="0" t="n">
        <v>46438.62</v>
      </c>
    </row>
    <row r="1204" customFormat="false" ht="15" hidden="false" customHeight="false" outlineLevel="0" collapsed="false">
      <c r="A1204" s="0" t="n">
        <v>2029</v>
      </c>
      <c r="B1204" s="0" t="n">
        <v>20.82482093</v>
      </c>
      <c r="C1204" s="0" t="n">
        <v>437.3212395</v>
      </c>
      <c r="E1204" s="0" t="n">
        <v>2030</v>
      </c>
      <c r="F1204" s="0" t="n">
        <v>87.630635</v>
      </c>
      <c r="G1204" s="0" t="n">
        <v>1839.277328</v>
      </c>
      <c r="I1204" s="0" t="n">
        <v>2027</v>
      </c>
      <c r="J1204" s="0" t="n">
        <v>14.98</v>
      </c>
      <c r="K1204" s="0" t="n">
        <v>313.95</v>
      </c>
      <c r="M1204" s="0" t="n">
        <v>2029</v>
      </c>
      <c r="N1204" s="0" t="n">
        <v>12.85</v>
      </c>
      <c r="O1204" s="0" t="n">
        <v>269.25</v>
      </c>
      <c r="Q1204" s="0" t="n">
        <v>2031</v>
      </c>
      <c r="R1204" s="0" t="n">
        <v>136</v>
      </c>
      <c r="W1204" s="0" t="n">
        <v>2030</v>
      </c>
      <c r="X1204" s="0" t="n">
        <v>11609.655</v>
      </c>
    </row>
    <row r="1205" customFormat="false" ht="15" hidden="false" customHeight="false" outlineLevel="0" collapsed="false">
      <c r="A1205" s="0" t="n">
        <v>2029</v>
      </c>
      <c r="B1205" s="0" t="n">
        <v>6.51889615</v>
      </c>
      <c r="C1205" s="0" t="n">
        <v>136.8968191</v>
      </c>
      <c r="E1205" s="0" t="n">
        <v>2030</v>
      </c>
      <c r="F1205" s="0" t="n">
        <v>35.075495</v>
      </c>
      <c r="G1205" s="0" t="n">
        <v>736.198736</v>
      </c>
      <c r="I1205" s="0" t="n">
        <v>2027</v>
      </c>
      <c r="J1205" s="0" t="n">
        <v>4.28</v>
      </c>
      <c r="K1205" s="0" t="n">
        <v>89.7</v>
      </c>
      <c r="M1205" s="0" t="n">
        <v>2029</v>
      </c>
      <c r="N1205" s="0" t="n">
        <v>10.28</v>
      </c>
      <c r="O1205" s="0" t="n">
        <v>215.4</v>
      </c>
      <c r="Q1205" s="0" t="n">
        <v>2031</v>
      </c>
      <c r="R1205" s="0" t="n">
        <v>131</v>
      </c>
      <c r="W1205" s="0" t="n">
        <v>2030</v>
      </c>
      <c r="X1205" s="0" t="n">
        <v>3595.248</v>
      </c>
    </row>
    <row r="1206" customFormat="false" ht="15" hidden="false" customHeight="false" outlineLevel="0" collapsed="false">
      <c r="A1206" s="0" t="n">
        <v>2029</v>
      </c>
      <c r="B1206" s="0" t="n">
        <v>14.57585341</v>
      </c>
      <c r="C1206" s="0" t="n">
        <v>306.0929217</v>
      </c>
      <c r="E1206" s="0" t="n">
        <v>2030</v>
      </c>
      <c r="F1206" s="0" t="n">
        <v>4.926965</v>
      </c>
      <c r="G1206" s="0" t="n">
        <v>103.411952</v>
      </c>
      <c r="I1206" s="0" t="n">
        <v>2027</v>
      </c>
      <c r="J1206" s="0" t="n">
        <v>14.98</v>
      </c>
      <c r="K1206" s="0" t="n">
        <v>313.95</v>
      </c>
      <c r="M1206" s="0" t="n">
        <v>2029</v>
      </c>
      <c r="N1206" s="0" t="n">
        <v>5.14</v>
      </c>
      <c r="O1206" s="0" t="n">
        <v>107.7</v>
      </c>
      <c r="Q1206" s="0" t="n">
        <v>2031</v>
      </c>
      <c r="R1206" s="0" t="n">
        <v>131</v>
      </c>
      <c r="W1206" s="0" t="n">
        <v>2030</v>
      </c>
      <c r="X1206" s="0" t="n">
        <v>6366.585</v>
      </c>
    </row>
    <row r="1207" customFormat="false" ht="15" hidden="false" customHeight="false" outlineLevel="0" collapsed="false">
      <c r="A1207" s="0" t="n">
        <v>2029</v>
      </c>
      <c r="B1207" s="0" t="n">
        <v>543.7550092</v>
      </c>
      <c r="C1207" s="0" t="n">
        <v>11418.85519</v>
      </c>
      <c r="E1207" s="0" t="n">
        <v>2030</v>
      </c>
      <c r="F1207" s="0" t="n">
        <v>117.779165</v>
      </c>
      <c r="G1207" s="0" t="n">
        <v>2472.064112</v>
      </c>
      <c r="I1207" s="0" t="n">
        <v>2027</v>
      </c>
      <c r="J1207" s="0" t="n">
        <v>95.52</v>
      </c>
      <c r="K1207" s="0" t="n">
        <v>2006.4</v>
      </c>
      <c r="M1207" s="0" t="n">
        <v>2029</v>
      </c>
      <c r="N1207" s="0" t="n">
        <v>183.6</v>
      </c>
      <c r="O1207" s="0" t="n">
        <v>3852.9</v>
      </c>
      <c r="Q1207" s="0" t="n">
        <v>2031</v>
      </c>
      <c r="R1207" s="0" t="n">
        <v>289</v>
      </c>
      <c r="W1207" s="0" t="n">
        <v>2030</v>
      </c>
      <c r="X1207" s="0" t="n">
        <v>2846.238</v>
      </c>
    </row>
    <row r="1208" customFormat="false" ht="15" hidden="false" customHeight="false" outlineLevel="0" collapsed="false">
      <c r="A1208" s="0" t="n">
        <v>2029</v>
      </c>
      <c r="B1208" s="0" t="n">
        <v>137.1510924</v>
      </c>
      <c r="C1208" s="0" t="n">
        <v>2880.17294</v>
      </c>
      <c r="E1208" s="0" t="n">
        <v>2030</v>
      </c>
      <c r="F1208" s="0" t="n">
        <v>5.513705</v>
      </c>
      <c r="G1208" s="0" t="n">
        <v>115.727024</v>
      </c>
      <c r="I1208" s="0" t="n">
        <v>2027</v>
      </c>
      <c r="J1208" s="0" t="n">
        <v>31.84</v>
      </c>
      <c r="K1208" s="0" t="n">
        <v>668.8</v>
      </c>
      <c r="M1208" s="0" t="n">
        <v>2029</v>
      </c>
      <c r="N1208" s="0" t="n">
        <v>20.4</v>
      </c>
      <c r="O1208" s="0" t="n">
        <v>428.1</v>
      </c>
      <c r="Q1208" s="0" t="n">
        <v>2031</v>
      </c>
      <c r="R1208" s="0" t="n">
        <v>275</v>
      </c>
      <c r="W1208" s="0" t="n">
        <v>2030</v>
      </c>
      <c r="X1208" s="0" t="n">
        <v>1123.515</v>
      </c>
    </row>
    <row r="1209" customFormat="false" ht="15" hidden="false" customHeight="false" outlineLevel="0" collapsed="false">
      <c r="A1209" s="0" t="n">
        <v>2029</v>
      </c>
      <c r="B1209" s="0" t="n">
        <v>122.3052494</v>
      </c>
      <c r="C1209" s="0" t="n">
        <v>2568.410237</v>
      </c>
      <c r="E1209" s="0" t="n">
        <v>2030</v>
      </c>
      <c r="F1209" s="0" t="n">
        <v>30.14853</v>
      </c>
      <c r="G1209" s="0" t="n">
        <v>632.786784</v>
      </c>
      <c r="I1209" s="0" t="n">
        <v>2027</v>
      </c>
      <c r="J1209" s="0" t="n">
        <v>13.93</v>
      </c>
      <c r="K1209" s="0" t="n">
        <v>292.6</v>
      </c>
      <c r="M1209" s="0" t="n">
        <v>2029</v>
      </c>
      <c r="N1209" s="0" t="n">
        <v>257.4</v>
      </c>
      <c r="O1209" s="0" t="n">
        <v>5393.7</v>
      </c>
      <c r="Q1209" s="0" t="n">
        <v>2031</v>
      </c>
      <c r="R1209" s="0" t="n">
        <v>130</v>
      </c>
      <c r="W1209" s="0" t="n">
        <v>2030</v>
      </c>
      <c r="X1209" s="0" t="n">
        <v>1647.822</v>
      </c>
    </row>
    <row r="1210" customFormat="false" ht="15" hidden="false" customHeight="false" outlineLevel="0" collapsed="false">
      <c r="A1210" s="0" t="n">
        <v>2029</v>
      </c>
      <c r="B1210" s="0" t="n">
        <v>85.05605259</v>
      </c>
      <c r="C1210" s="0" t="n">
        <v>1786.177104</v>
      </c>
      <c r="E1210" s="0" t="n">
        <v>2030</v>
      </c>
      <c r="F1210" s="0" t="n">
        <v>27.56789</v>
      </c>
      <c r="G1210" s="0" t="n">
        <v>578.621792</v>
      </c>
      <c r="I1210" s="0" t="n">
        <v>2027</v>
      </c>
      <c r="J1210" s="0" t="n">
        <v>7.96</v>
      </c>
      <c r="K1210" s="0" t="n">
        <v>167.2</v>
      </c>
      <c r="M1210" s="0" t="n">
        <v>2029</v>
      </c>
      <c r="N1210" s="0" t="n">
        <v>28.6</v>
      </c>
      <c r="O1210" s="0" t="n">
        <v>599.3</v>
      </c>
      <c r="Q1210" s="0" t="n">
        <v>2031</v>
      </c>
      <c r="R1210" s="0" t="n">
        <v>29</v>
      </c>
      <c r="W1210" s="0" t="n">
        <v>2030</v>
      </c>
      <c r="X1210" s="0" t="n">
        <v>1273.317</v>
      </c>
    </row>
    <row r="1211" customFormat="false" ht="15" hidden="false" customHeight="false" outlineLevel="0" collapsed="false">
      <c r="A1211" s="0" t="n">
        <v>2029</v>
      </c>
      <c r="B1211" s="0" t="n">
        <v>63.26753551</v>
      </c>
      <c r="C1211" s="0" t="n">
        <v>1328.618246</v>
      </c>
      <c r="E1211" s="0" t="n">
        <v>2030</v>
      </c>
      <c r="F1211" s="0" t="n">
        <v>104.331647</v>
      </c>
      <c r="G1211" s="0" t="n">
        <v>2189.42274</v>
      </c>
      <c r="I1211" s="0" t="n">
        <v>2027</v>
      </c>
      <c r="J1211" s="0" t="n">
        <v>7.96</v>
      </c>
      <c r="K1211" s="0" t="n">
        <v>167.2</v>
      </c>
      <c r="M1211" s="0" t="n">
        <v>2029</v>
      </c>
      <c r="N1211" s="0" t="n">
        <v>220.5</v>
      </c>
      <c r="O1211" s="0" t="n">
        <v>4623.3</v>
      </c>
      <c r="Q1211" s="0" t="n">
        <v>2031</v>
      </c>
      <c r="R1211" s="0" t="n">
        <v>28</v>
      </c>
      <c r="W1211" s="0" t="n">
        <v>2030</v>
      </c>
      <c r="X1211" s="0" t="n">
        <v>73259.82</v>
      </c>
    </row>
    <row r="1212" customFormat="false" ht="15" hidden="false" customHeight="false" outlineLevel="0" collapsed="false">
      <c r="A1212" s="0" t="n">
        <v>2029</v>
      </c>
      <c r="B1212" s="0" t="n">
        <v>28.11890467</v>
      </c>
      <c r="C1212" s="0" t="n">
        <v>590.4969981</v>
      </c>
      <c r="E1212" s="0" t="n">
        <v>2030</v>
      </c>
      <c r="F1212" s="0" t="n">
        <v>28.014203</v>
      </c>
      <c r="G1212" s="0" t="n">
        <v>587.88426</v>
      </c>
      <c r="I1212" s="0" t="n">
        <v>2027</v>
      </c>
      <c r="J1212" s="0" t="n">
        <v>3.98</v>
      </c>
      <c r="K1212" s="0" t="n">
        <v>83.6</v>
      </c>
      <c r="M1212" s="0" t="n">
        <v>2029</v>
      </c>
      <c r="N1212" s="0" t="n">
        <v>24.5</v>
      </c>
      <c r="O1212" s="0" t="n">
        <v>513.7</v>
      </c>
      <c r="Q1212" s="0" t="n">
        <v>2031</v>
      </c>
      <c r="R1212" s="0" t="n">
        <v>28</v>
      </c>
      <c r="W1212" s="0" t="n">
        <v>2030</v>
      </c>
      <c r="X1212" s="0" t="n">
        <v>18314.955</v>
      </c>
    </row>
    <row r="1213" customFormat="false" ht="15" hidden="false" customHeight="false" outlineLevel="0" collapsed="false">
      <c r="A1213" s="0" t="n">
        <v>2029</v>
      </c>
      <c r="B1213" s="0" t="n">
        <v>103.8594039</v>
      </c>
      <c r="C1213" s="0" t="n">
        <v>2181.047482</v>
      </c>
      <c r="E1213" s="0" t="n">
        <v>2030</v>
      </c>
      <c r="F1213" s="0" t="n">
        <v>11.213111</v>
      </c>
      <c r="G1213" s="0" t="n">
        <v>235.30962</v>
      </c>
      <c r="I1213" s="0" t="n">
        <v>2027</v>
      </c>
      <c r="J1213" s="0" t="n">
        <v>3.98</v>
      </c>
      <c r="K1213" s="0" t="n">
        <v>83.6</v>
      </c>
      <c r="M1213" s="0" t="n">
        <v>2029</v>
      </c>
      <c r="N1213" s="0" t="n">
        <v>73.8</v>
      </c>
      <c r="O1213" s="0" t="n">
        <v>1540.8</v>
      </c>
      <c r="Q1213" s="0" t="n">
        <v>2031</v>
      </c>
      <c r="R1213" s="0" t="n">
        <v>527</v>
      </c>
      <c r="W1213" s="0" t="n">
        <v>2030</v>
      </c>
      <c r="X1213" s="0" t="n">
        <v>5671.728</v>
      </c>
    </row>
    <row r="1214" customFormat="false" ht="15" hidden="false" customHeight="false" outlineLevel="0" collapsed="false">
      <c r="A1214" s="0" t="n">
        <v>2029</v>
      </c>
      <c r="B1214" s="0" t="n">
        <v>32.51162018</v>
      </c>
      <c r="C1214" s="0" t="n">
        <v>682.7440237</v>
      </c>
      <c r="E1214" s="0" t="n">
        <v>2030</v>
      </c>
      <c r="F1214" s="0" t="n">
        <v>1.575077</v>
      </c>
      <c r="G1214" s="0" t="n">
        <v>33.05334</v>
      </c>
      <c r="I1214" s="0" t="n">
        <v>2027</v>
      </c>
      <c r="J1214" s="0" t="n">
        <v>7.96</v>
      </c>
      <c r="K1214" s="0" t="n">
        <v>167.2</v>
      </c>
      <c r="M1214" s="0" t="n">
        <v>2029</v>
      </c>
      <c r="N1214" s="0" t="n">
        <v>8.2</v>
      </c>
      <c r="O1214" s="0" t="n">
        <v>171.2</v>
      </c>
      <c r="Q1214" s="0" t="n">
        <v>2031</v>
      </c>
      <c r="R1214" s="0" t="n">
        <v>501</v>
      </c>
      <c r="W1214" s="0" t="n">
        <v>2030</v>
      </c>
      <c r="X1214" s="0" t="n">
        <v>10043.685</v>
      </c>
    </row>
    <row r="1215" customFormat="false" ht="15" hidden="false" customHeight="false" outlineLevel="0" collapsed="false">
      <c r="A1215" s="0" t="n">
        <v>2029</v>
      </c>
      <c r="B1215" s="0" t="n">
        <v>72.6939959</v>
      </c>
      <c r="C1215" s="0" t="n">
        <v>1526.573914</v>
      </c>
      <c r="E1215" s="0" t="n">
        <v>2030</v>
      </c>
      <c r="F1215" s="0" t="n">
        <v>37.652237</v>
      </c>
      <c r="G1215" s="0" t="n">
        <v>790.14054</v>
      </c>
      <c r="I1215" s="0" t="n">
        <v>2027</v>
      </c>
      <c r="J1215" s="0" t="n">
        <v>13.93</v>
      </c>
      <c r="K1215" s="0" t="n">
        <v>292.6</v>
      </c>
      <c r="M1215" s="0" t="n">
        <v>2029</v>
      </c>
      <c r="N1215" s="0" t="n">
        <v>704.7</v>
      </c>
      <c r="O1215" s="0" t="n">
        <v>14784.3</v>
      </c>
      <c r="Q1215" s="0" t="n">
        <v>2031</v>
      </c>
      <c r="R1215" s="0" t="n">
        <v>237</v>
      </c>
      <c r="W1215" s="0" t="n">
        <v>2030</v>
      </c>
      <c r="X1215" s="0" t="n">
        <v>4490.118</v>
      </c>
    </row>
    <row r="1216" customFormat="false" ht="15" hidden="false" customHeight="false" outlineLevel="0" collapsed="false">
      <c r="A1216" s="0" t="n">
        <v>2029</v>
      </c>
      <c r="B1216" s="0" t="n">
        <v>204.7842715</v>
      </c>
      <c r="C1216" s="0" t="n">
        <v>4300.469701</v>
      </c>
      <c r="E1216" s="0" t="n">
        <v>2030</v>
      </c>
      <c r="F1216" s="0" t="n">
        <v>1.762649</v>
      </c>
      <c r="G1216" s="0" t="n">
        <v>36.98958</v>
      </c>
      <c r="I1216" s="0" t="n">
        <v>2027</v>
      </c>
      <c r="J1216" s="0" t="n">
        <v>5.97</v>
      </c>
      <c r="K1216" s="0" t="n">
        <v>125.4</v>
      </c>
      <c r="M1216" s="0" t="n">
        <v>2029</v>
      </c>
      <c r="N1216" s="0" t="n">
        <v>78.3</v>
      </c>
      <c r="O1216" s="0" t="n">
        <v>1642.7</v>
      </c>
      <c r="Q1216" s="0" t="n">
        <v>2031</v>
      </c>
      <c r="R1216" s="0" t="n">
        <v>53</v>
      </c>
      <c r="W1216" s="0" t="n">
        <v>2030</v>
      </c>
      <c r="X1216" s="0" t="n">
        <v>1772.415</v>
      </c>
    </row>
    <row r="1217" customFormat="false" ht="15" hidden="false" customHeight="false" outlineLevel="0" collapsed="false">
      <c r="A1217" s="0" t="n">
        <v>2029</v>
      </c>
      <c r="B1217" s="0" t="n">
        <v>51.65264881</v>
      </c>
      <c r="C1217" s="0" t="n">
        <v>1084.705625</v>
      </c>
      <c r="E1217" s="0" t="n">
        <v>2030</v>
      </c>
      <c r="F1217" s="0" t="n">
        <v>9.638034</v>
      </c>
      <c r="G1217" s="0" t="n">
        <v>202.25628</v>
      </c>
      <c r="I1217" s="0" t="n">
        <v>2027</v>
      </c>
      <c r="J1217" s="0" t="n">
        <v>5.97</v>
      </c>
      <c r="K1217" s="0" t="n">
        <v>125.4</v>
      </c>
      <c r="M1217" s="0" t="n">
        <v>2029</v>
      </c>
      <c r="N1217" s="0" t="n">
        <v>73.8</v>
      </c>
      <c r="O1217" s="0" t="n">
        <v>1532.7</v>
      </c>
      <c r="Q1217" s="0" t="n">
        <v>2031</v>
      </c>
      <c r="R1217" s="0" t="n">
        <v>51</v>
      </c>
      <c r="W1217" s="0" t="n">
        <v>2030</v>
      </c>
      <c r="X1217" s="0" t="n">
        <v>2599.542</v>
      </c>
    </row>
    <row r="1218" customFormat="false" ht="15" hidden="false" customHeight="false" outlineLevel="0" collapsed="false">
      <c r="A1218" s="0" t="n">
        <v>2029</v>
      </c>
      <c r="B1218" s="0" t="n">
        <v>46.06153685</v>
      </c>
      <c r="C1218" s="0" t="n">
        <v>967.2922738</v>
      </c>
      <c r="E1218" s="0" t="n">
        <v>2030</v>
      </c>
      <c r="F1218" s="0" t="n">
        <v>8.813042</v>
      </c>
      <c r="G1218" s="0" t="n">
        <v>184.94364</v>
      </c>
      <c r="I1218" s="0" t="n">
        <v>2027</v>
      </c>
      <c r="J1218" s="0" t="n">
        <v>27.04</v>
      </c>
      <c r="K1218" s="0" t="n">
        <v>569.92</v>
      </c>
      <c r="M1218" s="0" t="n">
        <v>2029</v>
      </c>
      <c r="N1218" s="0" t="n">
        <v>8.2</v>
      </c>
      <c r="O1218" s="0" t="n">
        <v>170.3</v>
      </c>
      <c r="Q1218" s="0" t="n">
        <v>2031</v>
      </c>
      <c r="R1218" s="0" t="n">
        <v>51</v>
      </c>
      <c r="W1218" s="0" t="n">
        <v>2030</v>
      </c>
      <c r="X1218" s="0" t="n">
        <v>2008.737</v>
      </c>
    </row>
    <row r="1219" customFormat="false" ht="15" hidden="false" customHeight="false" outlineLevel="0" collapsed="false">
      <c r="A1219" s="0" t="n">
        <v>2029</v>
      </c>
      <c r="B1219" s="0" t="n">
        <v>32.03306906</v>
      </c>
      <c r="C1219" s="0" t="n">
        <v>672.6944504</v>
      </c>
      <c r="E1219" s="0" t="n">
        <v>2030</v>
      </c>
      <c r="F1219" s="0" t="n">
        <v>387.003597</v>
      </c>
      <c r="G1219" s="0" t="n">
        <v>8125.019741</v>
      </c>
      <c r="I1219" s="0" t="n">
        <v>2027</v>
      </c>
      <c r="J1219" s="0" t="n">
        <v>4.16</v>
      </c>
      <c r="K1219" s="0" t="n">
        <v>87.68</v>
      </c>
      <c r="M1219" s="0" t="n">
        <v>2030</v>
      </c>
      <c r="N1219" s="0" t="n">
        <v>6.84</v>
      </c>
      <c r="O1219" s="0" t="n">
        <v>142.12</v>
      </c>
      <c r="Q1219" s="0" t="n">
        <v>2031</v>
      </c>
      <c r="R1219" s="0" t="n">
        <v>86</v>
      </c>
      <c r="W1219" s="0" t="n">
        <v>2030</v>
      </c>
      <c r="X1219" s="0" t="n">
        <v>42103.58</v>
      </c>
    </row>
    <row r="1220" customFormat="false" ht="15" hidden="false" customHeight="false" outlineLevel="0" collapsed="false">
      <c r="A1220" s="0" t="n">
        <v>2029</v>
      </c>
      <c r="B1220" s="0" t="n">
        <v>23.8272677</v>
      </c>
      <c r="C1220" s="0" t="n">
        <v>500.3726216</v>
      </c>
      <c r="E1220" s="0" t="n">
        <v>2030</v>
      </c>
      <c r="F1220" s="0" t="n">
        <v>103.914753</v>
      </c>
      <c r="G1220" s="0" t="n">
        <v>2181.657809</v>
      </c>
      <c r="I1220" s="0" t="n">
        <v>2027</v>
      </c>
      <c r="J1220" s="0" t="n">
        <v>3.12</v>
      </c>
      <c r="K1220" s="0" t="n">
        <v>65.76</v>
      </c>
      <c r="M1220" s="0" t="n">
        <v>2030</v>
      </c>
      <c r="N1220" s="0" t="n">
        <v>4.5</v>
      </c>
      <c r="O1220" s="0" t="n">
        <v>93.5</v>
      </c>
      <c r="Q1220" s="0" t="n">
        <v>2031</v>
      </c>
      <c r="R1220" s="0" t="n">
        <v>81</v>
      </c>
      <c r="W1220" s="0" t="n">
        <v>2030</v>
      </c>
      <c r="X1220" s="0" t="n">
        <v>10525.895</v>
      </c>
    </row>
    <row r="1221" customFormat="false" ht="15" hidden="false" customHeight="false" outlineLevel="0" collapsed="false">
      <c r="A1221" s="0" t="n">
        <v>2029</v>
      </c>
      <c r="B1221" s="0" t="n">
        <v>10.58989675</v>
      </c>
      <c r="C1221" s="0" t="n">
        <v>222.3878318</v>
      </c>
      <c r="E1221" s="0" t="n">
        <v>2030</v>
      </c>
      <c r="F1221" s="0" t="n">
        <v>41.593461</v>
      </c>
      <c r="G1221" s="0" t="n">
        <v>873.241733</v>
      </c>
      <c r="I1221" s="0" t="n">
        <v>2027</v>
      </c>
      <c r="J1221" s="0" t="n">
        <v>5.2</v>
      </c>
      <c r="K1221" s="0" t="n">
        <v>109.6</v>
      </c>
      <c r="M1221" s="0" t="n">
        <v>2030</v>
      </c>
      <c r="N1221" s="0" t="n">
        <v>1.8</v>
      </c>
      <c r="O1221" s="0" t="n">
        <v>37.4</v>
      </c>
      <c r="Q1221" s="0" t="n">
        <v>2031</v>
      </c>
      <c r="R1221" s="0" t="n">
        <v>39</v>
      </c>
      <c r="W1221" s="0" t="n">
        <v>2030</v>
      </c>
      <c r="X1221" s="0" t="n">
        <v>3259.632</v>
      </c>
    </row>
    <row r="1222" customFormat="false" ht="15" hidden="false" customHeight="false" outlineLevel="0" collapsed="false">
      <c r="A1222" s="0" t="n">
        <v>2029</v>
      </c>
      <c r="B1222" s="0" t="n">
        <v>39.11462332</v>
      </c>
      <c r="C1222" s="0" t="n">
        <v>821.4070897</v>
      </c>
      <c r="E1222" s="0" t="n">
        <v>2030</v>
      </c>
      <c r="F1222" s="0" t="n">
        <v>5.842527</v>
      </c>
      <c r="G1222" s="0" t="n">
        <v>122.662031</v>
      </c>
      <c r="I1222" s="0" t="n">
        <v>2027</v>
      </c>
      <c r="J1222" s="0" t="n">
        <v>1.04</v>
      </c>
      <c r="K1222" s="0" t="n">
        <v>21.92</v>
      </c>
      <c r="M1222" s="0" t="n">
        <v>2030</v>
      </c>
      <c r="N1222" s="0" t="n">
        <v>1.8</v>
      </c>
      <c r="O1222" s="0" t="n">
        <v>37.4</v>
      </c>
      <c r="Q1222" s="0" t="n">
        <v>2031</v>
      </c>
      <c r="R1222" s="0" t="n">
        <v>9</v>
      </c>
      <c r="W1222" s="0" t="n">
        <v>2030</v>
      </c>
      <c r="X1222" s="0" t="n">
        <v>5772.265</v>
      </c>
    </row>
    <row r="1223" customFormat="false" ht="15" hidden="false" customHeight="false" outlineLevel="0" collapsed="false">
      <c r="A1223" s="0" t="n">
        <v>2029</v>
      </c>
      <c r="B1223" s="0" t="n">
        <v>12.24424298</v>
      </c>
      <c r="C1223" s="0" t="n">
        <v>257.1291025</v>
      </c>
      <c r="E1223" s="0" t="n">
        <v>2030</v>
      </c>
      <c r="F1223" s="0" t="n">
        <v>139.665687</v>
      </c>
      <c r="G1223" s="0" t="n">
        <v>2932.237511</v>
      </c>
      <c r="I1223" s="0" t="n">
        <v>2027</v>
      </c>
      <c r="J1223" s="0" t="n">
        <v>1.04</v>
      </c>
      <c r="K1223" s="0" t="n">
        <v>21.92</v>
      </c>
      <c r="M1223" s="0" t="n">
        <v>2030</v>
      </c>
      <c r="N1223" s="0" t="n">
        <v>1.08</v>
      </c>
      <c r="O1223" s="0" t="n">
        <v>22.44</v>
      </c>
      <c r="Q1223" s="0" t="n">
        <v>2031</v>
      </c>
      <c r="R1223" s="0" t="n">
        <v>8</v>
      </c>
      <c r="W1223" s="0" t="n">
        <v>2030</v>
      </c>
      <c r="X1223" s="0" t="n">
        <v>2580.542</v>
      </c>
    </row>
    <row r="1224" customFormat="false" ht="15" hidden="false" customHeight="false" outlineLevel="0" collapsed="false">
      <c r="A1224" s="0" t="n">
        <v>2029</v>
      </c>
      <c r="B1224" s="0" t="n">
        <v>27.37737904</v>
      </c>
      <c r="C1224" s="0" t="n">
        <v>574.9249598</v>
      </c>
      <c r="E1224" s="0" t="n">
        <v>2030</v>
      </c>
      <c r="F1224" s="0" t="n">
        <v>6.538299</v>
      </c>
      <c r="G1224" s="0" t="n">
        <v>137.269547</v>
      </c>
      <c r="I1224" s="0" t="n">
        <v>2027</v>
      </c>
      <c r="J1224" s="0" t="n">
        <v>0</v>
      </c>
      <c r="K1224" s="0" t="n">
        <v>0</v>
      </c>
      <c r="M1224" s="0" t="n">
        <v>2030</v>
      </c>
      <c r="N1224" s="0" t="n">
        <v>0.9</v>
      </c>
      <c r="O1224" s="0" t="n">
        <v>18.7</v>
      </c>
      <c r="Q1224" s="0" t="n">
        <v>2031</v>
      </c>
      <c r="R1224" s="0" t="n">
        <v>8</v>
      </c>
      <c r="W1224" s="0" t="n">
        <v>2030</v>
      </c>
      <c r="X1224" s="0" t="n">
        <v>1018.635</v>
      </c>
    </row>
    <row r="1225" customFormat="false" ht="15" hidden="false" customHeight="false" outlineLevel="0" collapsed="false">
      <c r="A1225" s="0" t="n">
        <v>2029</v>
      </c>
      <c r="B1225" s="0" t="n">
        <v>347.6055769</v>
      </c>
      <c r="C1225" s="0" t="n">
        <v>7299.717114</v>
      </c>
      <c r="E1225" s="0" t="n">
        <v>2030</v>
      </c>
      <c r="F1225" s="0" t="n">
        <v>35.750934</v>
      </c>
      <c r="G1225" s="0" t="n">
        <v>750.579702</v>
      </c>
      <c r="I1225" s="0" t="n">
        <v>2027</v>
      </c>
      <c r="J1225" s="0" t="n">
        <v>2.08</v>
      </c>
      <c r="K1225" s="0" t="n">
        <v>43.84</v>
      </c>
      <c r="M1225" s="0" t="n">
        <v>2030</v>
      </c>
      <c r="N1225" s="0" t="n">
        <v>0.72</v>
      </c>
      <c r="O1225" s="0" t="n">
        <v>14.96</v>
      </c>
      <c r="Q1225" s="0" t="n">
        <v>2031</v>
      </c>
      <c r="R1225" s="0" t="n">
        <v>219</v>
      </c>
      <c r="W1225" s="0" t="n">
        <v>2030</v>
      </c>
      <c r="X1225" s="0" t="n">
        <v>1493.998</v>
      </c>
    </row>
    <row r="1226" customFormat="false" ht="15" hidden="false" customHeight="false" outlineLevel="0" collapsed="false">
      <c r="A1226" s="0" t="n">
        <v>2029</v>
      </c>
      <c r="B1226" s="0" t="n">
        <v>87.67640532</v>
      </c>
      <c r="C1226" s="0" t="n">
        <v>1841.204512</v>
      </c>
      <c r="E1226" s="0" t="n">
        <v>2030</v>
      </c>
      <c r="F1226" s="0" t="n">
        <v>32.690742</v>
      </c>
      <c r="G1226" s="0" t="n">
        <v>686.331926</v>
      </c>
      <c r="I1226" s="0" t="n">
        <v>2027</v>
      </c>
      <c r="J1226" s="0" t="n">
        <v>3.64</v>
      </c>
      <c r="K1226" s="0" t="n">
        <v>76.72</v>
      </c>
      <c r="M1226" s="0" t="n">
        <v>2030</v>
      </c>
      <c r="N1226" s="0" t="n">
        <v>0.36</v>
      </c>
      <c r="O1226" s="0" t="n">
        <v>7.48</v>
      </c>
      <c r="Q1226" s="0" t="n">
        <v>2031</v>
      </c>
      <c r="R1226" s="0" t="n">
        <v>208</v>
      </c>
      <c r="W1226" s="0" t="n">
        <v>2030</v>
      </c>
      <c r="X1226" s="0" t="n">
        <v>1154.453</v>
      </c>
    </row>
    <row r="1227" customFormat="false" ht="15" hidden="false" customHeight="false" outlineLevel="0" collapsed="false">
      <c r="A1227" s="0" t="n">
        <v>2029</v>
      </c>
      <c r="B1227" s="0" t="n">
        <v>78.18592206</v>
      </c>
      <c r="C1227" s="0" t="n">
        <v>1641.904363</v>
      </c>
      <c r="E1227" s="0" t="n">
        <v>2030</v>
      </c>
      <c r="F1227" s="0" t="n">
        <v>561.232308</v>
      </c>
      <c r="G1227" s="0" t="n">
        <v>11783.82267</v>
      </c>
      <c r="I1227" s="0" t="n">
        <v>2027</v>
      </c>
      <c r="J1227" s="0" t="n">
        <v>1.04</v>
      </c>
      <c r="K1227" s="0" t="n">
        <v>21.92</v>
      </c>
      <c r="M1227" s="0" t="n">
        <v>2030</v>
      </c>
      <c r="N1227" s="0" t="n">
        <v>17.86</v>
      </c>
      <c r="O1227" s="0" t="n">
        <v>371.26</v>
      </c>
      <c r="Q1227" s="0" t="n">
        <v>2031</v>
      </c>
      <c r="R1227" s="0" t="n">
        <v>99</v>
      </c>
      <c r="W1227" s="0" t="n">
        <v>2030</v>
      </c>
      <c r="X1227" s="0" t="n">
        <v>130840.46</v>
      </c>
    </row>
    <row r="1228" customFormat="false" ht="15" hidden="false" customHeight="false" outlineLevel="0" collapsed="false">
      <c r="A1228" s="0" t="n">
        <v>2029</v>
      </c>
      <c r="B1228" s="0" t="n">
        <v>54.37367514</v>
      </c>
      <c r="C1228" s="0" t="n">
        <v>1141.847178</v>
      </c>
      <c r="E1228" s="0" t="n">
        <v>2030</v>
      </c>
      <c r="F1228" s="0" t="n">
        <v>150.697092</v>
      </c>
      <c r="G1228" s="0" t="n">
        <v>3164.086928</v>
      </c>
      <c r="I1228" s="0" t="n">
        <v>2027</v>
      </c>
      <c r="J1228" s="0" t="n">
        <v>3.64</v>
      </c>
      <c r="K1228" s="0" t="n">
        <v>76.72</v>
      </c>
      <c r="M1228" s="0" t="n">
        <v>2030</v>
      </c>
      <c r="N1228" s="0" t="n">
        <v>11.75</v>
      </c>
      <c r="O1228" s="0" t="n">
        <v>244.25</v>
      </c>
      <c r="Q1228" s="0" t="n">
        <v>2031</v>
      </c>
      <c r="R1228" s="0" t="n">
        <v>22</v>
      </c>
      <c r="W1228" s="0" t="n">
        <v>2030</v>
      </c>
      <c r="X1228" s="0" t="n">
        <v>32710.115</v>
      </c>
    </row>
    <row r="1229" customFormat="false" ht="15" hidden="false" customHeight="false" outlineLevel="0" collapsed="false">
      <c r="A1229" s="0" t="n">
        <v>2029</v>
      </c>
      <c r="B1229" s="0" t="n">
        <v>40.44495739</v>
      </c>
      <c r="C1229" s="0" t="n">
        <v>849.3441052</v>
      </c>
      <c r="E1229" s="0" t="n">
        <v>2030</v>
      </c>
      <c r="F1229" s="0" t="n">
        <v>60.318804</v>
      </c>
      <c r="G1229" s="0" t="n">
        <v>1266.473936</v>
      </c>
      <c r="I1229" s="0" t="n">
        <v>2027</v>
      </c>
      <c r="J1229" s="0" t="n">
        <v>232.8</v>
      </c>
      <c r="K1229" s="0" t="n">
        <v>4888.32</v>
      </c>
      <c r="M1229" s="0" t="n">
        <v>2030</v>
      </c>
      <c r="N1229" s="0" t="n">
        <v>4.7</v>
      </c>
      <c r="O1229" s="0" t="n">
        <v>97.7</v>
      </c>
      <c r="Q1229" s="0" t="n">
        <v>2031</v>
      </c>
      <c r="R1229" s="0" t="n">
        <v>20</v>
      </c>
      <c r="W1229" s="0" t="n">
        <v>2030</v>
      </c>
      <c r="X1229" s="0" t="n">
        <v>10129.584</v>
      </c>
    </row>
    <row r="1230" customFormat="false" ht="15" hidden="false" customHeight="false" outlineLevel="0" collapsed="false">
      <c r="A1230" s="0" t="n">
        <v>2029</v>
      </c>
      <c r="B1230" s="0" t="n">
        <v>17.97553662</v>
      </c>
      <c r="C1230" s="0" t="n">
        <v>377.486269</v>
      </c>
      <c r="E1230" s="0" t="n">
        <v>2030</v>
      </c>
      <c r="F1230" s="0" t="n">
        <v>8.472828</v>
      </c>
      <c r="G1230" s="0" t="n">
        <v>177.898352</v>
      </c>
      <c r="I1230" s="0" t="n">
        <v>2027</v>
      </c>
      <c r="J1230" s="0" t="n">
        <v>77.6</v>
      </c>
      <c r="K1230" s="0" t="n">
        <v>1629.44</v>
      </c>
      <c r="M1230" s="0" t="n">
        <v>2030</v>
      </c>
      <c r="N1230" s="0" t="n">
        <v>4.7</v>
      </c>
      <c r="O1230" s="0" t="n">
        <v>97.7</v>
      </c>
      <c r="Q1230" s="0" t="n">
        <v>2031</v>
      </c>
      <c r="R1230" s="0" t="n">
        <v>20</v>
      </c>
      <c r="W1230" s="0" t="n">
        <v>2030</v>
      </c>
      <c r="X1230" s="0" t="n">
        <v>17937.805</v>
      </c>
    </row>
    <row r="1231" customFormat="false" ht="15" hidden="false" customHeight="false" outlineLevel="0" collapsed="false">
      <c r="A1231" s="0" t="n">
        <v>2029</v>
      </c>
      <c r="B1231" s="0" t="n">
        <v>66.39406975</v>
      </c>
      <c r="C1231" s="0" t="n">
        <v>1394.275465</v>
      </c>
      <c r="E1231" s="0" t="n">
        <v>2030</v>
      </c>
      <c r="F1231" s="0" t="n">
        <v>202.543068</v>
      </c>
      <c r="G1231" s="0" t="n">
        <v>4252.662512</v>
      </c>
      <c r="I1231" s="0" t="n">
        <v>2027</v>
      </c>
      <c r="J1231" s="0" t="n">
        <v>33.95</v>
      </c>
      <c r="K1231" s="0" t="n">
        <v>712.88</v>
      </c>
      <c r="M1231" s="0" t="n">
        <v>2030</v>
      </c>
      <c r="N1231" s="0" t="n">
        <v>2.82</v>
      </c>
      <c r="O1231" s="0" t="n">
        <v>58.62</v>
      </c>
      <c r="Q1231" s="0" t="n">
        <v>2031</v>
      </c>
      <c r="R1231" s="0" t="n">
        <v>125</v>
      </c>
      <c r="W1231" s="0" t="n">
        <v>2030</v>
      </c>
      <c r="X1231" s="0" t="n">
        <v>8019.254</v>
      </c>
    </row>
    <row r="1232" customFormat="false" ht="15" hidden="false" customHeight="false" outlineLevel="0" collapsed="false">
      <c r="A1232" s="0" t="n">
        <v>2029</v>
      </c>
      <c r="B1232" s="0" t="n">
        <v>20.7836623</v>
      </c>
      <c r="C1232" s="0" t="n">
        <v>436.4569083</v>
      </c>
      <c r="E1232" s="0" t="n">
        <v>2030</v>
      </c>
      <c r="F1232" s="0" t="n">
        <v>9.481836</v>
      </c>
      <c r="G1232" s="0" t="n">
        <v>199.083824</v>
      </c>
      <c r="I1232" s="0" t="n">
        <v>2027</v>
      </c>
      <c r="J1232" s="0" t="n">
        <v>19.4</v>
      </c>
      <c r="K1232" s="0" t="n">
        <v>407.36</v>
      </c>
      <c r="M1232" s="0" t="n">
        <v>2030</v>
      </c>
      <c r="N1232" s="0" t="n">
        <v>2.35</v>
      </c>
      <c r="O1232" s="0" t="n">
        <v>48.85</v>
      </c>
      <c r="Q1232" s="0" t="n">
        <v>2031</v>
      </c>
      <c r="R1232" s="0" t="n">
        <v>119</v>
      </c>
      <c r="W1232" s="0" t="n">
        <v>2030</v>
      </c>
      <c r="X1232" s="0" t="n">
        <v>3165.495</v>
      </c>
    </row>
    <row r="1233" customFormat="false" ht="15" hidden="false" customHeight="false" outlineLevel="0" collapsed="false">
      <c r="A1233" s="0" t="n">
        <v>2029</v>
      </c>
      <c r="B1233" s="0" t="n">
        <v>46.4709988</v>
      </c>
      <c r="C1233" s="0" t="n">
        <v>975.8909748</v>
      </c>
      <c r="E1233" s="0" t="n">
        <v>2030</v>
      </c>
      <c r="F1233" s="0" t="n">
        <v>51.845976</v>
      </c>
      <c r="G1233" s="0" t="n">
        <v>1088.575584</v>
      </c>
      <c r="I1233" s="0" t="n">
        <v>2027</v>
      </c>
      <c r="J1233" s="0" t="n">
        <v>19.4</v>
      </c>
      <c r="K1233" s="0" t="n">
        <v>407.36</v>
      </c>
      <c r="M1233" s="0" t="n">
        <v>2030</v>
      </c>
      <c r="N1233" s="0" t="n">
        <v>1.88</v>
      </c>
      <c r="O1233" s="0" t="n">
        <v>39.08</v>
      </c>
      <c r="Q1233" s="0" t="n">
        <v>2031</v>
      </c>
      <c r="R1233" s="0" t="n">
        <v>56</v>
      </c>
      <c r="W1233" s="0" t="n">
        <v>2030</v>
      </c>
      <c r="X1233" s="0" t="n">
        <v>4642.726</v>
      </c>
    </row>
    <row r="1234" customFormat="false" ht="15" hidden="false" customHeight="false" outlineLevel="0" collapsed="false">
      <c r="A1234" s="0" t="n">
        <v>2029</v>
      </c>
      <c r="B1234" s="0" t="n">
        <v>137.0380952</v>
      </c>
      <c r="C1234" s="0" t="n">
        <v>2877.8</v>
      </c>
      <c r="E1234" s="0" t="n">
        <v>2030</v>
      </c>
      <c r="F1234" s="0" t="n">
        <v>47.408088</v>
      </c>
      <c r="G1234" s="0" t="n">
        <v>995.396192</v>
      </c>
      <c r="I1234" s="0" t="n">
        <v>2027</v>
      </c>
      <c r="J1234" s="0" t="n">
        <v>9.7</v>
      </c>
      <c r="K1234" s="0" t="n">
        <v>203.68</v>
      </c>
      <c r="M1234" s="0" t="n">
        <v>2030</v>
      </c>
      <c r="N1234" s="0" t="n">
        <v>0.94</v>
      </c>
      <c r="O1234" s="0" t="n">
        <v>19.54</v>
      </c>
      <c r="Q1234" s="0" t="n">
        <v>2031</v>
      </c>
      <c r="R1234" s="0" t="n">
        <v>12</v>
      </c>
      <c r="W1234" s="0" t="n">
        <v>2030</v>
      </c>
      <c r="X1234" s="0" t="n">
        <v>3587.561</v>
      </c>
    </row>
    <row r="1235" customFormat="false" ht="15" hidden="false" customHeight="false" outlineLevel="0" collapsed="false">
      <c r="A1235" s="0" t="n">
        <v>2029</v>
      </c>
      <c r="B1235" s="0" t="n">
        <v>34.56505989</v>
      </c>
      <c r="C1235" s="0" t="n">
        <v>725.8662577</v>
      </c>
      <c r="E1235" s="0" t="n">
        <v>2030</v>
      </c>
      <c r="F1235" s="0" t="n">
        <v>359.250351</v>
      </c>
      <c r="G1235" s="0" t="n">
        <v>7539.63183</v>
      </c>
      <c r="I1235" s="0" t="n">
        <v>2027</v>
      </c>
      <c r="J1235" s="0" t="n">
        <v>9.7</v>
      </c>
      <c r="K1235" s="0" t="n">
        <v>203.68</v>
      </c>
      <c r="M1235" s="0" t="n">
        <v>2030</v>
      </c>
      <c r="N1235" s="0" t="n">
        <v>67.26</v>
      </c>
      <c r="O1235" s="0" t="n">
        <v>1410.18</v>
      </c>
      <c r="Q1235" s="0" t="n">
        <v>2031</v>
      </c>
      <c r="R1235" s="0" t="n">
        <v>13</v>
      </c>
      <c r="W1235" s="0" t="n">
        <v>2030</v>
      </c>
      <c r="X1235" s="0" t="n">
        <v>66725.02</v>
      </c>
    </row>
    <row r="1236" customFormat="false" ht="15" hidden="false" customHeight="false" outlineLevel="0" collapsed="false">
      <c r="A1236" s="0" t="n">
        <v>2029</v>
      </c>
      <c r="B1236" s="0" t="n">
        <v>30.82358439</v>
      </c>
      <c r="C1236" s="0" t="n">
        <v>647.2952722</v>
      </c>
      <c r="E1236" s="0" t="n">
        <v>2030</v>
      </c>
      <c r="F1236" s="0" t="n">
        <v>96.462699</v>
      </c>
      <c r="G1236" s="0" t="n">
        <v>2024.47467</v>
      </c>
      <c r="I1236" s="0" t="n">
        <v>2027</v>
      </c>
      <c r="J1236" s="0" t="n">
        <v>19.4</v>
      </c>
      <c r="K1236" s="0" t="n">
        <v>407.36</v>
      </c>
      <c r="M1236" s="0" t="n">
        <v>2030</v>
      </c>
      <c r="N1236" s="0" t="n">
        <v>44.25</v>
      </c>
      <c r="O1236" s="0" t="n">
        <v>927.75</v>
      </c>
      <c r="Q1236" s="0" t="n">
        <v>2031</v>
      </c>
      <c r="R1236" s="0" t="n">
        <v>13</v>
      </c>
      <c r="W1236" s="0" t="n">
        <v>2030</v>
      </c>
      <c r="X1236" s="0" t="n">
        <v>16681.255</v>
      </c>
    </row>
    <row r="1237" customFormat="false" ht="15" hidden="false" customHeight="false" outlineLevel="0" collapsed="false">
      <c r="A1237" s="0" t="n">
        <v>2029</v>
      </c>
      <c r="B1237" s="0" t="n">
        <v>21.4359762</v>
      </c>
      <c r="C1237" s="0" t="n">
        <v>450.1555002</v>
      </c>
      <c r="E1237" s="0" t="n">
        <v>2030</v>
      </c>
      <c r="F1237" s="0" t="n">
        <v>38.610663</v>
      </c>
      <c r="G1237" s="0" t="n">
        <v>810.32679</v>
      </c>
      <c r="I1237" s="0" t="n">
        <v>2027</v>
      </c>
      <c r="J1237" s="0" t="n">
        <v>33.95</v>
      </c>
      <c r="K1237" s="0" t="n">
        <v>712.88</v>
      </c>
      <c r="M1237" s="0" t="n">
        <v>2030</v>
      </c>
      <c r="N1237" s="0" t="n">
        <v>17.7</v>
      </c>
      <c r="O1237" s="0" t="n">
        <v>371.1</v>
      </c>
      <c r="Q1237" s="0" t="n">
        <v>2031</v>
      </c>
      <c r="R1237" s="0" t="n">
        <v>85</v>
      </c>
      <c r="W1237" s="0" t="n">
        <v>2030</v>
      </c>
      <c r="X1237" s="0" t="n">
        <v>5165.808</v>
      </c>
    </row>
    <row r="1238" customFormat="false" ht="15" hidden="false" customHeight="false" outlineLevel="0" collapsed="false">
      <c r="A1238" s="0" t="n">
        <v>2029</v>
      </c>
      <c r="B1238" s="0" t="n">
        <v>15.94479574</v>
      </c>
      <c r="C1238" s="0" t="n">
        <v>334.8407106</v>
      </c>
      <c r="E1238" s="0" t="n">
        <v>2030</v>
      </c>
      <c r="F1238" s="0" t="n">
        <v>5.423541</v>
      </c>
      <c r="G1238" s="0" t="n">
        <v>113.82453</v>
      </c>
      <c r="I1238" s="0" t="n">
        <v>2027</v>
      </c>
      <c r="J1238" s="0" t="n">
        <v>14.55</v>
      </c>
      <c r="K1238" s="0" t="n">
        <v>305.52</v>
      </c>
      <c r="M1238" s="0" t="n">
        <v>2030</v>
      </c>
      <c r="N1238" s="0" t="n">
        <v>17.7</v>
      </c>
      <c r="O1238" s="0" t="n">
        <v>371.1</v>
      </c>
      <c r="Q1238" s="0" t="n">
        <v>2031</v>
      </c>
      <c r="R1238" s="0" t="n">
        <v>81</v>
      </c>
      <c r="W1238" s="0" t="n">
        <v>2030</v>
      </c>
      <c r="X1238" s="0" t="n">
        <v>9147.785</v>
      </c>
    </row>
    <row r="1239" customFormat="false" ht="15" hidden="false" customHeight="false" outlineLevel="0" collapsed="false">
      <c r="A1239" s="0" t="n">
        <v>2029</v>
      </c>
      <c r="B1239" s="0" t="n">
        <v>7.086575886</v>
      </c>
      <c r="C1239" s="0" t="n">
        <v>148.8180936</v>
      </c>
      <c r="E1239" s="0" t="n">
        <v>2030</v>
      </c>
      <c r="F1239" s="0" t="n">
        <v>129.649821</v>
      </c>
      <c r="G1239" s="0" t="n">
        <v>2720.97693</v>
      </c>
      <c r="I1239" s="0" t="n">
        <v>2027</v>
      </c>
      <c r="J1239" s="0" t="n">
        <v>14.55</v>
      </c>
      <c r="K1239" s="0" t="n">
        <v>305.52</v>
      </c>
      <c r="M1239" s="0" t="n">
        <v>2030</v>
      </c>
      <c r="N1239" s="0" t="n">
        <v>10.62</v>
      </c>
      <c r="O1239" s="0" t="n">
        <v>222.66</v>
      </c>
      <c r="Q1239" s="0" t="n">
        <v>2031</v>
      </c>
      <c r="R1239" s="0" t="n">
        <v>38</v>
      </c>
      <c r="W1239" s="0" t="n">
        <v>2030</v>
      </c>
      <c r="X1239" s="0" t="n">
        <v>4089.598</v>
      </c>
    </row>
    <row r="1240" customFormat="false" ht="15" hidden="false" customHeight="false" outlineLevel="0" collapsed="false">
      <c r="A1240" s="0" t="n">
        <v>2029</v>
      </c>
      <c r="B1240" s="0" t="n">
        <v>26.17482992</v>
      </c>
      <c r="C1240" s="0" t="n">
        <v>549.6714284</v>
      </c>
      <c r="E1240" s="0" t="n">
        <v>2030</v>
      </c>
      <c r="F1240" s="0" t="n">
        <v>6.069417</v>
      </c>
      <c r="G1240" s="0" t="n">
        <v>127.37961</v>
      </c>
      <c r="I1240" s="0" t="n">
        <v>2027</v>
      </c>
      <c r="J1240" s="0" t="n">
        <v>25.48</v>
      </c>
      <c r="K1240" s="0" t="n">
        <v>531.96</v>
      </c>
      <c r="M1240" s="0" t="n">
        <v>2030</v>
      </c>
      <c r="N1240" s="0" t="n">
        <v>8.85</v>
      </c>
      <c r="O1240" s="0" t="n">
        <v>185.55</v>
      </c>
      <c r="Q1240" s="0" t="n">
        <v>2031</v>
      </c>
      <c r="R1240" s="0" t="n">
        <v>9</v>
      </c>
      <c r="W1240" s="0" t="n">
        <v>2030</v>
      </c>
      <c r="X1240" s="0" t="n">
        <v>1614.315</v>
      </c>
    </row>
    <row r="1241" customFormat="false" ht="15" hidden="false" customHeight="false" outlineLevel="0" collapsed="false">
      <c r="A1241" s="0" t="n">
        <v>2029</v>
      </c>
      <c r="B1241" s="0" t="n">
        <v>8.193635786</v>
      </c>
      <c r="C1241" s="0" t="n">
        <v>172.0663515</v>
      </c>
      <c r="E1241" s="0" t="n">
        <v>2030</v>
      </c>
      <c r="F1241" s="0" t="n">
        <v>33.187122</v>
      </c>
      <c r="G1241" s="0" t="n">
        <v>696.50226</v>
      </c>
      <c r="I1241" s="0" t="n">
        <v>2027</v>
      </c>
      <c r="J1241" s="0" t="n">
        <v>3.92</v>
      </c>
      <c r="K1241" s="0" t="n">
        <v>81.84</v>
      </c>
      <c r="M1241" s="0" t="n">
        <v>2030</v>
      </c>
      <c r="N1241" s="0" t="n">
        <v>7.08</v>
      </c>
      <c r="O1241" s="0" t="n">
        <v>148.44</v>
      </c>
      <c r="Q1241" s="0" t="n">
        <v>2031</v>
      </c>
      <c r="R1241" s="0" t="n">
        <v>8</v>
      </c>
      <c r="W1241" s="0" t="n">
        <v>2030</v>
      </c>
      <c r="X1241" s="0" t="n">
        <v>2367.662</v>
      </c>
    </row>
    <row r="1242" customFormat="false" ht="15" hidden="false" customHeight="false" outlineLevel="0" collapsed="false">
      <c r="A1242" s="0" t="n">
        <v>2029</v>
      </c>
      <c r="B1242" s="0" t="n">
        <v>18.3204689</v>
      </c>
      <c r="C1242" s="0" t="n">
        <v>384.7298468</v>
      </c>
      <c r="E1242" s="0" t="n">
        <v>2030</v>
      </c>
      <c r="F1242" s="0" t="n">
        <v>30.346386</v>
      </c>
      <c r="G1242" s="0" t="n">
        <v>636.88338</v>
      </c>
      <c r="I1242" s="0" t="n">
        <v>2027</v>
      </c>
      <c r="J1242" s="0" t="n">
        <v>2.94</v>
      </c>
      <c r="K1242" s="0" t="n">
        <v>61.38</v>
      </c>
      <c r="M1242" s="0" t="n">
        <v>2030</v>
      </c>
      <c r="N1242" s="0" t="n">
        <v>3.54</v>
      </c>
      <c r="O1242" s="0" t="n">
        <v>74.22</v>
      </c>
      <c r="Q1242" s="0" t="n">
        <v>2031</v>
      </c>
      <c r="R1242" s="0" t="n">
        <v>8</v>
      </c>
      <c r="W1242" s="0" t="n">
        <v>2030</v>
      </c>
      <c r="X1242" s="0" t="n">
        <v>1829.557</v>
      </c>
    </row>
    <row r="1243" customFormat="false" ht="15" hidden="false" customHeight="false" outlineLevel="0" collapsed="false">
      <c r="A1243" s="0" t="n">
        <v>2029</v>
      </c>
      <c r="B1243" s="0" t="n">
        <v>268.2396788</v>
      </c>
      <c r="C1243" s="0" t="n">
        <v>5633.033256</v>
      </c>
      <c r="E1243" s="0" t="n">
        <v>2030</v>
      </c>
      <c r="F1243" s="0" t="n">
        <v>1992.580273</v>
      </c>
      <c r="G1243" s="0" t="n">
        <v>41840.58809</v>
      </c>
      <c r="I1243" s="0" t="n">
        <v>2027</v>
      </c>
      <c r="J1243" s="0" t="n">
        <v>4.9</v>
      </c>
      <c r="K1243" s="0" t="n">
        <v>102.3</v>
      </c>
      <c r="M1243" s="0" t="n">
        <v>2030</v>
      </c>
      <c r="N1243" s="0" t="n">
        <v>7.6</v>
      </c>
      <c r="O1243" s="0" t="n">
        <v>155.04</v>
      </c>
      <c r="Q1243" s="0" t="n">
        <v>2031</v>
      </c>
      <c r="R1243" s="0" t="n">
        <v>869</v>
      </c>
      <c r="W1243" s="0" t="n">
        <v>2030</v>
      </c>
      <c r="X1243" s="0" t="n">
        <v>8781.68</v>
      </c>
    </row>
    <row r="1244" customFormat="false" ht="15" hidden="false" customHeight="false" outlineLevel="0" collapsed="false">
      <c r="A1244" s="0" t="n">
        <v>2029</v>
      </c>
      <c r="B1244" s="0" t="n">
        <v>67.65797896</v>
      </c>
      <c r="C1244" s="0" t="n">
        <v>1420.817558</v>
      </c>
      <c r="E1244" s="0" t="n">
        <v>2030</v>
      </c>
      <c r="F1244" s="0" t="n">
        <v>535.029877</v>
      </c>
      <c r="G1244" s="0" t="n">
        <v>11234.66141</v>
      </c>
      <c r="I1244" s="0" t="n">
        <v>2027</v>
      </c>
      <c r="J1244" s="0" t="n">
        <v>0.98</v>
      </c>
      <c r="K1244" s="0" t="n">
        <v>20.46</v>
      </c>
      <c r="M1244" s="0" t="n">
        <v>2030</v>
      </c>
      <c r="N1244" s="0" t="n">
        <v>5</v>
      </c>
      <c r="O1244" s="0" t="n">
        <v>102</v>
      </c>
      <c r="Q1244" s="0" t="n">
        <v>2031</v>
      </c>
      <c r="R1244" s="0" t="n">
        <v>825</v>
      </c>
      <c r="W1244" s="0" t="n">
        <v>2030</v>
      </c>
      <c r="X1244" s="0" t="n">
        <v>2195.42</v>
      </c>
    </row>
    <row r="1245" customFormat="false" ht="15" hidden="false" customHeight="false" outlineLevel="0" collapsed="false">
      <c r="A1245" s="0" t="n">
        <v>2029</v>
      </c>
      <c r="B1245" s="0" t="n">
        <v>60.33437901</v>
      </c>
      <c r="C1245" s="0" t="n">
        <v>1267.021959</v>
      </c>
      <c r="E1245" s="0" t="n">
        <v>2030</v>
      </c>
      <c r="F1245" s="0" t="n">
        <v>214.153849</v>
      </c>
      <c r="G1245" s="0" t="n">
        <v>4496.84417</v>
      </c>
      <c r="I1245" s="0" t="n">
        <v>2027</v>
      </c>
      <c r="J1245" s="0" t="n">
        <v>0.98</v>
      </c>
      <c r="K1245" s="0" t="n">
        <v>20.46</v>
      </c>
      <c r="M1245" s="0" t="n">
        <v>2030</v>
      </c>
      <c r="N1245" s="0" t="n">
        <v>2</v>
      </c>
      <c r="O1245" s="0" t="n">
        <v>40.8</v>
      </c>
      <c r="Q1245" s="0" t="n">
        <v>2031</v>
      </c>
      <c r="R1245" s="0" t="n">
        <v>391</v>
      </c>
      <c r="W1245" s="0" t="n">
        <v>2030</v>
      </c>
      <c r="X1245" s="0" t="n">
        <v>679.872</v>
      </c>
    </row>
    <row r="1246" customFormat="false" ht="15" hidden="false" customHeight="false" outlineLevel="0" collapsed="false">
      <c r="A1246" s="0" t="n">
        <v>2029</v>
      </c>
      <c r="B1246" s="0" t="n">
        <v>41.95898492</v>
      </c>
      <c r="C1246" s="0" t="n">
        <v>881.1386833</v>
      </c>
      <c r="E1246" s="0" t="n">
        <v>2030</v>
      </c>
      <c r="F1246" s="0" t="n">
        <v>30.081643</v>
      </c>
      <c r="G1246" s="0" t="n">
        <v>631.66019</v>
      </c>
      <c r="I1246" s="0" t="n">
        <v>2027</v>
      </c>
      <c r="J1246" s="0" t="n">
        <v>0</v>
      </c>
      <c r="K1246" s="0" t="n">
        <v>0</v>
      </c>
      <c r="M1246" s="0" t="n">
        <v>2030</v>
      </c>
      <c r="N1246" s="0" t="n">
        <v>2</v>
      </c>
      <c r="O1246" s="0" t="n">
        <v>40.8</v>
      </c>
      <c r="Q1246" s="0" t="n">
        <v>2031</v>
      </c>
      <c r="R1246" s="0" t="n">
        <v>87</v>
      </c>
      <c r="W1246" s="0" t="n">
        <v>2030</v>
      </c>
      <c r="X1246" s="0" t="n">
        <v>1203.94</v>
      </c>
    </row>
    <row r="1247" customFormat="false" ht="15" hidden="false" customHeight="false" outlineLevel="0" collapsed="false">
      <c r="A1247" s="0" t="n">
        <v>2029</v>
      </c>
      <c r="B1247" s="0" t="n">
        <v>31.21049575</v>
      </c>
      <c r="C1247" s="0" t="n">
        <v>655.4204108</v>
      </c>
      <c r="E1247" s="0" t="n">
        <v>2030</v>
      </c>
      <c r="F1247" s="0" t="n">
        <v>719.102083</v>
      </c>
      <c r="G1247" s="0" t="n">
        <v>15099.84539</v>
      </c>
      <c r="I1247" s="0" t="n">
        <v>2027</v>
      </c>
      <c r="J1247" s="0" t="n">
        <v>1.96</v>
      </c>
      <c r="K1247" s="0" t="n">
        <v>40.92</v>
      </c>
      <c r="M1247" s="0" t="n">
        <v>2030</v>
      </c>
      <c r="N1247" s="0" t="n">
        <v>1.2</v>
      </c>
      <c r="O1247" s="0" t="n">
        <v>24.48</v>
      </c>
      <c r="Q1247" s="0" t="n">
        <v>2031</v>
      </c>
      <c r="R1247" s="0" t="n">
        <v>84</v>
      </c>
      <c r="W1247" s="0" t="n">
        <v>2030</v>
      </c>
      <c r="X1247" s="0" t="n">
        <v>538.232</v>
      </c>
    </row>
    <row r="1248" customFormat="false" ht="15" hidden="false" customHeight="false" outlineLevel="0" collapsed="false">
      <c r="A1248" s="0" t="n">
        <v>2029</v>
      </c>
      <c r="B1248" s="0" t="n">
        <v>13.87133145</v>
      </c>
      <c r="C1248" s="0" t="n">
        <v>291.2979604</v>
      </c>
      <c r="E1248" s="0" t="n">
        <v>2030</v>
      </c>
      <c r="F1248" s="0" t="n">
        <v>33.663991</v>
      </c>
      <c r="G1248" s="0" t="n">
        <v>706.88303</v>
      </c>
      <c r="I1248" s="0" t="n">
        <v>2027</v>
      </c>
      <c r="J1248" s="0" t="n">
        <v>3.43</v>
      </c>
      <c r="K1248" s="0" t="n">
        <v>71.61</v>
      </c>
      <c r="M1248" s="0" t="n">
        <v>2030</v>
      </c>
      <c r="N1248" s="0" t="n">
        <v>1</v>
      </c>
      <c r="O1248" s="0" t="n">
        <v>20.4</v>
      </c>
      <c r="Q1248" s="0" t="n">
        <v>2031</v>
      </c>
      <c r="R1248" s="0" t="n">
        <v>84</v>
      </c>
      <c r="W1248" s="0" t="n">
        <v>2030</v>
      </c>
      <c r="X1248" s="0" t="n">
        <v>212.46</v>
      </c>
    </row>
    <row r="1249" customFormat="false" ht="15" hidden="false" customHeight="false" outlineLevel="0" collapsed="false">
      <c r="A1249" s="0" t="n">
        <v>2029</v>
      </c>
      <c r="B1249" s="0" t="n">
        <v>51.23486254</v>
      </c>
      <c r="C1249" s="0" t="n">
        <v>1075.932113</v>
      </c>
      <c r="E1249" s="0" t="n">
        <v>2030</v>
      </c>
      <c r="F1249" s="0" t="n">
        <v>184.072206</v>
      </c>
      <c r="G1249" s="0" t="n">
        <v>3865.18398</v>
      </c>
      <c r="I1249" s="0" t="n">
        <v>2027</v>
      </c>
      <c r="J1249" s="0" t="n">
        <v>0.98</v>
      </c>
      <c r="K1249" s="0" t="n">
        <v>20.46</v>
      </c>
      <c r="M1249" s="0" t="n">
        <v>2030</v>
      </c>
      <c r="N1249" s="0" t="n">
        <v>0.8</v>
      </c>
      <c r="O1249" s="0" t="n">
        <v>16.32</v>
      </c>
      <c r="Q1249" s="0" t="n">
        <v>2031</v>
      </c>
      <c r="R1249" s="0" t="n">
        <v>86</v>
      </c>
      <c r="W1249" s="0" t="n">
        <v>2030</v>
      </c>
      <c r="X1249" s="0" t="n">
        <v>311.608</v>
      </c>
    </row>
    <row r="1250" customFormat="false" ht="15" hidden="false" customHeight="false" outlineLevel="0" collapsed="false">
      <c r="A1250" s="0" t="n">
        <v>2029</v>
      </c>
      <c r="B1250" s="0" t="n">
        <v>16.03830109</v>
      </c>
      <c r="C1250" s="0" t="n">
        <v>336.8043228</v>
      </c>
      <c r="E1250" s="0" t="n">
        <v>2030</v>
      </c>
      <c r="F1250" s="0" t="n">
        <v>168.316078</v>
      </c>
      <c r="G1250" s="0" t="n">
        <v>3534.33374</v>
      </c>
      <c r="I1250" s="0" t="n">
        <v>2027</v>
      </c>
      <c r="J1250" s="0" t="n">
        <v>3.43</v>
      </c>
      <c r="K1250" s="0" t="n">
        <v>71.61</v>
      </c>
      <c r="M1250" s="0" t="n">
        <v>2030</v>
      </c>
      <c r="N1250" s="0" t="n">
        <v>0.4</v>
      </c>
      <c r="O1250" s="0" t="n">
        <v>8.16</v>
      </c>
      <c r="Q1250" s="0" t="n">
        <v>2031</v>
      </c>
      <c r="R1250" s="0" t="n">
        <v>81</v>
      </c>
      <c r="W1250" s="0" t="n">
        <v>2030</v>
      </c>
      <c r="X1250" s="0" t="n">
        <v>240.788</v>
      </c>
    </row>
    <row r="1251" customFormat="false" ht="15" hidden="false" customHeight="false" outlineLevel="0" collapsed="false">
      <c r="A1251" s="0" t="n">
        <v>2029</v>
      </c>
      <c r="B1251" s="0" t="n">
        <v>35.86066111</v>
      </c>
      <c r="C1251" s="0" t="n">
        <v>753.0738834</v>
      </c>
      <c r="E1251" s="0" t="n">
        <v>2030</v>
      </c>
      <c r="F1251" s="0" t="n">
        <v>245.667622</v>
      </c>
      <c r="G1251" s="0" t="n">
        <v>5157.992164</v>
      </c>
      <c r="I1251" s="0" t="n">
        <v>2027</v>
      </c>
      <c r="J1251" s="0" t="n">
        <v>20.16</v>
      </c>
      <c r="K1251" s="0" t="n">
        <v>427.68</v>
      </c>
      <c r="M1251" s="0" t="n">
        <v>2030</v>
      </c>
      <c r="N1251" s="0" t="n">
        <v>20.9</v>
      </c>
      <c r="O1251" s="0" t="n">
        <v>432.44</v>
      </c>
      <c r="Q1251" s="0" t="n">
        <v>2031</v>
      </c>
      <c r="R1251" s="0" t="n">
        <v>39</v>
      </c>
      <c r="W1251" s="0" t="n">
        <v>2030</v>
      </c>
      <c r="X1251" s="0" t="n">
        <v>68489.54</v>
      </c>
    </row>
    <row r="1252" customFormat="false" ht="15" hidden="false" customHeight="false" outlineLevel="0" collapsed="false">
      <c r="A1252" s="0" t="n">
        <v>2029</v>
      </c>
      <c r="B1252" s="0" t="n">
        <v>176.4811876</v>
      </c>
      <c r="C1252" s="0" t="n">
        <v>3706.10494</v>
      </c>
      <c r="E1252" s="0" t="n">
        <v>2030</v>
      </c>
      <c r="F1252" s="0" t="n">
        <v>65.964478</v>
      </c>
      <c r="G1252" s="0" t="n">
        <v>1384.978036</v>
      </c>
      <c r="I1252" s="0" t="n">
        <v>2027</v>
      </c>
      <c r="J1252" s="0" t="n">
        <v>6.72</v>
      </c>
      <c r="K1252" s="0" t="n">
        <v>142.56</v>
      </c>
      <c r="M1252" s="0" t="n">
        <v>2030</v>
      </c>
      <c r="N1252" s="0" t="n">
        <v>13.75</v>
      </c>
      <c r="O1252" s="0" t="n">
        <v>284.5</v>
      </c>
      <c r="Q1252" s="0" t="n">
        <v>2031</v>
      </c>
      <c r="R1252" s="0" t="n">
        <v>9</v>
      </c>
      <c r="W1252" s="0" t="n">
        <v>2030</v>
      </c>
      <c r="X1252" s="0" t="n">
        <v>17122.385</v>
      </c>
    </row>
    <row r="1253" customFormat="false" ht="15" hidden="false" customHeight="false" outlineLevel="0" collapsed="false">
      <c r="A1253" s="0" t="n">
        <v>2029</v>
      </c>
      <c r="B1253" s="0" t="n">
        <v>44.51377413</v>
      </c>
      <c r="C1253" s="0" t="n">
        <v>934.7892568</v>
      </c>
      <c r="E1253" s="0" t="n">
        <v>2030</v>
      </c>
      <c r="F1253" s="0" t="n">
        <v>26.403286</v>
      </c>
      <c r="G1253" s="0" t="n">
        <v>554.358532</v>
      </c>
      <c r="I1253" s="0" t="n">
        <v>2027</v>
      </c>
      <c r="J1253" s="0" t="n">
        <v>2.94</v>
      </c>
      <c r="K1253" s="0" t="n">
        <v>62.37</v>
      </c>
      <c r="M1253" s="0" t="n">
        <v>2030</v>
      </c>
      <c r="N1253" s="0" t="n">
        <v>5.5</v>
      </c>
      <c r="O1253" s="0" t="n">
        <v>113.8</v>
      </c>
      <c r="Q1253" s="0" t="n">
        <v>2031</v>
      </c>
      <c r="R1253" s="0" t="n">
        <v>8</v>
      </c>
      <c r="W1253" s="0" t="n">
        <v>2030</v>
      </c>
      <c r="X1253" s="0" t="n">
        <v>5302.416</v>
      </c>
    </row>
    <row r="1254" customFormat="false" ht="15" hidden="false" customHeight="false" outlineLevel="0" collapsed="false">
      <c r="A1254" s="0" t="n">
        <v>2029</v>
      </c>
      <c r="B1254" s="0" t="n">
        <v>39.69540565</v>
      </c>
      <c r="C1254" s="0" t="n">
        <v>833.6035186</v>
      </c>
      <c r="E1254" s="0" t="n">
        <v>2030</v>
      </c>
      <c r="F1254" s="0" t="n">
        <v>3.708802</v>
      </c>
      <c r="G1254" s="0" t="n">
        <v>77.869324</v>
      </c>
      <c r="I1254" s="0" t="n">
        <v>2027</v>
      </c>
      <c r="J1254" s="0" t="n">
        <v>1.68</v>
      </c>
      <c r="K1254" s="0" t="n">
        <v>35.64</v>
      </c>
      <c r="M1254" s="0" t="n">
        <v>2030</v>
      </c>
      <c r="N1254" s="0" t="n">
        <v>5.5</v>
      </c>
      <c r="O1254" s="0" t="n">
        <v>113.8</v>
      </c>
      <c r="Q1254" s="0" t="n">
        <v>2031</v>
      </c>
      <c r="R1254" s="0" t="n">
        <v>8</v>
      </c>
      <c r="W1254" s="0" t="n">
        <v>2030</v>
      </c>
      <c r="X1254" s="0" t="n">
        <v>9389.695</v>
      </c>
    </row>
    <row r="1255" customFormat="false" ht="15" hidden="false" customHeight="false" outlineLevel="0" collapsed="false">
      <c r="A1255" s="0" t="n">
        <v>2029</v>
      </c>
      <c r="B1255" s="0" t="n">
        <v>27.6058021</v>
      </c>
      <c r="C1255" s="0" t="n">
        <v>579.7218441</v>
      </c>
      <c r="E1255" s="0" t="n">
        <v>2030</v>
      </c>
      <c r="F1255" s="0" t="n">
        <v>88.658962</v>
      </c>
      <c r="G1255" s="0" t="n">
        <v>1861.467244</v>
      </c>
      <c r="I1255" s="0" t="n">
        <v>2027</v>
      </c>
      <c r="J1255" s="0" t="n">
        <v>1.68</v>
      </c>
      <c r="K1255" s="0" t="n">
        <v>35.64</v>
      </c>
      <c r="M1255" s="0" t="n">
        <v>2030</v>
      </c>
      <c r="N1255" s="0" t="n">
        <v>3.3</v>
      </c>
      <c r="O1255" s="0" t="n">
        <v>68.28</v>
      </c>
      <c r="Q1255" s="0" t="n">
        <v>2031</v>
      </c>
      <c r="R1255" s="0" t="n">
        <v>342</v>
      </c>
      <c r="W1255" s="0" t="n">
        <v>2030</v>
      </c>
      <c r="X1255" s="0" t="n">
        <v>4197.746</v>
      </c>
    </row>
    <row r="1256" customFormat="false" ht="15" hidden="false" customHeight="false" outlineLevel="0" collapsed="false">
      <c r="A1256" s="0" t="n">
        <v>2029</v>
      </c>
      <c r="B1256" s="0" t="n">
        <v>20.53411852</v>
      </c>
      <c r="C1256" s="0" t="n">
        <v>431.2164889</v>
      </c>
      <c r="E1256" s="0" t="n">
        <v>2030</v>
      </c>
      <c r="F1256" s="0" t="n">
        <v>4.150474</v>
      </c>
      <c r="G1256" s="0" t="n">
        <v>87.142588</v>
      </c>
      <c r="I1256" s="0" t="n">
        <v>2027</v>
      </c>
      <c r="J1256" s="0" t="n">
        <v>0.84</v>
      </c>
      <c r="K1256" s="0" t="n">
        <v>17.82</v>
      </c>
      <c r="M1256" s="0" t="n">
        <v>2030</v>
      </c>
      <c r="N1256" s="0" t="n">
        <v>2.75</v>
      </c>
      <c r="O1256" s="0" t="n">
        <v>56.9</v>
      </c>
      <c r="Q1256" s="0" t="n">
        <v>2031</v>
      </c>
      <c r="R1256" s="0" t="n">
        <v>325</v>
      </c>
      <c r="W1256" s="0" t="n">
        <v>2030</v>
      </c>
      <c r="X1256" s="0" t="n">
        <v>1657.005</v>
      </c>
    </row>
    <row r="1257" customFormat="false" ht="15" hidden="false" customHeight="false" outlineLevel="0" collapsed="false">
      <c r="A1257" s="0" t="n">
        <v>2029</v>
      </c>
      <c r="B1257" s="0" t="n">
        <v>9.126274897</v>
      </c>
      <c r="C1257" s="0" t="n">
        <v>191.6517728</v>
      </c>
      <c r="E1257" s="0" t="n">
        <v>2030</v>
      </c>
      <c r="F1257" s="0" t="n">
        <v>22.694484</v>
      </c>
      <c r="G1257" s="0" t="n">
        <v>476.489208</v>
      </c>
      <c r="I1257" s="0" t="n">
        <v>2027</v>
      </c>
      <c r="J1257" s="0" t="n">
        <v>0.84</v>
      </c>
      <c r="K1257" s="0" t="n">
        <v>17.82</v>
      </c>
      <c r="M1257" s="0" t="n">
        <v>2030</v>
      </c>
      <c r="N1257" s="0" t="n">
        <v>2.2</v>
      </c>
      <c r="O1257" s="0" t="n">
        <v>45.52</v>
      </c>
      <c r="Q1257" s="0" t="n">
        <v>2031</v>
      </c>
      <c r="R1257" s="0" t="n">
        <v>154</v>
      </c>
      <c r="W1257" s="0" t="n">
        <v>2030</v>
      </c>
      <c r="X1257" s="0" t="n">
        <v>2430.274</v>
      </c>
    </row>
    <row r="1258" customFormat="false" ht="15" hidden="false" customHeight="false" outlineLevel="0" collapsed="false">
      <c r="A1258" s="0" t="n">
        <v>2029</v>
      </c>
      <c r="B1258" s="0" t="n">
        <v>33.70861994</v>
      </c>
      <c r="C1258" s="0" t="n">
        <v>707.8810188</v>
      </c>
      <c r="E1258" s="0" t="n">
        <v>2030</v>
      </c>
      <c r="F1258" s="0" t="n">
        <v>20.751892</v>
      </c>
      <c r="G1258" s="0" t="n">
        <v>435.702904</v>
      </c>
      <c r="I1258" s="0" t="n">
        <v>2027</v>
      </c>
      <c r="J1258" s="0" t="n">
        <v>1.68</v>
      </c>
      <c r="K1258" s="0" t="n">
        <v>35.64</v>
      </c>
      <c r="M1258" s="0" t="n">
        <v>2030</v>
      </c>
      <c r="N1258" s="0" t="n">
        <v>1.1</v>
      </c>
      <c r="O1258" s="0" t="n">
        <v>22.76</v>
      </c>
      <c r="Q1258" s="0" t="n">
        <v>2031</v>
      </c>
      <c r="R1258" s="0" t="n">
        <v>34</v>
      </c>
      <c r="W1258" s="0" t="n">
        <v>2030</v>
      </c>
      <c r="X1258" s="0" t="n">
        <v>1877.939</v>
      </c>
    </row>
    <row r="1259" customFormat="false" ht="15" hidden="false" customHeight="false" outlineLevel="0" collapsed="false">
      <c r="A1259" s="0" t="n">
        <v>2029</v>
      </c>
      <c r="B1259" s="0" t="n">
        <v>10.55197514</v>
      </c>
      <c r="C1259" s="0" t="n">
        <v>221.591478</v>
      </c>
      <c r="E1259" s="0" t="n">
        <v>2030</v>
      </c>
      <c r="F1259" s="0" t="n">
        <v>161.893935</v>
      </c>
      <c r="G1259" s="0" t="n">
        <v>3396.688941</v>
      </c>
      <c r="I1259" s="0" t="n">
        <v>2027</v>
      </c>
      <c r="J1259" s="0" t="n">
        <v>2.94</v>
      </c>
      <c r="K1259" s="0" t="n">
        <v>62.37</v>
      </c>
      <c r="M1259" s="0" t="n">
        <v>2030</v>
      </c>
      <c r="N1259" s="0" t="n">
        <v>12.92</v>
      </c>
      <c r="O1259" s="0" t="n">
        <v>269.42</v>
      </c>
      <c r="Q1259" s="0" t="n">
        <v>2031</v>
      </c>
      <c r="R1259" s="0" t="n">
        <v>32</v>
      </c>
      <c r="W1259" s="0" t="n">
        <v>2030</v>
      </c>
      <c r="X1259" s="0" t="n">
        <v>117809.92</v>
      </c>
    </row>
    <row r="1260" customFormat="false" ht="15" hidden="false" customHeight="false" outlineLevel="0" collapsed="false">
      <c r="A1260" s="0" t="n">
        <v>2029</v>
      </c>
      <c r="B1260" s="0" t="n">
        <v>23.59357157</v>
      </c>
      <c r="C1260" s="0" t="n">
        <v>495.4650031</v>
      </c>
      <c r="E1260" s="0" t="n">
        <v>2030</v>
      </c>
      <c r="F1260" s="0" t="n">
        <v>43.470315</v>
      </c>
      <c r="G1260" s="0" t="n">
        <v>912.048609</v>
      </c>
      <c r="I1260" s="0" t="n">
        <v>2027</v>
      </c>
      <c r="J1260" s="0" t="n">
        <v>1.26</v>
      </c>
      <c r="K1260" s="0" t="n">
        <v>26.73</v>
      </c>
      <c r="M1260" s="0" t="n">
        <v>2030</v>
      </c>
      <c r="N1260" s="0" t="n">
        <v>8.5</v>
      </c>
      <c r="O1260" s="0" t="n">
        <v>177.25</v>
      </c>
      <c r="Q1260" s="0" t="n">
        <v>2031</v>
      </c>
      <c r="R1260" s="0" t="n">
        <v>32</v>
      </c>
      <c r="W1260" s="0" t="n">
        <v>2030</v>
      </c>
      <c r="X1260" s="0" t="n">
        <v>29452.48</v>
      </c>
    </row>
    <row r="1261" customFormat="false" ht="15" hidden="false" customHeight="false" outlineLevel="0" collapsed="false">
      <c r="A1261" s="0" t="n">
        <v>2029</v>
      </c>
      <c r="B1261" s="0" t="n">
        <v>120.168178</v>
      </c>
      <c r="C1261" s="0" t="n">
        <v>2523.531739</v>
      </c>
      <c r="E1261" s="0" t="n">
        <v>2030</v>
      </c>
      <c r="F1261" s="0" t="n">
        <v>17.399655</v>
      </c>
      <c r="G1261" s="0" t="n">
        <v>365.061333</v>
      </c>
      <c r="I1261" s="0" t="n">
        <v>2027</v>
      </c>
      <c r="J1261" s="0" t="n">
        <v>1.26</v>
      </c>
      <c r="K1261" s="0" t="n">
        <v>26.73</v>
      </c>
      <c r="M1261" s="0" t="n">
        <v>2030</v>
      </c>
      <c r="N1261" s="0" t="n">
        <v>3.4</v>
      </c>
      <c r="O1261" s="0" t="n">
        <v>70.9</v>
      </c>
      <c r="Q1261" s="0" t="n">
        <v>2031</v>
      </c>
      <c r="R1261" s="0" t="n">
        <v>412</v>
      </c>
      <c r="W1261" s="0" t="n">
        <v>2030</v>
      </c>
      <c r="X1261" s="0" t="n">
        <v>9120.768</v>
      </c>
    </row>
    <row r="1262" customFormat="false" ht="15" hidden="false" customHeight="false" outlineLevel="0" collapsed="false">
      <c r="A1262" s="0" t="n">
        <v>2029</v>
      </c>
      <c r="B1262" s="0" t="n">
        <v>30.30996792</v>
      </c>
      <c r="C1262" s="0" t="n">
        <v>636.5093263</v>
      </c>
      <c r="E1262" s="0" t="n">
        <v>2030</v>
      </c>
      <c r="F1262" s="0" t="n">
        <v>2.444085</v>
      </c>
      <c r="G1262" s="0" t="n">
        <v>51.279231</v>
      </c>
      <c r="I1262" s="0" t="n">
        <v>2027</v>
      </c>
      <c r="J1262" s="0" t="n">
        <v>7.8</v>
      </c>
      <c r="K1262" s="0" t="n">
        <v>162.24</v>
      </c>
      <c r="M1262" s="0" t="n">
        <v>2030</v>
      </c>
      <c r="N1262" s="0" t="n">
        <v>3.4</v>
      </c>
      <c r="O1262" s="0" t="n">
        <v>70.9</v>
      </c>
      <c r="Q1262" s="0" t="n">
        <v>2031</v>
      </c>
      <c r="R1262" s="0" t="n">
        <v>392</v>
      </c>
      <c r="W1262" s="0" t="n">
        <v>2030</v>
      </c>
      <c r="X1262" s="0" t="n">
        <v>16151.36</v>
      </c>
    </row>
    <row r="1263" customFormat="false" ht="15" hidden="false" customHeight="false" outlineLevel="0" collapsed="false">
      <c r="A1263" s="0" t="n">
        <v>2029</v>
      </c>
      <c r="B1263" s="0" t="n">
        <v>27.02908246</v>
      </c>
      <c r="C1263" s="0" t="n">
        <v>567.6107317</v>
      </c>
      <c r="E1263" s="0" t="n">
        <v>2030</v>
      </c>
      <c r="F1263" s="0" t="n">
        <v>58.425885</v>
      </c>
      <c r="G1263" s="0" t="n">
        <v>1225.830711</v>
      </c>
      <c r="I1263" s="0" t="n">
        <v>2027</v>
      </c>
      <c r="J1263" s="0" t="n">
        <v>1.2</v>
      </c>
      <c r="K1263" s="0" t="n">
        <v>24.96</v>
      </c>
      <c r="M1263" s="0" t="n">
        <v>2030</v>
      </c>
      <c r="N1263" s="0" t="n">
        <v>2.04</v>
      </c>
      <c r="O1263" s="0" t="n">
        <v>42.54</v>
      </c>
      <c r="Q1263" s="0" t="n">
        <v>2031</v>
      </c>
      <c r="R1263" s="0" t="n">
        <v>185</v>
      </c>
      <c r="W1263" s="0" t="n">
        <v>2030</v>
      </c>
      <c r="X1263" s="0" t="n">
        <v>7220.608</v>
      </c>
    </row>
    <row r="1264" customFormat="false" ht="15" hidden="false" customHeight="false" outlineLevel="0" collapsed="false">
      <c r="A1264" s="0" t="n">
        <v>2029</v>
      </c>
      <c r="B1264" s="0" t="n">
        <v>18.79712499</v>
      </c>
      <c r="C1264" s="0" t="n">
        <v>394.7396248</v>
      </c>
      <c r="E1264" s="0" t="n">
        <v>2030</v>
      </c>
      <c r="F1264" s="0" t="n">
        <v>2.735145</v>
      </c>
      <c r="G1264" s="0" t="n">
        <v>57.385947</v>
      </c>
      <c r="I1264" s="0" t="n">
        <v>2027</v>
      </c>
      <c r="J1264" s="0" t="n">
        <v>0.9</v>
      </c>
      <c r="K1264" s="0" t="n">
        <v>18.72</v>
      </c>
      <c r="M1264" s="0" t="n">
        <v>2030</v>
      </c>
      <c r="N1264" s="0" t="n">
        <v>1.7</v>
      </c>
      <c r="O1264" s="0" t="n">
        <v>35.45</v>
      </c>
      <c r="Q1264" s="0" t="n">
        <v>2031</v>
      </c>
      <c r="R1264" s="0" t="n">
        <v>41</v>
      </c>
      <c r="W1264" s="0" t="n">
        <v>2030</v>
      </c>
      <c r="X1264" s="0" t="n">
        <v>2850.24</v>
      </c>
    </row>
    <row r="1265" customFormat="false" ht="15" hidden="false" customHeight="false" outlineLevel="0" collapsed="false">
      <c r="A1265" s="0" t="n">
        <v>2029</v>
      </c>
      <c r="B1265" s="0" t="n">
        <v>13.98192999</v>
      </c>
      <c r="C1265" s="0" t="n">
        <v>293.6205298</v>
      </c>
      <c r="E1265" s="0" t="n">
        <v>2030</v>
      </c>
      <c r="F1265" s="0" t="n">
        <v>14.95557</v>
      </c>
      <c r="G1265" s="0" t="n">
        <v>313.782102</v>
      </c>
      <c r="I1265" s="0" t="n">
        <v>2027</v>
      </c>
      <c r="J1265" s="0" t="n">
        <v>1.5</v>
      </c>
      <c r="K1265" s="0" t="n">
        <v>31.2</v>
      </c>
      <c r="M1265" s="0" t="n">
        <v>2030</v>
      </c>
      <c r="N1265" s="0" t="n">
        <v>1.36</v>
      </c>
      <c r="O1265" s="0" t="n">
        <v>28.36</v>
      </c>
      <c r="Q1265" s="0" t="n">
        <v>2031</v>
      </c>
      <c r="R1265" s="0" t="n">
        <v>40</v>
      </c>
      <c r="W1265" s="0" t="n">
        <v>2030</v>
      </c>
      <c r="X1265" s="0" t="n">
        <v>4180.352</v>
      </c>
    </row>
    <row r="1266" customFormat="false" ht="15" hidden="false" customHeight="false" outlineLevel="0" collapsed="false">
      <c r="A1266" s="0" t="n">
        <v>2029</v>
      </c>
      <c r="B1266" s="0" t="n">
        <v>6.214191107</v>
      </c>
      <c r="C1266" s="0" t="n">
        <v>130.4980132</v>
      </c>
      <c r="E1266" s="0" t="n">
        <v>2030</v>
      </c>
      <c r="F1266" s="0" t="n">
        <v>13.67541</v>
      </c>
      <c r="G1266" s="0" t="n">
        <v>286.923126</v>
      </c>
      <c r="I1266" s="0" t="n">
        <v>2027</v>
      </c>
      <c r="J1266" s="0" t="n">
        <v>0.3</v>
      </c>
      <c r="K1266" s="0" t="n">
        <v>6.24</v>
      </c>
      <c r="M1266" s="0" t="n">
        <v>2030</v>
      </c>
      <c r="N1266" s="0" t="n">
        <v>0.68</v>
      </c>
      <c r="O1266" s="0" t="n">
        <v>14.18</v>
      </c>
      <c r="Q1266" s="0" t="n">
        <v>2031</v>
      </c>
      <c r="R1266" s="0" t="n">
        <v>40</v>
      </c>
      <c r="W1266" s="0" t="n">
        <v>2030</v>
      </c>
      <c r="X1266" s="0" t="n">
        <v>3230.272</v>
      </c>
    </row>
    <row r="1267" customFormat="false" ht="15" hidden="false" customHeight="false" outlineLevel="0" collapsed="false">
      <c r="A1267" s="0" t="n">
        <v>2029</v>
      </c>
      <c r="B1267" s="0" t="n">
        <v>22.95260757</v>
      </c>
      <c r="C1267" s="0" t="n">
        <v>482.0047589</v>
      </c>
      <c r="E1267" s="0" t="n">
        <v>2030</v>
      </c>
      <c r="F1267" s="0" t="n">
        <v>227.165458</v>
      </c>
      <c r="G1267" s="0" t="n">
        <v>4766.363026</v>
      </c>
      <c r="I1267" s="0" t="n">
        <v>2027</v>
      </c>
      <c r="J1267" s="0" t="n">
        <v>0.3</v>
      </c>
      <c r="K1267" s="0" t="n">
        <v>6.24</v>
      </c>
      <c r="M1267" s="0" t="n">
        <v>2030</v>
      </c>
      <c r="N1267" s="0" t="n">
        <v>2.28</v>
      </c>
      <c r="O1267" s="0" t="n">
        <v>45.98</v>
      </c>
      <c r="Q1267" s="0" t="n">
        <v>2031</v>
      </c>
      <c r="R1267" s="0" t="n">
        <v>289</v>
      </c>
      <c r="W1267" s="0" t="n">
        <v>2030</v>
      </c>
      <c r="X1267" s="0" t="n">
        <v>52576.62</v>
      </c>
    </row>
    <row r="1268" customFormat="false" ht="15" hidden="false" customHeight="false" outlineLevel="0" collapsed="false">
      <c r="A1268" s="0" t="n">
        <v>2029</v>
      </c>
      <c r="B1268" s="0" t="n">
        <v>7.18496767</v>
      </c>
      <c r="C1268" s="0" t="n">
        <v>150.8843211</v>
      </c>
      <c r="E1268" s="0" t="n">
        <v>2030</v>
      </c>
      <c r="F1268" s="0" t="n">
        <v>60.996442</v>
      </c>
      <c r="G1268" s="0" t="n">
        <v>1279.821274</v>
      </c>
      <c r="I1268" s="0" t="n">
        <v>2027</v>
      </c>
      <c r="J1268" s="0" t="n">
        <v>0</v>
      </c>
      <c r="K1268" s="0" t="n">
        <v>0</v>
      </c>
      <c r="M1268" s="0" t="n">
        <v>2030</v>
      </c>
      <c r="N1268" s="0" t="n">
        <v>1.5</v>
      </c>
      <c r="O1268" s="0" t="n">
        <v>30.25</v>
      </c>
      <c r="Q1268" s="0" t="n">
        <v>2031</v>
      </c>
      <c r="R1268" s="0" t="n">
        <v>275</v>
      </c>
      <c r="W1268" s="0" t="n">
        <v>2030</v>
      </c>
      <c r="X1268" s="0" t="n">
        <v>13144.155</v>
      </c>
    </row>
    <row r="1269" customFormat="false" ht="15" hidden="false" customHeight="false" outlineLevel="0" collapsed="false">
      <c r="A1269" s="0" t="n">
        <v>2029</v>
      </c>
      <c r="B1269" s="0" t="n">
        <v>16.06514863</v>
      </c>
      <c r="C1269" s="0" t="n">
        <v>337.3681212</v>
      </c>
      <c r="E1269" s="0" t="n">
        <v>2030</v>
      </c>
      <c r="F1269" s="0" t="n">
        <v>24.414754</v>
      </c>
      <c r="G1269" s="0" t="n">
        <v>512.267938</v>
      </c>
      <c r="I1269" s="0" t="n">
        <v>2027</v>
      </c>
      <c r="J1269" s="0" t="n">
        <v>0.6</v>
      </c>
      <c r="K1269" s="0" t="n">
        <v>12.48</v>
      </c>
      <c r="M1269" s="0" t="n">
        <v>2030</v>
      </c>
      <c r="N1269" s="0" t="n">
        <v>0.6</v>
      </c>
      <c r="O1269" s="0" t="n">
        <v>12.1</v>
      </c>
      <c r="Q1269" s="0" t="n">
        <v>2031</v>
      </c>
      <c r="R1269" s="0" t="n">
        <v>130</v>
      </c>
      <c r="W1269" s="0" t="n">
        <v>2030</v>
      </c>
      <c r="X1269" s="0" t="n">
        <v>4070.448</v>
      </c>
    </row>
    <row r="1270" customFormat="false" ht="15" hidden="false" customHeight="false" outlineLevel="0" collapsed="false">
      <c r="A1270" s="0" t="n">
        <v>2029</v>
      </c>
      <c r="B1270" s="0" t="n">
        <v>81.33805264</v>
      </c>
      <c r="C1270" s="0" t="n">
        <v>1708.099105</v>
      </c>
      <c r="E1270" s="0" t="n">
        <v>2030</v>
      </c>
      <c r="F1270" s="0" t="n">
        <v>3.429478</v>
      </c>
      <c r="G1270" s="0" t="n">
        <v>71.956966</v>
      </c>
      <c r="I1270" s="0" t="n">
        <v>2027</v>
      </c>
      <c r="J1270" s="0" t="n">
        <v>1.05</v>
      </c>
      <c r="K1270" s="0" t="n">
        <v>21.84</v>
      </c>
      <c r="M1270" s="0" t="n">
        <v>2030</v>
      </c>
      <c r="N1270" s="0" t="n">
        <v>0.6</v>
      </c>
      <c r="O1270" s="0" t="n">
        <v>12.1</v>
      </c>
      <c r="Q1270" s="0" t="n">
        <v>2031</v>
      </c>
      <c r="R1270" s="0" t="n">
        <v>29</v>
      </c>
      <c r="W1270" s="0" t="n">
        <v>2030</v>
      </c>
      <c r="X1270" s="0" t="n">
        <v>7208.085</v>
      </c>
    </row>
    <row r="1271" customFormat="false" ht="15" hidden="false" customHeight="false" outlineLevel="0" collapsed="false">
      <c r="A1271" s="0" t="n">
        <v>2029</v>
      </c>
      <c r="B1271" s="0" t="n">
        <v>20.51586207</v>
      </c>
      <c r="C1271" s="0" t="n">
        <v>430.8331035</v>
      </c>
      <c r="E1271" s="0" t="n">
        <v>2030</v>
      </c>
      <c r="F1271" s="0" t="n">
        <v>81.981718</v>
      </c>
      <c r="G1271" s="0" t="n">
        <v>1720.132246</v>
      </c>
      <c r="I1271" s="0" t="n">
        <v>2027</v>
      </c>
      <c r="J1271" s="0" t="n">
        <v>0.3</v>
      </c>
      <c r="K1271" s="0" t="n">
        <v>6.24</v>
      </c>
      <c r="M1271" s="0" t="n">
        <v>2030</v>
      </c>
      <c r="N1271" s="0" t="n">
        <v>0.36</v>
      </c>
      <c r="O1271" s="0" t="n">
        <v>7.26</v>
      </c>
      <c r="Q1271" s="0" t="n">
        <v>2031</v>
      </c>
      <c r="R1271" s="0" t="n">
        <v>28</v>
      </c>
      <c r="W1271" s="0" t="n">
        <v>2030</v>
      </c>
      <c r="X1271" s="0" t="n">
        <v>3222.438</v>
      </c>
    </row>
    <row r="1272" customFormat="false" ht="15" hidden="false" customHeight="false" outlineLevel="0" collapsed="false">
      <c r="A1272" s="0" t="n">
        <v>2029</v>
      </c>
      <c r="B1272" s="0" t="n">
        <v>18.2951341</v>
      </c>
      <c r="C1272" s="0" t="n">
        <v>384.1978162</v>
      </c>
      <c r="E1272" s="0" t="n">
        <v>2030</v>
      </c>
      <c r="F1272" s="0" t="n">
        <v>3.837886</v>
      </c>
      <c r="G1272" s="0" t="n">
        <v>80.526142</v>
      </c>
      <c r="I1272" s="0" t="n">
        <v>2027</v>
      </c>
      <c r="J1272" s="0" t="n">
        <v>1.05</v>
      </c>
      <c r="K1272" s="0" t="n">
        <v>21.84</v>
      </c>
      <c r="M1272" s="0" t="n">
        <v>2030</v>
      </c>
      <c r="N1272" s="0" t="n">
        <v>0.3</v>
      </c>
      <c r="O1272" s="0" t="n">
        <v>6.05</v>
      </c>
      <c r="Q1272" s="0" t="n">
        <v>2031</v>
      </c>
      <c r="R1272" s="0" t="n">
        <v>28</v>
      </c>
      <c r="W1272" s="0" t="n">
        <v>2030</v>
      </c>
      <c r="X1272" s="0" t="n">
        <v>1272.015</v>
      </c>
    </row>
    <row r="1273" customFormat="false" ht="15" hidden="false" customHeight="false" outlineLevel="0" collapsed="false">
      <c r="A1273" s="0" t="n">
        <v>2029</v>
      </c>
      <c r="B1273" s="0" t="n">
        <v>12.72318152</v>
      </c>
      <c r="C1273" s="0" t="n">
        <v>267.1868119</v>
      </c>
      <c r="E1273" s="0" t="n">
        <v>2030</v>
      </c>
      <c r="F1273" s="0" t="n">
        <v>20.985276</v>
      </c>
      <c r="G1273" s="0" t="n">
        <v>440.310972</v>
      </c>
      <c r="I1273" s="0" t="n">
        <v>2027</v>
      </c>
      <c r="J1273" s="0" t="n">
        <v>52.8</v>
      </c>
      <c r="K1273" s="0" t="n">
        <v>1105.92</v>
      </c>
      <c r="M1273" s="0" t="n">
        <v>2030</v>
      </c>
      <c r="N1273" s="0" t="n">
        <v>0.24</v>
      </c>
      <c r="O1273" s="0" t="n">
        <v>4.84</v>
      </c>
      <c r="Q1273" s="0" t="n">
        <v>2031</v>
      </c>
      <c r="R1273" s="0" t="n">
        <v>122</v>
      </c>
      <c r="W1273" s="0" t="n">
        <v>2030</v>
      </c>
      <c r="X1273" s="0" t="n">
        <v>1865.622</v>
      </c>
    </row>
    <row r="1274" customFormat="false" ht="15" hidden="false" customHeight="false" outlineLevel="0" collapsed="false">
      <c r="A1274" s="0" t="n">
        <v>2029</v>
      </c>
      <c r="B1274" s="0" t="n">
        <v>9.463927774</v>
      </c>
      <c r="C1274" s="0" t="n">
        <v>198.7424832</v>
      </c>
      <c r="E1274" s="0" t="n">
        <v>2030</v>
      </c>
      <c r="F1274" s="0" t="n">
        <v>19.188988</v>
      </c>
      <c r="G1274" s="0" t="n">
        <v>402.621436</v>
      </c>
      <c r="I1274" s="0" t="n">
        <v>2027</v>
      </c>
      <c r="J1274" s="0" t="n">
        <v>17.6</v>
      </c>
      <c r="K1274" s="0" t="n">
        <v>368.64</v>
      </c>
      <c r="M1274" s="0" t="n">
        <v>2030</v>
      </c>
      <c r="N1274" s="0" t="n">
        <v>0.12</v>
      </c>
      <c r="O1274" s="0" t="n">
        <v>2.42</v>
      </c>
      <c r="Q1274" s="0" t="n">
        <v>2031</v>
      </c>
      <c r="R1274" s="0" t="n">
        <v>116</v>
      </c>
      <c r="W1274" s="0" t="n">
        <v>2030</v>
      </c>
      <c r="X1274" s="0" t="n">
        <v>1441.617</v>
      </c>
    </row>
    <row r="1275" customFormat="false" ht="15" hidden="false" customHeight="false" outlineLevel="0" collapsed="false">
      <c r="A1275" s="0" t="n">
        <v>2029</v>
      </c>
      <c r="B1275" s="0" t="n">
        <v>4.206190122</v>
      </c>
      <c r="C1275" s="0" t="n">
        <v>88.32999255</v>
      </c>
      <c r="E1275" s="0" t="n">
        <v>2030</v>
      </c>
      <c r="F1275" s="0" t="n">
        <v>179.88215</v>
      </c>
      <c r="G1275" s="0" t="n">
        <v>3775.983303</v>
      </c>
      <c r="I1275" s="0" t="n">
        <v>2027</v>
      </c>
      <c r="J1275" s="0" t="n">
        <v>7.7</v>
      </c>
      <c r="K1275" s="0" t="n">
        <v>161.28</v>
      </c>
      <c r="M1275" s="0" t="n">
        <v>2030</v>
      </c>
      <c r="N1275" s="0" t="n">
        <v>10.26</v>
      </c>
      <c r="O1275" s="0" t="n">
        <v>208.62</v>
      </c>
      <c r="Q1275" s="0" t="n">
        <v>2031</v>
      </c>
      <c r="R1275" s="0" t="n">
        <v>55</v>
      </c>
      <c r="W1275" s="0" t="n">
        <v>2030</v>
      </c>
      <c r="X1275" s="0" t="n">
        <v>182962.62</v>
      </c>
    </row>
    <row r="1276" customFormat="false" ht="15" hidden="false" customHeight="false" outlineLevel="0" collapsed="false">
      <c r="A1276" s="0" t="n">
        <v>2029</v>
      </c>
      <c r="B1276" s="0" t="n">
        <v>15.53589672</v>
      </c>
      <c r="C1276" s="0" t="n">
        <v>326.2538311</v>
      </c>
      <c r="E1276" s="0" t="n">
        <v>2030</v>
      </c>
      <c r="F1276" s="0" t="n">
        <v>48.30035</v>
      </c>
      <c r="G1276" s="0" t="n">
        <v>1013.893347</v>
      </c>
      <c r="I1276" s="0" t="n">
        <v>2027</v>
      </c>
      <c r="J1276" s="0" t="n">
        <v>4.4</v>
      </c>
      <c r="K1276" s="0" t="n">
        <v>92.16</v>
      </c>
      <c r="M1276" s="0" t="n">
        <v>2030</v>
      </c>
      <c r="N1276" s="0" t="n">
        <v>6.75</v>
      </c>
      <c r="O1276" s="0" t="n">
        <v>137.25</v>
      </c>
      <c r="Q1276" s="0" t="n">
        <v>2031</v>
      </c>
      <c r="R1276" s="0" t="n">
        <v>12</v>
      </c>
      <c r="W1276" s="0" t="n">
        <v>2030</v>
      </c>
      <c r="X1276" s="0" t="n">
        <v>45740.655</v>
      </c>
    </row>
    <row r="1277" customFormat="false" ht="15" hidden="false" customHeight="false" outlineLevel="0" collapsed="false">
      <c r="A1277" s="0" t="n">
        <v>2029</v>
      </c>
      <c r="B1277" s="0" t="n">
        <v>4.863278183</v>
      </c>
      <c r="C1277" s="0" t="n">
        <v>102.1288419</v>
      </c>
      <c r="E1277" s="0" t="n">
        <v>2030</v>
      </c>
      <c r="F1277" s="0" t="n">
        <v>19.33295</v>
      </c>
      <c r="G1277" s="0" t="n">
        <v>405.826239</v>
      </c>
      <c r="I1277" s="0" t="n">
        <v>2027</v>
      </c>
      <c r="J1277" s="0" t="n">
        <v>4.4</v>
      </c>
      <c r="K1277" s="0" t="n">
        <v>92.16</v>
      </c>
      <c r="M1277" s="0" t="n">
        <v>2030</v>
      </c>
      <c r="N1277" s="0" t="n">
        <v>2.7</v>
      </c>
      <c r="O1277" s="0" t="n">
        <v>54.9</v>
      </c>
      <c r="Q1277" s="0" t="n">
        <v>2031</v>
      </c>
      <c r="R1277" s="0" t="n">
        <v>12</v>
      </c>
      <c r="W1277" s="0" t="n">
        <v>2030</v>
      </c>
      <c r="X1277" s="0" t="n">
        <v>14164.848</v>
      </c>
    </row>
    <row r="1278" customFormat="false" ht="15" hidden="false" customHeight="false" outlineLevel="0" collapsed="false">
      <c r="A1278" s="0" t="n">
        <v>2029</v>
      </c>
      <c r="B1278" s="0" t="n">
        <v>10.87399282</v>
      </c>
      <c r="C1278" s="0" t="n">
        <v>228.3538492</v>
      </c>
      <c r="E1278" s="0" t="n">
        <v>2030</v>
      </c>
      <c r="F1278" s="0" t="n">
        <v>2.71565</v>
      </c>
      <c r="G1278" s="0" t="n">
        <v>57.005373</v>
      </c>
      <c r="I1278" s="0" t="n">
        <v>2027</v>
      </c>
      <c r="J1278" s="0" t="n">
        <v>2.2</v>
      </c>
      <c r="K1278" s="0" t="n">
        <v>46.08</v>
      </c>
      <c r="M1278" s="0" t="n">
        <v>2030</v>
      </c>
      <c r="N1278" s="0" t="n">
        <v>2.7</v>
      </c>
      <c r="O1278" s="0" t="n">
        <v>54.9</v>
      </c>
      <c r="Q1278" s="0" t="n">
        <v>2031</v>
      </c>
      <c r="R1278" s="0" t="n">
        <v>12</v>
      </c>
      <c r="W1278" s="0" t="n">
        <v>2030</v>
      </c>
      <c r="X1278" s="0" t="n">
        <v>25083.585</v>
      </c>
    </row>
    <row r="1279" customFormat="false" ht="15" hidden="false" customHeight="false" outlineLevel="0" collapsed="false">
      <c r="A1279" s="0" t="n">
        <v>2029</v>
      </c>
      <c r="B1279" s="0" t="n">
        <v>498.3155007</v>
      </c>
      <c r="C1279" s="0" t="n">
        <v>10464.62552</v>
      </c>
      <c r="E1279" s="0" t="n">
        <v>2030</v>
      </c>
      <c r="F1279" s="0" t="n">
        <v>64.91765</v>
      </c>
      <c r="G1279" s="0" t="n">
        <v>1362.714213</v>
      </c>
      <c r="I1279" s="0" t="n">
        <v>2027</v>
      </c>
      <c r="J1279" s="0" t="n">
        <v>2.2</v>
      </c>
      <c r="K1279" s="0" t="n">
        <v>46.08</v>
      </c>
      <c r="M1279" s="0" t="n">
        <v>2030</v>
      </c>
      <c r="N1279" s="0" t="n">
        <v>1.62</v>
      </c>
      <c r="O1279" s="0" t="n">
        <v>32.94</v>
      </c>
      <c r="Q1279" s="0" t="n">
        <v>2031</v>
      </c>
      <c r="R1279" s="0" t="n">
        <v>85</v>
      </c>
      <c r="W1279" s="0" t="n">
        <v>2030</v>
      </c>
      <c r="X1279" s="0" t="n">
        <v>11213.838</v>
      </c>
    </row>
    <row r="1280" customFormat="false" ht="15" hidden="false" customHeight="false" outlineLevel="0" collapsed="false">
      <c r="A1280" s="0" t="n">
        <v>2029</v>
      </c>
      <c r="B1280" s="0" t="n">
        <v>125.6899047</v>
      </c>
      <c r="C1280" s="0" t="n">
        <v>2639.487998</v>
      </c>
      <c r="E1280" s="0" t="n">
        <v>2030</v>
      </c>
      <c r="F1280" s="0" t="n">
        <v>3.03905</v>
      </c>
      <c r="G1280" s="0" t="n">
        <v>63.794001</v>
      </c>
      <c r="I1280" s="0" t="n">
        <v>2027</v>
      </c>
      <c r="J1280" s="0" t="n">
        <v>4.4</v>
      </c>
      <c r="K1280" s="0" t="n">
        <v>92.16</v>
      </c>
      <c r="M1280" s="0" t="n">
        <v>2030</v>
      </c>
      <c r="N1280" s="0" t="n">
        <v>1.35</v>
      </c>
      <c r="O1280" s="0" t="n">
        <v>27.45</v>
      </c>
      <c r="Q1280" s="0" t="n">
        <v>2031</v>
      </c>
      <c r="R1280" s="0" t="n">
        <v>81</v>
      </c>
      <c r="W1280" s="0" t="n">
        <v>2030</v>
      </c>
      <c r="X1280" s="0" t="n">
        <v>4426.515</v>
      </c>
    </row>
    <row r="1281" customFormat="false" ht="15" hidden="false" customHeight="false" outlineLevel="0" collapsed="false">
      <c r="A1281" s="0" t="n">
        <v>2029</v>
      </c>
      <c r="B1281" s="0" t="n">
        <v>112.0846715</v>
      </c>
      <c r="C1281" s="0" t="n">
        <v>2353.778102</v>
      </c>
      <c r="E1281" s="0" t="n">
        <v>2030</v>
      </c>
      <c r="F1281" s="0" t="n">
        <v>16.6173</v>
      </c>
      <c r="G1281" s="0" t="n">
        <v>348.820866</v>
      </c>
      <c r="I1281" s="0" t="n">
        <v>2027</v>
      </c>
      <c r="J1281" s="0" t="n">
        <v>7.7</v>
      </c>
      <c r="K1281" s="0" t="n">
        <v>161.28</v>
      </c>
      <c r="M1281" s="0" t="n">
        <v>2030</v>
      </c>
      <c r="N1281" s="0" t="n">
        <v>1.08</v>
      </c>
      <c r="O1281" s="0" t="n">
        <v>21.96</v>
      </c>
      <c r="Q1281" s="0" t="n">
        <v>2031</v>
      </c>
      <c r="R1281" s="0" t="n">
        <v>38</v>
      </c>
      <c r="W1281" s="0" t="n">
        <v>2030</v>
      </c>
      <c r="X1281" s="0" t="n">
        <v>6492.222</v>
      </c>
    </row>
    <row r="1282" customFormat="false" ht="15" hidden="false" customHeight="false" outlineLevel="0" collapsed="false">
      <c r="A1282" s="0" t="n">
        <v>2029</v>
      </c>
      <c r="B1282" s="0" t="n">
        <v>77.9482464</v>
      </c>
      <c r="C1282" s="0" t="n">
        <v>1636.913174</v>
      </c>
      <c r="E1282" s="0" t="n">
        <v>2030</v>
      </c>
      <c r="F1282" s="0" t="n">
        <v>15.1949</v>
      </c>
      <c r="G1282" s="0" t="n">
        <v>318.962658</v>
      </c>
      <c r="I1282" s="0" t="n">
        <v>2027</v>
      </c>
      <c r="J1282" s="0" t="n">
        <v>3.3</v>
      </c>
      <c r="K1282" s="0" t="n">
        <v>69.12</v>
      </c>
      <c r="M1282" s="0" t="n">
        <v>2030</v>
      </c>
      <c r="N1282" s="0" t="n">
        <v>0.54</v>
      </c>
      <c r="O1282" s="0" t="n">
        <v>10.98</v>
      </c>
      <c r="Q1282" s="0" t="n">
        <v>2031</v>
      </c>
      <c r="R1282" s="0" t="n">
        <v>9</v>
      </c>
      <c r="W1282" s="0" t="n">
        <v>2030</v>
      </c>
      <c r="X1282" s="0" t="n">
        <v>5016.717</v>
      </c>
    </row>
    <row r="1283" customFormat="false" ht="15" hidden="false" customHeight="false" outlineLevel="0" collapsed="false">
      <c r="A1283" s="0" t="n">
        <v>2029</v>
      </c>
      <c r="B1283" s="0" t="n">
        <v>57.98051164</v>
      </c>
      <c r="C1283" s="0" t="n">
        <v>1217.590744</v>
      </c>
      <c r="E1283" s="0" t="n">
        <v>2030</v>
      </c>
      <c r="F1283" s="0" t="n">
        <v>264.169786</v>
      </c>
      <c r="G1283" s="0" t="n">
        <v>5542.939965</v>
      </c>
      <c r="I1283" s="0" t="n">
        <v>2027</v>
      </c>
      <c r="J1283" s="0" t="n">
        <v>3.3</v>
      </c>
      <c r="K1283" s="0" t="n">
        <v>69.12</v>
      </c>
      <c r="M1283" s="0" t="n">
        <v>2030</v>
      </c>
      <c r="N1283" s="0" t="n">
        <v>34.58</v>
      </c>
      <c r="O1283" s="0" t="n">
        <v>725.8</v>
      </c>
      <c r="Q1283" s="0" t="n">
        <v>2031</v>
      </c>
      <c r="R1283" s="0" t="n">
        <v>8</v>
      </c>
      <c r="W1283" s="0" t="n">
        <v>2030</v>
      </c>
      <c r="X1283" s="0" t="n">
        <v>5222.26</v>
      </c>
    </row>
    <row r="1284" customFormat="false" ht="15" hidden="false" customHeight="false" outlineLevel="0" collapsed="false">
      <c r="A1284" s="0" t="n">
        <v>2029</v>
      </c>
      <c r="B1284" s="0" t="n">
        <v>25.76911628</v>
      </c>
      <c r="C1284" s="0" t="n">
        <v>541.1514419</v>
      </c>
      <c r="E1284" s="0" t="n">
        <v>2030</v>
      </c>
      <c r="F1284" s="0" t="n">
        <v>70.932514</v>
      </c>
      <c r="G1284" s="0" t="n">
        <v>1488.340785</v>
      </c>
      <c r="I1284" s="0" t="n">
        <v>2027</v>
      </c>
      <c r="J1284" s="0" t="n">
        <v>12.48</v>
      </c>
      <c r="K1284" s="0" t="n">
        <v>265.72</v>
      </c>
      <c r="M1284" s="0" t="n">
        <v>2030</v>
      </c>
      <c r="N1284" s="0" t="n">
        <v>22.75</v>
      </c>
      <c r="O1284" s="0" t="n">
        <v>477.5</v>
      </c>
      <c r="Q1284" s="0" t="n">
        <v>2031</v>
      </c>
      <c r="R1284" s="0" t="n">
        <v>8</v>
      </c>
      <c r="W1284" s="0" t="n">
        <v>2030</v>
      </c>
      <c r="X1284" s="0" t="n">
        <v>1305.565</v>
      </c>
    </row>
    <row r="1285" customFormat="false" ht="15" hidden="false" customHeight="false" outlineLevel="0" collapsed="false">
      <c r="A1285" s="0" t="n">
        <v>2029</v>
      </c>
      <c r="B1285" s="0" t="n">
        <v>95.18027419</v>
      </c>
      <c r="C1285" s="0" t="n">
        <v>1998.785758</v>
      </c>
      <c r="E1285" s="0" t="n">
        <v>2030</v>
      </c>
      <c r="F1285" s="0" t="n">
        <v>28.391818</v>
      </c>
      <c r="G1285" s="0" t="n">
        <v>595.731045</v>
      </c>
      <c r="I1285" s="0" t="n">
        <v>2027</v>
      </c>
      <c r="J1285" s="0" t="n">
        <v>1.92</v>
      </c>
      <c r="K1285" s="0" t="n">
        <v>40.88</v>
      </c>
      <c r="M1285" s="0" t="n">
        <v>2030</v>
      </c>
      <c r="N1285" s="0" t="n">
        <v>9.1</v>
      </c>
      <c r="O1285" s="0" t="n">
        <v>191</v>
      </c>
      <c r="Q1285" s="0" t="n">
        <v>2031</v>
      </c>
      <c r="R1285" s="0" t="n">
        <v>182</v>
      </c>
      <c r="W1285" s="0" t="n">
        <v>2030</v>
      </c>
      <c r="X1285" s="0" t="n">
        <v>404.304</v>
      </c>
    </row>
    <row r="1286" customFormat="false" ht="15" hidden="false" customHeight="false" outlineLevel="0" collapsed="false">
      <c r="A1286" s="0" t="n">
        <v>2029</v>
      </c>
      <c r="B1286" s="0" t="n">
        <v>29.7947495</v>
      </c>
      <c r="C1286" s="0" t="n">
        <v>625.6897395</v>
      </c>
      <c r="E1286" s="0" t="n">
        <v>2030</v>
      </c>
      <c r="F1286" s="0" t="n">
        <v>3.988126</v>
      </c>
      <c r="G1286" s="0" t="n">
        <v>83.680815</v>
      </c>
      <c r="I1286" s="0" t="n">
        <v>2027</v>
      </c>
      <c r="J1286" s="0" t="n">
        <v>1.44</v>
      </c>
      <c r="K1286" s="0" t="n">
        <v>30.66</v>
      </c>
      <c r="M1286" s="0" t="n">
        <v>2030</v>
      </c>
      <c r="N1286" s="0" t="n">
        <v>9.1</v>
      </c>
      <c r="O1286" s="0" t="n">
        <v>191</v>
      </c>
      <c r="Q1286" s="0" t="n">
        <v>2031</v>
      </c>
      <c r="R1286" s="0" t="n">
        <v>173</v>
      </c>
      <c r="W1286" s="0" t="n">
        <v>2030</v>
      </c>
      <c r="X1286" s="0" t="n">
        <v>715.955</v>
      </c>
    </row>
    <row r="1287" customFormat="false" ht="15" hidden="false" customHeight="false" outlineLevel="0" collapsed="false">
      <c r="A1287" s="0" t="n">
        <v>2029</v>
      </c>
      <c r="B1287" s="0" t="n">
        <v>66.6192391</v>
      </c>
      <c r="C1287" s="0" t="n">
        <v>1399.004021</v>
      </c>
      <c r="E1287" s="0" t="n">
        <v>2030</v>
      </c>
      <c r="F1287" s="0" t="n">
        <v>95.336206</v>
      </c>
      <c r="G1287" s="0" t="n">
        <v>2000.391015</v>
      </c>
      <c r="I1287" s="0" t="n">
        <v>2027</v>
      </c>
      <c r="J1287" s="0" t="n">
        <v>2.4</v>
      </c>
      <c r="K1287" s="0" t="n">
        <v>51.1</v>
      </c>
      <c r="M1287" s="0" t="n">
        <v>2030</v>
      </c>
      <c r="N1287" s="0" t="n">
        <v>5.46</v>
      </c>
      <c r="O1287" s="0" t="n">
        <v>114.6</v>
      </c>
      <c r="Q1287" s="0" t="n">
        <v>2031</v>
      </c>
      <c r="R1287" s="0" t="n">
        <v>82</v>
      </c>
      <c r="W1287" s="0" t="n">
        <v>2030</v>
      </c>
      <c r="X1287" s="0" t="n">
        <v>320.074</v>
      </c>
    </row>
    <row r="1288" customFormat="false" ht="15" hidden="false" customHeight="false" outlineLevel="0" collapsed="false">
      <c r="A1288" s="0" t="n">
        <v>2029</v>
      </c>
      <c r="B1288" s="0" t="n">
        <v>219.9485414</v>
      </c>
      <c r="C1288" s="0" t="n">
        <v>4618.91937</v>
      </c>
      <c r="E1288" s="0" t="n">
        <v>2030</v>
      </c>
      <c r="F1288" s="0" t="n">
        <v>4.463062</v>
      </c>
      <c r="G1288" s="0" t="n">
        <v>93.646155</v>
      </c>
      <c r="I1288" s="0" t="n">
        <v>2027</v>
      </c>
      <c r="J1288" s="0" t="n">
        <v>0.48</v>
      </c>
      <c r="K1288" s="0" t="n">
        <v>10.22</v>
      </c>
      <c r="M1288" s="0" t="n">
        <v>2030</v>
      </c>
      <c r="N1288" s="0" t="n">
        <v>4.55</v>
      </c>
      <c r="O1288" s="0" t="n">
        <v>95.5</v>
      </c>
      <c r="Q1288" s="0" t="n">
        <v>2031</v>
      </c>
      <c r="R1288" s="0" t="n">
        <v>18</v>
      </c>
      <c r="W1288" s="0" t="n">
        <v>2030</v>
      </c>
      <c r="X1288" s="0" t="n">
        <v>126.345</v>
      </c>
    </row>
    <row r="1289" customFormat="false" ht="15" hidden="false" customHeight="false" outlineLevel="0" collapsed="false">
      <c r="A1289" s="0" t="n">
        <v>2029</v>
      </c>
      <c r="B1289" s="0" t="n">
        <v>55.47752611</v>
      </c>
      <c r="C1289" s="0" t="n">
        <v>1165.028048</v>
      </c>
      <c r="E1289" s="0" t="n">
        <v>2030</v>
      </c>
      <c r="F1289" s="0" t="n">
        <v>24.403692</v>
      </c>
      <c r="G1289" s="0" t="n">
        <v>512.05023</v>
      </c>
      <c r="I1289" s="0" t="n">
        <v>2027</v>
      </c>
      <c r="J1289" s="0" t="n">
        <v>0.48</v>
      </c>
      <c r="K1289" s="0" t="n">
        <v>10.22</v>
      </c>
      <c r="M1289" s="0" t="n">
        <v>2030</v>
      </c>
      <c r="N1289" s="0" t="n">
        <v>3.64</v>
      </c>
      <c r="O1289" s="0" t="n">
        <v>76.4</v>
      </c>
      <c r="Q1289" s="0" t="n">
        <v>2031</v>
      </c>
      <c r="R1289" s="0" t="n">
        <v>19</v>
      </c>
      <c r="W1289" s="0" t="n">
        <v>2030</v>
      </c>
      <c r="X1289" s="0" t="n">
        <v>185.306</v>
      </c>
    </row>
    <row r="1290" customFormat="false" ht="15" hidden="false" customHeight="false" outlineLevel="0" collapsed="false">
      <c r="A1290" s="0" t="n">
        <v>2029</v>
      </c>
      <c r="B1290" s="0" t="n">
        <v>49.47239245</v>
      </c>
      <c r="C1290" s="0" t="n">
        <v>1038.920241</v>
      </c>
      <c r="E1290" s="0" t="n">
        <v>2030</v>
      </c>
      <c r="F1290" s="0" t="n">
        <v>22.314796</v>
      </c>
      <c r="G1290" s="0" t="n">
        <v>468.21999</v>
      </c>
      <c r="I1290" s="0" t="n">
        <v>2027</v>
      </c>
      <c r="J1290" s="0" t="n">
        <v>0</v>
      </c>
      <c r="K1290" s="0" t="n">
        <v>0</v>
      </c>
      <c r="M1290" s="0" t="n">
        <v>2030</v>
      </c>
      <c r="N1290" s="0" t="n">
        <v>1.82</v>
      </c>
      <c r="O1290" s="0" t="n">
        <v>38.2</v>
      </c>
      <c r="Q1290" s="0" t="n">
        <v>2031</v>
      </c>
      <c r="R1290" s="0" t="n">
        <v>19</v>
      </c>
      <c r="W1290" s="0" t="n">
        <v>2030</v>
      </c>
      <c r="X1290" s="0" t="n">
        <v>143.191</v>
      </c>
    </row>
    <row r="1291" customFormat="false" ht="15" hidden="false" customHeight="false" outlineLevel="0" collapsed="false">
      <c r="A1291" s="0" t="n">
        <v>2029</v>
      </c>
      <c r="B1291" s="0" t="n">
        <v>34.405117</v>
      </c>
      <c r="C1291" s="0" t="n">
        <v>722.5074569</v>
      </c>
      <c r="E1291" s="0" t="n">
        <v>2030</v>
      </c>
      <c r="F1291" s="0" t="n">
        <v>746.767897</v>
      </c>
      <c r="G1291" s="0" t="n">
        <v>15680.58399</v>
      </c>
      <c r="I1291" s="0" t="n">
        <v>2027</v>
      </c>
      <c r="J1291" s="0" t="n">
        <v>0.96</v>
      </c>
      <c r="K1291" s="0" t="n">
        <v>20.44</v>
      </c>
      <c r="M1291" s="0" t="n">
        <v>2030</v>
      </c>
      <c r="N1291" s="0" t="n">
        <v>1480.48</v>
      </c>
      <c r="O1291" s="0" t="n">
        <v>31088.56</v>
      </c>
      <c r="Q1291" s="0" t="n">
        <v>2031</v>
      </c>
      <c r="R1291" s="0" t="n">
        <v>643</v>
      </c>
      <c r="W1291" s="0" t="n">
        <v>2030</v>
      </c>
      <c r="X1291" s="0" t="n">
        <v>7672.5</v>
      </c>
    </row>
    <row r="1292" customFormat="false" ht="15" hidden="false" customHeight="false" outlineLevel="0" collapsed="false">
      <c r="A1292" s="0" t="n">
        <v>2029</v>
      </c>
      <c r="B1292" s="0" t="n">
        <v>25.59167625</v>
      </c>
      <c r="C1292" s="0" t="n">
        <v>537.4252013</v>
      </c>
      <c r="E1292" s="0" t="n">
        <v>2030</v>
      </c>
      <c r="F1292" s="0" t="n">
        <v>200.515453</v>
      </c>
      <c r="G1292" s="0" t="n">
        <v>4210.41051</v>
      </c>
      <c r="I1292" s="0" t="n">
        <v>2027</v>
      </c>
      <c r="J1292" s="0" t="n">
        <v>1.68</v>
      </c>
      <c r="K1292" s="0" t="n">
        <v>35.77</v>
      </c>
      <c r="M1292" s="0" t="n">
        <v>2030</v>
      </c>
      <c r="N1292" s="0" t="n">
        <v>974</v>
      </c>
      <c r="O1292" s="0" t="n">
        <v>20453</v>
      </c>
      <c r="Q1292" s="0" t="n">
        <v>2031</v>
      </c>
      <c r="R1292" s="0" t="n">
        <v>611</v>
      </c>
      <c r="W1292" s="0" t="n">
        <v>2030</v>
      </c>
      <c r="X1292" s="0" t="n">
        <v>1918.125</v>
      </c>
    </row>
    <row r="1293" customFormat="false" ht="15" hidden="false" customHeight="false" outlineLevel="0" collapsed="false">
      <c r="A1293" s="0" t="n">
        <v>2029</v>
      </c>
      <c r="B1293" s="0" t="n">
        <v>11.37407833</v>
      </c>
      <c r="C1293" s="0" t="n">
        <v>238.855645</v>
      </c>
      <c r="E1293" s="0" t="n">
        <v>2030</v>
      </c>
      <c r="F1293" s="0" t="n">
        <v>80.259361</v>
      </c>
      <c r="G1293" s="0" t="n">
        <v>1685.28087</v>
      </c>
      <c r="I1293" s="0" t="n">
        <v>2027</v>
      </c>
      <c r="J1293" s="0" t="n">
        <v>0.48</v>
      </c>
      <c r="K1293" s="0" t="n">
        <v>10.22</v>
      </c>
      <c r="M1293" s="0" t="n">
        <v>2030</v>
      </c>
      <c r="N1293" s="0" t="n">
        <v>389.6</v>
      </c>
      <c r="O1293" s="0" t="n">
        <v>8181.2</v>
      </c>
      <c r="Q1293" s="0" t="n">
        <v>2031</v>
      </c>
      <c r="R1293" s="0" t="n">
        <v>289</v>
      </c>
      <c r="W1293" s="0" t="n">
        <v>2030</v>
      </c>
      <c r="X1293" s="0" t="n">
        <v>594</v>
      </c>
    </row>
    <row r="1294" customFormat="false" ht="15" hidden="false" customHeight="false" outlineLevel="0" collapsed="false">
      <c r="A1294" s="0" t="n">
        <v>2029</v>
      </c>
      <c r="B1294" s="0" t="n">
        <v>42.01106016</v>
      </c>
      <c r="C1294" s="0" t="n">
        <v>882.2322634</v>
      </c>
      <c r="E1294" s="0" t="n">
        <v>2030</v>
      </c>
      <c r="F1294" s="0" t="n">
        <v>11.273827</v>
      </c>
      <c r="G1294" s="0" t="n">
        <v>236.72709</v>
      </c>
      <c r="I1294" s="0" t="n">
        <v>2027</v>
      </c>
      <c r="J1294" s="0" t="n">
        <v>1.68</v>
      </c>
      <c r="K1294" s="0" t="n">
        <v>35.77</v>
      </c>
      <c r="M1294" s="0" t="n">
        <v>2030</v>
      </c>
      <c r="N1294" s="0" t="n">
        <v>389.6</v>
      </c>
      <c r="O1294" s="0" t="n">
        <v>8181.2</v>
      </c>
      <c r="Q1294" s="0" t="n">
        <v>2031</v>
      </c>
      <c r="R1294" s="0" t="n">
        <v>64</v>
      </c>
      <c r="W1294" s="0" t="n">
        <v>2030</v>
      </c>
      <c r="X1294" s="0" t="n">
        <v>1051.875</v>
      </c>
    </row>
    <row r="1295" customFormat="false" ht="15" hidden="false" customHeight="false" outlineLevel="0" collapsed="false">
      <c r="A1295" s="0" t="n">
        <v>2029</v>
      </c>
      <c r="B1295" s="0" t="n">
        <v>13.15092885</v>
      </c>
      <c r="C1295" s="0" t="n">
        <v>276.1695058</v>
      </c>
      <c r="E1295" s="0" t="n">
        <v>2030</v>
      </c>
      <c r="F1295" s="0" t="n">
        <v>269.500987</v>
      </c>
      <c r="G1295" s="0" t="n">
        <v>5658.96429</v>
      </c>
      <c r="I1295" s="0" t="n">
        <v>2027</v>
      </c>
      <c r="J1295" s="0" t="n">
        <v>75.84</v>
      </c>
      <c r="K1295" s="0" t="n">
        <v>1591.2</v>
      </c>
      <c r="M1295" s="0" t="n">
        <v>2030</v>
      </c>
      <c r="N1295" s="0" t="n">
        <v>233.76</v>
      </c>
      <c r="O1295" s="0" t="n">
        <v>4908.72</v>
      </c>
      <c r="Q1295" s="0" t="n">
        <v>2031</v>
      </c>
      <c r="R1295" s="0" t="n">
        <v>59</v>
      </c>
      <c r="W1295" s="0" t="n">
        <v>2030</v>
      </c>
      <c r="X1295" s="0" t="n">
        <v>470.25</v>
      </c>
    </row>
    <row r="1296" customFormat="false" ht="15" hidden="false" customHeight="false" outlineLevel="0" collapsed="false">
      <c r="A1296" s="0" t="n">
        <v>2029</v>
      </c>
      <c r="B1296" s="0" t="n">
        <v>29.40467324</v>
      </c>
      <c r="C1296" s="0" t="n">
        <v>617.4981381</v>
      </c>
      <c r="E1296" s="0" t="n">
        <v>2030</v>
      </c>
      <c r="F1296" s="0" t="n">
        <v>12.616399</v>
      </c>
      <c r="G1296" s="0" t="n">
        <v>264.91833</v>
      </c>
      <c r="I1296" s="0" t="n">
        <v>2027</v>
      </c>
      <c r="J1296" s="0" t="n">
        <v>25.28</v>
      </c>
      <c r="K1296" s="0" t="n">
        <v>530.4</v>
      </c>
      <c r="M1296" s="0" t="n">
        <v>2030</v>
      </c>
      <c r="N1296" s="0" t="n">
        <v>194.8</v>
      </c>
      <c r="O1296" s="0" t="n">
        <v>4090.6</v>
      </c>
      <c r="Q1296" s="0" t="n">
        <v>2031</v>
      </c>
      <c r="R1296" s="0" t="n">
        <v>59</v>
      </c>
      <c r="W1296" s="0" t="n">
        <v>2030</v>
      </c>
      <c r="X1296" s="0" t="n">
        <v>185.625</v>
      </c>
    </row>
    <row r="1297" customFormat="false" ht="15" hidden="false" customHeight="false" outlineLevel="0" collapsed="false">
      <c r="A1297" s="0" t="n">
        <v>2029</v>
      </c>
      <c r="B1297" s="0" t="n">
        <v>97.78155804</v>
      </c>
      <c r="C1297" s="0" t="n">
        <v>2053.412719</v>
      </c>
      <c r="E1297" s="0" t="n">
        <v>2030</v>
      </c>
      <c r="F1297" s="0" t="n">
        <v>68.985534</v>
      </c>
      <c r="G1297" s="0" t="n">
        <v>1448.55378</v>
      </c>
      <c r="I1297" s="0" t="n">
        <v>2027</v>
      </c>
      <c r="J1297" s="0" t="n">
        <v>11.06</v>
      </c>
      <c r="K1297" s="0" t="n">
        <v>232.05</v>
      </c>
      <c r="M1297" s="0" t="n">
        <v>2030</v>
      </c>
      <c r="N1297" s="0" t="n">
        <v>155.84</v>
      </c>
      <c r="O1297" s="0" t="n">
        <v>3272.48</v>
      </c>
      <c r="Q1297" s="0" t="n">
        <v>2031</v>
      </c>
      <c r="R1297" s="0" t="n">
        <v>115</v>
      </c>
      <c r="W1297" s="0" t="n">
        <v>2030</v>
      </c>
      <c r="X1297" s="0" t="n">
        <v>272.25</v>
      </c>
    </row>
    <row r="1298" customFormat="false" ht="15" hidden="false" customHeight="false" outlineLevel="0" collapsed="false">
      <c r="A1298" s="0" t="n">
        <v>2029</v>
      </c>
      <c r="B1298" s="0" t="n">
        <v>24.66340038</v>
      </c>
      <c r="C1298" s="0" t="n">
        <v>517.9314079</v>
      </c>
      <c r="E1298" s="0" t="n">
        <v>2030</v>
      </c>
      <c r="F1298" s="0" t="n">
        <v>63.080542</v>
      </c>
      <c r="G1298" s="0" t="n">
        <v>1324.56114</v>
      </c>
      <c r="I1298" s="0" t="n">
        <v>2027</v>
      </c>
      <c r="J1298" s="0" t="n">
        <v>6.32</v>
      </c>
      <c r="K1298" s="0" t="n">
        <v>132.6</v>
      </c>
      <c r="M1298" s="0" t="n">
        <v>2030</v>
      </c>
      <c r="N1298" s="0" t="n">
        <v>77.92</v>
      </c>
      <c r="O1298" s="0" t="n">
        <v>1636.24</v>
      </c>
      <c r="Q1298" s="0" t="n">
        <v>2031</v>
      </c>
      <c r="R1298" s="0" t="n">
        <v>109</v>
      </c>
      <c r="W1298" s="0" t="n">
        <v>2030</v>
      </c>
      <c r="X1298" s="0" t="n">
        <v>210.375</v>
      </c>
    </row>
    <row r="1299" customFormat="false" ht="15" hidden="false" customHeight="false" outlineLevel="0" collapsed="false">
      <c r="A1299" s="0" t="n">
        <v>2029</v>
      </c>
      <c r="B1299" s="0" t="n">
        <v>21.99372445</v>
      </c>
      <c r="C1299" s="0" t="n">
        <v>461.8682135</v>
      </c>
      <c r="E1299" s="0" t="n">
        <v>2030</v>
      </c>
      <c r="F1299" s="0" t="n">
        <v>236.41654</v>
      </c>
      <c r="G1299" s="0" t="n">
        <v>4957.038105</v>
      </c>
      <c r="I1299" s="0" t="n">
        <v>2027</v>
      </c>
      <c r="J1299" s="0" t="n">
        <v>6.32</v>
      </c>
      <c r="K1299" s="0" t="n">
        <v>132.6</v>
      </c>
      <c r="M1299" s="0" t="n">
        <v>2030</v>
      </c>
      <c r="N1299" s="0" t="n">
        <v>215.08</v>
      </c>
      <c r="O1299" s="0" t="n">
        <v>4511.36</v>
      </c>
      <c r="Q1299" s="0" t="n">
        <v>2031</v>
      </c>
      <c r="R1299" s="0" t="n">
        <v>52</v>
      </c>
      <c r="W1299" s="0" t="n">
        <v>2030</v>
      </c>
      <c r="X1299" s="0" t="n">
        <v>7565.86</v>
      </c>
    </row>
    <row r="1300" customFormat="false" ht="15" hidden="false" customHeight="false" outlineLevel="0" collapsed="false">
      <c r="A1300" s="0" t="n">
        <v>2029</v>
      </c>
      <c r="B1300" s="0" t="n">
        <v>15.29533191</v>
      </c>
      <c r="C1300" s="0" t="n">
        <v>321.2019701</v>
      </c>
      <c r="E1300" s="0" t="n">
        <v>2030</v>
      </c>
      <c r="F1300" s="0" t="n">
        <v>63.48046</v>
      </c>
      <c r="G1300" s="0" t="n">
        <v>1331.019645</v>
      </c>
      <c r="I1300" s="0" t="n">
        <v>2027</v>
      </c>
      <c r="J1300" s="0" t="n">
        <v>3.16</v>
      </c>
      <c r="K1300" s="0" t="n">
        <v>66.3</v>
      </c>
      <c r="M1300" s="0" t="n">
        <v>2030</v>
      </c>
      <c r="N1300" s="0" t="n">
        <v>141.5</v>
      </c>
      <c r="O1300" s="0" t="n">
        <v>2968</v>
      </c>
      <c r="Q1300" s="0" t="n">
        <v>2031</v>
      </c>
      <c r="R1300" s="0" t="n">
        <v>12</v>
      </c>
      <c r="W1300" s="0" t="n">
        <v>2030</v>
      </c>
      <c r="X1300" s="0" t="n">
        <v>1891.465</v>
      </c>
    </row>
    <row r="1301" customFormat="false" ht="15" hidden="false" customHeight="false" outlineLevel="0" collapsed="false">
      <c r="A1301" s="0" t="n">
        <v>2029</v>
      </c>
      <c r="B1301" s="0" t="n">
        <v>11.37717923</v>
      </c>
      <c r="C1301" s="0" t="n">
        <v>238.9207638</v>
      </c>
      <c r="E1301" s="0" t="n">
        <v>2030</v>
      </c>
      <c r="F1301" s="0" t="n">
        <v>25.40902</v>
      </c>
      <c r="G1301" s="0" t="n">
        <v>532.760865</v>
      </c>
      <c r="I1301" s="0" t="n">
        <v>2027</v>
      </c>
      <c r="J1301" s="0" t="n">
        <v>3.16</v>
      </c>
      <c r="K1301" s="0" t="n">
        <v>66.3</v>
      </c>
      <c r="M1301" s="0" t="n">
        <v>2030</v>
      </c>
      <c r="N1301" s="0" t="n">
        <v>56.6</v>
      </c>
      <c r="O1301" s="0" t="n">
        <v>1187.2</v>
      </c>
      <c r="Q1301" s="0" t="n">
        <v>2031</v>
      </c>
      <c r="R1301" s="0" t="n">
        <v>11</v>
      </c>
      <c r="W1301" s="0" t="n">
        <v>2030</v>
      </c>
      <c r="X1301" s="0" t="n">
        <v>585.744</v>
      </c>
    </row>
    <row r="1302" customFormat="false" ht="15" hidden="false" customHeight="false" outlineLevel="0" collapsed="false">
      <c r="A1302" s="0" t="n">
        <v>2029</v>
      </c>
      <c r="B1302" s="0" t="n">
        <v>5.056524101</v>
      </c>
      <c r="C1302" s="0" t="n">
        <v>106.1870061</v>
      </c>
      <c r="E1302" s="0" t="n">
        <v>2030</v>
      </c>
      <c r="F1302" s="0" t="n">
        <v>3.56914</v>
      </c>
      <c r="G1302" s="0" t="n">
        <v>74.835555</v>
      </c>
      <c r="I1302" s="0" t="n">
        <v>2027</v>
      </c>
      <c r="J1302" s="0" t="n">
        <v>6.32</v>
      </c>
      <c r="K1302" s="0" t="n">
        <v>132.6</v>
      </c>
      <c r="M1302" s="0" t="n">
        <v>2030</v>
      </c>
      <c r="N1302" s="0" t="n">
        <v>56.6</v>
      </c>
      <c r="O1302" s="0" t="n">
        <v>1187.2</v>
      </c>
      <c r="Q1302" s="0" t="n">
        <v>2031</v>
      </c>
      <c r="R1302" s="0" t="n">
        <v>11</v>
      </c>
      <c r="W1302" s="0" t="n">
        <v>2030</v>
      </c>
      <c r="X1302" s="0" t="n">
        <v>1037.255</v>
      </c>
    </row>
    <row r="1303" customFormat="false" ht="15" hidden="false" customHeight="false" outlineLevel="0" collapsed="false">
      <c r="A1303" s="0" t="n">
        <v>2029</v>
      </c>
      <c r="B1303" s="0" t="n">
        <v>18.67667269</v>
      </c>
      <c r="C1303" s="0" t="n">
        <v>392.2101265</v>
      </c>
      <c r="E1303" s="0" t="n">
        <v>2030</v>
      </c>
      <c r="F1303" s="0" t="n">
        <v>85.32034</v>
      </c>
      <c r="G1303" s="0" t="n">
        <v>1788.944955</v>
      </c>
      <c r="I1303" s="0" t="n">
        <v>2027</v>
      </c>
      <c r="J1303" s="0" t="n">
        <v>11.06</v>
      </c>
      <c r="K1303" s="0" t="n">
        <v>232.05</v>
      </c>
      <c r="M1303" s="0" t="n">
        <v>2030</v>
      </c>
      <c r="N1303" s="0" t="n">
        <v>33.96</v>
      </c>
      <c r="O1303" s="0" t="n">
        <v>712.32</v>
      </c>
      <c r="Q1303" s="0" t="n">
        <v>2031</v>
      </c>
      <c r="R1303" s="0" t="n">
        <v>115</v>
      </c>
      <c r="W1303" s="0" t="n">
        <v>2030</v>
      </c>
      <c r="X1303" s="0" t="n">
        <v>463.714</v>
      </c>
    </row>
    <row r="1304" customFormat="false" ht="15" hidden="false" customHeight="false" outlineLevel="0" collapsed="false">
      <c r="A1304" s="0" t="n">
        <v>2029</v>
      </c>
      <c r="B1304" s="0" t="n">
        <v>5.846450739</v>
      </c>
      <c r="C1304" s="0" t="n">
        <v>122.7754655</v>
      </c>
      <c r="E1304" s="0" t="n">
        <v>2030</v>
      </c>
      <c r="F1304" s="0" t="n">
        <v>3.99418</v>
      </c>
      <c r="G1304" s="0" t="n">
        <v>83.747535</v>
      </c>
      <c r="I1304" s="0" t="n">
        <v>2027</v>
      </c>
      <c r="J1304" s="0" t="n">
        <v>4.74</v>
      </c>
      <c r="K1304" s="0" t="n">
        <v>99.45</v>
      </c>
      <c r="M1304" s="0" t="n">
        <v>2030</v>
      </c>
      <c r="N1304" s="0" t="n">
        <v>28.3</v>
      </c>
      <c r="O1304" s="0" t="n">
        <v>593.6</v>
      </c>
      <c r="Q1304" s="0" t="n">
        <v>2031</v>
      </c>
      <c r="R1304" s="0" t="n">
        <v>109</v>
      </c>
      <c r="W1304" s="0" t="n">
        <v>2030</v>
      </c>
      <c r="X1304" s="0" t="n">
        <v>183.045</v>
      </c>
    </row>
    <row r="1305" customFormat="false" ht="15" hidden="false" customHeight="false" outlineLevel="0" collapsed="false">
      <c r="A1305" s="0" t="n">
        <v>2029</v>
      </c>
      <c r="B1305" s="0" t="n">
        <v>13.07230657</v>
      </c>
      <c r="C1305" s="0" t="n">
        <v>274.518438</v>
      </c>
      <c r="E1305" s="0" t="n">
        <v>2030</v>
      </c>
      <c r="F1305" s="0" t="n">
        <v>21.83988</v>
      </c>
      <c r="G1305" s="0" t="n">
        <v>457.92531</v>
      </c>
      <c r="I1305" s="0" t="n">
        <v>2027</v>
      </c>
      <c r="J1305" s="0" t="n">
        <v>4.74</v>
      </c>
      <c r="K1305" s="0" t="n">
        <v>99.45</v>
      </c>
      <c r="M1305" s="0" t="n">
        <v>2030</v>
      </c>
      <c r="N1305" s="0" t="n">
        <v>22.64</v>
      </c>
      <c r="O1305" s="0" t="n">
        <v>474.88</v>
      </c>
      <c r="Q1305" s="0" t="n">
        <v>2031</v>
      </c>
      <c r="R1305" s="0" t="n">
        <v>52</v>
      </c>
      <c r="W1305" s="0" t="n">
        <v>2030</v>
      </c>
      <c r="X1305" s="0" t="n">
        <v>268.466</v>
      </c>
    </row>
    <row r="1306" customFormat="false" ht="15" hidden="false" customHeight="false" outlineLevel="0" collapsed="false">
      <c r="A1306" s="0" t="n">
        <v>2029</v>
      </c>
      <c r="B1306" s="0" t="n">
        <v>443.6814877</v>
      </c>
      <c r="C1306" s="0" t="n">
        <v>9317.311241</v>
      </c>
      <c r="E1306" s="0" t="n">
        <v>2030</v>
      </c>
      <c r="F1306" s="0" t="n">
        <v>19.97044</v>
      </c>
      <c r="G1306" s="0" t="n">
        <v>418.72803</v>
      </c>
      <c r="I1306" s="0" t="n">
        <v>2027</v>
      </c>
      <c r="J1306" s="0" t="n">
        <v>7.28</v>
      </c>
      <c r="K1306" s="0" t="n">
        <v>151.84</v>
      </c>
      <c r="M1306" s="0" t="n">
        <v>2030</v>
      </c>
      <c r="N1306" s="0" t="n">
        <v>11.32</v>
      </c>
      <c r="O1306" s="0" t="n">
        <v>237.44</v>
      </c>
      <c r="Q1306" s="0" t="n">
        <v>2031</v>
      </c>
      <c r="R1306" s="0" t="n">
        <v>12</v>
      </c>
      <c r="W1306" s="0" t="n">
        <v>2030</v>
      </c>
      <c r="X1306" s="0" t="n">
        <v>207.451</v>
      </c>
    </row>
    <row r="1307" customFormat="false" ht="15" hidden="false" customHeight="false" outlineLevel="0" collapsed="false">
      <c r="A1307" s="0" t="n">
        <v>2029</v>
      </c>
      <c r="B1307" s="0" t="n">
        <v>111.909591</v>
      </c>
      <c r="C1307" s="0" t="n">
        <v>2350.101411</v>
      </c>
      <c r="E1307" s="0" t="n">
        <v>2030</v>
      </c>
      <c r="F1307" s="0" t="n">
        <v>579.734472</v>
      </c>
      <c r="G1307" s="0" t="n">
        <v>12172.88207</v>
      </c>
      <c r="I1307" s="0" t="n">
        <v>2027</v>
      </c>
      <c r="J1307" s="0" t="n">
        <v>1.12</v>
      </c>
      <c r="K1307" s="0" t="n">
        <v>23.36</v>
      </c>
      <c r="M1307" s="0" t="n">
        <v>2030</v>
      </c>
      <c r="N1307" s="0" t="n">
        <v>261.44</v>
      </c>
      <c r="O1307" s="0" t="n">
        <v>5483.02</v>
      </c>
      <c r="Q1307" s="0" t="n">
        <v>2031</v>
      </c>
      <c r="R1307" s="0" t="n">
        <v>11</v>
      </c>
      <c r="W1307" s="0" t="n">
        <v>2030</v>
      </c>
      <c r="X1307" s="0" t="n">
        <v>69475.96</v>
      </c>
    </row>
    <row r="1308" customFormat="false" ht="15" hidden="false" customHeight="false" outlineLevel="0" collapsed="false">
      <c r="A1308" s="0" t="n">
        <v>2029</v>
      </c>
      <c r="B1308" s="0" t="n">
        <v>99.79600018</v>
      </c>
      <c r="C1308" s="0" t="n">
        <v>2095.716004</v>
      </c>
      <c r="E1308" s="0" t="n">
        <v>2030</v>
      </c>
      <c r="F1308" s="0" t="n">
        <v>155.665128</v>
      </c>
      <c r="G1308" s="0" t="n">
        <v>3268.553685</v>
      </c>
      <c r="I1308" s="0" t="n">
        <v>2027</v>
      </c>
      <c r="J1308" s="0" t="n">
        <v>0.84</v>
      </c>
      <c r="K1308" s="0" t="n">
        <v>17.52</v>
      </c>
      <c r="M1308" s="0" t="n">
        <v>2030</v>
      </c>
      <c r="N1308" s="0" t="n">
        <v>172</v>
      </c>
      <c r="O1308" s="0" t="n">
        <v>3607.25</v>
      </c>
      <c r="Q1308" s="0" t="n">
        <v>2031</v>
      </c>
      <c r="R1308" s="0" t="n">
        <v>11</v>
      </c>
      <c r="W1308" s="0" t="n">
        <v>2030</v>
      </c>
      <c r="X1308" s="0" t="n">
        <v>17368.99</v>
      </c>
    </row>
    <row r="1309" customFormat="false" ht="15" hidden="false" customHeight="false" outlineLevel="0" collapsed="false">
      <c r="A1309" s="0" t="n">
        <v>2029</v>
      </c>
      <c r="B1309" s="0" t="n">
        <v>69.40220377</v>
      </c>
      <c r="C1309" s="0" t="n">
        <v>1457.446279</v>
      </c>
      <c r="E1309" s="0" t="n">
        <v>2030</v>
      </c>
      <c r="F1309" s="0" t="n">
        <v>62.307336</v>
      </c>
      <c r="G1309" s="0" t="n">
        <v>1308.288345</v>
      </c>
      <c r="I1309" s="0" t="n">
        <v>2027</v>
      </c>
      <c r="J1309" s="0" t="n">
        <v>1.4</v>
      </c>
      <c r="K1309" s="0" t="n">
        <v>29.2</v>
      </c>
      <c r="M1309" s="0" t="n">
        <v>2030</v>
      </c>
      <c r="N1309" s="0" t="n">
        <v>68.8</v>
      </c>
      <c r="O1309" s="0" t="n">
        <v>1442.9</v>
      </c>
      <c r="Q1309" s="0" t="n">
        <v>2031</v>
      </c>
      <c r="R1309" s="0" t="n">
        <v>156</v>
      </c>
      <c r="W1309" s="0" t="n">
        <v>2030</v>
      </c>
      <c r="X1309" s="0" t="n">
        <v>5378.784</v>
      </c>
    </row>
    <row r="1310" customFormat="false" ht="15" hidden="false" customHeight="false" outlineLevel="0" collapsed="false">
      <c r="A1310" s="0" t="n">
        <v>2029</v>
      </c>
      <c r="B1310" s="0" t="n">
        <v>51.62367942</v>
      </c>
      <c r="C1310" s="0" t="n">
        <v>1084.097268</v>
      </c>
      <c r="E1310" s="0" t="n">
        <v>2030</v>
      </c>
      <c r="F1310" s="0" t="n">
        <v>8.752152</v>
      </c>
      <c r="G1310" s="0" t="n">
        <v>183.771915</v>
      </c>
      <c r="I1310" s="0" t="n">
        <v>2027</v>
      </c>
      <c r="J1310" s="0" t="n">
        <v>0.28</v>
      </c>
      <c r="K1310" s="0" t="n">
        <v>5.84</v>
      </c>
      <c r="M1310" s="0" t="n">
        <v>2030</v>
      </c>
      <c r="N1310" s="0" t="n">
        <v>68.8</v>
      </c>
      <c r="O1310" s="0" t="n">
        <v>1442.9</v>
      </c>
      <c r="Q1310" s="0" t="n">
        <v>2031</v>
      </c>
      <c r="R1310" s="0" t="n">
        <v>149</v>
      </c>
      <c r="W1310" s="0" t="n">
        <v>2030</v>
      </c>
      <c r="X1310" s="0" t="n">
        <v>9524.93</v>
      </c>
    </row>
    <row r="1311" customFormat="false" ht="15" hidden="false" customHeight="false" outlineLevel="0" collapsed="false">
      <c r="A1311" s="0" t="n">
        <v>2029</v>
      </c>
      <c r="B1311" s="0" t="n">
        <v>22.94385752</v>
      </c>
      <c r="C1311" s="0" t="n">
        <v>481.8210079</v>
      </c>
      <c r="E1311" s="0" t="n">
        <v>2030</v>
      </c>
      <c r="F1311" s="0" t="n">
        <v>209.220312</v>
      </c>
      <c r="G1311" s="0" t="n">
        <v>4393.070115</v>
      </c>
      <c r="I1311" s="0" t="n">
        <v>2027</v>
      </c>
      <c r="J1311" s="0" t="n">
        <v>0.28</v>
      </c>
      <c r="K1311" s="0" t="n">
        <v>5.84</v>
      </c>
      <c r="M1311" s="0" t="n">
        <v>2030</v>
      </c>
      <c r="N1311" s="0" t="n">
        <v>41.28</v>
      </c>
      <c r="O1311" s="0" t="n">
        <v>865.74</v>
      </c>
      <c r="Q1311" s="0" t="n">
        <v>2031</v>
      </c>
      <c r="R1311" s="0" t="n">
        <v>70</v>
      </c>
      <c r="W1311" s="0" t="n">
        <v>2030</v>
      </c>
      <c r="X1311" s="0" t="n">
        <v>4258.204</v>
      </c>
    </row>
    <row r="1312" customFormat="false" ht="15" hidden="false" customHeight="false" outlineLevel="0" collapsed="false">
      <c r="A1312" s="0" t="n">
        <v>2029</v>
      </c>
      <c r="B1312" s="0" t="n">
        <v>84.74495693</v>
      </c>
      <c r="C1312" s="0" t="n">
        <v>1779.644096</v>
      </c>
      <c r="E1312" s="0" t="n">
        <v>2030</v>
      </c>
      <c r="F1312" s="0" t="n">
        <v>9.794424</v>
      </c>
      <c r="G1312" s="0" t="n">
        <v>205.656855</v>
      </c>
      <c r="I1312" s="0" t="n">
        <v>2027</v>
      </c>
      <c r="J1312" s="0" t="n">
        <v>0</v>
      </c>
      <c r="K1312" s="0" t="n">
        <v>0</v>
      </c>
      <c r="M1312" s="0" t="n">
        <v>2030</v>
      </c>
      <c r="N1312" s="0" t="n">
        <v>34.4</v>
      </c>
      <c r="O1312" s="0" t="n">
        <v>721.45</v>
      </c>
      <c r="Q1312" s="0" t="n">
        <v>2031</v>
      </c>
      <c r="R1312" s="0" t="n">
        <v>16</v>
      </c>
      <c r="W1312" s="0" t="n">
        <v>2030</v>
      </c>
      <c r="X1312" s="0" t="n">
        <v>1680.87</v>
      </c>
    </row>
    <row r="1313" customFormat="false" ht="15" hidden="false" customHeight="false" outlineLevel="0" collapsed="false">
      <c r="A1313" s="0" t="n">
        <v>2029</v>
      </c>
      <c r="B1313" s="0" t="n">
        <v>26.5281308</v>
      </c>
      <c r="C1313" s="0" t="n">
        <v>557.0907468</v>
      </c>
      <c r="E1313" s="0" t="n">
        <v>2030</v>
      </c>
      <c r="F1313" s="0" t="n">
        <v>53.555184</v>
      </c>
      <c r="G1313" s="0" t="n">
        <v>1124.51643</v>
      </c>
      <c r="I1313" s="0" t="n">
        <v>2027</v>
      </c>
      <c r="J1313" s="0" t="n">
        <v>0.56</v>
      </c>
      <c r="K1313" s="0" t="n">
        <v>11.68</v>
      </c>
      <c r="M1313" s="0" t="n">
        <v>2030</v>
      </c>
      <c r="N1313" s="0" t="n">
        <v>27.52</v>
      </c>
      <c r="O1313" s="0" t="n">
        <v>577.16</v>
      </c>
      <c r="Q1313" s="0" t="n">
        <v>2031</v>
      </c>
      <c r="R1313" s="0" t="n">
        <v>13</v>
      </c>
      <c r="W1313" s="0" t="n">
        <v>2030</v>
      </c>
      <c r="X1313" s="0" t="n">
        <v>2465.276</v>
      </c>
    </row>
    <row r="1314" customFormat="false" ht="15" hidden="false" customHeight="false" outlineLevel="0" collapsed="false">
      <c r="A1314" s="0" t="n">
        <v>2029</v>
      </c>
      <c r="B1314" s="0" t="n">
        <v>59.31527931</v>
      </c>
      <c r="C1314" s="0" t="n">
        <v>1245.620865</v>
      </c>
      <c r="E1314" s="0" t="n">
        <v>2030</v>
      </c>
      <c r="F1314" s="0" t="n">
        <v>48.970992</v>
      </c>
      <c r="G1314" s="0" t="n">
        <v>1028.26059</v>
      </c>
      <c r="I1314" s="0" t="n">
        <v>2027</v>
      </c>
      <c r="J1314" s="0" t="n">
        <v>0.98</v>
      </c>
      <c r="K1314" s="0" t="n">
        <v>20.44</v>
      </c>
      <c r="M1314" s="0" t="n">
        <v>2030</v>
      </c>
      <c r="N1314" s="0" t="n">
        <v>13.76</v>
      </c>
      <c r="O1314" s="0" t="n">
        <v>288.58</v>
      </c>
      <c r="Q1314" s="0" t="n">
        <v>2031</v>
      </c>
      <c r="R1314" s="0" t="n">
        <v>13</v>
      </c>
      <c r="W1314" s="0" t="n">
        <v>2030</v>
      </c>
      <c r="X1314" s="0" t="n">
        <v>1904.986</v>
      </c>
    </row>
    <row r="1315" customFormat="false" ht="15" hidden="false" customHeight="false" outlineLevel="0" collapsed="false">
      <c r="A1315" s="0" t="n">
        <v>2030</v>
      </c>
      <c r="B1315" s="0" t="n">
        <v>209.4977356</v>
      </c>
      <c r="C1315" s="0" t="n">
        <v>4399.452448</v>
      </c>
      <c r="E1315" s="0" t="n">
        <v>2030</v>
      </c>
      <c r="F1315" s="0" t="n">
        <v>1611.230115</v>
      </c>
      <c r="G1315" s="0" t="n">
        <v>33829.15108</v>
      </c>
      <c r="I1315" s="0" t="n">
        <v>2027</v>
      </c>
      <c r="J1315" s="0" t="n">
        <v>0.28</v>
      </c>
      <c r="K1315" s="0" t="n">
        <v>5.84</v>
      </c>
      <c r="M1315" s="0" t="n">
        <v>2030</v>
      </c>
      <c r="N1315" s="0" t="n">
        <v>427.88</v>
      </c>
      <c r="O1315" s="0" t="n">
        <v>8979.78</v>
      </c>
      <c r="Q1315" s="0" t="n">
        <v>2032</v>
      </c>
      <c r="R1315" s="0" t="n">
        <v>1466</v>
      </c>
      <c r="W1315" s="0" t="n">
        <v>2030</v>
      </c>
      <c r="X1315" s="0" t="n">
        <v>9893.34</v>
      </c>
    </row>
    <row r="1316" customFormat="false" ht="15" hidden="false" customHeight="false" outlineLevel="0" collapsed="false">
      <c r="A1316" s="0" t="n">
        <v>2030</v>
      </c>
      <c r="B1316" s="0" t="n">
        <v>52.84152385</v>
      </c>
      <c r="C1316" s="0" t="n">
        <v>1109.672001</v>
      </c>
      <c r="E1316" s="0" t="n">
        <v>2030</v>
      </c>
      <c r="F1316" s="0" t="n">
        <v>432.633135</v>
      </c>
      <c r="G1316" s="0" t="n">
        <v>9083.501822</v>
      </c>
      <c r="I1316" s="0" t="n">
        <v>2027</v>
      </c>
      <c r="J1316" s="0" t="n">
        <v>0.98</v>
      </c>
      <c r="K1316" s="0" t="n">
        <v>20.44</v>
      </c>
      <c r="M1316" s="0" t="n">
        <v>2030</v>
      </c>
      <c r="N1316" s="0" t="n">
        <v>281.5</v>
      </c>
      <c r="O1316" s="0" t="n">
        <v>5907.75</v>
      </c>
      <c r="Q1316" s="0" t="n">
        <v>2032</v>
      </c>
      <c r="R1316" s="0" t="n">
        <v>1393</v>
      </c>
      <c r="W1316" s="0" t="n">
        <v>2030</v>
      </c>
      <c r="X1316" s="0" t="n">
        <v>2473.335</v>
      </c>
    </row>
    <row r="1317" customFormat="false" ht="15" hidden="false" customHeight="false" outlineLevel="0" collapsed="false">
      <c r="A1317" s="0" t="n">
        <v>2030</v>
      </c>
      <c r="B1317" s="0" t="n">
        <v>47.12172277</v>
      </c>
      <c r="C1317" s="0" t="n">
        <v>989.5561782</v>
      </c>
      <c r="E1317" s="0" t="n">
        <v>2030</v>
      </c>
      <c r="F1317" s="0" t="n">
        <v>173.167995</v>
      </c>
      <c r="G1317" s="0" t="n">
        <v>3635.809814</v>
      </c>
      <c r="I1317" s="0" t="n">
        <v>2027</v>
      </c>
      <c r="J1317" s="0" t="n">
        <v>23.52</v>
      </c>
      <c r="K1317" s="0" t="n">
        <v>497.76</v>
      </c>
      <c r="M1317" s="0" t="n">
        <v>2030</v>
      </c>
      <c r="N1317" s="0" t="n">
        <v>112.6</v>
      </c>
      <c r="O1317" s="0" t="n">
        <v>2363.1</v>
      </c>
      <c r="Q1317" s="0" t="n">
        <v>2032</v>
      </c>
      <c r="R1317" s="0" t="n">
        <v>660</v>
      </c>
      <c r="W1317" s="0" t="n">
        <v>2030</v>
      </c>
      <c r="X1317" s="0" t="n">
        <v>765.936</v>
      </c>
    </row>
    <row r="1318" customFormat="false" ht="15" hidden="false" customHeight="false" outlineLevel="0" collapsed="false">
      <c r="A1318" s="0" t="n">
        <v>2030</v>
      </c>
      <c r="B1318" s="0" t="n">
        <v>32.77036554</v>
      </c>
      <c r="C1318" s="0" t="n">
        <v>688.1776764</v>
      </c>
      <c r="E1318" s="0" t="n">
        <v>2030</v>
      </c>
      <c r="F1318" s="0" t="n">
        <v>24.324465</v>
      </c>
      <c r="G1318" s="0" t="n">
        <v>510.712898</v>
      </c>
      <c r="I1318" s="0" t="n">
        <v>2027</v>
      </c>
      <c r="J1318" s="0" t="n">
        <v>7.84</v>
      </c>
      <c r="K1318" s="0" t="n">
        <v>165.92</v>
      </c>
      <c r="M1318" s="0" t="n">
        <v>2030</v>
      </c>
      <c r="N1318" s="0" t="n">
        <v>112.6</v>
      </c>
      <c r="O1318" s="0" t="n">
        <v>2363.1</v>
      </c>
      <c r="Q1318" s="0" t="n">
        <v>2032</v>
      </c>
      <c r="R1318" s="0" t="n">
        <v>147</v>
      </c>
      <c r="W1318" s="0" t="n">
        <v>2030</v>
      </c>
      <c r="X1318" s="0" t="n">
        <v>1356.345</v>
      </c>
    </row>
    <row r="1319" customFormat="false" ht="15" hidden="false" customHeight="false" outlineLevel="0" collapsed="false">
      <c r="A1319" s="0" t="n">
        <v>2030</v>
      </c>
      <c r="B1319" s="0" t="n">
        <v>24.37569347</v>
      </c>
      <c r="C1319" s="0" t="n">
        <v>511.8895628</v>
      </c>
      <c r="E1319" s="0" t="n">
        <v>2030</v>
      </c>
      <c r="F1319" s="0" t="n">
        <v>581.476665</v>
      </c>
      <c r="G1319" s="0" t="n">
        <v>12208.59874</v>
      </c>
      <c r="I1319" s="0" t="n">
        <v>2027</v>
      </c>
      <c r="J1319" s="0" t="n">
        <v>3.43</v>
      </c>
      <c r="K1319" s="0" t="n">
        <v>72.59</v>
      </c>
      <c r="M1319" s="0" t="n">
        <v>2030</v>
      </c>
      <c r="N1319" s="0" t="n">
        <v>67.56</v>
      </c>
      <c r="O1319" s="0" t="n">
        <v>1417.86</v>
      </c>
      <c r="Q1319" s="0" t="n">
        <v>2032</v>
      </c>
      <c r="R1319" s="0" t="n">
        <v>136</v>
      </c>
      <c r="W1319" s="0" t="n">
        <v>2030</v>
      </c>
      <c r="X1319" s="0" t="n">
        <v>606.366</v>
      </c>
    </row>
    <row r="1320" customFormat="false" ht="15" hidden="false" customHeight="false" outlineLevel="0" collapsed="false">
      <c r="A1320" s="0" t="n">
        <v>2030</v>
      </c>
      <c r="B1320" s="0" t="n">
        <v>10.83364154</v>
      </c>
      <c r="C1320" s="0" t="n">
        <v>227.5064724</v>
      </c>
      <c r="E1320" s="0" t="n">
        <v>2030</v>
      </c>
      <c r="F1320" s="0" t="n">
        <v>27.221205</v>
      </c>
      <c r="G1320" s="0" t="n">
        <v>571.532426</v>
      </c>
      <c r="I1320" s="0" t="n">
        <v>2027</v>
      </c>
      <c r="J1320" s="0" t="n">
        <v>1.96</v>
      </c>
      <c r="K1320" s="0" t="n">
        <v>41.48</v>
      </c>
      <c r="M1320" s="0" t="n">
        <v>2030</v>
      </c>
      <c r="N1320" s="0" t="n">
        <v>56.3</v>
      </c>
      <c r="O1320" s="0" t="n">
        <v>1181.55</v>
      </c>
      <c r="Q1320" s="0" t="n">
        <v>2032</v>
      </c>
      <c r="R1320" s="0" t="n">
        <v>136</v>
      </c>
      <c r="W1320" s="0" t="n">
        <v>2030</v>
      </c>
      <c r="X1320" s="0" t="n">
        <v>239.355</v>
      </c>
    </row>
    <row r="1321" customFormat="false" ht="15" hidden="false" customHeight="false" outlineLevel="0" collapsed="false">
      <c r="A1321" s="0" t="n">
        <v>2030</v>
      </c>
      <c r="B1321" s="0" t="n">
        <v>40.01491402</v>
      </c>
      <c r="C1321" s="0" t="n">
        <v>840.3131944</v>
      </c>
      <c r="E1321" s="0" t="n">
        <v>2030</v>
      </c>
      <c r="F1321" s="0" t="n">
        <v>148.84353</v>
      </c>
      <c r="G1321" s="0" t="n">
        <v>3125.096916</v>
      </c>
      <c r="I1321" s="0" t="n">
        <v>2027</v>
      </c>
      <c r="J1321" s="0" t="n">
        <v>1.96</v>
      </c>
      <c r="K1321" s="0" t="n">
        <v>41.48</v>
      </c>
      <c r="M1321" s="0" t="n">
        <v>2030</v>
      </c>
      <c r="N1321" s="0" t="n">
        <v>45.04</v>
      </c>
      <c r="O1321" s="0" t="n">
        <v>945.24</v>
      </c>
      <c r="Q1321" s="0" t="n">
        <v>2032</v>
      </c>
      <c r="R1321" s="0" t="n">
        <v>430</v>
      </c>
      <c r="W1321" s="0" t="n">
        <v>2030</v>
      </c>
      <c r="X1321" s="0" t="n">
        <v>351.054</v>
      </c>
    </row>
    <row r="1322" customFormat="false" ht="15" hidden="false" customHeight="false" outlineLevel="0" collapsed="false">
      <c r="A1322" s="0" t="n">
        <v>2030</v>
      </c>
      <c r="B1322" s="0" t="n">
        <v>12.5260654</v>
      </c>
      <c r="C1322" s="0" t="n">
        <v>263.0473734</v>
      </c>
      <c r="E1322" s="0" t="n">
        <v>2030</v>
      </c>
      <c r="F1322" s="0" t="n">
        <v>136.10289</v>
      </c>
      <c r="G1322" s="0" t="n">
        <v>2857.596308</v>
      </c>
      <c r="I1322" s="0" t="n">
        <v>2027</v>
      </c>
      <c r="J1322" s="0" t="n">
        <v>0.98</v>
      </c>
      <c r="K1322" s="0" t="n">
        <v>20.74</v>
      </c>
      <c r="M1322" s="0" t="n">
        <v>2030</v>
      </c>
      <c r="N1322" s="0" t="n">
        <v>22.52</v>
      </c>
      <c r="O1322" s="0" t="n">
        <v>472.62</v>
      </c>
      <c r="Q1322" s="0" t="n">
        <v>2032</v>
      </c>
      <c r="R1322" s="0" t="n">
        <v>408</v>
      </c>
      <c r="W1322" s="0" t="n">
        <v>2030</v>
      </c>
      <c r="X1322" s="0" t="n">
        <v>271.269</v>
      </c>
    </row>
    <row r="1323" customFormat="false" ht="15" hidden="false" customHeight="false" outlineLevel="0" collapsed="false">
      <c r="A1323" s="0" t="n">
        <v>2030</v>
      </c>
      <c r="B1323" s="0" t="n">
        <v>28.00751676</v>
      </c>
      <c r="C1323" s="0" t="n">
        <v>588.1578519</v>
      </c>
      <c r="E1323" s="0" t="n">
        <v>2030</v>
      </c>
      <c r="F1323" s="0" t="n">
        <v>858.808779</v>
      </c>
      <c r="G1323" s="0" t="n">
        <v>18031.90067</v>
      </c>
      <c r="I1323" s="0" t="n">
        <v>2027</v>
      </c>
      <c r="J1323" s="0" t="n">
        <v>0.98</v>
      </c>
      <c r="K1323" s="0" t="n">
        <v>20.74</v>
      </c>
      <c r="M1323" s="0" t="n">
        <v>2030</v>
      </c>
      <c r="N1323" s="0" t="n">
        <v>27.74</v>
      </c>
      <c r="O1323" s="0" t="n">
        <v>578.74</v>
      </c>
      <c r="Q1323" s="0" t="n">
        <v>2032</v>
      </c>
      <c r="R1323" s="0" t="n">
        <v>193</v>
      </c>
      <c r="W1323" s="0" t="n">
        <v>2030</v>
      </c>
      <c r="X1323" s="0" t="n">
        <v>10902.7</v>
      </c>
    </row>
    <row r="1324" customFormat="false" ht="15" hidden="false" customHeight="false" outlineLevel="0" collapsed="false">
      <c r="A1324" s="0" t="n">
        <v>2030</v>
      </c>
      <c r="B1324" s="0" t="n">
        <v>211.1037188</v>
      </c>
      <c r="C1324" s="0" t="n">
        <v>4433.178094</v>
      </c>
      <c r="E1324" s="0" t="n">
        <v>2030</v>
      </c>
      <c r="F1324" s="0" t="n">
        <v>230.599671</v>
      </c>
      <c r="G1324" s="0" t="n">
        <v>4841.765085</v>
      </c>
      <c r="I1324" s="0" t="n">
        <v>2027</v>
      </c>
      <c r="J1324" s="0" t="n">
        <v>1.96</v>
      </c>
      <c r="K1324" s="0" t="n">
        <v>41.48</v>
      </c>
      <c r="M1324" s="0" t="n">
        <v>2030</v>
      </c>
      <c r="N1324" s="0" t="n">
        <v>18.25</v>
      </c>
      <c r="O1324" s="0" t="n">
        <v>380.75</v>
      </c>
      <c r="Q1324" s="0" t="n">
        <v>2032</v>
      </c>
      <c r="R1324" s="0" t="n">
        <v>43</v>
      </c>
      <c r="W1324" s="0" t="n">
        <v>2030</v>
      </c>
      <c r="X1324" s="0" t="n">
        <v>2725.675</v>
      </c>
    </row>
    <row r="1325" customFormat="false" ht="15" hidden="false" customHeight="false" outlineLevel="0" collapsed="false">
      <c r="A1325" s="0" t="n">
        <v>2030</v>
      </c>
      <c r="B1325" s="0" t="n">
        <v>53.24660029</v>
      </c>
      <c r="C1325" s="0" t="n">
        <v>1118.178606</v>
      </c>
      <c r="E1325" s="0" t="n">
        <v>2030</v>
      </c>
      <c r="F1325" s="0" t="n">
        <v>92.301027</v>
      </c>
      <c r="G1325" s="0" t="n">
        <v>1937.990145</v>
      </c>
      <c r="I1325" s="0" t="n">
        <v>2027</v>
      </c>
      <c r="J1325" s="0" t="n">
        <v>3.43</v>
      </c>
      <c r="K1325" s="0" t="n">
        <v>72.59</v>
      </c>
      <c r="M1325" s="0" t="n">
        <v>2030</v>
      </c>
      <c r="N1325" s="0" t="n">
        <v>7.3</v>
      </c>
      <c r="O1325" s="0" t="n">
        <v>152.3</v>
      </c>
      <c r="Q1325" s="0" t="n">
        <v>2032</v>
      </c>
      <c r="R1325" s="0" t="n">
        <v>41</v>
      </c>
      <c r="W1325" s="0" t="n">
        <v>2030</v>
      </c>
      <c r="X1325" s="0" t="n">
        <v>844.08</v>
      </c>
    </row>
    <row r="1326" customFormat="false" ht="15" hidden="false" customHeight="false" outlineLevel="0" collapsed="false">
      <c r="A1326" s="0" t="n">
        <v>2030</v>
      </c>
      <c r="B1326" s="0" t="n">
        <v>47.48295194</v>
      </c>
      <c r="C1326" s="0" t="n">
        <v>997.1419908</v>
      </c>
      <c r="E1326" s="0" t="n">
        <v>2030</v>
      </c>
      <c r="F1326" s="0" t="n">
        <v>12.965289</v>
      </c>
      <c r="G1326" s="0" t="n">
        <v>272.224515</v>
      </c>
      <c r="I1326" s="0" t="n">
        <v>2027</v>
      </c>
      <c r="J1326" s="0" t="n">
        <v>1.47</v>
      </c>
      <c r="K1326" s="0" t="n">
        <v>31.11</v>
      </c>
      <c r="M1326" s="0" t="n">
        <v>2030</v>
      </c>
      <c r="N1326" s="0" t="n">
        <v>7.3</v>
      </c>
      <c r="O1326" s="0" t="n">
        <v>152.3</v>
      </c>
      <c r="Q1326" s="0" t="n">
        <v>2032</v>
      </c>
      <c r="R1326" s="0" t="n">
        <v>41</v>
      </c>
      <c r="W1326" s="0" t="n">
        <v>2030</v>
      </c>
      <c r="X1326" s="0" t="n">
        <v>1494.725</v>
      </c>
    </row>
    <row r="1327" customFormat="false" ht="15" hidden="false" customHeight="false" outlineLevel="0" collapsed="false">
      <c r="A1327" s="0" t="n">
        <v>2030</v>
      </c>
      <c r="B1327" s="0" t="n">
        <v>33.02157903</v>
      </c>
      <c r="C1327" s="0" t="n">
        <v>693.4531596</v>
      </c>
      <c r="E1327" s="0" t="n">
        <v>2030</v>
      </c>
      <c r="F1327" s="0" t="n">
        <v>309.935409</v>
      </c>
      <c r="G1327" s="0" t="n">
        <v>6507.530715</v>
      </c>
      <c r="I1327" s="0" t="n">
        <v>2027</v>
      </c>
      <c r="J1327" s="0" t="n">
        <v>1.47</v>
      </c>
      <c r="K1327" s="0" t="n">
        <v>31.11</v>
      </c>
      <c r="M1327" s="0" t="n">
        <v>2030</v>
      </c>
      <c r="N1327" s="0" t="n">
        <v>4.38</v>
      </c>
      <c r="O1327" s="0" t="n">
        <v>91.38</v>
      </c>
      <c r="Q1327" s="0" t="n">
        <v>2032</v>
      </c>
      <c r="R1327" s="0" t="n">
        <v>1852</v>
      </c>
      <c r="W1327" s="0" t="n">
        <v>2030</v>
      </c>
      <c r="X1327" s="0" t="n">
        <v>668.23</v>
      </c>
    </row>
    <row r="1328" customFormat="false" ht="15" hidden="false" customHeight="false" outlineLevel="0" collapsed="false">
      <c r="A1328" s="0" t="n">
        <v>2030</v>
      </c>
      <c r="B1328" s="0" t="n">
        <v>24.56255445</v>
      </c>
      <c r="C1328" s="0" t="n">
        <v>515.8136435</v>
      </c>
      <c r="E1328" s="0" t="n">
        <v>2030</v>
      </c>
      <c r="F1328" s="0" t="n">
        <v>14.509293</v>
      </c>
      <c r="G1328" s="0" t="n">
        <v>304.643055</v>
      </c>
      <c r="I1328" s="0" t="n">
        <v>2027</v>
      </c>
      <c r="J1328" s="0" t="n">
        <v>5.72</v>
      </c>
      <c r="K1328" s="0" t="n">
        <v>123.76</v>
      </c>
      <c r="M1328" s="0" t="n">
        <v>2030</v>
      </c>
      <c r="N1328" s="0" t="n">
        <v>3.65</v>
      </c>
      <c r="O1328" s="0" t="n">
        <v>76.15</v>
      </c>
      <c r="Q1328" s="0" t="n">
        <v>2032</v>
      </c>
      <c r="R1328" s="0" t="n">
        <v>1760</v>
      </c>
      <c r="W1328" s="0" t="n">
        <v>2030</v>
      </c>
      <c r="X1328" s="0" t="n">
        <v>263.775</v>
      </c>
    </row>
    <row r="1329" customFormat="false" ht="15" hidden="false" customHeight="false" outlineLevel="0" collapsed="false">
      <c r="A1329" s="0" t="n">
        <v>2030</v>
      </c>
      <c r="B1329" s="0" t="n">
        <v>10.91669087</v>
      </c>
      <c r="C1329" s="0" t="n">
        <v>229.2505082</v>
      </c>
      <c r="E1329" s="0" t="n">
        <v>2030</v>
      </c>
      <c r="F1329" s="0" t="n">
        <v>79.335738</v>
      </c>
      <c r="G1329" s="0" t="n">
        <v>1665.76563</v>
      </c>
      <c r="I1329" s="0" t="n">
        <v>2027</v>
      </c>
      <c r="J1329" s="0" t="n">
        <v>0.88</v>
      </c>
      <c r="K1329" s="0" t="n">
        <v>19.04</v>
      </c>
      <c r="M1329" s="0" t="n">
        <v>2030</v>
      </c>
      <c r="N1329" s="0" t="n">
        <v>2.92</v>
      </c>
      <c r="O1329" s="0" t="n">
        <v>60.92</v>
      </c>
      <c r="Q1329" s="0" t="n">
        <v>2032</v>
      </c>
      <c r="R1329" s="0" t="n">
        <v>834</v>
      </c>
      <c r="W1329" s="0" t="n">
        <v>2030</v>
      </c>
      <c r="X1329" s="0" t="n">
        <v>386.87</v>
      </c>
    </row>
    <row r="1330" customFormat="false" ht="15" hidden="false" customHeight="false" outlineLevel="0" collapsed="false">
      <c r="A1330" s="0" t="n">
        <v>2030</v>
      </c>
      <c r="B1330" s="0" t="n">
        <v>40.32166329</v>
      </c>
      <c r="C1330" s="0" t="n">
        <v>846.7549292</v>
      </c>
      <c r="E1330" s="0" t="n">
        <v>2030</v>
      </c>
      <c r="F1330" s="0" t="n">
        <v>72.544794</v>
      </c>
      <c r="G1330" s="0" t="n">
        <v>1523.18019</v>
      </c>
      <c r="I1330" s="0" t="n">
        <v>2027</v>
      </c>
      <c r="J1330" s="0" t="n">
        <v>0.66</v>
      </c>
      <c r="K1330" s="0" t="n">
        <v>14.28</v>
      </c>
      <c r="M1330" s="0" t="n">
        <v>2030</v>
      </c>
      <c r="N1330" s="0" t="n">
        <v>1.46</v>
      </c>
      <c r="O1330" s="0" t="n">
        <v>30.46</v>
      </c>
      <c r="Q1330" s="0" t="n">
        <v>2032</v>
      </c>
      <c r="R1330" s="0" t="n">
        <v>185</v>
      </c>
      <c r="W1330" s="0" t="n">
        <v>2030</v>
      </c>
      <c r="X1330" s="0" t="n">
        <v>298.945</v>
      </c>
    </row>
    <row r="1331" customFormat="false" ht="15" hidden="false" customHeight="false" outlineLevel="0" collapsed="false">
      <c r="A1331" s="0" t="n">
        <v>2030</v>
      </c>
      <c r="B1331" s="0" t="n">
        <v>12.62208864</v>
      </c>
      <c r="C1331" s="0" t="n">
        <v>265.0638614</v>
      </c>
      <c r="E1331" s="0" t="n">
        <v>2030</v>
      </c>
      <c r="F1331" s="0" t="n">
        <v>418.354486</v>
      </c>
      <c r="G1331" s="0" t="n">
        <v>8783.38841</v>
      </c>
      <c r="I1331" s="0" t="n">
        <v>2027</v>
      </c>
      <c r="J1331" s="0" t="n">
        <v>1.1</v>
      </c>
      <c r="K1331" s="0" t="n">
        <v>23.8</v>
      </c>
      <c r="M1331" s="0" t="n">
        <v>2030</v>
      </c>
      <c r="N1331" s="0" t="n">
        <v>49.02</v>
      </c>
      <c r="O1331" s="0" t="n">
        <v>1022.96</v>
      </c>
      <c r="Q1331" s="0" t="n">
        <v>2032</v>
      </c>
      <c r="R1331" s="0" t="n">
        <v>177</v>
      </c>
      <c r="W1331" s="0" t="n">
        <v>2030</v>
      </c>
      <c r="X1331" s="0" t="n">
        <v>2940.66</v>
      </c>
    </row>
    <row r="1332" customFormat="false" ht="15" hidden="false" customHeight="false" outlineLevel="0" collapsed="false">
      <c r="A1332" s="0" t="n">
        <v>2030</v>
      </c>
      <c r="B1332" s="0" t="n">
        <v>28.22221884</v>
      </c>
      <c r="C1332" s="0" t="n">
        <v>592.6665957</v>
      </c>
      <c r="E1332" s="0" t="n">
        <v>2030</v>
      </c>
      <c r="F1332" s="0" t="n">
        <v>112.332814</v>
      </c>
      <c r="G1332" s="0" t="n">
        <v>2358.43709</v>
      </c>
      <c r="I1332" s="0" t="n">
        <v>2027</v>
      </c>
      <c r="J1332" s="0" t="n">
        <v>0.22</v>
      </c>
      <c r="K1332" s="0" t="n">
        <v>4.76</v>
      </c>
      <c r="M1332" s="0" t="n">
        <v>2030</v>
      </c>
      <c r="N1332" s="0" t="n">
        <v>32.25</v>
      </c>
      <c r="O1332" s="0" t="n">
        <v>673</v>
      </c>
      <c r="Q1332" s="0" t="n">
        <v>2032</v>
      </c>
      <c r="R1332" s="0" t="n">
        <v>177</v>
      </c>
      <c r="W1332" s="0" t="n">
        <v>2030</v>
      </c>
      <c r="X1332" s="0" t="n">
        <v>735.165</v>
      </c>
    </row>
    <row r="1333" customFormat="false" ht="15" hidden="false" customHeight="false" outlineLevel="0" collapsed="false">
      <c r="A1333" s="0" t="n">
        <v>2030</v>
      </c>
      <c r="B1333" s="0" t="n">
        <v>171.8678886</v>
      </c>
      <c r="C1333" s="0" t="n">
        <v>3609.22566</v>
      </c>
      <c r="E1333" s="0" t="n">
        <v>2030</v>
      </c>
      <c r="F1333" s="0" t="n">
        <v>44.962918</v>
      </c>
      <c r="G1333" s="0" t="n">
        <v>944.00033</v>
      </c>
      <c r="I1333" s="0" t="n">
        <v>2027</v>
      </c>
      <c r="J1333" s="0" t="n">
        <v>0.22</v>
      </c>
      <c r="K1333" s="0" t="n">
        <v>4.76</v>
      </c>
      <c r="M1333" s="0" t="n">
        <v>2030</v>
      </c>
      <c r="N1333" s="0" t="n">
        <v>12.9</v>
      </c>
      <c r="O1333" s="0" t="n">
        <v>269.2</v>
      </c>
      <c r="Q1333" s="0" t="n">
        <v>2032</v>
      </c>
      <c r="R1333" s="0" t="n">
        <v>1177</v>
      </c>
      <c r="W1333" s="0" t="n">
        <v>2030</v>
      </c>
      <c r="X1333" s="0" t="n">
        <v>227.664</v>
      </c>
    </row>
    <row r="1334" customFormat="false" ht="15" hidden="false" customHeight="false" outlineLevel="0" collapsed="false">
      <c r="A1334" s="0" t="n">
        <v>2030</v>
      </c>
      <c r="B1334" s="0" t="n">
        <v>43.3501637</v>
      </c>
      <c r="C1334" s="0" t="n">
        <v>910.3534376</v>
      </c>
      <c r="E1334" s="0" t="n">
        <v>2030</v>
      </c>
      <c r="F1334" s="0" t="n">
        <v>6.315826</v>
      </c>
      <c r="G1334" s="0" t="n">
        <v>132.60131</v>
      </c>
      <c r="I1334" s="0" t="n">
        <v>2027</v>
      </c>
      <c r="J1334" s="0" t="n">
        <v>0</v>
      </c>
      <c r="K1334" s="0" t="n">
        <v>0</v>
      </c>
      <c r="M1334" s="0" t="n">
        <v>2030</v>
      </c>
      <c r="N1334" s="0" t="n">
        <v>12.9</v>
      </c>
      <c r="O1334" s="0" t="n">
        <v>269.2</v>
      </c>
      <c r="Q1334" s="0" t="n">
        <v>2032</v>
      </c>
      <c r="R1334" s="0" t="n">
        <v>1118</v>
      </c>
      <c r="W1334" s="0" t="n">
        <v>2030</v>
      </c>
      <c r="X1334" s="0" t="n">
        <v>403.155</v>
      </c>
    </row>
    <row r="1335" customFormat="false" ht="15" hidden="false" customHeight="false" outlineLevel="0" collapsed="false">
      <c r="A1335" s="0" t="n">
        <v>2030</v>
      </c>
      <c r="B1335" s="0" t="n">
        <v>38.65774957</v>
      </c>
      <c r="C1335" s="0" t="n">
        <v>811.812741</v>
      </c>
      <c r="E1335" s="0" t="n">
        <v>2030</v>
      </c>
      <c r="F1335" s="0" t="n">
        <v>150.979906</v>
      </c>
      <c r="G1335" s="0" t="n">
        <v>3169.83611</v>
      </c>
      <c r="I1335" s="0" t="n">
        <v>2027</v>
      </c>
      <c r="J1335" s="0" t="n">
        <v>0.44</v>
      </c>
      <c r="K1335" s="0" t="n">
        <v>9.52</v>
      </c>
      <c r="M1335" s="0" t="n">
        <v>2030</v>
      </c>
      <c r="N1335" s="0" t="n">
        <v>7.74</v>
      </c>
      <c r="O1335" s="0" t="n">
        <v>161.52</v>
      </c>
      <c r="Q1335" s="0" t="n">
        <v>2032</v>
      </c>
      <c r="R1335" s="0" t="n">
        <v>530</v>
      </c>
      <c r="W1335" s="0" t="n">
        <v>2030</v>
      </c>
      <c r="X1335" s="0" t="n">
        <v>180.234</v>
      </c>
    </row>
    <row r="1336" customFormat="false" ht="15" hidden="false" customHeight="false" outlineLevel="0" collapsed="false">
      <c r="A1336" s="0" t="n">
        <v>2030</v>
      </c>
      <c r="B1336" s="0" t="n">
        <v>26.8841738</v>
      </c>
      <c r="C1336" s="0" t="n">
        <v>564.5676497</v>
      </c>
      <c r="E1336" s="0" t="n">
        <v>2030</v>
      </c>
      <c r="F1336" s="0" t="n">
        <v>7.067962</v>
      </c>
      <c r="G1336" s="0" t="n">
        <v>148.39247</v>
      </c>
      <c r="I1336" s="0" t="n">
        <v>2027</v>
      </c>
      <c r="J1336" s="0" t="n">
        <v>0.77</v>
      </c>
      <c r="K1336" s="0" t="n">
        <v>16.66</v>
      </c>
      <c r="M1336" s="0" t="n">
        <v>2030</v>
      </c>
      <c r="N1336" s="0" t="n">
        <v>6.45</v>
      </c>
      <c r="O1336" s="0" t="n">
        <v>134.6</v>
      </c>
      <c r="Q1336" s="0" t="n">
        <v>2032</v>
      </c>
      <c r="R1336" s="0" t="n">
        <v>118</v>
      </c>
      <c r="W1336" s="0" t="n">
        <v>2030</v>
      </c>
      <c r="X1336" s="0" t="n">
        <v>71.145</v>
      </c>
    </row>
    <row r="1337" customFormat="false" ht="15" hidden="false" customHeight="false" outlineLevel="0" collapsed="false">
      <c r="A1337" s="0" t="n">
        <v>2030</v>
      </c>
      <c r="B1337" s="0" t="n">
        <v>19.99734726</v>
      </c>
      <c r="C1337" s="0" t="n">
        <v>419.9442924</v>
      </c>
      <c r="E1337" s="0" t="n">
        <v>2030</v>
      </c>
      <c r="F1337" s="0" t="n">
        <v>38.647092</v>
      </c>
      <c r="G1337" s="0" t="n">
        <v>811.39902</v>
      </c>
      <c r="I1337" s="0" t="n">
        <v>2027</v>
      </c>
      <c r="J1337" s="0" t="n">
        <v>0.22</v>
      </c>
      <c r="K1337" s="0" t="n">
        <v>4.76</v>
      </c>
      <c r="M1337" s="0" t="n">
        <v>2030</v>
      </c>
      <c r="N1337" s="0" t="n">
        <v>5.16</v>
      </c>
      <c r="O1337" s="0" t="n">
        <v>107.68</v>
      </c>
      <c r="Q1337" s="0" t="n">
        <v>2032</v>
      </c>
      <c r="R1337" s="0" t="n">
        <v>112</v>
      </c>
      <c r="W1337" s="0" t="n">
        <v>2030</v>
      </c>
      <c r="X1337" s="0" t="n">
        <v>104.346</v>
      </c>
    </row>
    <row r="1338" customFormat="false" ht="15" hidden="false" customHeight="false" outlineLevel="0" collapsed="false">
      <c r="A1338" s="0" t="n">
        <v>2030</v>
      </c>
      <c r="B1338" s="0" t="n">
        <v>8.887709893</v>
      </c>
      <c r="C1338" s="0" t="n">
        <v>186.6419077</v>
      </c>
      <c r="E1338" s="0" t="n">
        <v>2030</v>
      </c>
      <c r="F1338" s="0" t="n">
        <v>35.338996</v>
      </c>
      <c r="G1338" s="0" t="n">
        <v>741.94526</v>
      </c>
      <c r="I1338" s="0" t="n">
        <v>2027</v>
      </c>
      <c r="J1338" s="0" t="n">
        <v>0.77</v>
      </c>
      <c r="K1338" s="0" t="n">
        <v>16.66</v>
      </c>
      <c r="M1338" s="0" t="n">
        <v>2030</v>
      </c>
      <c r="N1338" s="0" t="n">
        <v>2.58</v>
      </c>
      <c r="O1338" s="0" t="n">
        <v>53.84</v>
      </c>
      <c r="Q1338" s="0" t="n">
        <v>2032</v>
      </c>
      <c r="R1338" s="0" t="n">
        <v>112</v>
      </c>
      <c r="W1338" s="0" t="n">
        <v>2030</v>
      </c>
      <c r="X1338" s="0" t="n">
        <v>80.631</v>
      </c>
    </row>
    <row r="1339" customFormat="false" ht="15" hidden="false" customHeight="false" outlineLevel="0" collapsed="false">
      <c r="A1339" s="0" t="n">
        <v>2030</v>
      </c>
      <c r="B1339" s="0" t="n">
        <v>32.82746118</v>
      </c>
      <c r="C1339" s="0" t="n">
        <v>689.3766849</v>
      </c>
      <c r="E1339" s="0" t="n">
        <v>2030</v>
      </c>
      <c r="F1339" s="0" t="n">
        <v>333.038952</v>
      </c>
      <c r="G1339" s="0" t="n">
        <v>6987.136655</v>
      </c>
      <c r="I1339" s="0" t="n">
        <v>2027</v>
      </c>
      <c r="J1339" s="0" t="n">
        <v>334.08</v>
      </c>
      <c r="K1339" s="0" t="n">
        <v>7013.76</v>
      </c>
      <c r="M1339" s="0" t="n">
        <v>2030</v>
      </c>
      <c r="N1339" s="0" t="n">
        <v>57.76</v>
      </c>
      <c r="O1339" s="0" t="n">
        <v>1207.26</v>
      </c>
      <c r="Q1339" s="0" t="n">
        <v>2032</v>
      </c>
      <c r="R1339" s="0" t="n">
        <v>337</v>
      </c>
      <c r="W1339" s="0" t="n">
        <v>2030</v>
      </c>
      <c r="X1339" s="0" t="n">
        <v>6702.2</v>
      </c>
    </row>
    <row r="1340" customFormat="false" ht="15" hidden="false" customHeight="false" outlineLevel="0" collapsed="false">
      <c r="A1340" s="0" t="n">
        <v>2030</v>
      </c>
      <c r="B1340" s="0" t="n">
        <v>10.27614168</v>
      </c>
      <c r="C1340" s="0" t="n">
        <v>215.7989753</v>
      </c>
      <c r="E1340" s="0" t="n">
        <v>2030</v>
      </c>
      <c r="F1340" s="0" t="n">
        <v>89.424648</v>
      </c>
      <c r="G1340" s="0" t="n">
        <v>1876.123595</v>
      </c>
      <c r="I1340" s="0" t="n">
        <v>2027</v>
      </c>
      <c r="J1340" s="0" t="n">
        <v>111.36</v>
      </c>
      <c r="K1340" s="0" t="n">
        <v>2337.92</v>
      </c>
      <c r="M1340" s="0" t="n">
        <v>2030</v>
      </c>
      <c r="N1340" s="0" t="n">
        <v>38</v>
      </c>
      <c r="O1340" s="0" t="n">
        <v>794.25</v>
      </c>
      <c r="Q1340" s="0" t="n">
        <v>2032</v>
      </c>
      <c r="R1340" s="0" t="n">
        <v>320</v>
      </c>
      <c r="W1340" s="0" t="n">
        <v>2030</v>
      </c>
      <c r="X1340" s="0" t="n">
        <v>1675.55</v>
      </c>
    </row>
    <row r="1341" customFormat="false" ht="15" hidden="false" customHeight="false" outlineLevel="0" collapsed="false">
      <c r="A1341" s="0" t="n">
        <v>2030</v>
      </c>
      <c r="B1341" s="0" t="n">
        <v>22.97682481</v>
      </c>
      <c r="C1341" s="0" t="n">
        <v>482.513321</v>
      </c>
      <c r="E1341" s="0" t="n">
        <v>2030</v>
      </c>
      <c r="F1341" s="0" t="n">
        <v>35.793576</v>
      </c>
      <c r="G1341" s="0" t="n">
        <v>750.947015</v>
      </c>
      <c r="I1341" s="0" t="n">
        <v>2027</v>
      </c>
      <c r="J1341" s="0" t="n">
        <v>48.72</v>
      </c>
      <c r="K1341" s="0" t="n">
        <v>1022.84</v>
      </c>
      <c r="M1341" s="0" t="n">
        <v>2030</v>
      </c>
      <c r="N1341" s="0" t="n">
        <v>15.2</v>
      </c>
      <c r="O1341" s="0" t="n">
        <v>317.7</v>
      </c>
      <c r="Q1341" s="0" t="n">
        <v>2032</v>
      </c>
      <c r="R1341" s="0" t="n">
        <v>152</v>
      </c>
      <c r="W1341" s="0" t="n">
        <v>2030</v>
      </c>
      <c r="X1341" s="0" t="n">
        <v>518.88</v>
      </c>
    </row>
    <row r="1342" customFormat="false" ht="15" hidden="false" customHeight="false" outlineLevel="0" collapsed="false">
      <c r="A1342" s="0" t="n">
        <v>2030</v>
      </c>
      <c r="B1342" s="0" t="n">
        <v>313.8035736</v>
      </c>
      <c r="C1342" s="0" t="n">
        <v>6589.875045</v>
      </c>
      <c r="E1342" s="0" t="n">
        <v>2030</v>
      </c>
      <c r="F1342" s="0" t="n">
        <v>5.027832</v>
      </c>
      <c r="G1342" s="0" t="n">
        <v>105.483605</v>
      </c>
      <c r="I1342" s="0" t="n">
        <v>2027</v>
      </c>
      <c r="J1342" s="0" t="n">
        <v>27.84</v>
      </c>
      <c r="K1342" s="0" t="n">
        <v>584.48</v>
      </c>
      <c r="M1342" s="0" t="n">
        <v>2030</v>
      </c>
      <c r="N1342" s="0" t="n">
        <v>15.2</v>
      </c>
      <c r="O1342" s="0" t="n">
        <v>317.7</v>
      </c>
      <c r="Q1342" s="0" t="n">
        <v>2032</v>
      </c>
      <c r="R1342" s="0" t="n">
        <v>34</v>
      </c>
      <c r="W1342" s="0" t="n">
        <v>2030</v>
      </c>
      <c r="X1342" s="0" t="n">
        <v>918.85</v>
      </c>
    </row>
    <row r="1343" customFormat="false" ht="15" hidden="false" customHeight="false" outlineLevel="0" collapsed="false">
      <c r="A1343" s="0" t="n">
        <v>2030</v>
      </c>
      <c r="B1343" s="0" t="n">
        <v>79.15054055</v>
      </c>
      <c r="C1343" s="0" t="n">
        <v>1662.161351</v>
      </c>
      <c r="E1343" s="0" t="n">
        <v>2030</v>
      </c>
      <c r="F1343" s="0" t="n">
        <v>120.190392</v>
      </c>
      <c r="G1343" s="0" t="n">
        <v>2521.587005</v>
      </c>
      <c r="I1343" s="0" t="n">
        <v>2027</v>
      </c>
      <c r="J1343" s="0" t="n">
        <v>27.84</v>
      </c>
      <c r="K1343" s="0" t="n">
        <v>584.48</v>
      </c>
      <c r="M1343" s="0" t="n">
        <v>2030</v>
      </c>
      <c r="N1343" s="0" t="n">
        <v>9.12</v>
      </c>
      <c r="O1343" s="0" t="n">
        <v>190.62</v>
      </c>
      <c r="Q1343" s="0" t="n">
        <v>2032</v>
      </c>
      <c r="R1343" s="0" t="n">
        <v>31</v>
      </c>
      <c r="W1343" s="0" t="n">
        <v>2030</v>
      </c>
      <c r="X1343" s="0" t="n">
        <v>410.78</v>
      </c>
    </row>
    <row r="1344" customFormat="false" ht="15" hidden="false" customHeight="false" outlineLevel="0" collapsed="false">
      <c r="A1344" s="0" t="n">
        <v>2030</v>
      </c>
      <c r="B1344" s="0" t="n">
        <v>70.58293473</v>
      </c>
      <c r="C1344" s="0" t="n">
        <v>1482.241629</v>
      </c>
      <c r="E1344" s="0" t="n">
        <v>2030</v>
      </c>
      <c r="F1344" s="0" t="n">
        <v>5.626584</v>
      </c>
      <c r="G1344" s="0" t="n">
        <v>118.045385</v>
      </c>
      <c r="I1344" s="0" t="n">
        <v>2027</v>
      </c>
      <c r="J1344" s="0" t="n">
        <v>13.92</v>
      </c>
      <c r="K1344" s="0" t="n">
        <v>292.24</v>
      </c>
      <c r="M1344" s="0" t="n">
        <v>2030</v>
      </c>
      <c r="N1344" s="0" t="n">
        <v>7.6</v>
      </c>
      <c r="O1344" s="0" t="n">
        <v>158.85</v>
      </c>
      <c r="Q1344" s="0" t="n">
        <v>2032</v>
      </c>
      <c r="R1344" s="0" t="n">
        <v>31</v>
      </c>
      <c r="W1344" s="0" t="n">
        <v>2030</v>
      </c>
      <c r="X1344" s="0" t="n">
        <v>162.15</v>
      </c>
    </row>
    <row r="1345" customFormat="false" ht="15" hidden="false" customHeight="false" outlineLevel="0" collapsed="false">
      <c r="A1345" s="0" t="n">
        <v>2030</v>
      </c>
      <c r="B1345" s="0" t="n">
        <v>49.08624805</v>
      </c>
      <c r="C1345" s="0" t="n">
        <v>1030.811209</v>
      </c>
      <c r="E1345" s="0" t="n">
        <v>2030</v>
      </c>
      <c r="F1345" s="0" t="n">
        <v>30.765744</v>
      </c>
      <c r="G1345" s="0" t="n">
        <v>645.46341</v>
      </c>
      <c r="I1345" s="0" t="n">
        <v>2027</v>
      </c>
      <c r="J1345" s="0" t="n">
        <v>13.92</v>
      </c>
      <c r="K1345" s="0" t="n">
        <v>292.24</v>
      </c>
      <c r="M1345" s="0" t="n">
        <v>2030</v>
      </c>
      <c r="N1345" s="0" t="n">
        <v>6.08</v>
      </c>
      <c r="O1345" s="0" t="n">
        <v>127.08</v>
      </c>
      <c r="Q1345" s="0" t="n">
        <v>2032</v>
      </c>
      <c r="R1345" s="0" t="n">
        <v>466</v>
      </c>
      <c r="W1345" s="0" t="n">
        <v>2030</v>
      </c>
      <c r="X1345" s="0" t="n">
        <v>237.82</v>
      </c>
    </row>
    <row r="1346" customFormat="false" ht="15" hidden="false" customHeight="false" outlineLevel="0" collapsed="false">
      <c r="A1346" s="0" t="n">
        <v>2030</v>
      </c>
      <c r="B1346" s="0" t="n">
        <v>36.51199234</v>
      </c>
      <c r="C1346" s="0" t="n">
        <v>766.7518392</v>
      </c>
      <c r="E1346" s="0" t="n">
        <v>2030</v>
      </c>
      <c r="F1346" s="0" t="n">
        <v>28.132272</v>
      </c>
      <c r="G1346" s="0" t="n">
        <v>590.21333</v>
      </c>
      <c r="I1346" s="0" t="n">
        <v>2027</v>
      </c>
      <c r="J1346" s="0" t="n">
        <v>27.84</v>
      </c>
      <c r="K1346" s="0" t="n">
        <v>584.48</v>
      </c>
      <c r="M1346" s="0" t="n">
        <v>2030</v>
      </c>
      <c r="N1346" s="0" t="n">
        <v>3.04</v>
      </c>
      <c r="O1346" s="0" t="n">
        <v>63.54</v>
      </c>
      <c r="Q1346" s="0" t="n">
        <v>2032</v>
      </c>
      <c r="R1346" s="0" t="n">
        <v>443</v>
      </c>
      <c r="W1346" s="0" t="n">
        <v>2030</v>
      </c>
      <c r="X1346" s="0" t="n">
        <v>183.77</v>
      </c>
    </row>
    <row r="1347" customFormat="false" ht="15" hidden="false" customHeight="false" outlineLevel="0" collapsed="false">
      <c r="A1347" s="0" t="n">
        <v>2030</v>
      </c>
      <c r="B1347" s="0" t="n">
        <v>16.22755215</v>
      </c>
      <c r="C1347" s="0" t="n">
        <v>340.7785952</v>
      </c>
      <c r="E1347" s="0" t="n">
        <v>2030</v>
      </c>
      <c r="F1347" s="0" t="n">
        <v>214.830682</v>
      </c>
      <c r="G1347" s="0" t="n">
        <v>4510.930373</v>
      </c>
      <c r="I1347" s="0" t="n">
        <v>2027</v>
      </c>
      <c r="J1347" s="0" t="n">
        <v>48.72</v>
      </c>
      <c r="K1347" s="0" t="n">
        <v>1022.84</v>
      </c>
      <c r="M1347" s="0" t="n">
        <v>2030</v>
      </c>
      <c r="N1347" s="0" t="n">
        <v>110.96</v>
      </c>
      <c r="O1347" s="0" t="n">
        <v>2324.84</v>
      </c>
      <c r="Q1347" s="0" t="n">
        <v>2032</v>
      </c>
      <c r="R1347" s="0" t="n">
        <v>210</v>
      </c>
      <c r="W1347" s="0" t="n">
        <v>2030</v>
      </c>
      <c r="X1347" s="0" t="n">
        <v>1719.88</v>
      </c>
    </row>
    <row r="1348" customFormat="false" ht="15" hidden="false" customHeight="false" outlineLevel="0" collapsed="false">
      <c r="A1348" s="0" t="n">
        <v>2030</v>
      </c>
      <c r="B1348" s="0" t="n">
        <v>59.93775054</v>
      </c>
      <c r="C1348" s="0" t="n">
        <v>1258.692761</v>
      </c>
      <c r="E1348" s="0" t="n">
        <v>2030</v>
      </c>
      <c r="F1348" s="0" t="n">
        <v>57.684418</v>
      </c>
      <c r="G1348" s="0" t="n">
        <v>1211.234777</v>
      </c>
      <c r="I1348" s="0" t="n">
        <v>2027</v>
      </c>
      <c r="J1348" s="0" t="n">
        <v>20.88</v>
      </c>
      <c r="K1348" s="0" t="n">
        <v>438.36</v>
      </c>
      <c r="M1348" s="0" t="n">
        <v>2030</v>
      </c>
      <c r="N1348" s="0" t="n">
        <v>73</v>
      </c>
      <c r="O1348" s="0" t="n">
        <v>1529.5</v>
      </c>
      <c r="Q1348" s="0" t="n">
        <v>2032</v>
      </c>
      <c r="R1348" s="0" t="n">
        <v>47</v>
      </c>
      <c r="W1348" s="0" t="n">
        <v>2030</v>
      </c>
      <c r="X1348" s="0" t="n">
        <v>429.97</v>
      </c>
    </row>
    <row r="1349" customFormat="false" ht="15" hidden="false" customHeight="false" outlineLevel="0" collapsed="false">
      <c r="A1349" s="0" t="n">
        <v>2030</v>
      </c>
      <c r="B1349" s="0" t="n">
        <v>18.76260893</v>
      </c>
      <c r="C1349" s="0" t="n">
        <v>394.0147876</v>
      </c>
      <c r="E1349" s="0" t="n">
        <v>2030</v>
      </c>
      <c r="F1349" s="0" t="n">
        <v>23.089066</v>
      </c>
      <c r="G1349" s="0" t="n">
        <v>484.815149</v>
      </c>
      <c r="I1349" s="0" t="n">
        <v>2027</v>
      </c>
      <c r="J1349" s="0" t="n">
        <v>20.88</v>
      </c>
      <c r="K1349" s="0" t="n">
        <v>438.36</v>
      </c>
      <c r="M1349" s="0" t="n">
        <v>2030</v>
      </c>
      <c r="N1349" s="0" t="n">
        <v>29.2</v>
      </c>
      <c r="O1349" s="0" t="n">
        <v>611.8</v>
      </c>
      <c r="Q1349" s="0" t="n">
        <v>2032</v>
      </c>
      <c r="R1349" s="0" t="n">
        <v>45</v>
      </c>
      <c r="W1349" s="0" t="n">
        <v>2030</v>
      </c>
      <c r="X1349" s="0" t="n">
        <v>133.152</v>
      </c>
    </row>
    <row r="1350" customFormat="false" ht="15" hidden="false" customHeight="false" outlineLevel="0" collapsed="false">
      <c r="A1350" s="0" t="n">
        <v>2030</v>
      </c>
      <c r="B1350" s="0" t="n">
        <v>41.95204698</v>
      </c>
      <c r="C1350" s="0" t="n">
        <v>880.9929865</v>
      </c>
      <c r="E1350" s="0" t="n">
        <v>2030</v>
      </c>
      <c r="F1350" s="0" t="n">
        <v>3.243262</v>
      </c>
      <c r="G1350" s="0" t="n">
        <v>68.100743</v>
      </c>
      <c r="I1350" s="0" t="n">
        <v>2027</v>
      </c>
      <c r="J1350" s="0" t="n">
        <v>78.52</v>
      </c>
      <c r="K1350" s="0" t="n">
        <v>1648.4</v>
      </c>
      <c r="M1350" s="0" t="n">
        <v>2030</v>
      </c>
      <c r="N1350" s="0" t="n">
        <v>29.2</v>
      </c>
      <c r="O1350" s="0" t="n">
        <v>611.8</v>
      </c>
      <c r="Q1350" s="0" t="n">
        <v>2032</v>
      </c>
      <c r="R1350" s="0" t="n">
        <v>45</v>
      </c>
      <c r="W1350" s="0" t="n">
        <v>2030</v>
      </c>
      <c r="X1350" s="0" t="n">
        <v>235.79</v>
      </c>
    </row>
    <row r="1351" customFormat="false" ht="15" hidden="false" customHeight="false" outlineLevel="0" collapsed="false">
      <c r="A1351" s="0" t="n">
        <v>2030</v>
      </c>
      <c r="B1351" s="0" t="n">
        <v>150.657835</v>
      </c>
      <c r="C1351" s="0" t="n">
        <v>3163.814534</v>
      </c>
      <c r="E1351" s="0" t="n">
        <v>2030</v>
      </c>
      <c r="F1351" s="0" t="n">
        <v>77.530222</v>
      </c>
      <c r="G1351" s="0" t="n">
        <v>1627.949183</v>
      </c>
      <c r="I1351" s="0" t="n">
        <v>2027</v>
      </c>
      <c r="J1351" s="0" t="n">
        <v>12.08</v>
      </c>
      <c r="K1351" s="0" t="n">
        <v>253.6</v>
      </c>
      <c r="M1351" s="0" t="n">
        <v>2030</v>
      </c>
      <c r="N1351" s="0" t="n">
        <v>17.52</v>
      </c>
      <c r="O1351" s="0" t="n">
        <v>367.08</v>
      </c>
      <c r="Q1351" s="0" t="n">
        <v>2032</v>
      </c>
      <c r="R1351" s="0" t="n">
        <v>257</v>
      </c>
      <c r="W1351" s="0" t="n">
        <v>2030</v>
      </c>
      <c r="X1351" s="0" t="n">
        <v>105.412</v>
      </c>
    </row>
    <row r="1352" customFormat="false" ht="15" hidden="false" customHeight="false" outlineLevel="0" collapsed="false">
      <c r="A1352" s="0" t="n">
        <v>2030</v>
      </c>
      <c r="B1352" s="0" t="n">
        <v>38.00036099</v>
      </c>
      <c r="C1352" s="0" t="n">
        <v>798.0075808</v>
      </c>
      <c r="E1352" s="0" t="n">
        <v>2030</v>
      </c>
      <c r="F1352" s="0" t="n">
        <v>3.629494</v>
      </c>
      <c r="G1352" s="0" t="n">
        <v>76.210691</v>
      </c>
      <c r="I1352" s="0" t="n">
        <v>2027</v>
      </c>
      <c r="J1352" s="0" t="n">
        <v>9.06</v>
      </c>
      <c r="K1352" s="0" t="n">
        <v>190.2</v>
      </c>
      <c r="M1352" s="0" t="n">
        <v>2030</v>
      </c>
      <c r="N1352" s="0" t="n">
        <v>14.6</v>
      </c>
      <c r="O1352" s="0" t="n">
        <v>305.9</v>
      </c>
      <c r="Q1352" s="0" t="n">
        <v>2032</v>
      </c>
      <c r="R1352" s="0" t="n">
        <v>244</v>
      </c>
      <c r="W1352" s="0" t="n">
        <v>2030</v>
      </c>
      <c r="X1352" s="0" t="n">
        <v>41.61</v>
      </c>
    </row>
    <row r="1353" customFormat="false" ht="15" hidden="false" customHeight="false" outlineLevel="0" collapsed="false">
      <c r="A1353" s="0" t="n">
        <v>2030</v>
      </c>
      <c r="B1353" s="0" t="n">
        <v>33.88703325</v>
      </c>
      <c r="C1353" s="0" t="n">
        <v>711.6276983</v>
      </c>
      <c r="E1353" s="0" t="n">
        <v>2030</v>
      </c>
      <c r="F1353" s="0" t="n">
        <v>19.845804</v>
      </c>
      <c r="G1353" s="0" t="n">
        <v>416.714406</v>
      </c>
      <c r="I1353" s="0" t="n">
        <v>2027</v>
      </c>
      <c r="J1353" s="0" t="n">
        <v>15.1</v>
      </c>
      <c r="K1353" s="0" t="n">
        <v>317</v>
      </c>
      <c r="M1353" s="0" t="n">
        <v>2030</v>
      </c>
      <c r="N1353" s="0" t="n">
        <v>11.68</v>
      </c>
      <c r="O1353" s="0" t="n">
        <v>244.72</v>
      </c>
      <c r="Q1353" s="0" t="n">
        <v>2032</v>
      </c>
      <c r="R1353" s="0" t="n">
        <v>116</v>
      </c>
      <c r="W1353" s="0" t="n">
        <v>2030</v>
      </c>
      <c r="X1353" s="0" t="n">
        <v>61.028</v>
      </c>
    </row>
    <row r="1354" customFormat="false" ht="15" hidden="false" customHeight="false" outlineLevel="0" collapsed="false">
      <c r="A1354" s="0" t="n">
        <v>2030</v>
      </c>
      <c r="B1354" s="0" t="n">
        <v>23.56642333</v>
      </c>
      <c r="C1354" s="0" t="n">
        <v>494.89489</v>
      </c>
      <c r="E1354" s="0" t="n">
        <v>2030</v>
      </c>
      <c r="F1354" s="0" t="n">
        <v>18.147052</v>
      </c>
      <c r="G1354" s="0" t="n">
        <v>381.044678</v>
      </c>
      <c r="I1354" s="0" t="n">
        <v>2027</v>
      </c>
      <c r="J1354" s="0" t="n">
        <v>3.02</v>
      </c>
      <c r="K1354" s="0" t="n">
        <v>63.4</v>
      </c>
      <c r="M1354" s="0" t="n">
        <v>2030</v>
      </c>
      <c r="N1354" s="0" t="n">
        <v>5.84</v>
      </c>
      <c r="O1354" s="0" t="n">
        <v>122.36</v>
      </c>
      <c r="Q1354" s="0" t="n">
        <v>2032</v>
      </c>
      <c r="R1354" s="0" t="n">
        <v>26</v>
      </c>
      <c r="W1354" s="0" t="n">
        <v>2030</v>
      </c>
      <c r="X1354" s="0" t="n">
        <v>47.158</v>
      </c>
    </row>
    <row r="1355" customFormat="false" ht="15" hidden="false" customHeight="false" outlineLevel="0" collapsed="false">
      <c r="A1355" s="0" t="n">
        <v>2030</v>
      </c>
      <c r="B1355" s="0" t="n">
        <v>17.52949355</v>
      </c>
      <c r="C1355" s="0" t="n">
        <v>368.1193644</v>
      </c>
      <c r="E1355" s="0" t="n">
        <v>2030</v>
      </c>
      <c r="F1355" s="0" t="n">
        <v>227.165458</v>
      </c>
      <c r="G1355" s="0" t="n">
        <v>4770.474618</v>
      </c>
      <c r="I1355" s="0" t="n">
        <v>2027</v>
      </c>
      <c r="J1355" s="0" t="n">
        <v>3.02</v>
      </c>
      <c r="K1355" s="0" t="n">
        <v>63.4</v>
      </c>
      <c r="M1355" s="0" t="n">
        <v>2030</v>
      </c>
      <c r="N1355" s="0" t="n">
        <v>111.34</v>
      </c>
      <c r="O1355" s="0" t="n">
        <v>2330.92</v>
      </c>
      <c r="Q1355" s="0" t="n">
        <v>2032</v>
      </c>
      <c r="R1355" s="0" t="n">
        <v>24</v>
      </c>
      <c r="W1355" s="0" t="n">
        <v>2030</v>
      </c>
      <c r="X1355" s="0" t="n">
        <v>3020.02</v>
      </c>
    </row>
    <row r="1356" customFormat="false" ht="15" hidden="false" customHeight="false" outlineLevel="0" collapsed="false">
      <c r="A1356" s="0" t="n">
        <v>2030</v>
      </c>
      <c r="B1356" s="0" t="n">
        <v>7.79088602</v>
      </c>
      <c r="C1356" s="0" t="n">
        <v>163.6086064</v>
      </c>
      <c r="E1356" s="0" t="n">
        <v>2030</v>
      </c>
      <c r="F1356" s="0" t="n">
        <v>60.996442</v>
      </c>
      <c r="G1356" s="0" t="n">
        <v>1280.925282</v>
      </c>
      <c r="I1356" s="0" t="n">
        <v>2027</v>
      </c>
      <c r="J1356" s="0" t="n">
        <v>0</v>
      </c>
      <c r="K1356" s="0" t="n">
        <v>0</v>
      </c>
      <c r="M1356" s="0" t="n">
        <v>2030</v>
      </c>
      <c r="N1356" s="0" t="n">
        <v>73.25</v>
      </c>
      <c r="O1356" s="0" t="n">
        <v>1533.5</v>
      </c>
      <c r="Q1356" s="0" t="n">
        <v>2032</v>
      </c>
      <c r="R1356" s="0" t="n">
        <v>24</v>
      </c>
      <c r="W1356" s="0" t="n">
        <v>2030</v>
      </c>
      <c r="X1356" s="0" t="n">
        <v>755.005</v>
      </c>
    </row>
    <row r="1357" customFormat="false" ht="15" hidden="false" customHeight="false" outlineLevel="0" collapsed="false">
      <c r="A1357" s="0" t="n">
        <v>2030</v>
      </c>
      <c r="B1357" s="0" t="n">
        <v>28.77625524</v>
      </c>
      <c r="C1357" s="0" t="n">
        <v>604.3013601</v>
      </c>
      <c r="E1357" s="0" t="n">
        <v>2030</v>
      </c>
      <c r="F1357" s="0" t="n">
        <v>24.414754</v>
      </c>
      <c r="G1357" s="0" t="n">
        <v>512.709834</v>
      </c>
      <c r="I1357" s="0" t="n">
        <v>2027</v>
      </c>
      <c r="J1357" s="0" t="n">
        <v>6.04</v>
      </c>
      <c r="K1357" s="0" t="n">
        <v>126.8</v>
      </c>
      <c r="M1357" s="0" t="n">
        <v>2030</v>
      </c>
      <c r="N1357" s="0" t="n">
        <v>29.3</v>
      </c>
      <c r="O1357" s="0" t="n">
        <v>613.4</v>
      </c>
      <c r="Q1357" s="0" t="n">
        <v>2032</v>
      </c>
      <c r="R1357" s="0" t="n">
        <v>919</v>
      </c>
      <c r="W1357" s="0" t="n">
        <v>2030</v>
      </c>
      <c r="X1357" s="0" t="n">
        <v>233.808</v>
      </c>
    </row>
    <row r="1358" customFormat="false" ht="15" hidden="false" customHeight="false" outlineLevel="0" collapsed="false">
      <c r="A1358" s="0" t="n">
        <v>2030</v>
      </c>
      <c r="B1358" s="0" t="n">
        <v>9.007972753</v>
      </c>
      <c r="C1358" s="0" t="n">
        <v>189.1674278</v>
      </c>
      <c r="E1358" s="0" t="n">
        <v>2030</v>
      </c>
      <c r="F1358" s="0" t="n">
        <v>3.429478</v>
      </c>
      <c r="G1358" s="0" t="n">
        <v>72.019038</v>
      </c>
      <c r="I1358" s="0" t="n">
        <v>2027</v>
      </c>
      <c r="J1358" s="0" t="n">
        <v>10.57</v>
      </c>
      <c r="K1358" s="0" t="n">
        <v>221.9</v>
      </c>
      <c r="M1358" s="0" t="n">
        <v>2030</v>
      </c>
      <c r="N1358" s="0" t="n">
        <v>29.3</v>
      </c>
      <c r="O1358" s="0" t="n">
        <v>613.4</v>
      </c>
      <c r="Q1358" s="0" t="n">
        <v>2032</v>
      </c>
      <c r="R1358" s="0" t="n">
        <v>873</v>
      </c>
      <c r="W1358" s="0" t="n">
        <v>2030</v>
      </c>
      <c r="X1358" s="0" t="n">
        <v>414.035</v>
      </c>
    </row>
    <row r="1359" customFormat="false" ht="15" hidden="false" customHeight="false" outlineLevel="0" collapsed="false">
      <c r="A1359" s="0" t="n">
        <v>2030</v>
      </c>
      <c r="B1359" s="0" t="n">
        <v>20.14127659</v>
      </c>
      <c r="C1359" s="0" t="n">
        <v>422.9668084</v>
      </c>
      <c r="E1359" s="0" t="n">
        <v>2030</v>
      </c>
      <c r="F1359" s="0" t="n">
        <v>81.981718</v>
      </c>
      <c r="G1359" s="0" t="n">
        <v>1721.616078</v>
      </c>
      <c r="I1359" s="0" t="n">
        <v>2027</v>
      </c>
      <c r="J1359" s="0" t="n">
        <v>3.02</v>
      </c>
      <c r="K1359" s="0" t="n">
        <v>63.4</v>
      </c>
      <c r="M1359" s="0" t="n">
        <v>2030</v>
      </c>
      <c r="N1359" s="0" t="n">
        <v>17.58</v>
      </c>
      <c r="O1359" s="0" t="n">
        <v>368.04</v>
      </c>
      <c r="Q1359" s="0" t="n">
        <v>2032</v>
      </c>
      <c r="R1359" s="0" t="n">
        <v>414</v>
      </c>
      <c r="W1359" s="0" t="n">
        <v>2030</v>
      </c>
      <c r="X1359" s="0" t="n">
        <v>185.098</v>
      </c>
    </row>
    <row r="1360" customFormat="false" ht="15" hidden="false" customHeight="false" outlineLevel="0" collapsed="false">
      <c r="A1360" s="0" t="n">
        <v>2030</v>
      </c>
      <c r="B1360" s="0" t="n">
        <v>63.2148203</v>
      </c>
      <c r="C1360" s="0" t="n">
        <v>1327.511226</v>
      </c>
      <c r="E1360" s="0" t="n">
        <v>2030</v>
      </c>
      <c r="F1360" s="0" t="n">
        <v>3.837886</v>
      </c>
      <c r="G1360" s="0" t="n">
        <v>80.595606</v>
      </c>
      <c r="I1360" s="0" t="n">
        <v>2027</v>
      </c>
      <c r="J1360" s="0" t="n">
        <v>10.57</v>
      </c>
      <c r="K1360" s="0" t="n">
        <v>221.9</v>
      </c>
      <c r="M1360" s="0" t="n">
        <v>2030</v>
      </c>
      <c r="N1360" s="0" t="n">
        <v>14.65</v>
      </c>
      <c r="O1360" s="0" t="n">
        <v>306.7</v>
      </c>
      <c r="Q1360" s="0" t="n">
        <v>2032</v>
      </c>
      <c r="R1360" s="0" t="n">
        <v>92</v>
      </c>
      <c r="W1360" s="0" t="n">
        <v>2030</v>
      </c>
      <c r="X1360" s="0" t="n">
        <v>73.065</v>
      </c>
    </row>
    <row r="1361" customFormat="false" ht="15" hidden="false" customHeight="false" outlineLevel="0" collapsed="false">
      <c r="A1361" s="0" t="n">
        <v>2030</v>
      </c>
      <c r="B1361" s="0" t="n">
        <v>15.94464697</v>
      </c>
      <c r="C1361" s="0" t="n">
        <v>334.8375863</v>
      </c>
      <c r="E1361" s="0" t="n">
        <v>2030</v>
      </c>
      <c r="F1361" s="0" t="n">
        <v>20.985276</v>
      </c>
      <c r="G1361" s="0" t="n">
        <v>440.690796</v>
      </c>
      <c r="I1361" s="0" t="n">
        <v>2027</v>
      </c>
      <c r="J1361" s="0" t="n">
        <v>193.44</v>
      </c>
      <c r="K1361" s="0" t="n">
        <v>4058.4</v>
      </c>
      <c r="M1361" s="0" t="n">
        <v>2030</v>
      </c>
      <c r="N1361" s="0" t="n">
        <v>11.72</v>
      </c>
      <c r="O1361" s="0" t="n">
        <v>245.36</v>
      </c>
      <c r="Q1361" s="0" t="n">
        <v>2032</v>
      </c>
      <c r="R1361" s="0" t="n">
        <v>87</v>
      </c>
      <c r="W1361" s="0" t="n">
        <v>2030</v>
      </c>
      <c r="X1361" s="0" t="n">
        <v>107.162</v>
      </c>
    </row>
    <row r="1362" customFormat="false" ht="15" hidden="false" customHeight="false" outlineLevel="0" collapsed="false">
      <c r="A1362" s="0" t="n">
        <v>2030</v>
      </c>
      <c r="B1362" s="0" t="n">
        <v>14.21872761</v>
      </c>
      <c r="C1362" s="0" t="n">
        <v>298.5932798</v>
      </c>
      <c r="E1362" s="0" t="n">
        <v>2030</v>
      </c>
      <c r="F1362" s="0" t="n">
        <v>19.188988</v>
      </c>
      <c r="G1362" s="0" t="n">
        <v>402.968748</v>
      </c>
      <c r="I1362" s="0" t="n">
        <v>2027</v>
      </c>
      <c r="J1362" s="0" t="n">
        <v>64.48</v>
      </c>
      <c r="K1362" s="0" t="n">
        <v>1352.8</v>
      </c>
      <c r="M1362" s="0" t="n">
        <v>2030</v>
      </c>
      <c r="N1362" s="0" t="n">
        <v>5.86</v>
      </c>
      <c r="O1362" s="0" t="n">
        <v>122.68</v>
      </c>
      <c r="Q1362" s="0" t="n">
        <v>2032</v>
      </c>
      <c r="R1362" s="0" t="n">
        <v>87</v>
      </c>
      <c r="W1362" s="0" t="n">
        <v>2030</v>
      </c>
      <c r="X1362" s="0" t="n">
        <v>82.807</v>
      </c>
    </row>
    <row r="1363" customFormat="false" ht="15" hidden="false" customHeight="false" outlineLevel="0" collapsed="false">
      <c r="A1363" s="0" t="n">
        <v>2030</v>
      </c>
      <c r="B1363" s="0" t="n">
        <v>9.888282387</v>
      </c>
      <c r="C1363" s="0" t="n">
        <v>207.6539301</v>
      </c>
      <c r="E1363" s="0" t="n">
        <v>2030</v>
      </c>
      <c r="F1363" s="0" t="n">
        <v>843.904258</v>
      </c>
      <c r="G1363" s="0" t="n">
        <v>17714.79413</v>
      </c>
      <c r="I1363" s="0" t="n">
        <v>2027</v>
      </c>
      <c r="J1363" s="0" t="n">
        <v>28.21</v>
      </c>
      <c r="K1363" s="0" t="n">
        <v>591.85</v>
      </c>
      <c r="M1363" s="0" t="n">
        <v>2030</v>
      </c>
      <c r="N1363" s="0" t="n">
        <v>619.78</v>
      </c>
      <c r="O1363" s="0" t="n">
        <v>13011.96</v>
      </c>
      <c r="Q1363" s="0" t="n">
        <v>2032</v>
      </c>
      <c r="R1363" s="0" t="n">
        <v>426</v>
      </c>
      <c r="W1363" s="0" t="n">
        <v>2030</v>
      </c>
      <c r="X1363" s="0" t="n">
        <v>28459.24</v>
      </c>
    </row>
    <row r="1364" customFormat="false" ht="15" hidden="false" customHeight="false" outlineLevel="0" collapsed="false">
      <c r="A1364" s="0" t="n">
        <v>2030</v>
      </c>
      <c r="B1364" s="0" t="n">
        <v>7.355235024</v>
      </c>
      <c r="C1364" s="0" t="n">
        <v>154.4599355</v>
      </c>
      <c r="E1364" s="0" t="n">
        <v>2030</v>
      </c>
      <c r="F1364" s="0" t="n">
        <v>226.597642</v>
      </c>
      <c r="G1364" s="0" t="n">
        <v>4756.618468</v>
      </c>
      <c r="I1364" s="0" t="n">
        <v>2027</v>
      </c>
      <c r="J1364" s="0" t="n">
        <v>16.12</v>
      </c>
      <c r="K1364" s="0" t="n">
        <v>338.2</v>
      </c>
      <c r="M1364" s="0" t="n">
        <v>2030</v>
      </c>
      <c r="N1364" s="0" t="n">
        <v>407.75</v>
      </c>
      <c r="O1364" s="0" t="n">
        <v>8560.5</v>
      </c>
      <c r="Q1364" s="0" t="n">
        <v>2032</v>
      </c>
      <c r="R1364" s="0" t="n">
        <v>405</v>
      </c>
      <c r="W1364" s="0" t="n">
        <v>2030</v>
      </c>
      <c r="X1364" s="0" t="n">
        <v>7114.81</v>
      </c>
    </row>
    <row r="1365" customFormat="false" ht="15" hidden="false" customHeight="false" outlineLevel="0" collapsed="false">
      <c r="A1365" s="0" t="n">
        <v>2030</v>
      </c>
      <c r="B1365" s="0" t="n">
        <v>3.268993344</v>
      </c>
      <c r="C1365" s="0" t="n">
        <v>68.64886022</v>
      </c>
      <c r="E1365" s="0" t="n">
        <v>2030</v>
      </c>
      <c r="F1365" s="0" t="n">
        <v>90.699154</v>
      </c>
      <c r="G1365" s="0" t="n">
        <v>1903.908916</v>
      </c>
      <c r="I1365" s="0" t="n">
        <v>2027</v>
      </c>
      <c r="J1365" s="0" t="n">
        <v>16.12</v>
      </c>
      <c r="K1365" s="0" t="n">
        <v>338.2</v>
      </c>
      <c r="M1365" s="0" t="n">
        <v>2030</v>
      </c>
      <c r="N1365" s="0" t="n">
        <v>163.1</v>
      </c>
      <c r="O1365" s="0" t="n">
        <v>3424.2</v>
      </c>
      <c r="Q1365" s="0" t="n">
        <v>2032</v>
      </c>
      <c r="R1365" s="0" t="n">
        <v>192</v>
      </c>
      <c r="W1365" s="0" t="n">
        <v>2030</v>
      </c>
      <c r="X1365" s="0" t="n">
        <v>2203.296</v>
      </c>
    </row>
    <row r="1366" customFormat="false" ht="15" hidden="false" customHeight="false" outlineLevel="0" collapsed="false">
      <c r="A1366" s="0" t="n">
        <v>2030</v>
      </c>
      <c r="B1366" s="0" t="n">
        <v>12.07428611</v>
      </c>
      <c r="C1366" s="0" t="n">
        <v>253.5600083</v>
      </c>
      <c r="E1366" s="0" t="n">
        <v>2030</v>
      </c>
      <c r="F1366" s="0" t="n">
        <v>12.740278</v>
      </c>
      <c r="G1366" s="0" t="n">
        <v>267.437212</v>
      </c>
      <c r="I1366" s="0" t="n">
        <v>2027</v>
      </c>
      <c r="J1366" s="0" t="n">
        <v>8.06</v>
      </c>
      <c r="K1366" s="0" t="n">
        <v>169.1</v>
      </c>
      <c r="M1366" s="0" t="n">
        <v>2030</v>
      </c>
      <c r="N1366" s="0" t="n">
        <v>163.1</v>
      </c>
      <c r="O1366" s="0" t="n">
        <v>3424.2</v>
      </c>
      <c r="Q1366" s="0" t="n">
        <v>2032</v>
      </c>
      <c r="R1366" s="0" t="n">
        <v>43</v>
      </c>
      <c r="W1366" s="0" t="n">
        <v>2030</v>
      </c>
      <c r="X1366" s="0" t="n">
        <v>3901.67</v>
      </c>
    </row>
    <row r="1367" customFormat="false" ht="15" hidden="false" customHeight="false" outlineLevel="0" collapsed="false">
      <c r="A1367" s="0" t="n">
        <v>2030</v>
      </c>
      <c r="B1367" s="0" t="n">
        <v>3.779673184</v>
      </c>
      <c r="C1367" s="0" t="n">
        <v>79.37313687</v>
      </c>
      <c r="E1367" s="0" t="n">
        <v>2030</v>
      </c>
      <c r="F1367" s="0" t="n">
        <v>304.556518</v>
      </c>
      <c r="G1367" s="0" t="n">
        <v>6393.090172</v>
      </c>
      <c r="I1367" s="0" t="n">
        <v>2027</v>
      </c>
      <c r="J1367" s="0" t="n">
        <v>8.06</v>
      </c>
      <c r="K1367" s="0" t="n">
        <v>169.1</v>
      </c>
      <c r="M1367" s="0" t="n">
        <v>2030</v>
      </c>
      <c r="N1367" s="0" t="n">
        <v>97.86</v>
      </c>
      <c r="O1367" s="0" t="n">
        <v>2054.52</v>
      </c>
      <c r="Q1367" s="0" t="n">
        <v>2032</v>
      </c>
      <c r="R1367" s="0" t="n">
        <v>40</v>
      </c>
      <c r="W1367" s="0" t="n">
        <v>2030</v>
      </c>
      <c r="X1367" s="0" t="n">
        <v>1744.276</v>
      </c>
    </row>
    <row r="1368" customFormat="false" ht="15" hidden="false" customHeight="false" outlineLevel="0" collapsed="false">
      <c r="A1368" s="0" t="n">
        <v>2030</v>
      </c>
      <c r="B1368" s="0" t="n">
        <v>8.451118261</v>
      </c>
      <c r="C1368" s="0" t="n">
        <v>177.4734835</v>
      </c>
      <c r="E1368" s="0" t="n">
        <v>2030</v>
      </c>
      <c r="F1368" s="0" t="n">
        <v>14.257486</v>
      </c>
      <c r="G1368" s="0" t="n">
        <v>299.285644</v>
      </c>
      <c r="I1368" s="0" t="n">
        <v>2027</v>
      </c>
      <c r="J1368" s="0" t="n">
        <v>16.12</v>
      </c>
      <c r="K1368" s="0" t="n">
        <v>338.2</v>
      </c>
      <c r="M1368" s="0" t="n">
        <v>2030</v>
      </c>
      <c r="N1368" s="0" t="n">
        <v>81.55</v>
      </c>
      <c r="O1368" s="0" t="n">
        <v>1712.1</v>
      </c>
      <c r="Q1368" s="0" t="n">
        <v>2032</v>
      </c>
      <c r="R1368" s="0" t="n">
        <v>40</v>
      </c>
      <c r="W1368" s="0" t="n">
        <v>2030</v>
      </c>
      <c r="X1368" s="0" t="n">
        <v>688.53</v>
      </c>
    </row>
    <row r="1369" customFormat="false" ht="15" hidden="false" customHeight="false" outlineLevel="0" collapsed="false">
      <c r="A1369" s="0" t="n">
        <v>2030</v>
      </c>
      <c r="B1369" s="0" t="n">
        <v>252.6654556</v>
      </c>
      <c r="C1369" s="0" t="n">
        <v>5305.974568</v>
      </c>
      <c r="E1369" s="0" t="n">
        <v>2030</v>
      </c>
      <c r="F1369" s="0" t="n">
        <v>77.958876</v>
      </c>
      <c r="G1369" s="0" t="n">
        <v>1636.471704</v>
      </c>
      <c r="I1369" s="0" t="n">
        <v>2027</v>
      </c>
      <c r="J1369" s="0" t="n">
        <v>28.21</v>
      </c>
      <c r="K1369" s="0" t="n">
        <v>591.85</v>
      </c>
      <c r="M1369" s="0" t="n">
        <v>2030</v>
      </c>
      <c r="N1369" s="0" t="n">
        <v>65.24</v>
      </c>
      <c r="O1369" s="0" t="n">
        <v>1369.68</v>
      </c>
      <c r="Q1369" s="0" t="n">
        <v>2032</v>
      </c>
      <c r="R1369" s="0" t="n">
        <v>56</v>
      </c>
      <c r="W1369" s="0" t="n">
        <v>2030</v>
      </c>
      <c r="X1369" s="0" t="n">
        <v>1009.844</v>
      </c>
    </row>
    <row r="1370" customFormat="false" ht="15" hidden="false" customHeight="false" outlineLevel="0" collapsed="false">
      <c r="A1370" s="0" t="n">
        <v>2030</v>
      </c>
      <c r="B1370" s="0" t="n">
        <v>63.72969933</v>
      </c>
      <c r="C1370" s="0" t="n">
        <v>1338.323686</v>
      </c>
      <c r="E1370" s="0" t="n">
        <v>2030</v>
      </c>
      <c r="F1370" s="0" t="n">
        <v>71.285788</v>
      </c>
      <c r="G1370" s="0" t="n">
        <v>1496.393752</v>
      </c>
      <c r="I1370" s="0" t="n">
        <v>2027</v>
      </c>
      <c r="J1370" s="0" t="n">
        <v>12.09</v>
      </c>
      <c r="K1370" s="0" t="n">
        <v>253.65</v>
      </c>
      <c r="M1370" s="0" t="n">
        <v>2030</v>
      </c>
      <c r="N1370" s="0" t="n">
        <v>32.62</v>
      </c>
      <c r="O1370" s="0" t="n">
        <v>684.84</v>
      </c>
      <c r="Q1370" s="0" t="n">
        <v>2032</v>
      </c>
      <c r="R1370" s="0" t="n">
        <v>53</v>
      </c>
      <c r="W1370" s="0" t="n">
        <v>2030</v>
      </c>
      <c r="X1370" s="0" t="n">
        <v>780.334</v>
      </c>
    </row>
    <row r="1371" customFormat="false" ht="15" hidden="false" customHeight="false" outlineLevel="0" collapsed="false">
      <c r="A1371" s="0" t="n">
        <v>2030</v>
      </c>
      <c r="B1371" s="0" t="n">
        <v>56.83131381</v>
      </c>
      <c r="C1371" s="0" t="n">
        <v>1193.45759</v>
      </c>
      <c r="E1371" s="0" t="n">
        <v>2030</v>
      </c>
      <c r="F1371" s="0" t="n">
        <v>875.255147</v>
      </c>
      <c r="G1371" s="0" t="n">
        <v>18377.78834</v>
      </c>
      <c r="I1371" s="0" t="n">
        <v>2027</v>
      </c>
      <c r="J1371" s="0" t="n">
        <v>12.09</v>
      </c>
      <c r="K1371" s="0" t="n">
        <v>253.65</v>
      </c>
      <c r="M1371" s="0" t="n">
        <v>2030</v>
      </c>
      <c r="N1371" s="0" t="n">
        <v>210.9</v>
      </c>
      <c r="O1371" s="0" t="n">
        <v>4423.2</v>
      </c>
      <c r="Q1371" s="0" t="n">
        <v>2032</v>
      </c>
      <c r="R1371" s="0" t="n">
        <v>25</v>
      </c>
      <c r="W1371" s="0" t="n">
        <v>2030</v>
      </c>
      <c r="X1371" s="0" t="n">
        <v>11345.38</v>
      </c>
    </row>
    <row r="1372" customFormat="false" ht="15" hidden="false" customHeight="false" outlineLevel="0" collapsed="false">
      <c r="A1372" s="0" t="n">
        <v>2030</v>
      </c>
      <c r="B1372" s="0" t="n">
        <v>39.52281068</v>
      </c>
      <c r="C1372" s="0" t="n">
        <v>829.9790243</v>
      </c>
      <c r="E1372" s="0" t="n">
        <v>2030</v>
      </c>
      <c r="F1372" s="0" t="n">
        <v>235.015703</v>
      </c>
      <c r="G1372" s="0" t="n">
        <v>4934.639758</v>
      </c>
      <c r="I1372" s="0" t="n">
        <v>2027</v>
      </c>
      <c r="J1372" s="0" t="n">
        <v>28.08</v>
      </c>
      <c r="K1372" s="0" t="n">
        <v>593.84</v>
      </c>
      <c r="M1372" s="0" t="n">
        <v>2030</v>
      </c>
      <c r="N1372" s="0" t="n">
        <v>138.75</v>
      </c>
      <c r="O1372" s="0" t="n">
        <v>2910</v>
      </c>
      <c r="Q1372" s="0" t="n">
        <v>2032</v>
      </c>
      <c r="R1372" s="0" t="n">
        <v>6</v>
      </c>
      <c r="W1372" s="0" t="n">
        <v>2030</v>
      </c>
      <c r="X1372" s="0" t="n">
        <v>2836.345</v>
      </c>
    </row>
    <row r="1373" customFormat="false" ht="15" hidden="false" customHeight="false" outlineLevel="0" collapsed="false">
      <c r="A1373" s="0" t="n">
        <v>2030</v>
      </c>
      <c r="B1373" s="0" t="n">
        <v>29.39838791</v>
      </c>
      <c r="C1373" s="0" t="n">
        <v>617.366146</v>
      </c>
      <c r="E1373" s="0" t="n">
        <v>2030</v>
      </c>
      <c r="F1373" s="0" t="n">
        <v>94.068611</v>
      </c>
      <c r="G1373" s="0" t="n">
        <v>1975.164646</v>
      </c>
      <c r="I1373" s="0" t="n">
        <v>2027</v>
      </c>
      <c r="J1373" s="0" t="n">
        <v>4.32</v>
      </c>
      <c r="K1373" s="0" t="n">
        <v>91.36</v>
      </c>
      <c r="M1373" s="0" t="n">
        <v>2030</v>
      </c>
      <c r="N1373" s="0" t="n">
        <v>55.5</v>
      </c>
      <c r="O1373" s="0" t="n">
        <v>1164</v>
      </c>
      <c r="Q1373" s="0" t="n">
        <v>2032</v>
      </c>
      <c r="R1373" s="0" t="n">
        <v>5</v>
      </c>
      <c r="W1373" s="0" t="n">
        <v>2030</v>
      </c>
      <c r="X1373" s="0" t="n">
        <v>878.352</v>
      </c>
    </row>
    <row r="1374" customFormat="false" ht="15" hidden="false" customHeight="false" outlineLevel="0" collapsed="false">
      <c r="A1374" s="0" t="n">
        <v>2030</v>
      </c>
      <c r="B1374" s="0" t="n">
        <v>13.06595018</v>
      </c>
      <c r="C1374" s="0" t="n">
        <v>274.3849538</v>
      </c>
      <c r="E1374" s="0" t="n">
        <v>2030</v>
      </c>
      <c r="F1374" s="0" t="n">
        <v>13.213577</v>
      </c>
      <c r="G1374" s="0" t="n">
        <v>277.446322</v>
      </c>
      <c r="I1374" s="0" t="n">
        <v>2027</v>
      </c>
      <c r="J1374" s="0" t="n">
        <v>3.24</v>
      </c>
      <c r="K1374" s="0" t="n">
        <v>68.52</v>
      </c>
      <c r="M1374" s="0" t="n">
        <v>2030</v>
      </c>
      <c r="N1374" s="0" t="n">
        <v>55.5</v>
      </c>
      <c r="O1374" s="0" t="n">
        <v>1164</v>
      </c>
      <c r="Q1374" s="0" t="n">
        <v>2032</v>
      </c>
      <c r="R1374" s="0" t="n">
        <v>5</v>
      </c>
      <c r="W1374" s="0" t="n">
        <v>2030</v>
      </c>
      <c r="X1374" s="0" t="n">
        <v>1555.415</v>
      </c>
    </row>
    <row r="1375" customFormat="false" ht="15" hidden="false" customHeight="false" outlineLevel="0" collapsed="false">
      <c r="A1375" s="0" t="n">
        <v>2030</v>
      </c>
      <c r="B1375" s="0" t="n">
        <v>48.26012297</v>
      </c>
      <c r="C1375" s="0" t="n">
        <v>1013.462582</v>
      </c>
      <c r="E1375" s="0" t="n">
        <v>2030</v>
      </c>
      <c r="F1375" s="0" t="n">
        <v>315.870737</v>
      </c>
      <c r="G1375" s="0" t="n">
        <v>6632.358082</v>
      </c>
      <c r="I1375" s="0" t="n">
        <v>2027</v>
      </c>
      <c r="J1375" s="0" t="n">
        <v>5.4</v>
      </c>
      <c r="K1375" s="0" t="n">
        <v>114.2</v>
      </c>
      <c r="M1375" s="0" t="n">
        <v>2030</v>
      </c>
      <c r="N1375" s="0" t="n">
        <v>33.3</v>
      </c>
      <c r="O1375" s="0" t="n">
        <v>698.4</v>
      </c>
      <c r="Q1375" s="0" t="n">
        <v>2032</v>
      </c>
      <c r="R1375" s="0" t="n">
        <v>463</v>
      </c>
      <c r="W1375" s="0" t="n">
        <v>2030</v>
      </c>
      <c r="X1375" s="0" t="n">
        <v>695.362</v>
      </c>
    </row>
    <row r="1376" customFormat="false" ht="15" hidden="false" customHeight="false" outlineLevel="0" collapsed="false">
      <c r="A1376" s="0" t="n">
        <v>2030</v>
      </c>
      <c r="B1376" s="0" t="n">
        <v>15.10710373</v>
      </c>
      <c r="C1376" s="0" t="n">
        <v>317.2491783</v>
      </c>
      <c r="E1376" s="0" t="n">
        <v>2030</v>
      </c>
      <c r="F1376" s="0" t="n">
        <v>14.787149</v>
      </c>
      <c r="G1376" s="0" t="n">
        <v>310.486714</v>
      </c>
      <c r="I1376" s="0" t="n">
        <v>2027</v>
      </c>
      <c r="J1376" s="0" t="n">
        <v>1.08</v>
      </c>
      <c r="K1376" s="0" t="n">
        <v>22.84</v>
      </c>
      <c r="M1376" s="0" t="n">
        <v>2030</v>
      </c>
      <c r="N1376" s="0" t="n">
        <v>27.75</v>
      </c>
      <c r="O1376" s="0" t="n">
        <v>582</v>
      </c>
      <c r="Q1376" s="0" t="n">
        <v>2032</v>
      </c>
      <c r="R1376" s="0" t="n">
        <v>440</v>
      </c>
      <c r="W1376" s="0" t="n">
        <v>2030</v>
      </c>
      <c r="X1376" s="0" t="n">
        <v>274.485</v>
      </c>
    </row>
    <row r="1377" customFormat="false" ht="15" hidden="false" customHeight="false" outlineLevel="0" collapsed="false">
      <c r="A1377" s="0" t="n">
        <v>2030</v>
      </c>
      <c r="B1377" s="0" t="n">
        <v>33.77856072</v>
      </c>
      <c r="C1377" s="0" t="n">
        <v>709.3497752</v>
      </c>
      <c r="E1377" s="0" t="n">
        <v>2030</v>
      </c>
      <c r="F1377" s="0" t="n">
        <v>80.855034</v>
      </c>
      <c r="G1377" s="0" t="n">
        <v>1697.718324</v>
      </c>
      <c r="I1377" s="0" t="n">
        <v>2027</v>
      </c>
      <c r="J1377" s="0" t="n">
        <v>1.08</v>
      </c>
      <c r="K1377" s="0" t="n">
        <v>22.84</v>
      </c>
      <c r="M1377" s="0" t="n">
        <v>2030</v>
      </c>
      <c r="N1377" s="0" t="n">
        <v>22.2</v>
      </c>
      <c r="O1377" s="0" t="n">
        <v>465.6</v>
      </c>
      <c r="Q1377" s="0" t="n">
        <v>2032</v>
      </c>
      <c r="R1377" s="0" t="n">
        <v>208</v>
      </c>
      <c r="W1377" s="0" t="n">
        <v>2030</v>
      </c>
      <c r="X1377" s="0" t="n">
        <v>402.578</v>
      </c>
    </row>
    <row r="1378" customFormat="false" ht="15" hidden="false" customHeight="false" outlineLevel="0" collapsed="false">
      <c r="A1378" s="0" t="n">
        <v>2030</v>
      </c>
      <c r="B1378" s="0" t="n">
        <v>322.3042086</v>
      </c>
      <c r="C1378" s="0" t="n">
        <v>6768.388381</v>
      </c>
      <c r="E1378" s="0" t="n">
        <v>2030</v>
      </c>
      <c r="F1378" s="0" t="n">
        <v>73.934042</v>
      </c>
      <c r="G1378" s="0" t="n">
        <v>1552.397812</v>
      </c>
      <c r="I1378" s="0" t="n">
        <v>2027</v>
      </c>
      <c r="J1378" s="0" t="n">
        <v>0</v>
      </c>
      <c r="K1378" s="0" t="n">
        <v>0</v>
      </c>
      <c r="M1378" s="0" t="n">
        <v>2030</v>
      </c>
      <c r="N1378" s="0" t="n">
        <v>11.1</v>
      </c>
      <c r="O1378" s="0" t="n">
        <v>232.8</v>
      </c>
      <c r="Q1378" s="0" t="n">
        <v>2032</v>
      </c>
      <c r="R1378" s="0" t="n">
        <v>46</v>
      </c>
      <c r="W1378" s="0" t="n">
        <v>2030</v>
      </c>
      <c r="X1378" s="0" t="n">
        <v>311.083</v>
      </c>
    </row>
    <row r="1379" customFormat="false" ht="15" hidden="false" customHeight="false" outlineLevel="0" collapsed="false">
      <c r="A1379" s="0" t="n">
        <v>2030</v>
      </c>
      <c r="B1379" s="0" t="n">
        <v>81.29465208</v>
      </c>
      <c r="C1379" s="0" t="n">
        <v>1707.187694</v>
      </c>
      <c r="E1379" s="0" t="n">
        <v>2030</v>
      </c>
      <c r="F1379" s="0" t="n">
        <v>297.576471</v>
      </c>
      <c r="G1379" s="0" t="n">
        <v>6247.564044</v>
      </c>
      <c r="I1379" s="0" t="n">
        <v>2027</v>
      </c>
      <c r="J1379" s="0" t="n">
        <v>2.16</v>
      </c>
      <c r="K1379" s="0" t="n">
        <v>45.68</v>
      </c>
      <c r="M1379" s="0" t="n">
        <v>2030</v>
      </c>
      <c r="N1379" s="0" t="n">
        <v>28.5</v>
      </c>
      <c r="O1379" s="0" t="n">
        <v>594.32</v>
      </c>
      <c r="Q1379" s="0" t="n">
        <v>2032</v>
      </c>
      <c r="R1379" s="0" t="n">
        <v>44</v>
      </c>
      <c r="W1379" s="0" t="n">
        <v>2030</v>
      </c>
      <c r="X1379" s="0" t="n">
        <v>14779.56</v>
      </c>
    </row>
    <row r="1380" customFormat="false" ht="15" hidden="false" customHeight="false" outlineLevel="0" collapsed="false">
      <c r="A1380" s="0" t="n">
        <v>2030</v>
      </c>
      <c r="B1380" s="0" t="n">
        <v>72.49495811</v>
      </c>
      <c r="C1380" s="0" t="n">
        <v>1522.39412</v>
      </c>
      <c r="E1380" s="0" t="n">
        <v>2030</v>
      </c>
      <c r="F1380" s="0" t="n">
        <v>79.902579</v>
      </c>
      <c r="G1380" s="0" t="n">
        <v>1677.540156</v>
      </c>
      <c r="I1380" s="0" t="n">
        <v>2027</v>
      </c>
      <c r="J1380" s="0" t="n">
        <v>3.78</v>
      </c>
      <c r="K1380" s="0" t="n">
        <v>79.94</v>
      </c>
      <c r="M1380" s="0" t="n">
        <v>2030</v>
      </c>
      <c r="N1380" s="0" t="n">
        <v>18.75</v>
      </c>
      <c r="O1380" s="0" t="n">
        <v>391</v>
      </c>
      <c r="Q1380" s="0" t="n">
        <v>2032</v>
      </c>
      <c r="R1380" s="0" t="n">
        <v>44</v>
      </c>
      <c r="W1380" s="0" t="n">
        <v>2030</v>
      </c>
      <c r="X1380" s="0" t="n">
        <v>3694.89</v>
      </c>
    </row>
    <row r="1381" customFormat="false" ht="15" hidden="false" customHeight="false" outlineLevel="0" collapsed="false">
      <c r="A1381" s="0" t="n">
        <v>2030</v>
      </c>
      <c r="B1381" s="0" t="n">
        <v>50.41594699</v>
      </c>
      <c r="C1381" s="0" t="n">
        <v>1058.734887</v>
      </c>
      <c r="E1381" s="0" t="n">
        <v>2030</v>
      </c>
      <c r="F1381" s="0" t="n">
        <v>31.982223</v>
      </c>
      <c r="G1381" s="0" t="n">
        <v>671.460972</v>
      </c>
      <c r="I1381" s="0" t="n">
        <v>2027</v>
      </c>
      <c r="J1381" s="0" t="n">
        <v>1.08</v>
      </c>
      <c r="K1381" s="0" t="n">
        <v>22.84</v>
      </c>
      <c r="M1381" s="0" t="n">
        <v>2030</v>
      </c>
      <c r="N1381" s="0" t="n">
        <v>7.5</v>
      </c>
      <c r="O1381" s="0" t="n">
        <v>156.4</v>
      </c>
      <c r="Q1381" s="0" t="n">
        <v>2032</v>
      </c>
      <c r="R1381" s="0" t="n">
        <v>755</v>
      </c>
      <c r="W1381" s="0" t="n">
        <v>2030</v>
      </c>
      <c r="X1381" s="0" t="n">
        <v>1144.224</v>
      </c>
    </row>
    <row r="1382" customFormat="false" ht="15" hidden="false" customHeight="false" outlineLevel="0" collapsed="false">
      <c r="A1382" s="0" t="n">
        <v>2030</v>
      </c>
      <c r="B1382" s="0" t="n">
        <v>37.50106687</v>
      </c>
      <c r="C1382" s="0" t="n">
        <v>787.5224044</v>
      </c>
      <c r="E1382" s="0" t="n">
        <v>2030</v>
      </c>
      <c r="F1382" s="0" t="n">
        <v>4.492461</v>
      </c>
      <c r="G1382" s="0" t="n">
        <v>94.318404</v>
      </c>
      <c r="I1382" s="0" t="n">
        <v>2027</v>
      </c>
      <c r="J1382" s="0" t="n">
        <v>3.78</v>
      </c>
      <c r="K1382" s="0" t="n">
        <v>79.94</v>
      </c>
      <c r="M1382" s="0" t="n">
        <v>2030</v>
      </c>
      <c r="N1382" s="0" t="n">
        <v>7.5</v>
      </c>
      <c r="O1382" s="0" t="n">
        <v>156.4</v>
      </c>
      <c r="Q1382" s="0" t="n">
        <v>2032</v>
      </c>
      <c r="R1382" s="0" t="n">
        <v>717</v>
      </c>
      <c r="W1382" s="0" t="n">
        <v>2030</v>
      </c>
      <c r="X1382" s="0" t="n">
        <v>2026.23</v>
      </c>
    </row>
    <row r="1383" customFormat="false" ht="15" hidden="false" customHeight="false" outlineLevel="0" collapsed="false">
      <c r="A1383" s="0" t="n">
        <v>2030</v>
      </c>
      <c r="B1383" s="0" t="n">
        <v>16.66714083</v>
      </c>
      <c r="C1383" s="0" t="n">
        <v>350.0099575</v>
      </c>
      <c r="E1383" s="0" t="n">
        <v>2030</v>
      </c>
      <c r="F1383" s="0" t="n">
        <v>107.392341</v>
      </c>
      <c r="G1383" s="0" t="n">
        <v>2254.682724</v>
      </c>
      <c r="I1383" s="0" t="n">
        <v>2027</v>
      </c>
      <c r="J1383" s="0" t="n">
        <v>114.24</v>
      </c>
      <c r="K1383" s="0" t="n">
        <v>2397.12</v>
      </c>
      <c r="M1383" s="0" t="n">
        <v>2030</v>
      </c>
      <c r="N1383" s="0" t="n">
        <v>4.5</v>
      </c>
      <c r="O1383" s="0" t="n">
        <v>93.84</v>
      </c>
      <c r="Q1383" s="0" t="n">
        <v>2032</v>
      </c>
      <c r="R1383" s="0" t="n">
        <v>340</v>
      </c>
      <c r="W1383" s="0" t="n">
        <v>2030</v>
      </c>
      <c r="X1383" s="0" t="n">
        <v>905.844</v>
      </c>
    </row>
    <row r="1384" customFormat="false" ht="15" hidden="false" customHeight="false" outlineLevel="0" collapsed="false">
      <c r="A1384" s="0" t="n">
        <v>2030</v>
      </c>
      <c r="B1384" s="0" t="n">
        <v>61.56140618</v>
      </c>
      <c r="C1384" s="0" t="n">
        <v>1292.78953</v>
      </c>
      <c r="E1384" s="0" t="n">
        <v>2030</v>
      </c>
      <c r="F1384" s="0" t="n">
        <v>5.027457</v>
      </c>
      <c r="G1384" s="0" t="n">
        <v>105.550548</v>
      </c>
      <c r="I1384" s="0" t="n">
        <v>2027</v>
      </c>
      <c r="J1384" s="0" t="n">
        <v>38.08</v>
      </c>
      <c r="K1384" s="0" t="n">
        <v>799.04</v>
      </c>
      <c r="M1384" s="0" t="n">
        <v>2030</v>
      </c>
      <c r="N1384" s="0" t="n">
        <v>3.75</v>
      </c>
      <c r="O1384" s="0" t="n">
        <v>78.2</v>
      </c>
      <c r="Q1384" s="0" t="n">
        <v>2032</v>
      </c>
      <c r="R1384" s="0" t="n">
        <v>75</v>
      </c>
      <c r="W1384" s="0" t="n">
        <v>2030</v>
      </c>
      <c r="X1384" s="0" t="n">
        <v>357.57</v>
      </c>
    </row>
    <row r="1385" customFormat="false" ht="15" hidden="false" customHeight="false" outlineLevel="0" collapsed="false">
      <c r="A1385" s="0" t="n">
        <v>2030</v>
      </c>
      <c r="B1385" s="0" t="n">
        <v>19.27086985</v>
      </c>
      <c r="C1385" s="0" t="n">
        <v>404.6882668</v>
      </c>
      <c r="E1385" s="0" t="n">
        <v>2030</v>
      </c>
      <c r="F1385" s="0" t="n">
        <v>27.489762</v>
      </c>
      <c r="G1385" s="0" t="n">
        <v>577.142568</v>
      </c>
      <c r="I1385" s="0" t="n">
        <v>2027</v>
      </c>
      <c r="J1385" s="0" t="n">
        <v>16.66</v>
      </c>
      <c r="K1385" s="0" t="n">
        <v>349.58</v>
      </c>
      <c r="M1385" s="0" t="n">
        <v>2030</v>
      </c>
      <c r="N1385" s="0" t="n">
        <v>3</v>
      </c>
      <c r="O1385" s="0" t="n">
        <v>62.56</v>
      </c>
      <c r="Q1385" s="0" t="n">
        <v>2032</v>
      </c>
      <c r="R1385" s="0" t="n">
        <v>72</v>
      </c>
      <c r="W1385" s="0" t="n">
        <v>2030</v>
      </c>
      <c r="X1385" s="0" t="n">
        <v>524.436</v>
      </c>
    </row>
    <row r="1386" customFormat="false" ht="15" hidden="false" customHeight="false" outlineLevel="0" collapsed="false">
      <c r="A1386" s="0" t="n">
        <v>2030</v>
      </c>
      <c r="B1386" s="0" t="n">
        <v>43.08848732</v>
      </c>
      <c r="C1386" s="0" t="n">
        <v>904.8582337</v>
      </c>
      <c r="E1386" s="0" t="n">
        <v>2030</v>
      </c>
      <c r="F1386" s="0" t="n">
        <v>25.136706</v>
      </c>
      <c r="G1386" s="0" t="n">
        <v>527.740584</v>
      </c>
      <c r="I1386" s="0" t="n">
        <v>2027</v>
      </c>
      <c r="J1386" s="0" t="n">
        <v>9.52</v>
      </c>
      <c r="K1386" s="0" t="n">
        <v>199.76</v>
      </c>
      <c r="M1386" s="0" t="n">
        <v>2030</v>
      </c>
      <c r="N1386" s="0" t="n">
        <v>1.5</v>
      </c>
      <c r="O1386" s="0" t="n">
        <v>31.28</v>
      </c>
      <c r="Q1386" s="0" t="n">
        <v>2032</v>
      </c>
      <c r="R1386" s="0" t="n">
        <v>72</v>
      </c>
      <c r="W1386" s="0" t="n">
        <v>2030</v>
      </c>
      <c r="X1386" s="0" t="n">
        <v>405.246</v>
      </c>
    </row>
    <row r="1387" customFormat="false" ht="15" hidden="false" customHeight="false" outlineLevel="0" collapsed="false">
      <c r="A1387" s="0" t="n">
        <v>2030</v>
      </c>
      <c r="B1387" s="0" t="n">
        <v>317.2924336</v>
      </c>
      <c r="C1387" s="0" t="n">
        <v>6663.141105</v>
      </c>
      <c r="E1387" s="0" t="n">
        <v>2030</v>
      </c>
      <c r="F1387" s="0" t="n">
        <v>398.824424</v>
      </c>
      <c r="G1387" s="0" t="n">
        <v>8367.08972</v>
      </c>
      <c r="I1387" s="0" t="n">
        <v>2027</v>
      </c>
      <c r="J1387" s="0" t="n">
        <v>9.52</v>
      </c>
      <c r="K1387" s="0" t="n">
        <v>199.76</v>
      </c>
      <c r="M1387" s="0" t="n">
        <v>2030</v>
      </c>
      <c r="N1387" s="0" t="n">
        <v>74.48</v>
      </c>
      <c r="O1387" s="0" t="n">
        <v>1559.9</v>
      </c>
      <c r="Q1387" s="0" t="n">
        <v>2032</v>
      </c>
      <c r="R1387" s="0" t="n">
        <v>336</v>
      </c>
      <c r="W1387" s="0" t="n">
        <v>2030</v>
      </c>
      <c r="X1387" s="0" t="n">
        <v>9306.82</v>
      </c>
    </row>
    <row r="1388" customFormat="false" ht="15" hidden="false" customHeight="false" outlineLevel="0" collapsed="false">
      <c r="A1388" s="0" t="n">
        <v>2030</v>
      </c>
      <c r="B1388" s="0" t="n">
        <v>80.0305342</v>
      </c>
      <c r="C1388" s="0" t="n">
        <v>1680.641218</v>
      </c>
      <c r="E1388" s="0" t="n">
        <v>2030</v>
      </c>
      <c r="F1388" s="0" t="n">
        <v>107.088776</v>
      </c>
      <c r="G1388" s="0" t="n">
        <v>2246.65628</v>
      </c>
      <c r="I1388" s="0" t="n">
        <v>2027</v>
      </c>
      <c r="J1388" s="0" t="n">
        <v>4.76</v>
      </c>
      <c r="K1388" s="0" t="n">
        <v>99.88</v>
      </c>
      <c r="M1388" s="0" t="n">
        <v>2030</v>
      </c>
      <c r="N1388" s="0" t="n">
        <v>49</v>
      </c>
      <c r="O1388" s="0" t="n">
        <v>1026.25</v>
      </c>
      <c r="Q1388" s="0" t="n">
        <v>2032</v>
      </c>
      <c r="R1388" s="0" t="n">
        <v>320</v>
      </c>
      <c r="W1388" s="0" t="n">
        <v>2030</v>
      </c>
      <c r="X1388" s="0" t="n">
        <v>2326.705</v>
      </c>
    </row>
    <row r="1389" customFormat="false" ht="15" hidden="false" customHeight="false" outlineLevel="0" collapsed="false">
      <c r="A1389" s="0" t="n">
        <v>2030</v>
      </c>
      <c r="B1389" s="0" t="n">
        <v>71.36767397</v>
      </c>
      <c r="C1389" s="0" t="n">
        <v>1498.721153</v>
      </c>
      <c r="E1389" s="0" t="n">
        <v>2030</v>
      </c>
      <c r="F1389" s="0" t="n">
        <v>42.863912</v>
      </c>
      <c r="G1389" s="0" t="n">
        <v>899.25836</v>
      </c>
      <c r="I1389" s="0" t="n">
        <v>2027</v>
      </c>
      <c r="J1389" s="0" t="n">
        <v>4.76</v>
      </c>
      <c r="K1389" s="0" t="n">
        <v>99.88</v>
      </c>
      <c r="M1389" s="0" t="n">
        <v>2030</v>
      </c>
      <c r="N1389" s="0" t="n">
        <v>19.6</v>
      </c>
      <c r="O1389" s="0" t="n">
        <v>410.5</v>
      </c>
      <c r="Q1389" s="0" t="n">
        <v>2032</v>
      </c>
      <c r="R1389" s="0" t="n">
        <v>151</v>
      </c>
      <c r="W1389" s="0" t="n">
        <v>2030</v>
      </c>
      <c r="X1389" s="0" t="n">
        <v>720.528</v>
      </c>
    </row>
    <row r="1390" customFormat="false" ht="15" hidden="false" customHeight="false" outlineLevel="0" collapsed="false">
      <c r="A1390" s="0" t="n">
        <v>2030</v>
      </c>
      <c r="B1390" s="0" t="n">
        <v>49.63198768</v>
      </c>
      <c r="C1390" s="0" t="n">
        <v>1042.271741</v>
      </c>
      <c r="E1390" s="0" t="n">
        <v>2030</v>
      </c>
      <c r="F1390" s="0" t="n">
        <v>6.020984</v>
      </c>
      <c r="G1390" s="0" t="n">
        <v>126.31652</v>
      </c>
      <c r="I1390" s="0" t="n">
        <v>2027</v>
      </c>
      <c r="J1390" s="0" t="n">
        <v>9.52</v>
      </c>
      <c r="K1390" s="0" t="n">
        <v>199.76</v>
      </c>
      <c r="M1390" s="0" t="n">
        <v>2030</v>
      </c>
      <c r="N1390" s="0" t="n">
        <v>19.6</v>
      </c>
      <c r="O1390" s="0" t="n">
        <v>410.5</v>
      </c>
      <c r="Q1390" s="0" t="n">
        <v>2032</v>
      </c>
      <c r="R1390" s="0" t="n">
        <v>34</v>
      </c>
      <c r="W1390" s="0" t="n">
        <v>2030</v>
      </c>
      <c r="X1390" s="0" t="n">
        <v>1275.935</v>
      </c>
    </row>
    <row r="1391" customFormat="false" ht="15" hidden="false" customHeight="false" outlineLevel="0" collapsed="false">
      <c r="A1391" s="0" t="n">
        <v>2030</v>
      </c>
      <c r="B1391" s="0" t="n">
        <v>36.91793173</v>
      </c>
      <c r="C1391" s="0" t="n">
        <v>775.2765663</v>
      </c>
      <c r="E1391" s="0" t="n">
        <v>2030</v>
      </c>
      <c r="F1391" s="0" t="n">
        <v>143.931704</v>
      </c>
      <c r="G1391" s="0" t="n">
        <v>3019.59812</v>
      </c>
      <c r="I1391" s="0" t="n">
        <v>2027</v>
      </c>
      <c r="J1391" s="0" t="n">
        <v>16.66</v>
      </c>
      <c r="K1391" s="0" t="n">
        <v>349.58</v>
      </c>
      <c r="M1391" s="0" t="n">
        <v>2030</v>
      </c>
      <c r="N1391" s="0" t="n">
        <v>11.76</v>
      </c>
      <c r="O1391" s="0" t="n">
        <v>246.3</v>
      </c>
      <c r="Q1391" s="0" t="n">
        <v>2032</v>
      </c>
      <c r="R1391" s="0" t="n">
        <v>31</v>
      </c>
      <c r="W1391" s="0" t="n">
        <v>2030</v>
      </c>
      <c r="X1391" s="0" t="n">
        <v>570.418</v>
      </c>
    </row>
    <row r="1392" customFormat="false" ht="15" hidden="false" customHeight="false" outlineLevel="0" collapsed="false">
      <c r="A1392" s="0" t="n">
        <v>2030</v>
      </c>
      <c r="B1392" s="0" t="n">
        <v>16.40796966</v>
      </c>
      <c r="C1392" s="0" t="n">
        <v>344.5673628</v>
      </c>
      <c r="E1392" s="0" t="n">
        <v>2030</v>
      </c>
      <c r="F1392" s="0" t="n">
        <v>6.738008</v>
      </c>
      <c r="G1392" s="0" t="n">
        <v>141.35924</v>
      </c>
      <c r="I1392" s="0" t="n">
        <v>2027</v>
      </c>
      <c r="J1392" s="0" t="n">
        <v>7.14</v>
      </c>
      <c r="K1392" s="0" t="n">
        <v>149.82</v>
      </c>
      <c r="M1392" s="0" t="n">
        <v>2030</v>
      </c>
      <c r="N1392" s="0" t="n">
        <v>9.8</v>
      </c>
      <c r="O1392" s="0" t="n">
        <v>205.25</v>
      </c>
      <c r="Q1392" s="0" t="n">
        <v>2032</v>
      </c>
      <c r="R1392" s="0" t="n">
        <v>31</v>
      </c>
      <c r="W1392" s="0" t="n">
        <v>2030</v>
      </c>
      <c r="X1392" s="0" t="n">
        <v>225.165</v>
      </c>
    </row>
    <row r="1393" customFormat="false" ht="15" hidden="false" customHeight="false" outlineLevel="0" collapsed="false">
      <c r="A1393" s="0" t="n">
        <v>2030</v>
      </c>
      <c r="B1393" s="0" t="n">
        <v>60.60413689</v>
      </c>
      <c r="C1393" s="0" t="n">
        <v>1272.686875</v>
      </c>
      <c r="E1393" s="0" t="n">
        <v>2030</v>
      </c>
      <c r="F1393" s="0" t="n">
        <v>36.842928</v>
      </c>
      <c r="G1393" s="0" t="n">
        <v>772.94184</v>
      </c>
      <c r="I1393" s="0" t="n">
        <v>2027</v>
      </c>
      <c r="J1393" s="0" t="n">
        <v>7.14</v>
      </c>
      <c r="K1393" s="0" t="n">
        <v>149.82</v>
      </c>
      <c r="M1393" s="0" t="n">
        <v>2030</v>
      </c>
      <c r="N1393" s="0" t="n">
        <v>7.84</v>
      </c>
      <c r="O1393" s="0" t="n">
        <v>164.2</v>
      </c>
      <c r="Q1393" s="0" t="n">
        <v>2032</v>
      </c>
      <c r="R1393" s="0" t="n">
        <v>840</v>
      </c>
      <c r="W1393" s="0" t="n">
        <v>2030</v>
      </c>
      <c r="X1393" s="0" t="n">
        <v>330.242</v>
      </c>
    </row>
    <row r="1394" customFormat="false" ht="15" hidden="false" customHeight="false" outlineLevel="0" collapsed="false">
      <c r="A1394" s="0" t="n">
        <v>2030</v>
      </c>
      <c r="B1394" s="0" t="n">
        <v>18.97121113</v>
      </c>
      <c r="C1394" s="0" t="n">
        <v>398.3954338</v>
      </c>
      <c r="E1394" s="0" t="n">
        <v>2030</v>
      </c>
      <c r="F1394" s="0" t="n">
        <v>33.689264</v>
      </c>
      <c r="G1394" s="0" t="n">
        <v>706.77992</v>
      </c>
      <c r="I1394" s="0" t="n">
        <v>2027</v>
      </c>
      <c r="J1394" s="0" t="n">
        <v>14.56</v>
      </c>
      <c r="K1394" s="0" t="n">
        <v>308.88</v>
      </c>
      <c r="M1394" s="0" t="n">
        <v>2030</v>
      </c>
      <c r="N1394" s="0" t="n">
        <v>3.92</v>
      </c>
      <c r="O1394" s="0" t="n">
        <v>82.1</v>
      </c>
      <c r="Q1394" s="0" t="n">
        <v>2032</v>
      </c>
      <c r="R1394" s="0" t="n">
        <v>798</v>
      </c>
      <c r="W1394" s="0" t="n">
        <v>2030</v>
      </c>
      <c r="X1394" s="0" t="n">
        <v>255.187</v>
      </c>
    </row>
    <row r="1395" customFormat="false" ht="15" hidden="false" customHeight="false" outlineLevel="0" collapsed="false">
      <c r="A1395" s="0" t="n">
        <v>2030</v>
      </c>
      <c r="B1395" s="0" t="n">
        <v>42.41846875</v>
      </c>
      <c r="C1395" s="0" t="n">
        <v>890.7878437</v>
      </c>
      <c r="E1395" s="0" t="n">
        <v>2030</v>
      </c>
      <c r="F1395" s="0" t="n">
        <v>549.411481</v>
      </c>
      <c r="G1395" s="0" t="n">
        <v>11533.01556</v>
      </c>
      <c r="I1395" s="0" t="n">
        <v>2027</v>
      </c>
      <c r="J1395" s="0" t="n">
        <v>2.24</v>
      </c>
      <c r="K1395" s="0" t="n">
        <v>47.52</v>
      </c>
      <c r="M1395" s="0" t="n">
        <v>2030</v>
      </c>
      <c r="N1395" s="0" t="n">
        <v>46.74</v>
      </c>
      <c r="O1395" s="0" t="n">
        <v>977.36</v>
      </c>
      <c r="Q1395" s="0" t="n">
        <v>2032</v>
      </c>
      <c r="R1395" s="0" t="n">
        <v>378</v>
      </c>
      <c r="W1395" s="0" t="n">
        <v>2030</v>
      </c>
      <c r="X1395" s="0" t="n">
        <v>25278.64</v>
      </c>
    </row>
    <row r="1396" customFormat="false" ht="15" hidden="false" customHeight="false" outlineLevel="0" collapsed="false">
      <c r="A1396" s="0" t="n">
        <v>2030</v>
      </c>
      <c r="B1396" s="0" t="n">
        <v>1191.971785</v>
      </c>
      <c r="C1396" s="0" t="n">
        <v>25031.40748</v>
      </c>
      <c r="E1396" s="0" t="n">
        <v>2030</v>
      </c>
      <c r="F1396" s="0" t="n">
        <v>147.523069</v>
      </c>
      <c r="G1396" s="0" t="n">
        <v>3096.74244</v>
      </c>
      <c r="I1396" s="0" t="n">
        <v>2027</v>
      </c>
      <c r="J1396" s="0" t="n">
        <v>1.68</v>
      </c>
      <c r="K1396" s="0" t="n">
        <v>35.64</v>
      </c>
      <c r="M1396" s="0" t="n">
        <v>2030</v>
      </c>
      <c r="N1396" s="0" t="n">
        <v>30.75</v>
      </c>
      <c r="O1396" s="0" t="n">
        <v>643</v>
      </c>
      <c r="Q1396" s="0" t="n">
        <v>2032</v>
      </c>
      <c r="R1396" s="0" t="n">
        <v>84</v>
      </c>
      <c r="W1396" s="0" t="n">
        <v>2030</v>
      </c>
      <c r="X1396" s="0" t="n">
        <v>6319.66</v>
      </c>
    </row>
    <row r="1397" customFormat="false" ht="15" hidden="false" customHeight="false" outlineLevel="0" collapsed="false">
      <c r="A1397" s="0" t="n">
        <v>2030</v>
      </c>
      <c r="B1397" s="0" t="n">
        <v>300.6505311</v>
      </c>
      <c r="C1397" s="0" t="n">
        <v>6313.661154</v>
      </c>
      <c r="E1397" s="0" t="n">
        <v>2030</v>
      </c>
      <c r="F1397" s="0" t="n">
        <v>59.048353</v>
      </c>
      <c r="G1397" s="0" t="n">
        <v>1239.51828</v>
      </c>
      <c r="I1397" s="0" t="n">
        <v>2027</v>
      </c>
      <c r="J1397" s="0" t="n">
        <v>2.8</v>
      </c>
      <c r="K1397" s="0" t="n">
        <v>59.4</v>
      </c>
      <c r="M1397" s="0" t="n">
        <v>2030</v>
      </c>
      <c r="N1397" s="0" t="n">
        <v>12.3</v>
      </c>
      <c r="O1397" s="0" t="n">
        <v>257.2</v>
      </c>
      <c r="Q1397" s="0" t="n">
        <v>2032</v>
      </c>
      <c r="R1397" s="0" t="n">
        <v>80</v>
      </c>
      <c r="W1397" s="0" t="n">
        <v>2030</v>
      </c>
      <c r="X1397" s="0" t="n">
        <v>1957.056</v>
      </c>
    </row>
    <row r="1398" customFormat="false" ht="15" hidden="false" customHeight="false" outlineLevel="0" collapsed="false">
      <c r="A1398" s="0" t="n">
        <v>2030</v>
      </c>
      <c r="B1398" s="0" t="n">
        <v>268.1067832</v>
      </c>
      <c r="C1398" s="0" t="n">
        <v>5630.242448</v>
      </c>
      <c r="E1398" s="0" t="n">
        <v>2030</v>
      </c>
      <c r="F1398" s="0" t="n">
        <v>8.294371</v>
      </c>
      <c r="G1398" s="0" t="n">
        <v>174.11196</v>
      </c>
      <c r="I1398" s="0" t="n">
        <v>2027</v>
      </c>
      <c r="J1398" s="0" t="n">
        <v>0.56</v>
      </c>
      <c r="K1398" s="0" t="n">
        <v>11.88</v>
      </c>
      <c r="M1398" s="0" t="n">
        <v>2030</v>
      </c>
      <c r="N1398" s="0" t="n">
        <v>12.3</v>
      </c>
      <c r="O1398" s="0" t="n">
        <v>257.2</v>
      </c>
      <c r="Q1398" s="0" t="n">
        <v>2032</v>
      </c>
      <c r="R1398" s="0" t="n">
        <v>80</v>
      </c>
      <c r="W1398" s="0" t="n">
        <v>2030</v>
      </c>
      <c r="X1398" s="0" t="n">
        <v>3465.62</v>
      </c>
    </row>
    <row r="1399" customFormat="false" ht="15" hidden="false" customHeight="false" outlineLevel="0" collapsed="false">
      <c r="A1399" s="0" t="n">
        <v>2030</v>
      </c>
      <c r="B1399" s="0" t="n">
        <v>186.4523785</v>
      </c>
      <c r="C1399" s="0" t="n">
        <v>3915.499949</v>
      </c>
      <c r="E1399" s="0" t="n">
        <v>2030</v>
      </c>
      <c r="F1399" s="0" t="n">
        <v>198.277051</v>
      </c>
      <c r="G1399" s="0" t="n">
        <v>4162.14876</v>
      </c>
      <c r="I1399" s="0" t="n">
        <v>2027</v>
      </c>
      <c r="J1399" s="0" t="n">
        <v>0.56</v>
      </c>
      <c r="K1399" s="0" t="n">
        <v>11.88</v>
      </c>
      <c r="M1399" s="0" t="n">
        <v>2030</v>
      </c>
      <c r="N1399" s="0" t="n">
        <v>7.38</v>
      </c>
      <c r="O1399" s="0" t="n">
        <v>154.32</v>
      </c>
      <c r="Q1399" s="0" t="n">
        <v>2032</v>
      </c>
      <c r="R1399" s="0" t="n">
        <v>56</v>
      </c>
      <c r="W1399" s="0" t="n">
        <v>2030</v>
      </c>
      <c r="X1399" s="0" t="n">
        <v>1549.336</v>
      </c>
    </row>
    <row r="1400" customFormat="false" ht="15" hidden="false" customHeight="false" outlineLevel="0" collapsed="false">
      <c r="A1400" s="0" t="n">
        <v>2030</v>
      </c>
      <c r="B1400" s="0" t="n">
        <v>138.6895126</v>
      </c>
      <c r="C1400" s="0" t="n">
        <v>2912.479765</v>
      </c>
      <c r="E1400" s="0" t="n">
        <v>2030</v>
      </c>
      <c r="F1400" s="0" t="n">
        <v>9.282127</v>
      </c>
      <c r="G1400" s="0" t="n">
        <v>194.84652</v>
      </c>
      <c r="I1400" s="0" t="n">
        <v>2027</v>
      </c>
      <c r="J1400" s="0" t="n">
        <v>0</v>
      </c>
      <c r="K1400" s="0" t="n">
        <v>0</v>
      </c>
      <c r="M1400" s="0" t="n">
        <v>2030</v>
      </c>
      <c r="N1400" s="0" t="n">
        <v>6.15</v>
      </c>
      <c r="O1400" s="0" t="n">
        <v>128.6</v>
      </c>
      <c r="Q1400" s="0" t="n">
        <v>2032</v>
      </c>
      <c r="R1400" s="0" t="n">
        <v>53</v>
      </c>
      <c r="W1400" s="0" t="n">
        <v>2030</v>
      </c>
      <c r="X1400" s="0" t="n">
        <v>611.58</v>
      </c>
    </row>
    <row r="1401" customFormat="false" ht="15" hidden="false" customHeight="false" outlineLevel="0" collapsed="false">
      <c r="A1401" s="0" t="n">
        <v>2030</v>
      </c>
      <c r="B1401" s="0" t="n">
        <v>61.63978338</v>
      </c>
      <c r="C1401" s="0" t="n">
        <v>1294.435451</v>
      </c>
      <c r="E1401" s="0" t="n">
        <v>2030</v>
      </c>
      <c r="F1401" s="0" t="n">
        <v>50.753982</v>
      </c>
      <c r="G1401" s="0" t="n">
        <v>1065.40632</v>
      </c>
      <c r="I1401" s="0" t="n">
        <v>2027</v>
      </c>
      <c r="J1401" s="0" t="n">
        <v>1.12</v>
      </c>
      <c r="K1401" s="0" t="n">
        <v>23.76</v>
      </c>
      <c r="M1401" s="0" t="n">
        <v>2030</v>
      </c>
      <c r="N1401" s="0" t="n">
        <v>4.92</v>
      </c>
      <c r="O1401" s="0" t="n">
        <v>102.88</v>
      </c>
      <c r="Q1401" s="0" t="n">
        <v>2032</v>
      </c>
      <c r="R1401" s="0" t="n">
        <v>25</v>
      </c>
      <c r="W1401" s="0" t="n">
        <v>2030</v>
      </c>
      <c r="X1401" s="0" t="n">
        <v>896.984</v>
      </c>
    </row>
    <row r="1402" customFormat="false" ht="15" hidden="false" customHeight="false" outlineLevel="0" collapsed="false">
      <c r="A1402" s="0" t="n">
        <v>2030</v>
      </c>
      <c r="B1402" s="0" t="n">
        <v>227.6714273</v>
      </c>
      <c r="C1402" s="0" t="n">
        <v>4781.099973</v>
      </c>
      <c r="E1402" s="0" t="n">
        <v>2030</v>
      </c>
      <c r="F1402" s="0" t="n">
        <v>46.409566</v>
      </c>
      <c r="G1402" s="0" t="n">
        <v>974.21016</v>
      </c>
      <c r="I1402" s="0" t="n">
        <v>2027</v>
      </c>
      <c r="J1402" s="0" t="n">
        <v>1.96</v>
      </c>
      <c r="K1402" s="0" t="n">
        <v>41.58</v>
      </c>
      <c r="M1402" s="0" t="n">
        <v>2030</v>
      </c>
      <c r="N1402" s="0" t="n">
        <v>2.46</v>
      </c>
      <c r="O1402" s="0" t="n">
        <v>51.44</v>
      </c>
      <c r="Q1402" s="0" t="n">
        <v>2032</v>
      </c>
      <c r="R1402" s="0" t="n">
        <v>6</v>
      </c>
      <c r="W1402" s="0" t="n">
        <v>2030</v>
      </c>
      <c r="X1402" s="0" t="n">
        <v>693.124</v>
      </c>
    </row>
    <row r="1403" customFormat="false" ht="15" hidden="false" customHeight="false" outlineLevel="0" collapsed="false">
      <c r="A1403" s="0" t="n">
        <v>2030</v>
      </c>
      <c r="B1403" s="0" t="n">
        <v>71.26910698</v>
      </c>
      <c r="C1403" s="0" t="n">
        <v>1496.651247</v>
      </c>
      <c r="E1403" s="0" t="n">
        <v>2030</v>
      </c>
      <c r="F1403" s="0" t="n">
        <v>388.031495</v>
      </c>
      <c r="G1403" s="0" t="n">
        <v>8141.466109</v>
      </c>
      <c r="I1403" s="0" t="n">
        <v>2027</v>
      </c>
      <c r="J1403" s="0" t="n">
        <v>0.56</v>
      </c>
      <c r="K1403" s="0" t="n">
        <v>11.88</v>
      </c>
      <c r="M1403" s="0" t="n">
        <v>2030</v>
      </c>
      <c r="N1403" s="0" t="n">
        <v>46.74</v>
      </c>
      <c r="O1403" s="0" t="n">
        <v>975.46</v>
      </c>
      <c r="Q1403" s="0" t="n">
        <v>2032</v>
      </c>
      <c r="R1403" s="0" t="n">
        <v>5</v>
      </c>
      <c r="W1403" s="0" t="n">
        <v>2030</v>
      </c>
      <c r="X1403" s="0" t="n">
        <v>13451.52</v>
      </c>
    </row>
    <row r="1404" customFormat="false" ht="15" hidden="false" customHeight="false" outlineLevel="0" collapsed="false">
      <c r="A1404" s="0" t="n">
        <v>2030</v>
      </c>
      <c r="B1404" s="0" t="n">
        <v>159.3533679</v>
      </c>
      <c r="C1404" s="0" t="n">
        <v>3346.420726</v>
      </c>
      <c r="E1404" s="0" t="n">
        <v>2030</v>
      </c>
      <c r="F1404" s="0" t="n">
        <v>104.190755</v>
      </c>
      <c r="G1404" s="0" t="n">
        <v>2186.073841</v>
      </c>
      <c r="I1404" s="0" t="n">
        <v>2027</v>
      </c>
      <c r="J1404" s="0" t="n">
        <v>1.96</v>
      </c>
      <c r="K1404" s="0" t="n">
        <v>41.58</v>
      </c>
      <c r="M1404" s="0" t="n">
        <v>2030</v>
      </c>
      <c r="N1404" s="0" t="n">
        <v>30.75</v>
      </c>
      <c r="O1404" s="0" t="n">
        <v>641.75</v>
      </c>
      <c r="Q1404" s="0" t="n">
        <v>2032</v>
      </c>
      <c r="R1404" s="0" t="n">
        <v>5</v>
      </c>
      <c r="W1404" s="0" t="n">
        <v>2030</v>
      </c>
      <c r="X1404" s="0" t="n">
        <v>3362.88</v>
      </c>
    </row>
    <row r="1405" customFormat="false" ht="15" hidden="false" customHeight="false" outlineLevel="0" collapsed="false">
      <c r="A1405" s="0" t="n">
        <v>2030</v>
      </c>
      <c r="B1405" s="0" t="n">
        <v>330.8602224</v>
      </c>
      <c r="C1405" s="0" t="n">
        <v>6948.06467</v>
      </c>
      <c r="E1405" s="0" t="n">
        <v>2030</v>
      </c>
      <c r="F1405" s="0" t="n">
        <v>41.703935</v>
      </c>
      <c r="G1405" s="0" t="n">
        <v>875.009317</v>
      </c>
      <c r="I1405" s="0" t="n">
        <v>2027</v>
      </c>
      <c r="J1405" s="0" t="n">
        <v>98.4</v>
      </c>
      <c r="K1405" s="0" t="n">
        <v>2064.48</v>
      </c>
      <c r="M1405" s="0" t="n">
        <v>2030</v>
      </c>
      <c r="N1405" s="0" t="n">
        <v>12.3</v>
      </c>
      <c r="O1405" s="0" t="n">
        <v>256.7</v>
      </c>
      <c r="Q1405" s="0" t="n">
        <v>2032</v>
      </c>
      <c r="R1405" s="0" t="n">
        <v>150</v>
      </c>
      <c r="W1405" s="0" t="n">
        <v>2030</v>
      </c>
      <c r="X1405" s="0" t="n">
        <v>1041.408</v>
      </c>
    </row>
    <row r="1406" customFormat="false" ht="15" hidden="false" customHeight="false" outlineLevel="0" collapsed="false">
      <c r="A1406" s="0" t="n">
        <v>2030</v>
      </c>
      <c r="B1406" s="0" t="n">
        <v>83.45273176</v>
      </c>
      <c r="C1406" s="0" t="n">
        <v>1752.507367</v>
      </c>
      <c r="E1406" s="0" t="n">
        <v>2030</v>
      </c>
      <c r="F1406" s="0" t="n">
        <v>5.858045</v>
      </c>
      <c r="G1406" s="0" t="n">
        <v>122.910319</v>
      </c>
      <c r="I1406" s="0" t="n">
        <v>2027</v>
      </c>
      <c r="J1406" s="0" t="n">
        <v>32.8</v>
      </c>
      <c r="K1406" s="0" t="n">
        <v>688.16</v>
      </c>
      <c r="M1406" s="0" t="n">
        <v>2030</v>
      </c>
      <c r="N1406" s="0" t="n">
        <v>12.3</v>
      </c>
      <c r="O1406" s="0" t="n">
        <v>256.7</v>
      </c>
      <c r="Q1406" s="0" t="n">
        <v>2032</v>
      </c>
      <c r="R1406" s="0" t="n">
        <v>142</v>
      </c>
      <c r="W1406" s="0" t="n">
        <v>2030</v>
      </c>
      <c r="X1406" s="0" t="n">
        <v>1844.16</v>
      </c>
    </row>
    <row r="1407" customFormat="false" ht="15" hidden="false" customHeight="false" outlineLevel="0" collapsed="false">
      <c r="A1407" s="0" t="n">
        <v>2030</v>
      </c>
      <c r="B1407" s="0" t="n">
        <v>74.41943767</v>
      </c>
      <c r="C1407" s="0" t="n">
        <v>1562.808191</v>
      </c>
      <c r="E1407" s="0" t="n">
        <v>2030</v>
      </c>
      <c r="F1407" s="0" t="n">
        <v>140.036645</v>
      </c>
      <c r="G1407" s="0" t="n">
        <v>2938.172839</v>
      </c>
      <c r="I1407" s="0" t="n">
        <v>2027</v>
      </c>
      <c r="J1407" s="0" t="n">
        <v>14.35</v>
      </c>
      <c r="K1407" s="0" t="n">
        <v>301.07</v>
      </c>
      <c r="M1407" s="0" t="n">
        <v>2030</v>
      </c>
      <c r="N1407" s="0" t="n">
        <v>7.38</v>
      </c>
      <c r="O1407" s="0" t="n">
        <v>154.02</v>
      </c>
      <c r="Q1407" s="0" t="n">
        <v>2032</v>
      </c>
      <c r="R1407" s="0" t="n">
        <v>67</v>
      </c>
      <c r="W1407" s="0" t="n">
        <v>2030</v>
      </c>
      <c r="X1407" s="0" t="n">
        <v>824.448</v>
      </c>
    </row>
    <row r="1408" customFormat="false" ht="15" hidden="false" customHeight="false" outlineLevel="0" collapsed="false">
      <c r="A1408" s="0" t="n">
        <v>2030</v>
      </c>
      <c r="B1408" s="0" t="n">
        <v>51.75430847</v>
      </c>
      <c r="C1408" s="0" t="n">
        <v>1086.840478</v>
      </c>
      <c r="E1408" s="0" t="n">
        <v>2030</v>
      </c>
      <c r="F1408" s="0" t="n">
        <v>6.555665</v>
      </c>
      <c r="G1408" s="0" t="n">
        <v>137.547403</v>
      </c>
      <c r="I1408" s="0" t="n">
        <v>2027</v>
      </c>
      <c r="J1408" s="0" t="n">
        <v>8.2</v>
      </c>
      <c r="K1408" s="0" t="n">
        <v>172.04</v>
      </c>
      <c r="M1408" s="0" t="n">
        <v>2030</v>
      </c>
      <c r="N1408" s="0" t="n">
        <v>6.15</v>
      </c>
      <c r="O1408" s="0" t="n">
        <v>128.35</v>
      </c>
      <c r="Q1408" s="0" t="n">
        <v>2032</v>
      </c>
      <c r="R1408" s="0" t="n">
        <v>15</v>
      </c>
      <c r="W1408" s="0" t="n">
        <v>2030</v>
      </c>
      <c r="X1408" s="0" t="n">
        <v>325.44</v>
      </c>
    </row>
    <row r="1409" customFormat="false" ht="15" hidden="false" customHeight="false" outlineLevel="0" collapsed="false">
      <c r="A1409" s="0" t="n">
        <v>2030</v>
      </c>
      <c r="B1409" s="0" t="n">
        <v>38.49658489</v>
      </c>
      <c r="C1409" s="0" t="n">
        <v>808.4282826</v>
      </c>
      <c r="E1409" s="0" t="n">
        <v>2030</v>
      </c>
      <c r="F1409" s="0" t="n">
        <v>35.84589</v>
      </c>
      <c r="G1409" s="0" t="n">
        <v>752.098998</v>
      </c>
      <c r="I1409" s="0" t="n">
        <v>2027</v>
      </c>
      <c r="J1409" s="0" t="n">
        <v>8.2</v>
      </c>
      <c r="K1409" s="0" t="n">
        <v>172.04</v>
      </c>
      <c r="M1409" s="0" t="n">
        <v>2030</v>
      </c>
      <c r="N1409" s="0" t="n">
        <v>4.92</v>
      </c>
      <c r="O1409" s="0" t="n">
        <v>102.68</v>
      </c>
      <c r="Q1409" s="0" t="n">
        <v>2032</v>
      </c>
      <c r="R1409" s="0" t="n">
        <v>15</v>
      </c>
      <c r="W1409" s="0" t="n">
        <v>2030</v>
      </c>
      <c r="X1409" s="0" t="n">
        <v>477.312</v>
      </c>
    </row>
    <row r="1410" customFormat="false" ht="15" hidden="false" customHeight="false" outlineLevel="0" collapsed="false">
      <c r="A1410" s="0" t="n">
        <v>2030</v>
      </c>
      <c r="B1410" s="0" t="n">
        <v>17.10959328</v>
      </c>
      <c r="C1410" s="0" t="n">
        <v>359.3014589</v>
      </c>
      <c r="E1410" s="0" t="n">
        <v>2030</v>
      </c>
      <c r="F1410" s="0" t="n">
        <v>32.77757</v>
      </c>
      <c r="G1410" s="0" t="n">
        <v>687.721174</v>
      </c>
      <c r="I1410" s="0" t="n">
        <v>2027</v>
      </c>
      <c r="J1410" s="0" t="n">
        <v>4.1</v>
      </c>
      <c r="K1410" s="0" t="n">
        <v>86.02</v>
      </c>
      <c r="M1410" s="0" t="n">
        <v>2030</v>
      </c>
      <c r="N1410" s="0" t="n">
        <v>2.46</v>
      </c>
      <c r="O1410" s="0" t="n">
        <v>51.34</v>
      </c>
      <c r="Q1410" s="0" t="n">
        <v>2032</v>
      </c>
      <c r="R1410" s="0" t="n">
        <v>15</v>
      </c>
      <c r="W1410" s="0" t="n">
        <v>2030</v>
      </c>
      <c r="X1410" s="0" t="n">
        <v>368.832</v>
      </c>
    </row>
    <row r="1411" customFormat="false" ht="15" hidden="false" customHeight="false" outlineLevel="0" collapsed="false">
      <c r="A1411" s="0" t="n">
        <v>2030</v>
      </c>
      <c r="B1411" s="0" t="n">
        <v>63.19563939</v>
      </c>
      <c r="C1411" s="0" t="n">
        <v>1327.108427</v>
      </c>
      <c r="E1411" s="0" t="n">
        <v>2030</v>
      </c>
      <c r="F1411" s="0" t="n">
        <v>331.497105</v>
      </c>
      <c r="G1411" s="0" t="n">
        <v>6956.299715</v>
      </c>
      <c r="I1411" s="0" t="n">
        <v>2027</v>
      </c>
      <c r="J1411" s="0" t="n">
        <v>4.1</v>
      </c>
      <c r="K1411" s="0" t="n">
        <v>86.02</v>
      </c>
      <c r="M1411" s="0" t="n">
        <v>2030</v>
      </c>
      <c r="N1411" s="0" t="n">
        <v>241.68</v>
      </c>
      <c r="O1411" s="0" t="n">
        <v>5072.24</v>
      </c>
      <c r="Q1411" s="0" t="n">
        <v>2032</v>
      </c>
      <c r="R1411" s="0" t="n">
        <v>285</v>
      </c>
      <c r="W1411" s="0" t="n">
        <v>2030</v>
      </c>
      <c r="X1411" s="0" t="n">
        <v>5558.92</v>
      </c>
    </row>
    <row r="1412" customFormat="false" ht="15" hidden="false" customHeight="false" outlineLevel="0" collapsed="false">
      <c r="A1412" s="0" t="n">
        <v>2030</v>
      </c>
      <c r="B1412" s="0" t="n">
        <v>19.78244191</v>
      </c>
      <c r="C1412" s="0" t="n">
        <v>415.4312801</v>
      </c>
      <c r="E1412" s="0" t="n">
        <v>2030</v>
      </c>
      <c r="F1412" s="0" t="n">
        <v>89.010645</v>
      </c>
      <c r="G1412" s="0" t="n">
        <v>1867.843535</v>
      </c>
      <c r="I1412" s="0" t="n">
        <v>2027</v>
      </c>
      <c r="J1412" s="0" t="n">
        <v>8.2</v>
      </c>
      <c r="K1412" s="0" t="n">
        <v>172.04</v>
      </c>
      <c r="M1412" s="0" t="n">
        <v>2030</v>
      </c>
      <c r="N1412" s="0" t="n">
        <v>159</v>
      </c>
      <c r="O1412" s="0" t="n">
        <v>3337</v>
      </c>
      <c r="Q1412" s="0" t="n">
        <v>2032</v>
      </c>
      <c r="R1412" s="0" t="n">
        <v>270</v>
      </c>
      <c r="W1412" s="0" t="n">
        <v>2030</v>
      </c>
      <c r="X1412" s="0" t="n">
        <v>1389.73</v>
      </c>
    </row>
    <row r="1413" customFormat="false" ht="15" hidden="false" customHeight="false" outlineLevel="0" collapsed="false">
      <c r="A1413" s="0" t="n">
        <v>2030</v>
      </c>
      <c r="B1413" s="0" t="n">
        <v>44.23233119</v>
      </c>
      <c r="C1413" s="0" t="n">
        <v>928.8789549</v>
      </c>
      <c r="E1413" s="0" t="n">
        <v>2030</v>
      </c>
      <c r="F1413" s="0" t="n">
        <v>35.627865</v>
      </c>
      <c r="G1413" s="0" t="n">
        <v>747.632795</v>
      </c>
      <c r="I1413" s="0" t="n">
        <v>2027</v>
      </c>
      <c r="J1413" s="0" t="n">
        <v>14.35</v>
      </c>
      <c r="K1413" s="0" t="n">
        <v>301.07</v>
      </c>
      <c r="M1413" s="0" t="n">
        <v>2030</v>
      </c>
      <c r="N1413" s="0" t="n">
        <v>63.6</v>
      </c>
      <c r="O1413" s="0" t="n">
        <v>1334.8</v>
      </c>
      <c r="Q1413" s="0" t="n">
        <v>2032</v>
      </c>
      <c r="R1413" s="0" t="n">
        <v>128</v>
      </c>
      <c r="W1413" s="0" t="n">
        <v>2030</v>
      </c>
      <c r="X1413" s="0" t="n">
        <v>430.368</v>
      </c>
    </row>
    <row r="1414" customFormat="false" ht="15" hidden="false" customHeight="false" outlineLevel="0" collapsed="false">
      <c r="A1414" s="0" t="n">
        <v>2030</v>
      </c>
      <c r="B1414" s="0" t="n">
        <v>183.9681411</v>
      </c>
      <c r="C1414" s="0" t="n">
        <v>3863.330962</v>
      </c>
      <c r="E1414" s="0" t="n">
        <v>2030</v>
      </c>
      <c r="F1414" s="0" t="n">
        <v>5.004555</v>
      </c>
      <c r="G1414" s="0" t="n">
        <v>105.018065</v>
      </c>
      <c r="I1414" s="0" t="n">
        <v>2027</v>
      </c>
      <c r="J1414" s="0" t="n">
        <v>6.15</v>
      </c>
      <c r="K1414" s="0" t="n">
        <v>129.03</v>
      </c>
      <c r="M1414" s="0" t="n">
        <v>2030</v>
      </c>
      <c r="N1414" s="0" t="n">
        <v>63.6</v>
      </c>
      <c r="O1414" s="0" t="n">
        <v>1334.8</v>
      </c>
      <c r="Q1414" s="0" t="n">
        <v>2032</v>
      </c>
      <c r="R1414" s="0" t="n">
        <v>28</v>
      </c>
      <c r="W1414" s="0" t="n">
        <v>2030</v>
      </c>
      <c r="X1414" s="0" t="n">
        <v>762.11</v>
      </c>
    </row>
    <row r="1415" customFormat="false" ht="15" hidden="false" customHeight="false" outlineLevel="0" collapsed="false">
      <c r="A1415" s="0" t="n">
        <v>2030</v>
      </c>
      <c r="B1415" s="0" t="n">
        <v>46.40220519</v>
      </c>
      <c r="C1415" s="0" t="n">
        <v>974.446309</v>
      </c>
      <c r="E1415" s="0" t="n">
        <v>2030</v>
      </c>
      <c r="F1415" s="0" t="n">
        <v>119.633955</v>
      </c>
      <c r="G1415" s="0" t="n">
        <v>2510.458265</v>
      </c>
      <c r="I1415" s="0" t="n">
        <v>2027</v>
      </c>
      <c r="J1415" s="0" t="n">
        <v>6.15</v>
      </c>
      <c r="K1415" s="0" t="n">
        <v>129.03</v>
      </c>
      <c r="M1415" s="0" t="n">
        <v>2030</v>
      </c>
      <c r="N1415" s="0" t="n">
        <v>38.16</v>
      </c>
      <c r="O1415" s="0" t="n">
        <v>800.88</v>
      </c>
      <c r="Q1415" s="0" t="n">
        <v>2032</v>
      </c>
      <c r="R1415" s="0" t="n">
        <v>27</v>
      </c>
      <c r="W1415" s="0" t="n">
        <v>2030</v>
      </c>
      <c r="X1415" s="0" t="n">
        <v>340.708</v>
      </c>
    </row>
    <row r="1416" customFormat="false" ht="15" hidden="false" customHeight="false" outlineLevel="0" collapsed="false">
      <c r="A1416" s="0" t="n">
        <v>2030</v>
      </c>
      <c r="B1416" s="0" t="n">
        <v>41.37942454</v>
      </c>
      <c r="C1416" s="0" t="n">
        <v>868.9679154</v>
      </c>
      <c r="E1416" s="0" t="n">
        <v>2030</v>
      </c>
      <c r="F1416" s="0" t="n">
        <v>5.600535</v>
      </c>
      <c r="G1416" s="0" t="n">
        <v>117.524405</v>
      </c>
      <c r="I1416" s="0" t="n">
        <v>2027</v>
      </c>
      <c r="J1416" s="0" t="n">
        <v>19.76</v>
      </c>
      <c r="K1416" s="0" t="n">
        <v>413.4</v>
      </c>
      <c r="M1416" s="0" t="n">
        <v>2030</v>
      </c>
      <c r="N1416" s="0" t="n">
        <v>31.8</v>
      </c>
      <c r="O1416" s="0" t="n">
        <v>667.4</v>
      </c>
      <c r="Q1416" s="0" t="n">
        <v>2032</v>
      </c>
      <c r="R1416" s="0" t="n">
        <v>27</v>
      </c>
      <c r="W1416" s="0" t="n">
        <v>2030</v>
      </c>
      <c r="X1416" s="0" t="n">
        <v>134.49</v>
      </c>
    </row>
    <row r="1417" customFormat="false" ht="15" hidden="false" customHeight="false" outlineLevel="0" collapsed="false">
      <c r="A1417" s="0" t="n">
        <v>2030</v>
      </c>
      <c r="B1417" s="0" t="n">
        <v>28.77693744</v>
      </c>
      <c r="C1417" s="0" t="n">
        <v>604.3156863</v>
      </c>
      <c r="E1417" s="0" t="n">
        <v>2030</v>
      </c>
      <c r="F1417" s="0" t="n">
        <v>30.62331</v>
      </c>
      <c r="G1417" s="0" t="n">
        <v>642.61473</v>
      </c>
      <c r="I1417" s="0" t="n">
        <v>2027</v>
      </c>
      <c r="J1417" s="0" t="n">
        <v>3.04</v>
      </c>
      <c r="K1417" s="0" t="n">
        <v>63.6</v>
      </c>
      <c r="M1417" s="0" t="n">
        <v>2030</v>
      </c>
      <c r="N1417" s="0" t="n">
        <v>25.44</v>
      </c>
      <c r="O1417" s="0" t="n">
        <v>533.92</v>
      </c>
      <c r="Q1417" s="0" t="n">
        <v>2032</v>
      </c>
      <c r="R1417" s="0" t="n">
        <v>1370</v>
      </c>
      <c r="W1417" s="0" t="n">
        <v>2030</v>
      </c>
      <c r="X1417" s="0" t="n">
        <v>197.252</v>
      </c>
    </row>
    <row r="1418" customFormat="false" ht="15" hidden="false" customHeight="false" outlineLevel="0" collapsed="false">
      <c r="A1418" s="0" t="n">
        <v>2030</v>
      </c>
      <c r="B1418" s="0" t="n">
        <v>21.40524814</v>
      </c>
      <c r="C1418" s="0" t="n">
        <v>449.5102109</v>
      </c>
      <c r="E1418" s="0" t="n">
        <v>2030</v>
      </c>
      <c r="F1418" s="0" t="n">
        <v>28.00203</v>
      </c>
      <c r="G1418" s="0" t="n">
        <v>587.60849</v>
      </c>
      <c r="I1418" s="0" t="n">
        <v>2027</v>
      </c>
      <c r="J1418" s="0" t="n">
        <v>2.28</v>
      </c>
      <c r="K1418" s="0" t="n">
        <v>47.7</v>
      </c>
      <c r="M1418" s="0" t="n">
        <v>2030</v>
      </c>
      <c r="N1418" s="0" t="n">
        <v>12.72</v>
      </c>
      <c r="O1418" s="0" t="n">
        <v>266.96</v>
      </c>
      <c r="Q1418" s="0" t="n">
        <v>2032</v>
      </c>
      <c r="R1418" s="0" t="n">
        <v>1301</v>
      </c>
      <c r="W1418" s="0" t="n">
        <v>2030</v>
      </c>
      <c r="X1418" s="0" t="n">
        <v>152.422</v>
      </c>
    </row>
    <row r="1419" customFormat="false" ht="15" hidden="false" customHeight="false" outlineLevel="0" collapsed="false">
      <c r="A1419" s="0" t="n">
        <v>2030</v>
      </c>
      <c r="B1419" s="0" t="n">
        <v>9.513443616</v>
      </c>
      <c r="C1419" s="0" t="n">
        <v>199.7823159</v>
      </c>
      <c r="E1419" s="0" t="n">
        <v>2030</v>
      </c>
      <c r="F1419" s="0" t="n">
        <v>119.750117</v>
      </c>
      <c r="G1419" s="0" t="n">
        <v>2509.612967</v>
      </c>
      <c r="I1419" s="0" t="n">
        <v>2027</v>
      </c>
      <c r="J1419" s="0" t="n">
        <v>3.8</v>
      </c>
      <c r="K1419" s="0" t="n">
        <v>79.5</v>
      </c>
      <c r="M1419" s="0" t="n">
        <v>2030</v>
      </c>
      <c r="N1419" s="0" t="n">
        <v>182.4</v>
      </c>
      <c r="O1419" s="0" t="n">
        <v>3825.84</v>
      </c>
      <c r="Q1419" s="0" t="n">
        <v>2032</v>
      </c>
      <c r="R1419" s="0" t="n">
        <v>616</v>
      </c>
      <c r="W1419" s="0" t="n">
        <v>2030</v>
      </c>
      <c r="X1419" s="0" t="n">
        <v>5384.08</v>
      </c>
    </row>
    <row r="1420" customFormat="false" ht="15" hidden="false" customHeight="false" outlineLevel="0" collapsed="false">
      <c r="A1420" s="0" t="n">
        <v>2030</v>
      </c>
      <c r="B1420" s="0" t="n">
        <v>35.13865831</v>
      </c>
      <c r="C1420" s="0" t="n">
        <v>737.9118244</v>
      </c>
      <c r="E1420" s="0" t="n">
        <v>2030</v>
      </c>
      <c r="F1420" s="0" t="n">
        <v>32.154233</v>
      </c>
      <c r="G1420" s="0" t="n">
        <v>673.858883</v>
      </c>
      <c r="I1420" s="0" t="n">
        <v>2027</v>
      </c>
      <c r="J1420" s="0" t="n">
        <v>0.76</v>
      </c>
      <c r="K1420" s="0" t="n">
        <v>15.9</v>
      </c>
      <c r="M1420" s="0" t="n">
        <v>2030</v>
      </c>
      <c r="N1420" s="0" t="n">
        <v>120</v>
      </c>
      <c r="O1420" s="0" t="n">
        <v>2517</v>
      </c>
      <c r="Q1420" s="0" t="n">
        <v>2032</v>
      </c>
      <c r="R1420" s="0" t="n">
        <v>137</v>
      </c>
      <c r="W1420" s="0" t="n">
        <v>2030</v>
      </c>
      <c r="X1420" s="0" t="n">
        <v>1346.02</v>
      </c>
    </row>
    <row r="1421" customFormat="false" ht="15" hidden="false" customHeight="false" outlineLevel="0" collapsed="false">
      <c r="A1421" s="0" t="n">
        <v>2030</v>
      </c>
      <c r="B1421" s="0" t="n">
        <v>10.99962709</v>
      </c>
      <c r="C1421" s="0" t="n">
        <v>230.9921688</v>
      </c>
      <c r="E1421" s="0" t="n">
        <v>2030</v>
      </c>
      <c r="F1421" s="0" t="n">
        <v>12.870221</v>
      </c>
      <c r="G1421" s="0" t="n">
        <v>269.722271</v>
      </c>
      <c r="I1421" s="0" t="n">
        <v>2027</v>
      </c>
      <c r="J1421" s="0" t="n">
        <v>0.76</v>
      </c>
      <c r="K1421" s="0" t="n">
        <v>15.9</v>
      </c>
      <c r="M1421" s="0" t="n">
        <v>2030</v>
      </c>
      <c r="N1421" s="0" t="n">
        <v>48</v>
      </c>
      <c r="O1421" s="0" t="n">
        <v>1006.8</v>
      </c>
      <c r="Q1421" s="0" t="n">
        <v>2032</v>
      </c>
      <c r="R1421" s="0" t="n">
        <v>132</v>
      </c>
      <c r="W1421" s="0" t="n">
        <v>2030</v>
      </c>
      <c r="X1421" s="0" t="n">
        <v>416.832</v>
      </c>
    </row>
    <row r="1422" customFormat="false" ht="15" hidden="false" customHeight="false" outlineLevel="0" collapsed="false">
      <c r="A1422" s="0" t="n">
        <v>2030</v>
      </c>
      <c r="B1422" s="0" t="n">
        <v>24.59449397</v>
      </c>
      <c r="C1422" s="0" t="n">
        <v>516.4843733</v>
      </c>
      <c r="E1422" s="0" t="n">
        <v>2030</v>
      </c>
      <c r="F1422" s="0" t="n">
        <v>1.807847</v>
      </c>
      <c r="G1422" s="0" t="n">
        <v>37.887197</v>
      </c>
      <c r="I1422" s="0" t="n">
        <v>2027</v>
      </c>
      <c r="J1422" s="0" t="n">
        <v>0</v>
      </c>
      <c r="K1422" s="0" t="n">
        <v>0</v>
      </c>
      <c r="M1422" s="0" t="n">
        <v>2030</v>
      </c>
      <c r="N1422" s="0" t="n">
        <v>48</v>
      </c>
      <c r="O1422" s="0" t="n">
        <v>1006.8</v>
      </c>
      <c r="Q1422" s="0" t="n">
        <v>2032</v>
      </c>
      <c r="R1422" s="0" t="n">
        <v>132</v>
      </c>
      <c r="W1422" s="0" t="n">
        <v>2030</v>
      </c>
      <c r="X1422" s="0" t="n">
        <v>738.14</v>
      </c>
    </row>
    <row r="1423" customFormat="false" ht="15" hidden="false" customHeight="false" outlineLevel="0" collapsed="false">
      <c r="A1423" s="0" t="n">
        <v>2030</v>
      </c>
      <c r="B1423" s="0" t="n">
        <v>157.1648357</v>
      </c>
      <c r="C1423" s="0" t="n">
        <v>3300.461551</v>
      </c>
      <c r="E1423" s="0" t="n">
        <v>2030</v>
      </c>
      <c r="F1423" s="0" t="n">
        <v>43.216607</v>
      </c>
      <c r="G1423" s="0" t="n">
        <v>905.693957</v>
      </c>
      <c r="I1423" s="0" t="n">
        <v>2027</v>
      </c>
      <c r="J1423" s="0" t="n">
        <v>1.52</v>
      </c>
      <c r="K1423" s="0" t="n">
        <v>31.8</v>
      </c>
      <c r="M1423" s="0" t="n">
        <v>2030</v>
      </c>
      <c r="N1423" s="0" t="n">
        <v>28.8</v>
      </c>
      <c r="O1423" s="0" t="n">
        <v>604.08</v>
      </c>
      <c r="Q1423" s="0" t="n">
        <v>2032</v>
      </c>
      <c r="R1423" s="0" t="n">
        <v>291</v>
      </c>
      <c r="W1423" s="0" t="n">
        <v>2030</v>
      </c>
      <c r="X1423" s="0" t="n">
        <v>329.992</v>
      </c>
    </row>
    <row r="1424" customFormat="false" ht="15" hidden="false" customHeight="false" outlineLevel="0" collapsed="false">
      <c r="A1424" s="0" t="n">
        <v>2030</v>
      </c>
      <c r="B1424" s="0" t="n">
        <v>39.641619</v>
      </c>
      <c r="C1424" s="0" t="n">
        <v>832.473999</v>
      </c>
      <c r="E1424" s="0" t="n">
        <v>2030</v>
      </c>
      <c r="F1424" s="0" t="n">
        <v>2.023139</v>
      </c>
      <c r="G1424" s="0" t="n">
        <v>42.399089</v>
      </c>
      <c r="I1424" s="0" t="n">
        <v>2027</v>
      </c>
      <c r="J1424" s="0" t="n">
        <v>2.66</v>
      </c>
      <c r="K1424" s="0" t="n">
        <v>55.65</v>
      </c>
      <c r="M1424" s="0" t="n">
        <v>2030</v>
      </c>
      <c r="N1424" s="0" t="n">
        <v>24</v>
      </c>
      <c r="O1424" s="0" t="n">
        <v>503.4</v>
      </c>
      <c r="Q1424" s="0" t="n">
        <v>2032</v>
      </c>
      <c r="R1424" s="0" t="n">
        <v>276</v>
      </c>
      <c r="W1424" s="0" t="n">
        <v>2030</v>
      </c>
      <c r="X1424" s="0" t="n">
        <v>130.26</v>
      </c>
    </row>
    <row r="1425" customFormat="false" ht="15" hidden="false" customHeight="false" outlineLevel="0" collapsed="false">
      <c r="A1425" s="0" t="n">
        <v>2030</v>
      </c>
      <c r="B1425" s="0" t="n">
        <v>35.35063421</v>
      </c>
      <c r="C1425" s="0" t="n">
        <v>742.3633185</v>
      </c>
      <c r="E1425" s="0" t="n">
        <v>2030</v>
      </c>
      <c r="F1425" s="0" t="n">
        <v>11.062374</v>
      </c>
      <c r="G1425" s="0" t="n">
        <v>231.835074</v>
      </c>
      <c r="I1425" s="0" t="n">
        <v>2027</v>
      </c>
      <c r="J1425" s="0" t="n">
        <v>0.76</v>
      </c>
      <c r="K1425" s="0" t="n">
        <v>15.9</v>
      </c>
      <c r="M1425" s="0" t="n">
        <v>2030</v>
      </c>
      <c r="N1425" s="0" t="n">
        <v>19.2</v>
      </c>
      <c r="O1425" s="0" t="n">
        <v>402.72</v>
      </c>
      <c r="Q1425" s="0" t="n">
        <v>2032</v>
      </c>
      <c r="R1425" s="0" t="n">
        <v>131</v>
      </c>
      <c r="W1425" s="0" t="n">
        <v>2030</v>
      </c>
      <c r="X1425" s="0" t="n">
        <v>191.048</v>
      </c>
    </row>
    <row r="1426" customFormat="false" ht="15" hidden="false" customHeight="false" outlineLevel="0" collapsed="false">
      <c r="A1426" s="0" t="n">
        <v>2030</v>
      </c>
      <c r="B1426" s="0" t="n">
        <v>24.58427106</v>
      </c>
      <c r="C1426" s="0" t="n">
        <v>516.2696922</v>
      </c>
      <c r="E1426" s="0" t="n">
        <v>2030</v>
      </c>
      <c r="F1426" s="0" t="n">
        <v>10.115462</v>
      </c>
      <c r="G1426" s="0" t="n">
        <v>211.990562</v>
      </c>
      <c r="I1426" s="0" t="n">
        <v>2027</v>
      </c>
      <c r="J1426" s="0" t="n">
        <v>2.66</v>
      </c>
      <c r="K1426" s="0" t="n">
        <v>55.65</v>
      </c>
      <c r="M1426" s="0" t="n">
        <v>2030</v>
      </c>
      <c r="N1426" s="0" t="n">
        <v>9.6</v>
      </c>
      <c r="O1426" s="0" t="n">
        <v>201.36</v>
      </c>
      <c r="Q1426" s="0" t="n">
        <v>2032</v>
      </c>
      <c r="R1426" s="0" t="n">
        <v>29</v>
      </c>
      <c r="W1426" s="0" t="n">
        <v>2030</v>
      </c>
      <c r="X1426" s="0" t="n">
        <v>147.628</v>
      </c>
    </row>
    <row r="1427" customFormat="false" ht="15" hidden="false" customHeight="false" outlineLevel="0" collapsed="false">
      <c r="A1427" s="0" t="n">
        <v>2030</v>
      </c>
      <c r="B1427" s="0" t="n">
        <v>18.28660271</v>
      </c>
      <c r="C1427" s="0" t="n">
        <v>384.018657</v>
      </c>
      <c r="E1427" s="0" t="n">
        <v>2030</v>
      </c>
      <c r="F1427" s="0" t="n">
        <v>1425.180577</v>
      </c>
      <c r="G1427" s="0" t="n">
        <v>29927.76422</v>
      </c>
      <c r="I1427" s="0" t="n">
        <v>2027</v>
      </c>
      <c r="J1427" s="0" t="n">
        <v>104.64</v>
      </c>
      <c r="K1427" s="0" t="n">
        <v>2195.52</v>
      </c>
      <c r="M1427" s="0" t="n">
        <v>2030</v>
      </c>
      <c r="N1427" s="0" t="n">
        <v>164.92</v>
      </c>
      <c r="O1427" s="0" t="n">
        <v>3456.48</v>
      </c>
      <c r="Q1427" s="0" t="n">
        <v>2032</v>
      </c>
      <c r="R1427" s="0" t="n">
        <v>28</v>
      </c>
      <c r="W1427" s="0" t="n">
        <v>2030</v>
      </c>
      <c r="X1427" s="0" t="n">
        <v>54788.16</v>
      </c>
    </row>
    <row r="1428" customFormat="false" ht="15" hidden="false" customHeight="false" outlineLevel="0" collapsed="false">
      <c r="A1428" s="0" t="n">
        <v>2030</v>
      </c>
      <c r="B1428" s="0" t="n">
        <v>8.127378984</v>
      </c>
      <c r="C1428" s="0" t="n">
        <v>170.6749587</v>
      </c>
      <c r="E1428" s="0" t="n">
        <v>2030</v>
      </c>
      <c r="F1428" s="0" t="n">
        <v>382.676773</v>
      </c>
      <c r="G1428" s="0" t="n">
        <v>8035.936231</v>
      </c>
      <c r="I1428" s="0" t="n">
        <v>2027</v>
      </c>
      <c r="J1428" s="0" t="n">
        <v>34.88</v>
      </c>
      <c r="K1428" s="0" t="n">
        <v>731.84</v>
      </c>
      <c r="M1428" s="0" t="n">
        <v>2030</v>
      </c>
      <c r="N1428" s="0" t="n">
        <v>108.5</v>
      </c>
      <c r="O1428" s="0" t="n">
        <v>2274</v>
      </c>
      <c r="Q1428" s="0" t="n">
        <v>2032</v>
      </c>
      <c r="R1428" s="0" t="n">
        <v>28</v>
      </c>
      <c r="W1428" s="0" t="n">
        <v>2030</v>
      </c>
      <c r="X1428" s="0" t="n">
        <v>13697.04</v>
      </c>
    </row>
    <row r="1429" customFormat="false" ht="15" hidden="false" customHeight="false" outlineLevel="0" collapsed="false">
      <c r="A1429" s="0" t="n">
        <v>2030</v>
      </c>
      <c r="B1429" s="0" t="n">
        <v>30.01911869</v>
      </c>
      <c r="C1429" s="0" t="n">
        <v>630.4014924</v>
      </c>
      <c r="E1429" s="0" t="n">
        <v>2030</v>
      </c>
      <c r="F1429" s="0" t="n">
        <v>153.172201</v>
      </c>
      <c r="G1429" s="0" t="n">
        <v>3216.505747</v>
      </c>
      <c r="I1429" s="0" t="n">
        <v>2027</v>
      </c>
      <c r="J1429" s="0" t="n">
        <v>15.26</v>
      </c>
      <c r="K1429" s="0" t="n">
        <v>320.18</v>
      </c>
      <c r="M1429" s="0" t="n">
        <v>2030</v>
      </c>
      <c r="N1429" s="0" t="n">
        <v>43.4</v>
      </c>
      <c r="O1429" s="0" t="n">
        <v>909.6</v>
      </c>
      <c r="Q1429" s="0" t="n">
        <v>2032</v>
      </c>
      <c r="R1429" s="0" t="n">
        <v>530</v>
      </c>
      <c r="W1429" s="0" t="n">
        <v>2030</v>
      </c>
      <c r="X1429" s="0" t="n">
        <v>4241.664</v>
      </c>
    </row>
    <row r="1430" customFormat="false" ht="15" hidden="false" customHeight="false" outlineLevel="0" collapsed="false">
      <c r="A1430" s="0" t="n">
        <v>2030</v>
      </c>
      <c r="B1430" s="0" t="n">
        <v>9.397032411</v>
      </c>
      <c r="C1430" s="0" t="n">
        <v>197.3376806</v>
      </c>
      <c r="E1430" s="0" t="n">
        <v>2030</v>
      </c>
      <c r="F1430" s="0" t="n">
        <v>21.515707</v>
      </c>
      <c r="G1430" s="0" t="n">
        <v>451.814329</v>
      </c>
      <c r="I1430" s="0" t="n">
        <v>2027</v>
      </c>
      <c r="J1430" s="0" t="n">
        <v>8.72</v>
      </c>
      <c r="K1430" s="0" t="n">
        <v>182.96</v>
      </c>
      <c r="M1430" s="0" t="n">
        <v>2030</v>
      </c>
      <c r="N1430" s="0" t="n">
        <v>43.4</v>
      </c>
      <c r="O1430" s="0" t="n">
        <v>909.6</v>
      </c>
      <c r="Q1430" s="0" t="n">
        <v>2032</v>
      </c>
      <c r="R1430" s="0" t="n">
        <v>504</v>
      </c>
      <c r="W1430" s="0" t="n">
        <v>2030</v>
      </c>
      <c r="X1430" s="0" t="n">
        <v>7511.28</v>
      </c>
    </row>
    <row r="1431" customFormat="false" ht="15" hidden="false" customHeight="false" outlineLevel="0" collapsed="false">
      <c r="A1431" s="0" t="n">
        <v>2030</v>
      </c>
      <c r="B1431" s="0" t="n">
        <v>21.01119021</v>
      </c>
      <c r="C1431" s="0" t="n">
        <v>441.2349944</v>
      </c>
      <c r="E1431" s="0" t="n">
        <v>2030</v>
      </c>
      <c r="F1431" s="0" t="n">
        <v>514.333267</v>
      </c>
      <c r="G1431" s="0" t="n">
        <v>10800.62765</v>
      </c>
      <c r="I1431" s="0" t="n">
        <v>2027</v>
      </c>
      <c r="J1431" s="0" t="n">
        <v>8.72</v>
      </c>
      <c r="K1431" s="0" t="n">
        <v>182.96</v>
      </c>
      <c r="M1431" s="0" t="n">
        <v>2030</v>
      </c>
      <c r="N1431" s="0" t="n">
        <v>26.04</v>
      </c>
      <c r="O1431" s="0" t="n">
        <v>545.76</v>
      </c>
      <c r="Q1431" s="0" t="n">
        <v>2032</v>
      </c>
      <c r="R1431" s="0" t="n">
        <v>239</v>
      </c>
      <c r="W1431" s="0" t="n">
        <v>2030</v>
      </c>
      <c r="X1431" s="0" t="n">
        <v>3357.984</v>
      </c>
    </row>
    <row r="1432" customFormat="false" ht="15" hidden="false" customHeight="false" outlineLevel="0" collapsed="false">
      <c r="A1432" s="0" t="n">
        <v>2030</v>
      </c>
      <c r="B1432" s="0" t="n">
        <v>209.9130761</v>
      </c>
      <c r="C1432" s="0" t="n">
        <v>4408.174598</v>
      </c>
      <c r="E1432" s="0" t="n">
        <v>2030</v>
      </c>
      <c r="F1432" s="0" t="n">
        <v>24.077959</v>
      </c>
      <c r="G1432" s="0" t="n">
        <v>505.619773</v>
      </c>
      <c r="I1432" s="0" t="n">
        <v>2027</v>
      </c>
      <c r="J1432" s="0" t="n">
        <v>4.36</v>
      </c>
      <c r="K1432" s="0" t="n">
        <v>91.48</v>
      </c>
      <c r="M1432" s="0" t="n">
        <v>2030</v>
      </c>
      <c r="N1432" s="0" t="n">
        <v>21.7</v>
      </c>
      <c r="O1432" s="0" t="n">
        <v>454.8</v>
      </c>
      <c r="Q1432" s="0" t="n">
        <v>2032</v>
      </c>
      <c r="R1432" s="0" t="n">
        <v>53</v>
      </c>
      <c r="W1432" s="0" t="n">
        <v>2030</v>
      </c>
      <c r="X1432" s="0" t="n">
        <v>1325.52</v>
      </c>
    </row>
    <row r="1433" customFormat="false" ht="15" hidden="false" customHeight="false" outlineLevel="0" collapsed="false">
      <c r="A1433" s="0" t="n">
        <v>2030</v>
      </c>
      <c r="B1433" s="0" t="n">
        <v>52.946285</v>
      </c>
      <c r="C1433" s="0" t="n">
        <v>1111.871985</v>
      </c>
      <c r="E1433" s="0" t="n">
        <v>2030</v>
      </c>
      <c r="F1433" s="0" t="n">
        <v>131.656494</v>
      </c>
      <c r="G1433" s="0" t="n">
        <v>2764.691418</v>
      </c>
      <c r="I1433" s="0" t="n">
        <v>2027</v>
      </c>
      <c r="J1433" s="0" t="n">
        <v>4.36</v>
      </c>
      <c r="K1433" s="0" t="n">
        <v>91.48</v>
      </c>
      <c r="M1433" s="0" t="n">
        <v>2030</v>
      </c>
      <c r="N1433" s="0" t="n">
        <v>17.36</v>
      </c>
      <c r="O1433" s="0" t="n">
        <v>363.84</v>
      </c>
      <c r="Q1433" s="0" t="n">
        <v>2032</v>
      </c>
      <c r="R1433" s="0" t="n">
        <v>52</v>
      </c>
      <c r="W1433" s="0" t="n">
        <v>2030</v>
      </c>
      <c r="X1433" s="0" t="n">
        <v>1944.096</v>
      </c>
    </row>
    <row r="1434" customFormat="false" ht="15" hidden="false" customHeight="false" outlineLevel="0" collapsed="false">
      <c r="A1434" s="0" t="n">
        <v>2030</v>
      </c>
      <c r="B1434" s="0" t="n">
        <v>47.21514411</v>
      </c>
      <c r="C1434" s="0" t="n">
        <v>991.5180263</v>
      </c>
      <c r="E1434" s="0" t="n">
        <v>2030</v>
      </c>
      <c r="F1434" s="0" t="n">
        <v>120.387022</v>
      </c>
      <c r="G1434" s="0" t="n">
        <v>2528.040634</v>
      </c>
      <c r="I1434" s="0" t="n">
        <v>2027</v>
      </c>
      <c r="J1434" s="0" t="n">
        <v>8.72</v>
      </c>
      <c r="K1434" s="0" t="n">
        <v>182.96</v>
      </c>
      <c r="M1434" s="0" t="n">
        <v>2030</v>
      </c>
      <c r="N1434" s="0" t="n">
        <v>8.68</v>
      </c>
      <c r="O1434" s="0" t="n">
        <v>181.92</v>
      </c>
      <c r="Q1434" s="0" t="n">
        <v>2032</v>
      </c>
      <c r="R1434" s="0" t="n">
        <v>52</v>
      </c>
      <c r="W1434" s="0" t="n">
        <v>2030</v>
      </c>
      <c r="X1434" s="0" t="n">
        <v>1502.256</v>
      </c>
    </row>
    <row r="1435" customFormat="false" ht="15" hidden="false" customHeight="false" outlineLevel="0" collapsed="false">
      <c r="A1435" s="0" t="n">
        <v>2030</v>
      </c>
      <c r="B1435" s="0" t="n">
        <v>32.83533455</v>
      </c>
      <c r="C1435" s="0" t="n">
        <v>689.5420255</v>
      </c>
      <c r="E1435" s="0" t="n">
        <v>2030</v>
      </c>
      <c r="F1435" s="0" t="n">
        <v>673.27319</v>
      </c>
      <c r="G1435" s="0" t="n">
        <v>14137.70909</v>
      </c>
      <c r="I1435" s="0" t="n">
        <v>2027</v>
      </c>
      <c r="J1435" s="0" t="n">
        <v>15.26</v>
      </c>
      <c r="K1435" s="0" t="n">
        <v>320.18</v>
      </c>
      <c r="M1435" s="0" t="n">
        <v>2030</v>
      </c>
      <c r="N1435" s="0" t="n">
        <v>264.48</v>
      </c>
      <c r="O1435" s="0" t="n">
        <v>5551.8</v>
      </c>
      <c r="Q1435" s="0" t="n">
        <v>2032</v>
      </c>
      <c r="R1435" s="0" t="n">
        <v>86</v>
      </c>
      <c r="W1435" s="0" t="n">
        <v>2030</v>
      </c>
      <c r="X1435" s="0" t="n">
        <v>14584.26</v>
      </c>
    </row>
    <row r="1436" customFormat="false" ht="15" hidden="false" customHeight="false" outlineLevel="0" collapsed="false">
      <c r="A1436" s="0" t="n">
        <v>2030</v>
      </c>
      <c r="B1436" s="0" t="n">
        <v>24.42401959</v>
      </c>
      <c r="C1436" s="0" t="n">
        <v>512.9044113</v>
      </c>
      <c r="E1436" s="0" t="n">
        <v>2030</v>
      </c>
      <c r="F1436" s="0" t="n">
        <v>180.78131</v>
      </c>
      <c r="G1436" s="0" t="n">
        <v>3796.131508</v>
      </c>
      <c r="I1436" s="0" t="n">
        <v>2027</v>
      </c>
      <c r="J1436" s="0" t="n">
        <v>6.54</v>
      </c>
      <c r="K1436" s="0" t="n">
        <v>137.22</v>
      </c>
      <c r="M1436" s="0" t="n">
        <v>2030</v>
      </c>
      <c r="N1436" s="0" t="n">
        <v>174</v>
      </c>
      <c r="O1436" s="0" t="n">
        <v>3652.5</v>
      </c>
      <c r="Q1436" s="0" t="n">
        <v>2032</v>
      </c>
      <c r="R1436" s="0" t="n">
        <v>82</v>
      </c>
      <c r="W1436" s="0" t="n">
        <v>2030</v>
      </c>
      <c r="X1436" s="0" t="n">
        <v>3646.065</v>
      </c>
    </row>
    <row r="1437" customFormat="false" ht="15" hidden="false" customHeight="false" outlineLevel="0" collapsed="false">
      <c r="A1437" s="0" t="n">
        <v>2030</v>
      </c>
      <c r="B1437" s="0" t="n">
        <v>10.85511982</v>
      </c>
      <c r="C1437" s="0" t="n">
        <v>227.9575161</v>
      </c>
      <c r="E1437" s="0" t="n">
        <v>2030</v>
      </c>
      <c r="F1437" s="0" t="n">
        <v>72.36047</v>
      </c>
      <c r="G1437" s="0" t="n">
        <v>1519.459396</v>
      </c>
      <c r="I1437" s="0" t="n">
        <v>2027</v>
      </c>
      <c r="J1437" s="0" t="n">
        <v>6.54</v>
      </c>
      <c r="K1437" s="0" t="n">
        <v>137.22</v>
      </c>
      <c r="M1437" s="0" t="n">
        <v>2030</v>
      </c>
      <c r="N1437" s="0" t="n">
        <v>69.6</v>
      </c>
      <c r="O1437" s="0" t="n">
        <v>1461</v>
      </c>
      <c r="Q1437" s="0" t="n">
        <v>2032</v>
      </c>
      <c r="R1437" s="0" t="n">
        <v>39</v>
      </c>
      <c r="W1437" s="0" t="n">
        <v>2030</v>
      </c>
      <c r="X1437" s="0" t="n">
        <v>1129.104</v>
      </c>
    </row>
    <row r="1438" customFormat="false" ht="15" hidden="false" customHeight="false" outlineLevel="0" collapsed="false">
      <c r="A1438" s="0" t="n">
        <v>2030</v>
      </c>
      <c r="B1438" s="0" t="n">
        <v>40.09424573</v>
      </c>
      <c r="C1438" s="0" t="n">
        <v>841.9791603</v>
      </c>
      <c r="E1438" s="0" t="n">
        <v>2030</v>
      </c>
      <c r="F1438" s="0" t="n">
        <v>10.16429</v>
      </c>
      <c r="G1438" s="0" t="n">
        <v>213.434572</v>
      </c>
      <c r="I1438" s="0" t="n">
        <v>2027</v>
      </c>
      <c r="J1438" s="0" t="n">
        <v>26.52</v>
      </c>
      <c r="K1438" s="0" t="n">
        <v>555.88</v>
      </c>
      <c r="M1438" s="0" t="n">
        <v>2030</v>
      </c>
      <c r="N1438" s="0" t="n">
        <v>69.6</v>
      </c>
      <c r="O1438" s="0" t="n">
        <v>1461</v>
      </c>
      <c r="Q1438" s="0" t="n">
        <v>2032</v>
      </c>
      <c r="R1438" s="0" t="n">
        <v>9</v>
      </c>
      <c r="W1438" s="0" t="n">
        <v>2030</v>
      </c>
      <c r="X1438" s="0" t="n">
        <v>1999.455</v>
      </c>
    </row>
    <row r="1439" customFormat="false" ht="15" hidden="false" customHeight="false" outlineLevel="0" collapsed="false">
      <c r="A1439" s="0" t="n">
        <v>2030</v>
      </c>
      <c r="B1439" s="0" t="n">
        <v>12.550899</v>
      </c>
      <c r="C1439" s="0" t="n">
        <v>263.5688789</v>
      </c>
      <c r="E1439" s="0" t="n">
        <v>2030</v>
      </c>
      <c r="F1439" s="0" t="n">
        <v>242.97749</v>
      </c>
      <c r="G1439" s="0" t="n">
        <v>5102.156332</v>
      </c>
      <c r="I1439" s="0" t="n">
        <v>2027</v>
      </c>
      <c r="J1439" s="0" t="n">
        <v>4.08</v>
      </c>
      <c r="K1439" s="0" t="n">
        <v>85.52</v>
      </c>
      <c r="M1439" s="0" t="n">
        <v>2030</v>
      </c>
      <c r="N1439" s="0" t="n">
        <v>41.76</v>
      </c>
      <c r="O1439" s="0" t="n">
        <v>876.6</v>
      </c>
      <c r="Q1439" s="0" t="n">
        <v>2032</v>
      </c>
      <c r="R1439" s="0" t="n">
        <v>8</v>
      </c>
      <c r="W1439" s="0" t="n">
        <v>2030</v>
      </c>
      <c r="X1439" s="0" t="n">
        <v>893.874</v>
      </c>
    </row>
    <row r="1440" customFormat="false" ht="15" hidden="false" customHeight="false" outlineLevel="0" collapsed="false">
      <c r="A1440" s="0" t="n">
        <v>2030</v>
      </c>
      <c r="B1440" s="0" t="n">
        <v>28.06304316</v>
      </c>
      <c r="C1440" s="0" t="n">
        <v>589.3239064</v>
      </c>
      <c r="E1440" s="0" t="n">
        <v>2030</v>
      </c>
      <c r="F1440" s="0" t="n">
        <v>11.37473</v>
      </c>
      <c r="G1440" s="0" t="n">
        <v>238.851964</v>
      </c>
      <c r="I1440" s="0" t="n">
        <v>2027</v>
      </c>
      <c r="J1440" s="0" t="n">
        <v>3.06</v>
      </c>
      <c r="K1440" s="0" t="n">
        <v>64.14</v>
      </c>
      <c r="M1440" s="0" t="n">
        <v>2030</v>
      </c>
      <c r="N1440" s="0" t="n">
        <v>34.8</v>
      </c>
      <c r="O1440" s="0" t="n">
        <v>730.5</v>
      </c>
      <c r="Q1440" s="0" t="n">
        <v>2032</v>
      </c>
      <c r="R1440" s="0" t="n">
        <v>8</v>
      </c>
      <c r="W1440" s="0" t="n">
        <v>2030</v>
      </c>
      <c r="X1440" s="0" t="n">
        <v>352.845</v>
      </c>
    </row>
    <row r="1441" customFormat="false" ht="15" hidden="false" customHeight="false" outlineLevel="0" collapsed="false">
      <c r="A1441" s="0" t="n">
        <v>2030</v>
      </c>
      <c r="B1441" s="0" t="n">
        <v>166.8284241</v>
      </c>
      <c r="C1441" s="0" t="n">
        <v>3503.396907</v>
      </c>
      <c r="E1441" s="0" t="n">
        <v>2030</v>
      </c>
      <c r="F1441" s="0" t="n">
        <v>62.19618</v>
      </c>
      <c r="G1441" s="0" t="n">
        <v>1306.024824</v>
      </c>
      <c r="I1441" s="0" t="n">
        <v>2027</v>
      </c>
      <c r="J1441" s="0" t="n">
        <v>5.1</v>
      </c>
      <c r="K1441" s="0" t="n">
        <v>106.9</v>
      </c>
      <c r="M1441" s="0" t="n">
        <v>2030</v>
      </c>
      <c r="N1441" s="0" t="n">
        <v>27.84</v>
      </c>
      <c r="O1441" s="0" t="n">
        <v>584.4</v>
      </c>
      <c r="Q1441" s="0" t="n">
        <v>2032</v>
      </c>
      <c r="R1441" s="0" t="n">
        <v>220</v>
      </c>
      <c r="W1441" s="0" t="n">
        <v>2030</v>
      </c>
      <c r="X1441" s="0" t="n">
        <v>517.506</v>
      </c>
    </row>
    <row r="1442" customFormat="false" ht="15" hidden="false" customHeight="false" outlineLevel="0" collapsed="false">
      <c r="A1442" s="0" t="n">
        <v>2030</v>
      </c>
      <c r="B1442" s="0" t="n">
        <v>42.07906175</v>
      </c>
      <c r="C1442" s="0" t="n">
        <v>883.6602967</v>
      </c>
      <c r="E1442" s="0" t="n">
        <v>2030</v>
      </c>
      <c r="F1442" s="0" t="n">
        <v>56.87234</v>
      </c>
      <c r="G1442" s="0" t="n">
        <v>1194.232312</v>
      </c>
      <c r="I1442" s="0" t="n">
        <v>2027</v>
      </c>
      <c r="J1442" s="0" t="n">
        <v>1.02</v>
      </c>
      <c r="K1442" s="0" t="n">
        <v>21.38</v>
      </c>
      <c r="M1442" s="0" t="n">
        <v>2030</v>
      </c>
      <c r="N1442" s="0" t="n">
        <v>13.92</v>
      </c>
      <c r="O1442" s="0" t="n">
        <v>292.2</v>
      </c>
      <c r="Q1442" s="0" t="n">
        <v>2032</v>
      </c>
      <c r="R1442" s="0" t="n">
        <v>209</v>
      </c>
      <c r="W1442" s="0" t="n">
        <v>2030</v>
      </c>
      <c r="X1442" s="0" t="n">
        <v>399.891</v>
      </c>
    </row>
    <row r="1443" customFormat="false" ht="15" hidden="false" customHeight="false" outlineLevel="0" collapsed="false">
      <c r="A1443" s="0" t="n">
        <v>2030</v>
      </c>
      <c r="B1443" s="0" t="n">
        <v>37.52423734</v>
      </c>
      <c r="C1443" s="0" t="n">
        <v>788.0089841</v>
      </c>
      <c r="E1443" s="0" t="n">
        <v>2030</v>
      </c>
      <c r="F1443" s="0" t="n">
        <v>79.662095</v>
      </c>
      <c r="G1443" s="0" t="n">
        <v>1666.222658</v>
      </c>
      <c r="I1443" s="0" t="n">
        <v>2027</v>
      </c>
      <c r="J1443" s="0" t="n">
        <v>1.02</v>
      </c>
      <c r="K1443" s="0" t="n">
        <v>21.38</v>
      </c>
      <c r="M1443" s="0" t="n">
        <v>2030</v>
      </c>
      <c r="N1443" s="0" t="n">
        <v>171.38</v>
      </c>
      <c r="O1443" s="0" t="n">
        <v>3595.94</v>
      </c>
      <c r="Q1443" s="0" t="n">
        <v>2032</v>
      </c>
      <c r="R1443" s="0" t="n">
        <v>99</v>
      </c>
      <c r="W1443" s="0" t="n">
        <v>2030</v>
      </c>
      <c r="X1443" s="0" t="n">
        <v>4672.94</v>
      </c>
    </row>
    <row r="1444" customFormat="false" ht="15" hidden="false" customHeight="false" outlineLevel="0" collapsed="false">
      <c r="A1444" s="0" t="n">
        <v>2030</v>
      </c>
      <c r="B1444" s="0" t="n">
        <v>26.09588322</v>
      </c>
      <c r="C1444" s="0" t="n">
        <v>548.0135475</v>
      </c>
      <c r="E1444" s="0" t="n">
        <v>2030</v>
      </c>
      <c r="F1444" s="0" t="n">
        <v>21.390155</v>
      </c>
      <c r="G1444" s="0" t="n">
        <v>447.399242</v>
      </c>
      <c r="I1444" s="0" t="n">
        <v>2027</v>
      </c>
      <c r="J1444" s="0" t="n">
        <v>0</v>
      </c>
      <c r="K1444" s="0" t="n">
        <v>0</v>
      </c>
      <c r="M1444" s="0" t="n">
        <v>2030</v>
      </c>
      <c r="N1444" s="0" t="n">
        <v>112.75</v>
      </c>
      <c r="O1444" s="0" t="n">
        <v>2365.75</v>
      </c>
      <c r="Q1444" s="0" t="n">
        <v>2032</v>
      </c>
      <c r="R1444" s="0" t="n">
        <v>22</v>
      </c>
      <c r="W1444" s="0" t="n">
        <v>2030</v>
      </c>
      <c r="X1444" s="0" t="n">
        <v>1168.235</v>
      </c>
    </row>
    <row r="1445" customFormat="false" ht="15" hidden="false" customHeight="false" outlineLevel="0" collapsed="false">
      <c r="A1445" s="0" t="n">
        <v>2030</v>
      </c>
      <c r="B1445" s="0" t="n">
        <v>19.41099037</v>
      </c>
      <c r="C1445" s="0" t="n">
        <v>407.6307978</v>
      </c>
      <c r="E1445" s="0" t="n">
        <v>2030</v>
      </c>
      <c r="F1445" s="0" t="n">
        <v>8.561735</v>
      </c>
      <c r="G1445" s="0" t="n">
        <v>179.078354</v>
      </c>
      <c r="I1445" s="0" t="n">
        <v>2027</v>
      </c>
      <c r="J1445" s="0" t="n">
        <v>2.04</v>
      </c>
      <c r="K1445" s="0" t="n">
        <v>42.76</v>
      </c>
      <c r="M1445" s="0" t="n">
        <v>2030</v>
      </c>
      <c r="N1445" s="0" t="n">
        <v>45.1</v>
      </c>
      <c r="O1445" s="0" t="n">
        <v>946.3</v>
      </c>
      <c r="Q1445" s="0" t="n">
        <v>2032</v>
      </c>
      <c r="R1445" s="0" t="n">
        <v>20</v>
      </c>
      <c r="W1445" s="0" t="n">
        <v>2030</v>
      </c>
      <c r="X1445" s="0" t="n">
        <v>361.776</v>
      </c>
    </row>
    <row r="1446" customFormat="false" ht="15" hidden="false" customHeight="false" outlineLevel="0" collapsed="false">
      <c r="A1446" s="0" t="n">
        <v>2030</v>
      </c>
      <c r="B1446" s="0" t="n">
        <v>8.627106832</v>
      </c>
      <c r="C1446" s="0" t="n">
        <v>181.1692435</v>
      </c>
      <c r="E1446" s="0" t="n">
        <v>2030</v>
      </c>
      <c r="F1446" s="0" t="n">
        <v>1.202645</v>
      </c>
      <c r="G1446" s="0" t="n">
        <v>25.154678</v>
      </c>
      <c r="I1446" s="0" t="n">
        <v>2027</v>
      </c>
      <c r="J1446" s="0" t="n">
        <v>3.57</v>
      </c>
      <c r="K1446" s="0" t="n">
        <v>74.83</v>
      </c>
      <c r="M1446" s="0" t="n">
        <v>2030</v>
      </c>
      <c r="N1446" s="0" t="n">
        <v>45.1</v>
      </c>
      <c r="O1446" s="0" t="n">
        <v>946.3</v>
      </c>
      <c r="Q1446" s="0" t="n">
        <v>2032</v>
      </c>
      <c r="R1446" s="0" t="n">
        <v>20</v>
      </c>
      <c r="W1446" s="0" t="n">
        <v>2030</v>
      </c>
      <c r="X1446" s="0" t="n">
        <v>640.645</v>
      </c>
    </row>
    <row r="1447" customFormat="false" ht="15" hidden="false" customHeight="false" outlineLevel="0" collapsed="false">
      <c r="A1447" s="0" t="n">
        <v>2030</v>
      </c>
      <c r="B1447" s="0" t="n">
        <v>31.86490311</v>
      </c>
      <c r="C1447" s="0" t="n">
        <v>669.1629654</v>
      </c>
      <c r="E1447" s="0" t="n">
        <v>2030</v>
      </c>
      <c r="F1447" s="0" t="n">
        <v>28.749245</v>
      </c>
      <c r="G1447" s="0" t="n">
        <v>601.322918</v>
      </c>
      <c r="I1447" s="0" t="n">
        <v>2027</v>
      </c>
      <c r="J1447" s="0" t="n">
        <v>1.02</v>
      </c>
      <c r="K1447" s="0" t="n">
        <v>21.38</v>
      </c>
      <c r="M1447" s="0" t="n">
        <v>2030</v>
      </c>
      <c r="N1447" s="0" t="n">
        <v>27.06</v>
      </c>
      <c r="O1447" s="0" t="n">
        <v>567.78</v>
      </c>
      <c r="Q1447" s="0" t="n">
        <v>2032</v>
      </c>
      <c r="R1447" s="0" t="n">
        <v>126</v>
      </c>
      <c r="W1447" s="0" t="n">
        <v>2030</v>
      </c>
      <c r="X1447" s="0" t="n">
        <v>286.406</v>
      </c>
    </row>
    <row r="1448" customFormat="false" ht="15" hidden="false" customHeight="false" outlineLevel="0" collapsed="false">
      <c r="A1448" s="0" t="n">
        <v>2030</v>
      </c>
      <c r="B1448" s="0" t="n">
        <v>9.974827392</v>
      </c>
      <c r="C1448" s="0" t="n">
        <v>209.4713752</v>
      </c>
      <c r="E1448" s="0" t="n">
        <v>2030</v>
      </c>
      <c r="F1448" s="0" t="n">
        <v>1.345865</v>
      </c>
      <c r="G1448" s="0" t="n">
        <v>28.150286</v>
      </c>
      <c r="I1448" s="0" t="n">
        <v>2027</v>
      </c>
      <c r="J1448" s="0" t="n">
        <v>3.57</v>
      </c>
      <c r="K1448" s="0" t="n">
        <v>74.83</v>
      </c>
      <c r="M1448" s="0" t="n">
        <v>2030</v>
      </c>
      <c r="N1448" s="0" t="n">
        <v>22.55</v>
      </c>
      <c r="O1448" s="0" t="n">
        <v>473.15</v>
      </c>
      <c r="Q1448" s="0" t="n">
        <v>2032</v>
      </c>
      <c r="R1448" s="0" t="n">
        <v>119</v>
      </c>
      <c r="W1448" s="0" t="n">
        <v>2030</v>
      </c>
      <c r="X1448" s="0" t="n">
        <v>113.055</v>
      </c>
    </row>
    <row r="1449" customFormat="false" ht="15" hidden="false" customHeight="false" outlineLevel="0" collapsed="false">
      <c r="A1449" s="0" t="n">
        <v>2030</v>
      </c>
      <c r="B1449" s="0" t="n">
        <v>22.30310448</v>
      </c>
      <c r="C1449" s="0" t="n">
        <v>468.365194</v>
      </c>
      <c r="E1449" s="0" t="n">
        <v>2030</v>
      </c>
      <c r="F1449" s="0" t="n">
        <v>7.35909</v>
      </c>
      <c r="G1449" s="0" t="n">
        <v>153.923676</v>
      </c>
      <c r="I1449" s="0" t="n">
        <v>2027</v>
      </c>
      <c r="J1449" s="0" t="n">
        <v>105.12</v>
      </c>
      <c r="K1449" s="0" t="n">
        <v>2211.84</v>
      </c>
      <c r="M1449" s="0" t="n">
        <v>2030</v>
      </c>
      <c r="N1449" s="0" t="n">
        <v>18.04</v>
      </c>
      <c r="O1449" s="0" t="n">
        <v>378.52</v>
      </c>
      <c r="Q1449" s="0" t="n">
        <v>2032</v>
      </c>
      <c r="R1449" s="0" t="n">
        <v>57</v>
      </c>
      <c r="W1449" s="0" t="n">
        <v>2030</v>
      </c>
      <c r="X1449" s="0" t="n">
        <v>165.814</v>
      </c>
    </row>
    <row r="1450" customFormat="false" ht="15" hidden="false" customHeight="false" outlineLevel="0" collapsed="false">
      <c r="A1450" s="0" t="n">
        <v>2030</v>
      </c>
      <c r="B1450" s="0" t="n">
        <v>235.774943</v>
      </c>
      <c r="C1450" s="0" t="n">
        <v>4951.273803</v>
      </c>
      <c r="E1450" s="0" t="n">
        <v>2030</v>
      </c>
      <c r="F1450" s="0" t="n">
        <v>6.72917</v>
      </c>
      <c r="G1450" s="0" t="n">
        <v>140.748188</v>
      </c>
      <c r="I1450" s="0" t="n">
        <v>2027</v>
      </c>
      <c r="J1450" s="0" t="n">
        <v>35.04</v>
      </c>
      <c r="K1450" s="0" t="n">
        <v>737.28</v>
      </c>
      <c r="M1450" s="0" t="n">
        <v>2030</v>
      </c>
      <c r="N1450" s="0" t="n">
        <v>9.02</v>
      </c>
      <c r="O1450" s="0" t="n">
        <v>189.26</v>
      </c>
      <c r="Q1450" s="0" t="n">
        <v>2032</v>
      </c>
      <c r="R1450" s="0" t="n">
        <v>13</v>
      </c>
      <c r="W1450" s="0" t="n">
        <v>2030</v>
      </c>
      <c r="X1450" s="0" t="n">
        <v>128.129</v>
      </c>
    </row>
    <row r="1451" customFormat="false" ht="15" hidden="false" customHeight="false" outlineLevel="0" collapsed="false">
      <c r="A1451" s="0" t="n">
        <v>2030</v>
      </c>
      <c r="B1451" s="0" t="n">
        <v>59.46941258</v>
      </c>
      <c r="C1451" s="0" t="n">
        <v>1248.857664</v>
      </c>
      <c r="E1451" s="0" t="n">
        <v>2030</v>
      </c>
      <c r="F1451" s="0" t="n">
        <v>636.782811</v>
      </c>
      <c r="G1451" s="0" t="n">
        <v>13370.89718</v>
      </c>
      <c r="I1451" s="0" t="n">
        <v>2027</v>
      </c>
      <c r="J1451" s="0" t="n">
        <v>15.33</v>
      </c>
      <c r="K1451" s="0" t="n">
        <v>322.56</v>
      </c>
      <c r="M1451" s="0" t="n">
        <v>2030</v>
      </c>
      <c r="N1451" s="0" t="n">
        <v>44.46</v>
      </c>
      <c r="O1451" s="0" t="n">
        <v>932.14</v>
      </c>
      <c r="Q1451" s="0" t="n">
        <v>2032</v>
      </c>
      <c r="R1451" s="0" t="n">
        <v>13</v>
      </c>
      <c r="W1451" s="0" t="n">
        <v>2030</v>
      </c>
      <c r="X1451" s="0" t="n">
        <v>46465.28</v>
      </c>
    </row>
    <row r="1452" customFormat="false" ht="15" hidden="false" customHeight="false" outlineLevel="0" collapsed="false">
      <c r="A1452" s="0" t="n">
        <v>2030</v>
      </c>
      <c r="B1452" s="0" t="n">
        <v>53.03217941</v>
      </c>
      <c r="C1452" s="0" t="n">
        <v>1113.675768</v>
      </c>
      <c r="E1452" s="0" t="n">
        <v>2030</v>
      </c>
      <c r="F1452" s="0" t="n">
        <v>170.983239</v>
      </c>
      <c r="G1452" s="0" t="n">
        <v>3590.234016</v>
      </c>
      <c r="I1452" s="0" t="n">
        <v>2027</v>
      </c>
      <c r="J1452" s="0" t="n">
        <v>8.76</v>
      </c>
      <c r="K1452" s="0" t="n">
        <v>184.32</v>
      </c>
      <c r="M1452" s="0" t="n">
        <v>2030</v>
      </c>
      <c r="N1452" s="0" t="n">
        <v>29.25</v>
      </c>
      <c r="O1452" s="0" t="n">
        <v>613.25</v>
      </c>
      <c r="Q1452" s="0" t="n">
        <v>2032</v>
      </c>
      <c r="R1452" s="0" t="n">
        <v>13</v>
      </c>
      <c r="W1452" s="0" t="n">
        <v>2030</v>
      </c>
      <c r="X1452" s="0" t="n">
        <v>11616.32</v>
      </c>
    </row>
    <row r="1453" customFormat="false" ht="15" hidden="false" customHeight="false" outlineLevel="0" collapsed="false">
      <c r="A1453" s="0" t="n">
        <v>2030</v>
      </c>
      <c r="B1453" s="0" t="n">
        <v>36.88073786</v>
      </c>
      <c r="C1453" s="0" t="n">
        <v>774.495495</v>
      </c>
      <c r="E1453" s="0" t="n">
        <v>2030</v>
      </c>
      <c r="F1453" s="0" t="n">
        <v>68.438643</v>
      </c>
      <c r="G1453" s="0" t="n">
        <v>1437.045792</v>
      </c>
      <c r="I1453" s="0" t="n">
        <v>2027</v>
      </c>
      <c r="J1453" s="0" t="n">
        <v>8.76</v>
      </c>
      <c r="K1453" s="0" t="n">
        <v>184.32</v>
      </c>
      <c r="M1453" s="0" t="n">
        <v>2030</v>
      </c>
      <c r="N1453" s="0" t="n">
        <v>11.7</v>
      </c>
      <c r="O1453" s="0" t="n">
        <v>245.3</v>
      </c>
      <c r="Q1453" s="0" t="n">
        <v>2032</v>
      </c>
      <c r="R1453" s="0" t="n">
        <v>86</v>
      </c>
      <c r="W1453" s="0" t="n">
        <v>2030</v>
      </c>
      <c r="X1453" s="0" t="n">
        <v>3597.312</v>
      </c>
    </row>
    <row r="1454" customFormat="false" ht="15" hidden="false" customHeight="false" outlineLevel="0" collapsed="false">
      <c r="A1454" s="0" t="n">
        <v>2030</v>
      </c>
      <c r="B1454" s="0" t="n">
        <v>27.43312581</v>
      </c>
      <c r="C1454" s="0" t="n">
        <v>576.095642</v>
      </c>
      <c r="E1454" s="0" t="n">
        <v>2030</v>
      </c>
      <c r="F1454" s="0" t="n">
        <v>9.613401</v>
      </c>
      <c r="G1454" s="0" t="n">
        <v>201.858144</v>
      </c>
      <c r="I1454" s="0" t="n">
        <v>2027</v>
      </c>
      <c r="J1454" s="0" t="n">
        <v>4.38</v>
      </c>
      <c r="K1454" s="0" t="n">
        <v>92.16</v>
      </c>
      <c r="M1454" s="0" t="n">
        <v>2030</v>
      </c>
      <c r="N1454" s="0" t="n">
        <v>11.7</v>
      </c>
      <c r="O1454" s="0" t="n">
        <v>245.3</v>
      </c>
      <c r="Q1454" s="0" t="n">
        <v>2032</v>
      </c>
      <c r="R1454" s="0" t="n">
        <v>81</v>
      </c>
      <c r="W1454" s="0" t="n">
        <v>2030</v>
      </c>
      <c r="X1454" s="0" t="n">
        <v>6370.24</v>
      </c>
    </row>
    <row r="1455" customFormat="false" ht="15" hidden="false" customHeight="false" outlineLevel="0" collapsed="false">
      <c r="A1455" s="0" t="n">
        <v>2030</v>
      </c>
      <c r="B1455" s="0" t="n">
        <v>12.19250036</v>
      </c>
      <c r="C1455" s="0" t="n">
        <v>256.0425076</v>
      </c>
      <c r="E1455" s="0" t="n">
        <v>2030</v>
      </c>
      <c r="F1455" s="0" t="n">
        <v>229.808481</v>
      </c>
      <c r="G1455" s="0" t="n">
        <v>4825.421664</v>
      </c>
      <c r="I1455" s="0" t="n">
        <v>2027</v>
      </c>
      <c r="J1455" s="0" t="n">
        <v>4.38</v>
      </c>
      <c r="K1455" s="0" t="n">
        <v>92.16</v>
      </c>
      <c r="M1455" s="0" t="n">
        <v>2030</v>
      </c>
      <c r="N1455" s="0" t="n">
        <v>7.02</v>
      </c>
      <c r="O1455" s="0" t="n">
        <v>147.18</v>
      </c>
      <c r="Q1455" s="0" t="n">
        <v>2032</v>
      </c>
      <c r="R1455" s="0" t="n">
        <v>39</v>
      </c>
      <c r="W1455" s="0" t="n">
        <v>2030</v>
      </c>
      <c r="X1455" s="0" t="n">
        <v>2847.872</v>
      </c>
    </row>
    <row r="1456" customFormat="false" ht="15" hidden="false" customHeight="false" outlineLevel="0" collapsed="false">
      <c r="A1456" s="0" t="n">
        <v>2030</v>
      </c>
      <c r="B1456" s="0" t="n">
        <v>45.03396681</v>
      </c>
      <c r="C1456" s="0" t="n">
        <v>945.713303</v>
      </c>
      <c r="E1456" s="0" t="n">
        <v>2030</v>
      </c>
      <c r="F1456" s="0" t="n">
        <v>10.758237</v>
      </c>
      <c r="G1456" s="0" t="n">
        <v>225.896928</v>
      </c>
      <c r="I1456" s="0" t="n">
        <v>2027</v>
      </c>
      <c r="J1456" s="0" t="n">
        <v>8.76</v>
      </c>
      <c r="K1456" s="0" t="n">
        <v>184.32</v>
      </c>
      <c r="M1456" s="0" t="n">
        <v>2030</v>
      </c>
      <c r="N1456" s="0" t="n">
        <v>5.85</v>
      </c>
      <c r="O1456" s="0" t="n">
        <v>122.65</v>
      </c>
      <c r="Q1456" s="0" t="n">
        <v>2032</v>
      </c>
      <c r="R1456" s="0" t="n">
        <v>9</v>
      </c>
      <c r="W1456" s="0" t="n">
        <v>2030</v>
      </c>
      <c r="X1456" s="0" t="n">
        <v>1124.16</v>
      </c>
    </row>
    <row r="1457" customFormat="false" ht="15" hidden="false" customHeight="false" outlineLevel="0" collapsed="false">
      <c r="A1457" s="0" t="n">
        <v>2030</v>
      </c>
      <c r="B1457" s="0" t="n">
        <v>14.09720419</v>
      </c>
      <c r="C1457" s="0" t="n">
        <v>296.041288</v>
      </c>
      <c r="E1457" s="0" t="n">
        <v>2030</v>
      </c>
      <c r="F1457" s="0" t="n">
        <v>58.825242</v>
      </c>
      <c r="G1457" s="0" t="n">
        <v>1235.187648</v>
      </c>
      <c r="I1457" s="0" t="n">
        <v>2027</v>
      </c>
      <c r="J1457" s="0" t="n">
        <v>15.33</v>
      </c>
      <c r="K1457" s="0" t="n">
        <v>322.56</v>
      </c>
      <c r="M1457" s="0" t="n">
        <v>2030</v>
      </c>
      <c r="N1457" s="0" t="n">
        <v>4.68</v>
      </c>
      <c r="O1457" s="0" t="n">
        <v>98.12</v>
      </c>
      <c r="Q1457" s="0" t="n">
        <v>2032</v>
      </c>
      <c r="R1457" s="0" t="n">
        <v>8</v>
      </c>
      <c r="W1457" s="0" t="n">
        <v>2030</v>
      </c>
      <c r="X1457" s="0" t="n">
        <v>1648.768</v>
      </c>
    </row>
    <row r="1458" customFormat="false" ht="15" hidden="false" customHeight="false" outlineLevel="0" collapsed="false">
      <c r="A1458" s="0" t="n">
        <v>2030</v>
      </c>
      <c r="B1458" s="0" t="n">
        <v>31.52048707</v>
      </c>
      <c r="C1458" s="0" t="n">
        <v>661.9302286</v>
      </c>
      <c r="E1458" s="0" t="n">
        <v>2030</v>
      </c>
      <c r="F1458" s="0" t="n">
        <v>53.789946</v>
      </c>
      <c r="G1458" s="0" t="n">
        <v>1129.458624</v>
      </c>
      <c r="I1458" s="0" t="n">
        <v>2027</v>
      </c>
      <c r="J1458" s="0" t="n">
        <v>6.57</v>
      </c>
      <c r="K1458" s="0" t="n">
        <v>138.24</v>
      </c>
      <c r="M1458" s="0" t="n">
        <v>2030</v>
      </c>
      <c r="N1458" s="0" t="n">
        <v>2.34</v>
      </c>
      <c r="O1458" s="0" t="n">
        <v>49.06</v>
      </c>
      <c r="Q1458" s="0" t="n">
        <v>2032</v>
      </c>
      <c r="R1458" s="0" t="n">
        <v>8</v>
      </c>
      <c r="W1458" s="0" t="n">
        <v>2030</v>
      </c>
      <c r="X1458" s="0" t="n">
        <v>1274.048</v>
      </c>
    </row>
    <row r="1459" customFormat="false" ht="15" hidden="false" customHeight="false" outlineLevel="0" collapsed="false">
      <c r="A1459" s="0" t="n">
        <v>2030</v>
      </c>
      <c r="B1459" s="0" t="n">
        <v>296.386963</v>
      </c>
      <c r="C1459" s="0" t="n">
        <v>6224.126222</v>
      </c>
      <c r="E1459" s="0" t="n">
        <v>2031</v>
      </c>
      <c r="F1459" s="0" t="n">
        <v>264.683735</v>
      </c>
      <c r="G1459" s="0" t="n">
        <v>5555.274741</v>
      </c>
      <c r="I1459" s="0" t="n">
        <v>2027</v>
      </c>
      <c r="J1459" s="0" t="n">
        <v>6.57</v>
      </c>
      <c r="K1459" s="0" t="n">
        <v>138.24</v>
      </c>
      <c r="M1459" s="0" t="n">
        <v>2030</v>
      </c>
      <c r="N1459" s="0" t="n">
        <v>98.8</v>
      </c>
      <c r="O1459" s="0" t="n">
        <v>2073.28</v>
      </c>
      <c r="Q1459" s="0" t="n">
        <v>2032</v>
      </c>
      <c r="R1459" s="0" t="n">
        <v>873</v>
      </c>
      <c r="W1459" s="0" t="n">
        <v>2031</v>
      </c>
      <c r="X1459" s="0" t="n">
        <v>162492.7</v>
      </c>
    </row>
    <row r="1460" customFormat="false" ht="15" hidden="false" customHeight="false" outlineLevel="0" collapsed="false">
      <c r="A1460" s="0" t="n">
        <v>2030</v>
      </c>
      <c r="B1460" s="0" t="n">
        <v>74.75755634</v>
      </c>
      <c r="C1460" s="0" t="n">
        <v>1569.908683</v>
      </c>
      <c r="E1460" s="0" t="n">
        <v>2031</v>
      </c>
      <c r="F1460" s="0" t="n">
        <v>71.070515</v>
      </c>
      <c r="G1460" s="0" t="n">
        <v>1491.652809</v>
      </c>
      <c r="I1460" s="0" t="n">
        <v>2027</v>
      </c>
      <c r="J1460" s="0" t="n">
        <v>15.6</v>
      </c>
      <c r="K1460" s="0" t="n">
        <v>328.12</v>
      </c>
      <c r="M1460" s="0" t="n">
        <v>2030</v>
      </c>
      <c r="N1460" s="0" t="n">
        <v>65</v>
      </c>
      <c r="O1460" s="0" t="n">
        <v>1364</v>
      </c>
      <c r="Q1460" s="0" t="n">
        <v>2032</v>
      </c>
      <c r="R1460" s="0" t="n">
        <v>830</v>
      </c>
      <c r="W1460" s="0" t="n">
        <v>2031</v>
      </c>
      <c r="X1460" s="0" t="n">
        <v>40623.175</v>
      </c>
    </row>
    <row r="1461" customFormat="false" ht="15" hidden="false" customHeight="false" outlineLevel="0" collapsed="false">
      <c r="A1461" s="0" t="n">
        <v>2030</v>
      </c>
      <c r="B1461" s="0" t="n">
        <v>66.66546663</v>
      </c>
      <c r="C1461" s="0" t="n">
        <v>1399.974799</v>
      </c>
      <c r="E1461" s="0" t="n">
        <v>2031</v>
      </c>
      <c r="F1461" s="0" t="n">
        <v>28.447055</v>
      </c>
      <c r="G1461" s="0" t="n">
        <v>597.056733</v>
      </c>
      <c r="I1461" s="0" t="n">
        <v>2027</v>
      </c>
      <c r="J1461" s="0" t="n">
        <v>2.4</v>
      </c>
      <c r="K1461" s="0" t="n">
        <v>50.48</v>
      </c>
      <c r="M1461" s="0" t="n">
        <v>2030</v>
      </c>
      <c r="N1461" s="0" t="n">
        <v>26</v>
      </c>
      <c r="O1461" s="0" t="n">
        <v>545.6</v>
      </c>
      <c r="Q1461" s="0" t="n">
        <v>2032</v>
      </c>
      <c r="R1461" s="0" t="n">
        <v>393</v>
      </c>
      <c r="W1461" s="0" t="n">
        <v>2031</v>
      </c>
      <c r="X1461" s="0" t="n">
        <v>12580.08</v>
      </c>
    </row>
    <row r="1462" customFormat="false" ht="15" hidden="false" customHeight="false" outlineLevel="0" collapsed="false">
      <c r="A1462" s="0" t="n">
        <v>2030</v>
      </c>
      <c r="B1462" s="0" t="n">
        <v>46.36188115</v>
      </c>
      <c r="C1462" s="0" t="n">
        <v>973.5995042</v>
      </c>
      <c r="E1462" s="0" t="n">
        <v>2031</v>
      </c>
      <c r="F1462" s="0" t="n">
        <v>3.995885</v>
      </c>
      <c r="G1462" s="0" t="n">
        <v>83.867031</v>
      </c>
      <c r="I1462" s="0" t="n">
        <v>2027</v>
      </c>
      <c r="J1462" s="0" t="n">
        <v>1.8</v>
      </c>
      <c r="K1462" s="0" t="n">
        <v>37.86</v>
      </c>
      <c r="M1462" s="0" t="n">
        <v>2030</v>
      </c>
      <c r="N1462" s="0" t="n">
        <v>26</v>
      </c>
      <c r="O1462" s="0" t="n">
        <v>545.6</v>
      </c>
      <c r="Q1462" s="0" t="n">
        <v>2032</v>
      </c>
      <c r="R1462" s="0" t="n">
        <v>87</v>
      </c>
      <c r="W1462" s="0" t="n">
        <v>2031</v>
      </c>
      <c r="X1462" s="0" t="n">
        <v>22277.225</v>
      </c>
    </row>
    <row r="1463" customFormat="false" ht="15" hidden="false" customHeight="false" outlineLevel="0" collapsed="false">
      <c r="A1463" s="0" t="n">
        <v>2030</v>
      </c>
      <c r="B1463" s="0" t="n">
        <v>34.48551717</v>
      </c>
      <c r="C1463" s="0" t="n">
        <v>724.1958605</v>
      </c>
      <c r="E1463" s="0" t="n">
        <v>2031</v>
      </c>
      <c r="F1463" s="0" t="n">
        <v>95.521685</v>
      </c>
      <c r="G1463" s="0" t="n">
        <v>2004.842511</v>
      </c>
      <c r="I1463" s="0" t="n">
        <v>2027</v>
      </c>
      <c r="J1463" s="0" t="n">
        <v>3</v>
      </c>
      <c r="K1463" s="0" t="n">
        <v>63.1</v>
      </c>
      <c r="M1463" s="0" t="n">
        <v>2030</v>
      </c>
      <c r="N1463" s="0" t="n">
        <v>15.6</v>
      </c>
      <c r="O1463" s="0" t="n">
        <v>327.36</v>
      </c>
      <c r="Q1463" s="0" t="n">
        <v>2032</v>
      </c>
      <c r="R1463" s="0" t="n">
        <v>84</v>
      </c>
      <c r="W1463" s="0" t="n">
        <v>2031</v>
      </c>
      <c r="X1463" s="0" t="n">
        <v>9959.23</v>
      </c>
    </row>
    <row r="1464" customFormat="false" ht="15" hidden="false" customHeight="false" outlineLevel="0" collapsed="false">
      <c r="A1464" s="0" t="n">
        <v>2030</v>
      </c>
      <c r="B1464" s="0" t="n">
        <v>15.32689652</v>
      </c>
      <c r="C1464" s="0" t="n">
        <v>321.8648269</v>
      </c>
      <c r="E1464" s="0" t="n">
        <v>2031</v>
      </c>
      <c r="F1464" s="0" t="n">
        <v>4.471745</v>
      </c>
      <c r="G1464" s="0" t="n">
        <v>93.854547</v>
      </c>
      <c r="I1464" s="0" t="n">
        <v>2027</v>
      </c>
      <c r="J1464" s="0" t="n">
        <v>0.6</v>
      </c>
      <c r="K1464" s="0" t="n">
        <v>12.62</v>
      </c>
      <c r="M1464" s="0" t="n">
        <v>2030</v>
      </c>
      <c r="N1464" s="0" t="n">
        <v>13</v>
      </c>
      <c r="O1464" s="0" t="n">
        <v>272.8</v>
      </c>
      <c r="Q1464" s="0" t="n">
        <v>2032</v>
      </c>
      <c r="R1464" s="0" t="n">
        <v>84</v>
      </c>
      <c r="W1464" s="0" t="n">
        <v>2031</v>
      </c>
      <c r="X1464" s="0" t="n">
        <v>3931.275</v>
      </c>
    </row>
    <row r="1465" customFormat="false" ht="15" hidden="false" customHeight="false" outlineLevel="0" collapsed="false">
      <c r="A1465" s="0" t="n">
        <v>2030</v>
      </c>
      <c r="B1465" s="0" t="n">
        <v>56.61110754</v>
      </c>
      <c r="C1465" s="0" t="n">
        <v>1188.833258</v>
      </c>
      <c r="E1465" s="0" t="n">
        <v>2031</v>
      </c>
      <c r="F1465" s="0" t="n">
        <v>24.45117</v>
      </c>
      <c r="G1465" s="0" t="n">
        <v>513.189702</v>
      </c>
      <c r="I1465" s="0" t="n">
        <v>2027</v>
      </c>
      <c r="J1465" s="0" t="n">
        <v>0.6</v>
      </c>
      <c r="K1465" s="0" t="n">
        <v>12.62</v>
      </c>
      <c r="M1465" s="0" t="n">
        <v>2030</v>
      </c>
      <c r="N1465" s="0" t="n">
        <v>10.4</v>
      </c>
      <c r="O1465" s="0" t="n">
        <v>218.24</v>
      </c>
      <c r="Q1465" s="0" t="n">
        <v>2032</v>
      </c>
      <c r="R1465" s="0" t="n">
        <v>86</v>
      </c>
      <c r="W1465" s="0" t="n">
        <v>2031</v>
      </c>
      <c r="X1465" s="0" t="n">
        <v>5765.87</v>
      </c>
    </row>
    <row r="1466" customFormat="false" ht="15" hidden="false" customHeight="false" outlineLevel="0" collapsed="false">
      <c r="A1466" s="0" t="n">
        <v>2030</v>
      </c>
      <c r="B1466" s="0" t="n">
        <v>17.72125351</v>
      </c>
      <c r="C1466" s="0" t="n">
        <v>372.1463237</v>
      </c>
      <c r="E1466" s="0" t="n">
        <v>2031</v>
      </c>
      <c r="F1466" s="0" t="n">
        <v>22.35821</v>
      </c>
      <c r="G1466" s="0" t="n">
        <v>469.261926</v>
      </c>
      <c r="I1466" s="0" t="n">
        <v>2027</v>
      </c>
      <c r="J1466" s="0" t="n">
        <v>0</v>
      </c>
      <c r="K1466" s="0" t="n">
        <v>0</v>
      </c>
      <c r="M1466" s="0" t="n">
        <v>2030</v>
      </c>
      <c r="N1466" s="0" t="n">
        <v>5.2</v>
      </c>
      <c r="O1466" s="0" t="n">
        <v>109.12</v>
      </c>
      <c r="Q1466" s="0" t="n">
        <v>2032</v>
      </c>
      <c r="R1466" s="0" t="n">
        <v>82</v>
      </c>
      <c r="W1466" s="0" t="n">
        <v>2031</v>
      </c>
      <c r="X1466" s="0" t="n">
        <v>4455.445</v>
      </c>
    </row>
    <row r="1467" customFormat="false" ht="15" hidden="false" customHeight="false" outlineLevel="0" collapsed="false">
      <c r="A1467" s="0" t="n">
        <v>2030</v>
      </c>
      <c r="B1467" s="0" t="n">
        <v>39.62363989</v>
      </c>
      <c r="C1467" s="0" t="n">
        <v>832.0964376</v>
      </c>
      <c r="E1467" s="0" t="n">
        <v>2031</v>
      </c>
      <c r="F1467" s="0" t="n">
        <v>356.166657</v>
      </c>
      <c r="G1467" s="0" t="n">
        <v>7471.790562</v>
      </c>
      <c r="I1467" s="0" t="n">
        <v>2027</v>
      </c>
      <c r="J1467" s="0" t="n">
        <v>1.2</v>
      </c>
      <c r="K1467" s="0" t="n">
        <v>25.24</v>
      </c>
      <c r="M1467" s="0" t="n">
        <v>2030</v>
      </c>
      <c r="N1467" s="0" t="n">
        <v>144.4</v>
      </c>
      <c r="O1467" s="0" t="n">
        <v>3032.02</v>
      </c>
      <c r="Q1467" s="0" t="n">
        <v>2032</v>
      </c>
      <c r="R1467" s="0" t="n">
        <v>39</v>
      </c>
      <c r="W1467" s="0" t="n">
        <v>2031</v>
      </c>
      <c r="X1467" s="0" t="n">
        <v>61541.82</v>
      </c>
    </row>
    <row r="1468" customFormat="false" ht="15" hidden="false" customHeight="false" outlineLevel="0" collapsed="false">
      <c r="A1468" s="0" t="n">
        <v>2030</v>
      </c>
      <c r="B1468" s="0" t="n">
        <v>967.5217919</v>
      </c>
      <c r="C1468" s="0" t="n">
        <v>20317.95763</v>
      </c>
      <c r="E1468" s="0" t="n">
        <v>2031</v>
      </c>
      <c r="F1468" s="0" t="n">
        <v>95.634693</v>
      </c>
      <c r="G1468" s="0" t="n">
        <v>2006.258538</v>
      </c>
      <c r="I1468" s="0" t="n">
        <v>2027</v>
      </c>
      <c r="J1468" s="0" t="n">
        <v>2.1</v>
      </c>
      <c r="K1468" s="0" t="n">
        <v>44.17</v>
      </c>
      <c r="M1468" s="0" t="n">
        <v>2030</v>
      </c>
      <c r="N1468" s="0" t="n">
        <v>95</v>
      </c>
      <c r="O1468" s="0" t="n">
        <v>1994.75</v>
      </c>
      <c r="Q1468" s="0" t="n">
        <v>2032</v>
      </c>
      <c r="R1468" s="0" t="n">
        <v>9</v>
      </c>
      <c r="W1468" s="0" t="n">
        <v>2031</v>
      </c>
      <c r="X1468" s="0" t="n">
        <v>15385.455</v>
      </c>
    </row>
    <row r="1469" customFormat="false" ht="15" hidden="false" customHeight="false" outlineLevel="0" collapsed="false">
      <c r="A1469" s="0" t="n">
        <v>2030</v>
      </c>
      <c r="B1469" s="0" t="n">
        <v>244.0376059</v>
      </c>
      <c r="C1469" s="0" t="n">
        <v>5124.789724</v>
      </c>
      <c r="E1469" s="0" t="n">
        <v>2031</v>
      </c>
      <c r="F1469" s="0" t="n">
        <v>38.279241</v>
      </c>
      <c r="G1469" s="0" t="n">
        <v>803.035506</v>
      </c>
      <c r="I1469" s="0" t="n">
        <v>2027</v>
      </c>
      <c r="J1469" s="0" t="n">
        <v>0.6</v>
      </c>
      <c r="K1469" s="0" t="n">
        <v>12.62</v>
      </c>
      <c r="M1469" s="0" t="n">
        <v>2030</v>
      </c>
      <c r="N1469" s="0" t="n">
        <v>38</v>
      </c>
      <c r="O1469" s="0" t="n">
        <v>797.9</v>
      </c>
      <c r="Q1469" s="0" t="n">
        <v>2032</v>
      </c>
      <c r="R1469" s="0" t="n">
        <v>8</v>
      </c>
      <c r="W1469" s="0" t="n">
        <v>2031</v>
      </c>
      <c r="X1469" s="0" t="n">
        <v>4764.528</v>
      </c>
    </row>
    <row r="1470" customFormat="false" ht="15" hidden="false" customHeight="false" outlineLevel="0" collapsed="false">
      <c r="A1470" s="0" t="n">
        <v>2030</v>
      </c>
      <c r="B1470" s="0" t="n">
        <v>217.6218923</v>
      </c>
      <c r="C1470" s="0" t="n">
        <v>4570.059738</v>
      </c>
      <c r="E1470" s="0" t="n">
        <v>2031</v>
      </c>
      <c r="F1470" s="0" t="n">
        <v>5.376987</v>
      </c>
      <c r="G1470" s="0" t="n">
        <v>112.800342</v>
      </c>
      <c r="I1470" s="0" t="n">
        <v>2027</v>
      </c>
      <c r="J1470" s="0" t="n">
        <v>2.1</v>
      </c>
      <c r="K1470" s="0" t="n">
        <v>44.17</v>
      </c>
      <c r="M1470" s="0" t="n">
        <v>2030</v>
      </c>
      <c r="N1470" s="0" t="n">
        <v>38</v>
      </c>
      <c r="O1470" s="0" t="n">
        <v>797.9</v>
      </c>
      <c r="Q1470" s="0" t="n">
        <v>2032</v>
      </c>
      <c r="R1470" s="0" t="n">
        <v>8</v>
      </c>
      <c r="W1470" s="0" t="n">
        <v>2031</v>
      </c>
      <c r="X1470" s="0" t="n">
        <v>8437.185</v>
      </c>
    </row>
    <row r="1471" customFormat="false" ht="15" hidden="false" customHeight="false" outlineLevel="0" collapsed="false">
      <c r="A1471" s="0" t="n">
        <v>2030</v>
      </c>
      <c r="B1471" s="0" t="n">
        <v>151.3431288</v>
      </c>
      <c r="C1471" s="0" t="n">
        <v>3178.205706</v>
      </c>
      <c r="E1471" s="0" t="n">
        <v>2031</v>
      </c>
      <c r="F1471" s="0" t="n">
        <v>128.536947</v>
      </c>
      <c r="G1471" s="0" t="n">
        <v>2696.493702</v>
      </c>
      <c r="I1471" s="0" t="n">
        <v>2027</v>
      </c>
      <c r="J1471" s="0" t="n">
        <v>89.28</v>
      </c>
      <c r="K1471" s="0" t="n">
        <v>1871.04</v>
      </c>
      <c r="M1471" s="0" t="n">
        <v>2030</v>
      </c>
      <c r="N1471" s="0" t="n">
        <v>22.8</v>
      </c>
      <c r="O1471" s="0" t="n">
        <v>478.74</v>
      </c>
      <c r="Q1471" s="0" t="n">
        <v>2032</v>
      </c>
      <c r="R1471" s="0" t="n">
        <v>344</v>
      </c>
      <c r="W1471" s="0" t="n">
        <v>2031</v>
      </c>
      <c r="X1471" s="0" t="n">
        <v>3771.918</v>
      </c>
    </row>
    <row r="1472" customFormat="false" ht="15" hidden="false" customHeight="false" outlineLevel="0" collapsed="false">
      <c r="A1472" s="0" t="n">
        <v>2030</v>
      </c>
      <c r="B1472" s="0" t="n">
        <v>112.5740789</v>
      </c>
      <c r="C1472" s="0" t="n">
        <v>2364.055658</v>
      </c>
      <c r="E1472" s="0" t="n">
        <v>2031</v>
      </c>
      <c r="F1472" s="0" t="n">
        <v>6.017319</v>
      </c>
      <c r="G1472" s="0" t="n">
        <v>126.233454</v>
      </c>
      <c r="I1472" s="0" t="n">
        <v>2027</v>
      </c>
      <c r="J1472" s="0" t="n">
        <v>29.76</v>
      </c>
      <c r="K1472" s="0" t="n">
        <v>623.68</v>
      </c>
      <c r="M1472" s="0" t="n">
        <v>2030</v>
      </c>
      <c r="N1472" s="0" t="n">
        <v>19</v>
      </c>
      <c r="O1472" s="0" t="n">
        <v>398.95</v>
      </c>
      <c r="Q1472" s="0" t="n">
        <v>2032</v>
      </c>
      <c r="R1472" s="0" t="n">
        <v>327</v>
      </c>
      <c r="W1472" s="0" t="n">
        <v>2031</v>
      </c>
      <c r="X1472" s="0" t="n">
        <v>1488.915</v>
      </c>
    </row>
    <row r="1473" customFormat="false" ht="15" hidden="false" customHeight="false" outlineLevel="0" collapsed="false">
      <c r="A1473" s="0" t="n">
        <v>2030</v>
      </c>
      <c r="B1473" s="0" t="n">
        <v>50.03292397</v>
      </c>
      <c r="C1473" s="0" t="n">
        <v>1050.691403</v>
      </c>
      <c r="E1473" s="0" t="n">
        <v>2031</v>
      </c>
      <c r="F1473" s="0" t="n">
        <v>32.902254</v>
      </c>
      <c r="G1473" s="0" t="n">
        <v>690.235164</v>
      </c>
      <c r="I1473" s="0" t="n">
        <v>2027</v>
      </c>
      <c r="J1473" s="0" t="n">
        <v>13.02</v>
      </c>
      <c r="K1473" s="0" t="n">
        <v>272.86</v>
      </c>
      <c r="M1473" s="0" t="n">
        <v>2030</v>
      </c>
      <c r="N1473" s="0" t="n">
        <v>15.2</v>
      </c>
      <c r="O1473" s="0" t="n">
        <v>319.16</v>
      </c>
      <c r="Q1473" s="0" t="n">
        <v>2032</v>
      </c>
      <c r="R1473" s="0" t="n">
        <v>155</v>
      </c>
      <c r="W1473" s="0" t="n">
        <v>2031</v>
      </c>
      <c r="X1473" s="0" t="n">
        <v>2183.742</v>
      </c>
    </row>
    <row r="1474" customFormat="false" ht="15" hidden="false" customHeight="false" outlineLevel="0" collapsed="false">
      <c r="A1474" s="0" t="n">
        <v>2030</v>
      </c>
      <c r="B1474" s="0" t="n">
        <v>184.8005717</v>
      </c>
      <c r="C1474" s="0" t="n">
        <v>3880.812006</v>
      </c>
      <c r="E1474" s="0" t="n">
        <v>2031</v>
      </c>
      <c r="F1474" s="0" t="n">
        <v>30.085902</v>
      </c>
      <c r="G1474" s="0" t="n">
        <v>631.152732</v>
      </c>
      <c r="I1474" s="0" t="n">
        <v>2027</v>
      </c>
      <c r="J1474" s="0" t="n">
        <v>7.44</v>
      </c>
      <c r="K1474" s="0" t="n">
        <v>155.92</v>
      </c>
      <c r="M1474" s="0" t="n">
        <v>2030</v>
      </c>
      <c r="N1474" s="0" t="n">
        <v>7.6</v>
      </c>
      <c r="O1474" s="0" t="n">
        <v>159.58</v>
      </c>
      <c r="Q1474" s="0" t="n">
        <v>2032</v>
      </c>
      <c r="R1474" s="0" t="n">
        <v>34</v>
      </c>
      <c r="W1474" s="0" t="n">
        <v>2031</v>
      </c>
      <c r="X1474" s="0" t="n">
        <v>1687.437</v>
      </c>
    </row>
    <row r="1475" customFormat="false" ht="15" hidden="false" customHeight="false" outlineLevel="0" collapsed="false">
      <c r="A1475" s="0" t="n">
        <v>2030</v>
      </c>
      <c r="B1475" s="0" t="n">
        <v>57.84903215</v>
      </c>
      <c r="C1475" s="0" t="n">
        <v>1214.829675</v>
      </c>
      <c r="E1475" s="0" t="n">
        <v>2031</v>
      </c>
      <c r="F1475" s="0" t="n">
        <v>271.365072</v>
      </c>
      <c r="G1475" s="0" t="n">
        <v>5689.41543</v>
      </c>
      <c r="I1475" s="0" t="n">
        <v>2027</v>
      </c>
      <c r="J1475" s="0" t="n">
        <v>7.44</v>
      </c>
      <c r="K1475" s="0" t="n">
        <v>155.92</v>
      </c>
      <c r="M1475" s="0" t="n">
        <v>2030</v>
      </c>
      <c r="N1475" s="0" t="n">
        <v>227.24</v>
      </c>
      <c r="O1475" s="0" t="n">
        <v>4766.34</v>
      </c>
      <c r="Q1475" s="0" t="n">
        <v>2032</v>
      </c>
      <c r="R1475" s="0" t="n">
        <v>32</v>
      </c>
      <c r="W1475" s="0" t="n">
        <v>2031</v>
      </c>
      <c r="X1475" s="0" t="n">
        <v>119998.52</v>
      </c>
    </row>
    <row r="1476" customFormat="false" ht="15" hidden="false" customHeight="false" outlineLevel="0" collapsed="false">
      <c r="A1476" s="0" t="n">
        <v>2030</v>
      </c>
      <c r="B1476" s="0" t="n">
        <v>129.3469007</v>
      </c>
      <c r="C1476" s="0" t="n">
        <v>2716.284914</v>
      </c>
      <c r="E1476" s="0" t="n">
        <v>2031</v>
      </c>
      <c r="F1476" s="0" t="n">
        <v>72.864528</v>
      </c>
      <c r="G1476" s="0" t="n">
        <v>1527.67107</v>
      </c>
      <c r="I1476" s="0" t="n">
        <v>2027</v>
      </c>
      <c r="J1476" s="0" t="n">
        <v>3.72</v>
      </c>
      <c r="K1476" s="0" t="n">
        <v>77.96</v>
      </c>
      <c r="M1476" s="0" t="n">
        <v>2030</v>
      </c>
      <c r="N1476" s="0" t="n">
        <v>149.5</v>
      </c>
      <c r="O1476" s="0" t="n">
        <v>3135.75</v>
      </c>
      <c r="Q1476" s="0" t="n">
        <v>2032</v>
      </c>
      <c r="R1476" s="0" t="n">
        <v>32</v>
      </c>
      <c r="W1476" s="0" t="n">
        <v>2031</v>
      </c>
      <c r="X1476" s="0" t="n">
        <v>29999.63</v>
      </c>
    </row>
    <row r="1477" customFormat="false" ht="15" hidden="false" customHeight="false" outlineLevel="0" collapsed="false">
      <c r="A1477" s="0" t="n">
        <v>2030</v>
      </c>
      <c r="B1477" s="0" t="n">
        <v>171.7571311</v>
      </c>
      <c r="C1477" s="0" t="n">
        <v>3606.899753</v>
      </c>
      <c r="E1477" s="0" t="n">
        <v>2031</v>
      </c>
      <c r="F1477" s="0" t="n">
        <v>29.165136</v>
      </c>
      <c r="G1477" s="0" t="n">
        <v>611.47359</v>
      </c>
      <c r="I1477" s="0" t="n">
        <v>2027</v>
      </c>
      <c r="J1477" s="0" t="n">
        <v>3.72</v>
      </c>
      <c r="K1477" s="0" t="n">
        <v>77.96</v>
      </c>
      <c r="M1477" s="0" t="n">
        <v>2030</v>
      </c>
      <c r="N1477" s="0" t="n">
        <v>59.8</v>
      </c>
      <c r="O1477" s="0" t="n">
        <v>1254.3</v>
      </c>
      <c r="Q1477" s="0" t="n">
        <v>2032</v>
      </c>
      <c r="R1477" s="0" t="n">
        <v>414</v>
      </c>
      <c r="W1477" s="0" t="n">
        <v>2031</v>
      </c>
      <c r="X1477" s="0" t="n">
        <v>9290.208</v>
      </c>
    </row>
    <row r="1478" customFormat="false" ht="15" hidden="false" customHeight="false" outlineLevel="0" collapsed="false">
      <c r="A1478" s="0" t="n">
        <v>2030</v>
      </c>
      <c r="B1478" s="0" t="n">
        <v>43.32222739</v>
      </c>
      <c r="C1478" s="0" t="n">
        <v>909.7667752</v>
      </c>
      <c r="E1478" s="0" t="n">
        <v>2031</v>
      </c>
      <c r="F1478" s="0" t="n">
        <v>4.096752</v>
      </c>
      <c r="G1478" s="0" t="n">
        <v>85.89213</v>
      </c>
      <c r="I1478" s="0" t="n">
        <v>2027</v>
      </c>
      <c r="J1478" s="0" t="n">
        <v>7.44</v>
      </c>
      <c r="K1478" s="0" t="n">
        <v>155.92</v>
      </c>
      <c r="M1478" s="0" t="n">
        <v>2030</v>
      </c>
      <c r="N1478" s="0" t="n">
        <v>59.8</v>
      </c>
      <c r="O1478" s="0" t="n">
        <v>1254.3</v>
      </c>
      <c r="Q1478" s="0" t="n">
        <v>2032</v>
      </c>
      <c r="R1478" s="0" t="n">
        <v>394</v>
      </c>
      <c r="W1478" s="0" t="n">
        <v>2031</v>
      </c>
      <c r="X1478" s="0" t="n">
        <v>16451.41</v>
      </c>
    </row>
    <row r="1479" customFormat="false" ht="15" hidden="false" customHeight="false" outlineLevel="0" collapsed="false">
      <c r="A1479" s="0" t="n">
        <v>2030</v>
      </c>
      <c r="B1479" s="0" t="n">
        <v>38.63283721</v>
      </c>
      <c r="C1479" s="0" t="n">
        <v>811.2895815</v>
      </c>
      <c r="E1479" s="0" t="n">
        <v>2031</v>
      </c>
      <c r="F1479" s="0" t="n">
        <v>97.932912</v>
      </c>
      <c r="G1479" s="0" t="n">
        <v>2053.25253</v>
      </c>
      <c r="I1479" s="0" t="n">
        <v>2027</v>
      </c>
      <c r="J1479" s="0" t="n">
        <v>13.02</v>
      </c>
      <c r="K1479" s="0" t="n">
        <v>272.86</v>
      </c>
      <c r="M1479" s="0" t="n">
        <v>2030</v>
      </c>
      <c r="N1479" s="0" t="n">
        <v>35.88</v>
      </c>
      <c r="O1479" s="0" t="n">
        <v>752.58</v>
      </c>
      <c r="Q1479" s="0" t="n">
        <v>2032</v>
      </c>
      <c r="R1479" s="0" t="n">
        <v>186</v>
      </c>
      <c r="W1479" s="0" t="n">
        <v>2031</v>
      </c>
      <c r="X1479" s="0" t="n">
        <v>7354.748</v>
      </c>
    </row>
    <row r="1480" customFormat="false" ht="15" hidden="false" customHeight="false" outlineLevel="0" collapsed="false">
      <c r="A1480" s="0" t="n">
        <v>2030</v>
      </c>
      <c r="B1480" s="0" t="n">
        <v>26.86684873</v>
      </c>
      <c r="C1480" s="0" t="n">
        <v>564.2038233</v>
      </c>
      <c r="E1480" s="0" t="n">
        <v>2031</v>
      </c>
      <c r="F1480" s="0" t="n">
        <v>4.584624</v>
      </c>
      <c r="G1480" s="0" t="n">
        <v>96.12081</v>
      </c>
      <c r="I1480" s="0" t="n">
        <v>2027</v>
      </c>
      <c r="J1480" s="0" t="n">
        <v>5.58</v>
      </c>
      <c r="K1480" s="0" t="n">
        <v>116.94</v>
      </c>
      <c r="M1480" s="0" t="n">
        <v>2030</v>
      </c>
      <c r="N1480" s="0" t="n">
        <v>29.9</v>
      </c>
      <c r="O1480" s="0" t="n">
        <v>627.15</v>
      </c>
      <c r="Q1480" s="0" t="n">
        <v>2032</v>
      </c>
      <c r="R1480" s="0" t="n">
        <v>41</v>
      </c>
      <c r="W1480" s="0" t="n">
        <v>2031</v>
      </c>
      <c r="X1480" s="0" t="n">
        <v>2903.19</v>
      </c>
    </row>
    <row r="1481" customFormat="false" ht="15" hidden="false" customHeight="false" outlineLevel="0" collapsed="false">
      <c r="A1481" s="0" t="n">
        <v>2030</v>
      </c>
      <c r="B1481" s="0" t="n">
        <v>19.98446029</v>
      </c>
      <c r="C1481" s="0" t="n">
        <v>419.6736662</v>
      </c>
      <c r="E1481" s="0" t="n">
        <v>2031</v>
      </c>
      <c r="F1481" s="0" t="n">
        <v>25.068384</v>
      </c>
      <c r="G1481" s="0" t="n">
        <v>525.58146</v>
      </c>
      <c r="I1481" s="0" t="n">
        <v>2027</v>
      </c>
      <c r="J1481" s="0" t="n">
        <v>5.58</v>
      </c>
      <c r="K1481" s="0" t="n">
        <v>116.94</v>
      </c>
      <c r="M1481" s="0" t="n">
        <v>2030</v>
      </c>
      <c r="N1481" s="0" t="n">
        <v>23.92</v>
      </c>
      <c r="O1481" s="0" t="n">
        <v>501.72</v>
      </c>
      <c r="Q1481" s="0" t="n">
        <v>2032</v>
      </c>
      <c r="R1481" s="0" t="n">
        <v>41</v>
      </c>
      <c r="W1481" s="0" t="n">
        <v>2031</v>
      </c>
      <c r="X1481" s="0" t="n">
        <v>4258.012</v>
      </c>
    </row>
    <row r="1482" customFormat="false" ht="15" hidden="false" customHeight="false" outlineLevel="0" collapsed="false">
      <c r="A1482" s="0" t="n">
        <v>2030</v>
      </c>
      <c r="B1482" s="0" t="n">
        <v>8.881982353</v>
      </c>
      <c r="C1482" s="0" t="n">
        <v>186.5216294</v>
      </c>
      <c r="E1482" s="0" t="n">
        <v>2031</v>
      </c>
      <c r="F1482" s="0" t="n">
        <v>22.922592</v>
      </c>
      <c r="G1482" s="0" t="n">
        <v>480.59298</v>
      </c>
      <c r="I1482" s="0" t="n">
        <v>2027</v>
      </c>
      <c r="J1482" s="0" t="n">
        <v>10.4</v>
      </c>
      <c r="K1482" s="0" t="n">
        <v>214.24</v>
      </c>
      <c r="M1482" s="0" t="n">
        <v>2030</v>
      </c>
      <c r="N1482" s="0" t="n">
        <v>11.96</v>
      </c>
      <c r="O1482" s="0" t="n">
        <v>250.86</v>
      </c>
      <c r="Q1482" s="0" t="n">
        <v>2032</v>
      </c>
      <c r="R1482" s="0" t="n">
        <v>41</v>
      </c>
      <c r="W1482" s="0" t="n">
        <v>2031</v>
      </c>
      <c r="X1482" s="0" t="n">
        <v>3290.282</v>
      </c>
    </row>
    <row r="1483" customFormat="false" ht="15" hidden="false" customHeight="false" outlineLevel="0" collapsed="false">
      <c r="A1483" s="0" t="n">
        <v>2030</v>
      </c>
      <c r="B1483" s="0" t="n">
        <v>32.80630606</v>
      </c>
      <c r="C1483" s="0" t="n">
        <v>688.9324273</v>
      </c>
      <c r="E1483" s="0" t="n">
        <v>2031</v>
      </c>
      <c r="F1483" s="0" t="n">
        <v>595.152942</v>
      </c>
      <c r="G1483" s="0" t="n">
        <v>12489.47465</v>
      </c>
      <c r="I1483" s="0" t="n">
        <v>2027</v>
      </c>
      <c r="J1483" s="0" t="n">
        <v>1.6</v>
      </c>
      <c r="K1483" s="0" t="n">
        <v>32.96</v>
      </c>
      <c r="M1483" s="0" t="n">
        <v>2030</v>
      </c>
      <c r="N1483" s="0" t="n">
        <v>172.9</v>
      </c>
      <c r="O1483" s="0" t="n">
        <v>3626.72</v>
      </c>
      <c r="Q1483" s="0" t="n">
        <v>2032</v>
      </c>
      <c r="R1483" s="0" t="n">
        <v>291</v>
      </c>
      <c r="W1483" s="0" t="n">
        <v>2031</v>
      </c>
      <c r="X1483" s="0" t="n">
        <v>113600.74</v>
      </c>
    </row>
    <row r="1484" customFormat="false" ht="15" hidden="false" customHeight="false" outlineLevel="0" collapsed="false">
      <c r="A1484" s="0" t="n">
        <v>2030</v>
      </c>
      <c r="B1484" s="0" t="n">
        <v>10.26951939</v>
      </c>
      <c r="C1484" s="0" t="n">
        <v>215.6599071</v>
      </c>
      <c r="E1484" s="0" t="n">
        <v>2031</v>
      </c>
      <c r="F1484" s="0" t="n">
        <v>159.805158</v>
      </c>
      <c r="G1484" s="0" t="n">
        <v>3353.562301</v>
      </c>
      <c r="I1484" s="0" t="n">
        <v>2027</v>
      </c>
      <c r="J1484" s="0" t="n">
        <v>1.2</v>
      </c>
      <c r="K1484" s="0" t="n">
        <v>24.72</v>
      </c>
      <c r="M1484" s="0" t="n">
        <v>2030</v>
      </c>
      <c r="N1484" s="0" t="n">
        <v>113.75</v>
      </c>
      <c r="O1484" s="0" t="n">
        <v>2386</v>
      </c>
      <c r="Q1484" s="0" t="n">
        <v>2032</v>
      </c>
      <c r="R1484" s="0" t="n">
        <v>276</v>
      </c>
      <c r="W1484" s="0" t="n">
        <v>2031</v>
      </c>
      <c r="X1484" s="0" t="n">
        <v>28400.185</v>
      </c>
    </row>
    <row r="1485" customFormat="false" ht="15" hidden="false" customHeight="false" outlineLevel="0" collapsed="false">
      <c r="A1485" s="0" t="n">
        <v>2030</v>
      </c>
      <c r="B1485" s="0" t="n">
        <v>22.96201777</v>
      </c>
      <c r="C1485" s="0" t="n">
        <v>482.2023732</v>
      </c>
      <c r="E1485" s="0" t="n">
        <v>2031</v>
      </c>
      <c r="F1485" s="0" t="n">
        <v>63.964446</v>
      </c>
      <c r="G1485" s="0" t="n">
        <v>1342.314337</v>
      </c>
      <c r="I1485" s="0" t="n">
        <v>2027</v>
      </c>
      <c r="J1485" s="0" t="n">
        <v>2</v>
      </c>
      <c r="K1485" s="0" t="n">
        <v>41.2</v>
      </c>
      <c r="M1485" s="0" t="n">
        <v>2030</v>
      </c>
      <c r="N1485" s="0" t="n">
        <v>45.5</v>
      </c>
      <c r="O1485" s="0" t="n">
        <v>954.4</v>
      </c>
      <c r="Q1485" s="0" t="n">
        <v>2032</v>
      </c>
      <c r="R1485" s="0" t="n">
        <v>131</v>
      </c>
      <c r="W1485" s="0" t="n">
        <v>2031</v>
      </c>
      <c r="X1485" s="0" t="n">
        <v>8794.896</v>
      </c>
    </row>
    <row r="1486" customFormat="false" ht="15" hidden="false" customHeight="false" outlineLevel="0" collapsed="false">
      <c r="A1486" s="0" t="n">
        <v>2030</v>
      </c>
      <c r="B1486" s="0" t="n">
        <v>291.1813624</v>
      </c>
      <c r="C1486" s="0" t="n">
        <v>6114.808609</v>
      </c>
      <c r="E1486" s="0" t="n">
        <v>2031</v>
      </c>
      <c r="F1486" s="0" t="n">
        <v>8.984922</v>
      </c>
      <c r="G1486" s="0" t="n">
        <v>188.551459</v>
      </c>
      <c r="I1486" s="0" t="n">
        <v>2027</v>
      </c>
      <c r="J1486" s="0" t="n">
        <v>0.4</v>
      </c>
      <c r="K1486" s="0" t="n">
        <v>8.24</v>
      </c>
      <c r="M1486" s="0" t="n">
        <v>2030</v>
      </c>
      <c r="N1486" s="0" t="n">
        <v>45.5</v>
      </c>
      <c r="O1486" s="0" t="n">
        <v>954.4</v>
      </c>
      <c r="Q1486" s="0" t="n">
        <v>2032</v>
      </c>
      <c r="R1486" s="0" t="n">
        <v>29</v>
      </c>
      <c r="W1486" s="0" t="n">
        <v>2031</v>
      </c>
      <c r="X1486" s="0" t="n">
        <v>15574.295</v>
      </c>
    </row>
    <row r="1487" customFormat="false" ht="15" hidden="false" customHeight="false" outlineLevel="0" collapsed="false">
      <c r="A1487" s="0" t="n">
        <v>2030</v>
      </c>
      <c r="B1487" s="0" t="n">
        <v>73.44454993</v>
      </c>
      <c r="C1487" s="0" t="n">
        <v>1542.335549</v>
      </c>
      <c r="E1487" s="0" t="n">
        <v>2031</v>
      </c>
      <c r="F1487" s="0" t="n">
        <v>214.784682</v>
      </c>
      <c r="G1487" s="0" t="n">
        <v>4507.325179</v>
      </c>
      <c r="I1487" s="0" t="n">
        <v>2027</v>
      </c>
      <c r="J1487" s="0" t="n">
        <v>0.4</v>
      </c>
      <c r="K1487" s="0" t="n">
        <v>8.24</v>
      </c>
      <c r="M1487" s="0" t="n">
        <v>2030</v>
      </c>
      <c r="N1487" s="0" t="n">
        <v>27.3</v>
      </c>
      <c r="O1487" s="0" t="n">
        <v>572.64</v>
      </c>
      <c r="Q1487" s="0" t="n">
        <v>2032</v>
      </c>
      <c r="R1487" s="0" t="n">
        <v>28</v>
      </c>
      <c r="W1487" s="0" t="n">
        <v>2031</v>
      </c>
      <c r="X1487" s="0" t="n">
        <v>6962.626</v>
      </c>
    </row>
    <row r="1488" customFormat="false" ht="15" hidden="false" customHeight="false" outlineLevel="0" collapsed="false">
      <c r="A1488" s="0" t="n">
        <v>2030</v>
      </c>
      <c r="B1488" s="0" t="n">
        <v>65.49458587</v>
      </c>
      <c r="C1488" s="0" t="n">
        <v>1375.386303</v>
      </c>
      <c r="E1488" s="0" t="n">
        <v>2031</v>
      </c>
      <c r="F1488" s="0" t="n">
        <v>10.054914</v>
      </c>
      <c r="G1488" s="0" t="n">
        <v>211.005583</v>
      </c>
      <c r="I1488" s="0" t="n">
        <v>2027</v>
      </c>
      <c r="J1488" s="0" t="n">
        <v>0</v>
      </c>
      <c r="K1488" s="0" t="n">
        <v>0</v>
      </c>
      <c r="M1488" s="0" t="n">
        <v>2030</v>
      </c>
      <c r="N1488" s="0" t="n">
        <v>22.75</v>
      </c>
      <c r="O1488" s="0" t="n">
        <v>477.2</v>
      </c>
      <c r="Q1488" s="0" t="n">
        <v>2032</v>
      </c>
      <c r="R1488" s="0" t="n">
        <v>28</v>
      </c>
      <c r="W1488" s="0" t="n">
        <v>2031</v>
      </c>
      <c r="X1488" s="0" t="n">
        <v>2748.405</v>
      </c>
    </row>
    <row r="1489" customFormat="false" ht="15" hidden="false" customHeight="false" outlineLevel="0" collapsed="false">
      <c r="A1489" s="0" t="n">
        <v>2030</v>
      </c>
      <c r="B1489" s="0" t="n">
        <v>45.54760297</v>
      </c>
      <c r="C1489" s="0" t="n">
        <v>956.4996624</v>
      </c>
      <c r="E1489" s="0" t="n">
        <v>2031</v>
      </c>
      <c r="F1489" s="0" t="n">
        <v>54.979524</v>
      </c>
      <c r="G1489" s="0" t="n">
        <v>1153.762878</v>
      </c>
      <c r="I1489" s="0" t="n">
        <v>2027</v>
      </c>
      <c r="J1489" s="0" t="n">
        <v>0.8</v>
      </c>
      <c r="K1489" s="0" t="n">
        <v>16.48</v>
      </c>
      <c r="M1489" s="0" t="n">
        <v>2030</v>
      </c>
      <c r="N1489" s="0" t="n">
        <v>18.2</v>
      </c>
      <c r="O1489" s="0" t="n">
        <v>381.76</v>
      </c>
      <c r="Q1489" s="0" t="n">
        <v>2032</v>
      </c>
      <c r="R1489" s="0" t="n">
        <v>123</v>
      </c>
      <c r="W1489" s="0" t="n">
        <v>2031</v>
      </c>
      <c r="X1489" s="0" t="n">
        <v>4030.994</v>
      </c>
    </row>
    <row r="1490" customFormat="false" ht="15" hidden="false" customHeight="false" outlineLevel="0" collapsed="false">
      <c r="A1490" s="0" t="n">
        <v>2030</v>
      </c>
      <c r="B1490" s="0" t="n">
        <v>33.87982983</v>
      </c>
      <c r="C1490" s="0" t="n">
        <v>711.4764265</v>
      </c>
      <c r="E1490" s="0" t="n">
        <v>2031</v>
      </c>
      <c r="F1490" s="0" t="n">
        <v>50.273412</v>
      </c>
      <c r="G1490" s="0" t="n">
        <v>1055.003614</v>
      </c>
      <c r="I1490" s="0" t="n">
        <v>2027</v>
      </c>
      <c r="J1490" s="0" t="n">
        <v>1.4</v>
      </c>
      <c r="K1490" s="0" t="n">
        <v>28.84</v>
      </c>
      <c r="M1490" s="0" t="n">
        <v>2030</v>
      </c>
      <c r="N1490" s="0" t="n">
        <v>9.1</v>
      </c>
      <c r="O1490" s="0" t="n">
        <v>190.88</v>
      </c>
      <c r="Q1490" s="0" t="n">
        <v>2032</v>
      </c>
      <c r="R1490" s="0" t="n">
        <v>116</v>
      </c>
      <c r="W1490" s="0" t="n">
        <v>2031</v>
      </c>
      <c r="X1490" s="0" t="n">
        <v>3114.859</v>
      </c>
    </row>
    <row r="1491" customFormat="false" ht="15" hidden="false" customHeight="false" outlineLevel="0" collapsed="false">
      <c r="A1491" s="0" t="n">
        <v>2030</v>
      </c>
      <c r="B1491" s="0" t="n">
        <v>15.05770215</v>
      </c>
      <c r="C1491" s="0" t="n">
        <v>316.2117451</v>
      </c>
      <c r="E1491" s="0" t="n">
        <v>2031</v>
      </c>
      <c r="F1491" s="0" t="n">
        <v>327.385513</v>
      </c>
      <c r="G1491" s="0" t="n">
        <v>6866.35864</v>
      </c>
      <c r="I1491" s="0" t="n">
        <v>2027</v>
      </c>
      <c r="J1491" s="0" t="n">
        <v>0.4</v>
      </c>
      <c r="K1491" s="0" t="n">
        <v>8.24</v>
      </c>
      <c r="M1491" s="0" t="n">
        <v>2030</v>
      </c>
      <c r="N1491" s="0" t="n">
        <v>67.64</v>
      </c>
      <c r="O1491" s="0" t="n">
        <v>1418.16</v>
      </c>
      <c r="Q1491" s="0" t="n">
        <v>2032</v>
      </c>
      <c r="R1491" s="0" t="n">
        <v>55</v>
      </c>
      <c r="W1491" s="0" t="n">
        <v>2031</v>
      </c>
      <c r="X1491" s="0" t="n">
        <v>46884.4</v>
      </c>
    </row>
    <row r="1492" customFormat="false" ht="15" hidden="false" customHeight="false" outlineLevel="0" collapsed="false">
      <c r="A1492" s="0" t="n">
        <v>2030</v>
      </c>
      <c r="B1492" s="0" t="n">
        <v>55.61681679</v>
      </c>
      <c r="C1492" s="0" t="n">
        <v>1167.953153</v>
      </c>
      <c r="E1492" s="0" t="n">
        <v>2031</v>
      </c>
      <c r="F1492" s="0" t="n">
        <v>87.906637</v>
      </c>
      <c r="G1492" s="0" t="n">
        <v>1843.69336</v>
      </c>
      <c r="I1492" s="0" t="n">
        <v>2027</v>
      </c>
      <c r="J1492" s="0" t="n">
        <v>1.4</v>
      </c>
      <c r="K1492" s="0" t="n">
        <v>28.84</v>
      </c>
      <c r="M1492" s="0" t="n">
        <v>2030</v>
      </c>
      <c r="N1492" s="0" t="n">
        <v>44.5</v>
      </c>
      <c r="O1492" s="0" t="n">
        <v>933</v>
      </c>
      <c r="Q1492" s="0" t="n">
        <v>2032</v>
      </c>
      <c r="R1492" s="0" t="n">
        <v>12</v>
      </c>
      <c r="W1492" s="0" t="n">
        <v>2031</v>
      </c>
      <c r="X1492" s="0" t="n">
        <v>11721.1</v>
      </c>
    </row>
    <row r="1493" customFormat="false" ht="15" hidden="false" customHeight="false" outlineLevel="0" collapsed="false">
      <c r="A1493" s="0" t="n">
        <v>2030</v>
      </c>
      <c r="B1493" s="0" t="n">
        <v>17.41000578</v>
      </c>
      <c r="C1493" s="0" t="n">
        <v>365.6101215</v>
      </c>
      <c r="E1493" s="0" t="n">
        <v>2031</v>
      </c>
      <c r="F1493" s="0" t="n">
        <v>35.185969</v>
      </c>
      <c r="G1493" s="0" t="n">
        <v>737.96632</v>
      </c>
      <c r="I1493" s="0" t="n">
        <v>2027</v>
      </c>
      <c r="J1493" s="0" t="n">
        <v>34.08</v>
      </c>
      <c r="K1493" s="0" t="n">
        <v>715.2</v>
      </c>
      <c r="M1493" s="0" t="n">
        <v>2030</v>
      </c>
      <c r="N1493" s="0" t="n">
        <v>17.8</v>
      </c>
      <c r="O1493" s="0" t="n">
        <v>373.2</v>
      </c>
      <c r="Q1493" s="0" t="n">
        <v>2032</v>
      </c>
      <c r="R1493" s="0" t="n">
        <v>13</v>
      </c>
      <c r="W1493" s="0" t="n">
        <v>2031</v>
      </c>
      <c r="X1493" s="0" t="n">
        <v>3629.76</v>
      </c>
    </row>
    <row r="1494" customFormat="false" ht="15" hidden="false" customHeight="false" outlineLevel="0" collapsed="false">
      <c r="A1494" s="0" t="n">
        <v>2030</v>
      </c>
      <c r="B1494" s="0" t="n">
        <v>38.92770899</v>
      </c>
      <c r="C1494" s="0" t="n">
        <v>817.4818888</v>
      </c>
      <c r="E1494" s="0" t="n">
        <v>2031</v>
      </c>
      <c r="F1494" s="0" t="n">
        <v>4.942483</v>
      </c>
      <c r="G1494" s="0" t="n">
        <v>103.66024</v>
      </c>
      <c r="I1494" s="0" t="n">
        <v>2027</v>
      </c>
      <c r="J1494" s="0" t="n">
        <v>11.36</v>
      </c>
      <c r="K1494" s="0" t="n">
        <v>238.4</v>
      </c>
      <c r="M1494" s="0" t="n">
        <v>2030</v>
      </c>
      <c r="N1494" s="0" t="n">
        <v>17.8</v>
      </c>
      <c r="O1494" s="0" t="n">
        <v>373.2</v>
      </c>
      <c r="Q1494" s="0" t="n">
        <v>2032</v>
      </c>
      <c r="R1494" s="0" t="n">
        <v>13</v>
      </c>
      <c r="W1494" s="0" t="n">
        <v>2031</v>
      </c>
      <c r="X1494" s="0" t="n">
        <v>6427.7</v>
      </c>
    </row>
    <row r="1495" customFormat="false" ht="15" hidden="false" customHeight="false" outlineLevel="0" collapsed="false">
      <c r="A1495" s="0" t="n">
        <v>2030</v>
      </c>
      <c r="B1495" s="0" t="n">
        <v>104.6381103</v>
      </c>
      <c r="C1495" s="0" t="n">
        <v>2197.400317</v>
      </c>
      <c r="E1495" s="0" t="n">
        <v>2031</v>
      </c>
      <c r="F1495" s="0" t="n">
        <v>118.150123</v>
      </c>
      <c r="G1495" s="0" t="n">
        <v>2477.99944</v>
      </c>
      <c r="I1495" s="0" t="n">
        <v>2027</v>
      </c>
      <c r="J1495" s="0" t="n">
        <v>4.97</v>
      </c>
      <c r="K1495" s="0" t="n">
        <v>104.3</v>
      </c>
      <c r="M1495" s="0" t="n">
        <v>2030</v>
      </c>
      <c r="N1495" s="0" t="n">
        <v>10.68</v>
      </c>
      <c r="O1495" s="0" t="n">
        <v>223.92</v>
      </c>
      <c r="Q1495" s="0" t="n">
        <v>2032</v>
      </c>
      <c r="R1495" s="0" t="n">
        <v>86</v>
      </c>
      <c r="W1495" s="0" t="n">
        <v>2031</v>
      </c>
      <c r="X1495" s="0" t="n">
        <v>2873.56</v>
      </c>
    </row>
    <row r="1496" customFormat="false" ht="15" hidden="false" customHeight="false" outlineLevel="0" collapsed="false">
      <c r="A1496" s="0" t="n">
        <v>2030</v>
      </c>
      <c r="B1496" s="0" t="n">
        <v>26.39282562</v>
      </c>
      <c r="C1496" s="0" t="n">
        <v>554.249338</v>
      </c>
      <c r="E1496" s="0" t="n">
        <v>2031</v>
      </c>
      <c r="F1496" s="0" t="n">
        <v>5.531071</v>
      </c>
      <c r="G1496" s="0" t="n">
        <v>116.00488</v>
      </c>
      <c r="I1496" s="0" t="n">
        <v>2027</v>
      </c>
      <c r="J1496" s="0" t="n">
        <v>2.84</v>
      </c>
      <c r="K1496" s="0" t="n">
        <v>59.6</v>
      </c>
      <c r="M1496" s="0" t="n">
        <v>2030</v>
      </c>
      <c r="N1496" s="0" t="n">
        <v>8.9</v>
      </c>
      <c r="O1496" s="0" t="n">
        <v>186.6</v>
      </c>
      <c r="Q1496" s="0" t="n">
        <v>2032</v>
      </c>
      <c r="R1496" s="0" t="n">
        <v>81</v>
      </c>
      <c r="W1496" s="0" t="n">
        <v>2031</v>
      </c>
      <c r="X1496" s="0" t="n">
        <v>1134.3</v>
      </c>
    </row>
    <row r="1497" customFormat="false" ht="15" hidden="false" customHeight="false" outlineLevel="0" collapsed="false">
      <c r="A1497" s="0" t="n">
        <v>2030</v>
      </c>
      <c r="B1497" s="0" t="n">
        <v>23.53594903</v>
      </c>
      <c r="C1497" s="0" t="n">
        <v>494.2549296</v>
      </c>
      <c r="E1497" s="0" t="n">
        <v>2031</v>
      </c>
      <c r="F1497" s="0" t="n">
        <v>30.243486</v>
      </c>
      <c r="G1497" s="0" t="n">
        <v>634.30608</v>
      </c>
      <c r="I1497" s="0" t="n">
        <v>2027</v>
      </c>
      <c r="J1497" s="0" t="n">
        <v>2.84</v>
      </c>
      <c r="K1497" s="0" t="n">
        <v>59.6</v>
      </c>
      <c r="M1497" s="0" t="n">
        <v>2030</v>
      </c>
      <c r="N1497" s="0" t="n">
        <v>7.12</v>
      </c>
      <c r="O1497" s="0" t="n">
        <v>149.28</v>
      </c>
      <c r="Q1497" s="0" t="n">
        <v>2032</v>
      </c>
      <c r="R1497" s="0" t="n">
        <v>39</v>
      </c>
      <c r="W1497" s="0" t="n">
        <v>2031</v>
      </c>
      <c r="X1497" s="0" t="n">
        <v>1663.64</v>
      </c>
    </row>
    <row r="1498" customFormat="false" ht="15" hidden="false" customHeight="false" outlineLevel="0" collapsed="false">
      <c r="A1498" s="0" t="n">
        <v>2030</v>
      </c>
      <c r="B1498" s="0" t="n">
        <v>16.3678577</v>
      </c>
      <c r="C1498" s="0" t="n">
        <v>343.7250118</v>
      </c>
      <c r="E1498" s="0" t="n">
        <v>2031</v>
      </c>
      <c r="F1498" s="0" t="n">
        <v>27.654718</v>
      </c>
      <c r="G1498" s="0" t="n">
        <v>580.01104</v>
      </c>
      <c r="I1498" s="0" t="n">
        <v>2027</v>
      </c>
      <c r="J1498" s="0" t="n">
        <v>1.42</v>
      </c>
      <c r="K1498" s="0" t="n">
        <v>29.8</v>
      </c>
      <c r="M1498" s="0" t="n">
        <v>2030</v>
      </c>
      <c r="N1498" s="0" t="n">
        <v>3.56</v>
      </c>
      <c r="O1498" s="0" t="n">
        <v>74.64</v>
      </c>
      <c r="Q1498" s="0" t="n">
        <v>2032</v>
      </c>
      <c r="R1498" s="0" t="n">
        <v>9</v>
      </c>
      <c r="W1498" s="0" t="n">
        <v>2031</v>
      </c>
      <c r="X1498" s="0" t="n">
        <v>1285.54</v>
      </c>
    </row>
    <row r="1499" customFormat="false" ht="15" hidden="false" customHeight="false" outlineLevel="0" collapsed="false">
      <c r="A1499" s="0" t="n">
        <v>2030</v>
      </c>
      <c r="B1499" s="0" t="n">
        <v>12.17495977</v>
      </c>
      <c r="C1499" s="0" t="n">
        <v>255.6741552</v>
      </c>
      <c r="E1499" s="0" t="n">
        <v>2031</v>
      </c>
      <c r="F1499" s="0" t="n">
        <v>104.845596</v>
      </c>
      <c r="G1499" s="0" t="n">
        <v>2195.076179</v>
      </c>
      <c r="I1499" s="0" t="n">
        <v>2027</v>
      </c>
      <c r="J1499" s="0" t="n">
        <v>1.42</v>
      </c>
      <c r="K1499" s="0" t="n">
        <v>29.8</v>
      </c>
      <c r="M1499" s="0" t="n">
        <v>2030</v>
      </c>
      <c r="N1499" s="0" t="n">
        <v>97.66</v>
      </c>
      <c r="O1499" s="0" t="n">
        <v>2046.3</v>
      </c>
      <c r="Q1499" s="0" t="n">
        <v>2032</v>
      </c>
      <c r="R1499" s="0" t="n">
        <v>8</v>
      </c>
      <c r="W1499" s="0" t="n">
        <v>2031</v>
      </c>
      <c r="X1499" s="0" t="n">
        <v>73963.52</v>
      </c>
    </row>
    <row r="1500" customFormat="false" ht="15" hidden="false" customHeight="false" outlineLevel="0" collapsed="false">
      <c r="A1500" s="0" t="n">
        <v>2030</v>
      </c>
      <c r="B1500" s="0" t="n">
        <v>5.411093231</v>
      </c>
      <c r="C1500" s="0" t="n">
        <v>113.6329579</v>
      </c>
      <c r="E1500" s="0" t="n">
        <v>2031</v>
      </c>
      <c r="F1500" s="0" t="n">
        <v>28.152204</v>
      </c>
      <c r="G1500" s="0" t="n">
        <v>589.402271</v>
      </c>
      <c r="I1500" s="0" t="n">
        <v>2027</v>
      </c>
      <c r="J1500" s="0" t="n">
        <v>2.84</v>
      </c>
      <c r="K1500" s="0" t="n">
        <v>59.6</v>
      </c>
      <c r="M1500" s="0" t="n">
        <v>2030</v>
      </c>
      <c r="N1500" s="0" t="n">
        <v>64.25</v>
      </c>
      <c r="O1500" s="0" t="n">
        <v>1346.25</v>
      </c>
      <c r="Q1500" s="0" t="n">
        <v>2032</v>
      </c>
      <c r="R1500" s="0" t="n">
        <v>8</v>
      </c>
      <c r="W1500" s="0" t="n">
        <v>2031</v>
      </c>
      <c r="X1500" s="0" t="n">
        <v>18490.88</v>
      </c>
    </row>
    <row r="1501" customFormat="false" ht="15" hidden="false" customHeight="false" outlineLevel="0" collapsed="false">
      <c r="A1501" s="0" t="n">
        <v>2030</v>
      </c>
      <c r="B1501" s="0" t="n">
        <v>19.98630189</v>
      </c>
      <c r="C1501" s="0" t="n">
        <v>419.7123396</v>
      </c>
      <c r="E1501" s="0" t="n">
        <v>2031</v>
      </c>
      <c r="F1501" s="0" t="n">
        <v>11.268348</v>
      </c>
      <c r="G1501" s="0" t="n">
        <v>235.917227</v>
      </c>
      <c r="I1501" s="0" t="n">
        <v>2027</v>
      </c>
      <c r="J1501" s="0" t="n">
        <v>4.97</v>
      </c>
      <c r="K1501" s="0" t="n">
        <v>104.3</v>
      </c>
      <c r="M1501" s="0" t="n">
        <v>2030</v>
      </c>
      <c r="N1501" s="0" t="n">
        <v>25.7</v>
      </c>
      <c r="O1501" s="0" t="n">
        <v>538.5</v>
      </c>
      <c r="Q1501" s="0" t="n">
        <v>2032</v>
      </c>
      <c r="R1501" s="0" t="n">
        <v>183</v>
      </c>
      <c r="W1501" s="0" t="n">
        <v>2031</v>
      </c>
      <c r="X1501" s="0" t="n">
        <v>5726.208</v>
      </c>
    </row>
    <row r="1502" customFormat="false" ht="15" hidden="false" customHeight="false" outlineLevel="0" collapsed="false">
      <c r="A1502" s="0" t="n">
        <v>2030</v>
      </c>
      <c r="B1502" s="0" t="n">
        <v>6.256410409</v>
      </c>
      <c r="C1502" s="0" t="n">
        <v>131.3846186</v>
      </c>
      <c r="E1502" s="0" t="n">
        <v>2031</v>
      </c>
      <c r="F1502" s="0" t="n">
        <v>1.582836</v>
      </c>
      <c r="G1502" s="0" t="n">
        <v>33.138689</v>
      </c>
      <c r="I1502" s="0" t="n">
        <v>2027</v>
      </c>
      <c r="J1502" s="0" t="n">
        <v>2.13</v>
      </c>
      <c r="K1502" s="0" t="n">
        <v>44.7</v>
      </c>
      <c r="M1502" s="0" t="n">
        <v>2030</v>
      </c>
      <c r="N1502" s="0" t="n">
        <v>25.7</v>
      </c>
      <c r="O1502" s="0" t="n">
        <v>538.5</v>
      </c>
      <c r="Q1502" s="0" t="n">
        <v>2032</v>
      </c>
      <c r="R1502" s="0" t="n">
        <v>174</v>
      </c>
      <c r="W1502" s="0" t="n">
        <v>2031</v>
      </c>
      <c r="X1502" s="0" t="n">
        <v>10140.16</v>
      </c>
    </row>
    <row r="1503" customFormat="false" ht="15" hidden="false" customHeight="false" outlineLevel="0" collapsed="false">
      <c r="A1503" s="0" t="n">
        <v>2030</v>
      </c>
      <c r="B1503" s="0" t="n">
        <v>13.98895134</v>
      </c>
      <c r="C1503" s="0" t="n">
        <v>293.7679781</v>
      </c>
      <c r="E1503" s="0" t="n">
        <v>2031</v>
      </c>
      <c r="F1503" s="0" t="n">
        <v>37.837716</v>
      </c>
      <c r="G1503" s="0" t="n">
        <v>792.180809</v>
      </c>
      <c r="I1503" s="0" t="n">
        <v>2027</v>
      </c>
      <c r="J1503" s="0" t="n">
        <v>2.13</v>
      </c>
      <c r="K1503" s="0" t="n">
        <v>44.7</v>
      </c>
      <c r="M1503" s="0" t="n">
        <v>2030</v>
      </c>
      <c r="N1503" s="0" t="n">
        <v>15.42</v>
      </c>
      <c r="O1503" s="0" t="n">
        <v>323.1</v>
      </c>
      <c r="Q1503" s="0" t="n">
        <v>2032</v>
      </c>
      <c r="R1503" s="0" t="n">
        <v>82</v>
      </c>
      <c r="W1503" s="0" t="n">
        <v>2031</v>
      </c>
      <c r="X1503" s="0" t="n">
        <v>4533.248</v>
      </c>
    </row>
    <row r="1504" customFormat="false" ht="15" hidden="false" customHeight="false" outlineLevel="0" collapsed="false">
      <c r="A1504" s="0" t="n">
        <v>2030</v>
      </c>
      <c r="B1504" s="0" t="n">
        <v>166.745356</v>
      </c>
      <c r="C1504" s="0" t="n">
        <v>3501.652477</v>
      </c>
      <c r="E1504" s="0" t="n">
        <v>2031</v>
      </c>
      <c r="F1504" s="0" t="n">
        <v>1.771332</v>
      </c>
      <c r="G1504" s="0" t="n">
        <v>37.085093</v>
      </c>
      <c r="I1504" s="0" t="n">
        <v>2027</v>
      </c>
      <c r="J1504" s="0" t="n">
        <v>16.12</v>
      </c>
      <c r="K1504" s="0" t="n">
        <v>341.64</v>
      </c>
      <c r="M1504" s="0" t="n">
        <v>2030</v>
      </c>
      <c r="N1504" s="0" t="n">
        <v>12.85</v>
      </c>
      <c r="O1504" s="0" t="n">
        <v>269.25</v>
      </c>
      <c r="Q1504" s="0" t="n">
        <v>2032</v>
      </c>
      <c r="R1504" s="0" t="n">
        <v>18</v>
      </c>
      <c r="W1504" s="0" t="n">
        <v>2031</v>
      </c>
      <c r="X1504" s="0" t="n">
        <v>1789.44</v>
      </c>
    </row>
    <row r="1505" customFormat="false" ht="15" hidden="false" customHeight="false" outlineLevel="0" collapsed="false">
      <c r="A1505" s="0" t="n">
        <v>2030</v>
      </c>
      <c r="B1505" s="0" t="n">
        <v>42.05810952</v>
      </c>
      <c r="C1505" s="0" t="n">
        <v>883.2202999</v>
      </c>
      <c r="E1505" s="0" t="n">
        <v>2031</v>
      </c>
      <c r="F1505" s="0" t="n">
        <v>9.685512</v>
      </c>
      <c r="G1505" s="0" t="n">
        <v>202.778538</v>
      </c>
      <c r="I1505" s="0" t="n">
        <v>2027</v>
      </c>
      <c r="J1505" s="0" t="n">
        <v>2.48</v>
      </c>
      <c r="K1505" s="0" t="n">
        <v>52.56</v>
      </c>
      <c r="M1505" s="0" t="n">
        <v>2030</v>
      </c>
      <c r="N1505" s="0" t="n">
        <v>10.28</v>
      </c>
      <c r="O1505" s="0" t="n">
        <v>215.4</v>
      </c>
      <c r="Q1505" s="0" t="n">
        <v>2032</v>
      </c>
      <c r="R1505" s="0" t="n">
        <v>19</v>
      </c>
      <c r="W1505" s="0" t="n">
        <v>2031</v>
      </c>
      <c r="X1505" s="0" t="n">
        <v>2624.512</v>
      </c>
    </row>
    <row r="1506" customFormat="false" ht="15" hidden="false" customHeight="false" outlineLevel="0" collapsed="false">
      <c r="A1506" s="0" t="n">
        <v>2030</v>
      </c>
      <c r="B1506" s="0" t="n">
        <v>37.50555307</v>
      </c>
      <c r="C1506" s="0" t="n">
        <v>787.6166145</v>
      </c>
      <c r="E1506" s="0" t="n">
        <v>2031</v>
      </c>
      <c r="F1506" s="0" t="n">
        <v>8.856456</v>
      </c>
      <c r="G1506" s="0" t="n">
        <v>185.421194</v>
      </c>
      <c r="I1506" s="0" t="n">
        <v>2027</v>
      </c>
      <c r="J1506" s="0" t="n">
        <v>1.86</v>
      </c>
      <c r="K1506" s="0" t="n">
        <v>39.42</v>
      </c>
      <c r="M1506" s="0" t="n">
        <v>2030</v>
      </c>
      <c r="N1506" s="0" t="n">
        <v>5.14</v>
      </c>
      <c r="O1506" s="0" t="n">
        <v>107.7</v>
      </c>
      <c r="Q1506" s="0" t="n">
        <v>2032</v>
      </c>
      <c r="R1506" s="0" t="n">
        <v>19</v>
      </c>
      <c r="W1506" s="0" t="n">
        <v>2031</v>
      </c>
      <c r="X1506" s="0" t="n">
        <v>2028.032</v>
      </c>
    </row>
    <row r="1507" customFormat="false" ht="15" hidden="false" customHeight="false" outlineLevel="0" collapsed="false">
      <c r="A1507" s="0" t="n">
        <v>2030</v>
      </c>
      <c r="B1507" s="0" t="n">
        <v>26.08288941</v>
      </c>
      <c r="C1507" s="0" t="n">
        <v>547.7406777</v>
      </c>
      <c r="E1507" s="0" t="n">
        <v>2031</v>
      </c>
      <c r="F1507" s="0" t="n">
        <v>388.031495</v>
      </c>
      <c r="G1507" s="0" t="n">
        <v>8145.063752</v>
      </c>
      <c r="I1507" s="0" t="n">
        <v>2027</v>
      </c>
      <c r="J1507" s="0" t="n">
        <v>3.1</v>
      </c>
      <c r="K1507" s="0" t="n">
        <v>65.7</v>
      </c>
      <c r="M1507" s="0" t="n">
        <v>2030</v>
      </c>
      <c r="N1507" s="0" t="n">
        <v>220.5</v>
      </c>
      <c r="O1507" s="0" t="n">
        <v>4624.2</v>
      </c>
      <c r="Q1507" s="0" t="n">
        <v>2032</v>
      </c>
      <c r="R1507" s="0" t="n">
        <v>647</v>
      </c>
      <c r="W1507" s="0" t="n">
        <v>2031</v>
      </c>
      <c r="X1507" s="0" t="n">
        <v>42507.82</v>
      </c>
    </row>
    <row r="1508" customFormat="false" ht="15" hidden="false" customHeight="false" outlineLevel="0" collapsed="false">
      <c r="A1508" s="0" t="n">
        <v>2030</v>
      </c>
      <c r="B1508" s="0" t="n">
        <v>19.40132515</v>
      </c>
      <c r="C1508" s="0" t="n">
        <v>407.4278281</v>
      </c>
      <c r="E1508" s="0" t="n">
        <v>2031</v>
      </c>
      <c r="F1508" s="0" t="n">
        <v>104.190755</v>
      </c>
      <c r="G1508" s="0" t="n">
        <v>2187.039848</v>
      </c>
      <c r="I1508" s="0" t="n">
        <v>2027</v>
      </c>
      <c r="J1508" s="0" t="n">
        <v>0.62</v>
      </c>
      <c r="K1508" s="0" t="n">
        <v>13.14</v>
      </c>
      <c r="M1508" s="0" t="n">
        <v>2030</v>
      </c>
      <c r="N1508" s="0" t="n">
        <v>24.5</v>
      </c>
      <c r="O1508" s="0" t="n">
        <v>513.8</v>
      </c>
      <c r="Q1508" s="0" t="n">
        <v>2032</v>
      </c>
      <c r="R1508" s="0" t="n">
        <v>614</v>
      </c>
      <c r="W1508" s="0" t="n">
        <v>2031</v>
      </c>
      <c r="X1508" s="0" t="n">
        <v>10626.955</v>
      </c>
    </row>
    <row r="1509" customFormat="false" ht="15" hidden="false" customHeight="false" outlineLevel="0" collapsed="false">
      <c r="A1509" s="0" t="n">
        <v>2030</v>
      </c>
      <c r="B1509" s="0" t="n">
        <v>8.622811177</v>
      </c>
      <c r="C1509" s="0" t="n">
        <v>181.0790347</v>
      </c>
      <c r="E1509" s="0" t="n">
        <v>2031</v>
      </c>
      <c r="F1509" s="0" t="n">
        <v>41.703935</v>
      </c>
      <c r="G1509" s="0" t="n">
        <v>875.395976</v>
      </c>
      <c r="I1509" s="0" t="n">
        <v>2027</v>
      </c>
      <c r="J1509" s="0" t="n">
        <v>0.62</v>
      </c>
      <c r="K1509" s="0" t="n">
        <v>13.14</v>
      </c>
      <c r="M1509" s="0" t="n">
        <v>2030</v>
      </c>
      <c r="N1509" s="0" t="n">
        <v>308.7</v>
      </c>
      <c r="O1509" s="0" t="n">
        <v>6471.9</v>
      </c>
      <c r="Q1509" s="0" t="n">
        <v>2032</v>
      </c>
      <c r="R1509" s="0" t="n">
        <v>291</v>
      </c>
      <c r="W1509" s="0" t="n">
        <v>2031</v>
      </c>
      <c r="X1509" s="0" t="n">
        <v>3290.928</v>
      </c>
    </row>
    <row r="1510" customFormat="false" ht="15" hidden="false" customHeight="false" outlineLevel="0" collapsed="false">
      <c r="A1510" s="0" t="n">
        <v>2030</v>
      </c>
      <c r="B1510" s="0" t="n">
        <v>31.84903677</v>
      </c>
      <c r="C1510" s="0" t="n">
        <v>668.8297722</v>
      </c>
      <c r="E1510" s="0" t="n">
        <v>2031</v>
      </c>
      <c r="F1510" s="0" t="n">
        <v>5.858045</v>
      </c>
      <c r="G1510" s="0" t="n">
        <v>122.964632</v>
      </c>
      <c r="I1510" s="0" t="n">
        <v>2027</v>
      </c>
      <c r="J1510" s="0" t="n">
        <v>0</v>
      </c>
      <c r="K1510" s="0" t="n">
        <v>0</v>
      </c>
      <c r="M1510" s="0" t="n">
        <v>2030</v>
      </c>
      <c r="N1510" s="0" t="n">
        <v>34.3</v>
      </c>
      <c r="O1510" s="0" t="n">
        <v>719.1</v>
      </c>
      <c r="Q1510" s="0" t="n">
        <v>2032</v>
      </c>
      <c r="R1510" s="0" t="n">
        <v>65</v>
      </c>
      <c r="W1510" s="0" t="n">
        <v>2031</v>
      </c>
      <c r="X1510" s="0" t="n">
        <v>5827.685</v>
      </c>
    </row>
    <row r="1511" customFormat="false" ht="15" hidden="false" customHeight="false" outlineLevel="0" collapsed="false">
      <c r="A1511" s="0" t="n">
        <v>2030</v>
      </c>
      <c r="B1511" s="0" t="n">
        <v>9.969860673</v>
      </c>
      <c r="C1511" s="0" t="n">
        <v>209.3670741</v>
      </c>
      <c r="E1511" s="0" t="n">
        <v>2031</v>
      </c>
      <c r="F1511" s="0" t="n">
        <v>140.036645</v>
      </c>
      <c r="G1511" s="0" t="n">
        <v>2939.471192</v>
      </c>
      <c r="I1511" s="0" t="n">
        <v>2027</v>
      </c>
      <c r="J1511" s="0" t="n">
        <v>1.24</v>
      </c>
      <c r="K1511" s="0" t="n">
        <v>26.28</v>
      </c>
      <c r="M1511" s="0" t="n">
        <v>2030</v>
      </c>
      <c r="N1511" s="0" t="n">
        <v>264.6</v>
      </c>
      <c r="O1511" s="0" t="n">
        <v>5547.6</v>
      </c>
      <c r="Q1511" s="0" t="n">
        <v>2032</v>
      </c>
      <c r="R1511" s="0" t="n">
        <v>60</v>
      </c>
      <c r="W1511" s="0" t="n">
        <v>2031</v>
      </c>
      <c r="X1511" s="0" t="n">
        <v>2605.318</v>
      </c>
    </row>
    <row r="1512" customFormat="false" ht="15" hidden="false" customHeight="false" outlineLevel="0" collapsed="false">
      <c r="A1512" s="0" t="n">
        <v>2030</v>
      </c>
      <c r="B1512" s="0" t="n">
        <v>22.2919992</v>
      </c>
      <c r="C1512" s="0" t="n">
        <v>468.1319831</v>
      </c>
      <c r="E1512" s="0" t="n">
        <v>2031</v>
      </c>
      <c r="F1512" s="0" t="n">
        <v>6.555665</v>
      </c>
      <c r="G1512" s="0" t="n">
        <v>137.608184</v>
      </c>
      <c r="I1512" s="0" t="n">
        <v>2027</v>
      </c>
      <c r="J1512" s="0" t="n">
        <v>2.17</v>
      </c>
      <c r="K1512" s="0" t="n">
        <v>45.99</v>
      </c>
      <c r="M1512" s="0" t="n">
        <v>2030</v>
      </c>
      <c r="N1512" s="0" t="n">
        <v>29.4</v>
      </c>
      <c r="O1512" s="0" t="n">
        <v>616.4</v>
      </c>
      <c r="Q1512" s="0" t="n">
        <v>2032</v>
      </c>
      <c r="R1512" s="0" t="n">
        <v>60</v>
      </c>
      <c r="W1512" s="0" t="n">
        <v>2031</v>
      </c>
      <c r="X1512" s="0" t="n">
        <v>1028.415</v>
      </c>
    </row>
    <row r="1513" customFormat="false" ht="15" hidden="false" customHeight="false" outlineLevel="0" collapsed="false">
      <c r="A1513" s="0" t="n">
        <v>2030</v>
      </c>
      <c r="B1513" s="0" t="n">
        <v>186.7093882</v>
      </c>
      <c r="C1513" s="0" t="n">
        <v>3920.897152</v>
      </c>
      <c r="E1513" s="0" t="n">
        <v>2031</v>
      </c>
      <c r="F1513" s="0" t="n">
        <v>35.84589</v>
      </c>
      <c r="G1513" s="0" t="n">
        <v>752.431344</v>
      </c>
      <c r="I1513" s="0" t="n">
        <v>2027</v>
      </c>
      <c r="J1513" s="0" t="n">
        <v>0.62</v>
      </c>
      <c r="K1513" s="0" t="n">
        <v>13.14</v>
      </c>
      <c r="M1513" s="0" t="n">
        <v>2030</v>
      </c>
      <c r="N1513" s="0" t="n">
        <v>88.2</v>
      </c>
      <c r="O1513" s="0" t="n">
        <v>1848.6</v>
      </c>
      <c r="Q1513" s="0" t="n">
        <v>2032</v>
      </c>
      <c r="R1513" s="0" t="n">
        <v>116</v>
      </c>
      <c r="W1513" s="0" t="n">
        <v>2031</v>
      </c>
      <c r="X1513" s="0" t="n">
        <v>1508.342</v>
      </c>
    </row>
    <row r="1514" customFormat="false" ht="15" hidden="false" customHeight="false" outlineLevel="0" collapsed="false">
      <c r="A1514" s="0" t="n">
        <v>2030</v>
      </c>
      <c r="B1514" s="0" t="n">
        <v>47.09362878</v>
      </c>
      <c r="C1514" s="0" t="n">
        <v>988.9662043</v>
      </c>
      <c r="E1514" s="0" t="n">
        <v>2031</v>
      </c>
      <c r="F1514" s="0" t="n">
        <v>32.77757</v>
      </c>
      <c r="G1514" s="0" t="n">
        <v>688.025072</v>
      </c>
      <c r="I1514" s="0" t="n">
        <v>2027</v>
      </c>
      <c r="J1514" s="0" t="n">
        <v>2.17</v>
      </c>
      <c r="K1514" s="0" t="n">
        <v>45.99</v>
      </c>
      <c r="M1514" s="0" t="n">
        <v>2030</v>
      </c>
      <c r="N1514" s="0" t="n">
        <v>9.8</v>
      </c>
      <c r="O1514" s="0" t="n">
        <v>205.4</v>
      </c>
      <c r="Q1514" s="0" t="n">
        <v>2032</v>
      </c>
      <c r="R1514" s="0" t="n">
        <v>110</v>
      </c>
      <c r="W1514" s="0" t="n">
        <v>2031</v>
      </c>
      <c r="X1514" s="0" t="n">
        <v>1165.537</v>
      </c>
    </row>
    <row r="1515" customFormat="false" ht="15" hidden="false" customHeight="false" outlineLevel="0" collapsed="false">
      <c r="A1515" s="0" t="n">
        <v>2030</v>
      </c>
      <c r="B1515" s="0" t="n">
        <v>41.99600537</v>
      </c>
      <c r="C1515" s="0" t="n">
        <v>881.9161128</v>
      </c>
      <c r="E1515" s="0" t="n">
        <v>2031</v>
      </c>
      <c r="F1515" s="0" t="n">
        <v>562.774155</v>
      </c>
      <c r="G1515" s="0" t="n">
        <v>11812.60382</v>
      </c>
      <c r="I1515" s="0" t="n">
        <v>2027</v>
      </c>
      <c r="J1515" s="0" t="n">
        <v>1100.64</v>
      </c>
      <c r="K1515" s="0" t="n">
        <v>23117.28</v>
      </c>
      <c r="M1515" s="0" t="n">
        <v>2030</v>
      </c>
      <c r="N1515" s="0" t="n">
        <v>810</v>
      </c>
      <c r="O1515" s="0" t="n">
        <v>17001</v>
      </c>
      <c r="Q1515" s="0" t="n">
        <v>2032</v>
      </c>
      <c r="R1515" s="0" t="n">
        <v>52</v>
      </c>
      <c r="W1515" s="0" t="n">
        <v>2031</v>
      </c>
      <c r="X1515" s="0" t="n">
        <v>132097.2</v>
      </c>
    </row>
    <row r="1516" customFormat="false" ht="15" hidden="false" customHeight="false" outlineLevel="0" collapsed="false">
      <c r="A1516" s="0" t="n">
        <v>2030</v>
      </c>
      <c r="B1516" s="0" t="n">
        <v>29.20573287</v>
      </c>
      <c r="C1516" s="0" t="n">
        <v>613.3203902</v>
      </c>
      <c r="E1516" s="0" t="n">
        <v>2031</v>
      </c>
      <c r="F1516" s="0" t="n">
        <v>151.111095</v>
      </c>
      <c r="G1516" s="0" t="n">
        <v>3171.814984</v>
      </c>
      <c r="I1516" s="0" t="n">
        <v>2027</v>
      </c>
      <c r="J1516" s="0" t="n">
        <v>366.88</v>
      </c>
      <c r="K1516" s="0" t="n">
        <v>7705.76</v>
      </c>
      <c r="M1516" s="0" t="n">
        <v>2030</v>
      </c>
      <c r="N1516" s="0" t="n">
        <v>90</v>
      </c>
      <c r="O1516" s="0" t="n">
        <v>1889</v>
      </c>
      <c r="Q1516" s="0" t="n">
        <v>2032</v>
      </c>
      <c r="R1516" s="0" t="n">
        <v>12</v>
      </c>
      <c r="W1516" s="0" t="n">
        <v>2031</v>
      </c>
      <c r="X1516" s="0" t="n">
        <v>33024.3</v>
      </c>
    </row>
    <row r="1517" customFormat="false" ht="15" hidden="false" customHeight="false" outlineLevel="0" collapsed="false">
      <c r="A1517" s="0" t="n">
        <v>2030</v>
      </c>
      <c r="B1517" s="0" t="n">
        <v>21.72420051</v>
      </c>
      <c r="C1517" s="0" t="n">
        <v>456.2082107</v>
      </c>
      <c r="E1517" s="0" t="n">
        <v>2031</v>
      </c>
      <c r="F1517" s="0" t="n">
        <v>60.484515</v>
      </c>
      <c r="G1517" s="0" t="n">
        <v>1269.567208</v>
      </c>
      <c r="I1517" s="0" t="n">
        <v>2027</v>
      </c>
      <c r="J1517" s="0" t="n">
        <v>160.51</v>
      </c>
      <c r="K1517" s="0" t="n">
        <v>3371.27</v>
      </c>
      <c r="M1517" s="0" t="n">
        <v>2030</v>
      </c>
      <c r="N1517" s="0" t="n">
        <v>81.9</v>
      </c>
      <c r="O1517" s="0" t="n">
        <v>1716.3</v>
      </c>
      <c r="Q1517" s="0" t="n">
        <v>2032</v>
      </c>
      <c r="R1517" s="0" t="n">
        <v>11</v>
      </c>
      <c r="W1517" s="0" t="n">
        <v>2031</v>
      </c>
      <c r="X1517" s="0" t="n">
        <v>10226.88</v>
      </c>
    </row>
    <row r="1518" customFormat="false" ht="15" hidden="false" customHeight="false" outlineLevel="0" collapsed="false">
      <c r="A1518" s="0" t="n">
        <v>2030</v>
      </c>
      <c r="B1518" s="0" t="n">
        <v>9.655200227</v>
      </c>
      <c r="C1518" s="0" t="n">
        <v>202.7592048</v>
      </c>
      <c r="E1518" s="0" t="n">
        <v>2031</v>
      </c>
      <c r="F1518" s="0" t="n">
        <v>8.496105</v>
      </c>
      <c r="G1518" s="0" t="n">
        <v>178.332856</v>
      </c>
      <c r="I1518" s="0" t="n">
        <v>2027</v>
      </c>
      <c r="J1518" s="0" t="n">
        <v>91.72</v>
      </c>
      <c r="K1518" s="0" t="n">
        <v>1926.44</v>
      </c>
      <c r="M1518" s="0" t="n">
        <v>2030</v>
      </c>
      <c r="N1518" s="0" t="n">
        <v>9.1</v>
      </c>
      <c r="O1518" s="0" t="n">
        <v>190.7</v>
      </c>
      <c r="Q1518" s="0" t="n">
        <v>2032</v>
      </c>
      <c r="R1518" s="0" t="n">
        <v>11</v>
      </c>
      <c r="W1518" s="0" t="n">
        <v>2031</v>
      </c>
      <c r="X1518" s="0" t="n">
        <v>18110.1</v>
      </c>
    </row>
    <row r="1519" customFormat="false" ht="15" hidden="false" customHeight="false" outlineLevel="0" collapsed="false">
      <c r="A1519" s="0" t="n">
        <v>2030</v>
      </c>
      <c r="B1519" s="0" t="n">
        <v>35.66224759</v>
      </c>
      <c r="C1519" s="0" t="n">
        <v>748.9071993</v>
      </c>
      <c r="E1519" s="0" t="n">
        <v>2031</v>
      </c>
      <c r="F1519" s="0" t="n">
        <v>203.099505</v>
      </c>
      <c r="G1519" s="0" t="n">
        <v>4263.049336</v>
      </c>
      <c r="I1519" s="0" t="n">
        <v>2027</v>
      </c>
      <c r="J1519" s="0" t="n">
        <v>91.72</v>
      </c>
      <c r="K1519" s="0" t="n">
        <v>1926.44</v>
      </c>
      <c r="M1519" s="0" t="n">
        <v>2031</v>
      </c>
      <c r="N1519" s="0" t="n">
        <v>6.84</v>
      </c>
      <c r="O1519" s="0" t="n">
        <v>142.12</v>
      </c>
      <c r="Q1519" s="0" t="n">
        <v>2032</v>
      </c>
      <c r="R1519" s="0" t="n">
        <v>116</v>
      </c>
      <c r="W1519" s="0" t="n">
        <v>2031</v>
      </c>
      <c r="X1519" s="0" t="n">
        <v>8096.28</v>
      </c>
    </row>
    <row r="1520" customFormat="false" ht="15" hidden="false" customHeight="false" outlineLevel="0" collapsed="false">
      <c r="A1520" s="0" t="n">
        <v>2030</v>
      </c>
      <c r="B1520" s="0" t="n">
        <v>11.16352881</v>
      </c>
      <c r="C1520" s="0" t="n">
        <v>234.4341051</v>
      </c>
      <c r="E1520" s="0" t="n">
        <v>2031</v>
      </c>
      <c r="F1520" s="0" t="n">
        <v>9.507885</v>
      </c>
      <c r="G1520" s="0" t="n">
        <v>199.570072</v>
      </c>
      <c r="I1520" s="0" t="n">
        <v>2027</v>
      </c>
      <c r="J1520" s="0" t="n">
        <v>45.86</v>
      </c>
      <c r="K1520" s="0" t="n">
        <v>963.22</v>
      </c>
      <c r="M1520" s="0" t="n">
        <v>2031</v>
      </c>
      <c r="N1520" s="0" t="n">
        <v>4.5</v>
      </c>
      <c r="O1520" s="0" t="n">
        <v>93.5</v>
      </c>
      <c r="Q1520" s="0" t="n">
        <v>2032</v>
      </c>
      <c r="R1520" s="0" t="n">
        <v>110</v>
      </c>
      <c r="W1520" s="0" t="n">
        <v>2031</v>
      </c>
      <c r="X1520" s="0" t="n">
        <v>3195.9</v>
      </c>
    </row>
    <row r="1521" customFormat="false" ht="15" hidden="false" customHeight="false" outlineLevel="0" collapsed="false">
      <c r="A1521" s="0" t="n">
        <v>2030</v>
      </c>
      <c r="B1521" s="0" t="n">
        <v>24.96096821</v>
      </c>
      <c r="C1521" s="0" t="n">
        <v>524.1803325</v>
      </c>
      <c r="E1521" s="0" t="n">
        <v>2031</v>
      </c>
      <c r="F1521" s="0" t="n">
        <v>51.98841</v>
      </c>
      <c r="G1521" s="0" t="n">
        <v>1091.234352</v>
      </c>
      <c r="I1521" s="0" t="n">
        <v>2027</v>
      </c>
      <c r="J1521" s="0" t="n">
        <v>45.86</v>
      </c>
      <c r="K1521" s="0" t="n">
        <v>963.22</v>
      </c>
      <c r="M1521" s="0" t="n">
        <v>2031</v>
      </c>
      <c r="N1521" s="0" t="n">
        <v>1.8</v>
      </c>
      <c r="O1521" s="0" t="n">
        <v>37.4</v>
      </c>
      <c r="Q1521" s="0" t="n">
        <v>2032</v>
      </c>
      <c r="R1521" s="0" t="n">
        <v>52</v>
      </c>
      <c r="W1521" s="0" t="n">
        <v>2031</v>
      </c>
      <c r="X1521" s="0" t="n">
        <v>4687.32</v>
      </c>
    </row>
    <row r="1522" customFormat="false" ht="15" hidden="false" customHeight="false" outlineLevel="0" collapsed="false">
      <c r="A1522" s="0" t="n">
        <v>2030</v>
      </c>
      <c r="B1522" s="0" t="n">
        <v>113.2771922</v>
      </c>
      <c r="C1522" s="0" t="n">
        <v>2378.821037</v>
      </c>
      <c r="E1522" s="0" t="n">
        <v>2031</v>
      </c>
      <c r="F1522" s="0" t="n">
        <v>47.53833</v>
      </c>
      <c r="G1522" s="0" t="n">
        <v>997.827376</v>
      </c>
      <c r="I1522" s="0" t="n">
        <v>2027</v>
      </c>
      <c r="J1522" s="0" t="n">
        <v>91.72</v>
      </c>
      <c r="K1522" s="0" t="n">
        <v>1926.44</v>
      </c>
      <c r="M1522" s="0" t="n">
        <v>2031</v>
      </c>
      <c r="N1522" s="0" t="n">
        <v>1.8</v>
      </c>
      <c r="O1522" s="0" t="n">
        <v>37.4</v>
      </c>
      <c r="Q1522" s="0" t="n">
        <v>2032</v>
      </c>
      <c r="R1522" s="0" t="n">
        <v>12</v>
      </c>
      <c r="W1522" s="0" t="n">
        <v>2031</v>
      </c>
      <c r="X1522" s="0" t="n">
        <v>3622.02</v>
      </c>
    </row>
    <row r="1523" customFormat="false" ht="15" hidden="false" customHeight="false" outlineLevel="0" collapsed="false">
      <c r="A1523" s="0" t="n">
        <v>2030</v>
      </c>
      <c r="B1523" s="0" t="n">
        <v>28.57185753</v>
      </c>
      <c r="C1523" s="0" t="n">
        <v>600.0090081</v>
      </c>
      <c r="E1523" s="0" t="n">
        <v>2031</v>
      </c>
      <c r="F1523" s="0" t="n">
        <v>360.278249</v>
      </c>
      <c r="G1523" s="0" t="n">
        <v>7558.133994</v>
      </c>
      <c r="I1523" s="0" t="n">
        <v>2027</v>
      </c>
      <c r="J1523" s="0" t="n">
        <v>160.51</v>
      </c>
      <c r="K1523" s="0" t="n">
        <v>3371.27</v>
      </c>
      <c r="M1523" s="0" t="n">
        <v>2031</v>
      </c>
      <c r="N1523" s="0" t="n">
        <v>1.08</v>
      </c>
      <c r="O1523" s="0" t="n">
        <v>22.44</v>
      </c>
      <c r="Q1523" s="0" t="n">
        <v>2032</v>
      </c>
      <c r="R1523" s="0" t="n">
        <v>11</v>
      </c>
      <c r="W1523" s="0" t="n">
        <v>2031</v>
      </c>
      <c r="X1523" s="0" t="n">
        <v>67366.72</v>
      </c>
    </row>
    <row r="1524" customFormat="false" ht="15" hidden="false" customHeight="false" outlineLevel="0" collapsed="false">
      <c r="A1524" s="0" t="n">
        <v>2030</v>
      </c>
      <c r="B1524" s="0" t="n">
        <v>25.47911285</v>
      </c>
      <c r="C1524" s="0" t="n">
        <v>535.0613699</v>
      </c>
      <c r="E1524" s="0" t="n">
        <v>2031</v>
      </c>
      <c r="F1524" s="0" t="n">
        <v>96.738701</v>
      </c>
      <c r="G1524" s="0" t="n">
        <v>2029.442706</v>
      </c>
      <c r="I1524" s="0" t="n">
        <v>2027</v>
      </c>
      <c r="J1524" s="0" t="n">
        <v>68.79</v>
      </c>
      <c r="K1524" s="0" t="n">
        <v>1444.83</v>
      </c>
      <c r="M1524" s="0" t="n">
        <v>2031</v>
      </c>
      <c r="N1524" s="0" t="n">
        <v>0.9</v>
      </c>
      <c r="O1524" s="0" t="n">
        <v>18.7</v>
      </c>
      <c r="Q1524" s="0" t="n">
        <v>2032</v>
      </c>
      <c r="R1524" s="0" t="n">
        <v>11</v>
      </c>
      <c r="W1524" s="0" t="n">
        <v>2031</v>
      </c>
      <c r="X1524" s="0" t="n">
        <v>16841.68</v>
      </c>
    </row>
    <row r="1525" customFormat="false" ht="15" hidden="false" customHeight="false" outlineLevel="0" collapsed="false">
      <c r="A1525" s="0" t="n">
        <v>2030</v>
      </c>
      <c r="B1525" s="0" t="n">
        <v>17.71921298</v>
      </c>
      <c r="C1525" s="0" t="n">
        <v>372.1034727</v>
      </c>
      <c r="E1525" s="0" t="n">
        <v>2031</v>
      </c>
      <c r="F1525" s="0" t="n">
        <v>38.721137</v>
      </c>
      <c r="G1525" s="0" t="n">
        <v>812.315322</v>
      </c>
      <c r="I1525" s="0" t="n">
        <v>2027</v>
      </c>
      <c r="J1525" s="0" t="n">
        <v>68.79</v>
      </c>
      <c r="K1525" s="0" t="n">
        <v>1444.83</v>
      </c>
      <c r="M1525" s="0" t="n">
        <v>2031</v>
      </c>
      <c r="N1525" s="0" t="n">
        <v>0.72</v>
      </c>
      <c r="O1525" s="0" t="n">
        <v>14.96</v>
      </c>
      <c r="Q1525" s="0" t="n">
        <v>2032</v>
      </c>
      <c r="R1525" s="0" t="n">
        <v>157</v>
      </c>
      <c r="W1525" s="0" t="n">
        <v>2031</v>
      </c>
      <c r="X1525" s="0" t="n">
        <v>5215.488</v>
      </c>
    </row>
    <row r="1526" customFormat="false" ht="15" hidden="false" customHeight="false" outlineLevel="0" collapsed="false">
      <c r="A1526" s="0" t="n">
        <v>2030</v>
      </c>
      <c r="B1526" s="0" t="n">
        <v>13.18014301</v>
      </c>
      <c r="C1526" s="0" t="n">
        <v>276.7830031</v>
      </c>
      <c r="E1526" s="0" t="n">
        <v>2031</v>
      </c>
      <c r="F1526" s="0" t="n">
        <v>5.439059</v>
      </c>
      <c r="G1526" s="0" t="n">
        <v>114.103854</v>
      </c>
      <c r="I1526" s="0" t="n">
        <v>2027</v>
      </c>
      <c r="J1526" s="0" t="n">
        <v>172.12</v>
      </c>
      <c r="K1526" s="0" t="n">
        <v>3614.52</v>
      </c>
      <c r="M1526" s="0" t="n">
        <v>2031</v>
      </c>
      <c r="N1526" s="0" t="n">
        <v>0.36</v>
      </c>
      <c r="O1526" s="0" t="n">
        <v>7.48</v>
      </c>
      <c r="Q1526" s="0" t="n">
        <v>2032</v>
      </c>
      <c r="R1526" s="0" t="n">
        <v>149</v>
      </c>
      <c r="W1526" s="0" t="n">
        <v>2031</v>
      </c>
      <c r="X1526" s="0" t="n">
        <v>9235.76</v>
      </c>
    </row>
    <row r="1527" customFormat="false" ht="15" hidden="false" customHeight="false" outlineLevel="0" collapsed="false">
      <c r="A1527" s="0" t="n">
        <v>2030</v>
      </c>
      <c r="B1527" s="0" t="n">
        <v>5.857841336</v>
      </c>
      <c r="C1527" s="0" t="n">
        <v>123.0146681</v>
      </c>
      <c r="E1527" s="0" t="n">
        <v>2031</v>
      </c>
      <c r="F1527" s="0" t="n">
        <v>130.020779</v>
      </c>
      <c r="G1527" s="0" t="n">
        <v>2727.654174</v>
      </c>
      <c r="I1527" s="0" t="n">
        <v>2027</v>
      </c>
      <c r="J1527" s="0" t="n">
        <v>26.48</v>
      </c>
      <c r="K1527" s="0" t="n">
        <v>556.08</v>
      </c>
      <c r="M1527" s="0" t="n">
        <v>2031</v>
      </c>
      <c r="N1527" s="0" t="n">
        <v>17.86</v>
      </c>
      <c r="O1527" s="0" t="n">
        <v>371.26</v>
      </c>
      <c r="Q1527" s="0" t="n">
        <v>2032</v>
      </c>
      <c r="R1527" s="0" t="n">
        <v>71</v>
      </c>
      <c r="W1527" s="0" t="n">
        <v>2031</v>
      </c>
      <c r="X1527" s="0" t="n">
        <v>4128.928</v>
      </c>
    </row>
    <row r="1528" customFormat="false" ht="15" hidden="false" customHeight="false" outlineLevel="0" collapsed="false">
      <c r="A1528" s="0" t="n">
        <v>2030</v>
      </c>
      <c r="B1528" s="0" t="n">
        <v>21.63640143</v>
      </c>
      <c r="C1528" s="0" t="n">
        <v>454.3644301</v>
      </c>
      <c r="E1528" s="0" t="n">
        <v>2031</v>
      </c>
      <c r="F1528" s="0" t="n">
        <v>6.086783</v>
      </c>
      <c r="G1528" s="0" t="n">
        <v>127.692198</v>
      </c>
      <c r="I1528" s="0" t="n">
        <v>2027</v>
      </c>
      <c r="J1528" s="0" t="n">
        <v>19.86</v>
      </c>
      <c r="K1528" s="0" t="n">
        <v>417.06</v>
      </c>
      <c r="M1528" s="0" t="n">
        <v>2031</v>
      </c>
      <c r="N1528" s="0" t="n">
        <v>11.75</v>
      </c>
      <c r="O1528" s="0" t="n">
        <v>244.25</v>
      </c>
      <c r="Q1528" s="0" t="n">
        <v>2032</v>
      </c>
      <c r="R1528" s="0" t="n">
        <v>16</v>
      </c>
      <c r="W1528" s="0" t="n">
        <v>2031</v>
      </c>
      <c r="X1528" s="0" t="n">
        <v>1629.84</v>
      </c>
    </row>
    <row r="1529" customFormat="false" ht="15" hidden="false" customHeight="false" outlineLevel="0" collapsed="false">
      <c r="A1529" s="0" t="n">
        <v>2030</v>
      </c>
      <c r="B1529" s="0" t="n">
        <v>6.772949188</v>
      </c>
      <c r="C1529" s="0" t="n">
        <v>142.231933</v>
      </c>
      <c r="E1529" s="0" t="n">
        <v>2031</v>
      </c>
      <c r="F1529" s="0" t="n">
        <v>33.282078</v>
      </c>
      <c r="G1529" s="0" t="n">
        <v>698.211468</v>
      </c>
      <c r="I1529" s="0" t="n">
        <v>2027</v>
      </c>
      <c r="J1529" s="0" t="n">
        <v>33.1</v>
      </c>
      <c r="K1529" s="0" t="n">
        <v>695.1</v>
      </c>
      <c r="M1529" s="0" t="n">
        <v>2031</v>
      </c>
      <c r="N1529" s="0" t="n">
        <v>4.7</v>
      </c>
      <c r="O1529" s="0" t="n">
        <v>97.7</v>
      </c>
      <c r="Q1529" s="0" t="n">
        <v>2032</v>
      </c>
      <c r="R1529" s="0" t="n">
        <v>13</v>
      </c>
      <c r="W1529" s="0" t="n">
        <v>2031</v>
      </c>
      <c r="X1529" s="0" t="n">
        <v>2390.432</v>
      </c>
    </row>
    <row r="1530" customFormat="false" ht="15" hidden="false" customHeight="false" outlineLevel="0" collapsed="false">
      <c r="A1530" s="0" t="n">
        <v>2030</v>
      </c>
      <c r="B1530" s="0" t="n">
        <v>15.14390048</v>
      </c>
      <c r="C1530" s="0" t="n">
        <v>318.0219102</v>
      </c>
      <c r="E1530" s="0" t="n">
        <v>2031</v>
      </c>
      <c r="F1530" s="0" t="n">
        <v>30.433214</v>
      </c>
      <c r="G1530" s="0" t="n">
        <v>638.446284</v>
      </c>
      <c r="I1530" s="0" t="n">
        <v>2027</v>
      </c>
      <c r="J1530" s="0" t="n">
        <v>6.62</v>
      </c>
      <c r="K1530" s="0" t="n">
        <v>139.02</v>
      </c>
      <c r="M1530" s="0" t="n">
        <v>2031</v>
      </c>
      <c r="N1530" s="0" t="n">
        <v>4.7</v>
      </c>
      <c r="O1530" s="0" t="n">
        <v>97.7</v>
      </c>
      <c r="Q1530" s="0" t="n">
        <v>2032</v>
      </c>
      <c r="R1530" s="0" t="n">
        <v>13</v>
      </c>
      <c r="W1530" s="0" t="n">
        <v>2031</v>
      </c>
      <c r="X1530" s="0" t="n">
        <v>1847.152</v>
      </c>
    </row>
    <row r="1531" customFormat="false" ht="15" hidden="false" customHeight="false" outlineLevel="0" collapsed="false">
      <c r="A1531" s="0" t="n">
        <v>2030</v>
      </c>
      <c r="B1531" s="0" t="n">
        <v>564.9461141</v>
      </c>
      <c r="C1531" s="0" t="n">
        <v>11863.8684</v>
      </c>
      <c r="E1531" s="0" t="n">
        <v>2031</v>
      </c>
      <c r="F1531" s="0" t="n">
        <v>1997.719763</v>
      </c>
      <c r="G1531" s="0" t="n">
        <v>41942.34999</v>
      </c>
      <c r="I1531" s="0" t="n">
        <v>2027</v>
      </c>
      <c r="J1531" s="0" t="n">
        <v>6.62</v>
      </c>
      <c r="K1531" s="0" t="n">
        <v>139.02</v>
      </c>
      <c r="M1531" s="0" t="n">
        <v>2031</v>
      </c>
      <c r="N1531" s="0" t="n">
        <v>2.82</v>
      </c>
      <c r="O1531" s="0" t="n">
        <v>58.62</v>
      </c>
      <c r="Q1531" s="0" t="n">
        <v>2033</v>
      </c>
      <c r="R1531" s="0" t="n">
        <v>1474</v>
      </c>
      <c r="W1531" s="0" t="n">
        <v>2031</v>
      </c>
      <c r="X1531" s="0" t="n">
        <v>8865.38</v>
      </c>
    </row>
    <row r="1532" customFormat="false" ht="15" hidden="false" customHeight="false" outlineLevel="0" collapsed="false">
      <c r="A1532" s="0" t="n">
        <v>2030</v>
      </c>
      <c r="B1532" s="0" t="n">
        <v>142.4961157</v>
      </c>
      <c r="C1532" s="0" t="n">
        <v>2992.418429</v>
      </c>
      <c r="E1532" s="0" t="n">
        <v>2031</v>
      </c>
      <c r="F1532" s="0" t="n">
        <v>536.409887</v>
      </c>
      <c r="G1532" s="0" t="n">
        <v>11261.98561</v>
      </c>
      <c r="I1532" s="0" t="n">
        <v>2027</v>
      </c>
      <c r="J1532" s="0" t="n">
        <v>0</v>
      </c>
      <c r="K1532" s="0" t="n">
        <v>0</v>
      </c>
      <c r="M1532" s="0" t="n">
        <v>2031</v>
      </c>
      <c r="N1532" s="0" t="n">
        <v>2.35</v>
      </c>
      <c r="O1532" s="0" t="n">
        <v>48.85</v>
      </c>
      <c r="Q1532" s="0" t="n">
        <v>2033</v>
      </c>
      <c r="R1532" s="0" t="n">
        <v>1400</v>
      </c>
      <c r="W1532" s="0" t="n">
        <v>2031</v>
      </c>
      <c r="X1532" s="0" t="n">
        <v>2216.345</v>
      </c>
    </row>
    <row r="1533" customFormat="false" ht="15" hidden="false" customHeight="false" outlineLevel="0" collapsed="false">
      <c r="A1533" s="0" t="n">
        <v>2030</v>
      </c>
      <c r="B1533" s="0" t="n">
        <v>127.0717036</v>
      </c>
      <c r="C1533" s="0" t="n">
        <v>2668.505776</v>
      </c>
      <c r="E1533" s="0" t="n">
        <v>2031</v>
      </c>
      <c r="F1533" s="0" t="n">
        <v>214.706219</v>
      </c>
      <c r="G1533" s="0" t="n">
        <v>4507.781096</v>
      </c>
      <c r="I1533" s="0" t="n">
        <v>2027</v>
      </c>
      <c r="J1533" s="0" t="n">
        <v>13.24</v>
      </c>
      <c r="K1533" s="0" t="n">
        <v>278.04</v>
      </c>
      <c r="M1533" s="0" t="n">
        <v>2031</v>
      </c>
      <c r="N1533" s="0" t="n">
        <v>1.88</v>
      </c>
      <c r="O1533" s="0" t="n">
        <v>39.08</v>
      </c>
      <c r="Q1533" s="0" t="n">
        <v>2033</v>
      </c>
      <c r="R1533" s="0" t="n">
        <v>663</v>
      </c>
      <c r="W1533" s="0" t="n">
        <v>2031</v>
      </c>
      <c r="X1533" s="0" t="n">
        <v>686.352</v>
      </c>
    </row>
    <row r="1534" customFormat="false" ht="15" hidden="false" customHeight="false" outlineLevel="0" collapsed="false">
      <c r="A1534" s="0" t="n">
        <v>2030</v>
      </c>
      <c r="B1534" s="0" t="n">
        <v>88.37083904</v>
      </c>
      <c r="C1534" s="0" t="n">
        <v>1855.78762</v>
      </c>
      <c r="E1534" s="0" t="n">
        <v>2031</v>
      </c>
      <c r="F1534" s="0" t="n">
        <v>30.159233</v>
      </c>
      <c r="G1534" s="0" t="n">
        <v>633.196472</v>
      </c>
      <c r="I1534" s="0" t="n">
        <v>2027</v>
      </c>
      <c r="J1534" s="0" t="n">
        <v>23.17</v>
      </c>
      <c r="K1534" s="0" t="n">
        <v>486.57</v>
      </c>
      <c r="M1534" s="0" t="n">
        <v>2031</v>
      </c>
      <c r="N1534" s="0" t="n">
        <v>0.94</v>
      </c>
      <c r="O1534" s="0" t="n">
        <v>19.54</v>
      </c>
      <c r="Q1534" s="0" t="n">
        <v>2033</v>
      </c>
      <c r="R1534" s="0" t="n">
        <v>147</v>
      </c>
      <c r="W1534" s="0" t="n">
        <v>2031</v>
      </c>
      <c r="X1534" s="0" t="n">
        <v>1215.415</v>
      </c>
    </row>
    <row r="1535" customFormat="false" ht="15" hidden="false" customHeight="false" outlineLevel="0" collapsed="false">
      <c r="A1535" s="0" t="n">
        <v>2030</v>
      </c>
      <c r="B1535" s="0" t="n">
        <v>65.73318449</v>
      </c>
      <c r="C1535" s="0" t="n">
        <v>1380.396874</v>
      </c>
      <c r="E1535" s="0" t="n">
        <v>2031</v>
      </c>
      <c r="F1535" s="0" t="n">
        <v>720.956873</v>
      </c>
      <c r="G1535" s="0" t="n">
        <v>15136.57023</v>
      </c>
      <c r="I1535" s="0" t="n">
        <v>2027</v>
      </c>
      <c r="J1535" s="0" t="n">
        <v>6.62</v>
      </c>
      <c r="K1535" s="0" t="n">
        <v>139.02</v>
      </c>
      <c r="M1535" s="0" t="n">
        <v>2031</v>
      </c>
      <c r="N1535" s="0" t="n">
        <v>67.26</v>
      </c>
      <c r="O1535" s="0" t="n">
        <v>1410.18</v>
      </c>
      <c r="Q1535" s="0" t="n">
        <v>2033</v>
      </c>
      <c r="R1535" s="0" t="n">
        <v>137</v>
      </c>
      <c r="W1535" s="0" t="n">
        <v>2031</v>
      </c>
      <c r="X1535" s="0" t="n">
        <v>543.362</v>
      </c>
    </row>
    <row r="1536" customFormat="false" ht="15" hidden="false" customHeight="false" outlineLevel="0" collapsed="false">
      <c r="A1536" s="0" t="n">
        <v>2030</v>
      </c>
      <c r="B1536" s="0" t="n">
        <v>29.21474866</v>
      </c>
      <c r="C1536" s="0" t="n">
        <v>613.5097219</v>
      </c>
      <c r="E1536" s="0" t="n">
        <v>2031</v>
      </c>
      <c r="F1536" s="0" t="n">
        <v>33.750821</v>
      </c>
      <c r="G1536" s="0" t="n">
        <v>708.602264</v>
      </c>
      <c r="I1536" s="0" t="n">
        <v>2027</v>
      </c>
      <c r="J1536" s="0" t="n">
        <v>23.17</v>
      </c>
      <c r="K1536" s="0" t="n">
        <v>486.57</v>
      </c>
      <c r="M1536" s="0" t="n">
        <v>2031</v>
      </c>
      <c r="N1536" s="0" t="n">
        <v>44.25</v>
      </c>
      <c r="O1536" s="0" t="n">
        <v>927.75</v>
      </c>
      <c r="Q1536" s="0" t="n">
        <v>2033</v>
      </c>
      <c r="R1536" s="0" t="n">
        <v>137</v>
      </c>
      <c r="W1536" s="0" t="n">
        <v>2031</v>
      </c>
      <c r="X1536" s="0" t="n">
        <v>214.485</v>
      </c>
    </row>
    <row r="1537" customFormat="false" ht="15" hidden="false" customHeight="false" outlineLevel="0" collapsed="false">
      <c r="A1537" s="0" t="n">
        <v>2030</v>
      </c>
      <c r="B1537" s="0" t="n">
        <v>107.9069906</v>
      </c>
      <c r="C1537" s="0" t="n">
        <v>2266.046802</v>
      </c>
      <c r="E1537" s="0" t="n">
        <v>2031</v>
      </c>
      <c r="F1537" s="0" t="n">
        <v>184.546986</v>
      </c>
      <c r="G1537" s="0" t="n">
        <v>3874.584624</v>
      </c>
      <c r="I1537" s="0" t="n">
        <v>2027</v>
      </c>
      <c r="J1537" s="0" t="n">
        <v>44.16</v>
      </c>
      <c r="K1537" s="0" t="n">
        <v>925.44</v>
      </c>
      <c r="M1537" s="0" t="n">
        <v>2031</v>
      </c>
      <c r="N1537" s="0" t="n">
        <v>17.7</v>
      </c>
      <c r="O1537" s="0" t="n">
        <v>371.1</v>
      </c>
      <c r="Q1537" s="0" t="n">
        <v>2033</v>
      </c>
      <c r="R1537" s="0" t="n">
        <v>432</v>
      </c>
      <c r="W1537" s="0" t="n">
        <v>2031</v>
      </c>
      <c r="X1537" s="0" t="n">
        <v>314.578</v>
      </c>
    </row>
    <row r="1538" customFormat="false" ht="15" hidden="false" customHeight="false" outlineLevel="0" collapsed="false">
      <c r="A1538" s="0" t="n">
        <v>2030</v>
      </c>
      <c r="B1538" s="0" t="n">
        <v>33.77865615</v>
      </c>
      <c r="C1538" s="0" t="n">
        <v>709.3517791</v>
      </c>
      <c r="E1538" s="0" t="n">
        <v>2031</v>
      </c>
      <c r="F1538" s="0" t="n">
        <v>168.750218</v>
      </c>
      <c r="G1538" s="0" t="n">
        <v>3542.929712</v>
      </c>
      <c r="I1538" s="0" t="n">
        <v>2027</v>
      </c>
      <c r="J1538" s="0" t="n">
        <v>14.72</v>
      </c>
      <c r="K1538" s="0" t="n">
        <v>308.48</v>
      </c>
      <c r="M1538" s="0" t="n">
        <v>2031</v>
      </c>
      <c r="N1538" s="0" t="n">
        <v>17.7</v>
      </c>
      <c r="O1538" s="0" t="n">
        <v>371.1</v>
      </c>
      <c r="Q1538" s="0" t="n">
        <v>2033</v>
      </c>
      <c r="R1538" s="0" t="n">
        <v>411</v>
      </c>
      <c r="W1538" s="0" t="n">
        <v>2031</v>
      </c>
      <c r="X1538" s="0" t="n">
        <v>243.083</v>
      </c>
    </row>
    <row r="1539" customFormat="false" ht="15" hidden="false" customHeight="false" outlineLevel="0" collapsed="false">
      <c r="A1539" s="0" t="n">
        <v>2030</v>
      </c>
      <c r="B1539" s="0" t="n">
        <v>75.5270109</v>
      </c>
      <c r="C1539" s="0" t="n">
        <v>1586.067229</v>
      </c>
      <c r="E1539" s="0" t="n">
        <v>2031</v>
      </c>
      <c r="F1539" s="0" t="n">
        <v>245.153673</v>
      </c>
      <c r="G1539" s="0" t="n">
        <v>5141.031847</v>
      </c>
      <c r="I1539" s="0" t="n">
        <v>2027</v>
      </c>
      <c r="J1539" s="0" t="n">
        <v>6.44</v>
      </c>
      <c r="K1539" s="0" t="n">
        <v>134.96</v>
      </c>
      <c r="M1539" s="0" t="n">
        <v>2031</v>
      </c>
      <c r="N1539" s="0" t="n">
        <v>10.62</v>
      </c>
      <c r="O1539" s="0" t="n">
        <v>222.66</v>
      </c>
      <c r="Q1539" s="0" t="n">
        <v>2033</v>
      </c>
      <c r="R1539" s="0" t="n">
        <v>195</v>
      </c>
      <c r="W1539" s="0" t="n">
        <v>2031</v>
      </c>
      <c r="X1539" s="0" t="n">
        <v>69146.74</v>
      </c>
    </row>
    <row r="1540" customFormat="false" ht="15" hidden="false" customHeight="false" outlineLevel="0" collapsed="false">
      <c r="A1540" s="0" t="n">
        <v>2030</v>
      </c>
      <c r="B1540" s="0" t="n">
        <v>212.7650807</v>
      </c>
      <c r="C1540" s="0" t="n">
        <v>4468.066694</v>
      </c>
      <c r="E1540" s="0" t="n">
        <v>2031</v>
      </c>
      <c r="F1540" s="0" t="n">
        <v>65.826477</v>
      </c>
      <c r="G1540" s="0" t="n">
        <v>1380.424003</v>
      </c>
      <c r="I1540" s="0" t="n">
        <v>2027</v>
      </c>
      <c r="J1540" s="0" t="n">
        <v>3.68</v>
      </c>
      <c r="K1540" s="0" t="n">
        <v>77.12</v>
      </c>
      <c r="M1540" s="0" t="n">
        <v>2031</v>
      </c>
      <c r="N1540" s="0" t="n">
        <v>8.85</v>
      </c>
      <c r="O1540" s="0" t="n">
        <v>185.55</v>
      </c>
      <c r="Q1540" s="0" t="n">
        <v>2033</v>
      </c>
      <c r="R1540" s="0" t="n">
        <v>43</v>
      </c>
      <c r="W1540" s="0" t="n">
        <v>2031</v>
      </c>
      <c r="X1540" s="0" t="n">
        <v>17286.685</v>
      </c>
    </row>
    <row r="1541" customFormat="false" ht="15" hidden="false" customHeight="false" outlineLevel="0" collapsed="false">
      <c r="A1541" s="0" t="n">
        <v>2030</v>
      </c>
      <c r="B1541" s="0" t="n">
        <v>53.66564489</v>
      </c>
      <c r="C1541" s="0" t="n">
        <v>1126.978543</v>
      </c>
      <c r="E1541" s="0" t="n">
        <v>2031</v>
      </c>
      <c r="F1541" s="0" t="n">
        <v>26.348049</v>
      </c>
      <c r="G1541" s="0" t="n">
        <v>552.535711</v>
      </c>
      <c r="I1541" s="0" t="n">
        <v>2027</v>
      </c>
      <c r="J1541" s="0" t="n">
        <v>3.68</v>
      </c>
      <c r="K1541" s="0" t="n">
        <v>77.12</v>
      </c>
      <c r="M1541" s="0" t="n">
        <v>2031</v>
      </c>
      <c r="N1541" s="0" t="n">
        <v>7.08</v>
      </c>
      <c r="O1541" s="0" t="n">
        <v>148.44</v>
      </c>
      <c r="Q1541" s="0" t="n">
        <v>2033</v>
      </c>
      <c r="R1541" s="0" t="n">
        <v>41</v>
      </c>
      <c r="W1541" s="0" t="n">
        <v>2031</v>
      </c>
      <c r="X1541" s="0" t="n">
        <v>5353.296</v>
      </c>
    </row>
    <row r="1542" customFormat="false" ht="15" hidden="false" customHeight="false" outlineLevel="0" collapsed="false">
      <c r="A1542" s="0" t="n">
        <v>2030</v>
      </c>
      <c r="B1542" s="0" t="n">
        <v>47.8566373</v>
      </c>
      <c r="C1542" s="0" t="n">
        <v>1004.989383</v>
      </c>
      <c r="E1542" s="0" t="n">
        <v>2031</v>
      </c>
      <c r="F1542" s="0" t="n">
        <v>3.701043</v>
      </c>
      <c r="G1542" s="0" t="n">
        <v>77.613277</v>
      </c>
      <c r="I1542" s="0" t="n">
        <v>2027</v>
      </c>
      <c r="J1542" s="0" t="n">
        <v>1.84</v>
      </c>
      <c r="K1542" s="0" t="n">
        <v>38.56</v>
      </c>
      <c r="M1542" s="0" t="n">
        <v>2031</v>
      </c>
      <c r="N1542" s="0" t="n">
        <v>3.54</v>
      </c>
      <c r="O1542" s="0" t="n">
        <v>74.22</v>
      </c>
      <c r="Q1542" s="0" t="n">
        <v>2033</v>
      </c>
      <c r="R1542" s="0" t="n">
        <v>41</v>
      </c>
      <c r="W1542" s="0" t="n">
        <v>2031</v>
      </c>
      <c r="X1542" s="0" t="n">
        <v>9479.795</v>
      </c>
    </row>
    <row r="1543" customFormat="false" ht="15" hidden="false" customHeight="false" outlineLevel="0" collapsed="false">
      <c r="A1543" s="0" t="n">
        <v>2030</v>
      </c>
      <c r="B1543" s="0" t="n">
        <v>33.28145504</v>
      </c>
      <c r="C1543" s="0" t="n">
        <v>698.9105559</v>
      </c>
      <c r="E1543" s="0" t="n">
        <v>2031</v>
      </c>
      <c r="F1543" s="0" t="n">
        <v>88.473483</v>
      </c>
      <c r="G1543" s="0" t="n">
        <v>1855.346437</v>
      </c>
      <c r="I1543" s="0" t="n">
        <v>2027</v>
      </c>
      <c r="J1543" s="0" t="n">
        <v>1.84</v>
      </c>
      <c r="K1543" s="0" t="n">
        <v>38.56</v>
      </c>
      <c r="M1543" s="0" t="n">
        <v>2031</v>
      </c>
      <c r="N1543" s="0" t="n">
        <v>7.6</v>
      </c>
      <c r="O1543" s="0" t="n">
        <v>155.04</v>
      </c>
      <c r="Q1543" s="0" t="n">
        <v>2033</v>
      </c>
      <c r="R1543" s="0" t="n">
        <v>1862</v>
      </c>
      <c r="W1543" s="0" t="n">
        <v>2031</v>
      </c>
      <c r="X1543" s="0" t="n">
        <v>4238.026</v>
      </c>
    </row>
    <row r="1544" customFormat="false" ht="15" hidden="false" customHeight="false" outlineLevel="0" collapsed="false">
      <c r="A1544" s="0" t="n">
        <v>2030</v>
      </c>
      <c r="B1544" s="0" t="n">
        <v>24.75585892</v>
      </c>
      <c r="C1544" s="0" t="n">
        <v>519.8730374</v>
      </c>
      <c r="E1544" s="0" t="n">
        <v>2031</v>
      </c>
      <c r="F1544" s="0" t="n">
        <v>4.141791</v>
      </c>
      <c r="G1544" s="0" t="n">
        <v>86.856049</v>
      </c>
      <c r="I1544" s="0" t="n">
        <v>2027</v>
      </c>
      <c r="J1544" s="0" t="n">
        <v>3.68</v>
      </c>
      <c r="K1544" s="0" t="n">
        <v>77.12</v>
      </c>
      <c r="M1544" s="0" t="n">
        <v>2031</v>
      </c>
      <c r="N1544" s="0" t="n">
        <v>5</v>
      </c>
      <c r="O1544" s="0" t="n">
        <v>102</v>
      </c>
      <c r="Q1544" s="0" t="n">
        <v>2033</v>
      </c>
      <c r="R1544" s="0" t="n">
        <v>1769</v>
      </c>
      <c r="W1544" s="0" t="n">
        <v>2031</v>
      </c>
      <c r="X1544" s="0" t="n">
        <v>1672.905</v>
      </c>
    </row>
    <row r="1545" customFormat="false" ht="15" hidden="false" customHeight="false" outlineLevel="0" collapsed="false">
      <c r="A1545" s="0" t="n">
        <v>2030</v>
      </c>
      <c r="B1545" s="0" t="n">
        <v>11.00260397</v>
      </c>
      <c r="C1545" s="0" t="n">
        <v>231.0546833</v>
      </c>
      <c r="E1545" s="0" t="n">
        <v>2031</v>
      </c>
      <c r="F1545" s="0" t="n">
        <v>22.647006</v>
      </c>
      <c r="G1545" s="0" t="n">
        <v>474.922434</v>
      </c>
      <c r="I1545" s="0" t="n">
        <v>2027</v>
      </c>
      <c r="J1545" s="0" t="n">
        <v>6.44</v>
      </c>
      <c r="K1545" s="0" t="n">
        <v>134.96</v>
      </c>
      <c r="M1545" s="0" t="n">
        <v>2031</v>
      </c>
      <c r="N1545" s="0" t="n">
        <v>2</v>
      </c>
      <c r="O1545" s="0" t="n">
        <v>40.8</v>
      </c>
      <c r="Q1545" s="0" t="n">
        <v>2033</v>
      </c>
      <c r="R1545" s="0" t="n">
        <v>838</v>
      </c>
      <c r="W1545" s="0" t="n">
        <v>2031</v>
      </c>
      <c r="X1545" s="0" t="n">
        <v>2453.594</v>
      </c>
    </row>
    <row r="1546" customFormat="false" ht="15" hidden="false" customHeight="false" outlineLevel="0" collapsed="false">
      <c r="A1546" s="0" t="n">
        <v>2030</v>
      </c>
      <c r="B1546" s="0" t="n">
        <v>40.63899013</v>
      </c>
      <c r="C1546" s="0" t="n">
        <v>853.4187927</v>
      </c>
      <c r="E1546" s="0" t="n">
        <v>2031</v>
      </c>
      <c r="F1546" s="0" t="n">
        <v>20.708478</v>
      </c>
      <c r="G1546" s="0" t="n">
        <v>434.270242</v>
      </c>
      <c r="I1546" s="0" t="n">
        <v>2027</v>
      </c>
      <c r="J1546" s="0" t="n">
        <v>2.76</v>
      </c>
      <c r="K1546" s="0" t="n">
        <v>57.84</v>
      </c>
      <c r="M1546" s="0" t="n">
        <v>2031</v>
      </c>
      <c r="N1546" s="0" t="n">
        <v>2</v>
      </c>
      <c r="O1546" s="0" t="n">
        <v>40.8</v>
      </c>
      <c r="Q1546" s="0" t="n">
        <v>2033</v>
      </c>
      <c r="R1546" s="0" t="n">
        <v>186</v>
      </c>
      <c r="W1546" s="0" t="n">
        <v>2031</v>
      </c>
      <c r="X1546" s="0" t="n">
        <v>1895.959</v>
      </c>
    </row>
    <row r="1547" customFormat="false" ht="15" hidden="false" customHeight="false" outlineLevel="0" collapsed="false">
      <c r="A1547" s="0" t="n">
        <v>2030</v>
      </c>
      <c r="B1547" s="0" t="n">
        <v>12.72142302</v>
      </c>
      <c r="C1547" s="0" t="n">
        <v>267.1498834</v>
      </c>
      <c r="E1547" s="0" t="n">
        <v>2031</v>
      </c>
      <c r="F1547" s="0" t="n">
        <v>161.379986</v>
      </c>
      <c r="G1547" s="0" t="n">
        <v>3385.382063</v>
      </c>
      <c r="I1547" s="0" t="n">
        <v>2027</v>
      </c>
      <c r="J1547" s="0" t="n">
        <v>2.76</v>
      </c>
      <c r="K1547" s="0" t="n">
        <v>57.84</v>
      </c>
      <c r="M1547" s="0" t="n">
        <v>2031</v>
      </c>
      <c r="N1547" s="0" t="n">
        <v>1.2</v>
      </c>
      <c r="O1547" s="0" t="n">
        <v>24.48</v>
      </c>
      <c r="Q1547" s="0" t="n">
        <v>2033</v>
      </c>
      <c r="R1547" s="0" t="n">
        <v>178</v>
      </c>
      <c r="W1547" s="0" t="n">
        <v>2031</v>
      </c>
      <c r="X1547" s="0" t="n">
        <v>118941.42</v>
      </c>
    </row>
    <row r="1548" customFormat="false" ht="15" hidden="false" customHeight="false" outlineLevel="0" collapsed="false">
      <c r="A1548" s="0" t="n">
        <v>2030</v>
      </c>
      <c r="B1548" s="0" t="n">
        <v>28.44432445</v>
      </c>
      <c r="C1548" s="0" t="n">
        <v>597.3308134</v>
      </c>
      <c r="E1548" s="0" t="n">
        <v>2031</v>
      </c>
      <c r="F1548" s="0" t="n">
        <v>43.332314</v>
      </c>
      <c r="G1548" s="0" t="n">
        <v>909.012587</v>
      </c>
      <c r="I1548" s="0" t="n">
        <v>2027</v>
      </c>
      <c r="J1548" s="0" t="n">
        <v>8.32</v>
      </c>
      <c r="K1548" s="0" t="n">
        <v>175.76</v>
      </c>
      <c r="M1548" s="0" t="n">
        <v>2031</v>
      </c>
      <c r="N1548" s="0" t="n">
        <v>1</v>
      </c>
      <c r="O1548" s="0" t="n">
        <v>20.4</v>
      </c>
      <c r="Q1548" s="0" t="n">
        <v>2033</v>
      </c>
      <c r="R1548" s="0" t="n">
        <v>178</v>
      </c>
      <c r="W1548" s="0" t="n">
        <v>2031</v>
      </c>
      <c r="X1548" s="0" t="n">
        <v>29735.355</v>
      </c>
    </row>
    <row r="1549" customFormat="false" ht="15" hidden="false" customHeight="false" outlineLevel="0" collapsed="false">
      <c r="A1549" s="0" t="n">
        <v>2030</v>
      </c>
      <c r="B1549" s="0" t="n">
        <v>361.1523877</v>
      </c>
      <c r="C1549" s="0" t="n">
        <v>7584.200142</v>
      </c>
      <c r="E1549" s="0" t="n">
        <v>2031</v>
      </c>
      <c r="F1549" s="0" t="n">
        <v>17.344418</v>
      </c>
      <c r="G1549" s="0" t="n">
        <v>363.846119</v>
      </c>
      <c r="I1549" s="0" t="n">
        <v>2027</v>
      </c>
      <c r="J1549" s="0" t="n">
        <v>1.28</v>
      </c>
      <c r="K1549" s="0" t="n">
        <v>27.04</v>
      </c>
      <c r="M1549" s="0" t="n">
        <v>2031</v>
      </c>
      <c r="N1549" s="0" t="n">
        <v>0.8</v>
      </c>
      <c r="O1549" s="0" t="n">
        <v>16.32</v>
      </c>
      <c r="Q1549" s="0" t="n">
        <v>2033</v>
      </c>
      <c r="R1549" s="0" t="n">
        <v>1184</v>
      </c>
      <c r="W1549" s="0" t="n">
        <v>2031</v>
      </c>
      <c r="X1549" s="0" t="n">
        <v>9208.368</v>
      </c>
    </row>
    <row r="1550" customFormat="false" ht="15" hidden="false" customHeight="false" outlineLevel="0" collapsed="false">
      <c r="A1550" s="0" t="n">
        <v>2030</v>
      </c>
      <c r="B1550" s="0" t="n">
        <v>91.0933116</v>
      </c>
      <c r="C1550" s="0" t="n">
        <v>1912.959544</v>
      </c>
      <c r="E1550" s="0" t="n">
        <v>2031</v>
      </c>
      <c r="F1550" s="0" t="n">
        <v>2.436326</v>
      </c>
      <c r="G1550" s="0" t="n">
        <v>51.108533</v>
      </c>
      <c r="I1550" s="0" t="n">
        <v>2027</v>
      </c>
      <c r="J1550" s="0" t="n">
        <v>0.96</v>
      </c>
      <c r="K1550" s="0" t="n">
        <v>20.28</v>
      </c>
      <c r="M1550" s="0" t="n">
        <v>2031</v>
      </c>
      <c r="N1550" s="0" t="n">
        <v>0.4</v>
      </c>
      <c r="O1550" s="0" t="n">
        <v>8.16</v>
      </c>
      <c r="Q1550" s="0" t="n">
        <v>2033</v>
      </c>
      <c r="R1550" s="0" t="n">
        <v>1124</v>
      </c>
      <c r="W1550" s="0" t="n">
        <v>2031</v>
      </c>
      <c r="X1550" s="0" t="n">
        <v>16306.485</v>
      </c>
    </row>
    <row r="1551" customFormat="false" ht="15" hidden="false" customHeight="false" outlineLevel="0" collapsed="false">
      <c r="A1551" s="0" t="n">
        <v>2030</v>
      </c>
      <c r="B1551" s="0" t="n">
        <v>81.23296724</v>
      </c>
      <c r="C1551" s="0" t="n">
        <v>1705.892312</v>
      </c>
      <c r="E1551" s="0" t="n">
        <v>2031</v>
      </c>
      <c r="F1551" s="0" t="n">
        <v>58.240406</v>
      </c>
      <c r="G1551" s="0" t="n">
        <v>1221.750173</v>
      </c>
      <c r="I1551" s="0" t="n">
        <v>2027</v>
      </c>
      <c r="J1551" s="0" t="n">
        <v>1.6</v>
      </c>
      <c r="K1551" s="0" t="n">
        <v>33.8</v>
      </c>
      <c r="M1551" s="0" t="n">
        <v>2031</v>
      </c>
      <c r="N1551" s="0" t="n">
        <v>20.9</v>
      </c>
      <c r="O1551" s="0" t="n">
        <v>432.44</v>
      </c>
      <c r="Q1551" s="0" t="n">
        <v>2033</v>
      </c>
      <c r="R1551" s="0" t="n">
        <v>533</v>
      </c>
      <c r="W1551" s="0" t="n">
        <v>2031</v>
      </c>
      <c r="X1551" s="0" t="n">
        <v>7289.958</v>
      </c>
    </row>
    <row r="1552" customFormat="false" ht="15" hidden="false" customHeight="false" outlineLevel="0" collapsed="false">
      <c r="A1552" s="0" t="n">
        <v>2030</v>
      </c>
      <c r="B1552" s="0" t="n">
        <v>56.49271449</v>
      </c>
      <c r="C1552" s="0" t="n">
        <v>1186.347004</v>
      </c>
      <c r="E1552" s="0" t="n">
        <v>2031</v>
      </c>
      <c r="F1552" s="0" t="n">
        <v>2.726462</v>
      </c>
      <c r="G1552" s="0" t="n">
        <v>57.194921</v>
      </c>
      <c r="I1552" s="0" t="n">
        <v>2027</v>
      </c>
      <c r="J1552" s="0" t="n">
        <v>0.32</v>
      </c>
      <c r="K1552" s="0" t="n">
        <v>6.76</v>
      </c>
      <c r="M1552" s="0" t="n">
        <v>2031</v>
      </c>
      <c r="N1552" s="0" t="n">
        <v>13.75</v>
      </c>
      <c r="O1552" s="0" t="n">
        <v>284.5</v>
      </c>
      <c r="Q1552" s="0" t="n">
        <v>2033</v>
      </c>
      <c r="R1552" s="0" t="n">
        <v>118</v>
      </c>
      <c r="W1552" s="0" t="n">
        <v>2031</v>
      </c>
      <c r="X1552" s="0" t="n">
        <v>2877.615</v>
      </c>
    </row>
    <row r="1553" customFormat="false" ht="15" hidden="false" customHeight="false" outlineLevel="0" collapsed="false">
      <c r="A1553" s="0" t="n">
        <v>2030</v>
      </c>
      <c r="B1553" s="0" t="n">
        <v>42.02116969</v>
      </c>
      <c r="C1553" s="0" t="n">
        <v>882.4445636</v>
      </c>
      <c r="E1553" s="0" t="n">
        <v>2031</v>
      </c>
      <c r="F1553" s="0" t="n">
        <v>14.908092</v>
      </c>
      <c r="G1553" s="0" t="n">
        <v>312.737586</v>
      </c>
      <c r="I1553" s="0" t="n">
        <v>2027</v>
      </c>
      <c r="J1553" s="0" t="n">
        <v>0.32</v>
      </c>
      <c r="K1553" s="0" t="n">
        <v>6.76</v>
      </c>
      <c r="M1553" s="0" t="n">
        <v>2031</v>
      </c>
      <c r="N1553" s="0" t="n">
        <v>5.5</v>
      </c>
      <c r="O1553" s="0" t="n">
        <v>113.8</v>
      </c>
      <c r="Q1553" s="0" t="n">
        <v>2033</v>
      </c>
      <c r="R1553" s="0" t="n">
        <v>112</v>
      </c>
      <c r="W1553" s="0" t="n">
        <v>2031</v>
      </c>
      <c r="X1553" s="0" t="n">
        <v>4220.502</v>
      </c>
    </row>
    <row r="1554" customFormat="false" ht="15" hidden="false" customHeight="false" outlineLevel="0" collapsed="false">
      <c r="A1554" s="0" t="n">
        <v>2030</v>
      </c>
      <c r="B1554" s="0" t="n">
        <v>18.67607542</v>
      </c>
      <c r="C1554" s="0" t="n">
        <v>392.1975838</v>
      </c>
      <c r="E1554" s="0" t="n">
        <v>2031</v>
      </c>
      <c r="F1554" s="0" t="n">
        <v>13.631996</v>
      </c>
      <c r="G1554" s="0" t="n">
        <v>285.968018</v>
      </c>
      <c r="I1554" s="0" t="n">
        <v>2027</v>
      </c>
      <c r="J1554" s="0" t="n">
        <v>0</v>
      </c>
      <c r="K1554" s="0" t="n">
        <v>0</v>
      </c>
      <c r="M1554" s="0" t="n">
        <v>2031</v>
      </c>
      <c r="N1554" s="0" t="n">
        <v>5.5</v>
      </c>
      <c r="O1554" s="0" t="n">
        <v>113.8</v>
      </c>
      <c r="Q1554" s="0" t="n">
        <v>2033</v>
      </c>
      <c r="R1554" s="0" t="n">
        <v>112</v>
      </c>
      <c r="W1554" s="0" t="n">
        <v>2031</v>
      </c>
      <c r="X1554" s="0" t="n">
        <v>3261.297</v>
      </c>
    </row>
    <row r="1555" customFormat="false" ht="15" hidden="false" customHeight="false" outlineLevel="0" collapsed="false">
      <c r="A1555" s="0" t="n">
        <v>2030</v>
      </c>
      <c r="B1555" s="0" t="n">
        <v>68.98156536</v>
      </c>
      <c r="C1555" s="0" t="n">
        <v>1448.612873</v>
      </c>
      <c r="E1555" s="0" t="n">
        <v>2031</v>
      </c>
      <c r="F1555" s="0" t="n">
        <v>226.651509</v>
      </c>
      <c r="G1555" s="0" t="n">
        <v>4750.430607</v>
      </c>
      <c r="I1555" s="0" t="n">
        <v>2027</v>
      </c>
      <c r="J1555" s="0" t="n">
        <v>0.64</v>
      </c>
      <c r="K1555" s="0" t="n">
        <v>13.52</v>
      </c>
      <c r="M1555" s="0" t="n">
        <v>2031</v>
      </c>
      <c r="N1555" s="0" t="n">
        <v>3.3</v>
      </c>
      <c r="O1555" s="0" t="n">
        <v>68.28</v>
      </c>
      <c r="Q1555" s="0" t="n">
        <v>2033</v>
      </c>
      <c r="R1555" s="0" t="n">
        <v>339</v>
      </c>
      <c r="W1555" s="0" t="n">
        <v>2031</v>
      </c>
      <c r="X1555" s="0" t="n">
        <v>53081.3</v>
      </c>
    </row>
    <row r="1556" customFormat="false" ht="15" hidden="false" customHeight="false" outlineLevel="0" collapsed="false">
      <c r="A1556" s="0" t="n">
        <v>2030</v>
      </c>
      <c r="B1556" s="0" t="n">
        <v>21.59363878</v>
      </c>
      <c r="C1556" s="0" t="n">
        <v>453.4664145</v>
      </c>
      <c r="E1556" s="0" t="n">
        <v>2031</v>
      </c>
      <c r="F1556" s="0" t="n">
        <v>60.858441</v>
      </c>
      <c r="G1556" s="0" t="n">
        <v>1275.543243</v>
      </c>
      <c r="I1556" s="0" t="n">
        <v>2027</v>
      </c>
      <c r="J1556" s="0" t="n">
        <v>1.12</v>
      </c>
      <c r="K1556" s="0" t="n">
        <v>23.66</v>
      </c>
      <c r="M1556" s="0" t="n">
        <v>2031</v>
      </c>
      <c r="N1556" s="0" t="n">
        <v>2.75</v>
      </c>
      <c r="O1556" s="0" t="n">
        <v>56.9</v>
      </c>
      <c r="Q1556" s="0" t="n">
        <v>2033</v>
      </c>
      <c r="R1556" s="0" t="n">
        <v>322</v>
      </c>
      <c r="W1556" s="0" t="n">
        <v>2031</v>
      </c>
      <c r="X1556" s="0" t="n">
        <v>13270.325</v>
      </c>
    </row>
    <row r="1557" customFormat="false" ht="15" hidden="false" customHeight="false" outlineLevel="0" collapsed="false">
      <c r="A1557" s="0" t="n">
        <v>2030</v>
      </c>
      <c r="B1557" s="0" t="n">
        <v>48.28205671</v>
      </c>
      <c r="C1557" s="0" t="n">
        <v>1013.923191</v>
      </c>
      <c r="E1557" s="0" t="n">
        <v>2031</v>
      </c>
      <c r="F1557" s="0" t="n">
        <v>24.359517</v>
      </c>
      <c r="G1557" s="0" t="n">
        <v>510.555591</v>
      </c>
      <c r="I1557" s="0" t="n">
        <v>2027</v>
      </c>
      <c r="J1557" s="0" t="n">
        <v>0.32</v>
      </c>
      <c r="K1557" s="0" t="n">
        <v>6.76</v>
      </c>
      <c r="M1557" s="0" t="n">
        <v>2031</v>
      </c>
      <c r="N1557" s="0" t="n">
        <v>2.2</v>
      </c>
      <c r="O1557" s="0" t="n">
        <v>45.52</v>
      </c>
      <c r="Q1557" s="0" t="n">
        <v>2033</v>
      </c>
      <c r="R1557" s="0" t="n">
        <v>152</v>
      </c>
      <c r="W1557" s="0" t="n">
        <v>2031</v>
      </c>
      <c r="X1557" s="0" t="n">
        <v>4109.52</v>
      </c>
    </row>
    <row r="1558" customFormat="false" ht="15" hidden="false" customHeight="false" outlineLevel="0" collapsed="false">
      <c r="A1558" s="0" t="n">
        <v>2030</v>
      </c>
      <c r="B1558" s="0" t="n">
        <v>142.3787148</v>
      </c>
      <c r="C1558" s="0" t="n">
        <v>2989.953012</v>
      </c>
      <c r="E1558" s="0" t="n">
        <v>2031</v>
      </c>
      <c r="F1558" s="0" t="n">
        <v>3.421719</v>
      </c>
      <c r="G1558" s="0" t="n">
        <v>71.716437</v>
      </c>
      <c r="I1558" s="0" t="n">
        <v>2027</v>
      </c>
      <c r="J1558" s="0" t="n">
        <v>1.12</v>
      </c>
      <c r="K1558" s="0" t="n">
        <v>23.66</v>
      </c>
      <c r="M1558" s="0" t="n">
        <v>2031</v>
      </c>
      <c r="N1558" s="0" t="n">
        <v>1.1</v>
      </c>
      <c r="O1558" s="0" t="n">
        <v>22.76</v>
      </c>
      <c r="Q1558" s="0" t="n">
        <v>2033</v>
      </c>
      <c r="R1558" s="0" t="n">
        <v>34</v>
      </c>
      <c r="W1558" s="0" t="n">
        <v>2031</v>
      </c>
      <c r="X1558" s="0" t="n">
        <v>7277.275</v>
      </c>
    </row>
    <row r="1559" customFormat="false" ht="15" hidden="false" customHeight="false" outlineLevel="0" collapsed="false">
      <c r="A1559" s="0" t="n">
        <v>2030</v>
      </c>
      <c r="B1559" s="0" t="n">
        <v>35.91212208</v>
      </c>
      <c r="C1559" s="0" t="n">
        <v>754.1545636</v>
      </c>
      <c r="E1559" s="0" t="n">
        <v>2031</v>
      </c>
      <c r="F1559" s="0" t="n">
        <v>81.796239</v>
      </c>
      <c r="G1559" s="0" t="n">
        <v>1714.382397</v>
      </c>
      <c r="I1559" s="0" t="n">
        <v>2027</v>
      </c>
      <c r="J1559" s="0" t="n">
        <v>28.32</v>
      </c>
      <c r="K1559" s="0" t="n">
        <v>596.64</v>
      </c>
      <c r="M1559" s="0" t="n">
        <v>2031</v>
      </c>
      <c r="N1559" s="0" t="n">
        <v>12.92</v>
      </c>
      <c r="O1559" s="0" t="n">
        <v>269.42</v>
      </c>
      <c r="Q1559" s="0" t="n">
        <v>2033</v>
      </c>
      <c r="R1559" s="0" t="n">
        <v>31</v>
      </c>
      <c r="W1559" s="0" t="n">
        <v>2031</v>
      </c>
      <c r="X1559" s="0" t="n">
        <v>3253.37</v>
      </c>
    </row>
    <row r="1560" customFormat="false" ht="15" hidden="false" customHeight="false" outlineLevel="0" collapsed="false">
      <c r="A1560" s="0" t="n">
        <v>2030</v>
      </c>
      <c r="B1560" s="0" t="n">
        <v>32.02483459</v>
      </c>
      <c r="C1560" s="0" t="n">
        <v>672.5215263</v>
      </c>
      <c r="E1560" s="0" t="n">
        <v>2031</v>
      </c>
      <c r="F1560" s="0" t="n">
        <v>3.829203</v>
      </c>
      <c r="G1560" s="0" t="n">
        <v>80.256969</v>
      </c>
      <c r="I1560" s="0" t="n">
        <v>2027</v>
      </c>
      <c r="J1560" s="0" t="n">
        <v>9.44</v>
      </c>
      <c r="K1560" s="0" t="n">
        <v>198.88</v>
      </c>
      <c r="M1560" s="0" t="n">
        <v>2031</v>
      </c>
      <c r="N1560" s="0" t="n">
        <v>8.5</v>
      </c>
      <c r="O1560" s="0" t="n">
        <v>177.25</v>
      </c>
      <c r="Q1560" s="0" t="n">
        <v>2033</v>
      </c>
      <c r="R1560" s="0" t="n">
        <v>31</v>
      </c>
      <c r="W1560" s="0" t="n">
        <v>2031</v>
      </c>
      <c r="X1560" s="0" t="n">
        <v>1284.225</v>
      </c>
    </row>
    <row r="1561" customFormat="false" ht="15" hidden="false" customHeight="false" outlineLevel="0" collapsed="false">
      <c r="A1561" s="0" t="n">
        <v>2030</v>
      </c>
      <c r="B1561" s="0" t="n">
        <v>22.27137452</v>
      </c>
      <c r="C1561" s="0" t="n">
        <v>467.698865</v>
      </c>
      <c r="E1561" s="0" t="n">
        <v>2031</v>
      </c>
      <c r="F1561" s="0" t="n">
        <v>20.937798</v>
      </c>
      <c r="G1561" s="0" t="n">
        <v>438.839154</v>
      </c>
      <c r="I1561" s="0" t="n">
        <v>2027</v>
      </c>
      <c r="J1561" s="0" t="n">
        <v>4.13</v>
      </c>
      <c r="K1561" s="0" t="n">
        <v>87.01</v>
      </c>
      <c r="M1561" s="0" t="n">
        <v>2031</v>
      </c>
      <c r="N1561" s="0" t="n">
        <v>3.4</v>
      </c>
      <c r="O1561" s="0" t="n">
        <v>70.9</v>
      </c>
      <c r="Q1561" s="0" t="n">
        <v>2033</v>
      </c>
      <c r="R1561" s="0" t="n">
        <v>468</v>
      </c>
      <c r="W1561" s="0" t="n">
        <v>2031</v>
      </c>
      <c r="X1561" s="0" t="n">
        <v>1883.53</v>
      </c>
    </row>
    <row r="1562" customFormat="false" ht="15" hidden="false" customHeight="false" outlineLevel="0" collapsed="false">
      <c r="A1562" s="0" t="n">
        <v>2030</v>
      </c>
      <c r="B1562" s="0" t="n">
        <v>16.56619294</v>
      </c>
      <c r="C1562" s="0" t="n">
        <v>347.8900518</v>
      </c>
      <c r="E1562" s="0" t="n">
        <v>2031</v>
      </c>
      <c r="F1562" s="0" t="n">
        <v>19.145574</v>
      </c>
      <c r="G1562" s="0" t="n">
        <v>401.275602</v>
      </c>
      <c r="I1562" s="0" t="n">
        <v>2027</v>
      </c>
      <c r="J1562" s="0" t="n">
        <v>2.36</v>
      </c>
      <c r="K1562" s="0" t="n">
        <v>49.72</v>
      </c>
      <c r="M1562" s="0" t="n">
        <v>2031</v>
      </c>
      <c r="N1562" s="0" t="n">
        <v>3.4</v>
      </c>
      <c r="O1562" s="0" t="n">
        <v>70.9</v>
      </c>
      <c r="Q1562" s="0" t="n">
        <v>2033</v>
      </c>
      <c r="R1562" s="0" t="n">
        <v>445</v>
      </c>
      <c r="W1562" s="0" t="n">
        <v>2031</v>
      </c>
      <c r="X1562" s="0" t="n">
        <v>1455.455</v>
      </c>
    </row>
    <row r="1563" customFormat="false" ht="15" hidden="false" customHeight="false" outlineLevel="0" collapsed="false">
      <c r="A1563" s="0" t="n">
        <v>2030</v>
      </c>
      <c r="B1563" s="0" t="n">
        <v>7.36275242</v>
      </c>
      <c r="C1563" s="0" t="n">
        <v>154.6178008</v>
      </c>
      <c r="E1563" s="0" t="n">
        <v>2031</v>
      </c>
      <c r="F1563" s="0" t="n">
        <v>179.368201</v>
      </c>
      <c r="G1563" s="0" t="n">
        <v>3763.134578</v>
      </c>
      <c r="I1563" s="0" t="n">
        <v>2027</v>
      </c>
      <c r="J1563" s="0" t="n">
        <v>2.36</v>
      </c>
      <c r="K1563" s="0" t="n">
        <v>49.72</v>
      </c>
      <c r="M1563" s="0" t="n">
        <v>2031</v>
      </c>
      <c r="N1563" s="0" t="n">
        <v>2.04</v>
      </c>
      <c r="O1563" s="0" t="n">
        <v>42.54</v>
      </c>
      <c r="Q1563" s="0" t="n">
        <v>2033</v>
      </c>
      <c r="R1563" s="0" t="n">
        <v>211</v>
      </c>
      <c r="W1563" s="0" t="n">
        <v>2031</v>
      </c>
      <c r="X1563" s="0" t="n">
        <v>184719.7</v>
      </c>
    </row>
    <row r="1564" customFormat="false" ht="15" hidden="false" customHeight="false" outlineLevel="0" collapsed="false">
      <c r="A1564" s="0" t="n">
        <v>2030</v>
      </c>
      <c r="B1564" s="0" t="n">
        <v>27.19490984</v>
      </c>
      <c r="C1564" s="0" t="n">
        <v>571.0931067</v>
      </c>
      <c r="E1564" s="0" t="n">
        <v>2031</v>
      </c>
      <c r="F1564" s="0" t="n">
        <v>48.162349</v>
      </c>
      <c r="G1564" s="0" t="n">
        <v>1010.443322</v>
      </c>
      <c r="I1564" s="0" t="n">
        <v>2027</v>
      </c>
      <c r="J1564" s="0" t="n">
        <v>1.18</v>
      </c>
      <c r="K1564" s="0" t="n">
        <v>24.86</v>
      </c>
      <c r="M1564" s="0" t="n">
        <v>2031</v>
      </c>
      <c r="N1564" s="0" t="n">
        <v>1.7</v>
      </c>
      <c r="O1564" s="0" t="n">
        <v>35.45</v>
      </c>
      <c r="Q1564" s="0" t="n">
        <v>2033</v>
      </c>
      <c r="R1564" s="0" t="n">
        <v>47</v>
      </c>
      <c r="W1564" s="0" t="n">
        <v>2031</v>
      </c>
      <c r="X1564" s="0" t="n">
        <v>46179.925</v>
      </c>
    </row>
    <row r="1565" customFormat="false" ht="15" hidden="false" customHeight="false" outlineLevel="0" collapsed="false">
      <c r="A1565" s="0" t="n">
        <v>2030</v>
      </c>
      <c r="B1565" s="0" t="n">
        <v>8.512956423</v>
      </c>
      <c r="C1565" s="0" t="n">
        <v>178.7720849</v>
      </c>
      <c r="E1565" s="0" t="n">
        <v>2031</v>
      </c>
      <c r="F1565" s="0" t="n">
        <v>19.277713</v>
      </c>
      <c r="G1565" s="0" t="n">
        <v>404.445314</v>
      </c>
      <c r="I1565" s="0" t="n">
        <v>2027</v>
      </c>
      <c r="J1565" s="0" t="n">
        <v>1.18</v>
      </c>
      <c r="K1565" s="0" t="n">
        <v>24.86</v>
      </c>
      <c r="M1565" s="0" t="n">
        <v>2031</v>
      </c>
      <c r="N1565" s="0" t="n">
        <v>1.36</v>
      </c>
      <c r="O1565" s="0" t="n">
        <v>28.36</v>
      </c>
      <c r="Q1565" s="0" t="n">
        <v>2033</v>
      </c>
      <c r="R1565" s="0" t="n">
        <v>45</v>
      </c>
      <c r="W1565" s="0" t="n">
        <v>2031</v>
      </c>
      <c r="X1565" s="0" t="n">
        <v>14300.88</v>
      </c>
    </row>
    <row r="1566" customFormat="false" ht="15" hidden="false" customHeight="false" outlineLevel="0" collapsed="false">
      <c r="A1566" s="0" t="n">
        <v>2030</v>
      </c>
      <c r="B1566" s="0" t="n">
        <v>19.03445033</v>
      </c>
      <c r="C1566" s="0" t="n">
        <v>399.7234569</v>
      </c>
      <c r="E1566" s="0" t="n">
        <v>2031</v>
      </c>
      <c r="F1566" s="0" t="n">
        <v>2.707891</v>
      </c>
      <c r="G1566" s="0" t="n">
        <v>56.811398</v>
      </c>
      <c r="I1566" s="0" t="n">
        <v>2027</v>
      </c>
      <c r="J1566" s="0" t="n">
        <v>2.36</v>
      </c>
      <c r="K1566" s="0" t="n">
        <v>49.72</v>
      </c>
      <c r="M1566" s="0" t="n">
        <v>2031</v>
      </c>
      <c r="N1566" s="0" t="n">
        <v>0.68</v>
      </c>
      <c r="O1566" s="0" t="n">
        <v>14.18</v>
      </c>
      <c r="Q1566" s="0" t="n">
        <v>2033</v>
      </c>
      <c r="R1566" s="0" t="n">
        <v>45</v>
      </c>
      <c r="W1566" s="0" t="n">
        <v>2031</v>
      </c>
      <c r="X1566" s="0" t="n">
        <v>25324.475</v>
      </c>
    </row>
    <row r="1567" customFormat="false" ht="15" hidden="false" customHeight="false" outlineLevel="0" collapsed="false">
      <c r="A1567" s="0" t="n">
        <v>2030</v>
      </c>
      <c r="B1567" s="0" t="n">
        <v>278.6934587</v>
      </c>
      <c r="C1567" s="0" t="n">
        <v>5852.562634</v>
      </c>
      <c r="E1567" s="0" t="n">
        <v>2031</v>
      </c>
      <c r="F1567" s="0" t="n">
        <v>64.732171</v>
      </c>
      <c r="G1567" s="0" t="n">
        <v>1358.077238</v>
      </c>
      <c r="I1567" s="0" t="n">
        <v>2027</v>
      </c>
      <c r="J1567" s="0" t="n">
        <v>4.13</v>
      </c>
      <c r="K1567" s="0" t="n">
        <v>87.01</v>
      </c>
      <c r="M1567" s="0" t="n">
        <v>2031</v>
      </c>
      <c r="N1567" s="0" t="n">
        <v>2.28</v>
      </c>
      <c r="O1567" s="0" t="n">
        <v>45.98</v>
      </c>
      <c r="Q1567" s="0" t="n">
        <v>2033</v>
      </c>
      <c r="R1567" s="0" t="n">
        <v>258</v>
      </c>
      <c r="W1567" s="0" t="n">
        <v>2031</v>
      </c>
      <c r="X1567" s="0" t="n">
        <v>11321.53</v>
      </c>
    </row>
    <row r="1568" customFormat="false" ht="15" hidden="false" customHeight="false" outlineLevel="0" collapsed="false">
      <c r="A1568" s="0" t="n">
        <v>2030</v>
      </c>
      <c r="B1568" s="0" t="n">
        <v>70.29473137</v>
      </c>
      <c r="C1568" s="0" t="n">
        <v>1476.189359</v>
      </c>
      <c r="E1568" s="0" t="n">
        <v>2031</v>
      </c>
      <c r="F1568" s="0" t="n">
        <v>3.030367</v>
      </c>
      <c r="G1568" s="0" t="n">
        <v>63.576926</v>
      </c>
      <c r="I1568" s="0" t="n">
        <v>2027</v>
      </c>
      <c r="J1568" s="0" t="n">
        <v>1.77</v>
      </c>
      <c r="K1568" s="0" t="n">
        <v>37.29</v>
      </c>
      <c r="M1568" s="0" t="n">
        <v>2031</v>
      </c>
      <c r="N1568" s="0" t="n">
        <v>1.5</v>
      </c>
      <c r="O1568" s="0" t="n">
        <v>30.25</v>
      </c>
      <c r="Q1568" s="0" t="n">
        <v>2033</v>
      </c>
      <c r="R1568" s="0" t="n">
        <v>246</v>
      </c>
      <c r="W1568" s="0" t="n">
        <v>2031</v>
      </c>
      <c r="X1568" s="0" t="n">
        <v>4469.025</v>
      </c>
    </row>
    <row r="1569" customFormat="false" ht="15" hidden="false" customHeight="false" outlineLevel="0" collapsed="false">
      <c r="A1569" s="0" t="n">
        <v>2030</v>
      </c>
      <c r="B1569" s="0" t="n">
        <v>62.68571764</v>
      </c>
      <c r="C1569" s="0" t="n">
        <v>1316.400071</v>
      </c>
      <c r="E1569" s="0" t="n">
        <v>2031</v>
      </c>
      <c r="F1569" s="0" t="n">
        <v>16.569822</v>
      </c>
      <c r="G1569" s="0" t="n">
        <v>347.633916</v>
      </c>
      <c r="I1569" s="0" t="n">
        <v>2027</v>
      </c>
      <c r="J1569" s="0" t="n">
        <v>1.77</v>
      </c>
      <c r="K1569" s="0" t="n">
        <v>37.29</v>
      </c>
      <c r="M1569" s="0" t="n">
        <v>2031</v>
      </c>
      <c r="N1569" s="0" t="n">
        <v>0.6</v>
      </c>
      <c r="O1569" s="0" t="n">
        <v>12.1</v>
      </c>
      <c r="Q1569" s="0" t="n">
        <v>2033</v>
      </c>
      <c r="R1569" s="0" t="n">
        <v>116</v>
      </c>
      <c r="W1569" s="0" t="n">
        <v>2031</v>
      </c>
      <c r="X1569" s="0" t="n">
        <v>6554.57</v>
      </c>
    </row>
    <row r="1570" customFormat="false" ht="15" hidden="false" customHeight="false" outlineLevel="0" collapsed="false">
      <c r="A1570" s="0" t="n">
        <v>2030</v>
      </c>
      <c r="B1570" s="0" t="n">
        <v>43.59420159</v>
      </c>
      <c r="C1570" s="0" t="n">
        <v>915.4782333</v>
      </c>
      <c r="E1570" s="0" t="n">
        <v>2031</v>
      </c>
      <c r="F1570" s="0" t="n">
        <v>15.151486</v>
      </c>
      <c r="G1570" s="0" t="n">
        <v>317.877308</v>
      </c>
      <c r="I1570" s="0" t="n">
        <v>2027</v>
      </c>
      <c r="J1570" s="0" t="n">
        <v>21.32</v>
      </c>
      <c r="K1570" s="0" t="n">
        <v>450.84</v>
      </c>
      <c r="M1570" s="0" t="n">
        <v>2031</v>
      </c>
      <c r="N1570" s="0" t="n">
        <v>0.6</v>
      </c>
      <c r="O1570" s="0" t="n">
        <v>12.1</v>
      </c>
      <c r="Q1570" s="0" t="n">
        <v>2033</v>
      </c>
      <c r="R1570" s="0" t="n">
        <v>26</v>
      </c>
      <c r="W1570" s="0" t="n">
        <v>2031</v>
      </c>
      <c r="X1570" s="0" t="n">
        <v>5064.895</v>
      </c>
    </row>
    <row r="1571" customFormat="false" ht="15" hidden="false" customHeight="false" outlineLevel="0" collapsed="false">
      <c r="A1571" s="0" t="n">
        <v>2030</v>
      </c>
      <c r="B1571" s="0" t="n">
        <v>32.42682458</v>
      </c>
      <c r="C1571" s="0" t="n">
        <v>680.9633161</v>
      </c>
      <c r="E1571" s="0" t="n">
        <v>2031</v>
      </c>
      <c r="F1571" s="0" t="n">
        <v>263.655837</v>
      </c>
      <c r="G1571" s="0" t="n">
        <v>5530.605189</v>
      </c>
      <c r="I1571" s="0" t="n">
        <v>2027</v>
      </c>
      <c r="J1571" s="0" t="n">
        <v>3.28</v>
      </c>
      <c r="K1571" s="0" t="n">
        <v>69.36</v>
      </c>
      <c r="M1571" s="0" t="n">
        <v>2031</v>
      </c>
      <c r="N1571" s="0" t="n">
        <v>0.36</v>
      </c>
      <c r="O1571" s="0" t="n">
        <v>7.26</v>
      </c>
      <c r="Q1571" s="0" t="n">
        <v>2033</v>
      </c>
      <c r="R1571" s="0" t="n">
        <v>24</v>
      </c>
      <c r="W1571" s="0" t="n">
        <v>2031</v>
      </c>
      <c r="X1571" s="0" t="n">
        <v>5289.84</v>
      </c>
    </row>
    <row r="1572" customFormat="false" ht="15" hidden="false" customHeight="false" outlineLevel="0" collapsed="false">
      <c r="A1572" s="0" t="n">
        <v>2030</v>
      </c>
      <c r="B1572" s="0" t="n">
        <v>14.41192203</v>
      </c>
      <c r="C1572" s="0" t="n">
        <v>302.6503627</v>
      </c>
      <c r="E1572" s="0" t="n">
        <v>2031</v>
      </c>
      <c r="F1572" s="0" t="n">
        <v>70.794513</v>
      </c>
      <c r="G1572" s="0" t="n">
        <v>1485.028761</v>
      </c>
      <c r="I1572" s="0" t="n">
        <v>2027</v>
      </c>
      <c r="J1572" s="0" t="n">
        <v>2.46</v>
      </c>
      <c r="K1572" s="0" t="n">
        <v>52.02</v>
      </c>
      <c r="M1572" s="0" t="n">
        <v>2031</v>
      </c>
      <c r="N1572" s="0" t="n">
        <v>0.3</v>
      </c>
      <c r="O1572" s="0" t="n">
        <v>6.05</v>
      </c>
      <c r="Q1572" s="0" t="n">
        <v>2033</v>
      </c>
      <c r="R1572" s="0" t="n">
        <v>24</v>
      </c>
      <c r="W1572" s="0" t="n">
        <v>2031</v>
      </c>
      <c r="X1572" s="0" t="n">
        <v>1322.46</v>
      </c>
    </row>
    <row r="1573" customFormat="false" ht="15" hidden="false" customHeight="false" outlineLevel="0" collapsed="false">
      <c r="A1573" s="0" t="n">
        <v>2030</v>
      </c>
      <c r="B1573" s="0" t="n">
        <v>53.23157674</v>
      </c>
      <c r="C1573" s="0" t="n">
        <v>1117.863111</v>
      </c>
      <c r="E1573" s="0" t="n">
        <v>2031</v>
      </c>
      <c r="F1573" s="0" t="n">
        <v>28.336581</v>
      </c>
      <c r="G1573" s="0" t="n">
        <v>594.405357</v>
      </c>
      <c r="I1573" s="0" t="n">
        <v>2027</v>
      </c>
      <c r="J1573" s="0" t="n">
        <v>4.1</v>
      </c>
      <c r="K1573" s="0" t="n">
        <v>86.7</v>
      </c>
      <c r="M1573" s="0" t="n">
        <v>2031</v>
      </c>
      <c r="N1573" s="0" t="n">
        <v>0.24</v>
      </c>
      <c r="O1573" s="0" t="n">
        <v>4.84</v>
      </c>
      <c r="Q1573" s="0" t="n">
        <v>2033</v>
      </c>
      <c r="R1573" s="0" t="n">
        <v>924</v>
      </c>
      <c r="W1573" s="0" t="n">
        <v>2031</v>
      </c>
      <c r="X1573" s="0" t="n">
        <v>409.536</v>
      </c>
    </row>
    <row r="1574" customFormat="false" ht="15" hidden="false" customHeight="false" outlineLevel="0" collapsed="false">
      <c r="A1574" s="0" t="n">
        <v>2030</v>
      </c>
      <c r="B1574" s="0" t="n">
        <v>16.66334236</v>
      </c>
      <c r="C1574" s="0" t="n">
        <v>349.9301895</v>
      </c>
      <c r="E1574" s="0" t="n">
        <v>2031</v>
      </c>
      <c r="F1574" s="0" t="n">
        <v>3.980367</v>
      </c>
      <c r="G1574" s="0" t="n">
        <v>83.494599</v>
      </c>
      <c r="I1574" s="0" t="n">
        <v>2027</v>
      </c>
      <c r="J1574" s="0" t="n">
        <v>0.82</v>
      </c>
      <c r="K1574" s="0" t="n">
        <v>17.34</v>
      </c>
      <c r="M1574" s="0" t="n">
        <v>2031</v>
      </c>
      <c r="N1574" s="0" t="n">
        <v>0.12</v>
      </c>
      <c r="O1574" s="0" t="n">
        <v>2.42</v>
      </c>
      <c r="Q1574" s="0" t="n">
        <v>2033</v>
      </c>
      <c r="R1574" s="0" t="n">
        <v>878</v>
      </c>
      <c r="W1574" s="0" t="n">
        <v>2031</v>
      </c>
      <c r="X1574" s="0" t="n">
        <v>725.22</v>
      </c>
    </row>
    <row r="1575" customFormat="false" ht="15" hidden="false" customHeight="false" outlineLevel="0" collapsed="false">
      <c r="A1575" s="0" t="n">
        <v>2030</v>
      </c>
      <c r="B1575" s="0" t="n">
        <v>37.2582152</v>
      </c>
      <c r="C1575" s="0" t="n">
        <v>782.4225191</v>
      </c>
      <c r="E1575" s="0" t="n">
        <v>2031</v>
      </c>
      <c r="F1575" s="0" t="n">
        <v>95.150727</v>
      </c>
      <c r="G1575" s="0" t="n">
        <v>1995.939519</v>
      </c>
      <c r="I1575" s="0" t="n">
        <v>2027</v>
      </c>
      <c r="J1575" s="0" t="n">
        <v>0.82</v>
      </c>
      <c r="K1575" s="0" t="n">
        <v>17.34</v>
      </c>
      <c r="M1575" s="0" t="n">
        <v>2031</v>
      </c>
      <c r="N1575" s="0" t="n">
        <v>10.26</v>
      </c>
      <c r="O1575" s="0" t="n">
        <v>208.62</v>
      </c>
      <c r="Q1575" s="0" t="n">
        <v>2033</v>
      </c>
      <c r="R1575" s="0" t="n">
        <v>416</v>
      </c>
      <c r="W1575" s="0" t="n">
        <v>2031</v>
      </c>
      <c r="X1575" s="0" t="n">
        <v>324.216</v>
      </c>
    </row>
    <row r="1576" customFormat="false" ht="15" hidden="false" customHeight="false" outlineLevel="0" collapsed="false">
      <c r="A1576" s="0" t="n">
        <v>2030</v>
      </c>
      <c r="B1576" s="0" t="n">
        <v>183.358975</v>
      </c>
      <c r="C1576" s="0" t="n">
        <v>3850.538476</v>
      </c>
      <c r="E1576" s="0" t="n">
        <v>2031</v>
      </c>
      <c r="F1576" s="0" t="n">
        <v>4.454379</v>
      </c>
      <c r="G1576" s="0" t="n">
        <v>93.437763</v>
      </c>
      <c r="I1576" s="0" t="n">
        <v>2027</v>
      </c>
      <c r="J1576" s="0" t="n">
        <v>0</v>
      </c>
      <c r="K1576" s="0" t="n">
        <v>0</v>
      </c>
      <c r="M1576" s="0" t="n">
        <v>2031</v>
      </c>
      <c r="N1576" s="0" t="n">
        <v>6.75</v>
      </c>
      <c r="O1576" s="0" t="n">
        <v>137.25</v>
      </c>
      <c r="Q1576" s="0" t="n">
        <v>2033</v>
      </c>
      <c r="R1576" s="0" t="n">
        <v>92</v>
      </c>
      <c r="W1576" s="0" t="n">
        <v>2031</v>
      </c>
      <c r="X1576" s="0" t="n">
        <v>127.98</v>
      </c>
    </row>
    <row r="1577" customFormat="false" ht="15" hidden="false" customHeight="false" outlineLevel="0" collapsed="false">
      <c r="A1577" s="0" t="n">
        <v>2030</v>
      </c>
      <c r="B1577" s="0" t="n">
        <v>46.2485555</v>
      </c>
      <c r="C1577" s="0" t="n">
        <v>971.2196655</v>
      </c>
      <c r="E1577" s="0" t="n">
        <v>2031</v>
      </c>
      <c r="F1577" s="0" t="n">
        <v>24.356214</v>
      </c>
      <c r="G1577" s="0" t="n">
        <v>510.910758</v>
      </c>
      <c r="I1577" s="0" t="n">
        <v>2027</v>
      </c>
      <c r="J1577" s="0" t="n">
        <v>1.64</v>
      </c>
      <c r="K1577" s="0" t="n">
        <v>34.68</v>
      </c>
      <c r="M1577" s="0" t="n">
        <v>2031</v>
      </c>
      <c r="N1577" s="0" t="n">
        <v>2.7</v>
      </c>
      <c r="O1577" s="0" t="n">
        <v>54.9</v>
      </c>
      <c r="Q1577" s="0" t="n">
        <v>2033</v>
      </c>
      <c r="R1577" s="0" t="n">
        <v>88</v>
      </c>
      <c r="W1577" s="0" t="n">
        <v>2031</v>
      </c>
      <c r="X1577" s="0" t="n">
        <v>187.704</v>
      </c>
    </row>
    <row r="1578" customFormat="false" ht="15" hidden="false" customHeight="false" outlineLevel="0" collapsed="false">
      <c r="A1578" s="0" t="n">
        <v>2030</v>
      </c>
      <c r="B1578" s="0" t="n">
        <v>41.24240658</v>
      </c>
      <c r="C1578" s="0" t="n">
        <v>866.0905382</v>
      </c>
      <c r="E1578" s="0" t="n">
        <v>2031</v>
      </c>
      <c r="F1578" s="0" t="n">
        <v>22.271382</v>
      </c>
      <c r="G1578" s="0" t="n">
        <v>467.178054</v>
      </c>
      <c r="I1578" s="0" t="n">
        <v>2027</v>
      </c>
      <c r="J1578" s="0" t="n">
        <v>2.87</v>
      </c>
      <c r="K1578" s="0" t="n">
        <v>60.69</v>
      </c>
      <c r="M1578" s="0" t="n">
        <v>2031</v>
      </c>
      <c r="N1578" s="0" t="n">
        <v>2.7</v>
      </c>
      <c r="O1578" s="0" t="n">
        <v>54.9</v>
      </c>
      <c r="Q1578" s="0" t="n">
        <v>2033</v>
      </c>
      <c r="R1578" s="0" t="n">
        <v>88</v>
      </c>
      <c r="W1578" s="0" t="n">
        <v>2031</v>
      </c>
      <c r="X1578" s="0" t="n">
        <v>145.044</v>
      </c>
    </row>
    <row r="1579" customFormat="false" ht="15" hidden="false" customHeight="false" outlineLevel="0" collapsed="false">
      <c r="A1579" s="0" t="n">
        <v>2030</v>
      </c>
      <c r="B1579" s="0" t="n">
        <v>28.68164957</v>
      </c>
      <c r="C1579" s="0" t="n">
        <v>602.3146409</v>
      </c>
      <c r="E1579" s="0" t="n">
        <v>2031</v>
      </c>
      <c r="F1579" s="0" t="n">
        <v>748.309744</v>
      </c>
      <c r="G1579" s="0" t="n">
        <v>15709.87908</v>
      </c>
      <c r="I1579" s="0" t="n">
        <v>2027</v>
      </c>
      <c r="J1579" s="0" t="n">
        <v>0.82</v>
      </c>
      <c r="K1579" s="0" t="n">
        <v>17.34</v>
      </c>
      <c r="M1579" s="0" t="n">
        <v>2031</v>
      </c>
      <c r="N1579" s="0" t="n">
        <v>1.62</v>
      </c>
      <c r="O1579" s="0" t="n">
        <v>32.94</v>
      </c>
      <c r="Q1579" s="0" t="n">
        <v>2033</v>
      </c>
      <c r="R1579" s="0" t="n">
        <v>428</v>
      </c>
      <c r="W1579" s="0" t="n">
        <v>2031</v>
      </c>
      <c r="X1579" s="0" t="n">
        <v>7715.9</v>
      </c>
    </row>
    <row r="1580" customFormat="false" ht="15" hidden="false" customHeight="false" outlineLevel="0" collapsed="false">
      <c r="A1580" s="0" t="n">
        <v>2030</v>
      </c>
      <c r="B1580" s="0" t="n">
        <v>21.33436983</v>
      </c>
      <c r="C1580" s="0" t="n">
        <v>448.0217665</v>
      </c>
      <c r="E1580" s="0" t="n">
        <v>2031</v>
      </c>
      <c r="F1580" s="0" t="n">
        <v>200.929456</v>
      </c>
      <c r="G1580" s="0" t="n">
        <v>4218.276567</v>
      </c>
      <c r="I1580" s="0" t="n">
        <v>2027</v>
      </c>
      <c r="J1580" s="0" t="n">
        <v>2.87</v>
      </c>
      <c r="K1580" s="0" t="n">
        <v>60.69</v>
      </c>
      <c r="M1580" s="0" t="n">
        <v>2031</v>
      </c>
      <c r="N1580" s="0" t="n">
        <v>1.35</v>
      </c>
      <c r="O1580" s="0" t="n">
        <v>27.45</v>
      </c>
      <c r="Q1580" s="0" t="n">
        <v>2033</v>
      </c>
      <c r="R1580" s="0" t="n">
        <v>407</v>
      </c>
      <c r="W1580" s="0" t="n">
        <v>2031</v>
      </c>
      <c r="X1580" s="0" t="n">
        <v>1928.975</v>
      </c>
    </row>
    <row r="1581" customFormat="false" ht="15" hidden="false" customHeight="false" outlineLevel="0" collapsed="false">
      <c r="A1581" s="0" t="n">
        <v>2030</v>
      </c>
      <c r="B1581" s="0" t="n">
        <v>9.481942148</v>
      </c>
      <c r="C1581" s="0" t="n">
        <v>199.1207851</v>
      </c>
      <c r="E1581" s="0" t="n">
        <v>2031</v>
      </c>
      <c r="F1581" s="0" t="n">
        <v>80.425072</v>
      </c>
      <c r="G1581" s="0" t="n">
        <v>1688.429379</v>
      </c>
      <c r="I1581" s="0" t="n">
        <v>2027</v>
      </c>
      <c r="J1581" s="0" t="n">
        <v>124.8</v>
      </c>
      <c r="K1581" s="0" t="n">
        <v>2619.36</v>
      </c>
      <c r="M1581" s="0" t="n">
        <v>2031</v>
      </c>
      <c r="N1581" s="0" t="n">
        <v>1.08</v>
      </c>
      <c r="O1581" s="0" t="n">
        <v>21.96</v>
      </c>
      <c r="Q1581" s="0" t="n">
        <v>2033</v>
      </c>
      <c r="R1581" s="0" t="n">
        <v>193</v>
      </c>
      <c r="W1581" s="0" t="n">
        <v>2031</v>
      </c>
      <c r="X1581" s="0" t="n">
        <v>597.36</v>
      </c>
    </row>
    <row r="1582" customFormat="false" ht="15" hidden="false" customHeight="false" outlineLevel="0" collapsed="false">
      <c r="A1582" s="0" t="n">
        <v>2030</v>
      </c>
      <c r="B1582" s="0" t="n">
        <v>35.02230513</v>
      </c>
      <c r="C1582" s="0" t="n">
        <v>735.4684078</v>
      </c>
      <c r="E1582" s="0" t="n">
        <v>2031</v>
      </c>
      <c r="F1582" s="0" t="n">
        <v>11.297104</v>
      </c>
      <c r="G1582" s="0" t="n">
        <v>237.169353</v>
      </c>
      <c r="I1582" s="0" t="n">
        <v>2027</v>
      </c>
      <c r="J1582" s="0" t="n">
        <v>41.6</v>
      </c>
      <c r="K1582" s="0" t="n">
        <v>873.12</v>
      </c>
      <c r="M1582" s="0" t="n">
        <v>2031</v>
      </c>
      <c r="N1582" s="0" t="n">
        <v>0.54</v>
      </c>
      <c r="O1582" s="0" t="n">
        <v>10.98</v>
      </c>
      <c r="Q1582" s="0" t="n">
        <v>2033</v>
      </c>
      <c r="R1582" s="0" t="n">
        <v>43</v>
      </c>
      <c r="W1582" s="0" t="n">
        <v>2031</v>
      </c>
      <c r="X1582" s="0" t="n">
        <v>1057.825</v>
      </c>
    </row>
    <row r="1583" customFormat="false" ht="15" hidden="false" customHeight="false" outlineLevel="0" collapsed="false">
      <c r="A1583" s="0" t="n">
        <v>2030</v>
      </c>
      <c r="B1583" s="0" t="n">
        <v>10.96320448</v>
      </c>
      <c r="C1583" s="0" t="n">
        <v>230.2272941</v>
      </c>
      <c r="E1583" s="0" t="n">
        <v>2031</v>
      </c>
      <c r="F1583" s="0" t="n">
        <v>270.057424</v>
      </c>
      <c r="G1583" s="0" t="n">
        <v>5669.536593</v>
      </c>
      <c r="I1583" s="0" t="n">
        <v>2027</v>
      </c>
      <c r="J1583" s="0" t="n">
        <v>18.2</v>
      </c>
      <c r="K1583" s="0" t="n">
        <v>381.99</v>
      </c>
      <c r="M1583" s="0" t="n">
        <v>2031</v>
      </c>
      <c r="N1583" s="0" t="n">
        <v>34.58</v>
      </c>
      <c r="O1583" s="0" t="n">
        <v>725.8</v>
      </c>
      <c r="Q1583" s="0" t="n">
        <v>2033</v>
      </c>
      <c r="R1583" s="0" t="n">
        <v>40</v>
      </c>
      <c r="W1583" s="0" t="n">
        <v>2031</v>
      </c>
      <c r="X1583" s="0" t="n">
        <v>472.91</v>
      </c>
    </row>
    <row r="1584" customFormat="false" ht="15" hidden="false" customHeight="false" outlineLevel="0" collapsed="false">
      <c r="A1584" s="0" t="n">
        <v>2030</v>
      </c>
      <c r="B1584" s="0" t="n">
        <v>24.51305524</v>
      </c>
      <c r="C1584" s="0" t="n">
        <v>514.7741601</v>
      </c>
      <c r="E1584" s="0" t="n">
        <v>2031</v>
      </c>
      <c r="F1584" s="0" t="n">
        <v>12.642448</v>
      </c>
      <c r="G1584" s="0" t="n">
        <v>265.413261</v>
      </c>
      <c r="I1584" s="0" t="n">
        <v>2027</v>
      </c>
      <c r="J1584" s="0" t="n">
        <v>10.4</v>
      </c>
      <c r="K1584" s="0" t="n">
        <v>218.28</v>
      </c>
      <c r="M1584" s="0" t="n">
        <v>2031</v>
      </c>
      <c r="N1584" s="0" t="n">
        <v>22.75</v>
      </c>
      <c r="O1584" s="0" t="n">
        <v>477.5</v>
      </c>
      <c r="Q1584" s="0" t="n">
        <v>2033</v>
      </c>
      <c r="R1584" s="0" t="n">
        <v>40</v>
      </c>
      <c r="W1584" s="0" t="n">
        <v>2031</v>
      </c>
      <c r="X1584" s="0" t="n">
        <v>186.675</v>
      </c>
    </row>
    <row r="1585" customFormat="false" ht="15" hidden="false" customHeight="false" outlineLevel="0" collapsed="false">
      <c r="A1585" s="0" t="n">
        <v>2030</v>
      </c>
      <c r="B1585" s="0" t="n">
        <v>124.8513468</v>
      </c>
      <c r="C1585" s="0" t="n">
        <v>2621.878283</v>
      </c>
      <c r="E1585" s="0" t="n">
        <v>2031</v>
      </c>
      <c r="F1585" s="0" t="n">
        <v>69.127968</v>
      </c>
      <c r="G1585" s="0" t="n">
        <v>1451.260026</v>
      </c>
      <c r="I1585" s="0" t="n">
        <v>2027</v>
      </c>
      <c r="J1585" s="0" t="n">
        <v>10.4</v>
      </c>
      <c r="K1585" s="0" t="n">
        <v>218.28</v>
      </c>
      <c r="M1585" s="0" t="n">
        <v>2031</v>
      </c>
      <c r="N1585" s="0" t="n">
        <v>9.1</v>
      </c>
      <c r="O1585" s="0" t="n">
        <v>191</v>
      </c>
      <c r="Q1585" s="0" t="n">
        <v>2033</v>
      </c>
      <c r="R1585" s="0" t="n">
        <v>56</v>
      </c>
      <c r="W1585" s="0" t="n">
        <v>2031</v>
      </c>
      <c r="X1585" s="0" t="n">
        <v>273.79</v>
      </c>
    </row>
    <row r="1586" customFormat="false" ht="15" hidden="false" customHeight="false" outlineLevel="0" collapsed="false">
      <c r="A1586" s="0" t="n">
        <v>2030</v>
      </c>
      <c r="B1586" s="0" t="n">
        <v>31.49120156</v>
      </c>
      <c r="C1586" s="0" t="n">
        <v>661.3152329</v>
      </c>
      <c r="E1586" s="0" t="n">
        <v>2031</v>
      </c>
      <c r="F1586" s="0" t="n">
        <v>63.210784</v>
      </c>
      <c r="G1586" s="0" t="n">
        <v>1327.035738</v>
      </c>
      <c r="I1586" s="0" t="n">
        <v>2027</v>
      </c>
      <c r="J1586" s="0" t="n">
        <v>5.2</v>
      </c>
      <c r="K1586" s="0" t="n">
        <v>109.14</v>
      </c>
      <c r="M1586" s="0" t="n">
        <v>2031</v>
      </c>
      <c r="N1586" s="0" t="n">
        <v>9.1</v>
      </c>
      <c r="O1586" s="0" t="n">
        <v>191</v>
      </c>
      <c r="Q1586" s="0" t="n">
        <v>2033</v>
      </c>
      <c r="R1586" s="0" t="n">
        <v>53</v>
      </c>
      <c r="W1586" s="0" t="n">
        <v>2031</v>
      </c>
      <c r="X1586" s="0" t="n">
        <v>211.565</v>
      </c>
    </row>
    <row r="1587" customFormat="false" ht="15" hidden="false" customHeight="false" outlineLevel="0" collapsed="false">
      <c r="A1587" s="0" t="n">
        <v>2030</v>
      </c>
      <c r="B1587" s="0" t="n">
        <v>28.08245413</v>
      </c>
      <c r="C1587" s="0" t="n">
        <v>589.7315368</v>
      </c>
      <c r="E1587" s="0" t="n">
        <v>2031</v>
      </c>
      <c r="F1587" s="0" t="n">
        <v>236.930489</v>
      </c>
      <c r="G1587" s="0" t="n">
        <v>4967.317085</v>
      </c>
      <c r="I1587" s="0" t="n">
        <v>2027</v>
      </c>
      <c r="J1587" s="0" t="n">
        <v>5.2</v>
      </c>
      <c r="K1587" s="0" t="n">
        <v>109.14</v>
      </c>
      <c r="M1587" s="0" t="n">
        <v>2031</v>
      </c>
      <c r="N1587" s="0" t="n">
        <v>5.46</v>
      </c>
      <c r="O1587" s="0" t="n">
        <v>114.6</v>
      </c>
      <c r="Q1587" s="0" t="n">
        <v>2033</v>
      </c>
      <c r="R1587" s="0" t="n">
        <v>25</v>
      </c>
      <c r="W1587" s="0" t="n">
        <v>2031</v>
      </c>
      <c r="X1587" s="0" t="n">
        <v>7661.96</v>
      </c>
    </row>
    <row r="1588" customFormat="false" ht="15" hidden="false" customHeight="false" outlineLevel="0" collapsed="false">
      <c r="A1588" s="0" t="n">
        <v>2030</v>
      </c>
      <c r="B1588" s="0" t="n">
        <v>19.52968256</v>
      </c>
      <c r="C1588" s="0" t="n">
        <v>410.1233337</v>
      </c>
      <c r="E1588" s="0" t="n">
        <v>2031</v>
      </c>
      <c r="F1588" s="0" t="n">
        <v>63.618461</v>
      </c>
      <c r="G1588" s="0" t="n">
        <v>1333.779665</v>
      </c>
      <c r="I1588" s="0" t="n">
        <v>2027</v>
      </c>
      <c r="J1588" s="0" t="n">
        <v>10.4</v>
      </c>
      <c r="K1588" s="0" t="n">
        <v>218.28</v>
      </c>
      <c r="M1588" s="0" t="n">
        <v>2031</v>
      </c>
      <c r="N1588" s="0" t="n">
        <v>4.55</v>
      </c>
      <c r="O1588" s="0" t="n">
        <v>95.5</v>
      </c>
      <c r="Q1588" s="0" t="n">
        <v>2033</v>
      </c>
      <c r="R1588" s="0" t="n">
        <v>6</v>
      </c>
      <c r="W1588" s="0" t="n">
        <v>2031</v>
      </c>
      <c r="X1588" s="0" t="n">
        <v>1915.49</v>
      </c>
    </row>
    <row r="1589" customFormat="false" ht="15" hidden="false" customHeight="false" outlineLevel="0" collapsed="false">
      <c r="A1589" s="0" t="n">
        <v>2030</v>
      </c>
      <c r="B1589" s="0" t="n">
        <v>14.5268308</v>
      </c>
      <c r="C1589" s="0" t="n">
        <v>305.0634468</v>
      </c>
      <c r="E1589" s="0" t="n">
        <v>2031</v>
      </c>
      <c r="F1589" s="0" t="n">
        <v>25.464257</v>
      </c>
      <c r="G1589" s="0" t="n">
        <v>533.865605</v>
      </c>
      <c r="I1589" s="0" t="n">
        <v>2027</v>
      </c>
      <c r="J1589" s="0" t="n">
        <v>18.2</v>
      </c>
      <c r="K1589" s="0" t="n">
        <v>381.99</v>
      </c>
      <c r="M1589" s="0" t="n">
        <v>2031</v>
      </c>
      <c r="N1589" s="0" t="n">
        <v>3.64</v>
      </c>
      <c r="O1589" s="0" t="n">
        <v>76.4</v>
      </c>
      <c r="Q1589" s="0" t="n">
        <v>2033</v>
      </c>
      <c r="R1589" s="0" t="n">
        <v>5</v>
      </c>
      <c r="W1589" s="0" t="n">
        <v>2031</v>
      </c>
      <c r="X1589" s="0" t="n">
        <v>593.184</v>
      </c>
    </row>
    <row r="1590" customFormat="false" ht="15" hidden="false" customHeight="false" outlineLevel="0" collapsed="false">
      <c r="A1590" s="0" t="n">
        <v>2030</v>
      </c>
      <c r="B1590" s="0" t="n">
        <v>6.456369245</v>
      </c>
      <c r="C1590" s="0" t="n">
        <v>135.5837542</v>
      </c>
      <c r="E1590" s="0" t="n">
        <v>2031</v>
      </c>
      <c r="F1590" s="0" t="n">
        <v>3.576899</v>
      </c>
      <c r="G1590" s="0" t="n">
        <v>74.990735</v>
      </c>
      <c r="I1590" s="0" t="n">
        <v>2027</v>
      </c>
      <c r="J1590" s="0" t="n">
        <v>7.8</v>
      </c>
      <c r="K1590" s="0" t="n">
        <v>163.71</v>
      </c>
      <c r="M1590" s="0" t="n">
        <v>2031</v>
      </c>
      <c r="N1590" s="0" t="n">
        <v>1.82</v>
      </c>
      <c r="O1590" s="0" t="n">
        <v>38.2</v>
      </c>
      <c r="Q1590" s="0" t="n">
        <v>2033</v>
      </c>
      <c r="R1590" s="0" t="n">
        <v>5</v>
      </c>
      <c r="W1590" s="0" t="n">
        <v>2031</v>
      </c>
      <c r="X1590" s="0" t="n">
        <v>1050.43</v>
      </c>
    </row>
    <row r="1591" customFormat="false" ht="15" hidden="false" customHeight="false" outlineLevel="0" collapsed="false">
      <c r="A1591" s="0" t="n">
        <v>2030</v>
      </c>
      <c r="B1591" s="0" t="n">
        <v>23.84711172</v>
      </c>
      <c r="C1591" s="0" t="n">
        <v>500.7893462</v>
      </c>
      <c r="E1591" s="0" t="n">
        <v>2031</v>
      </c>
      <c r="F1591" s="0" t="n">
        <v>85.505819</v>
      </c>
      <c r="G1591" s="0" t="n">
        <v>1792.654535</v>
      </c>
      <c r="I1591" s="0" t="n">
        <v>2027</v>
      </c>
      <c r="J1591" s="0" t="n">
        <v>7.8</v>
      </c>
      <c r="K1591" s="0" t="n">
        <v>163.71</v>
      </c>
      <c r="M1591" s="0" t="n">
        <v>2031</v>
      </c>
      <c r="N1591" s="0" t="n">
        <v>1480.48</v>
      </c>
      <c r="O1591" s="0" t="n">
        <v>31088.56</v>
      </c>
      <c r="Q1591" s="0" t="n">
        <v>2033</v>
      </c>
      <c r="R1591" s="0" t="n">
        <v>466</v>
      </c>
      <c r="W1591" s="0" t="n">
        <v>2031</v>
      </c>
      <c r="X1591" s="0" t="n">
        <v>469.604</v>
      </c>
    </row>
    <row r="1592" customFormat="false" ht="15" hidden="false" customHeight="false" outlineLevel="0" collapsed="false">
      <c r="A1592" s="0" t="n">
        <v>2030</v>
      </c>
      <c r="B1592" s="0" t="n">
        <v>7.464978707</v>
      </c>
      <c r="C1592" s="0" t="n">
        <v>156.7645528</v>
      </c>
      <c r="E1592" s="0" t="n">
        <v>2031</v>
      </c>
      <c r="F1592" s="0" t="n">
        <v>4.002863</v>
      </c>
      <c r="G1592" s="0" t="n">
        <v>83.921195</v>
      </c>
      <c r="I1592" s="0" t="n">
        <v>2027</v>
      </c>
      <c r="J1592" s="0" t="n">
        <v>45.24</v>
      </c>
      <c r="K1592" s="0" t="n">
        <v>949.52</v>
      </c>
      <c r="M1592" s="0" t="n">
        <v>2031</v>
      </c>
      <c r="N1592" s="0" t="n">
        <v>974</v>
      </c>
      <c r="O1592" s="0" t="n">
        <v>20453</v>
      </c>
      <c r="Q1592" s="0" t="n">
        <v>2033</v>
      </c>
      <c r="R1592" s="0" t="n">
        <v>442</v>
      </c>
      <c r="W1592" s="0" t="n">
        <v>2031</v>
      </c>
      <c r="X1592" s="0" t="n">
        <v>185.37</v>
      </c>
    </row>
    <row r="1593" customFormat="false" ht="15" hidden="false" customHeight="false" outlineLevel="0" collapsed="false">
      <c r="A1593" s="0" t="n">
        <v>2030</v>
      </c>
      <c r="B1593" s="0" t="n">
        <v>16.6912362</v>
      </c>
      <c r="C1593" s="0" t="n">
        <v>350.5159601</v>
      </c>
      <c r="E1593" s="0" t="n">
        <v>2031</v>
      </c>
      <c r="F1593" s="0" t="n">
        <v>21.887358</v>
      </c>
      <c r="G1593" s="0" t="n">
        <v>458.87487</v>
      </c>
      <c r="I1593" s="0" t="n">
        <v>2027</v>
      </c>
      <c r="J1593" s="0" t="n">
        <v>6.96</v>
      </c>
      <c r="K1593" s="0" t="n">
        <v>146.08</v>
      </c>
      <c r="M1593" s="0" t="n">
        <v>2031</v>
      </c>
      <c r="N1593" s="0" t="n">
        <v>389.6</v>
      </c>
      <c r="O1593" s="0" t="n">
        <v>8181.2</v>
      </c>
      <c r="Q1593" s="0" t="n">
        <v>2033</v>
      </c>
      <c r="R1593" s="0" t="n">
        <v>210</v>
      </c>
      <c r="W1593" s="0" t="n">
        <v>2031</v>
      </c>
      <c r="X1593" s="0" t="n">
        <v>271.876</v>
      </c>
    </row>
    <row r="1594" customFormat="false" ht="15" hidden="false" customHeight="false" outlineLevel="0" collapsed="false">
      <c r="A1594" s="0" t="n">
        <v>2030</v>
      </c>
      <c r="B1594" s="0" t="n">
        <v>84.50794198</v>
      </c>
      <c r="C1594" s="0" t="n">
        <v>1774.666782</v>
      </c>
      <c r="E1594" s="0" t="n">
        <v>2031</v>
      </c>
      <c r="F1594" s="0" t="n">
        <v>20.013854</v>
      </c>
      <c r="G1594" s="0" t="n">
        <v>419.59631</v>
      </c>
      <c r="I1594" s="0" t="n">
        <v>2027</v>
      </c>
      <c r="J1594" s="0" t="n">
        <v>5.22</v>
      </c>
      <c r="K1594" s="0" t="n">
        <v>109.56</v>
      </c>
      <c r="M1594" s="0" t="n">
        <v>2031</v>
      </c>
      <c r="N1594" s="0" t="n">
        <v>389.6</v>
      </c>
      <c r="O1594" s="0" t="n">
        <v>8181.2</v>
      </c>
      <c r="Q1594" s="0" t="n">
        <v>2033</v>
      </c>
      <c r="R1594" s="0" t="n">
        <v>47</v>
      </c>
      <c r="W1594" s="0" t="n">
        <v>2031</v>
      </c>
      <c r="X1594" s="0" t="n">
        <v>210.086</v>
      </c>
    </row>
    <row r="1595" customFormat="false" ht="15" hidden="false" customHeight="false" outlineLevel="0" collapsed="false">
      <c r="A1595" s="0" t="n">
        <v>2030</v>
      </c>
      <c r="B1595" s="0" t="n">
        <v>21.3154019</v>
      </c>
      <c r="C1595" s="0" t="n">
        <v>447.6234399</v>
      </c>
      <c r="E1595" s="0" t="n">
        <v>2031</v>
      </c>
      <c r="F1595" s="0" t="n">
        <v>578.192625</v>
      </c>
      <c r="G1595" s="0" t="n">
        <v>12134.84984</v>
      </c>
      <c r="I1595" s="0" t="n">
        <v>2027</v>
      </c>
      <c r="J1595" s="0" t="n">
        <v>8.7</v>
      </c>
      <c r="K1595" s="0" t="n">
        <v>182.6</v>
      </c>
      <c r="M1595" s="0" t="n">
        <v>2031</v>
      </c>
      <c r="N1595" s="0" t="n">
        <v>233.76</v>
      </c>
      <c r="O1595" s="0" t="n">
        <v>4908.72</v>
      </c>
      <c r="Q1595" s="0" t="n">
        <v>2033</v>
      </c>
      <c r="R1595" s="0" t="n">
        <v>44</v>
      </c>
      <c r="W1595" s="0" t="n">
        <v>2031</v>
      </c>
      <c r="X1595" s="0" t="n">
        <v>70343.96</v>
      </c>
    </row>
    <row r="1596" customFormat="false" ht="15" hidden="false" customHeight="false" outlineLevel="0" collapsed="false">
      <c r="A1596" s="0" t="n">
        <v>2030</v>
      </c>
      <c r="B1596" s="0" t="n">
        <v>19.00812819</v>
      </c>
      <c r="C1596" s="0" t="n">
        <v>399.170692</v>
      </c>
      <c r="E1596" s="0" t="n">
        <v>2031</v>
      </c>
      <c r="F1596" s="0" t="n">
        <v>155.251125</v>
      </c>
      <c r="G1596" s="0" t="n">
        <v>3258.341611</v>
      </c>
      <c r="I1596" s="0" t="n">
        <v>2027</v>
      </c>
      <c r="J1596" s="0" t="n">
        <v>1.74</v>
      </c>
      <c r="K1596" s="0" t="n">
        <v>36.52</v>
      </c>
      <c r="M1596" s="0" t="n">
        <v>2031</v>
      </c>
      <c r="N1596" s="0" t="n">
        <v>194.8</v>
      </c>
      <c r="O1596" s="0" t="n">
        <v>4090.6</v>
      </c>
      <c r="Q1596" s="0" t="n">
        <v>2033</v>
      </c>
      <c r="R1596" s="0" t="n">
        <v>44</v>
      </c>
      <c r="W1596" s="0" t="n">
        <v>2031</v>
      </c>
      <c r="X1596" s="0" t="n">
        <v>17585.99</v>
      </c>
    </row>
    <row r="1597" customFormat="false" ht="15" hidden="false" customHeight="false" outlineLevel="0" collapsed="false">
      <c r="A1597" s="0" t="n">
        <v>2030</v>
      </c>
      <c r="B1597" s="0" t="n">
        <v>13.21902665</v>
      </c>
      <c r="C1597" s="0" t="n">
        <v>277.5995597</v>
      </c>
      <c r="E1597" s="0" t="n">
        <v>2031</v>
      </c>
      <c r="F1597" s="0" t="n">
        <v>62.141625</v>
      </c>
      <c r="G1597" s="0" t="n">
        <v>1304.200807</v>
      </c>
      <c r="I1597" s="0" t="n">
        <v>2027</v>
      </c>
      <c r="J1597" s="0" t="n">
        <v>1.74</v>
      </c>
      <c r="K1597" s="0" t="n">
        <v>36.52</v>
      </c>
      <c r="M1597" s="0" t="n">
        <v>2031</v>
      </c>
      <c r="N1597" s="0" t="n">
        <v>155.84</v>
      </c>
      <c r="O1597" s="0" t="n">
        <v>3272.48</v>
      </c>
      <c r="Q1597" s="0" t="n">
        <v>2033</v>
      </c>
      <c r="R1597" s="0" t="n">
        <v>759</v>
      </c>
      <c r="W1597" s="0" t="n">
        <v>2031</v>
      </c>
      <c r="X1597" s="0" t="n">
        <v>5445.984</v>
      </c>
    </row>
    <row r="1598" customFormat="false" ht="15" hidden="false" customHeight="false" outlineLevel="0" collapsed="false">
      <c r="A1598" s="0" t="n">
        <v>2030</v>
      </c>
      <c r="B1598" s="0" t="n">
        <v>9.832753961</v>
      </c>
      <c r="C1598" s="0" t="n">
        <v>206.4878332</v>
      </c>
      <c r="E1598" s="0" t="n">
        <v>2031</v>
      </c>
      <c r="F1598" s="0" t="n">
        <v>8.728875</v>
      </c>
      <c r="G1598" s="0" t="n">
        <v>183.197749</v>
      </c>
      <c r="I1598" s="0" t="n">
        <v>2027</v>
      </c>
      <c r="J1598" s="0" t="n">
        <v>0</v>
      </c>
      <c r="K1598" s="0" t="n">
        <v>0</v>
      </c>
      <c r="M1598" s="0" t="n">
        <v>2031</v>
      </c>
      <c r="N1598" s="0" t="n">
        <v>77.92</v>
      </c>
      <c r="O1598" s="0" t="n">
        <v>1636.24</v>
      </c>
      <c r="Q1598" s="0" t="n">
        <v>2033</v>
      </c>
      <c r="R1598" s="0" t="n">
        <v>721</v>
      </c>
      <c r="W1598" s="0" t="n">
        <v>2031</v>
      </c>
      <c r="X1598" s="0" t="n">
        <v>9643.93</v>
      </c>
    </row>
    <row r="1599" customFormat="false" ht="15" hidden="false" customHeight="false" outlineLevel="0" collapsed="false">
      <c r="A1599" s="0" t="n">
        <v>2030</v>
      </c>
      <c r="B1599" s="0" t="n">
        <v>4.370112871</v>
      </c>
      <c r="C1599" s="0" t="n">
        <v>91.7723703</v>
      </c>
      <c r="E1599" s="0" t="n">
        <v>2031</v>
      </c>
      <c r="F1599" s="0" t="n">
        <v>208.663875</v>
      </c>
      <c r="G1599" s="0" t="n">
        <v>4379.344669</v>
      </c>
      <c r="I1599" s="0" t="n">
        <v>2027</v>
      </c>
      <c r="J1599" s="0" t="n">
        <v>3.48</v>
      </c>
      <c r="K1599" s="0" t="n">
        <v>73.04</v>
      </c>
      <c r="M1599" s="0" t="n">
        <v>2031</v>
      </c>
      <c r="N1599" s="0" t="n">
        <v>215.08</v>
      </c>
      <c r="O1599" s="0" t="n">
        <v>4511.36</v>
      </c>
      <c r="Q1599" s="0" t="n">
        <v>2033</v>
      </c>
      <c r="R1599" s="0" t="n">
        <v>341</v>
      </c>
      <c r="W1599" s="0" t="n">
        <v>2031</v>
      </c>
      <c r="X1599" s="0" t="n">
        <v>4311.404</v>
      </c>
    </row>
    <row r="1600" customFormat="false" ht="15" hidden="false" customHeight="false" outlineLevel="0" collapsed="false">
      <c r="A1600" s="0" t="n">
        <v>2030</v>
      </c>
      <c r="B1600" s="0" t="n">
        <v>16.14135839</v>
      </c>
      <c r="C1600" s="0" t="n">
        <v>338.9685262</v>
      </c>
      <c r="E1600" s="0" t="n">
        <v>2031</v>
      </c>
      <c r="F1600" s="0" t="n">
        <v>9.768375</v>
      </c>
      <c r="G1600" s="0" t="n">
        <v>205.014313</v>
      </c>
      <c r="I1600" s="0" t="n">
        <v>2027</v>
      </c>
      <c r="J1600" s="0" t="n">
        <v>6.09</v>
      </c>
      <c r="K1600" s="0" t="n">
        <v>127.82</v>
      </c>
      <c r="M1600" s="0" t="n">
        <v>2031</v>
      </c>
      <c r="N1600" s="0" t="n">
        <v>141.5</v>
      </c>
      <c r="O1600" s="0" t="n">
        <v>2968</v>
      </c>
      <c r="Q1600" s="0" t="n">
        <v>2033</v>
      </c>
      <c r="R1600" s="0" t="n">
        <v>76</v>
      </c>
      <c r="W1600" s="0" t="n">
        <v>2031</v>
      </c>
      <c r="X1600" s="0" t="n">
        <v>1701.87</v>
      </c>
    </row>
    <row r="1601" customFormat="false" ht="15" hidden="false" customHeight="false" outlineLevel="0" collapsed="false">
      <c r="A1601" s="0" t="n">
        <v>2030</v>
      </c>
      <c r="B1601" s="0" t="n">
        <v>5.05280883</v>
      </c>
      <c r="C1601" s="0" t="n">
        <v>106.1089854</v>
      </c>
      <c r="E1601" s="0" t="n">
        <v>2031</v>
      </c>
      <c r="F1601" s="0" t="n">
        <v>53.41275</v>
      </c>
      <c r="G1601" s="0" t="n">
        <v>1121.003058</v>
      </c>
      <c r="I1601" s="0" t="n">
        <v>2027</v>
      </c>
      <c r="J1601" s="0" t="n">
        <v>1.74</v>
      </c>
      <c r="K1601" s="0" t="n">
        <v>36.52</v>
      </c>
      <c r="M1601" s="0" t="n">
        <v>2031</v>
      </c>
      <c r="N1601" s="0" t="n">
        <v>56.6</v>
      </c>
      <c r="O1601" s="0" t="n">
        <v>1187.2</v>
      </c>
      <c r="Q1601" s="0" t="n">
        <v>2033</v>
      </c>
      <c r="R1601" s="0" t="n">
        <v>73</v>
      </c>
      <c r="W1601" s="0" t="n">
        <v>2031</v>
      </c>
      <c r="X1601" s="0" t="n">
        <v>2496.076</v>
      </c>
    </row>
    <row r="1602" customFormat="false" ht="15" hidden="false" customHeight="false" outlineLevel="0" collapsed="false">
      <c r="A1602" s="0" t="n">
        <v>2030</v>
      </c>
      <c r="B1602" s="0" t="n">
        <v>11.29777176</v>
      </c>
      <c r="C1602" s="0" t="n">
        <v>237.253207</v>
      </c>
      <c r="E1602" s="0" t="n">
        <v>2031</v>
      </c>
      <c r="F1602" s="0" t="n">
        <v>48.84075</v>
      </c>
      <c r="G1602" s="0" t="n">
        <v>1025.047954</v>
      </c>
      <c r="I1602" s="0" t="n">
        <v>2027</v>
      </c>
      <c r="J1602" s="0" t="n">
        <v>6.09</v>
      </c>
      <c r="K1602" s="0" t="n">
        <v>127.82</v>
      </c>
      <c r="M1602" s="0" t="n">
        <v>2031</v>
      </c>
      <c r="N1602" s="0" t="n">
        <v>56.6</v>
      </c>
      <c r="O1602" s="0" t="n">
        <v>1187.2</v>
      </c>
      <c r="Q1602" s="0" t="n">
        <v>2033</v>
      </c>
      <c r="R1602" s="0" t="n">
        <v>73</v>
      </c>
      <c r="W1602" s="0" t="n">
        <v>2031</v>
      </c>
      <c r="X1602" s="0" t="n">
        <v>1928.786</v>
      </c>
    </row>
    <row r="1603" customFormat="false" ht="15" hidden="false" customHeight="false" outlineLevel="0" collapsed="false">
      <c r="A1603" s="0" t="n">
        <v>2030</v>
      </c>
      <c r="B1603" s="0" t="n">
        <v>517.7357468</v>
      </c>
      <c r="C1603" s="0" t="n">
        <v>10872.45068</v>
      </c>
      <c r="E1603" s="0" t="n">
        <v>2031</v>
      </c>
      <c r="F1603" s="0" t="n">
        <v>1610.202217</v>
      </c>
      <c r="G1603" s="0" t="n">
        <v>33804.48153</v>
      </c>
      <c r="I1603" s="0" t="n">
        <v>2028</v>
      </c>
      <c r="J1603" s="0" t="n">
        <v>788.16</v>
      </c>
      <c r="K1603" s="0" t="n">
        <v>16547.04</v>
      </c>
      <c r="M1603" s="0" t="n">
        <v>2031</v>
      </c>
      <c r="N1603" s="0" t="n">
        <v>33.96</v>
      </c>
      <c r="O1603" s="0" t="n">
        <v>712.32</v>
      </c>
      <c r="Q1603" s="0" t="n">
        <v>2033</v>
      </c>
      <c r="R1603" s="0" t="n">
        <v>338</v>
      </c>
      <c r="W1603" s="0" t="n">
        <v>2031</v>
      </c>
      <c r="X1603" s="0" t="n">
        <v>10060.12</v>
      </c>
    </row>
    <row r="1604" customFormat="false" ht="15" hidden="false" customHeight="false" outlineLevel="0" collapsed="false">
      <c r="A1604" s="0" t="n">
        <v>2030</v>
      </c>
      <c r="B1604" s="0" t="n">
        <v>130.588265</v>
      </c>
      <c r="C1604" s="0" t="n">
        <v>2742.353565</v>
      </c>
      <c r="E1604" s="0" t="n">
        <v>2031</v>
      </c>
      <c r="F1604" s="0" t="n">
        <v>432.357133</v>
      </c>
      <c r="G1604" s="0" t="n">
        <v>9076.877774</v>
      </c>
      <c r="I1604" s="0" t="n">
        <v>2028</v>
      </c>
      <c r="J1604" s="0" t="n">
        <v>262.72</v>
      </c>
      <c r="K1604" s="0" t="n">
        <v>5515.68</v>
      </c>
      <c r="M1604" s="0" t="n">
        <v>2031</v>
      </c>
      <c r="N1604" s="0" t="n">
        <v>28.3</v>
      </c>
      <c r="O1604" s="0" t="n">
        <v>593.6</v>
      </c>
      <c r="Q1604" s="0" t="n">
        <v>2033</v>
      </c>
      <c r="R1604" s="0" t="n">
        <v>321</v>
      </c>
      <c r="W1604" s="0" t="n">
        <v>2031</v>
      </c>
      <c r="X1604" s="0" t="n">
        <v>2515.03</v>
      </c>
    </row>
    <row r="1605" customFormat="false" ht="15" hidden="false" customHeight="false" outlineLevel="0" collapsed="false">
      <c r="A1605" s="0" t="n">
        <v>2030</v>
      </c>
      <c r="B1605" s="0" t="n">
        <v>116.4528116</v>
      </c>
      <c r="C1605" s="0" t="n">
        <v>2445.509043</v>
      </c>
      <c r="E1605" s="0" t="n">
        <v>2031</v>
      </c>
      <c r="F1605" s="0" t="n">
        <v>173.057521</v>
      </c>
      <c r="G1605" s="0" t="n">
        <v>3633.158438</v>
      </c>
      <c r="I1605" s="0" t="n">
        <v>2028</v>
      </c>
      <c r="J1605" s="0" t="n">
        <v>114.94</v>
      </c>
      <c r="K1605" s="0" t="n">
        <v>2413.11</v>
      </c>
      <c r="M1605" s="0" t="n">
        <v>2031</v>
      </c>
      <c r="N1605" s="0" t="n">
        <v>22.64</v>
      </c>
      <c r="O1605" s="0" t="n">
        <v>474.88</v>
      </c>
      <c r="Q1605" s="0" t="n">
        <v>2033</v>
      </c>
      <c r="R1605" s="0" t="n">
        <v>152</v>
      </c>
      <c r="W1605" s="0" t="n">
        <v>2031</v>
      </c>
      <c r="X1605" s="0" t="n">
        <v>778.848</v>
      </c>
    </row>
    <row r="1606" customFormat="false" ht="15" hidden="false" customHeight="false" outlineLevel="0" collapsed="false">
      <c r="A1606" s="0" t="n">
        <v>2030</v>
      </c>
      <c r="B1606" s="0" t="n">
        <v>80.98602894</v>
      </c>
      <c r="C1606" s="0" t="n">
        <v>1700.706608</v>
      </c>
      <c r="E1606" s="0" t="n">
        <v>2031</v>
      </c>
      <c r="F1606" s="0" t="n">
        <v>24.308947</v>
      </c>
      <c r="G1606" s="0" t="n">
        <v>510.340466</v>
      </c>
      <c r="I1606" s="0" t="n">
        <v>2028</v>
      </c>
      <c r="J1606" s="0" t="n">
        <v>65.68</v>
      </c>
      <c r="K1606" s="0" t="n">
        <v>1378.92</v>
      </c>
      <c r="M1606" s="0" t="n">
        <v>2031</v>
      </c>
      <c r="N1606" s="0" t="n">
        <v>11.32</v>
      </c>
      <c r="O1606" s="0" t="n">
        <v>237.44</v>
      </c>
      <c r="Q1606" s="0" t="n">
        <v>2033</v>
      </c>
      <c r="R1606" s="0" t="n">
        <v>34</v>
      </c>
      <c r="W1606" s="0" t="n">
        <v>2031</v>
      </c>
      <c r="X1606" s="0" t="n">
        <v>1379.21</v>
      </c>
    </row>
    <row r="1607" customFormat="false" ht="15" hidden="false" customHeight="false" outlineLevel="0" collapsed="false">
      <c r="A1607" s="0" t="n">
        <v>2030</v>
      </c>
      <c r="B1607" s="0" t="n">
        <v>60.24011584</v>
      </c>
      <c r="C1607" s="0" t="n">
        <v>1265.042433</v>
      </c>
      <c r="E1607" s="0" t="n">
        <v>2031</v>
      </c>
      <c r="F1607" s="0" t="n">
        <v>581.105707</v>
      </c>
      <c r="G1607" s="0" t="n">
        <v>12199.69575</v>
      </c>
      <c r="I1607" s="0" t="n">
        <v>2028</v>
      </c>
      <c r="J1607" s="0" t="n">
        <v>65.68</v>
      </c>
      <c r="K1607" s="0" t="n">
        <v>1378.92</v>
      </c>
      <c r="M1607" s="0" t="n">
        <v>2031</v>
      </c>
      <c r="N1607" s="0" t="n">
        <v>262.2</v>
      </c>
      <c r="O1607" s="0" t="n">
        <v>5501.64</v>
      </c>
      <c r="Q1607" s="0" t="n">
        <v>2033</v>
      </c>
      <c r="R1607" s="0" t="n">
        <v>31</v>
      </c>
      <c r="W1607" s="0" t="n">
        <v>2031</v>
      </c>
      <c r="X1607" s="0" t="n">
        <v>616.588</v>
      </c>
    </row>
    <row r="1608" customFormat="false" ht="15" hidden="false" customHeight="false" outlineLevel="0" collapsed="false">
      <c r="A1608" s="0" t="n">
        <v>2030</v>
      </c>
      <c r="B1608" s="0" t="n">
        <v>26.77338482</v>
      </c>
      <c r="C1608" s="0" t="n">
        <v>562.2410812</v>
      </c>
      <c r="E1608" s="0" t="n">
        <v>2031</v>
      </c>
      <c r="F1608" s="0" t="n">
        <v>27.203839</v>
      </c>
      <c r="G1608" s="0" t="n">
        <v>571.115642</v>
      </c>
      <c r="I1608" s="0" t="n">
        <v>2028</v>
      </c>
      <c r="J1608" s="0" t="n">
        <v>32.84</v>
      </c>
      <c r="K1608" s="0" t="n">
        <v>689.46</v>
      </c>
      <c r="M1608" s="0" t="n">
        <v>2031</v>
      </c>
      <c r="N1608" s="0" t="n">
        <v>172.5</v>
      </c>
      <c r="O1608" s="0" t="n">
        <v>3619.5</v>
      </c>
      <c r="Q1608" s="0" t="n">
        <v>2033</v>
      </c>
      <c r="R1608" s="0" t="n">
        <v>31</v>
      </c>
      <c r="W1608" s="0" t="n">
        <v>2031</v>
      </c>
      <c r="X1608" s="0" t="n">
        <v>243.39</v>
      </c>
    </row>
    <row r="1609" customFormat="false" ht="15" hidden="false" customHeight="false" outlineLevel="0" collapsed="false">
      <c r="A1609" s="0" t="n">
        <v>2030</v>
      </c>
      <c r="B1609" s="0" t="n">
        <v>98.88961966</v>
      </c>
      <c r="C1609" s="0" t="n">
        <v>2076.682013</v>
      </c>
      <c r="E1609" s="0" t="n">
        <v>2031</v>
      </c>
      <c r="F1609" s="0" t="n">
        <v>148.748574</v>
      </c>
      <c r="G1609" s="0" t="n">
        <v>3122.817972</v>
      </c>
      <c r="I1609" s="0" t="n">
        <v>2028</v>
      </c>
      <c r="J1609" s="0" t="n">
        <v>32.84</v>
      </c>
      <c r="K1609" s="0" t="n">
        <v>689.46</v>
      </c>
      <c r="M1609" s="0" t="n">
        <v>2031</v>
      </c>
      <c r="N1609" s="0" t="n">
        <v>69</v>
      </c>
      <c r="O1609" s="0" t="n">
        <v>1447.8</v>
      </c>
      <c r="Q1609" s="0" t="n">
        <v>2033</v>
      </c>
      <c r="R1609" s="0" t="n">
        <v>844</v>
      </c>
      <c r="W1609" s="0" t="n">
        <v>2031</v>
      </c>
      <c r="X1609" s="0" t="n">
        <v>356.972</v>
      </c>
    </row>
    <row r="1610" customFormat="false" ht="15" hidden="false" customHeight="false" outlineLevel="0" collapsed="false">
      <c r="A1610" s="0" t="n">
        <v>2030</v>
      </c>
      <c r="B1610" s="0" t="n">
        <v>30.95590416</v>
      </c>
      <c r="C1610" s="0" t="n">
        <v>650.0739874</v>
      </c>
      <c r="E1610" s="0" t="n">
        <v>2031</v>
      </c>
      <c r="F1610" s="0" t="n">
        <v>136.016062</v>
      </c>
      <c r="G1610" s="0" t="n">
        <v>2855.512436</v>
      </c>
      <c r="I1610" s="0" t="n">
        <v>2028</v>
      </c>
      <c r="J1610" s="0" t="n">
        <v>65.68</v>
      </c>
      <c r="K1610" s="0" t="n">
        <v>1378.92</v>
      </c>
      <c r="M1610" s="0" t="n">
        <v>2031</v>
      </c>
      <c r="N1610" s="0" t="n">
        <v>69</v>
      </c>
      <c r="O1610" s="0" t="n">
        <v>1447.8</v>
      </c>
      <c r="Q1610" s="0" t="n">
        <v>2033</v>
      </c>
      <c r="R1610" s="0" t="n">
        <v>802</v>
      </c>
      <c r="W1610" s="0" t="n">
        <v>2031</v>
      </c>
      <c r="X1610" s="0" t="n">
        <v>275.842</v>
      </c>
    </row>
    <row r="1611" customFormat="false" ht="15" hidden="false" customHeight="false" outlineLevel="0" collapsed="false">
      <c r="A1611" s="0" t="n">
        <v>2030</v>
      </c>
      <c r="B1611" s="0" t="n">
        <v>69.21550996</v>
      </c>
      <c r="C1611" s="0" t="n">
        <v>1453.525709</v>
      </c>
      <c r="E1611" s="0" t="n">
        <v>2031</v>
      </c>
      <c r="F1611" s="0" t="n">
        <v>858.29483</v>
      </c>
      <c r="G1611" s="0" t="n">
        <v>18020.07984</v>
      </c>
      <c r="I1611" s="0" t="n">
        <v>2028</v>
      </c>
      <c r="J1611" s="0" t="n">
        <v>114.94</v>
      </c>
      <c r="K1611" s="0" t="n">
        <v>2413.11</v>
      </c>
      <c r="M1611" s="0" t="n">
        <v>2031</v>
      </c>
      <c r="N1611" s="0" t="n">
        <v>41.4</v>
      </c>
      <c r="O1611" s="0" t="n">
        <v>868.68</v>
      </c>
      <c r="Q1611" s="0" t="n">
        <v>2033</v>
      </c>
      <c r="R1611" s="0" t="n">
        <v>380</v>
      </c>
      <c r="W1611" s="0" t="n">
        <v>2031</v>
      </c>
      <c r="X1611" s="0" t="n">
        <v>11033.52</v>
      </c>
    </row>
    <row r="1612" customFormat="false" ht="15" hidden="false" customHeight="false" outlineLevel="0" collapsed="false">
      <c r="A1612" s="0" t="n">
        <v>2030</v>
      </c>
      <c r="B1612" s="0" t="n">
        <v>228.5203294</v>
      </c>
      <c r="C1612" s="0" t="n">
        <v>4798.926917</v>
      </c>
      <c r="E1612" s="0" t="n">
        <v>2031</v>
      </c>
      <c r="F1612" s="0" t="n">
        <v>230.46167</v>
      </c>
      <c r="G1612" s="0" t="n">
        <v>4838.591062</v>
      </c>
      <c r="I1612" s="0" t="n">
        <v>2028</v>
      </c>
      <c r="J1612" s="0" t="n">
        <v>49.26</v>
      </c>
      <c r="K1612" s="0" t="n">
        <v>1034.19</v>
      </c>
      <c r="M1612" s="0" t="n">
        <v>2031</v>
      </c>
      <c r="N1612" s="0" t="n">
        <v>34.5</v>
      </c>
      <c r="O1612" s="0" t="n">
        <v>723.9</v>
      </c>
      <c r="Q1612" s="0" t="n">
        <v>2033</v>
      </c>
      <c r="R1612" s="0" t="n">
        <v>84</v>
      </c>
      <c r="W1612" s="0" t="n">
        <v>2031</v>
      </c>
      <c r="X1612" s="0" t="n">
        <v>2758.38</v>
      </c>
    </row>
    <row r="1613" customFormat="false" ht="15" hidden="false" customHeight="false" outlineLevel="0" collapsed="false">
      <c r="A1613" s="0" t="n">
        <v>2030</v>
      </c>
      <c r="B1613" s="0" t="n">
        <v>57.6395845</v>
      </c>
      <c r="C1613" s="0" t="n">
        <v>1210.431274</v>
      </c>
      <c r="E1613" s="0" t="n">
        <v>2031</v>
      </c>
      <c r="F1613" s="0" t="n">
        <v>92.24579</v>
      </c>
      <c r="G1613" s="0" t="n">
        <v>1936.719694</v>
      </c>
      <c r="I1613" s="0" t="n">
        <v>2028</v>
      </c>
      <c r="J1613" s="0" t="n">
        <v>49.26</v>
      </c>
      <c r="K1613" s="0" t="n">
        <v>1034.19</v>
      </c>
      <c r="M1613" s="0" t="n">
        <v>2031</v>
      </c>
      <c r="N1613" s="0" t="n">
        <v>27.6</v>
      </c>
      <c r="O1613" s="0" t="n">
        <v>579.12</v>
      </c>
      <c r="Q1613" s="0" t="n">
        <v>2033</v>
      </c>
      <c r="R1613" s="0" t="n">
        <v>81</v>
      </c>
      <c r="W1613" s="0" t="n">
        <v>2031</v>
      </c>
      <c r="X1613" s="0" t="n">
        <v>854.208</v>
      </c>
    </row>
    <row r="1614" customFormat="false" ht="15" hidden="false" customHeight="false" outlineLevel="0" collapsed="false">
      <c r="A1614" s="0" t="n">
        <v>2030</v>
      </c>
      <c r="B1614" s="0" t="n">
        <v>51.40042004</v>
      </c>
      <c r="C1614" s="0" t="n">
        <v>1079.408821</v>
      </c>
      <c r="E1614" s="0" t="n">
        <v>2031</v>
      </c>
      <c r="F1614" s="0" t="n">
        <v>12.95753</v>
      </c>
      <c r="G1614" s="0" t="n">
        <v>272.046058</v>
      </c>
      <c r="I1614" s="0" t="n">
        <v>2028</v>
      </c>
      <c r="J1614" s="0" t="n">
        <v>50.44</v>
      </c>
      <c r="K1614" s="0" t="n">
        <v>1061.32</v>
      </c>
      <c r="M1614" s="0" t="n">
        <v>2031</v>
      </c>
      <c r="N1614" s="0" t="n">
        <v>13.8</v>
      </c>
      <c r="O1614" s="0" t="n">
        <v>289.56</v>
      </c>
      <c r="Q1614" s="0" t="n">
        <v>2033</v>
      </c>
      <c r="R1614" s="0" t="n">
        <v>81</v>
      </c>
      <c r="W1614" s="0" t="n">
        <v>2031</v>
      </c>
      <c r="X1614" s="0" t="n">
        <v>1512.66</v>
      </c>
    </row>
    <row r="1615" customFormat="false" ht="15" hidden="false" customHeight="false" outlineLevel="0" collapsed="false">
      <c r="A1615" s="0" t="n">
        <v>2030</v>
      </c>
      <c r="B1615" s="0" t="n">
        <v>35.74594592</v>
      </c>
      <c r="C1615" s="0" t="n">
        <v>750.6648644</v>
      </c>
      <c r="E1615" s="0" t="n">
        <v>2031</v>
      </c>
      <c r="F1615" s="0" t="n">
        <v>309.74993</v>
      </c>
      <c r="G1615" s="0" t="n">
        <v>6503.264698</v>
      </c>
      <c r="I1615" s="0" t="n">
        <v>2028</v>
      </c>
      <c r="J1615" s="0" t="n">
        <v>7.76</v>
      </c>
      <c r="K1615" s="0" t="n">
        <v>163.28</v>
      </c>
      <c r="M1615" s="0" t="n">
        <v>2031</v>
      </c>
      <c r="N1615" s="0" t="n">
        <v>427.88</v>
      </c>
      <c r="O1615" s="0" t="n">
        <v>8979.78</v>
      </c>
      <c r="Q1615" s="0" t="n">
        <v>2033</v>
      </c>
      <c r="R1615" s="0" t="n">
        <v>56</v>
      </c>
      <c r="W1615" s="0" t="n">
        <v>2031</v>
      </c>
      <c r="X1615" s="0" t="n">
        <v>676.248</v>
      </c>
    </row>
    <row r="1616" customFormat="false" ht="15" hidden="false" customHeight="false" outlineLevel="0" collapsed="false">
      <c r="A1616" s="0" t="n">
        <v>2030</v>
      </c>
      <c r="B1616" s="0" t="n">
        <v>26.58902963</v>
      </c>
      <c r="C1616" s="0" t="n">
        <v>558.3696223</v>
      </c>
      <c r="E1616" s="0" t="n">
        <v>2031</v>
      </c>
      <c r="F1616" s="0" t="n">
        <v>14.50061</v>
      </c>
      <c r="G1616" s="0" t="n">
        <v>304.443346</v>
      </c>
      <c r="I1616" s="0" t="n">
        <v>2028</v>
      </c>
      <c r="J1616" s="0" t="n">
        <v>5.82</v>
      </c>
      <c r="K1616" s="0" t="n">
        <v>122.46</v>
      </c>
      <c r="M1616" s="0" t="n">
        <v>2031</v>
      </c>
      <c r="N1616" s="0" t="n">
        <v>281.5</v>
      </c>
      <c r="O1616" s="0" t="n">
        <v>5907.75</v>
      </c>
      <c r="Q1616" s="0" t="n">
        <v>2033</v>
      </c>
      <c r="R1616" s="0" t="n">
        <v>54</v>
      </c>
      <c r="W1616" s="0" t="n">
        <v>2031</v>
      </c>
      <c r="X1616" s="0" t="n">
        <v>266.94</v>
      </c>
    </row>
    <row r="1617" customFormat="false" ht="15" hidden="false" customHeight="false" outlineLevel="0" collapsed="false">
      <c r="A1617" s="0" t="n">
        <v>2030</v>
      </c>
      <c r="B1617" s="0" t="n">
        <v>11.8173465</v>
      </c>
      <c r="C1617" s="0" t="n">
        <v>248.1642766</v>
      </c>
      <c r="E1617" s="0" t="n">
        <v>2031</v>
      </c>
      <c r="F1617" s="0" t="n">
        <v>79.28826</v>
      </c>
      <c r="G1617" s="0" t="n">
        <v>1664.673636</v>
      </c>
      <c r="I1617" s="0" t="n">
        <v>2028</v>
      </c>
      <c r="J1617" s="0" t="n">
        <v>9.7</v>
      </c>
      <c r="K1617" s="0" t="n">
        <v>204.1</v>
      </c>
      <c r="M1617" s="0" t="n">
        <v>2031</v>
      </c>
      <c r="N1617" s="0" t="n">
        <v>112.6</v>
      </c>
      <c r="O1617" s="0" t="n">
        <v>2363.1</v>
      </c>
      <c r="Q1617" s="0" t="n">
        <v>2033</v>
      </c>
      <c r="R1617" s="0" t="n">
        <v>25</v>
      </c>
      <c r="W1617" s="0" t="n">
        <v>2031</v>
      </c>
      <c r="X1617" s="0" t="n">
        <v>391.512</v>
      </c>
    </row>
    <row r="1618" customFormat="false" ht="15" hidden="false" customHeight="false" outlineLevel="0" collapsed="false">
      <c r="A1618" s="0" t="n">
        <v>2030</v>
      </c>
      <c r="B1618" s="0" t="n">
        <v>43.64830629</v>
      </c>
      <c r="C1618" s="0" t="n">
        <v>916.6144321</v>
      </c>
      <c r="E1618" s="0" t="n">
        <v>2031</v>
      </c>
      <c r="F1618" s="0" t="n">
        <v>72.50138</v>
      </c>
      <c r="G1618" s="0" t="n">
        <v>1522.181668</v>
      </c>
      <c r="I1618" s="0" t="n">
        <v>2028</v>
      </c>
      <c r="J1618" s="0" t="n">
        <v>1.94</v>
      </c>
      <c r="K1618" s="0" t="n">
        <v>40.82</v>
      </c>
      <c r="M1618" s="0" t="n">
        <v>2031</v>
      </c>
      <c r="N1618" s="0" t="n">
        <v>112.6</v>
      </c>
      <c r="O1618" s="0" t="n">
        <v>2363.1</v>
      </c>
      <c r="Q1618" s="0" t="n">
        <v>2033</v>
      </c>
      <c r="R1618" s="0" t="n">
        <v>6</v>
      </c>
      <c r="W1618" s="0" t="n">
        <v>2031</v>
      </c>
      <c r="X1618" s="0" t="n">
        <v>302.532</v>
      </c>
    </row>
    <row r="1619" customFormat="false" ht="15" hidden="false" customHeight="false" outlineLevel="0" collapsed="false">
      <c r="A1619" s="0" t="n">
        <v>2030</v>
      </c>
      <c r="B1619" s="0" t="n">
        <v>13.66344406</v>
      </c>
      <c r="C1619" s="0" t="n">
        <v>286.9323253</v>
      </c>
      <c r="E1619" s="0" t="n">
        <v>2031</v>
      </c>
      <c r="F1619" s="0" t="n">
        <v>418.354486</v>
      </c>
      <c r="G1619" s="0" t="n">
        <v>8784.930257</v>
      </c>
      <c r="I1619" s="0" t="n">
        <v>2028</v>
      </c>
      <c r="J1619" s="0" t="n">
        <v>1.94</v>
      </c>
      <c r="K1619" s="0" t="n">
        <v>40.82</v>
      </c>
      <c r="M1619" s="0" t="n">
        <v>2031</v>
      </c>
      <c r="N1619" s="0" t="n">
        <v>67.56</v>
      </c>
      <c r="O1619" s="0" t="n">
        <v>1417.86</v>
      </c>
      <c r="Q1619" s="0" t="n">
        <v>2033</v>
      </c>
      <c r="R1619" s="0" t="n">
        <v>5</v>
      </c>
      <c r="W1619" s="0" t="n">
        <v>2031</v>
      </c>
      <c r="X1619" s="0" t="n">
        <v>2974.76</v>
      </c>
    </row>
    <row r="1620" customFormat="false" ht="15" hidden="false" customHeight="false" outlineLevel="0" collapsed="false">
      <c r="A1620" s="0" t="n">
        <v>2030</v>
      </c>
      <c r="B1620" s="0" t="n">
        <v>30.55062593</v>
      </c>
      <c r="C1620" s="0" t="n">
        <v>641.5631446</v>
      </c>
      <c r="E1620" s="0" t="n">
        <v>2031</v>
      </c>
      <c r="F1620" s="0" t="n">
        <v>112.332814</v>
      </c>
      <c r="G1620" s="0" t="n">
        <v>2358.851093</v>
      </c>
      <c r="I1620" s="0" t="n">
        <v>2028</v>
      </c>
      <c r="J1620" s="0" t="n">
        <v>0</v>
      </c>
      <c r="K1620" s="0" t="n">
        <v>0</v>
      </c>
      <c r="M1620" s="0" t="n">
        <v>2031</v>
      </c>
      <c r="N1620" s="0" t="n">
        <v>56.3</v>
      </c>
      <c r="O1620" s="0" t="n">
        <v>1181.55</v>
      </c>
      <c r="Q1620" s="0" t="n">
        <v>2033</v>
      </c>
      <c r="R1620" s="0" t="n">
        <v>5</v>
      </c>
      <c r="W1620" s="0" t="n">
        <v>2031</v>
      </c>
      <c r="X1620" s="0" t="n">
        <v>743.69</v>
      </c>
    </row>
    <row r="1621" customFormat="false" ht="15" hidden="false" customHeight="false" outlineLevel="0" collapsed="false">
      <c r="A1621" s="0" t="n">
        <v>2030</v>
      </c>
      <c r="B1621" s="0" t="n">
        <v>101.5922802</v>
      </c>
      <c r="C1621" s="0" t="n">
        <v>2133.437884</v>
      </c>
      <c r="E1621" s="0" t="n">
        <v>2031</v>
      </c>
      <c r="F1621" s="0" t="n">
        <v>44.962918</v>
      </c>
      <c r="G1621" s="0" t="n">
        <v>944.166041</v>
      </c>
      <c r="I1621" s="0" t="n">
        <v>2028</v>
      </c>
      <c r="J1621" s="0" t="n">
        <v>3.88</v>
      </c>
      <c r="K1621" s="0" t="n">
        <v>81.64</v>
      </c>
      <c r="M1621" s="0" t="n">
        <v>2031</v>
      </c>
      <c r="N1621" s="0" t="n">
        <v>45.04</v>
      </c>
      <c r="O1621" s="0" t="n">
        <v>945.24</v>
      </c>
      <c r="Q1621" s="0" t="n">
        <v>2033</v>
      </c>
      <c r="R1621" s="0" t="n">
        <v>150</v>
      </c>
      <c r="W1621" s="0" t="n">
        <v>2031</v>
      </c>
      <c r="X1621" s="0" t="n">
        <v>230.304</v>
      </c>
    </row>
    <row r="1622" customFormat="false" ht="15" hidden="false" customHeight="false" outlineLevel="0" collapsed="false">
      <c r="A1622" s="0" t="n">
        <v>2030</v>
      </c>
      <c r="B1622" s="0" t="n">
        <v>25.62457719</v>
      </c>
      <c r="C1622" s="0" t="n">
        <v>538.1161209</v>
      </c>
      <c r="E1622" s="0" t="n">
        <v>2031</v>
      </c>
      <c r="F1622" s="0" t="n">
        <v>6.315826</v>
      </c>
      <c r="G1622" s="0" t="n">
        <v>132.624587</v>
      </c>
      <c r="I1622" s="0" t="n">
        <v>2028</v>
      </c>
      <c r="J1622" s="0" t="n">
        <v>6.79</v>
      </c>
      <c r="K1622" s="0" t="n">
        <v>142.87</v>
      </c>
      <c r="M1622" s="0" t="n">
        <v>2031</v>
      </c>
      <c r="N1622" s="0" t="n">
        <v>22.52</v>
      </c>
      <c r="O1622" s="0" t="n">
        <v>472.62</v>
      </c>
      <c r="Q1622" s="0" t="n">
        <v>2033</v>
      </c>
      <c r="R1622" s="0" t="n">
        <v>143</v>
      </c>
      <c r="W1622" s="0" t="n">
        <v>2031</v>
      </c>
      <c r="X1622" s="0" t="n">
        <v>407.83</v>
      </c>
    </row>
    <row r="1623" customFormat="false" ht="15" hidden="false" customHeight="false" outlineLevel="0" collapsed="false">
      <c r="A1623" s="0" t="n">
        <v>2030</v>
      </c>
      <c r="B1623" s="0" t="n">
        <v>22.85085922</v>
      </c>
      <c r="C1623" s="0" t="n">
        <v>479.8680436</v>
      </c>
      <c r="E1623" s="0" t="n">
        <v>2031</v>
      </c>
      <c r="F1623" s="0" t="n">
        <v>150.979906</v>
      </c>
      <c r="G1623" s="0" t="n">
        <v>3170.392547</v>
      </c>
      <c r="I1623" s="0" t="n">
        <v>2028</v>
      </c>
      <c r="J1623" s="0" t="n">
        <v>1.94</v>
      </c>
      <c r="K1623" s="0" t="n">
        <v>40.82</v>
      </c>
      <c r="M1623" s="0" t="n">
        <v>2031</v>
      </c>
      <c r="N1623" s="0" t="n">
        <v>27.74</v>
      </c>
      <c r="O1623" s="0" t="n">
        <v>578.74</v>
      </c>
      <c r="Q1623" s="0" t="n">
        <v>2033</v>
      </c>
      <c r="R1623" s="0" t="n">
        <v>68</v>
      </c>
      <c r="W1623" s="0" t="n">
        <v>2031</v>
      </c>
      <c r="X1623" s="0" t="n">
        <v>182.324</v>
      </c>
    </row>
    <row r="1624" customFormat="false" ht="15" hidden="false" customHeight="false" outlineLevel="0" collapsed="false">
      <c r="A1624" s="0" t="n">
        <v>2030</v>
      </c>
      <c r="B1624" s="0" t="n">
        <v>15.89141834</v>
      </c>
      <c r="C1624" s="0" t="n">
        <v>333.7197852</v>
      </c>
      <c r="E1624" s="0" t="n">
        <v>2031</v>
      </c>
      <c r="F1624" s="0" t="n">
        <v>7.067962</v>
      </c>
      <c r="G1624" s="0" t="n">
        <v>148.418519</v>
      </c>
      <c r="I1624" s="0" t="n">
        <v>2028</v>
      </c>
      <c r="J1624" s="0" t="n">
        <v>6.79</v>
      </c>
      <c r="K1624" s="0" t="n">
        <v>142.87</v>
      </c>
      <c r="M1624" s="0" t="n">
        <v>2031</v>
      </c>
      <c r="N1624" s="0" t="n">
        <v>18.25</v>
      </c>
      <c r="O1624" s="0" t="n">
        <v>380.75</v>
      </c>
      <c r="Q1624" s="0" t="n">
        <v>2033</v>
      </c>
      <c r="R1624" s="0" t="n">
        <v>15</v>
      </c>
      <c r="W1624" s="0" t="n">
        <v>2031</v>
      </c>
      <c r="X1624" s="0" t="n">
        <v>71.97</v>
      </c>
    </row>
    <row r="1625" customFormat="false" ht="15" hidden="false" customHeight="false" outlineLevel="0" collapsed="false">
      <c r="A1625" s="0" t="n">
        <v>2030</v>
      </c>
      <c r="B1625" s="0" t="n">
        <v>11.82056824</v>
      </c>
      <c r="C1625" s="0" t="n">
        <v>248.2319331</v>
      </c>
      <c r="E1625" s="0" t="n">
        <v>2031</v>
      </c>
      <c r="F1625" s="0" t="n">
        <v>38.647092</v>
      </c>
      <c r="G1625" s="0" t="n">
        <v>811.541454</v>
      </c>
      <c r="I1625" s="0" t="n">
        <v>2028</v>
      </c>
      <c r="J1625" s="0" t="n">
        <v>334.08</v>
      </c>
      <c r="K1625" s="0" t="n">
        <v>7011.84</v>
      </c>
      <c r="M1625" s="0" t="n">
        <v>2031</v>
      </c>
      <c r="N1625" s="0" t="n">
        <v>7.3</v>
      </c>
      <c r="O1625" s="0" t="n">
        <v>152.3</v>
      </c>
      <c r="Q1625" s="0" t="n">
        <v>2033</v>
      </c>
      <c r="R1625" s="0" t="n">
        <v>15</v>
      </c>
      <c r="W1625" s="0" t="n">
        <v>2031</v>
      </c>
      <c r="X1625" s="0" t="n">
        <v>105.556</v>
      </c>
    </row>
    <row r="1626" customFormat="false" ht="15" hidden="false" customHeight="false" outlineLevel="0" collapsed="false">
      <c r="A1626" s="0" t="n">
        <v>2030</v>
      </c>
      <c r="B1626" s="0" t="n">
        <v>5.253585886</v>
      </c>
      <c r="C1626" s="0" t="n">
        <v>110.3253036</v>
      </c>
      <c r="E1626" s="0" t="n">
        <v>2031</v>
      </c>
      <c r="F1626" s="0" t="n">
        <v>35.338996</v>
      </c>
      <c r="G1626" s="0" t="n">
        <v>742.075502</v>
      </c>
      <c r="I1626" s="0" t="n">
        <v>2028</v>
      </c>
      <c r="J1626" s="0" t="n">
        <v>111.36</v>
      </c>
      <c r="K1626" s="0" t="n">
        <v>2337.28</v>
      </c>
      <c r="M1626" s="0" t="n">
        <v>2031</v>
      </c>
      <c r="N1626" s="0" t="n">
        <v>7.3</v>
      </c>
      <c r="O1626" s="0" t="n">
        <v>152.3</v>
      </c>
      <c r="Q1626" s="0" t="n">
        <v>2033</v>
      </c>
      <c r="R1626" s="0" t="n">
        <v>15</v>
      </c>
      <c r="W1626" s="0" t="n">
        <v>2031</v>
      </c>
      <c r="X1626" s="0" t="n">
        <v>81.566</v>
      </c>
    </row>
    <row r="1627" customFormat="false" ht="15" hidden="false" customHeight="false" outlineLevel="0" collapsed="false">
      <c r="A1627" s="0" t="n">
        <v>2030</v>
      </c>
      <c r="B1627" s="0" t="n">
        <v>19.40453602</v>
      </c>
      <c r="C1627" s="0" t="n">
        <v>407.4952564</v>
      </c>
      <c r="E1627" s="0" t="n">
        <v>2031</v>
      </c>
      <c r="F1627" s="0" t="n">
        <v>334.06685</v>
      </c>
      <c r="G1627" s="0" t="n">
        <v>7010.26436</v>
      </c>
      <c r="I1627" s="0" t="n">
        <v>2028</v>
      </c>
      <c r="J1627" s="0" t="n">
        <v>48.72</v>
      </c>
      <c r="K1627" s="0" t="n">
        <v>1022.56</v>
      </c>
      <c r="M1627" s="0" t="n">
        <v>2031</v>
      </c>
      <c r="N1627" s="0" t="n">
        <v>4.38</v>
      </c>
      <c r="O1627" s="0" t="n">
        <v>91.38</v>
      </c>
      <c r="Q1627" s="0" t="n">
        <v>2033</v>
      </c>
      <c r="R1627" s="0" t="n">
        <v>286</v>
      </c>
      <c r="W1627" s="0" t="n">
        <v>2031</v>
      </c>
      <c r="X1627" s="0" t="n">
        <v>6807.6</v>
      </c>
    </row>
    <row r="1628" customFormat="false" ht="15" hidden="false" customHeight="false" outlineLevel="0" collapsed="false">
      <c r="A1628" s="0" t="n">
        <v>2030</v>
      </c>
      <c r="B1628" s="0" t="n">
        <v>6.074297378</v>
      </c>
      <c r="C1628" s="0" t="n">
        <v>127.5602449</v>
      </c>
      <c r="E1628" s="0" t="n">
        <v>2031</v>
      </c>
      <c r="F1628" s="0" t="n">
        <v>89.70065</v>
      </c>
      <c r="G1628" s="0" t="n">
        <v>1882.33364</v>
      </c>
      <c r="I1628" s="0" t="n">
        <v>2028</v>
      </c>
      <c r="J1628" s="0" t="n">
        <v>27.84</v>
      </c>
      <c r="K1628" s="0" t="n">
        <v>584.32</v>
      </c>
      <c r="M1628" s="0" t="n">
        <v>2031</v>
      </c>
      <c r="N1628" s="0" t="n">
        <v>3.65</v>
      </c>
      <c r="O1628" s="0" t="n">
        <v>76.15</v>
      </c>
      <c r="Q1628" s="0" t="n">
        <v>2033</v>
      </c>
      <c r="R1628" s="0" t="n">
        <v>272</v>
      </c>
      <c r="W1628" s="0" t="n">
        <v>2031</v>
      </c>
      <c r="X1628" s="0" t="n">
        <v>1701.9</v>
      </c>
    </row>
    <row r="1629" customFormat="false" ht="15" hidden="false" customHeight="false" outlineLevel="0" collapsed="false">
      <c r="A1629" s="0" t="n">
        <v>2030</v>
      </c>
      <c r="B1629" s="0" t="n">
        <v>13.58175773</v>
      </c>
      <c r="C1629" s="0" t="n">
        <v>285.2169123</v>
      </c>
      <c r="E1629" s="0" t="n">
        <v>2031</v>
      </c>
      <c r="F1629" s="0" t="n">
        <v>35.90405</v>
      </c>
      <c r="G1629" s="0" t="n">
        <v>753.43268</v>
      </c>
      <c r="I1629" s="0" t="n">
        <v>2028</v>
      </c>
      <c r="J1629" s="0" t="n">
        <v>27.84</v>
      </c>
      <c r="K1629" s="0" t="n">
        <v>584.32</v>
      </c>
      <c r="M1629" s="0" t="n">
        <v>2031</v>
      </c>
      <c r="N1629" s="0" t="n">
        <v>2.92</v>
      </c>
      <c r="O1629" s="0" t="n">
        <v>60.92</v>
      </c>
      <c r="Q1629" s="0" t="n">
        <v>2033</v>
      </c>
      <c r="R1629" s="0" t="n">
        <v>129</v>
      </c>
      <c r="W1629" s="0" t="n">
        <v>2031</v>
      </c>
      <c r="X1629" s="0" t="n">
        <v>527.04</v>
      </c>
    </row>
    <row r="1630" customFormat="false" ht="15" hidden="false" customHeight="false" outlineLevel="0" collapsed="false">
      <c r="A1630" s="0" t="n">
        <v>2030</v>
      </c>
      <c r="B1630" s="0" t="n">
        <v>460.9725485</v>
      </c>
      <c r="C1630" s="0" t="n">
        <v>9680.423519</v>
      </c>
      <c r="E1630" s="0" t="n">
        <v>2031</v>
      </c>
      <c r="F1630" s="0" t="n">
        <v>5.04335</v>
      </c>
      <c r="G1630" s="0" t="n">
        <v>105.83276</v>
      </c>
      <c r="I1630" s="0" t="n">
        <v>2028</v>
      </c>
      <c r="J1630" s="0" t="n">
        <v>13.92</v>
      </c>
      <c r="K1630" s="0" t="n">
        <v>292.16</v>
      </c>
      <c r="M1630" s="0" t="n">
        <v>2031</v>
      </c>
      <c r="N1630" s="0" t="n">
        <v>1.46</v>
      </c>
      <c r="O1630" s="0" t="n">
        <v>30.46</v>
      </c>
      <c r="Q1630" s="0" t="n">
        <v>2033</v>
      </c>
      <c r="R1630" s="0" t="n">
        <v>29</v>
      </c>
      <c r="W1630" s="0" t="n">
        <v>2031</v>
      </c>
      <c r="X1630" s="0" t="n">
        <v>933.3</v>
      </c>
    </row>
    <row r="1631" customFormat="false" ht="15" hidden="false" customHeight="false" outlineLevel="0" collapsed="false">
      <c r="A1631" s="0" t="n">
        <v>2030</v>
      </c>
      <c r="B1631" s="0" t="n">
        <v>116.2709079</v>
      </c>
      <c r="C1631" s="0" t="n">
        <v>2441.689066</v>
      </c>
      <c r="E1631" s="0" t="n">
        <v>2031</v>
      </c>
      <c r="F1631" s="0" t="n">
        <v>120.56135</v>
      </c>
      <c r="G1631" s="0" t="n">
        <v>2529.93356</v>
      </c>
      <c r="I1631" s="0" t="n">
        <v>2028</v>
      </c>
      <c r="J1631" s="0" t="n">
        <v>13.92</v>
      </c>
      <c r="K1631" s="0" t="n">
        <v>292.16</v>
      </c>
      <c r="M1631" s="0" t="n">
        <v>2031</v>
      </c>
      <c r="N1631" s="0" t="n">
        <v>49.02</v>
      </c>
      <c r="O1631" s="0" t="n">
        <v>1022.96</v>
      </c>
      <c r="Q1631" s="0" t="n">
        <v>2033</v>
      </c>
      <c r="R1631" s="0" t="n">
        <v>27</v>
      </c>
      <c r="W1631" s="0" t="n">
        <v>2031</v>
      </c>
      <c r="X1631" s="0" t="n">
        <v>417.24</v>
      </c>
    </row>
    <row r="1632" customFormat="false" ht="15" hidden="false" customHeight="false" outlineLevel="0" collapsed="false">
      <c r="A1632" s="0" t="n">
        <v>2030</v>
      </c>
      <c r="B1632" s="0" t="n">
        <v>103.6852287</v>
      </c>
      <c r="C1632" s="0" t="n">
        <v>2177.389804</v>
      </c>
      <c r="E1632" s="0" t="n">
        <v>2031</v>
      </c>
      <c r="F1632" s="0" t="n">
        <v>5.64395</v>
      </c>
      <c r="G1632" s="0" t="n">
        <v>118.43612</v>
      </c>
      <c r="I1632" s="0" t="n">
        <v>2028</v>
      </c>
      <c r="J1632" s="0" t="n">
        <v>27.84</v>
      </c>
      <c r="K1632" s="0" t="n">
        <v>584.32</v>
      </c>
      <c r="M1632" s="0" t="n">
        <v>2031</v>
      </c>
      <c r="N1632" s="0" t="n">
        <v>32.25</v>
      </c>
      <c r="O1632" s="0" t="n">
        <v>673</v>
      </c>
      <c r="Q1632" s="0" t="n">
        <v>2033</v>
      </c>
      <c r="R1632" s="0" t="n">
        <v>27</v>
      </c>
      <c r="W1632" s="0" t="n">
        <v>2031</v>
      </c>
      <c r="X1632" s="0" t="n">
        <v>164.7</v>
      </c>
    </row>
    <row r="1633" customFormat="false" ht="15" hidden="false" customHeight="false" outlineLevel="0" collapsed="false">
      <c r="A1633" s="0" t="n">
        <v>2030</v>
      </c>
      <c r="B1633" s="0" t="n">
        <v>72.10693175</v>
      </c>
      <c r="C1633" s="0" t="n">
        <v>1514.245567</v>
      </c>
      <c r="E1633" s="0" t="n">
        <v>2031</v>
      </c>
      <c r="F1633" s="0" t="n">
        <v>30.8607</v>
      </c>
      <c r="G1633" s="0" t="n">
        <v>647.59992</v>
      </c>
      <c r="I1633" s="0" t="n">
        <v>2028</v>
      </c>
      <c r="J1633" s="0" t="n">
        <v>48.72</v>
      </c>
      <c r="K1633" s="0" t="n">
        <v>1022.56</v>
      </c>
      <c r="M1633" s="0" t="n">
        <v>2031</v>
      </c>
      <c r="N1633" s="0" t="n">
        <v>12.9</v>
      </c>
      <c r="O1633" s="0" t="n">
        <v>269.2</v>
      </c>
      <c r="Q1633" s="0" t="n">
        <v>2033</v>
      </c>
      <c r="R1633" s="0" t="n">
        <v>1377</v>
      </c>
      <c r="W1633" s="0" t="n">
        <v>2031</v>
      </c>
      <c r="X1633" s="0" t="n">
        <v>241.56</v>
      </c>
    </row>
    <row r="1634" customFormat="false" ht="15" hidden="false" customHeight="false" outlineLevel="0" collapsed="false">
      <c r="A1634" s="0" t="n">
        <v>2030</v>
      </c>
      <c r="B1634" s="0" t="n">
        <v>53.63554651</v>
      </c>
      <c r="C1634" s="0" t="n">
        <v>1126.346477</v>
      </c>
      <c r="E1634" s="0" t="n">
        <v>2031</v>
      </c>
      <c r="F1634" s="0" t="n">
        <v>28.2191</v>
      </c>
      <c r="G1634" s="0" t="n">
        <v>592.16696</v>
      </c>
      <c r="I1634" s="0" t="n">
        <v>2028</v>
      </c>
      <c r="J1634" s="0" t="n">
        <v>20.88</v>
      </c>
      <c r="K1634" s="0" t="n">
        <v>438.24</v>
      </c>
      <c r="M1634" s="0" t="n">
        <v>2031</v>
      </c>
      <c r="N1634" s="0" t="n">
        <v>12.9</v>
      </c>
      <c r="O1634" s="0" t="n">
        <v>269.2</v>
      </c>
      <c r="Q1634" s="0" t="n">
        <v>2033</v>
      </c>
      <c r="R1634" s="0" t="n">
        <v>1308</v>
      </c>
      <c r="W1634" s="0" t="n">
        <v>2031</v>
      </c>
      <c r="X1634" s="0" t="n">
        <v>186.66</v>
      </c>
    </row>
    <row r="1635" customFormat="false" ht="15" hidden="false" customHeight="false" outlineLevel="0" collapsed="false">
      <c r="A1635" s="0" t="n">
        <v>2030</v>
      </c>
      <c r="B1635" s="0" t="n">
        <v>23.83802067</v>
      </c>
      <c r="C1635" s="0" t="n">
        <v>500.5984341</v>
      </c>
      <c r="E1635" s="0" t="n">
        <v>2031</v>
      </c>
      <c r="F1635" s="0" t="n">
        <v>215.344631</v>
      </c>
      <c r="G1635" s="0" t="n">
        <v>4519.667506</v>
      </c>
      <c r="I1635" s="0" t="n">
        <v>2028</v>
      </c>
      <c r="J1635" s="0" t="n">
        <v>20.88</v>
      </c>
      <c r="K1635" s="0" t="n">
        <v>438.24</v>
      </c>
      <c r="M1635" s="0" t="n">
        <v>2031</v>
      </c>
      <c r="N1635" s="0" t="n">
        <v>7.74</v>
      </c>
      <c r="O1635" s="0" t="n">
        <v>161.52</v>
      </c>
      <c r="Q1635" s="0" t="n">
        <v>2033</v>
      </c>
      <c r="R1635" s="0" t="n">
        <v>620</v>
      </c>
      <c r="W1635" s="0" t="n">
        <v>2031</v>
      </c>
      <c r="X1635" s="0" t="n">
        <v>1737.86</v>
      </c>
    </row>
    <row r="1636" customFormat="false" ht="15" hidden="false" customHeight="false" outlineLevel="0" collapsed="false">
      <c r="A1636" s="0" t="n">
        <v>2030</v>
      </c>
      <c r="B1636" s="0" t="n">
        <v>88.04761943</v>
      </c>
      <c r="C1636" s="0" t="n">
        <v>1849.000008</v>
      </c>
      <c r="E1636" s="0" t="n">
        <v>2031</v>
      </c>
      <c r="F1636" s="0" t="n">
        <v>57.822419</v>
      </c>
      <c r="G1636" s="0" t="n">
        <v>1213.580794</v>
      </c>
      <c r="I1636" s="0" t="n">
        <v>2028</v>
      </c>
      <c r="J1636" s="0" t="n">
        <v>60.84</v>
      </c>
      <c r="K1636" s="0" t="n">
        <v>1272.96</v>
      </c>
      <c r="M1636" s="0" t="n">
        <v>2031</v>
      </c>
      <c r="N1636" s="0" t="n">
        <v>6.45</v>
      </c>
      <c r="O1636" s="0" t="n">
        <v>134.6</v>
      </c>
      <c r="Q1636" s="0" t="n">
        <v>2033</v>
      </c>
      <c r="R1636" s="0" t="n">
        <v>138</v>
      </c>
      <c r="W1636" s="0" t="n">
        <v>2031</v>
      </c>
      <c r="X1636" s="0" t="n">
        <v>434.465</v>
      </c>
    </row>
    <row r="1637" customFormat="false" ht="15" hidden="false" customHeight="false" outlineLevel="0" collapsed="false">
      <c r="A1637" s="0" t="n">
        <v>2030</v>
      </c>
      <c r="B1637" s="0" t="n">
        <v>27.56197949</v>
      </c>
      <c r="C1637" s="0" t="n">
        <v>578.8015693</v>
      </c>
      <c r="E1637" s="0" t="n">
        <v>2031</v>
      </c>
      <c r="F1637" s="0" t="n">
        <v>23.144303</v>
      </c>
      <c r="G1637" s="0" t="n">
        <v>485.754178</v>
      </c>
      <c r="I1637" s="0" t="n">
        <v>2028</v>
      </c>
      <c r="J1637" s="0" t="n">
        <v>9.36</v>
      </c>
      <c r="K1637" s="0" t="n">
        <v>195.84</v>
      </c>
      <c r="M1637" s="0" t="n">
        <v>2031</v>
      </c>
      <c r="N1637" s="0" t="n">
        <v>5.16</v>
      </c>
      <c r="O1637" s="0" t="n">
        <v>107.68</v>
      </c>
      <c r="Q1637" s="0" t="n">
        <v>2033</v>
      </c>
      <c r="R1637" s="0" t="n">
        <v>133</v>
      </c>
      <c r="W1637" s="0" t="n">
        <v>2031</v>
      </c>
      <c r="X1637" s="0" t="n">
        <v>134.544</v>
      </c>
    </row>
    <row r="1638" customFormat="false" ht="15" hidden="false" customHeight="false" outlineLevel="0" collapsed="false">
      <c r="A1638" s="0" t="n">
        <v>2030</v>
      </c>
      <c r="B1638" s="0" t="n">
        <v>61.6269018</v>
      </c>
      <c r="C1638" s="0" t="n">
        <v>1294.164938</v>
      </c>
      <c r="E1638" s="0" t="n">
        <v>2031</v>
      </c>
      <c r="F1638" s="0" t="n">
        <v>3.251021</v>
      </c>
      <c r="G1638" s="0" t="n">
        <v>68.232646</v>
      </c>
      <c r="I1638" s="0" t="n">
        <v>2028</v>
      </c>
      <c r="J1638" s="0" t="n">
        <v>7.02</v>
      </c>
      <c r="K1638" s="0" t="n">
        <v>146.88</v>
      </c>
      <c r="M1638" s="0" t="n">
        <v>2031</v>
      </c>
      <c r="N1638" s="0" t="n">
        <v>2.58</v>
      </c>
      <c r="O1638" s="0" t="n">
        <v>53.84</v>
      </c>
      <c r="Q1638" s="0" t="n">
        <v>2033</v>
      </c>
      <c r="R1638" s="0" t="n">
        <v>133</v>
      </c>
      <c r="W1638" s="0" t="n">
        <v>2031</v>
      </c>
      <c r="X1638" s="0" t="n">
        <v>238.255</v>
      </c>
    </row>
    <row r="1639" customFormat="false" ht="15" hidden="false" customHeight="false" outlineLevel="0" collapsed="false">
      <c r="A1639" s="0" t="n">
        <v>2031</v>
      </c>
      <c r="B1639" s="0" t="n">
        <v>217.6621153</v>
      </c>
      <c r="C1639" s="0" t="n">
        <v>4570.904422</v>
      </c>
      <c r="E1639" s="0" t="n">
        <v>2031</v>
      </c>
      <c r="F1639" s="0" t="n">
        <v>77.715701</v>
      </c>
      <c r="G1639" s="0" t="n">
        <v>1631.102326</v>
      </c>
      <c r="I1639" s="0" t="n">
        <v>2028</v>
      </c>
      <c r="J1639" s="0" t="n">
        <v>11.7</v>
      </c>
      <c r="K1639" s="0" t="n">
        <v>244.8</v>
      </c>
      <c r="M1639" s="0" t="n">
        <v>2031</v>
      </c>
      <c r="N1639" s="0" t="n">
        <v>57.76</v>
      </c>
      <c r="O1639" s="0" t="n">
        <v>1207.26</v>
      </c>
      <c r="Q1639" s="0" t="n">
        <v>2033</v>
      </c>
      <c r="R1639" s="0" t="n">
        <v>292</v>
      </c>
      <c r="W1639" s="0" t="n">
        <v>2031</v>
      </c>
      <c r="X1639" s="0" t="n">
        <v>106.514</v>
      </c>
    </row>
    <row r="1640" customFormat="false" ht="15" hidden="false" customHeight="false" outlineLevel="0" collapsed="false">
      <c r="A1640" s="0" t="n">
        <v>2031</v>
      </c>
      <c r="B1640" s="0" t="n">
        <v>54.90082184</v>
      </c>
      <c r="C1640" s="0" t="n">
        <v>1152.917259</v>
      </c>
      <c r="E1640" s="0" t="n">
        <v>2031</v>
      </c>
      <c r="F1640" s="0" t="n">
        <v>3.638177</v>
      </c>
      <c r="G1640" s="0" t="n">
        <v>76.358302</v>
      </c>
      <c r="I1640" s="0" t="n">
        <v>2028</v>
      </c>
      <c r="J1640" s="0" t="n">
        <v>2.34</v>
      </c>
      <c r="K1640" s="0" t="n">
        <v>48.96</v>
      </c>
      <c r="M1640" s="0" t="n">
        <v>2031</v>
      </c>
      <c r="N1640" s="0" t="n">
        <v>38</v>
      </c>
      <c r="O1640" s="0" t="n">
        <v>794.25</v>
      </c>
      <c r="Q1640" s="0" t="n">
        <v>2033</v>
      </c>
      <c r="R1640" s="0" t="n">
        <v>278</v>
      </c>
      <c r="W1640" s="0" t="n">
        <v>2031</v>
      </c>
      <c r="X1640" s="0" t="n">
        <v>42.045</v>
      </c>
    </row>
    <row r="1641" customFormat="false" ht="15" hidden="false" customHeight="false" outlineLevel="0" collapsed="false">
      <c r="A1641" s="0" t="n">
        <v>2031</v>
      </c>
      <c r="B1641" s="0" t="n">
        <v>48.95811321</v>
      </c>
      <c r="C1641" s="0" t="n">
        <v>1028.120377</v>
      </c>
      <c r="E1641" s="0" t="n">
        <v>2031</v>
      </c>
      <c r="F1641" s="0" t="n">
        <v>19.893282</v>
      </c>
      <c r="G1641" s="0" t="n">
        <v>417.521532</v>
      </c>
      <c r="I1641" s="0" t="n">
        <v>2028</v>
      </c>
      <c r="J1641" s="0" t="n">
        <v>2.34</v>
      </c>
      <c r="K1641" s="0" t="n">
        <v>48.96</v>
      </c>
      <c r="M1641" s="0" t="n">
        <v>2031</v>
      </c>
      <c r="N1641" s="0" t="n">
        <v>15.2</v>
      </c>
      <c r="O1641" s="0" t="n">
        <v>317.7</v>
      </c>
      <c r="Q1641" s="0" t="n">
        <v>2033</v>
      </c>
      <c r="R1641" s="0" t="n">
        <v>132</v>
      </c>
      <c r="W1641" s="0" t="n">
        <v>2031</v>
      </c>
      <c r="X1641" s="0" t="n">
        <v>61.666</v>
      </c>
    </row>
    <row r="1642" customFormat="false" ht="15" hidden="false" customHeight="false" outlineLevel="0" collapsed="false">
      <c r="A1642" s="0" t="n">
        <v>2031</v>
      </c>
      <c r="B1642" s="0" t="n">
        <v>34.04746626</v>
      </c>
      <c r="C1642" s="0" t="n">
        <v>714.9967914</v>
      </c>
      <c r="E1642" s="0" t="n">
        <v>2031</v>
      </c>
      <c r="F1642" s="0" t="n">
        <v>18.190466</v>
      </c>
      <c r="G1642" s="0" t="n">
        <v>381.782716</v>
      </c>
      <c r="I1642" s="0" t="n">
        <v>2028</v>
      </c>
      <c r="J1642" s="0" t="n">
        <v>0</v>
      </c>
      <c r="K1642" s="0" t="n">
        <v>0</v>
      </c>
      <c r="M1642" s="0" t="n">
        <v>2031</v>
      </c>
      <c r="N1642" s="0" t="n">
        <v>15.2</v>
      </c>
      <c r="O1642" s="0" t="n">
        <v>317.7</v>
      </c>
      <c r="Q1642" s="0" t="n">
        <v>2033</v>
      </c>
      <c r="R1642" s="0" t="n">
        <v>29</v>
      </c>
      <c r="W1642" s="0" t="n">
        <v>2031</v>
      </c>
      <c r="X1642" s="0" t="n">
        <v>47.651</v>
      </c>
    </row>
    <row r="1643" customFormat="false" ht="15" hidden="false" customHeight="false" outlineLevel="0" collapsed="false">
      <c r="A1643" s="0" t="n">
        <v>2031</v>
      </c>
      <c r="B1643" s="0" t="n">
        <v>25.32564368</v>
      </c>
      <c r="C1643" s="0" t="n">
        <v>531.8385172</v>
      </c>
      <c r="E1643" s="0" t="n">
        <v>2031</v>
      </c>
      <c r="F1643" s="0" t="n">
        <v>225.623611</v>
      </c>
      <c r="G1643" s="0" t="n">
        <v>4730.900545</v>
      </c>
      <c r="I1643" s="0" t="n">
        <v>2028</v>
      </c>
      <c r="J1643" s="0" t="n">
        <v>4.68</v>
      </c>
      <c r="K1643" s="0" t="n">
        <v>97.92</v>
      </c>
      <c r="M1643" s="0" t="n">
        <v>2031</v>
      </c>
      <c r="N1643" s="0" t="n">
        <v>9.12</v>
      </c>
      <c r="O1643" s="0" t="n">
        <v>190.62</v>
      </c>
      <c r="Q1643" s="0" t="n">
        <v>2033</v>
      </c>
      <c r="R1643" s="0" t="n">
        <v>28</v>
      </c>
      <c r="W1643" s="0" t="n">
        <v>2031</v>
      </c>
      <c r="X1643" s="0" t="n">
        <v>3055.36</v>
      </c>
    </row>
    <row r="1644" customFormat="false" ht="15" hidden="false" customHeight="false" outlineLevel="0" collapsed="false">
      <c r="A1644" s="0" t="n">
        <v>2031</v>
      </c>
      <c r="B1644" s="0" t="n">
        <v>11.25584163</v>
      </c>
      <c r="C1644" s="0" t="n">
        <v>236.3726743</v>
      </c>
      <c r="E1644" s="0" t="n">
        <v>2031</v>
      </c>
      <c r="F1644" s="0" t="n">
        <v>60.582439</v>
      </c>
      <c r="G1644" s="0" t="n">
        <v>1270.299205</v>
      </c>
      <c r="I1644" s="0" t="n">
        <v>2028</v>
      </c>
      <c r="J1644" s="0" t="n">
        <v>8.19</v>
      </c>
      <c r="K1644" s="0" t="n">
        <v>171.36</v>
      </c>
      <c r="M1644" s="0" t="n">
        <v>2031</v>
      </c>
      <c r="N1644" s="0" t="n">
        <v>7.6</v>
      </c>
      <c r="O1644" s="0" t="n">
        <v>158.85</v>
      </c>
      <c r="Q1644" s="0" t="n">
        <v>2033</v>
      </c>
      <c r="R1644" s="0" t="n">
        <v>28</v>
      </c>
      <c r="W1644" s="0" t="n">
        <v>2031</v>
      </c>
      <c r="X1644" s="0" t="n">
        <v>763.84</v>
      </c>
    </row>
    <row r="1645" customFormat="false" ht="15" hidden="false" customHeight="false" outlineLevel="0" collapsed="false">
      <c r="A1645" s="0" t="n">
        <v>2031</v>
      </c>
      <c r="B1645" s="0" t="n">
        <v>41.57434353</v>
      </c>
      <c r="C1645" s="0" t="n">
        <v>873.0612142</v>
      </c>
      <c r="E1645" s="0" t="n">
        <v>2031</v>
      </c>
      <c r="F1645" s="0" t="n">
        <v>24.249043</v>
      </c>
      <c r="G1645" s="0" t="n">
        <v>508.456585</v>
      </c>
      <c r="I1645" s="0" t="n">
        <v>2028</v>
      </c>
      <c r="J1645" s="0" t="n">
        <v>2.34</v>
      </c>
      <c r="K1645" s="0" t="n">
        <v>48.96</v>
      </c>
      <c r="M1645" s="0" t="n">
        <v>2031</v>
      </c>
      <c r="N1645" s="0" t="n">
        <v>6.08</v>
      </c>
      <c r="O1645" s="0" t="n">
        <v>127.08</v>
      </c>
      <c r="Q1645" s="0" t="n">
        <v>2033</v>
      </c>
      <c r="R1645" s="0" t="n">
        <v>533</v>
      </c>
      <c r="W1645" s="0" t="n">
        <v>2031</v>
      </c>
      <c r="X1645" s="0" t="n">
        <v>236.544</v>
      </c>
    </row>
    <row r="1646" customFormat="false" ht="15" hidden="false" customHeight="false" outlineLevel="0" collapsed="false">
      <c r="A1646" s="0" t="n">
        <v>2031</v>
      </c>
      <c r="B1646" s="0" t="n">
        <v>13.0142213</v>
      </c>
      <c r="C1646" s="0" t="n">
        <v>273.2986472</v>
      </c>
      <c r="E1646" s="0" t="n">
        <v>2031</v>
      </c>
      <c r="F1646" s="0" t="n">
        <v>3.406201</v>
      </c>
      <c r="G1646" s="0" t="n">
        <v>71.421595</v>
      </c>
      <c r="I1646" s="0" t="n">
        <v>2028</v>
      </c>
      <c r="J1646" s="0" t="n">
        <v>8.19</v>
      </c>
      <c r="K1646" s="0" t="n">
        <v>171.36</v>
      </c>
      <c r="M1646" s="0" t="n">
        <v>2031</v>
      </c>
      <c r="N1646" s="0" t="n">
        <v>3.04</v>
      </c>
      <c r="O1646" s="0" t="n">
        <v>63.54</v>
      </c>
      <c r="Q1646" s="0" t="n">
        <v>2033</v>
      </c>
      <c r="R1646" s="0" t="n">
        <v>506</v>
      </c>
      <c r="W1646" s="0" t="n">
        <v>2031</v>
      </c>
      <c r="X1646" s="0" t="n">
        <v>418.88</v>
      </c>
    </row>
    <row r="1647" customFormat="false" ht="15" hidden="false" customHeight="false" outlineLevel="0" collapsed="false">
      <c r="A1647" s="0" t="n">
        <v>2031</v>
      </c>
      <c r="B1647" s="0" t="n">
        <v>29.09900351</v>
      </c>
      <c r="C1647" s="0" t="n">
        <v>611.0790736</v>
      </c>
      <c r="E1647" s="0" t="n">
        <v>2031</v>
      </c>
      <c r="F1647" s="0" t="n">
        <v>81.425281</v>
      </c>
      <c r="G1647" s="0" t="n">
        <v>1707.334195</v>
      </c>
      <c r="I1647" s="0" t="n">
        <v>2028</v>
      </c>
      <c r="J1647" s="0" t="n">
        <v>213.12</v>
      </c>
      <c r="K1647" s="0" t="n">
        <v>4471.68</v>
      </c>
      <c r="M1647" s="0" t="n">
        <v>2031</v>
      </c>
      <c r="N1647" s="0" t="n">
        <v>110.96</v>
      </c>
      <c r="O1647" s="0" t="n">
        <v>2324.84</v>
      </c>
      <c r="Q1647" s="0" t="n">
        <v>2033</v>
      </c>
      <c r="R1647" s="0" t="n">
        <v>240</v>
      </c>
      <c r="W1647" s="0" t="n">
        <v>2031</v>
      </c>
      <c r="X1647" s="0" t="n">
        <v>187.264</v>
      </c>
    </row>
    <row r="1648" customFormat="false" ht="15" hidden="false" customHeight="false" outlineLevel="0" collapsed="false">
      <c r="A1648" s="0" t="n">
        <v>2031</v>
      </c>
      <c r="B1648" s="0" t="n">
        <v>219.3306856</v>
      </c>
      <c r="C1648" s="0" t="n">
        <v>4605.944397</v>
      </c>
      <c r="E1648" s="0" t="n">
        <v>2031</v>
      </c>
      <c r="F1648" s="0" t="n">
        <v>3.811837</v>
      </c>
      <c r="G1648" s="0" t="n">
        <v>79.927015</v>
      </c>
      <c r="I1648" s="0" t="n">
        <v>2028</v>
      </c>
      <c r="J1648" s="0" t="n">
        <v>71.04</v>
      </c>
      <c r="K1648" s="0" t="n">
        <v>1490.56</v>
      </c>
      <c r="M1648" s="0" t="n">
        <v>2031</v>
      </c>
      <c r="N1648" s="0" t="n">
        <v>73</v>
      </c>
      <c r="O1648" s="0" t="n">
        <v>1529.5</v>
      </c>
      <c r="Q1648" s="0" t="n">
        <v>2033</v>
      </c>
      <c r="R1648" s="0" t="n">
        <v>53</v>
      </c>
      <c r="W1648" s="0" t="n">
        <v>2031</v>
      </c>
      <c r="X1648" s="0" t="n">
        <v>73.92</v>
      </c>
    </row>
    <row r="1649" customFormat="false" ht="15" hidden="false" customHeight="false" outlineLevel="0" collapsed="false">
      <c r="A1649" s="0" t="n">
        <v>2031</v>
      </c>
      <c r="B1649" s="0" t="n">
        <v>55.3216846</v>
      </c>
      <c r="C1649" s="0" t="n">
        <v>1161.755377</v>
      </c>
      <c r="E1649" s="0" t="n">
        <v>2031</v>
      </c>
      <c r="F1649" s="0" t="n">
        <v>20.842842</v>
      </c>
      <c r="G1649" s="0" t="n">
        <v>437.03499</v>
      </c>
      <c r="I1649" s="0" t="n">
        <v>2028</v>
      </c>
      <c r="J1649" s="0" t="n">
        <v>31.08</v>
      </c>
      <c r="K1649" s="0" t="n">
        <v>652.12</v>
      </c>
      <c r="M1649" s="0" t="n">
        <v>2031</v>
      </c>
      <c r="N1649" s="0" t="n">
        <v>29.2</v>
      </c>
      <c r="O1649" s="0" t="n">
        <v>611.8</v>
      </c>
      <c r="Q1649" s="0" t="n">
        <v>2033</v>
      </c>
      <c r="R1649" s="0" t="n">
        <v>52</v>
      </c>
      <c r="W1649" s="0" t="n">
        <v>2031</v>
      </c>
      <c r="X1649" s="0" t="n">
        <v>108.416</v>
      </c>
    </row>
    <row r="1650" customFormat="false" ht="15" hidden="false" customHeight="false" outlineLevel="0" collapsed="false">
      <c r="A1650" s="0" t="n">
        <v>2031</v>
      </c>
      <c r="B1650" s="0" t="n">
        <v>49.33341992</v>
      </c>
      <c r="C1650" s="0" t="n">
        <v>1036.001818</v>
      </c>
      <c r="E1650" s="0" t="n">
        <v>2031</v>
      </c>
      <c r="F1650" s="0" t="n">
        <v>19.058746</v>
      </c>
      <c r="G1650" s="0" t="n">
        <v>399.62587</v>
      </c>
      <c r="I1650" s="0" t="n">
        <v>2028</v>
      </c>
      <c r="J1650" s="0" t="n">
        <v>17.76</v>
      </c>
      <c r="K1650" s="0" t="n">
        <v>372.64</v>
      </c>
      <c r="M1650" s="0" t="n">
        <v>2031</v>
      </c>
      <c r="N1650" s="0" t="n">
        <v>29.2</v>
      </c>
      <c r="O1650" s="0" t="n">
        <v>611.8</v>
      </c>
      <c r="Q1650" s="0" t="n">
        <v>2033</v>
      </c>
      <c r="R1650" s="0" t="n">
        <v>52</v>
      </c>
      <c r="W1650" s="0" t="n">
        <v>2031</v>
      </c>
      <c r="X1650" s="0" t="n">
        <v>83.776</v>
      </c>
    </row>
    <row r="1651" customFormat="false" ht="15" hidden="false" customHeight="false" outlineLevel="0" collapsed="false">
      <c r="A1651" s="0" t="n">
        <v>2031</v>
      </c>
      <c r="B1651" s="0" t="n">
        <v>34.30846983</v>
      </c>
      <c r="C1651" s="0" t="n">
        <v>720.4778665</v>
      </c>
      <c r="E1651" s="0" t="n">
        <v>2031</v>
      </c>
      <c r="F1651" s="0" t="n">
        <v>841.848462</v>
      </c>
      <c r="G1651" s="0" t="n">
        <v>17674.70611</v>
      </c>
      <c r="I1651" s="0" t="n">
        <v>2028</v>
      </c>
      <c r="J1651" s="0" t="n">
        <v>17.76</v>
      </c>
      <c r="K1651" s="0" t="n">
        <v>372.64</v>
      </c>
      <c r="M1651" s="0" t="n">
        <v>2031</v>
      </c>
      <c r="N1651" s="0" t="n">
        <v>17.52</v>
      </c>
      <c r="O1651" s="0" t="n">
        <v>367.08</v>
      </c>
      <c r="Q1651" s="0" t="n">
        <v>2033</v>
      </c>
      <c r="R1651" s="0" t="n">
        <v>87</v>
      </c>
      <c r="W1651" s="0" t="n">
        <v>2031</v>
      </c>
      <c r="X1651" s="0" t="n">
        <v>28844.88</v>
      </c>
    </row>
    <row r="1652" customFormat="false" ht="15" hidden="false" customHeight="false" outlineLevel="0" collapsed="false">
      <c r="A1652" s="0" t="n">
        <v>2031</v>
      </c>
      <c r="B1652" s="0" t="n">
        <v>25.51978686</v>
      </c>
      <c r="C1652" s="0" t="n">
        <v>535.9155241</v>
      </c>
      <c r="E1652" s="0" t="n">
        <v>2031</v>
      </c>
      <c r="F1652" s="0" t="n">
        <v>226.045638</v>
      </c>
      <c r="G1652" s="0" t="n">
        <v>4745.85439</v>
      </c>
      <c r="I1652" s="0" t="n">
        <v>2028</v>
      </c>
      <c r="J1652" s="0" t="n">
        <v>8.88</v>
      </c>
      <c r="K1652" s="0" t="n">
        <v>186.32</v>
      </c>
      <c r="M1652" s="0" t="n">
        <v>2031</v>
      </c>
      <c r="N1652" s="0" t="n">
        <v>14.6</v>
      </c>
      <c r="O1652" s="0" t="n">
        <v>305.9</v>
      </c>
      <c r="Q1652" s="0" t="n">
        <v>2033</v>
      </c>
      <c r="R1652" s="0" t="n">
        <v>82</v>
      </c>
      <c r="W1652" s="0" t="n">
        <v>2031</v>
      </c>
      <c r="X1652" s="0" t="n">
        <v>7211.22</v>
      </c>
    </row>
    <row r="1653" customFormat="false" ht="15" hidden="false" customHeight="false" outlineLevel="0" collapsed="false">
      <c r="A1653" s="0" t="n">
        <v>2031</v>
      </c>
      <c r="B1653" s="0" t="n">
        <v>11.34212749</v>
      </c>
      <c r="C1653" s="0" t="n">
        <v>238.1846774</v>
      </c>
      <c r="E1653" s="0" t="n">
        <v>2031</v>
      </c>
      <c r="F1653" s="0" t="n">
        <v>90.478206</v>
      </c>
      <c r="G1653" s="0" t="n">
        <v>1899.60043</v>
      </c>
      <c r="I1653" s="0" t="n">
        <v>2028</v>
      </c>
      <c r="J1653" s="0" t="n">
        <v>8.88</v>
      </c>
      <c r="K1653" s="0" t="n">
        <v>186.32</v>
      </c>
      <c r="M1653" s="0" t="n">
        <v>2031</v>
      </c>
      <c r="N1653" s="0" t="n">
        <v>11.68</v>
      </c>
      <c r="O1653" s="0" t="n">
        <v>244.72</v>
      </c>
      <c r="Q1653" s="0" t="n">
        <v>2033</v>
      </c>
      <c r="R1653" s="0" t="n">
        <v>39</v>
      </c>
      <c r="W1653" s="0" t="n">
        <v>2031</v>
      </c>
      <c r="X1653" s="0" t="n">
        <v>2233.152</v>
      </c>
    </row>
    <row r="1654" customFormat="false" ht="15" hidden="false" customHeight="false" outlineLevel="0" collapsed="false">
      <c r="A1654" s="0" t="n">
        <v>2031</v>
      </c>
      <c r="B1654" s="0" t="n">
        <v>41.8930472</v>
      </c>
      <c r="C1654" s="0" t="n">
        <v>879.7539912</v>
      </c>
      <c r="E1654" s="0" t="n">
        <v>2031</v>
      </c>
      <c r="F1654" s="0" t="n">
        <v>12.709242</v>
      </c>
      <c r="G1654" s="0" t="n">
        <v>266.83201</v>
      </c>
      <c r="I1654" s="0" t="n">
        <v>2028</v>
      </c>
      <c r="J1654" s="0" t="n">
        <v>17.76</v>
      </c>
      <c r="K1654" s="0" t="n">
        <v>372.64</v>
      </c>
      <c r="M1654" s="0" t="n">
        <v>2031</v>
      </c>
      <c r="N1654" s="0" t="n">
        <v>5.84</v>
      </c>
      <c r="O1654" s="0" t="n">
        <v>122.36</v>
      </c>
      <c r="Q1654" s="0" t="n">
        <v>2033</v>
      </c>
      <c r="R1654" s="0" t="n">
        <v>9</v>
      </c>
      <c r="W1654" s="0" t="n">
        <v>2031</v>
      </c>
      <c r="X1654" s="0" t="n">
        <v>3954.54</v>
      </c>
    </row>
    <row r="1655" customFormat="false" ht="15" hidden="false" customHeight="false" outlineLevel="0" collapsed="false">
      <c r="A1655" s="0" t="n">
        <v>2031</v>
      </c>
      <c r="B1655" s="0" t="n">
        <v>13.11398667</v>
      </c>
      <c r="C1655" s="0" t="n">
        <v>275.3937201</v>
      </c>
      <c r="E1655" s="0" t="n">
        <v>2031</v>
      </c>
      <c r="F1655" s="0" t="n">
        <v>303.814602</v>
      </c>
      <c r="G1655" s="0" t="n">
        <v>6378.62281</v>
      </c>
      <c r="I1655" s="0" t="n">
        <v>2028</v>
      </c>
      <c r="J1655" s="0" t="n">
        <v>31.08</v>
      </c>
      <c r="K1655" s="0" t="n">
        <v>652.12</v>
      </c>
      <c r="M1655" s="0" t="n">
        <v>2031</v>
      </c>
      <c r="N1655" s="0" t="n">
        <v>111.34</v>
      </c>
      <c r="O1655" s="0" t="n">
        <v>2330.92</v>
      </c>
      <c r="Q1655" s="0" t="n">
        <v>2033</v>
      </c>
      <c r="R1655" s="0" t="n">
        <v>8</v>
      </c>
      <c r="W1655" s="0" t="n">
        <v>2031</v>
      </c>
      <c r="X1655" s="0" t="n">
        <v>1767.912</v>
      </c>
    </row>
    <row r="1656" customFormat="false" ht="15" hidden="false" customHeight="false" outlineLevel="0" collapsed="false">
      <c r="A1656" s="0" t="n">
        <v>2031</v>
      </c>
      <c r="B1656" s="0" t="n">
        <v>29.32207279</v>
      </c>
      <c r="C1656" s="0" t="n">
        <v>615.7635286</v>
      </c>
      <c r="E1656" s="0" t="n">
        <v>2031</v>
      </c>
      <c r="F1656" s="0" t="n">
        <v>14.222754</v>
      </c>
      <c r="G1656" s="0" t="n">
        <v>298.60837</v>
      </c>
      <c r="I1656" s="0" t="n">
        <v>2028</v>
      </c>
      <c r="J1656" s="0" t="n">
        <v>13.32</v>
      </c>
      <c r="K1656" s="0" t="n">
        <v>279.48</v>
      </c>
      <c r="M1656" s="0" t="n">
        <v>2031</v>
      </c>
      <c r="N1656" s="0" t="n">
        <v>73.25</v>
      </c>
      <c r="O1656" s="0" t="n">
        <v>1533.5</v>
      </c>
      <c r="Q1656" s="0" t="n">
        <v>2033</v>
      </c>
      <c r="R1656" s="0" t="n">
        <v>8</v>
      </c>
      <c r="W1656" s="0" t="n">
        <v>2031</v>
      </c>
      <c r="X1656" s="0" t="n">
        <v>697.86</v>
      </c>
    </row>
    <row r="1657" customFormat="false" ht="15" hidden="false" customHeight="false" outlineLevel="0" collapsed="false">
      <c r="A1657" s="0" t="n">
        <v>2031</v>
      </c>
      <c r="B1657" s="0" t="n">
        <v>178.5657877</v>
      </c>
      <c r="C1657" s="0" t="n">
        <v>3749.881542</v>
      </c>
      <c r="E1657" s="0" t="n">
        <v>2031</v>
      </c>
      <c r="F1657" s="0" t="n">
        <v>77.768964</v>
      </c>
      <c r="G1657" s="0" t="n">
        <v>1632.76842</v>
      </c>
      <c r="I1657" s="0" t="n">
        <v>2028</v>
      </c>
      <c r="J1657" s="0" t="n">
        <v>13.32</v>
      </c>
      <c r="K1657" s="0" t="n">
        <v>279.48</v>
      </c>
      <c r="M1657" s="0" t="n">
        <v>2031</v>
      </c>
      <c r="N1657" s="0" t="n">
        <v>29.3</v>
      </c>
      <c r="O1657" s="0" t="n">
        <v>613.4</v>
      </c>
      <c r="Q1657" s="0" t="n">
        <v>2033</v>
      </c>
      <c r="R1657" s="0" t="n">
        <v>221</v>
      </c>
      <c r="W1657" s="0" t="n">
        <v>2031</v>
      </c>
      <c r="X1657" s="0" t="n">
        <v>1023.528</v>
      </c>
    </row>
    <row r="1658" customFormat="false" ht="15" hidden="false" customHeight="false" outlineLevel="0" collapsed="false">
      <c r="A1658" s="0" t="n">
        <v>2031</v>
      </c>
      <c r="B1658" s="0" t="n">
        <v>45.03957192</v>
      </c>
      <c r="C1658" s="0" t="n">
        <v>945.8310103</v>
      </c>
      <c r="E1658" s="0" t="n">
        <v>2031</v>
      </c>
      <c r="F1658" s="0" t="n">
        <v>71.112132</v>
      </c>
      <c r="G1658" s="0" t="n">
        <v>1493.00746</v>
      </c>
      <c r="I1658" s="0" t="n">
        <v>2028</v>
      </c>
      <c r="J1658" s="0" t="n">
        <v>50.44</v>
      </c>
      <c r="K1658" s="0" t="n">
        <v>1056.64</v>
      </c>
      <c r="M1658" s="0" t="n">
        <v>2031</v>
      </c>
      <c r="N1658" s="0" t="n">
        <v>29.3</v>
      </c>
      <c r="O1658" s="0" t="n">
        <v>613.4</v>
      </c>
      <c r="Q1658" s="0" t="n">
        <v>2033</v>
      </c>
      <c r="R1658" s="0" t="n">
        <v>210</v>
      </c>
      <c r="W1658" s="0" t="n">
        <v>2031</v>
      </c>
      <c r="X1658" s="0" t="n">
        <v>790.908</v>
      </c>
    </row>
    <row r="1659" customFormat="false" ht="15" hidden="false" customHeight="false" outlineLevel="0" collapsed="false">
      <c r="A1659" s="0" t="n">
        <v>2031</v>
      </c>
      <c r="B1659" s="0" t="n">
        <v>40.16428875</v>
      </c>
      <c r="C1659" s="0" t="n">
        <v>843.4500637</v>
      </c>
      <c r="E1659" s="0" t="n">
        <v>2031</v>
      </c>
      <c r="F1659" s="0" t="n">
        <v>880.908586</v>
      </c>
      <c r="G1659" s="0" t="n">
        <v>18489.31528</v>
      </c>
      <c r="I1659" s="0" t="n">
        <v>2028</v>
      </c>
      <c r="J1659" s="0" t="n">
        <v>7.76</v>
      </c>
      <c r="K1659" s="0" t="n">
        <v>162.56</v>
      </c>
      <c r="M1659" s="0" t="n">
        <v>2031</v>
      </c>
      <c r="N1659" s="0" t="n">
        <v>17.58</v>
      </c>
      <c r="O1659" s="0" t="n">
        <v>368.04</v>
      </c>
      <c r="Q1659" s="0" t="n">
        <v>2033</v>
      </c>
      <c r="R1659" s="0" t="n">
        <v>100</v>
      </c>
      <c r="W1659" s="0" t="n">
        <v>2031</v>
      </c>
      <c r="X1659" s="0" t="n">
        <v>11487.36</v>
      </c>
    </row>
    <row r="1660" customFormat="false" ht="15" hidden="false" customHeight="false" outlineLevel="0" collapsed="false">
      <c r="A1660" s="0" t="n">
        <v>2031</v>
      </c>
      <c r="B1660" s="0" t="n">
        <v>27.93188251</v>
      </c>
      <c r="C1660" s="0" t="n">
        <v>586.5695327</v>
      </c>
      <c r="E1660" s="0" t="n">
        <v>2031</v>
      </c>
      <c r="F1660" s="0" t="n">
        <v>236.533714</v>
      </c>
      <c r="G1660" s="0" t="n">
        <v>4964.585975</v>
      </c>
      <c r="I1660" s="0" t="n">
        <v>2028</v>
      </c>
      <c r="J1660" s="0" t="n">
        <v>5.82</v>
      </c>
      <c r="K1660" s="0" t="n">
        <v>121.92</v>
      </c>
      <c r="M1660" s="0" t="n">
        <v>2031</v>
      </c>
      <c r="N1660" s="0" t="n">
        <v>14.65</v>
      </c>
      <c r="O1660" s="0" t="n">
        <v>306.7</v>
      </c>
      <c r="Q1660" s="0" t="n">
        <v>2033</v>
      </c>
      <c r="R1660" s="0" t="n">
        <v>22</v>
      </c>
      <c r="W1660" s="0" t="n">
        <v>2031</v>
      </c>
      <c r="X1660" s="0" t="n">
        <v>2871.84</v>
      </c>
    </row>
    <row r="1661" customFormat="false" ht="15" hidden="false" customHeight="false" outlineLevel="0" collapsed="false">
      <c r="A1661" s="0" t="n">
        <v>2031</v>
      </c>
      <c r="B1661" s="0" t="n">
        <v>20.77666803</v>
      </c>
      <c r="C1661" s="0" t="n">
        <v>436.3100286</v>
      </c>
      <c r="E1661" s="0" t="n">
        <v>2031</v>
      </c>
      <c r="F1661" s="0" t="n">
        <v>94.676218</v>
      </c>
      <c r="G1661" s="0" t="n">
        <v>1987.151075</v>
      </c>
      <c r="I1661" s="0" t="n">
        <v>2028</v>
      </c>
      <c r="J1661" s="0" t="n">
        <v>9.7</v>
      </c>
      <c r="K1661" s="0" t="n">
        <v>203.2</v>
      </c>
      <c r="M1661" s="0" t="n">
        <v>2031</v>
      </c>
      <c r="N1661" s="0" t="n">
        <v>11.72</v>
      </c>
      <c r="O1661" s="0" t="n">
        <v>245.36</v>
      </c>
      <c r="Q1661" s="0" t="n">
        <v>2033</v>
      </c>
      <c r="R1661" s="0" t="n">
        <v>20</v>
      </c>
      <c r="W1661" s="0" t="n">
        <v>2031</v>
      </c>
      <c r="X1661" s="0" t="n">
        <v>889.344</v>
      </c>
    </row>
    <row r="1662" customFormat="false" ht="15" hidden="false" customHeight="false" outlineLevel="0" collapsed="false">
      <c r="A1662" s="0" t="n">
        <v>2031</v>
      </c>
      <c r="B1662" s="0" t="n">
        <v>9.234074679</v>
      </c>
      <c r="C1662" s="0" t="n">
        <v>193.9155683</v>
      </c>
      <c r="E1662" s="0" t="n">
        <v>2031</v>
      </c>
      <c r="F1662" s="0" t="n">
        <v>13.298926</v>
      </c>
      <c r="G1662" s="0" t="n">
        <v>279.130025</v>
      </c>
      <c r="I1662" s="0" t="n">
        <v>2028</v>
      </c>
      <c r="J1662" s="0" t="n">
        <v>1.94</v>
      </c>
      <c r="K1662" s="0" t="n">
        <v>40.64</v>
      </c>
      <c r="M1662" s="0" t="n">
        <v>2031</v>
      </c>
      <c r="N1662" s="0" t="n">
        <v>5.86</v>
      </c>
      <c r="O1662" s="0" t="n">
        <v>122.68</v>
      </c>
      <c r="Q1662" s="0" t="n">
        <v>2033</v>
      </c>
      <c r="R1662" s="0" t="n">
        <v>20</v>
      </c>
      <c r="W1662" s="0" t="n">
        <v>2031</v>
      </c>
      <c r="X1662" s="0" t="n">
        <v>1574.88</v>
      </c>
    </row>
    <row r="1663" customFormat="false" ht="15" hidden="false" customHeight="false" outlineLevel="0" collapsed="false">
      <c r="A1663" s="0" t="n">
        <v>2031</v>
      </c>
      <c r="B1663" s="0" t="n">
        <v>34.10678698</v>
      </c>
      <c r="C1663" s="0" t="n">
        <v>716.2425267</v>
      </c>
      <c r="E1663" s="0" t="n">
        <v>2031</v>
      </c>
      <c r="F1663" s="0" t="n">
        <v>317.911006</v>
      </c>
      <c r="G1663" s="0" t="n">
        <v>6672.607025</v>
      </c>
      <c r="I1663" s="0" t="n">
        <v>2028</v>
      </c>
      <c r="J1663" s="0" t="n">
        <v>1.94</v>
      </c>
      <c r="K1663" s="0" t="n">
        <v>40.64</v>
      </c>
      <c r="M1663" s="0" t="n">
        <v>2031</v>
      </c>
      <c r="N1663" s="0" t="n">
        <v>619.78</v>
      </c>
      <c r="O1663" s="0" t="n">
        <v>13011.96</v>
      </c>
      <c r="Q1663" s="0" t="n">
        <v>2033</v>
      </c>
      <c r="R1663" s="0" t="n">
        <v>126</v>
      </c>
      <c r="W1663" s="0" t="n">
        <v>2031</v>
      </c>
      <c r="X1663" s="0" t="n">
        <v>704.064</v>
      </c>
    </row>
    <row r="1664" customFormat="false" ht="15" hidden="false" customHeight="false" outlineLevel="0" collapsed="false">
      <c r="A1664" s="0" t="n">
        <v>2031</v>
      </c>
      <c r="B1664" s="0" t="n">
        <v>10.67661533</v>
      </c>
      <c r="C1664" s="0" t="n">
        <v>224.2089219</v>
      </c>
      <c r="E1664" s="0" t="n">
        <v>2031</v>
      </c>
      <c r="F1664" s="0" t="n">
        <v>14.882662</v>
      </c>
      <c r="G1664" s="0" t="n">
        <v>312.370925</v>
      </c>
      <c r="I1664" s="0" t="n">
        <v>2028</v>
      </c>
      <c r="J1664" s="0" t="n">
        <v>0</v>
      </c>
      <c r="K1664" s="0" t="n">
        <v>0</v>
      </c>
      <c r="M1664" s="0" t="n">
        <v>2031</v>
      </c>
      <c r="N1664" s="0" t="n">
        <v>407.75</v>
      </c>
      <c r="O1664" s="0" t="n">
        <v>8560.5</v>
      </c>
      <c r="Q1664" s="0" t="n">
        <v>2033</v>
      </c>
      <c r="R1664" s="0" t="n">
        <v>120</v>
      </c>
      <c r="W1664" s="0" t="n">
        <v>2031</v>
      </c>
      <c r="X1664" s="0" t="n">
        <v>277.92</v>
      </c>
    </row>
    <row r="1665" customFormat="false" ht="15" hidden="false" customHeight="false" outlineLevel="0" collapsed="false">
      <c r="A1665" s="0" t="n">
        <v>2031</v>
      </c>
      <c r="B1665" s="0" t="n">
        <v>23.87225942</v>
      </c>
      <c r="C1665" s="0" t="n">
        <v>501.3174478</v>
      </c>
      <c r="E1665" s="0" t="n">
        <v>2031</v>
      </c>
      <c r="F1665" s="0" t="n">
        <v>81.377292</v>
      </c>
      <c r="G1665" s="0" t="n">
        <v>1708.02105</v>
      </c>
      <c r="I1665" s="0" t="n">
        <v>2028</v>
      </c>
      <c r="J1665" s="0" t="n">
        <v>3.88</v>
      </c>
      <c r="K1665" s="0" t="n">
        <v>81.28</v>
      </c>
      <c r="M1665" s="0" t="n">
        <v>2031</v>
      </c>
      <c r="N1665" s="0" t="n">
        <v>163.1</v>
      </c>
      <c r="O1665" s="0" t="n">
        <v>3424.2</v>
      </c>
      <c r="Q1665" s="0" t="n">
        <v>2033</v>
      </c>
      <c r="R1665" s="0" t="n">
        <v>57</v>
      </c>
      <c r="W1665" s="0" t="n">
        <v>2031</v>
      </c>
      <c r="X1665" s="0" t="n">
        <v>407.616</v>
      </c>
    </row>
    <row r="1666" customFormat="false" ht="15" hidden="false" customHeight="false" outlineLevel="0" collapsed="false">
      <c r="A1666" s="0" t="n">
        <v>2031</v>
      </c>
      <c r="B1666" s="0" t="n">
        <v>326.0328777</v>
      </c>
      <c r="C1666" s="0" t="n">
        <v>6846.690432</v>
      </c>
      <c r="E1666" s="0" t="n">
        <v>2031</v>
      </c>
      <c r="F1666" s="0" t="n">
        <v>74.411596</v>
      </c>
      <c r="G1666" s="0" t="n">
        <v>1561.81865</v>
      </c>
      <c r="I1666" s="0" t="n">
        <v>2028</v>
      </c>
      <c r="J1666" s="0" t="n">
        <v>6.79</v>
      </c>
      <c r="K1666" s="0" t="n">
        <v>142.24</v>
      </c>
      <c r="M1666" s="0" t="n">
        <v>2031</v>
      </c>
      <c r="N1666" s="0" t="n">
        <v>163.1</v>
      </c>
      <c r="O1666" s="0" t="n">
        <v>3424.2</v>
      </c>
      <c r="Q1666" s="0" t="n">
        <v>2033</v>
      </c>
      <c r="R1666" s="0" t="n">
        <v>13</v>
      </c>
      <c r="W1666" s="0" t="n">
        <v>2031</v>
      </c>
      <c r="X1666" s="0" t="n">
        <v>314.976</v>
      </c>
    </row>
    <row r="1667" customFormat="false" ht="15" hidden="false" customHeight="false" outlineLevel="0" collapsed="false">
      <c r="A1667" s="0" t="n">
        <v>2031</v>
      </c>
      <c r="B1667" s="0" t="n">
        <v>82.23513268</v>
      </c>
      <c r="C1667" s="0" t="n">
        <v>1726.937786</v>
      </c>
      <c r="E1667" s="0" t="n">
        <v>2031</v>
      </c>
      <c r="F1667" s="0" t="n">
        <v>298.604369</v>
      </c>
      <c r="G1667" s="0" t="n">
        <v>6264.010412</v>
      </c>
      <c r="I1667" s="0" t="n">
        <v>2028</v>
      </c>
      <c r="J1667" s="0" t="n">
        <v>1.94</v>
      </c>
      <c r="K1667" s="0" t="n">
        <v>40.64</v>
      </c>
      <c r="M1667" s="0" t="n">
        <v>2031</v>
      </c>
      <c r="N1667" s="0" t="n">
        <v>97.86</v>
      </c>
      <c r="O1667" s="0" t="n">
        <v>2054.52</v>
      </c>
      <c r="Q1667" s="0" t="n">
        <v>2033</v>
      </c>
      <c r="R1667" s="0" t="n">
        <v>13</v>
      </c>
      <c r="W1667" s="0" t="n">
        <v>2031</v>
      </c>
      <c r="X1667" s="0" t="n">
        <v>15095.76</v>
      </c>
    </row>
    <row r="1668" customFormat="false" ht="15" hidden="false" customHeight="false" outlineLevel="0" collapsed="false">
      <c r="A1668" s="0" t="n">
        <v>2031</v>
      </c>
      <c r="B1668" s="0" t="n">
        <v>73.33363692</v>
      </c>
      <c r="C1668" s="0" t="n">
        <v>1540.006375</v>
      </c>
      <c r="E1668" s="0" t="n">
        <v>2031</v>
      </c>
      <c r="F1668" s="0" t="n">
        <v>80.178581</v>
      </c>
      <c r="G1668" s="0" t="n">
        <v>1681.956188</v>
      </c>
      <c r="I1668" s="0" t="n">
        <v>2028</v>
      </c>
      <c r="J1668" s="0" t="n">
        <v>6.79</v>
      </c>
      <c r="K1668" s="0" t="n">
        <v>142.24</v>
      </c>
      <c r="M1668" s="0" t="n">
        <v>2031</v>
      </c>
      <c r="N1668" s="0" t="n">
        <v>81.55</v>
      </c>
      <c r="O1668" s="0" t="n">
        <v>1712.1</v>
      </c>
      <c r="Q1668" s="0" t="n">
        <v>2033</v>
      </c>
      <c r="R1668" s="0" t="n">
        <v>13</v>
      </c>
      <c r="W1668" s="0" t="n">
        <v>2031</v>
      </c>
      <c r="X1668" s="0" t="n">
        <v>3773.94</v>
      </c>
    </row>
    <row r="1669" customFormat="false" ht="15" hidden="false" customHeight="false" outlineLevel="0" collapsed="false">
      <c r="A1669" s="0" t="n">
        <v>2031</v>
      </c>
      <c r="B1669" s="0" t="n">
        <v>50.9991984</v>
      </c>
      <c r="C1669" s="0" t="n">
        <v>1070.983166</v>
      </c>
      <c r="E1669" s="0" t="n">
        <v>2031</v>
      </c>
      <c r="F1669" s="0" t="n">
        <v>32.092697</v>
      </c>
      <c r="G1669" s="0" t="n">
        <v>673.228556</v>
      </c>
      <c r="I1669" s="0" t="n">
        <v>2028</v>
      </c>
      <c r="J1669" s="0" t="n">
        <v>952.32</v>
      </c>
      <c r="K1669" s="0" t="n">
        <v>19993.92</v>
      </c>
      <c r="M1669" s="0" t="n">
        <v>2031</v>
      </c>
      <c r="N1669" s="0" t="n">
        <v>65.24</v>
      </c>
      <c r="O1669" s="0" t="n">
        <v>1369.68</v>
      </c>
      <c r="Q1669" s="0" t="n">
        <v>2033</v>
      </c>
      <c r="R1669" s="0" t="n">
        <v>86</v>
      </c>
      <c r="W1669" s="0" t="n">
        <v>2031</v>
      </c>
      <c r="X1669" s="0" t="n">
        <v>1168.704</v>
      </c>
    </row>
    <row r="1670" customFormat="false" ht="15" hidden="false" customHeight="false" outlineLevel="0" collapsed="false">
      <c r="A1670" s="0" t="n">
        <v>2031</v>
      </c>
      <c r="B1670" s="0" t="n">
        <v>37.93490877</v>
      </c>
      <c r="C1670" s="0" t="n">
        <v>796.6330842</v>
      </c>
      <c r="E1670" s="0" t="n">
        <v>2031</v>
      </c>
      <c r="F1670" s="0" t="n">
        <v>4.507979</v>
      </c>
      <c r="G1670" s="0" t="n">
        <v>94.566692</v>
      </c>
      <c r="I1670" s="0" t="n">
        <v>2028</v>
      </c>
      <c r="J1670" s="0" t="n">
        <v>317.44</v>
      </c>
      <c r="K1670" s="0" t="n">
        <v>6664.64</v>
      </c>
      <c r="M1670" s="0" t="n">
        <v>2031</v>
      </c>
      <c r="N1670" s="0" t="n">
        <v>32.62</v>
      </c>
      <c r="O1670" s="0" t="n">
        <v>684.84</v>
      </c>
      <c r="Q1670" s="0" t="n">
        <v>2033</v>
      </c>
      <c r="R1670" s="0" t="n">
        <v>82</v>
      </c>
      <c r="W1670" s="0" t="n">
        <v>2031</v>
      </c>
      <c r="X1670" s="0" t="n">
        <v>2069.58</v>
      </c>
    </row>
    <row r="1671" customFormat="false" ht="15" hidden="false" customHeight="false" outlineLevel="0" collapsed="false">
      <c r="A1671" s="0" t="n">
        <v>2031</v>
      </c>
      <c r="B1671" s="0" t="n">
        <v>16.85995945</v>
      </c>
      <c r="C1671" s="0" t="n">
        <v>354.0591486</v>
      </c>
      <c r="E1671" s="0" t="n">
        <v>2031</v>
      </c>
      <c r="F1671" s="0" t="n">
        <v>107.763299</v>
      </c>
      <c r="G1671" s="0" t="n">
        <v>2260.618052</v>
      </c>
      <c r="I1671" s="0" t="n">
        <v>2028</v>
      </c>
      <c r="J1671" s="0" t="n">
        <v>138.88</v>
      </c>
      <c r="K1671" s="0" t="n">
        <v>2915.78</v>
      </c>
      <c r="M1671" s="0" t="n">
        <v>2031</v>
      </c>
      <c r="N1671" s="0" t="n">
        <v>210.9</v>
      </c>
      <c r="O1671" s="0" t="n">
        <v>4423.2</v>
      </c>
      <c r="Q1671" s="0" t="n">
        <v>2033</v>
      </c>
      <c r="R1671" s="0" t="n">
        <v>39</v>
      </c>
      <c r="W1671" s="0" t="n">
        <v>2031</v>
      </c>
      <c r="X1671" s="0" t="n">
        <v>925.224</v>
      </c>
    </row>
    <row r="1672" customFormat="false" ht="15" hidden="false" customHeight="false" outlineLevel="0" collapsed="false">
      <c r="A1672" s="0" t="n">
        <v>2031</v>
      </c>
      <c r="B1672" s="0" t="n">
        <v>62.27359705</v>
      </c>
      <c r="C1672" s="0" t="n">
        <v>1307.745538</v>
      </c>
      <c r="E1672" s="0" t="n">
        <v>2031</v>
      </c>
      <c r="F1672" s="0" t="n">
        <v>5.044823</v>
      </c>
      <c r="G1672" s="0" t="n">
        <v>105.828404</v>
      </c>
      <c r="I1672" s="0" t="n">
        <v>2028</v>
      </c>
      <c r="J1672" s="0" t="n">
        <v>79.36</v>
      </c>
      <c r="K1672" s="0" t="n">
        <v>1666.16</v>
      </c>
      <c r="M1672" s="0" t="n">
        <v>2031</v>
      </c>
      <c r="N1672" s="0" t="n">
        <v>138.75</v>
      </c>
      <c r="O1672" s="0" t="n">
        <v>2910</v>
      </c>
      <c r="Q1672" s="0" t="n">
        <v>2033</v>
      </c>
      <c r="R1672" s="0" t="n">
        <v>9</v>
      </c>
      <c r="W1672" s="0" t="n">
        <v>2031</v>
      </c>
      <c r="X1672" s="0" t="n">
        <v>365.22</v>
      </c>
    </row>
    <row r="1673" customFormat="false" ht="15" hidden="false" customHeight="false" outlineLevel="0" collapsed="false">
      <c r="A1673" s="0" t="n">
        <v>2031</v>
      </c>
      <c r="B1673" s="0" t="n">
        <v>19.49381046</v>
      </c>
      <c r="C1673" s="0" t="n">
        <v>409.3700197</v>
      </c>
      <c r="E1673" s="0" t="n">
        <v>2031</v>
      </c>
      <c r="F1673" s="0" t="n">
        <v>27.584718</v>
      </c>
      <c r="G1673" s="0" t="n">
        <v>578.661864</v>
      </c>
      <c r="I1673" s="0" t="n">
        <v>2028</v>
      </c>
      <c r="J1673" s="0" t="n">
        <v>79.36</v>
      </c>
      <c r="K1673" s="0" t="n">
        <v>1666.16</v>
      </c>
      <c r="M1673" s="0" t="n">
        <v>2031</v>
      </c>
      <c r="N1673" s="0" t="n">
        <v>55.5</v>
      </c>
      <c r="O1673" s="0" t="n">
        <v>1164</v>
      </c>
      <c r="Q1673" s="0" t="n">
        <v>2033</v>
      </c>
      <c r="R1673" s="0" t="n">
        <v>8</v>
      </c>
      <c r="W1673" s="0" t="n">
        <v>2031</v>
      </c>
      <c r="X1673" s="0" t="n">
        <v>535.656</v>
      </c>
    </row>
    <row r="1674" customFormat="false" ht="15" hidden="false" customHeight="false" outlineLevel="0" collapsed="false">
      <c r="A1674" s="0" t="n">
        <v>2031</v>
      </c>
      <c r="B1674" s="0" t="n">
        <v>43.5869689</v>
      </c>
      <c r="C1674" s="0" t="n">
        <v>915.326347</v>
      </c>
      <c r="E1674" s="0" t="n">
        <v>2031</v>
      </c>
      <c r="F1674" s="0" t="n">
        <v>25.223534</v>
      </c>
      <c r="G1674" s="0" t="n">
        <v>529.129832</v>
      </c>
      <c r="I1674" s="0" t="n">
        <v>2028</v>
      </c>
      <c r="J1674" s="0" t="n">
        <v>39.68</v>
      </c>
      <c r="K1674" s="0" t="n">
        <v>833.08</v>
      </c>
      <c r="M1674" s="0" t="n">
        <v>2031</v>
      </c>
      <c r="N1674" s="0" t="n">
        <v>55.5</v>
      </c>
      <c r="O1674" s="0" t="n">
        <v>1164</v>
      </c>
      <c r="Q1674" s="0" t="n">
        <v>2033</v>
      </c>
      <c r="R1674" s="0" t="n">
        <v>8</v>
      </c>
      <c r="W1674" s="0" t="n">
        <v>2031</v>
      </c>
      <c r="X1674" s="0" t="n">
        <v>413.916</v>
      </c>
    </row>
    <row r="1675" customFormat="false" ht="15" hidden="false" customHeight="false" outlineLevel="0" collapsed="false">
      <c r="A1675" s="0" t="n">
        <v>2031</v>
      </c>
      <c r="B1675" s="0" t="n">
        <v>156.5291527</v>
      </c>
      <c r="C1675" s="0" t="n">
        <v>3287.112207</v>
      </c>
      <c r="E1675" s="0" t="n">
        <v>2031</v>
      </c>
      <c r="F1675" s="0" t="n">
        <v>401.908118</v>
      </c>
      <c r="G1675" s="0" t="n">
        <v>8438.014682</v>
      </c>
      <c r="I1675" s="0" t="n">
        <v>2028</v>
      </c>
      <c r="J1675" s="0" t="n">
        <v>39.68</v>
      </c>
      <c r="K1675" s="0" t="n">
        <v>833.08</v>
      </c>
      <c r="M1675" s="0" t="n">
        <v>2031</v>
      </c>
      <c r="N1675" s="0" t="n">
        <v>33.3</v>
      </c>
      <c r="O1675" s="0" t="n">
        <v>698.4</v>
      </c>
      <c r="Q1675" s="0" t="n">
        <v>2033</v>
      </c>
      <c r="R1675" s="0" t="n">
        <v>878</v>
      </c>
      <c r="W1675" s="0" t="n">
        <v>2031</v>
      </c>
      <c r="X1675" s="0" t="n">
        <v>9433.3</v>
      </c>
    </row>
    <row r="1676" customFormat="false" ht="15" hidden="false" customHeight="false" outlineLevel="0" collapsed="false">
      <c r="A1676" s="0" t="n">
        <v>2031</v>
      </c>
      <c r="B1676" s="0" t="n">
        <v>39.48128094</v>
      </c>
      <c r="C1676" s="0" t="n">
        <v>829.1068998</v>
      </c>
      <c r="E1676" s="0" t="n">
        <v>2031</v>
      </c>
      <c r="F1676" s="0" t="n">
        <v>107.916782</v>
      </c>
      <c r="G1676" s="0" t="n">
        <v>2265.700418</v>
      </c>
      <c r="I1676" s="0" t="n">
        <v>2028</v>
      </c>
      <c r="J1676" s="0" t="n">
        <v>79.36</v>
      </c>
      <c r="K1676" s="0" t="n">
        <v>1666.16</v>
      </c>
      <c r="M1676" s="0" t="n">
        <v>2031</v>
      </c>
      <c r="N1676" s="0" t="n">
        <v>27.75</v>
      </c>
      <c r="O1676" s="0" t="n">
        <v>582</v>
      </c>
      <c r="Q1676" s="0" t="n">
        <v>2033</v>
      </c>
      <c r="R1676" s="0" t="n">
        <v>834</v>
      </c>
      <c r="W1676" s="0" t="n">
        <v>2031</v>
      </c>
      <c r="X1676" s="0" t="n">
        <v>2358.325</v>
      </c>
    </row>
    <row r="1677" customFormat="false" ht="15" hidden="false" customHeight="false" outlineLevel="0" collapsed="false">
      <c r="A1677" s="0" t="n">
        <v>2031</v>
      </c>
      <c r="B1677" s="0" t="n">
        <v>35.20765186</v>
      </c>
      <c r="C1677" s="0" t="n">
        <v>739.360689</v>
      </c>
      <c r="E1677" s="0" t="n">
        <v>2031</v>
      </c>
      <c r="F1677" s="0" t="n">
        <v>43.195334</v>
      </c>
      <c r="G1677" s="0" t="n">
        <v>906.881066</v>
      </c>
      <c r="I1677" s="0" t="n">
        <v>2028</v>
      </c>
      <c r="J1677" s="0" t="n">
        <v>138.88</v>
      </c>
      <c r="K1677" s="0" t="n">
        <v>2915.78</v>
      </c>
      <c r="M1677" s="0" t="n">
        <v>2031</v>
      </c>
      <c r="N1677" s="0" t="n">
        <v>22.2</v>
      </c>
      <c r="O1677" s="0" t="n">
        <v>465.6</v>
      </c>
      <c r="Q1677" s="0" t="n">
        <v>2033</v>
      </c>
      <c r="R1677" s="0" t="n">
        <v>395</v>
      </c>
      <c r="W1677" s="0" t="n">
        <v>2031</v>
      </c>
      <c r="X1677" s="0" t="n">
        <v>730.32</v>
      </c>
    </row>
    <row r="1678" customFormat="false" ht="15" hidden="false" customHeight="false" outlineLevel="0" collapsed="false">
      <c r="A1678" s="0" t="n">
        <v>2031</v>
      </c>
      <c r="B1678" s="0" t="n">
        <v>24.4848353</v>
      </c>
      <c r="C1678" s="0" t="n">
        <v>514.1815414</v>
      </c>
      <c r="E1678" s="0" t="n">
        <v>2031</v>
      </c>
      <c r="F1678" s="0" t="n">
        <v>6.067538</v>
      </c>
      <c r="G1678" s="0" t="n">
        <v>127.387262</v>
      </c>
      <c r="I1678" s="0" t="n">
        <v>2028</v>
      </c>
      <c r="J1678" s="0" t="n">
        <v>59.52</v>
      </c>
      <c r="K1678" s="0" t="n">
        <v>1249.62</v>
      </c>
      <c r="M1678" s="0" t="n">
        <v>2031</v>
      </c>
      <c r="N1678" s="0" t="n">
        <v>11.1</v>
      </c>
      <c r="O1678" s="0" t="n">
        <v>232.8</v>
      </c>
      <c r="Q1678" s="0" t="n">
        <v>2033</v>
      </c>
      <c r="R1678" s="0" t="n">
        <v>88</v>
      </c>
      <c r="W1678" s="0" t="n">
        <v>2031</v>
      </c>
      <c r="X1678" s="0" t="n">
        <v>1293.275</v>
      </c>
    </row>
    <row r="1679" customFormat="false" ht="15" hidden="false" customHeight="false" outlineLevel="0" collapsed="false">
      <c r="A1679" s="0" t="n">
        <v>2031</v>
      </c>
      <c r="B1679" s="0" t="n">
        <v>18.21263907</v>
      </c>
      <c r="C1679" s="0" t="n">
        <v>382.4654206</v>
      </c>
      <c r="E1679" s="0" t="n">
        <v>2031</v>
      </c>
      <c r="F1679" s="0" t="n">
        <v>145.044578</v>
      </c>
      <c r="G1679" s="0" t="n">
        <v>3045.194222</v>
      </c>
      <c r="I1679" s="0" t="n">
        <v>2028</v>
      </c>
      <c r="J1679" s="0" t="n">
        <v>59.52</v>
      </c>
      <c r="K1679" s="0" t="n">
        <v>1249.62</v>
      </c>
      <c r="M1679" s="0" t="n">
        <v>2031</v>
      </c>
      <c r="N1679" s="0" t="n">
        <v>28.5</v>
      </c>
      <c r="O1679" s="0" t="n">
        <v>594.32</v>
      </c>
      <c r="Q1679" s="0" t="n">
        <v>2033</v>
      </c>
      <c r="R1679" s="0" t="n">
        <v>85</v>
      </c>
      <c r="W1679" s="0" t="n">
        <v>2031</v>
      </c>
      <c r="X1679" s="0" t="n">
        <v>578.17</v>
      </c>
    </row>
    <row r="1680" customFormat="false" ht="15" hidden="false" customHeight="false" outlineLevel="0" collapsed="false">
      <c r="A1680" s="0" t="n">
        <v>2031</v>
      </c>
      <c r="B1680" s="0" t="n">
        <v>8.094506255</v>
      </c>
      <c r="C1680" s="0" t="n">
        <v>169.9846314</v>
      </c>
      <c r="E1680" s="0" t="n">
        <v>2031</v>
      </c>
      <c r="F1680" s="0" t="n">
        <v>6.790106</v>
      </c>
      <c r="G1680" s="0" t="n">
        <v>142.557494</v>
      </c>
      <c r="I1680" s="0" t="n">
        <v>2028</v>
      </c>
      <c r="J1680" s="0" t="n">
        <v>63.44</v>
      </c>
      <c r="K1680" s="0" t="n">
        <v>1331.72</v>
      </c>
      <c r="M1680" s="0" t="n">
        <v>2031</v>
      </c>
      <c r="N1680" s="0" t="n">
        <v>18.75</v>
      </c>
      <c r="O1680" s="0" t="n">
        <v>391</v>
      </c>
      <c r="Q1680" s="0" t="n">
        <v>2033</v>
      </c>
      <c r="R1680" s="0" t="n">
        <v>85</v>
      </c>
      <c r="W1680" s="0" t="n">
        <v>2031</v>
      </c>
      <c r="X1680" s="0" t="n">
        <v>228.225</v>
      </c>
    </row>
    <row r="1681" customFormat="false" ht="15" hidden="false" customHeight="false" outlineLevel="0" collapsed="false">
      <c r="A1681" s="0" t="n">
        <v>2031</v>
      </c>
      <c r="B1681" s="0" t="n">
        <v>29.89770066</v>
      </c>
      <c r="C1681" s="0" t="n">
        <v>627.8517138</v>
      </c>
      <c r="E1681" s="0" t="n">
        <v>2031</v>
      </c>
      <c r="F1681" s="0" t="n">
        <v>37.127796</v>
      </c>
      <c r="G1681" s="0" t="n">
        <v>779.493804</v>
      </c>
      <c r="I1681" s="0" t="n">
        <v>2028</v>
      </c>
      <c r="J1681" s="0" t="n">
        <v>9.76</v>
      </c>
      <c r="K1681" s="0" t="n">
        <v>204.88</v>
      </c>
      <c r="M1681" s="0" t="n">
        <v>2031</v>
      </c>
      <c r="N1681" s="0" t="n">
        <v>7.5</v>
      </c>
      <c r="O1681" s="0" t="n">
        <v>156.4</v>
      </c>
      <c r="Q1681" s="0" t="n">
        <v>2033</v>
      </c>
      <c r="R1681" s="0" t="n">
        <v>87</v>
      </c>
      <c r="W1681" s="0" t="n">
        <v>2031</v>
      </c>
      <c r="X1681" s="0" t="n">
        <v>334.73</v>
      </c>
    </row>
    <row r="1682" customFormat="false" ht="15" hidden="false" customHeight="false" outlineLevel="0" collapsed="false">
      <c r="A1682" s="0" t="n">
        <v>2031</v>
      </c>
      <c r="B1682" s="0" t="n">
        <v>9.359024328</v>
      </c>
      <c r="C1682" s="0" t="n">
        <v>196.5395109</v>
      </c>
      <c r="E1682" s="0" t="n">
        <v>2031</v>
      </c>
      <c r="F1682" s="0" t="n">
        <v>33.949748</v>
      </c>
      <c r="G1682" s="0" t="n">
        <v>712.771052</v>
      </c>
      <c r="I1682" s="0" t="n">
        <v>2028</v>
      </c>
      <c r="J1682" s="0" t="n">
        <v>7.32</v>
      </c>
      <c r="K1682" s="0" t="n">
        <v>153.66</v>
      </c>
      <c r="M1682" s="0" t="n">
        <v>2031</v>
      </c>
      <c r="N1682" s="0" t="n">
        <v>7.5</v>
      </c>
      <c r="O1682" s="0" t="n">
        <v>156.4</v>
      </c>
      <c r="Q1682" s="0" t="n">
        <v>2033</v>
      </c>
      <c r="R1682" s="0" t="n">
        <v>82</v>
      </c>
      <c r="W1682" s="0" t="n">
        <v>2031</v>
      </c>
      <c r="X1682" s="0" t="n">
        <v>258.655</v>
      </c>
    </row>
    <row r="1683" customFormat="false" ht="15" hidden="false" customHeight="false" outlineLevel="0" collapsed="false">
      <c r="A1683" s="0" t="n">
        <v>2031</v>
      </c>
      <c r="B1683" s="0" t="n">
        <v>20.92620646</v>
      </c>
      <c r="C1683" s="0" t="n">
        <v>439.4503356</v>
      </c>
      <c r="E1683" s="0" t="n">
        <v>2031</v>
      </c>
      <c r="F1683" s="0" t="n">
        <v>547.355685</v>
      </c>
      <c r="G1683" s="0" t="n">
        <v>11492.41359</v>
      </c>
      <c r="I1683" s="0" t="n">
        <v>2028</v>
      </c>
      <c r="J1683" s="0" t="n">
        <v>12.2</v>
      </c>
      <c r="K1683" s="0" t="n">
        <v>256.1</v>
      </c>
      <c r="M1683" s="0" t="n">
        <v>2031</v>
      </c>
      <c r="N1683" s="0" t="n">
        <v>4.5</v>
      </c>
      <c r="O1683" s="0" t="n">
        <v>93.84</v>
      </c>
      <c r="Q1683" s="0" t="n">
        <v>2033</v>
      </c>
      <c r="R1683" s="0" t="n">
        <v>39</v>
      </c>
      <c r="W1683" s="0" t="n">
        <v>2031</v>
      </c>
      <c r="X1683" s="0" t="n">
        <v>25642.58</v>
      </c>
    </row>
    <row r="1684" customFormat="false" ht="15" hidden="false" customHeight="false" outlineLevel="0" collapsed="false">
      <c r="A1684" s="0" t="n">
        <v>2031</v>
      </c>
      <c r="B1684" s="0" t="n">
        <v>65.67837818</v>
      </c>
      <c r="C1684" s="0" t="n">
        <v>1379.245942</v>
      </c>
      <c r="E1684" s="0" t="n">
        <v>2031</v>
      </c>
      <c r="F1684" s="0" t="n">
        <v>146.971065</v>
      </c>
      <c r="G1684" s="0" t="n">
        <v>3085.840361</v>
      </c>
      <c r="I1684" s="0" t="n">
        <v>2028</v>
      </c>
      <c r="J1684" s="0" t="n">
        <v>2.44</v>
      </c>
      <c r="K1684" s="0" t="n">
        <v>51.22</v>
      </c>
      <c r="M1684" s="0" t="n">
        <v>2031</v>
      </c>
      <c r="N1684" s="0" t="n">
        <v>3.75</v>
      </c>
      <c r="O1684" s="0" t="n">
        <v>78.2</v>
      </c>
      <c r="Q1684" s="0" t="n">
        <v>2033</v>
      </c>
      <c r="R1684" s="0" t="n">
        <v>9</v>
      </c>
      <c r="W1684" s="0" t="n">
        <v>2031</v>
      </c>
      <c r="X1684" s="0" t="n">
        <v>6410.645</v>
      </c>
    </row>
    <row r="1685" customFormat="false" ht="15" hidden="false" customHeight="false" outlineLevel="0" collapsed="false">
      <c r="A1685" s="0" t="n">
        <v>2031</v>
      </c>
      <c r="B1685" s="0" t="n">
        <v>16.56602911</v>
      </c>
      <c r="C1685" s="0" t="n">
        <v>347.8866113</v>
      </c>
      <c r="E1685" s="0" t="n">
        <v>2031</v>
      </c>
      <c r="F1685" s="0" t="n">
        <v>58.827405</v>
      </c>
      <c r="G1685" s="0" t="n">
        <v>1235.154557</v>
      </c>
      <c r="I1685" s="0" t="n">
        <v>2028</v>
      </c>
      <c r="J1685" s="0" t="n">
        <v>2.44</v>
      </c>
      <c r="K1685" s="0" t="n">
        <v>51.22</v>
      </c>
      <c r="M1685" s="0" t="n">
        <v>2031</v>
      </c>
      <c r="N1685" s="0" t="n">
        <v>3</v>
      </c>
      <c r="O1685" s="0" t="n">
        <v>62.56</v>
      </c>
      <c r="Q1685" s="0" t="n">
        <v>2033</v>
      </c>
      <c r="R1685" s="0" t="n">
        <v>8</v>
      </c>
      <c r="W1685" s="0" t="n">
        <v>2031</v>
      </c>
      <c r="X1685" s="0" t="n">
        <v>1985.232</v>
      </c>
    </row>
    <row r="1686" customFormat="false" ht="15" hidden="false" customHeight="false" outlineLevel="0" collapsed="false">
      <c r="A1686" s="0" t="n">
        <v>2031</v>
      </c>
      <c r="B1686" s="0" t="n">
        <v>14.77284859</v>
      </c>
      <c r="C1686" s="0" t="n">
        <v>310.2298204</v>
      </c>
      <c r="E1686" s="0" t="n">
        <v>2031</v>
      </c>
      <c r="F1686" s="0" t="n">
        <v>8.263335</v>
      </c>
      <c r="G1686" s="0" t="n">
        <v>173.498999</v>
      </c>
      <c r="I1686" s="0" t="n">
        <v>2028</v>
      </c>
      <c r="J1686" s="0" t="n">
        <v>0</v>
      </c>
      <c r="K1686" s="0" t="n">
        <v>0</v>
      </c>
      <c r="M1686" s="0" t="n">
        <v>2031</v>
      </c>
      <c r="N1686" s="0" t="n">
        <v>1.5</v>
      </c>
      <c r="O1686" s="0" t="n">
        <v>31.28</v>
      </c>
      <c r="Q1686" s="0" t="n">
        <v>2033</v>
      </c>
      <c r="R1686" s="0" t="n">
        <v>8</v>
      </c>
      <c r="W1686" s="0" t="n">
        <v>2031</v>
      </c>
      <c r="X1686" s="0" t="n">
        <v>3515.515</v>
      </c>
    </row>
    <row r="1687" customFormat="false" ht="15" hidden="false" customHeight="false" outlineLevel="0" collapsed="false">
      <c r="A1687" s="0" t="n">
        <v>2031</v>
      </c>
      <c r="B1687" s="0" t="n">
        <v>10.27364069</v>
      </c>
      <c r="C1687" s="0" t="n">
        <v>215.7464545</v>
      </c>
      <c r="E1687" s="0" t="n">
        <v>2031</v>
      </c>
      <c r="F1687" s="0" t="n">
        <v>197.535135</v>
      </c>
      <c r="G1687" s="0" t="n">
        <v>4147.495919</v>
      </c>
      <c r="I1687" s="0" t="n">
        <v>2028</v>
      </c>
      <c r="J1687" s="0" t="n">
        <v>4.88</v>
      </c>
      <c r="K1687" s="0" t="n">
        <v>102.44</v>
      </c>
      <c r="M1687" s="0" t="n">
        <v>2031</v>
      </c>
      <c r="N1687" s="0" t="n">
        <v>74.48</v>
      </c>
      <c r="O1687" s="0" t="n">
        <v>1559.9</v>
      </c>
      <c r="Q1687" s="0" t="n">
        <v>2033</v>
      </c>
      <c r="R1687" s="0" t="n">
        <v>346</v>
      </c>
      <c r="W1687" s="0" t="n">
        <v>2031</v>
      </c>
      <c r="X1687" s="0" t="n">
        <v>1571.642</v>
      </c>
    </row>
    <row r="1688" customFormat="false" ht="15" hidden="false" customHeight="false" outlineLevel="0" collapsed="false">
      <c r="A1688" s="0" t="n">
        <v>2031</v>
      </c>
      <c r="B1688" s="0" t="n">
        <v>7.641877414</v>
      </c>
      <c r="C1688" s="0" t="n">
        <v>160.4794257</v>
      </c>
      <c r="E1688" s="0" t="n">
        <v>2031</v>
      </c>
      <c r="F1688" s="0" t="n">
        <v>9.247395</v>
      </c>
      <c r="G1688" s="0" t="n">
        <v>194.160563</v>
      </c>
      <c r="I1688" s="0" t="n">
        <v>2028</v>
      </c>
      <c r="J1688" s="0" t="n">
        <v>8.54</v>
      </c>
      <c r="K1688" s="0" t="n">
        <v>179.27</v>
      </c>
      <c r="M1688" s="0" t="n">
        <v>2031</v>
      </c>
      <c r="N1688" s="0" t="n">
        <v>49</v>
      </c>
      <c r="O1688" s="0" t="n">
        <v>1026.25</v>
      </c>
      <c r="Q1688" s="0" t="n">
        <v>2033</v>
      </c>
      <c r="R1688" s="0" t="n">
        <v>328</v>
      </c>
      <c r="W1688" s="0" t="n">
        <v>2031</v>
      </c>
      <c r="X1688" s="0" t="n">
        <v>620.385</v>
      </c>
    </row>
    <row r="1689" customFormat="false" ht="15" hidden="false" customHeight="false" outlineLevel="0" collapsed="false">
      <c r="A1689" s="0" t="n">
        <v>2031</v>
      </c>
      <c r="B1689" s="0" t="n">
        <v>3.396389962</v>
      </c>
      <c r="C1689" s="0" t="n">
        <v>71.32418919</v>
      </c>
      <c r="E1689" s="0" t="n">
        <v>2031</v>
      </c>
      <c r="F1689" s="0" t="n">
        <v>50.56407</v>
      </c>
      <c r="G1689" s="0" t="n">
        <v>1061.655558</v>
      </c>
      <c r="I1689" s="0" t="n">
        <v>2028</v>
      </c>
      <c r="J1689" s="0" t="n">
        <v>2.44</v>
      </c>
      <c r="K1689" s="0" t="n">
        <v>51.22</v>
      </c>
      <c r="M1689" s="0" t="n">
        <v>2031</v>
      </c>
      <c r="N1689" s="0" t="n">
        <v>19.6</v>
      </c>
      <c r="O1689" s="0" t="n">
        <v>410.5</v>
      </c>
      <c r="Q1689" s="0" t="n">
        <v>2033</v>
      </c>
      <c r="R1689" s="0" t="n">
        <v>156</v>
      </c>
      <c r="W1689" s="0" t="n">
        <v>2031</v>
      </c>
      <c r="X1689" s="0" t="n">
        <v>909.898</v>
      </c>
    </row>
    <row r="1690" customFormat="false" ht="15" hidden="false" customHeight="false" outlineLevel="0" collapsed="false">
      <c r="A1690" s="0" t="n">
        <v>2031</v>
      </c>
      <c r="B1690" s="0" t="n">
        <v>12.54483562</v>
      </c>
      <c r="C1690" s="0" t="n">
        <v>263.441548</v>
      </c>
      <c r="E1690" s="0" t="n">
        <v>2031</v>
      </c>
      <c r="F1690" s="0" t="n">
        <v>46.23591</v>
      </c>
      <c r="G1690" s="0" t="n">
        <v>970.780454</v>
      </c>
      <c r="I1690" s="0" t="n">
        <v>2028</v>
      </c>
      <c r="J1690" s="0" t="n">
        <v>8.54</v>
      </c>
      <c r="K1690" s="0" t="n">
        <v>179.27</v>
      </c>
      <c r="M1690" s="0" t="n">
        <v>2031</v>
      </c>
      <c r="N1690" s="0" t="n">
        <v>19.6</v>
      </c>
      <c r="O1690" s="0" t="n">
        <v>410.5</v>
      </c>
      <c r="Q1690" s="0" t="n">
        <v>2033</v>
      </c>
      <c r="R1690" s="0" t="n">
        <v>35</v>
      </c>
      <c r="W1690" s="0" t="n">
        <v>2031</v>
      </c>
      <c r="X1690" s="0" t="n">
        <v>703.103</v>
      </c>
    </row>
    <row r="1691" customFormat="false" ht="15" hidden="false" customHeight="false" outlineLevel="0" collapsed="false">
      <c r="A1691" s="0" t="n">
        <v>2031</v>
      </c>
      <c r="B1691" s="0" t="n">
        <v>3.926971612</v>
      </c>
      <c r="C1691" s="0" t="n">
        <v>82.46640386</v>
      </c>
      <c r="E1691" s="0" t="n">
        <v>2031</v>
      </c>
      <c r="F1691" s="0" t="n">
        <v>388.031495</v>
      </c>
      <c r="G1691" s="0" t="n">
        <v>8148.147446</v>
      </c>
      <c r="I1691" s="0" t="n">
        <v>2028</v>
      </c>
      <c r="J1691" s="0" t="n">
        <v>158.88</v>
      </c>
      <c r="K1691" s="0" t="n">
        <v>3333.6</v>
      </c>
      <c r="M1691" s="0" t="n">
        <v>2031</v>
      </c>
      <c r="N1691" s="0" t="n">
        <v>11.76</v>
      </c>
      <c r="O1691" s="0" t="n">
        <v>246.3</v>
      </c>
      <c r="Q1691" s="0" t="n">
        <v>2033</v>
      </c>
      <c r="R1691" s="0" t="n">
        <v>33</v>
      </c>
      <c r="W1691" s="0" t="n">
        <v>2031</v>
      </c>
      <c r="X1691" s="0" t="n">
        <v>13665.42</v>
      </c>
    </row>
    <row r="1692" customFormat="false" ht="15" hidden="false" customHeight="false" outlineLevel="0" collapsed="false">
      <c r="A1692" s="0" t="n">
        <v>2031</v>
      </c>
      <c r="B1692" s="0" t="n">
        <v>8.780468544</v>
      </c>
      <c r="C1692" s="0" t="n">
        <v>184.3898394</v>
      </c>
      <c r="E1692" s="0" t="n">
        <v>2031</v>
      </c>
      <c r="F1692" s="0" t="n">
        <v>104.190755</v>
      </c>
      <c r="G1692" s="0" t="n">
        <v>2187.867854</v>
      </c>
      <c r="I1692" s="0" t="n">
        <v>2028</v>
      </c>
      <c r="J1692" s="0" t="n">
        <v>52.96</v>
      </c>
      <c r="K1692" s="0" t="n">
        <v>1111.2</v>
      </c>
      <c r="M1692" s="0" t="n">
        <v>2031</v>
      </c>
      <c r="N1692" s="0" t="n">
        <v>9.8</v>
      </c>
      <c r="O1692" s="0" t="n">
        <v>205.25</v>
      </c>
      <c r="Q1692" s="0" t="n">
        <v>2033</v>
      </c>
      <c r="R1692" s="0" t="n">
        <v>33</v>
      </c>
      <c r="W1692" s="0" t="n">
        <v>2031</v>
      </c>
      <c r="X1692" s="0" t="n">
        <v>3416.355</v>
      </c>
    </row>
    <row r="1693" customFormat="false" ht="15" hidden="false" customHeight="false" outlineLevel="0" collapsed="false">
      <c r="A1693" s="0" t="n">
        <v>2031</v>
      </c>
      <c r="B1693" s="0" t="n">
        <v>262.5121335</v>
      </c>
      <c r="C1693" s="0" t="n">
        <v>5512.754804</v>
      </c>
      <c r="E1693" s="0" t="n">
        <v>2031</v>
      </c>
      <c r="F1693" s="0" t="n">
        <v>41.703935</v>
      </c>
      <c r="G1693" s="0" t="n">
        <v>875.727398</v>
      </c>
      <c r="I1693" s="0" t="n">
        <v>2028</v>
      </c>
      <c r="J1693" s="0" t="n">
        <v>23.17</v>
      </c>
      <c r="K1693" s="0" t="n">
        <v>486.15</v>
      </c>
      <c r="M1693" s="0" t="n">
        <v>2031</v>
      </c>
      <c r="N1693" s="0" t="n">
        <v>7.84</v>
      </c>
      <c r="O1693" s="0" t="n">
        <v>164.2</v>
      </c>
      <c r="Q1693" s="0" t="n">
        <v>2033</v>
      </c>
      <c r="R1693" s="0" t="n">
        <v>417</v>
      </c>
      <c r="W1693" s="0" t="n">
        <v>2031</v>
      </c>
      <c r="X1693" s="0" t="n">
        <v>1057.968</v>
      </c>
    </row>
    <row r="1694" customFormat="false" ht="15" hidden="false" customHeight="false" outlineLevel="0" collapsed="false">
      <c r="A1694" s="0" t="n">
        <v>2031</v>
      </c>
      <c r="B1694" s="0" t="n">
        <v>66.21332266</v>
      </c>
      <c r="C1694" s="0" t="n">
        <v>1390.479776</v>
      </c>
      <c r="E1694" s="0" t="n">
        <v>2031</v>
      </c>
      <c r="F1694" s="0" t="n">
        <v>5.858045</v>
      </c>
      <c r="G1694" s="0" t="n">
        <v>123.011186</v>
      </c>
      <c r="I1694" s="0" t="n">
        <v>2028</v>
      </c>
      <c r="J1694" s="0" t="n">
        <v>13.24</v>
      </c>
      <c r="K1694" s="0" t="n">
        <v>277.8</v>
      </c>
      <c r="M1694" s="0" t="n">
        <v>2031</v>
      </c>
      <c r="N1694" s="0" t="n">
        <v>3.92</v>
      </c>
      <c r="O1694" s="0" t="n">
        <v>82.1</v>
      </c>
      <c r="Q1694" s="0" t="n">
        <v>2033</v>
      </c>
      <c r="R1694" s="0" t="n">
        <v>396</v>
      </c>
      <c r="W1694" s="0" t="n">
        <v>2031</v>
      </c>
      <c r="X1694" s="0" t="n">
        <v>1873.485</v>
      </c>
    </row>
    <row r="1695" customFormat="false" ht="15" hidden="false" customHeight="false" outlineLevel="0" collapsed="false">
      <c r="A1695" s="0" t="n">
        <v>2031</v>
      </c>
      <c r="B1695" s="0" t="n">
        <v>59.04609873</v>
      </c>
      <c r="C1695" s="0" t="n">
        <v>1239.968073</v>
      </c>
      <c r="E1695" s="0" t="n">
        <v>2031</v>
      </c>
      <c r="F1695" s="0" t="n">
        <v>140.036645</v>
      </c>
      <c r="G1695" s="0" t="n">
        <v>2940.584066</v>
      </c>
      <c r="I1695" s="0" t="n">
        <v>2028</v>
      </c>
      <c r="J1695" s="0" t="n">
        <v>13.24</v>
      </c>
      <c r="K1695" s="0" t="n">
        <v>277.8</v>
      </c>
      <c r="M1695" s="0" t="n">
        <v>2031</v>
      </c>
      <c r="N1695" s="0" t="n">
        <v>46.74</v>
      </c>
      <c r="O1695" s="0" t="n">
        <v>977.36</v>
      </c>
      <c r="Q1695" s="0" t="n">
        <v>2033</v>
      </c>
      <c r="R1695" s="0" t="n">
        <v>187</v>
      </c>
      <c r="W1695" s="0" t="n">
        <v>2031</v>
      </c>
      <c r="X1695" s="0" t="n">
        <v>837.558</v>
      </c>
    </row>
    <row r="1696" customFormat="false" ht="15" hidden="false" customHeight="false" outlineLevel="0" collapsed="false">
      <c r="A1696" s="0" t="n">
        <v>2031</v>
      </c>
      <c r="B1696" s="0" t="n">
        <v>41.06306233</v>
      </c>
      <c r="C1696" s="0" t="n">
        <v>862.324309</v>
      </c>
      <c r="E1696" s="0" t="n">
        <v>2031</v>
      </c>
      <c r="F1696" s="0" t="n">
        <v>6.555665</v>
      </c>
      <c r="G1696" s="0" t="n">
        <v>137.660282</v>
      </c>
      <c r="I1696" s="0" t="n">
        <v>2028</v>
      </c>
      <c r="J1696" s="0" t="n">
        <v>6.62</v>
      </c>
      <c r="K1696" s="0" t="n">
        <v>138.9</v>
      </c>
      <c r="M1696" s="0" t="n">
        <v>2031</v>
      </c>
      <c r="N1696" s="0" t="n">
        <v>30.75</v>
      </c>
      <c r="O1696" s="0" t="n">
        <v>643</v>
      </c>
      <c r="Q1696" s="0" t="n">
        <v>2033</v>
      </c>
      <c r="R1696" s="0" t="n">
        <v>42</v>
      </c>
      <c r="W1696" s="0" t="n">
        <v>2031</v>
      </c>
      <c r="X1696" s="0" t="n">
        <v>330.615</v>
      </c>
    </row>
    <row r="1697" customFormat="false" ht="15" hidden="false" customHeight="false" outlineLevel="0" collapsed="false">
      <c r="A1697" s="0" t="n">
        <v>2031</v>
      </c>
      <c r="B1697" s="0" t="n">
        <v>30.54407858</v>
      </c>
      <c r="C1697" s="0" t="n">
        <v>641.4256502</v>
      </c>
      <c r="E1697" s="0" t="n">
        <v>2031</v>
      </c>
      <c r="F1697" s="0" t="n">
        <v>35.84589</v>
      </c>
      <c r="G1697" s="0" t="n">
        <v>752.716212</v>
      </c>
      <c r="I1697" s="0" t="n">
        <v>2028</v>
      </c>
      <c r="J1697" s="0" t="n">
        <v>6.62</v>
      </c>
      <c r="K1697" s="0" t="n">
        <v>138.9</v>
      </c>
      <c r="M1697" s="0" t="n">
        <v>2031</v>
      </c>
      <c r="N1697" s="0" t="n">
        <v>12.3</v>
      </c>
      <c r="O1697" s="0" t="n">
        <v>257.2</v>
      </c>
      <c r="Q1697" s="0" t="n">
        <v>2033</v>
      </c>
      <c r="R1697" s="0" t="n">
        <v>41</v>
      </c>
      <c r="W1697" s="0" t="n">
        <v>2031</v>
      </c>
      <c r="X1697" s="0" t="n">
        <v>484.902</v>
      </c>
    </row>
    <row r="1698" customFormat="false" ht="15" hidden="false" customHeight="false" outlineLevel="0" collapsed="false">
      <c r="A1698" s="0" t="n">
        <v>2031</v>
      </c>
      <c r="B1698" s="0" t="n">
        <v>13.57514604</v>
      </c>
      <c r="C1698" s="0" t="n">
        <v>285.0780668</v>
      </c>
      <c r="E1698" s="0" t="n">
        <v>2031</v>
      </c>
      <c r="F1698" s="0" t="n">
        <v>32.77757</v>
      </c>
      <c r="G1698" s="0" t="n">
        <v>688.285556</v>
      </c>
      <c r="I1698" s="0" t="n">
        <v>2028</v>
      </c>
      <c r="J1698" s="0" t="n">
        <v>13.24</v>
      </c>
      <c r="K1698" s="0" t="n">
        <v>277.8</v>
      </c>
      <c r="M1698" s="0" t="n">
        <v>2031</v>
      </c>
      <c r="N1698" s="0" t="n">
        <v>12.3</v>
      </c>
      <c r="O1698" s="0" t="n">
        <v>257.2</v>
      </c>
      <c r="Q1698" s="0" t="n">
        <v>2033</v>
      </c>
      <c r="R1698" s="0" t="n">
        <v>41</v>
      </c>
      <c r="W1698" s="0" t="n">
        <v>2031</v>
      </c>
      <c r="X1698" s="0" t="n">
        <v>374.697</v>
      </c>
    </row>
    <row r="1699" customFormat="false" ht="15" hidden="false" customHeight="false" outlineLevel="0" collapsed="false">
      <c r="A1699" s="0" t="n">
        <v>2031</v>
      </c>
      <c r="B1699" s="0" t="n">
        <v>50.14087824</v>
      </c>
      <c r="C1699" s="0" t="n">
        <v>1052.958443</v>
      </c>
      <c r="E1699" s="0" t="n">
        <v>2031</v>
      </c>
      <c r="F1699" s="0" t="n">
        <v>336.636595</v>
      </c>
      <c r="G1699" s="0" t="n">
        <v>7066.284801</v>
      </c>
      <c r="I1699" s="0" t="n">
        <v>2028</v>
      </c>
      <c r="J1699" s="0" t="n">
        <v>23.17</v>
      </c>
      <c r="K1699" s="0" t="n">
        <v>486.15</v>
      </c>
      <c r="M1699" s="0" t="n">
        <v>2031</v>
      </c>
      <c r="N1699" s="0" t="n">
        <v>7.38</v>
      </c>
      <c r="O1699" s="0" t="n">
        <v>154.32</v>
      </c>
      <c r="Q1699" s="0" t="n">
        <v>2033</v>
      </c>
      <c r="R1699" s="0" t="n">
        <v>292</v>
      </c>
      <c r="W1699" s="0" t="n">
        <v>2031</v>
      </c>
      <c r="X1699" s="0" t="n">
        <v>5664.94</v>
      </c>
    </row>
    <row r="1700" customFormat="false" ht="15" hidden="false" customHeight="false" outlineLevel="0" collapsed="false">
      <c r="A1700" s="0" t="n">
        <v>2031</v>
      </c>
      <c r="B1700" s="0" t="n">
        <v>15.6958458</v>
      </c>
      <c r="C1700" s="0" t="n">
        <v>329.6127618</v>
      </c>
      <c r="E1700" s="0" t="n">
        <v>2031</v>
      </c>
      <c r="F1700" s="0" t="n">
        <v>90.390655</v>
      </c>
      <c r="G1700" s="0" t="n">
        <v>1897.375749</v>
      </c>
      <c r="I1700" s="0" t="n">
        <v>2028</v>
      </c>
      <c r="J1700" s="0" t="n">
        <v>9.93</v>
      </c>
      <c r="K1700" s="0" t="n">
        <v>208.35</v>
      </c>
      <c r="M1700" s="0" t="n">
        <v>2031</v>
      </c>
      <c r="N1700" s="0" t="n">
        <v>6.15</v>
      </c>
      <c r="O1700" s="0" t="n">
        <v>128.6</v>
      </c>
      <c r="Q1700" s="0" t="n">
        <v>2033</v>
      </c>
      <c r="R1700" s="0" t="n">
        <v>278</v>
      </c>
      <c r="W1700" s="0" t="n">
        <v>2031</v>
      </c>
      <c r="X1700" s="0" t="n">
        <v>1416.235</v>
      </c>
    </row>
    <row r="1701" customFormat="false" ht="15" hidden="false" customHeight="false" outlineLevel="0" collapsed="false">
      <c r="A1701" s="0" t="n">
        <v>2031</v>
      </c>
      <c r="B1701" s="0" t="n">
        <v>35.09495202</v>
      </c>
      <c r="C1701" s="0" t="n">
        <v>736.9939924</v>
      </c>
      <c r="E1701" s="0" t="n">
        <v>2031</v>
      </c>
      <c r="F1701" s="0" t="n">
        <v>36.180235</v>
      </c>
      <c r="G1701" s="0" t="n">
        <v>759.453513</v>
      </c>
      <c r="I1701" s="0" t="n">
        <v>2028</v>
      </c>
      <c r="J1701" s="0" t="n">
        <v>9.93</v>
      </c>
      <c r="K1701" s="0" t="n">
        <v>208.35</v>
      </c>
      <c r="M1701" s="0" t="n">
        <v>2031</v>
      </c>
      <c r="N1701" s="0" t="n">
        <v>4.92</v>
      </c>
      <c r="O1701" s="0" t="n">
        <v>102.88</v>
      </c>
      <c r="Q1701" s="0" t="n">
        <v>2033</v>
      </c>
      <c r="R1701" s="0" t="n">
        <v>132</v>
      </c>
      <c r="W1701" s="0" t="n">
        <v>2031</v>
      </c>
      <c r="X1701" s="0" t="n">
        <v>438.576</v>
      </c>
    </row>
    <row r="1702" customFormat="false" ht="15" hidden="false" customHeight="false" outlineLevel="0" collapsed="false">
      <c r="A1702" s="0" t="n">
        <v>2031</v>
      </c>
      <c r="B1702" s="0" t="n">
        <v>334.8647928</v>
      </c>
      <c r="C1702" s="0" t="n">
        <v>7032.160649</v>
      </c>
      <c r="E1702" s="0" t="n">
        <v>2031</v>
      </c>
      <c r="F1702" s="0" t="n">
        <v>5.082145</v>
      </c>
      <c r="G1702" s="0" t="n">
        <v>106.678491</v>
      </c>
      <c r="I1702" s="0" t="n">
        <v>2028</v>
      </c>
      <c r="J1702" s="0" t="n">
        <v>19.76</v>
      </c>
      <c r="K1702" s="0" t="n">
        <v>417.56</v>
      </c>
      <c r="M1702" s="0" t="n">
        <v>2031</v>
      </c>
      <c r="N1702" s="0" t="n">
        <v>2.46</v>
      </c>
      <c r="O1702" s="0" t="n">
        <v>51.44</v>
      </c>
      <c r="Q1702" s="0" t="n">
        <v>2033</v>
      </c>
      <c r="R1702" s="0" t="n">
        <v>29</v>
      </c>
      <c r="W1702" s="0" t="n">
        <v>2031</v>
      </c>
      <c r="X1702" s="0" t="n">
        <v>776.645</v>
      </c>
    </row>
    <row r="1703" customFormat="false" ht="15" hidden="false" customHeight="false" outlineLevel="0" collapsed="false">
      <c r="A1703" s="0" t="n">
        <v>2031</v>
      </c>
      <c r="B1703" s="0" t="n">
        <v>84.46280283</v>
      </c>
      <c r="C1703" s="0" t="n">
        <v>1773.718859</v>
      </c>
      <c r="E1703" s="0" t="n">
        <v>2031</v>
      </c>
      <c r="F1703" s="0" t="n">
        <v>121.488745</v>
      </c>
      <c r="G1703" s="0" t="n">
        <v>2550.150771</v>
      </c>
      <c r="I1703" s="0" t="n">
        <v>2028</v>
      </c>
      <c r="J1703" s="0" t="n">
        <v>3.04</v>
      </c>
      <c r="K1703" s="0" t="n">
        <v>64.24</v>
      </c>
      <c r="M1703" s="0" t="n">
        <v>2031</v>
      </c>
      <c r="N1703" s="0" t="n">
        <v>46.74</v>
      </c>
      <c r="O1703" s="0" t="n">
        <v>975.46</v>
      </c>
      <c r="Q1703" s="0" t="n">
        <v>2033</v>
      </c>
      <c r="R1703" s="0" t="n">
        <v>28</v>
      </c>
      <c r="W1703" s="0" t="n">
        <v>2031</v>
      </c>
      <c r="X1703" s="0" t="n">
        <v>347.206</v>
      </c>
    </row>
    <row r="1704" customFormat="false" ht="15" hidden="false" customHeight="false" outlineLevel="0" collapsed="false">
      <c r="A1704" s="0" t="n">
        <v>2031</v>
      </c>
      <c r="B1704" s="0" t="n">
        <v>75.32017416</v>
      </c>
      <c r="C1704" s="0" t="n">
        <v>1581.723657</v>
      </c>
      <c r="E1704" s="0" t="n">
        <v>2031</v>
      </c>
      <c r="F1704" s="0" t="n">
        <v>5.687365</v>
      </c>
      <c r="G1704" s="0" t="n">
        <v>119.382567</v>
      </c>
      <c r="I1704" s="0" t="n">
        <v>2028</v>
      </c>
      <c r="J1704" s="0" t="n">
        <v>2.28</v>
      </c>
      <c r="K1704" s="0" t="n">
        <v>48.18</v>
      </c>
      <c r="M1704" s="0" t="n">
        <v>2031</v>
      </c>
      <c r="N1704" s="0" t="n">
        <v>30.75</v>
      </c>
      <c r="O1704" s="0" t="n">
        <v>641.75</v>
      </c>
      <c r="Q1704" s="0" t="n">
        <v>2033</v>
      </c>
      <c r="R1704" s="0" t="n">
        <v>28</v>
      </c>
      <c r="W1704" s="0" t="n">
        <v>2031</v>
      </c>
      <c r="X1704" s="0" t="n">
        <v>137.055</v>
      </c>
    </row>
    <row r="1705" customFormat="false" ht="15" hidden="false" customHeight="false" outlineLevel="0" collapsed="false">
      <c r="A1705" s="0" t="n">
        <v>2031</v>
      </c>
      <c r="B1705" s="0" t="n">
        <v>52.38071732</v>
      </c>
      <c r="C1705" s="0" t="n">
        <v>1099.995064</v>
      </c>
      <c r="E1705" s="0" t="n">
        <v>2031</v>
      </c>
      <c r="F1705" s="0" t="n">
        <v>31.09809</v>
      </c>
      <c r="G1705" s="0" t="n">
        <v>652.775022</v>
      </c>
      <c r="I1705" s="0" t="n">
        <v>2028</v>
      </c>
      <c r="J1705" s="0" t="n">
        <v>3.8</v>
      </c>
      <c r="K1705" s="0" t="n">
        <v>80.3</v>
      </c>
      <c r="M1705" s="0" t="n">
        <v>2031</v>
      </c>
      <c r="N1705" s="0" t="n">
        <v>12.3</v>
      </c>
      <c r="O1705" s="0" t="n">
        <v>256.7</v>
      </c>
      <c r="Q1705" s="0" t="n">
        <v>2033</v>
      </c>
      <c r="R1705" s="0" t="n">
        <v>123</v>
      </c>
      <c r="W1705" s="0" t="n">
        <v>2031</v>
      </c>
      <c r="X1705" s="0" t="n">
        <v>201.014</v>
      </c>
    </row>
    <row r="1706" customFormat="false" ht="15" hidden="false" customHeight="false" outlineLevel="0" collapsed="false">
      <c r="A1706" s="0" t="n">
        <v>2031</v>
      </c>
      <c r="B1706" s="0" t="n">
        <v>38.96252873</v>
      </c>
      <c r="C1706" s="0" t="n">
        <v>818.2131034</v>
      </c>
      <c r="E1706" s="0" t="n">
        <v>2031</v>
      </c>
      <c r="F1706" s="0" t="n">
        <v>28.43617</v>
      </c>
      <c r="G1706" s="0" t="n">
        <v>596.899086</v>
      </c>
      <c r="I1706" s="0" t="n">
        <v>2028</v>
      </c>
      <c r="J1706" s="0" t="n">
        <v>0.76</v>
      </c>
      <c r="K1706" s="0" t="n">
        <v>16.06</v>
      </c>
      <c r="M1706" s="0" t="n">
        <v>2031</v>
      </c>
      <c r="N1706" s="0" t="n">
        <v>12.3</v>
      </c>
      <c r="O1706" s="0" t="n">
        <v>256.7</v>
      </c>
      <c r="Q1706" s="0" t="n">
        <v>2033</v>
      </c>
      <c r="R1706" s="0" t="n">
        <v>117</v>
      </c>
      <c r="W1706" s="0" t="n">
        <v>2031</v>
      </c>
      <c r="X1706" s="0" t="n">
        <v>155.329</v>
      </c>
    </row>
    <row r="1707" customFormat="false" ht="15" hidden="false" customHeight="false" outlineLevel="0" collapsed="false">
      <c r="A1707" s="0" t="n">
        <v>2031</v>
      </c>
      <c r="B1707" s="0" t="n">
        <v>17.31667944</v>
      </c>
      <c r="C1707" s="0" t="n">
        <v>363.6502682</v>
      </c>
      <c r="E1707" s="0" t="n">
        <v>2031</v>
      </c>
      <c r="F1707" s="0" t="n">
        <v>120.264066</v>
      </c>
      <c r="G1707" s="0" t="n">
        <v>2517.322202</v>
      </c>
      <c r="I1707" s="0" t="n">
        <v>2028</v>
      </c>
      <c r="J1707" s="0" t="n">
        <v>0.76</v>
      </c>
      <c r="K1707" s="0" t="n">
        <v>16.06</v>
      </c>
      <c r="M1707" s="0" t="n">
        <v>2031</v>
      </c>
      <c r="N1707" s="0" t="n">
        <v>7.38</v>
      </c>
      <c r="O1707" s="0" t="n">
        <v>154.02</v>
      </c>
      <c r="Q1707" s="0" t="n">
        <v>2033</v>
      </c>
      <c r="R1707" s="0" t="n">
        <v>55</v>
      </c>
      <c r="W1707" s="0" t="n">
        <v>2031</v>
      </c>
      <c r="X1707" s="0" t="n">
        <v>5478.32</v>
      </c>
    </row>
    <row r="1708" customFormat="false" ht="15" hidden="false" customHeight="false" outlineLevel="0" collapsed="false">
      <c r="A1708" s="0" t="n">
        <v>2031</v>
      </c>
      <c r="B1708" s="0" t="n">
        <v>63.96052851</v>
      </c>
      <c r="C1708" s="0" t="n">
        <v>1343.171099</v>
      </c>
      <c r="E1708" s="0" t="n">
        <v>2031</v>
      </c>
      <c r="F1708" s="0" t="n">
        <v>32.292234</v>
      </c>
      <c r="G1708" s="0" t="n">
        <v>675.928898</v>
      </c>
      <c r="I1708" s="0" t="n">
        <v>2028</v>
      </c>
      <c r="J1708" s="0" t="n">
        <v>0</v>
      </c>
      <c r="K1708" s="0" t="n">
        <v>0</v>
      </c>
      <c r="M1708" s="0" t="n">
        <v>2031</v>
      </c>
      <c r="N1708" s="0" t="n">
        <v>6.15</v>
      </c>
      <c r="O1708" s="0" t="n">
        <v>128.35</v>
      </c>
      <c r="Q1708" s="0" t="n">
        <v>2033</v>
      </c>
      <c r="R1708" s="0" t="n">
        <v>12</v>
      </c>
      <c r="W1708" s="0" t="n">
        <v>2031</v>
      </c>
      <c r="X1708" s="0" t="n">
        <v>1369.58</v>
      </c>
    </row>
    <row r="1709" customFormat="false" ht="15" hidden="false" customHeight="false" outlineLevel="0" collapsed="false">
      <c r="A1709" s="0" t="n">
        <v>2031</v>
      </c>
      <c r="B1709" s="0" t="n">
        <v>20.02187892</v>
      </c>
      <c r="C1709" s="0" t="n">
        <v>420.4594572</v>
      </c>
      <c r="E1709" s="0" t="n">
        <v>2031</v>
      </c>
      <c r="F1709" s="0" t="n">
        <v>12.925458</v>
      </c>
      <c r="G1709" s="0" t="n">
        <v>270.550826</v>
      </c>
      <c r="I1709" s="0" t="n">
        <v>2028</v>
      </c>
      <c r="J1709" s="0" t="n">
        <v>1.52</v>
      </c>
      <c r="K1709" s="0" t="n">
        <v>32.12</v>
      </c>
      <c r="M1709" s="0" t="n">
        <v>2031</v>
      </c>
      <c r="N1709" s="0" t="n">
        <v>4.92</v>
      </c>
      <c r="O1709" s="0" t="n">
        <v>102.68</v>
      </c>
      <c r="Q1709" s="0" t="n">
        <v>2033</v>
      </c>
      <c r="R1709" s="0" t="n">
        <v>13</v>
      </c>
      <c r="W1709" s="0" t="n">
        <v>2031</v>
      </c>
      <c r="X1709" s="0" t="n">
        <v>424.128</v>
      </c>
    </row>
    <row r="1710" customFormat="false" ht="15" hidden="false" customHeight="false" outlineLevel="0" collapsed="false">
      <c r="A1710" s="0" t="n">
        <v>2031</v>
      </c>
      <c r="B1710" s="0" t="n">
        <v>44.7676977</v>
      </c>
      <c r="C1710" s="0" t="n">
        <v>940.1216517</v>
      </c>
      <c r="E1710" s="0" t="n">
        <v>2031</v>
      </c>
      <c r="F1710" s="0" t="n">
        <v>1.815606</v>
      </c>
      <c r="G1710" s="0" t="n">
        <v>38.003582</v>
      </c>
      <c r="I1710" s="0" t="n">
        <v>2028</v>
      </c>
      <c r="J1710" s="0" t="n">
        <v>2.66</v>
      </c>
      <c r="K1710" s="0" t="n">
        <v>56.21</v>
      </c>
      <c r="M1710" s="0" t="n">
        <v>2031</v>
      </c>
      <c r="N1710" s="0" t="n">
        <v>2.46</v>
      </c>
      <c r="O1710" s="0" t="n">
        <v>51.34</v>
      </c>
      <c r="Q1710" s="0" t="n">
        <v>2033</v>
      </c>
      <c r="R1710" s="0" t="n">
        <v>13</v>
      </c>
      <c r="W1710" s="0" t="n">
        <v>2031</v>
      </c>
      <c r="X1710" s="0" t="n">
        <v>751.06</v>
      </c>
    </row>
    <row r="1711" customFormat="false" ht="15" hidden="false" customHeight="false" outlineLevel="0" collapsed="false">
      <c r="A1711" s="0" t="n">
        <v>2031</v>
      </c>
      <c r="B1711" s="0" t="n">
        <v>329.6577028</v>
      </c>
      <c r="C1711" s="0" t="n">
        <v>6922.811759</v>
      </c>
      <c r="E1711" s="0" t="n">
        <v>2031</v>
      </c>
      <c r="F1711" s="0" t="n">
        <v>43.402086</v>
      </c>
      <c r="G1711" s="0" t="n">
        <v>908.476142</v>
      </c>
      <c r="I1711" s="0" t="n">
        <v>2028</v>
      </c>
      <c r="J1711" s="0" t="n">
        <v>0.76</v>
      </c>
      <c r="K1711" s="0" t="n">
        <v>16.06</v>
      </c>
      <c r="M1711" s="0" t="n">
        <v>2031</v>
      </c>
      <c r="N1711" s="0" t="n">
        <v>241.68</v>
      </c>
      <c r="O1711" s="0" t="n">
        <v>5072.24</v>
      </c>
      <c r="Q1711" s="0" t="n">
        <v>2033</v>
      </c>
      <c r="R1711" s="0" t="n">
        <v>86</v>
      </c>
      <c r="W1711" s="0" t="n">
        <v>2031</v>
      </c>
      <c r="X1711" s="0" t="n">
        <v>335.768</v>
      </c>
    </row>
    <row r="1712" customFormat="false" ht="15" hidden="false" customHeight="false" outlineLevel="0" collapsed="false">
      <c r="A1712" s="0" t="n">
        <v>2031</v>
      </c>
      <c r="B1712" s="0" t="n">
        <v>83.14942076</v>
      </c>
      <c r="C1712" s="0" t="n">
        <v>1746.137836</v>
      </c>
      <c r="E1712" s="0" t="n">
        <v>2031</v>
      </c>
      <c r="F1712" s="0" t="n">
        <v>2.031822</v>
      </c>
      <c r="G1712" s="0" t="n">
        <v>42.529334</v>
      </c>
      <c r="I1712" s="0" t="n">
        <v>2028</v>
      </c>
      <c r="J1712" s="0" t="n">
        <v>2.66</v>
      </c>
      <c r="K1712" s="0" t="n">
        <v>56.21</v>
      </c>
      <c r="M1712" s="0" t="n">
        <v>2031</v>
      </c>
      <c r="N1712" s="0" t="n">
        <v>159</v>
      </c>
      <c r="O1712" s="0" t="n">
        <v>3337</v>
      </c>
      <c r="Q1712" s="0" t="n">
        <v>2033</v>
      </c>
      <c r="R1712" s="0" t="n">
        <v>82</v>
      </c>
      <c r="W1712" s="0" t="n">
        <v>2031</v>
      </c>
      <c r="X1712" s="0" t="n">
        <v>132.54</v>
      </c>
    </row>
    <row r="1713" customFormat="false" ht="15" hidden="false" customHeight="false" outlineLevel="0" collapsed="false">
      <c r="A1713" s="0" t="n">
        <v>2031</v>
      </c>
      <c r="B1713" s="0" t="n">
        <v>74.1489584</v>
      </c>
      <c r="C1713" s="0" t="n">
        <v>1557.128126</v>
      </c>
      <c r="E1713" s="0" t="n">
        <v>2031</v>
      </c>
      <c r="F1713" s="0" t="n">
        <v>11.109852</v>
      </c>
      <c r="G1713" s="0" t="n">
        <v>232.547244</v>
      </c>
      <c r="I1713" s="0" t="n">
        <v>2028</v>
      </c>
      <c r="J1713" s="0" t="n">
        <v>47.52</v>
      </c>
      <c r="K1713" s="0" t="n">
        <v>999.36</v>
      </c>
      <c r="M1713" s="0" t="n">
        <v>2031</v>
      </c>
      <c r="N1713" s="0" t="n">
        <v>63.6</v>
      </c>
      <c r="O1713" s="0" t="n">
        <v>1334.8</v>
      </c>
      <c r="Q1713" s="0" t="n">
        <v>2033</v>
      </c>
      <c r="R1713" s="0" t="n">
        <v>39</v>
      </c>
      <c r="W1713" s="0" t="n">
        <v>2031</v>
      </c>
      <c r="X1713" s="0" t="n">
        <v>194.392</v>
      </c>
    </row>
    <row r="1714" customFormat="false" ht="15" hidden="false" customHeight="false" outlineLevel="0" collapsed="false">
      <c r="A1714" s="0" t="n">
        <v>2031</v>
      </c>
      <c r="B1714" s="0" t="n">
        <v>51.56620617</v>
      </c>
      <c r="C1714" s="0" t="n">
        <v>1082.89033</v>
      </c>
      <c r="E1714" s="0" t="n">
        <v>2031</v>
      </c>
      <c r="F1714" s="0" t="n">
        <v>10.158876</v>
      </c>
      <c r="G1714" s="0" t="n">
        <v>212.641772</v>
      </c>
      <c r="I1714" s="0" t="n">
        <v>2028</v>
      </c>
      <c r="J1714" s="0" t="n">
        <v>15.84</v>
      </c>
      <c r="K1714" s="0" t="n">
        <v>333.12</v>
      </c>
      <c r="M1714" s="0" t="n">
        <v>2031</v>
      </c>
      <c r="N1714" s="0" t="n">
        <v>63.6</v>
      </c>
      <c r="O1714" s="0" t="n">
        <v>1334.8</v>
      </c>
      <c r="Q1714" s="0" t="n">
        <v>2033</v>
      </c>
      <c r="R1714" s="0" t="n">
        <v>9</v>
      </c>
      <c r="W1714" s="0" t="n">
        <v>2031</v>
      </c>
      <c r="X1714" s="0" t="n">
        <v>150.212</v>
      </c>
    </row>
    <row r="1715" customFormat="false" ht="15" hidden="false" customHeight="false" outlineLevel="0" collapsed="false">
      <c r="A1715" s="0" t="n">
        <v>2031</v>
      </c>
      <c r="B1715" s="0" t="n">
        <v>38.3566681</v>
      </c>
      <c r="C1715" s="0" t="n">
        <v>805.4900302</v>
      </c>
      <c r="E1715" s="0" t="n">
        <v>2031</v>
      </c>
      <c r="F1715" s="0" t="n">
        <v>1426.208475</v>
      </c>
      <c r="G1715" s="0" t="n">
        <v>29946.78033</v>
      </c>
      <c r="I1715" s="0" t="n">
        <v>2028</v>
      </c>
      <c r="J1715" s="0" t="n">
        <v>6.93</v>
      </c>
      <c r="K1715" s="0" t="n">
        <v>145.74</v>
      </c>
      <c r="M1715" s="0" t="n">
        <v>2031</v>
      </c>
      <c r="N1715" s="0" t="n">
        <v>38.16</v>
      </c>
      <c r="O1715" s="0" t="n">
        <v>800.88</v>
      </c>
      <c r="Q1715" s="0" t="n">
        <v>2033</v>
      </c>
      <c r="R1715" s="0" t="n">
        <v>8</v>
      </c>
      <c r="W1715" s="0" t="n">
        <v>2031</v>
      </c>
      <c r="X1715" s="0" t="n">
        <v>55265.56</v>
      </c>
    </row>
    <row r="1716" customFormat="false" ht="15" hidden="false" customHeight="false" outlineLevel="0" collapsed="false">
      <c r="A1716" s="0" t="n">
        <v>2031</v>
      </c>
      <c r="B1716" s="0" t="n">
        <v>17.04740805</v>
      </c>
      <c r="C1716" s="0" t="n">
        <v>357.995569</v>
      </c>
      <c r="E1716" s="0" t="n">
        <v>2031</v>
      </c>
      <c r="F1716" s="0" t="n">
        <v>382.952775</v>
      </c>
      <c r="G1716" s="0" t="n">
        <v>8041.042268</v>
      </c>
      <c r="I1716" s="0" t="n">
        <v>2028</v>
      </c>
      <c r="J1716" s="0" t="n">
        <v>3.96</v>
      </c>
      <c r="K1716" s="0" t="n">
        <v>83.28</v>
      </c>
      <c r="M1716" s="0" t="n">
        <v>2031</v>
      </c>
      <c r="N1716" s="0" t="n">
        <v>31.8</v>
      </c>
      <c r="O1716" s="0" t="n">
        <v>667.4</v>
      </c>
      <c r="Q1716" s="0" t="n">
        <v>2033</v>
      </c>
      <c r="R1716" s="0" t="n">
        <v>8</v>
      </c>
      <c r="W1716" s="0" t="n">
        <v>2031</v>
      </c>
      <c r="X1716" s="0" t="n">
        <v>13816.39</v>
      </c>
    </row>
    <row r="1717" customFormat="false" ht="15" hidden="false" customHeight="false" outlineLevel="0" collapsed="false">
      <c r="A1717" s="0" t="n">
        <v>2031</v>
      </c>
      <c r="B1717" s="0" t="n">
        <v>62.96595329</v>
      </c>
      <c r="C1717" s="0" t="n">
        <v>1322.285019</v>
      </c>
      <c r="E1717" s="0" t="n">
        <v>2031</v>
      </c>
      <c r="F1717" s="0" t="n">
        <v>153.282675</v>
      </c>
      <c r="G1717" s="0" t="n">
        <v>3218.549516</v>
      </c>
      <c r="I1717" s="0" t="n">
        <v>2028</v>
      </c>
      <c r="J1717" s="0" t="n">
        <v>3.96</v>
      </c>
      <c r="K1717" s="0" t="n">
        <v>83.28</v>
      </c>
      <c r="M1717" s="0" t="n">
        <v>2031</v>
      </c>
      <c r="N1717" s="0" t="n">
        <v>25.44</v>
      </c>
      <c r="O1717" s="0" t="n">
        <v>533.92</v>
      </c>
      <c r="Q1717" s="0" t="n">
        <v>2033</v>
      </c>
      <c r="R1717" s="0" t="n">
        <v>184</v>
      </c>
      <c r="W1717" s="0" t="n">
        <v>2031</v>
      </c>
      <c r="X1717" s="0" t="n">
        <v>4278.624</v>
      </c>
    </row>
    <row r="1718" customFormat="false" ht="15" hidden="false" customHeight="false" outlineLevel="0" collapsed="false">
      <c r="A1718" s="0" t="n">
        <v>2031</v>
      </c>
      <c r="B1718" s="0" t="n">
        <v>19.71054214</v>
      </c>
      <c r="C1718" s="0" t="n">
        <v>413.9213849</v>
      </c>
      <c r="E1718" s="0" t="n">
        <v>2031</v>
      </c>
      <c r="F1718" s="0" t="n">
        <v>21.531225</v>
      </c>
      <c r="G1718" s="0" t="n">
        <v>452.101412</v>
      </c>
      <c r="I1718" s="0" t="n">
        <v>2028</v>
      </c>
      <c r="J1718" s="0" t="n">
        <v>1.98</v>
      </c>
      <c r="K1718" s="0" t="n">
        <v>41.64</v>
      </c>
      <c r="M1718" s="0" t="n">
        <v>2031</v>
      </c>
      <c r="N1718" s="0" t="n">
        <v>12.72</v>
      </c>
      <c r="O1718" s="0" t="n">
        <v>266.96</v>
      </c>
      <c r="Q1718" s="0" t="n">
        <v>2033</v>
      </c>
      <c r="R1718" s="0" t="n">
        <v>175</v>
      </c>
      <c r="W1718" s="0" t="n">
        <v>2031</v>
      </c>
      <c r="X1718" s="0" t="n">
        <v>7576.73</v>
      </c>
    </row>
    <row r="1719" customFormat="false" ht="15" hidden="false" customHeight="false" outlineLevel="0" collapsed="false">
      <c r="A1719" s="0" t="n">
        <v>2031</v>
      </c>
      <c r="B1719" s="0" t="n">
        <v>44.07156769</v>
      </c>
      <c r="C1719" s="0" t="n">
        <v>925.5029216</v>
      </c>
      <c r="E1719" s="0" t="n">
        <v>2031</v>
      </c>
      <c r="F1719" s="0" t="n">
        <v>514.704225</v>
      </c>
      <c r="G1719" s="0" t="n">
        <v>10807.49037</v>
      </c>
      <c r="I1719" s="0" t="n">
        <v>2028</v>
      </c>
      <c r="J1719" s="0" t="n">
        <v>1.98</v>
      </c>
      <c r="K1719" s="0" t="n">
        <v>41.64</v>
      </c>
      <c r="M1719" s="0" t="n">
        <v>2031</v>
      </c>
      <c r="N1719" s="0" t="n">
        <v>182.4</v>
      </c>
      <c r="O1719" s="0" t="n">
        <v>3825.84</v>
      </c>
      <c r="Q1719" s="0" t="n">
        <v>2033</v>
      </c>
      <c r="R1719" s="0" t="n">
        <v>83</v>
      </c>
      <c r="W1719" s="0" t="n">
        <v>2031</v>
      </c>
      <c r="X1719" s="0" t="n">
        <v>3387.244</v>
      </c>
    </row>
    <row r="1720" customFormat="false" ht="15" hidden="false" customHeight="false" outlineLevel="0" collapsed="false">
      <c r="A1720" s="0" t="n">
        <v>2031</v>
      </c>
      <c r="B1720" s="0" t="n">
        <v>1238.424364</v>
      </c>
      <c r="C1720" s="0" t="n">
        <v>26006.91165</v>
      </c>
      <c r="E1720" s="0" t="n">
        <v>2031</v>
      </c>
      <c r="F1720" s="0" t="n">
        <v>24.095325</v>
      </c>
      <c r="G1720" s="0" t="n">
        <v>505.941044</v>
      </c>
      <c r="I1720" s="0" t="n">
        <v>2028</v>
      </c>
      <c r="J1720" s="0" t="n">
        <v>3.96</v>
      </c>
      <c r="K1720" s="0" t="n">
        <v>83.28</v>
      </c>
      <c r="M1720" s="0" t="n">
        <v>2031</v>
      </c>
      <c r="N1720" s="0" t="n">
        <v>120</v>
      </c>
      <c r="O1720" s="0" t="n">
        <v>2517</v>
      </c>
      <c r="Q1720" s="0" t="n">
        <v>2033</v>
      </c>
      <c r="R1720" s="0" t="n">
        <v>18</v>
      </c>
      <c r="W1720" s="0" t="n">
        <v>2031</v>
      </c>
      <c r="X1720" s="0" t="n">
        <v>1337.07</v>
      </c>
    </row>
    <row r="1721" customFormat="false" ht="15" hidden="false" customHeight="false" outlineLevel="0" collapsed="false">
      <c r="A1721" s="0" t="n">
        <v>2031</v>
      </c>
      <c r="B1721" s="0" t="n">
        <v>312.3672454</v>
      </c>
      <c r="C1721" s="0" t="n">
        <v>6559.712153</v>
      </c>
      <c r="E1721" s="0" t="n">
        <v>2031</v>
      </c>
      <c r="F1721" s="0" t="n">
        <v>131.75145</v>
      </c>
      <c r="G1721" s="0" t="n">
        <v>2766.448104</v>
      </c>
      <c r="I1721" s="0" t="n">
        <v>2028</v>
      </c>
      <c r="J1721" s="0" t="n">
        <v>6.93</v>
      </c>
      <c r="K1721" s="0" t="n">
        <v>145.74</v>
      </c>
      <c r="M1721" s="0" t="n">
        <v>2031</v>
      </c>
      <c r="N1721" s="0" t="n">
        <v>48</v>
      </c>
      <c r="O1721" s="0" t="n">
        <v>1006.8</v>
      </c>
      <c r="Q1721" s="0" t="n">
        <v>2033</v>
      </c>
      <c r="R1721" s="0" t="n">
        <v>19</v>
      </c>
      <c r="W1721" s="0" t="n">
        <v>2031</v>
      </c>
      <c r="X1721" s="0" t="n">
        <v>1961.036</v>
      </c>
    </row>
    <row r="1722" customFormat="false" ht="15" hidden="false" customHeight="false" outlineLevel="0" collapsed="false">
      <c r="A1722" s="0" t="n">
        <v>2031</v>
      </c>
      <c r="B1722" s="0" t="n">
        <v>278.5552283</v>
      </c>
      <c r="C1722" s="0" t="n">
        <v>5849.659794</v>
      </c>
      <c r="E1722" s="0" t="n">
        <v>2031</v>
      </c>
      <c r="F1722" s="0" t="n">
        <v>120.47385</v>
      </c>
      <c r="G1722" s="0" t="n">
        <v>2529.646952</v>
      </c>
      <c r="I1722" s="0" t="n">
        <v>2028</v>
      </c>
      <c r="J1722" s="0" t="n">
        <v>2.97</v>
      </c>
      <c r="K1722" s="0" t="n">
        <v>62.46</v>
      </c>
      <c r="M1722" s="0" t="n">
        <v>2031</v>
      </c>
      <c r="N1722" s="0" t="n">
        <v>48</v>
      </c>
      <c r="O1722" s="0" t="n">
        <v>1006.8</v>
      </c>
      <c r="Q1722" s="0" t="n">
        <v>2033</v>
      </c>
      <c r="R1722" s="0" t="n">
        <v>19</v>
      </c>
      <c r="W1722" s="0" t="n">
        <v>2031</v>
      </c>
      <c r="X1722" s="0" t="n">
        <v>1515.346</v>
      </c>
    </row>
    <row r="1723" customFormat="false" ht="15" hidden="false" customHeight="false" outlineLevel="0" collapsed="false">
      <c r="A1723" s="0" t="n">
        <v>2031</v>
      </c>
      <c r="B1723" s="0" t="n">
        <v>193.7186529</v>
      </c>
      <c r="C1723" s="0" t="n">
        <v>4068.09171</v>
      </c>
      <c r="E1723" s="0" t="n">
        <v>2031</v>
      </c>
      <c r="F1723" s="0" t="n">
        <v>666.077904</v>
      </c>
      <c r="G1723" s="0" t="n">
        <v>13985.58019</v>
      </c>
      <c r="I1723" s="0" t="n">
        <v>2028</v>
      </c>
      <c r="J1723" s="0" t="n">
        <v>2.97</v>
      </c>
      <c r="K1723" s="0" t="n">
        <v>62.46</v>
      </c>
      <c r="M1723" s="0" t="n">
        <v>2031</v>
      </c>
      <c r="N1723" s="0" t="n">
        <v>28.8</v>
      </c>
      <c r="O1723" s="0" t="n">
        <v>604.08</v>
      </c>
      <c r="Q1723" s="0" t="n">
        <v>2033</v>
      </c>
      <c r="R1723" s="0" t="n">
        <v>650</v>
      </c>
      <c r="W1723" s="0" t="n">
        <v>2031</v>
      </c>
      <c r="X1723" s="0" t="n">
        <v>14821.72</v>
      </c>
    </row>
    <row r="1724" customFormat="false" ht="15" hidden="false" customHeight="false" outlineLevel="0" collapsed="false">
      <c r="A1724" s="0" t="n">
        <v>2031</v>
      </c>
      <c r="B1724" s="0" t="n">
        <v>144.0944104</v>
      </c>
      <c r="C1724" s="0" t="n">
        <v>3025.982618</v>
      </c>
      <c r="E1724" s="0" t="n">
        <v>2031</v>
      </c>
      <c r="F1724" s="0" t="n">
        <v>178.849296</v>
      </c>
      <c r="G1724" s="0" t="n">
        <v>3755.283212</v>
      </c>
      <c r="I1724" s="0" t="n">
        <v>2028</v>
      </c>
      <c r="J1724" s="0" t="n">
        <v>4.16</v>
      </c>
      <c r="K1724" s="0" t="n">
        <v>88.92</v>
      </c>
      <c r="M1724" s="0" t="n">
        <v>2031</v>
      </c>
      <c r="N1724" s="0" t="n">
        <v>24</v>
      </c>
      <c r="O1724" s="0" t="n">
        <v>503.4</v>
      </c>
      <c r="Q1724" s="0" t="n">
        <v>2033</v>
      </c>
      <c r="R1724" s="0" t="n">
        <v>618</v>
      </c>
      <c r="W1724" s="0" t="n">
        <v>2031</v>
      </c>
      <c r="X1724" s="0" t="n">
        <v>3705.43</v>
      </c>
    </row>
    <row r="1725" customFormat="false" ht="15" hidden="false" customHeight="false" outlineLevel="0" collapsed="false">
      <c r="A1725" s="0" t="n">
        <v>2031</v>
      </c>
      <c r="B1725" s="0" t="n">
        <v>64.04196017</v>
      </c>
      <c r="C1725" s="0" t="n">
        <v>1344.881164</v>
      </c>
      <c r="E1725" s="0" t="n">
        <v>2031</v>
      </c>
      <c r="F1725" s="0" t="n">
        <v>71.587152</v>
      </c>
      <c r="G1725" s="0" t="n">
        <v>1503.109244</v>
      </c>
      <c r="I1725" s="0" t="n">
        <v>2028</v>
      </c>
      <c r="J1725" s="0" t="n">
        <v>0.64</v>
      </c>
      <c r="K1725" s="0" t="n">
        <v>13.68</v>
      </c>
      <c r="M1725" s="0" t="n">
        <v>2031</v>
      </c>
      <c r="N1725" s="0" t="n">
        <v>19.2</v>
      </c>
      <c r="O1725" s="0" t="n">
        <v>402.72</v>
      </c>
      <c r="Q1725" s="0" t="n">
        <v>2033</v>
      </c>
      <c r="R1725" s="0" t="n">
        <v>293</v>
      </c>
      <c r="W1725" s="0" t="n">
        <v>2031</v>
      </c>
      <c r="X1725" s="0" t="n">
        <v>1147.488</v>
      </c>
    </row>
    <row r="1726" customFormat="false" ht="15" hidden="false" customHeight="false" outlineLevel="0" collapsed="false">
      <c r="A1726" s="0" t="n">
        <v>2031</v>
      </c>
      <c r="B1726" s="0" t="n">
        <v>236.5440577</v>
      </c>
      <c r="C1726" s="0" t="n">
        <v>4967.425211</v>
      </c>
      <c r="E1726" s="0" t="n">
        <v>2031</v>
      </c>
      <c r="F1726" s="0" t="n">
        <v>10.055664</v>
      </c>
      <c r="G1726" s="0" t="n">
        <v>211.137908</v>
      </c>
      <c r="I1726" s="0" t="n">
        <v>2028</v>
      </c>
      <c r="J1726" s="0" t="n">
        <v>0.48</v>
      </c>
      <c r="K1726" s="0" t="n">
        <v>10.26</v>
      </c>
      <c r="M1726" s="0" t="n">
        <v>2031</v>
      </c>
      <c r="N1726" s="0" t="n">
        <v>9.6</v>
      </c>
      <c r="O1726" s="0" t="n">
        <v>201.36</v>
      </c>
      <c r="Q1726" s="0" t="n">
        <v>2033</v>
      </c>
      <c r="R1726" s="0" t="n">
        <v>65</v>
      </c>
      <c r="W1726" s="0" t="n">
        <v>2031</v>
      </c>
      <c r="X1726" s="0" t="n">
        <v>2032.01</v>
      </c>
    </row>
    <row r="1727" customFormat="false" ht="15" hidden="false" customHeight="false" outlineLevel="0" collapsed="false">
      <c r="A1727" s="0" t="n">
        <v>2031</v>
      </c>
      <c r="B1727" s="0" t="n">
        <v>74.04655014</v>
      </c>
      <c r="C1727" s="0" t="n">
        <v>1554.977553</v>
      </c>
      <c r="E1727" s="0" t="n">
        <v>2031</v>
      </c>
      <c r="F1727" s="0" t="n">
        <v>240.380784</v>
      </c>
      <c r="G1727" s="0" t="n">
        <v>5047.254548</v>
      </c>
      <c r="I1727" s="0" t="n">
        <v>2028</v>
      </c>
      <c r="J1727" s="0" t="n">
        <v>0.8</v>
      </c>
      <c r="K1727" s="0" t="n">
        <v>17.1</v>
      </c>
      <c r="M1727" s="0" t="n">
        <v>2031</v>
      </c>
      <c r="N1727" s="0" t="n">
        <v>164.92</v>
      </c>
      <c r="O1727" s="0" t="n">
        <v>3456.48</v>
      </c>
      <c r="Q1727" s="0" t="n">
        <v>2033</v>
      </c>
      <c r="R1727" s="0" t="n">
        <v>60</v>
      </c>
      <c r="W1727" s="0" t="n">
        <v>2031</v>
      </c>
      <c r="X1727" s="0" t="n">
        <v>908.428</v>
      </c>
    </row>
    <row r="1728" customFormat="false" ht="15" hidden="false" customHeight="false" outlineLevel="0" collapsed="false">
      <c r="A1728" s="0" t="n">
        <v>2031</v>
      </c>
      <c r="B1728" s="0" t="n">
        <v>165.563561</v>
      </c>
      <c r="C1728" s="0" t="n">
        <v>3476.834782</v>
      </c>
      <c r="E1728" s="0" t="n">
        <v>2031</v>
      </c>
      <c r="F1728" s="0" t="n">
        <v>11.253168</v>
      </c>
      <c r="G1728" s="0" t="n">
        <v>236.281796</v>
      </c>
      <c r="I1728" s="0" t="n">
        <v>2028</v>
      </c>
      <c r="J1728" s="0" t="n">
        <v>0.16</v>
      </c>
      <c r="K1728" s="0" t="n">
        <v>3.42</v>
      </c>
      <c r="M1728" s="0" t="n">
        <v>2031</v>
      </c>
      <c r="N1728" s="0" t="n">
        <v>108.5</v>
      </c>
      <c r="O1728" s="0" t="n">
        <v>2274</v>
      </c>
      <c r="Q1728" s="0" t="n">
        <v>2033</v>
      </c>
      <c r="R1728" s="0" t="n">
        <v>60</v>
      </c>
      <c r="W1728" s="0" t="n">
        <v>2031</v>
      </c>
      <c r="X1728" s="0" t="n">
        <v>358.59</v>
      </c>
    </row>
    <row r="1729" customFormat="false" ht="15" hidden="false" customHeight="false" outlineLevel="0" collapsed="false">
      <c r="A1729" s="0" t="n">
        <v>2031</v>
      </c>
      <c r="B1729" s="0" t="n">
        <v>343.7542448</v>
      </c>
      <c r="C1729" s="0" t="n">
        <v>7218.83914</v>
      </c>
      <c r="E1729" s="0" t="n">
        <v>2031</v>
      </c>
      <c r="F1729" s="0" t="n">
        <v>61.531488</v>
      </c>
      <c r="G1729" s="0" t="n">
        <v>1291.971336</v>
      </c>
      <c r="I1729" s="0" t="n">
        <v>2028</v>
      </c>
      <c r="J1729" s="0" t="n">
        <v>0.16</v>
      </c>
      <c r="K1729" s="0" t="n">
        <v>3.42</v>
      </c>
      <c r="M1729" s="0" t="n">
        <v>2031</v>
      </c>
      <c r="N1729" s="0" t="n">
        <v>43.4</v>
      </c>
      <c r="O1729" s="0" t="n">
        <v>909.6</v>
      </c>
      <c r="Q1729" s="0" t="n">
        <v>2033</v>
      </c>
      <c r="R1729" s="0" t="n">
        <v>116</v>
      </c>
      <c r="W1729" s="0" t="n">
        <v>2031</v>
      </c>
      <c r="X1729" s="0" t="n">
        <v>525.932</v>
      </c>
    </row>
    <row r="1730" customFormat="false" ht="15" hidden="false" customHeight="false" outlineLevel="0" collapsed="false">
      <c r="A1730" s="0" t="n">
        <v>2031</v>
      </c>
      <c r="B1730" s="0" t="n">
        <v>86.70498548</v>
      </c>
      <c r="C1730" s="0" t="n">
        <v>1820.804695</v>
      </c>
      <c r="E1730" s="0" t="n">
        <v>2031</v>
      </c>
      <c r="F1730" s="0" t="n">
        <v>56.264544</v>
      </c>
      <c r="G1730" s="0" t="n">
        <v>1181.381768</v>
      </c>
      <c r="I1730" s="0" t="n">
        <v>2028</v>
      </c>
      <c r="J1730" s="0" t="n">
        <v>0</v>
      </c>
      <c r="K1730" s="0" t="n">
        <v>0</v>
      </c>
      <c r="M1730" s="0" t="n">
        <v>2031</v>
      </c>
      <c r="N1730" s="0" t="n">
        <v>43.4</v>
      </c>
      <c r="O1730" s="0" t="n">
        <v>909.6</v>
      </c>
      <c r="Q1730" s="0" t="n">
        <v>2033</v>
      </c>
      <c r="R1730" s="0" t="n">
        <v>111</v>
      </c>
      <c r="W1730" s="0" t="n">
        <v>2031</v>
      </c>
      <c r="X1730" s="0" t="n">
        <v>406.402</v>
      </c>
    </row>
    <row r="1731" customFormat="false" ht="15" hidden="false" customHeight="false" outlineLevel="0" collapsed="false">
      <c r="A1731" s="0" t="n">
        <v>2031</v>
      </c>
      <c r="B1731" s="0" t="n">
        <v>77.31965301</v>
      </c>
      <c r="C1731" s="0" t="n">
        <v>1623.712713</v>
      </c>
      <c r="E1731" s="0" t="n">
        <v>2031</v>
      </c>
      <c r="F1731" s="0" t="n">
        <v>81.203942</v>
      </c>
      <c r="G1731" s="0" t="n">
        <v>1700.657241</v>
      </c>
      <c r="I1731" s="0" t="n">
        <v>2028</v>
      </c>
      <c r="J1731" s="0" t="n">
        <v>0.32</v>
      </c>
      <c r="K1731" s="0" t="n">
        <v>6.84</v>
      </c>
      <c r="M1731" s="0" t="n">
        <v>2031</v>
      </c>
      <c r="N1731" s="0" t="n">
        <v>26.04</v>
      </c>
      <c r="O1731" s="0" t="n">
        <v>545.76</v>
      </c>
      <c r="Q1731" s="0" t="n">
        <v>2033</v>
      </c>
      <c r="R1731" s="0" t="n">
        <v>52</v>
      </c>
      <c r="W1731" s="0" t="n">
        <v>2031</v>
      </c>
      <c r="X1731" s="0" t="n">
        <v>4822.98</v>
      </c>
    </row>
    <row r="1732" customFormat="false" ht="15" hidden="false" customHeight="false" outlineLevel="0" collapsed="false">
      <c r="A1732" s="0" t="n">
        <v>2031</v>
      </c>
      <c r="B1732" s="0" t="n">
        <v>53.77123636</v>
      </c>
      <c r="C1732" s="0" t="n">
        <v>1129.195964</v>
      </c>
      <c r="E1732" s="0" t="n">
        <v>2031</v>
      </c>
      <c r="F1732" s="0" t="n">
        <v>21.804158</v>
      </c>
      <c r="G1732" s="0" t="n">
        <v>456.645309</v>
      </c>
      <c r="I1732" s="0" t="n">
        <v>2028</v>
      </c>
      <c r="J1732" s="0" t="n">
        <v>0.56</v>
      </c>
      <c r="K1732" s="0" t="n">
        <v>11.97</v>
      </c>
      <c r="M1732" s="0" t="n">
        <v>2031</v>
      </c>
      <c r="N1732" s="0" t="n">
        <v>21.7</v>
      </c>
      <c r="O1732" s="0" t="n">
        <v>454.8</v>
      </c>
      <c r="Q1732" s="0" t="n">
        <v>2033</v>
      </c>
      <c r="R1732" s="0" t="n">
        <v>12</v>
      </c>
      <c r="W1732" s="0" t="n">
        <v>2031</v>
      </c>
      <c r="X1732" s="0" t="n">
        <v>1205.745</v>
      </c>
    </row>
    <row r="1733" customFormat="false" ht="15" hidden="false" customHeight="false" outlineLevel="0" collapsed="false">
      <c r="A1733" s="0" t="n">
        <v>2031</v>
      </c>
      <c r="B1733" s="0" t="n">
        <v>39.99684328</v>
      </c>
      <c r="C1733" s="0" t="n">
        <v>839.933709</v>
      </c>
      <c r="E1733" s="0" t="n">
        <v>2031</v>
      </c>
      <c r="F1733" s="0" t="n">
        <v>8.727446</v>
      </c>
      <c r="G1733" s="0" t="n">
        <v>182.779233</v>
      </c>
      <c r="I1733" s="0" t="n">
        <v>2028</v>
      </c>
      <c r="J1733" s="0" t="n">
        <v>0.16</v>
      </c>
      <c r="K1733" s="0" t="n">
        <v>3.42</v>
      </c>
      <c r="M1733" s="0" t="n">
        <v>2031</v>
      </c>
      <c r="N1733" s="0" t="n">
        <v>17.36</v>
      </c>
      <c r="O1733" s="0" t="n">
        <v>363.84</v>
      </c>
      <c r="Q1733" s="0" t="n">
        <v>2033</v>
      </c>
      <c r="R1733" s="0" t="n">
        <v>11</v>
      </c>
      <c r="W1733" s="0" t="n">
        <v>2031</v>
      </c>
      <c r="X1733" s="0" t="n">
        <v>373.392</v>
      </c>
    </row>
    <row r="1734" customFormat="false" ht="15" hidden="false" customHeight="false" outlineLevel="0" collapsed="false">
      <c r="A1734" s="0" t="n">
        <v>2031</v>
      </c>
      <c r="B1734" s="0" t="n">
        <v>17.77637479</v>
      </c>
      <c r="C1734" s="0" t="n">
        <v>373.3038706</v>
      </c>
      <c r="E1734" s="0" t="n">
        <v>2031</v>
      </c>
      <c r="F1734" s="0" t="n">
        <v>1.225922</v>
      </c>
      <c r="G1734" s="0" t="n">
        <v>25.674531</v>
      </c>
      <c r="I1734" s="0" t="n">
        <v>2028</v>
      </c>
      <c r="J1734" s="0" t="n">
        <v>0.56</v>
      </c>
      <c r="K1734" s="0" t="n">
        <v>11.97</v>
      </c>
      <c r="M1734" s="0" t="n">
        <v>2031</v>
      </c>
      <c r="N1734" s="0" t="n">
        <v>8.68</v>
      </c>
      <c r="O1734" s="0" t="n">
        <v>181.92</v>
      </c>
      <c r="Q1734" s="0" t="n">
        <v>2033</v>
      </c>
      <c r="R1734" s="0" t="n">
        <v>11</v>
      </c>
      <c r="W1734" s="0" t="n">
        <v>2031</v>
      </c>
      <c r="X1734" s="0" t="n">
        <v>661.215</v>
      </c>
    </row>
    <row r="1735" customFormat="false" ht="15" hidden="false" customHeight="false" outlineLevel="0" collapsed="false">
      <c r="A1735" s="0" t="n">
        <v>2031</v>
      </c>
      <c r="B1735" s="0" t="n">
        <v>65.65844976</v>
      </c>
      <c r="C1735" s="0" t="n">
        <v>1378.827445</v>
      </c>
      <c r="E1735" s="0" t="n">
        <v>2031</v>
      </c>
      <c r="F1735" s="0" t="n">
        <v>29.305682</v>
      </c>
      <c r="G1735" s="0" t="n">
        <v>613.750011</v>
      </c>
      <c r="I1735" s="0" t="n">
        <v>2028</v>
      </c>
      <c r="J1735" s="0" t="n">
        <v>572.64</v>
      </c>
      <c r="K1735" s="0" t="n">
        <v>12028.8</v>
      </c>
      <c r="M1735" s="0" t="n">
        <v>2031</v>
      </c>
      <c r="N1735" s="0" t="n">
        <v>264.48</v>
      </c>
      <c r="O1735" s="0" t="n">
        <v>5551.8</v>
      </c>
      <c r="Q1735" s="0" t="n">
        <v>2033</v>
      </c>
      <c r="R1735" s="0" t="n">
        <v>116</v>
      </c>
      <c r="W1735" s="0" t="n">
        <v>2031</v>
      </c>
      <c r="X1735" s="0" t="n">
        <v>295.602</v>
      </c>
    </row>
    <row r="1736" customFormat="false" ht="15" hidden="false" customHeight="false" outlineLevel="0" collapsed="false">
      <c r="A1736" s="0" t="n">
        <v>2031</v>
      </c>
      <c r="B1736" s="0" t="n">
        <v>20.55338756</v>
      </c>
      <c r="C1736" s="0" t="n">
        <v>431.6211387</v>
      </c>
      <c r="E1736" s="0" t="n">
        <v>2031</v>
      </c>
      <c r="F1736" s="0" t="n">
        <v>1.371914</v>
      </c>
      <c r="G1736" s="0" t="n">
        <v>28.732047</v>
      </c>
      <c r="I1736" s="0" t="n">
        <v>2028</v>
      </c>
      <c r="J1736" s="0" t="n">
        <v>190.88</v>
      </c>
      <c r="K1736" s="0" t="n">
        <v>4009.6</v>
      </c>
      <c r="M1736" s="0" t="n">
        <v>2031</v>
      </c>
      <c r="N1736" s="0" t="n">
        <v>174</v>
      </c>
      <c r="O1736" s="0" t="n">
        <v>3652.5</v>
      </c>
      <c r="Q1736" s="0" t="n">
        <v>2033</v>
      </c>
      <c r="R1736" s="0" t="n">
        <v>111</v>
      </c>
      <c r="W1736" s="0" t="n">
        <v>2031</v>
      </c>
      <c r="X1736" s="0" t="n">
        <v>116.685</v>
      </c>
    </row>
    <row r="1737" customFormat="false" ht="15" hidden="false" customHeight="false" outlineLevel="0" collapsed="false">
      <c r="A1737" s="0" t="n">
        <v>2031</v>
      </c>
      <c r="B1737" s="0" t="n">
        <v>45.95611854</v>
      </c>
      <c r="C1737" s="0" t="n">
        <v>965.0784894</v>
      </c>
      <c r="E1737" s="0" t="n">
        <v>2031</v>
      </c>
      <c r="F1737" s="0" t="n">
        <v>7.501524</v>
      </c>
      <c r="G1737" s="0" t="n">
        <v>157.104702</v>
      </c>
      <c r="I1737" s="0" t="n">
        <v>2028</v>
      </c>
      <c r="J1737" s="0" t="n">
        <v>83.51</v>
      </c>
      <c r="K1737" s="0" t="n">
        <v>1754.2</v>
      </c>
      <c r="M1737" s="0" t="n">
        <v>2031</v>
      </c>
      <c r="N1737" s="0" t="n">
        <v>69.6</v>
      </c>
      <c r="O1737" s="0" t="n">
        <v>1461</v>
      </c>
      <c r="Q1737" s="0" t="n">
        <v>2033</v>
      </c>
      <c r="R1737" s="0" t="n">
        <v>52</v>
      </c>
      <c r="W1737" s="0" t="n">
        <v>2031</v>
      </c>
      <c r="X1737" s="0" t="n">
        <v>171.138</v>
      </c>
    </row>
    <row r="1738" customFormat="false" ht="15" hidden="false" customHeight="false" outlineLevel="0" collapsed="false">
      <c r="A1738" s="0" t="n">
        <v>2031</v>
      </c>
      <c r="B1738" s="0" t="n">
        <v>191.1376017</v>
      </c>
      <c r="C1738" s="0" t="n">
        <v>4013.889635</v>
      </c>
      <c r="E1738" s="0" t="n">
        <v>2031</v>
      </c>
      <c r="F1738" s="0" t="n">
        <v>6.859412</v>
      </c>
      <c r="G1738" s="0" t="n">
        <v>143.656926</v>
      </c>
      <c r="I1738" s="0" t="n">
        <v>2028</v>
      </c>
      <c r="J1738" s="0" t="n">
        <v>47.72</v>
      </c>
      <c r="K1738" s="0" t="n">
        <v>1002.4</v>
      </c>
      <c r="M1738" s="0" t="n">
        <v>2031</v>
      </c>
      <c r="N1738" s="0" t="n">
        <v>69.6</v>
      </c>
      <c r="O1738" s="0" t="n">
        <v>1461</v>
      </c>
      <c r="Q1738" s="0" t="n">
        <v>2033</v>
      </c>
      <c r="R1738" s="0" t="n">
        <v>12</v>
      </c>
      <c r="W1738" s="0" t="n">
        <v>2031</v>
      </c>
      <c r="X1738" s="0" t="n">
        <v>132.243</v>
      </c>
    </row>
    <row r="1739" customFormat="false" ht="15" hidden="false" customHeight="false" outlineLevel="0" collapsed="false">
      <c r="A1739" s="0" t="n">
        <v>2031</v>
      </c>
      <c r="B1739" s="0" t="n">
        <v>48.21055515</v>
      </c>
      <c r="C1739" s="0" t="n">
        <v>1012.421658</v>
      </c>
      <c r="E1739" s="0" t="n">
        <v>2031</v>
      </c>
      <c r="F1739" s="0" t="n">
        <v>636.268862</v>
      </c>
      <c r="G1739" s="0" t="n">
        <v>13354.45082</v>
      </c>
      <c r="I1739" s="0" t="n">
        <v>2028</v>
      </c>
      <c r="J1739" s="0" t="n">
        <v>47.72</v>
      </c>
      <c r="K1739" s="0" t="n">
        <v>1002.4</v>
      </c>
      <c r="M1739" s="0" t="n">
        <v>2031</v>
      </c>
      <c r="N1739" s="0" t="n">
        <v>41.76</v>
      </c>
      <c r="O1739" s="0" t="n">
        <v>876.6</v>
      </c>
      <c r="Q1739" s="0" t="n">
        <v>2033</v>
      </c>
      <c r="R1739" s="0" t="n">
        <v>11</v>
      </c>
      <c r="W1739" s="0" t="n">
        <v>2031</v>
      </c>
      <c r="X1739" s="0" t="n">
        <v>47163.4</v>
      </c>
    </row>
    <row r="1740" customFormat="false" ht="15" hidden="false" customHeight="false" outlineLevel="0" collapsed="false">
      <c r="A1740" s="0" t="n">
        <v>2031</v>
      </c>
      <c r="B1740" s="0" t="n">
        <v>42.99203068</v>
      </c>
      <c r="C1740" s="0" t="n">
        <v>902.8326443</v>
      </c>
      <c r="E1740" s="0" t="n">
        <v>2031</v>
      </c>
      <c r="F1740" s="0" t="n">
        <v>170.845238</v>
      </c>
      <c r="G1740" s="0" t="n">
        <v>3585.817984</v>
      </c>
      <c r="I1740" s="0" t="n">
        <v>2028</v>
      </c>
      <c r="J1740" s="0" t="n">
        <v>23.86</v>
      </c>
      <c r="K1740" s="0" t="n">
        <v>501.2</v>
      </c>
      <c r="M1740" s="0" t="n">
        <v>2031</v>
      </c>
      <c r="N1740" s="0" t="n">
        <v>34.8</v>
      </c>
      <c r="O1740" s="0" t="n">
        <v>730.5</v>
      </c>
      <c r="Q1740" s="0" t="n">
        <v>2033</v>
      </c>
      <c r="R1740" s="0" t="n">
        <v>11</v>
      </c>
      <c r="W1740" s="0" t="n">
        <v>2031</v>
      </c>
      <c r="X1740" s="0" t="n">
        <v>11790.85</v>
      </c>
    </row>
    <row r="1741" customFormat="false" ht="15" hidden="false" customHeight="false" outlineLevel="0" collapsed="false">
      <c r="A1741" s="0" t="n">
        <v>2031</v>
      </c>
      <c r="B1741" s="0" t="n">
        <v>29.89840944</v>
      </c>
      <c r="C1741" s="0" t="n">
        <v>627.8665982</v>
      </c>
      <c r="E1741" s="0" t="n">
        <v>2031</v>
      </c>
      <c r="F1741" s="0" t="n">
        <v>68.383406</v>
      </c>
      <c r="G1741" s="0" t="n">
        <v>1435.278208</v>
      </c>
      <c r="I1741" s="0" t="n">
        <v>2028</v>
      </c>
      <c r="J1741" s="0" t="n">
        <v>23.86</v>
      </c>
      <c r="K1741" s="0" t="n">
        <v>501.2</v>
      </c>
      <c r="M1741" s="0" t="n">
        <v>2031</v>
      </c>
      <c r="N1741" s="0" t="n">
        <v>27.84</v>
      </c>
      <c r="O1741" s="0" t="n">
        <v>584.4</v>
      </c>
      <c r="Q1741" s="0" t="n">
        <v>2033</v>
      </c>
      <c r="R1741" s="0" t="n">
        <v>158</v>
      </c>
      <c r="W1741" s="0" t="n">
        <v>2031</v>
      </c>
      <c r="X1741" s="0" t="n">
        <v>3651.36</v>
      </c>
    </row>
    <row r="1742" customFormat="false" ht="15" hidden="false" customHeight="false" outlineLevel="0" collapsed="false">
      <c r="A1742" s="0" t="n">
        <v>2031</v>
      </c>
      <c r="B1742" s="0" t="n">
        <v>22.2394365</v>
      </c>
      <c r="C1742" s="0" t="n">
        <v>467.0281666</v>
      </c>
      <c r="E1742" s="0" t="n">
        <v>2031</v>
      </c>
      <c r="F1742" s="0" t="n">
        <v>9.605642</v>
      </c>
      <c r="G1742" s="0" t="n">
        <v>201.609856</v>
      </c>
      <c r="I1742" s="0" t="n">
        <v>2028</v>
      </c>
      <c r="J1742" s="0" t="n">
        <v>47.72</v>
      </c>
      <c r="K1742" s="0" t="n">
        <v>1002.4</v>
      </c>
      <c r="M1742" s="0" t="n">
        <v>2031</v>
      </c>
      <c r="N1742" s="0" t="n">
        <v>13.92</v>
      </c>
      <c r="O1742" s="0" t="n">
        <v>292.2</v>
      </c>
      <c r="Q1742" s="0" t="n">
        <v>2033</v>
      </c>
      <c r="R1742" s="0" t="n">
        <v>150</v>
      </c>
      <c r="W1742" s="0" t="n">
        <v>2031</v>
      </c>
      <c r="X1742" s="0" t="n">
        <v>6465.95</v>
      </c>
    </row>
    <row r="1743" customFormat="false" ht="15" hidden="false" customHeight="false" outlineLevel="0" collapsed="false">
      <c r="A1743" s="0" t="n">
        <v>2031</v>
      </c>
      <c r="B1743" s="0" t="n">
        <v>9.884194001</v>
      </c>
      <c r="C1743" s="0" t="n">
        <v>207.568074</v>
      </c>
      <c r="E1743" s="0" t="n">
        <v>2031</v>
      </c>
      <c r="F1743" s="0" t="n">
        <v>229.623002</v>
      </c>
      <c r="G1743" s="0" t="n">
        <v>4819.486336</v>
      </c>
      <c r="I1743" s="0" t="n">
        <v>2028</v>
      </c>
      <c r="J1743" s="0" t="n">
        <v>83.51</v>
      </c>
      <c r="K1743" s="0" t="n">
        <v>1754.2</v>
      </c>
      <c r="M1743" s="0" t="n">
        <v>2031</v>
      </c>
      <c r="N1743" s="0" t="n">
        <v>171.38</v>
      </c>
      <c r="O1743" s="0" t="n">
        <v>3595.94</v>
      </c>
      <c r="Q1743" s="0" t="n">
        <v>2033</v>
      </c>
      <c r="R1743" s="0" t="n">
        <v>71</v>
      </c>
      <c r="W1743" s="0" t="n">
        <v>2031</v>
      </c>
      <c r="X1743" s="0" t="n">
        <v>2890.66</v>
      </c>
    </row>
    <row r="1744" customFormat="false" ht="15" hidden="false" customHeight="false" outlineLevel="0" collapsed="false">
      <c r="A1744" s="0" t="n">
        <v>2031</v>
      </c>
      <c r="B1744" s="0" t="n">
        <v>36.50805425</v>
      </c>
      <c r="C1744" s="0" t="n">
        <v>766.6691392</v>
      </c>
      <c r="E1744" s="0" t="n">
        <v>2031</v>
      </c>
      <c r="F1744" s="0" t="n">
        <v>10.749554</v>
      </c>
      <c r="G1744" s="0" t="n">
        <v>225.619072</v>
      </c>
      <c r="I1744" s="0" t="n">
        <v>2028</v>
      </c>
      <c r="J1744" s="0" t="n">
        <v>35.79</v>
      </c>
      <c r="K1744" s="0" t="n">
        <v>751.8</v>
      </c>
      <c r="M1744" s="0" t="n">
        <v>2031</v>
      </c>
      <c r="N1744" s="0" t="n">
        <v>112.75</v>
      </c>
      <c r="O1744" s="0" t="n">
        <v>2365.75</v>
      </c>
      <c r="Q1744" s="0" t="n">
        <v>2033</v>
      </c>
      <c r="R1744" s="0" t="n">
        <v>16</v>
      </c>
      <c r="W1744" s="0" t="n">
        <v>2031</v>
      </c>
      <c r="X1744" s="0" t="n">
        <v>1141.05</v>
      </c>
    </row>
    <row r="1745" customFormat="false" ht="15" hidden="false" customHeight="false" outlineLevel="0" collapsed="false">
      <c r="A1745" s="0" t="n">
        <v>2031</v>
      </c>
      <c r="B1745" s="0" t="n">
        <v>11.42829583</v>
      </c>
      <c r="C1745" s="0" t="n">
        <v>239.9942125</v>
      </c>
      <c r="E1745" s="0" t="n">
        <v>2031</v>
      </c>
      <c r="F1745" s="0" t="n">
        <v>58.777764</v>
      </c>
      <c r="G1745" s="0" t="n">
        <v>1233.668352</v>
      </c>
      <c r="I1745" s="0" t="n">
        <v>2028</v>
      </c>
      <c r="J1745" s="0" t="n">
        <v>35.79</v>
      </c>
      <c r="K1745" s="0" t="n">
        <v>751.8</v>
      </c>
      <c r="M1745" s="0" t="n">
        <v>2031</v>
      </c>
      <c r="N1745" s="0" t="n">
        <v>45.1</v>
      </c>
      <c r="O1745" s="0" t="n">
        <v>946.3</v>
      </c>
      <c r="Q1745" s="0" t="n">
        <v>2033</v>
      </c>
      <c r="R1745" s="0" t="n">
        <v>13</v>
      </c>
      <c r="W1745" s="0" t="n">
        <v>2031</v>
      </c>
      <c r="X1745" s="0" t="n">
        <v>1673.54</v>
      </c>
    </row>
    <row r="1746" customFormat="false" ht="15" hidden="false" customHeight="false" outlineLevel="0" collapsed="false">
      <c r="A1746" s="0" t="n">
        <v>2031</v>
      </c>
      <c r="B1746" s="0" t="n">
        <v>25.55297109</v>
      </c>
      <c r="C1746" s="0" t="n">
        <v>536.6123929</v>
      </c>
      <c r="E1746" s="0" t="n">
        <v>2031</v>
      </c>
      <c r="F1746" s="0" t="n">
        <v>53.746532</v>
      </c>
      <c r="G1746" s="0" t="n">
        <v>1128.069376</v>
      </c>
      <c r="I1746" s="0" t="n">
        <v>2028</v>
      </c>
      <c r="J1746" s="0" t="n">
        <v>54.08</v>
      </c>
      <c r="K1746" s="0" t="n">
        <v>1135.16</v>
      </c>
      <c r="M1746" s="0" t="n">
        <v>2031</v>
      </c>
      <c r="N1746" s="0" t="n">
        <v>45.1</v>
      </c>
      <c r="O1746" s="0" t="n">
        <v>946.3</v>
      </c>
      <c r="Q1746" s="0" t="n">
        <v>2033</v>
      </c>
      <c r="R1746" s="0" t="n">
        <v>13</v>
      </c>
      <c r="W1746" s="0" t="n">
        <v>2031</v>
      </c>
      <c r="X1746" s="0" t="n">
        <v>1293.19</v>
      </c>
    </row>
    <row r="1747" customFormat="false" ht="15" hidden="false" customHeight="false" outlineLevel="0" collapsed="false">
      <c r="A1747" s="0" t="n">
        <v>2031</v>
      </c>
      <c r="B1747" s="0" t="n">
        <v>163.2897392</v>
      </c>
      <c r="C1747" s="0" t="n">
        <v>3429.084523</v>
      </c>
      <c r="E1747" s="0" t="n">
        <v>2032</v>
      </c>
      <c r="F1747" s="0" t="n">
        <v>265.197684</v>
      </c>
      <c r="G1747" s="0" t="n">
        <v>5568.637415</v>
      </c>
      <c r="I1747" s="0" t="n">
        <v>2028</v>
      </c>
      <c r="J1747" s="0" t="n">
        <v>8.32</v>
      </c>
      <c r="K1747" s="0" t="n">
        <v>174.64</v>
      </c>
      <c r="M1747" s="0" t="n">
        <v>2031</v>
      </c>
      <c r="N1747" s="0" t="n">
        <v>27.06</v>
      </c>
      <c r="O1747" s="0" t="n">
        <v>567.78</v>
      </c>
      <c r="Q1747" s="0" t="n">
        <v>2034</v>
      </c>
      <c r="R1747" s="0" t="n">
        <v>1482</v>
      </c>
      <c r="W1747" s="0" t="n">
        <v>2032</v>
      </c>
      <c r="X1747" s="0" t="n">
        <v>163539.26</v>
      </c>
    </row>
    <row r="1748" customFormat="false" ht="15" hidden="false" customHeight="false" outlineLevel="0" collapsed="false">
      <c r="A1748" s="0" t="n">
        <v>2031</v>
      </c>
      <c r="B1748" s="0" t="n">
        <v>41.18650076</v>
      </c>
      <c r="C1748" s="0" t="n">
        <v>864.916516</v>
      </c>
      <c r="E1748" s="0" t="n">
        <v>2032</v>
      </c>
      <c r="F1748" s="0" t="n">
        <v>71.208516</v>
      </c>
      <c r="G1748" s="0" t="n">
        <v>1495.240835</v>
      </c>
      <c r="I1748" s="0" t="n">
        <v>2028</v>
      </c>
      <c r="J1748" s="0" t="n">
        <v>6.24</v>
      </c>
      <c r="K1748" s="0" t="n">
        <v>130.98</v>
      </c>
      <c r="M1748" s="0" t="n">
        <v>2031</v>
      </c>
      <c r="N1748" s="0" t="n">
        <v>22.55</v>
      </c>
      <c r="O1748" s="0" t="n">
        <v>473.15</v>
      </c>
      <c r="Q1748" s="0" t="n">
        <v>2034</v>
      </c>
      <c r="R1748" s="0" t="n">
        <v>1408</v>
      </c>
      <c r="W1748" s="0" t="n">
        <v>2032</v>
      </c>
      <c r="X1748" s="0" t="n">
        <v>40884.815</v>
      </c>
    </row>
    <row r="1749" customFormat="false" ht="15" hidden="false" customHeight="false" outlineLevel="0" collapsed="false">
      <c r="A1749" s="0" t="n">
        <v>2031</v>
      </c>
      <c r="B1749" s="0" t="n">
        <v>36.72829111</v>
      </c>
      <c r="C1749" s="0" t="n">
        <v>771.2941134</v>
      </c>
      <c r="E1749" s="0" t="n">
        <v>2032</v>
      </c>
      <c r="F1749" s="0" t="n">
        <v>28.502292</v>
      </c>
      <c r="G1749" s="0" t="n">
        <v>598.492895</v>
      </c>
      <c r="I1749" s="0" t="n">
        <v>2028</v>
      </c>
      <c r="J1749" s="0" t="n">
        <v>10.4</v>
      </c>
      <c r="K1749" s="0" t="n">
        <v>218.3</v>
      </c>
      <c r="M1749" s="0" t="n">
        <v>2031</v>
      </c>
      <c r="N1749" s="0" t="n">
        <v>18.04</v>
      </c>
      <c r="O1749" s="0" t="n">
        <v>378.52</v>
      </c>
      <c r="Q1749" s="0" t="n">
        <v>2034</v>
      </c>
      <c r="R1749" s="0" t="n">
        <v>667</v>
      </c>
      <c r="W1749" s="0" t="n">
        <v>2032</v>
      </c>
      <c r="X1749" s="0" t="n">
        <v>12661.104</v>
      </c>
    </row>
    <row r="1750" customFormat="false" ht="15" hidden="false" customHeight="false" outlineLevel="0" collapsed="false">
      <c r="A1750" s="0" t="n">
        <v>2031</v>
      </c>
      <c r="B1750" s="0" t="n">
        <v>25.54234979</v>
      </c>
      <c r="C1750" s="0" t="n">
        <v>536.3893455</v>
      </c>
      <c r="E1750" s="0" t="n">
        <v>2032</v>
      </c>
      <c r="F1750" s="0" t="n">
        <v>4.003644</v>
      </c>
      <c r="G1750" s="0" t="n">
        <v>84.068765</v>
      </c>
      <c r="I1750" s="0" t="n">
        <v>2028</v>
      </c>
      <c r="J1750" s="0" t="n">
        <v>2.08</v>
      </c>
      <c r="K1750" s="0" t="n">
        <v>43.66</v>
      </c>
      <c r="M1750" s="0" t="n">
        <v>2031</v>
      </c>
      <c r="N1750" s="0" t="n">
        <v>9.02</v>
      </c>
      <c r="O1750" s="0" t="n">
        <v>189.26</v>
      </c>
      <c r="Q1750" s="0" t="n">
        <v>2034</v>
      </c>
      <c r="R1750" s="0" t="n">
        <v>148</v>
      </c>
      <c r="W1750" s="0" t="n">
        <v>2032</v>
      </c>
      <c r="X1750" s="0" t="n">
        <v>22420.705</v>
      </c>
    </row>
    <row r="1751" customFormat="false" ht="15" hidden="false" customHeight="false" outlineLevel="0" collapsed="false">
      <c r="A1751" s="0" t="n">
        <v>2031</v>
      </c>
      <c r="B1751" s="0" t="n">
        <v>18.9992537</v>
      </c>
      <c r="C1751" s="0" t="n">
        <v>398.9843277</v>
      </c>
      <c r="E1751" s="0" t="n">
        <v>2032</v>
      </c>
      <c r="F1751" s="0" t="n">
        <v>95.707164</v>
      </c>
      <c r="G1751" s="0" t="n">
        <v>2009.664965</v>
      </c>
      <c r="I1751" s="0" t="n">
        <v>2028</v>
      </c>
      <c r="J1751" s="0" t="n">
        <v>2.08</v>
      </c>
      <c r="K1751" s="0" t="n">
        <v>43.66</v>
      </c>
      <c r="M1751" s="0" t="n">
        <v>2031</v>
      </c>
      <c r="N1751" s="0" t="n">
        <v>44.46</v>
      </c>
      <c r="O1751" s="0" t="n">
        <v>932.14</v>
      </c>
      <c r="Q1751" s="0" t="n">
        <v>2034</v>
      </c>
      <c r="R1751" s="0" t="n">
        <v>137</v>
      </c>
      <c r="W1751" s="0" t="n">
        <v>2032</v>
      </c>
      <c r="X1751" s="0" t="n">
        <v>10023.374</v>
      </c>
    </row>
    <row r="1752" customFormat="false" ht="15" hidden="false" customHeight="false" outlineLevel="0" collapsed="false">
      <c r="A1752" s="0" t="n">
        <v>2031</v>
      </c>
      <c r="B1752" s="0" t="n">
        <v>8.444112756</v>
      </c>
      <c r="C1752" s="0" t="n">
        <v>177.3263679</v>
      </c>
      <c r="E1752" s="0" t="n">
        <v>2032</v>
      </c>
      <c r="F1752" s="0" t="n">
        <v>4.480428</v>
      </c>
      <c r="G1752" s="0" t="n">
        <v>94.080305</v>
      </c>
      <c r="I1752" s="0" t="n">
        <v>2028</v>
      </c>
      <c r="J1752" s="0" t="n">
        <v>0</v>
      </c>
      <c r="K1752" s="0" t="n">
        <v>0</v>
      </c>
      <c r="M1752" s="0" t="n">
        <v>2031</v>
      </c>
      <c r="N1752" s="0" t="n">
        <v>29.25</v>
      </c>
      <c r="O1752" s="0" t="n">
        <v>613.25</v>
      </c>
      <c r="Q1752" s="0" t="n">
        <v>2034</v>
      </c>
      <c r="R1752" s="0" t="n">
        <v>137</v>
      </c>
      <c r="W1752" s="0" t="n">
        <v>2032</v>
      </c>
      <c r="X1752" s="0" t="n">
        <v>3956.595</v>
      </c>
    </row>
    <row r="1753" customFormat="false" ht="15" hidden="false" customHeight="false" outlineLevel="0" collapsed="false">
      <c r="A1753" s="0" t="n">
        <v>2031</v>
      </c>
      <c r="B1753" s="0" t="n">
        <v>31.18899999</v>
      </c>
      <c r="C1753" s="0" t="n">
        <v>654.9689997</v>
      </c>
      <c r="E1753" s="0" t="n">
        <v>2032</v>
      </c>
      <c r="F1753" s="0" t="n">
        <v>24.498648</v>
      </c>
      <c r="G1753" s="0" t="n">
        <v>514.42413</v>
      </c>
      <c r="I1753" s="0" t="n">
        <v>2028</v>
      </c>
      <c r="J1753" s="0" t="n">
        <v>4.16</v>
      </c>
      <c r="K1753" s="0" t="n">
        <v>87.32</v>
      </c>
      <c r="M1753" s="0" t="n">
        <v>2031</v>
      </c>
      <c r="N1753" s="0" t="n">
        <v>11.7</v>
      </c>
      <c r="O1753" s="0" t="n">
        <v>245.3</v>
      </c>
      <c r="Q1753" s="0" t="n">
        <v>2034</v>
      </c>
      <c r="R1753" s="0" t="n">
        <v>435</v>
      </c>
      <c r="W1753" s="0" t="n">
        <v>2032</v>
      </c>
      <c r="X1753" s="0" t="n">
        <v>5803.006</v>
      </c>
    </row>
    <row r="1754" customFormat="false" ht="15" hidden="false" customHeight="false" outlineLevel="0" collapsed="false">
      <c r="A1754" s="0" t="n">
        <v>2031</v>
      </c>
      <c r="B1754" s="0" t="n">
        <v>9.763246111</v>
      </c>
      <c r="C1754" s="0" t="n">
        <v>205.0281683</v>
      </c>
      <c r="E1754" s="0" t="n">
        <v>2032</v>
      </c>
      <c r="F1754" s="0" t="n">
        <v>22.401624</v>
      </c>
      <c r="G1754" s="0" t="n">
        <v>470.39069</v>
      </c>
      <c r="I1754" s="0" t="n">
        <v>2028</v>
      </c>
      <c r="J1754" s="0" t="n">
        <v>7.28</v>
      </c>
      <c r="K1754" s="0" t="n">
        <v>152.81</v>
      </c>
      <c r="M1754" s="0" t="n">
        <v>2031</v>
      </c>
      <c r="N1754" s="0" t="n">
        <v>11.7</v>
      </c>
      <c r="O1754" s="0" t="n">
        <v>245.3</v>
      </c>
      <c r="Q1754" s="0" t="n">
        <v>2034</v>
      </c>
      <c r="R1754" s="0" t="n">
        <v>413</v>
      </c>
      <c r="W1754" s="0" t="n">
        <v>2032</v>
      </c>
      <c r="X1754" s="0" t="n">
        <v>4484.141</v>
      </c>
    </row>
    <row r="1755" customFormat="false" ht="15" hidden="false" customHeight="false" outlineLevel="0" collapsed="false">
      <c r="A1755" s="0" t="n">
        <v>2031</v>
      </c>
      <c r="B1755" s="0" t="n">
        <v>21.83002166</v>
      </c>
      <c r="C1755" s="0" t="n">
        <v>458.4304549</v>
      </c>
      <c r="E1755" s="0" t="n">
        <v>2032</v>
      </c>
      <c r="F1755" s="0" t="n">
        <v>356.680606</v>
      </c>
      <c r="G1755" s="0" t="n">
        <v>7489.264828</v>
      </c>
      <c r="I1755" s="0" t="n">
        <v>2028</v>
      </c>
      <c r="J1755" s="0" t="n">
        <v>2.08</v>
      </c>
      <c r="K1755" s="0" t="n">
        <v>43.66</v>
      </c>
      <c r="M1755" s="0" t="n">
        <v>2031</v>
      </c>
      <c r="N1755" s="0" t="n">
        <v>7.02</v>
      </c>
      <c r="O1755" s="0" t="n">
        <v>147.18</v>
      </c>
      <c r="Q1755" s="0" t="n">
        <v>2034</v>
      </c>
      <c r="R1755" s="0" t="n">
        <v>196</v>
      </c>
      <c r="W1755" s="0" t="n">
        <v>2032</v>
      </c>
      <c r="X1755" s="0" t="n">
        <v>61938.62</v>
      </c>
    </row>
    <row r="1756" customFormat="false" ht="15" hidden="false" customHeight="false" outlineLevel="0" collapsed="false">
      <c r="A1756" s="0" t="n">
        <v>2031</v>
      </c>
      <c r="B1756" s="0" t="n">
        <v>218.0936421</v>
      </c>
      <c r="C1756" s="0" t="n">
        <v>4579.966484</v>
      </c>
      <c r="E1756" s="0" t="n">
        <v>2032</v>
      </c>
      <c r="F1756" s="0" t="n">
        <v>95.772694</v>
      </c>
      <c r="G1756" s="0" t="n">
        <v>2010.950572</v>
      </c>
      <c r="I1756" s="0" t="n">
        <v>2028</v>
      </c>
      <c r="J1756" s="0" t="n">
        <v>7.28</v>
      </c>
      <c r="K1756" s="0" t="n">
        <v>152.81</v>
      </c>
      <c r="M1756" s="0" t="n">
        <v>2031</v>
      </c>
      <c r="N1756" s="0" t="n">
        <v>5.85</v>
      </c>
      <c r="O1756" s="0" t="n">
        <v>122.65</v>
      </c>
      <c r="Q1756" s="0" t="n">
        <v>2034</v>
      </c>
      <c r="R1756" s="0" t="n">
        <v>43</v>
      </c>
      <c r="W1756" s="0" t="n">
        <v>2032</v>
      </c>
      <c r="X1756" s="0" t="n">
        <v>15484.655</v>
      </c>
    </row>
    <row r="1757" customFormat="false" ht="15" hidden="false" customHeight="false" outlineLevel="0" collapsed="false">
      <c r="A1757" s="0" t="n">
        <v>2031</v>
      </c>
      <c r="B1757" s="0" t="n">
        <v>55.00966566</v>
      </c>
      <c r="C1757" s="0" t="n">
        <v>1155.202979</v>
      </c>
      <c r="E1757" s="0" t="n">
        <v>2032</v>
      </c>
      <c r="F1757" s="0" t="n">
        <v>38.334478</v>
      </c>
      <c r="G1757" s="0" t="n">
        <v>804.913564</v>
      </c>
      <c r="I1757" s="0" t="n">
        <v>2028</v>
      </c>
      <c r="J1757" s="0" t="n">
        <v>421.44</v>
      </c>
      <c r="K1757" s="0" t="n">
        <v>8846.88</v>
      </c>
      <c r="M1757" s="0" t="n">
        <v>2031</v>
      </c>
      <c r="N1757" s="0" t="n">
        <v>4.68</v>
      </c>
      <c r="O1757" s="0" t="n">
        <v>98.12</v>
      </c>
      <c r="Q1757" s="0" t="n">
        <v>2034</v>
      </c>
      <c r="R1757" s="0" t="n">
        <v>41</v>
      </c>
      <c r="W1757" s="0" t="n">
        <v>2032</v>
      </c>
      <c r="X1757" s="0" t="n">
        <v>4795.248</v>
      </c>
    </row>
    <row r="1758" customFormat="false" ht="15" hidden="false" customHeight="false" outlineLevel="0" collapsed="false">
      <c r="A1758" s="0" t="n">
        <v>2031</v>
      </c>
      <c r="B1758" s="0" t="n">
        <v>49.05517529</v>
      </c>
      <c r="C1758" s="0" t="n">
        <v>1030.158681</v>
      </c>
      <c r="E1758" s="0" t="n">
        <v>2032</v>
      </c>
      <c r="F1758" s="0" t="n">
        <v>5.384746</v>
      </c>
      <c r="G1758" s="0" t="n">
        <v>113.064148</v>
      </c>
      <c r="I1758" s="0" t="n">
        <v>2028</v>
      </c>
      <c r="J1758" s="0" t="n">
        <v>140.48</v>
      </c>
      <c r="K1758" s="0" t="n">
        <v>2948.96</v>
      </c>
      <c r="M1758" s="0" t="n">
        <v>2031</v>
      </c>
      <c r="N1758" s="0" t="n">
        <v>2.34</v>
      </c>
      <c r="O1758" s="0" t="n">
        <v>49.06</v>
      </c>
      <c r="Q1758" s="0" t="n">
        <v>2034</v>
      </c>
      <c r="R1758" s="0" t="n">
        <v>41</v>
      </c>
      <c r="W1758" s="0" t="n">
        <v>2032</v>
      </c>
      <c r="X1758" s="0" t="n">
        <v>8491.585</v>
      </c>
    </row>
    <row r="1759" customFormat="false" ht="15" hidden="false" customHeight="false" outlineLevel="0" collapsed="false">
      <c r="A1759" s="0" t="n">
        <v>2031</v>
      </c>
      <c r="B1759" s="0" t="n">
        <v>34.11496718</v>
      </c>
      <c r="C1759" s="0" t="n">
        <v>716.4143109</v>
      </c>
      <c r="E1759" s="0" t="n">
        <v>2032</v>
      </c>
      <c r="F1759" s="0" t="n">
        <v>128.722426</v>
      </c>
      <c r="G1759" s="0" t="n">
        <v>2702.799988</v>
      </c>
      <c r="I1759" s="0" t="n">
        <v>2028</v>
      </c>
      <c r="J1759" s="0" t="n">
        <v>61.46</v>
      </c>
      <c r="K1759" s="0" t="n">
        <v>1290.17</v>
      </c>
      <c r="M1759" s="0" t="n">
        <v>2031</v>
      </c>
      <c r="N1759" s="0" t="n">
        <v>98.8</v>
      </c>
      <c r="O1759" s="0" t="n">
        <v>2073.28</v>
      </c>
      <c r="Q1759" s="0" t="n">
        <v>2034</v>
      </c>
      <c r="R1759" s="0" t="n">
        <v>1872</v>
      </c>
      <c r="W1759" s="0" t="n">
        <v>2032</v>
      </c>
      <c r="X1759" s="0" t="n">
        <v>3796.238</v>
      </c>
    </row>
    <row r="1760" customFormat="false" ht="15" hidden="false" customHeight="false" outlineLevel="0" collapsed="false">
      <c r="A1760" s="0" t="n">
        <v>2031</v>
      </c>
      <c r="B1760" s="0" t="n">
        <v>25.37585312</v>
      </c>
      <c r="C1760" s="0" t="n">
        <v>532.8929155</v>
      </c>
      <c r="E1760" s="0" t="n">
        <v>2032</v>
      </c>
      <c r="F1760" s="0" t="n">
        <v>6.026002</v>
      </c>
      <c r="G1760" s="0" t="n">
        <v>126.528676</v>
      </c>
      <c r="I1760" s="0" t="n">
        <v>2028</v>
      </c>
      <c r="J1760" s="0" t="n">
        <v>35.12</v>
      </c>
      <c r="K1760" s="0" t="n">
        <v>737.24</v>
      </c>
      <c r="M1760" s="0" t="n">
        <v>2031</v>
      </c>
      <c r="N1760" s="0" t="n">
        <v>65</v>
      </c>
      <c r="O1760" s="0" t="n">
        <v>1364</v>
      </c>
      <c r="Q1760" s="0" t="n">
        <v>2034</v>
      </c>
      <c r="R1760" s="0" t="n">
        <v>1779</v>
      </c>
      <c r="W1760" s="0" t="n">
        <v>2032</v>
      </c>
      <c r="X1760" s="0" t="n">
        <v>1498.515</v>
      </c>
    </row>
    <row r="1761" customFormat="false" ht="15" hidden="false" customHeight="false" outlineLevel="0" collapsed="false">
      <c r="A1761" s="0" t="n">
        <v>2031</v>
      </c>
      <c r="B1761" s="0" t="n">
        <v>11.27815694</v>
      </c>
      <c r="C1761" s="0" t="n">
        <v>236.8412958</v>
      </c>
      <c r="E1761" s="0" t="n">
        <v>2032</v>
      </c>
      <c r="F1761" s="0" t="n">
        <v>32.949732</v>
      </c>
      <c r="G1761" s="0" t="n">
        <v>691.849416</v>
      </c>
      <c r="I1761" s="0" t="n">
        <v>2028</v>
      </c>
      <c r="J1761" s="0" t="n">
        <v>35.12</v>
      </c>
      <c r="K1761" s="0" t="n">
        <v>737.24</v>
      </c>
      <c r="M1761" s="0" t="n">
        <v>2031</v>
      </c>
      <c r="N1761" s="0" t="n">
        <v>26</v>
      </c>
      <c r="O1761" s="0" t="n">
        <v>545.6</v>
      </c>
      <c r="Q1761" s="0" t="n">
        <v>2034</v>
      </c>
      <c r="R1761" s="0" t="n">
        <v>843</v>
      </c>
      <c r="W1761" s="0" t="n">
        <v>2032</v>
      </c>
      <c r="X1761" s="0" t="n">
        <v>2197.822</v>
      </c>
    </row>
    <row r="1762" customFormat="false" ht="15" hidden="false" customHeight="false" outlineLevel="0" collapsed="false">
      <c r="A1762" s="0" t="n">
        <v>2031</v>
      </c>
      <c r="B1762" s="0" t="n">
        <v>41.6567669</v>
      </c>
      <c r="C1762" s="0" t="n">
        <v>874.7921048</v>
      </c>
      <c r="E1762" s="0" t="n">
        <v>2032</v>
      </c>
      <c r="F1762" s="0" t="n">
        <v>30.129316</v>
      </c>
      <c r="G1762" s="0" t="n">
        <v>632.628808</v>
      </c>
      <c r="I1762" s="0" t="n">
        <v>2028</v>
      </c>
      <c r="J1762" s="0" t="n">
        <v>17.56</v>
      </c>
      <c r="K1762" s="0" t="n">
        <v>368.62</v>
      </c>
      <c r="M1762" s="0" t="n">
        <v>2031</v>
      </c>
      <c r="N1762" s="0" t="n">
        <v>26</v>
      </c>
      <c r="O1762" s="0" t="n">
        <v>545.6</v>
      </c>
      <c r="Q1762" s="0" t="n">
        <v>2034</v>
      </c>
      <c r="R1762" s="0" t="n">
        <v>187</v>
      </c>
      <c r="W1762" s="0" t="n">
        <v>2032</v>
      </c>
      <c r="X1762" s="0" t="n">
        <v>1698.317</v>
      </c>
    </row>
    <row r="1763" customFormat="false" ht="15" hidden="false" customHeight="false" outlineLevel="0" collapsed="false">
      <c r="A1763" s="0" t="n">
        <v>2031</v>
      </c>
      <c r="B1763" s="0" t="n">
        <v>13.04002269</v>
      </c>
      <c r="C1763" s="0" t="n">
        <v>273.8404764</v>
      </c>
      <c r="E1763" s="0" t="n">
        <v>2032</v>
      </c>
      <c r="F1763" s="0" t="n">
        <v>271.879021</v>
      </c>
      <c r="G1763" s="0" t="n">
        <v>5703.292053</v>
      </c>
      <c r="I1763" s="0" t="n">
        <v>2028</v>
      </c>
      <c r="J1763" s="0" t="n">
        <v>17.56</v>
      </c>
      <c r="K1763" s="0" t="n">
        <v>368.62</v>
      </c>
      <c r="M1763" s="0" t="n">
        <v>2031</v>
      </c>
      <c r="N1763" s="0" t="n">
        <v>15.6</v>
      </c>
      <c r="O1763" s="0" t="n">
        <v>327.36</v>
      </c>
      <c r="Q1763" s="0" t="n">
        <v>2034</v>
      </c>
      <c r="R1763" s="0" t="n">
        <v>179</v>
      </c>
      <c r="W1763" s="0" t="n">
        <v>2032</v>
      </c>
      <c r="X1763" s="0" t="n">
        <v>120771.04</v>
      </c>
    </row>
    <row r="1764" customFormat="false" ht="15" hidden="false" customHeight="false" outlineLevel="0" collapsed="false">
      <c r="A1764" s="0" t="n">
        <v>2031</v>
      </c>
      <c r="B1764" s="0" t="n">
        <v>29.15669384</v>
      </c>
      <c r="C1764" s="0" t="n">
        <v>612.2905706</v>
      </c>
      <c r="E1764" s="0" t="n">
        <v>2032</v>
      </c>
      <c r="F1764" s="0" t="n">
        <v>73.002529</v>
      </c>
      <c r="G1764" s="0" t="n">
        <v>1531.397097</v>
      </c>
      <c r="I1764" s="0" t="n">
        <v>2028</v>
      </c>
      <c r="J1764" s="0" t="n">
        <v>35.12</v>
      </c>
      <c r="K1764" s="0" t="n">
        <v>737.24</v>
      </c>
      <c r="M1764" s="0" t="n">
        <v>2031</v>
      </c>
      <c r="N1764" s="0" t="n">
        <v>13</v>
      </c>
      <c r="O1764" s="0" t="n">
        <v>272.8</v>
      </c>
      <c r="Q1764" s="0" t="n">
        <v>2034</v>
      </c>
      <c r="R1764" s="0" t="n">
        <v>179</v>
      </c>
      <c r="W1764" s="0" t="n">
        <v>2032</v>
      </c>
      <c r="X1764" s="0" t="n">
        <v>30192.76</v>
      </c>
    </row>
    <row r="1765" customFormat="false" ht="15" hidden="false" customHeight="false" outlineLevel="0" collapsed="false">
      <c r="A1765" s="0" t="n">
        <v>2031</v>
      </c>
      <c r="B1765" s="0" t="n">
        <v>173.3299293</v>
      </c>
      <c r="C1765" s="0" t="n">
        <v>3639.928515</v>
      </c>
      <c r="E1765" s="0" t="n">
        <v>2032</v>
      </c>
      <c r="F1765" s="0" t="n">
        <v>29.220373</v>
      </c>
      <c r="G1765" s="0" t="n">
        <v>612.964989</v>
      </c>
      <c r="I1765" s="0" t="n">
        <v>2028</v>
      </c>
      <c r="J1765" s="0" t="n">
        <v>61.46</v>
      </c>
      <c r="K1765" s="0" t="n">
        <v>1290.17</v>
      </c>
      <c r="M1765" s="0" t="n">
        <v>2031</v>
      </c>
      <c r="N1765" s="0" t="n">
        <v>10.4</v>
      </c>
      <c r="O1765" s="0" t="n">
        <v>218.24</v>
      </c>
      <c r="Q1765" s="0" t="n">
        <v>2034</v>
      </c>
      <c r="R1765" s="0" t="n">
        <v>1190</v>
      </c>
      <c r="W1765" s="0" t="n">
        <v>2032</v>
      </c>
      <c r="X1765" s="0" t="n">
        <v>9350.016</v>
      </c>
    </row>
    <row r="1766" customFormat="false" ht="15" hidden="false" customHeight="false" outlineLevel="0" collapsed="false">
      <c r="A1766" s="0" t="n">
        <v>2031</v>
      </c>
      <c r="B1766" s="0" t="n">
        <v>43.71893359</v>
      </c>
      <c r="C1766" s="0" t="n">
        <v>918.0976055</v>
      </c>
      <c r="E1766" s="0" t="n">
        <v>2032</v>
      </c>
      <c r="F1766" s="0" t="n">
        <v>4.104511</v>
      </c>
      <c r="G1766" s="0" t="n">
        <v>86.101623</v>
      </c>
      <c r="I1766" s="0" t="n">
        <v>2028</v>
      </c>
      <c r="J1766" s="0" t="n">
        <v>26.34</v>
      </c>
      <c r="K1766" s="0" t="n">
        <v>552.93</v>
      </c>
      <c r="M1766" s="0" t="n">
        <v>2031</v>
      </c>
      <c r="N1766" s="0" t="n">
        <v>5.2</v>
      </c>
      <c r="O1766" s="0" t="n">
        <v>109.12</v>
      </c>
      <c r="Q1766" s="0" t="n">
        <v>2034</v>
      </c>
      <c r="R1766" s="0" t="n">
        <v>1131</v>
      </c>
      <c r="W1766" s="0" t="n">
        <v>2032</v>
      </c>
      <c r="X1766" s="0" t="n">
        <v>16557.32</v>
      </c>
    </row>
    <row r="1767" customFormat="false" ht="15" hidden="false" customHeight="false" outlineLevel="0" collapsed="false">
      <c r="A1767" s="0" t="n">
        <v>2031</v>
      </c>
      <c r="B1767" s="0" t="n">
        <v>38.98660218</v>
      </c>
      <c r="C1767" s="0" t="n">
        <v>818.7186457</v>
      </c>
      <c r="E1767" s="0" t="n">
        <v>2032</v>
      </c>
      <c r="F1767" s="0" t="n">
        <v>98.118391</v>
      </c>
      <c r="G1767" s="0" t="n">
        <v>2058.260463</v>
      </c>
      <c r="I1767" s="0" t="n">
        <v>2028</v>
      </c>
      <c r="J1767" s="0" t="n">
        <v>26.34</v>
      </c>
      <c r="K1767" s="0" t="n">
        <v>552.93</v>
      </c>
      <c r="M1767" s="0" t="n">
        <v>2031</v>
      </c>
      <c r="N1767" s="0" t="n">
        <v>144.4</v>
      </c>
      <c r="O1767" s="0" t="n">
        <v>3032.02</v>
      </c>
      <c r="Q1767" s="0" t="n">
        <v>2034</v>
      </c>
      <c r="R1767" s="0" t="n">
        <v>536</v>
      </c>
      <c r="W1767" s="0" t="n">
        <v>2032</v>
      </c>
      <c r="X1767" s="0" t="n">
        <v>7402.096</v>
      </c>
    </row>
    <row r="1768" customFormat="false" ht="15" hidden="false" customHeight="false" outlineLevel="0" collapsed="false">
      <c r="A1768" s="0" t="n">
        <v>2031</v>
      </c>
      <c r="B1768" s="0" t="n">
        <v>27.11287129</v>
      </c>
      <c r="C1768" s="0" t="n">
        <v>569.3702972</v>
      </c>
      <c r="E1768" s="0" t="n">
        <v>2032</v>
      </c>
      <c r="F1768" s="0" t="n">
        <v>4.593307</v>
      </c>
      <c r="G1768" s="0" t="n">
        <v>96.355251</v>
      </c>
      <c r="I1768" s="0" t="n">
        <v>2028</v>
      </c>
      <c r="J1768" s="0" t="n">
        <v>52.52</v>
      </c>
      <c r="K1768" s="0" t="n">
        <v>1106.04</v>
      </c>
      <c r="M1768" s="0" t="n">
        <v>2031</v>
      </c>
      <c r="N1768" s="0" t="n">
        <v>95</v>
      </c>
      <c r="O1768" s="0" t="n">
        <v>1994.75</v>
      </c>
      <c r="Q1768" s="0" t="n">
        <v>2034</v>
      </c>
      <c r="R1768" s="0" t="n">
        <v>119</v>
      </c>
      <c r="W1768" s="0" t="n">
        <v>2032</v>
      </c>
      <c r="X1768" s="0" t="n">
        <v>2921.88</v>
      </c>
    </row>
    <row r="1769" customFormat="false" ht="15" hidden="false" customHeight="false" outlineLevel="0" collapsed="false">
      <c r="A1769" s="0" t="n">
        <v>2031</v>
      </c>
      <c r="B1769" s="0" t="n">
        <v>20.1674601</v>
      </c>
      <c r="C1769" s="0" t="n">
        <v>423.5166622</v>
      </c>
      <c r="E1769" s="0" t="n">
        <v>2032</v>
      </c>
      <c r="F1769" s="0" t="n">
        <v>25.115862</v>
      </c>
      <c r="G1769" s="0" t="n">
        <v>526.863366</v>
      </c>
      <c r="I1769" s="0" t="n">
        <v>2028</v>
      </c>
      <c r="J1769" s="0" t="n">
        <v>8.08</v>
      </c>
      <c r="K1769" s="0" t="n">
        <v>170.16</v>
      </c>
      <c r="M1769" s="0" t="n">
        <v>2031</v>
      </c>
      <c r="N1769" s="0" t="n">
        <v>38</v>
      </c>
      <c r="O1769" s="0" t="n">
        <v>797.9</v>
      </c>
      <c r="Q1769" s="0" t="n">
        <v>2034</v>
      </c>
      <c r="R1769" s="0" t="n">
        <v>113</v>
      </c>
      <c r="W1769" s="0" t="n">
        <v>2032</v>
      </c>
      <c r="X1769" s="0" t="n">
        <v>4285.424</v>
      </c>
    </row>
    <row r="1770" customFormat="false" ht="15" hidden="false" customHeight="false" outlineLevel="0" collapsed="false">
      <c r="A1770" s="0" t="n">
        <v>2031</v>
      </c>
      <c r="B1770" s="0" t="n">
        <v>8.963315602</v>
      </c>
      <c r="C1770" s="0" t="n">
        <v>188.2296276</v>
      </c>
      <c r="E1770" s="0" t="n">
        <v>2032</v>
      </c>
      <c r="F1770" s="0" t="n">
        <v>22.966006</v>
      </c>
      <c r="G1770" s="0" t="n">
        <v>481.765158</v>
      </c>
      <c r="I1770" s="0" t="n">
        <v>2028</v>
      </c>
      <c r="J1770" s="0" t="n">
        <v>6.06</v>
      </c>
      <c r="K1770" s="0" t="n">
        <v>127.62</v>
      </c>
      <c r="M1770" s="0" t="n">
        <v>2031</v>
      </c>
      <c r="N1770" s="0" t="n">
        <v>38</v>
      </c>
      <c r="O1770" s="0" t="n">
        <v>797.9</v>
      </c>
      <c r="Q1770" s="0" t="n">
        <v>2034</v>
      </c>
      <c r="R1770" s="0" t="n">
        <v>113</v>
      </c>
      <c r="W1770" s="0" t="n">
        <v>2032</v>
      </c>
      <c r="X1770" s="0" t="n">
        <v>3311.464</v>
      </c>
    </row>
    <row r="1771" customFormat="false" ht="15" hidden="false" customHeight="false" outlineLevel="0" collapsed="false">
      <c r="A1771" s="0" t="n">
        <v>2031</v>
      </c>
      <c r="B1771" s="0" t="n">
        <v>33.10671686</v>
      </c>
      <c r="C1771" s="0" t="n">
        <v>695.2410542</v>
      </c>
      <c r="E1771" s="0" t="n">
        <v>2032</v>
      </c>
      <c r="F1771" s="0" t="n">
        <v>596.18084</v>
      </c>
      <c r="G1771" s="0" t="n">
        <v>12519.28369</v>
      </c>
      <c r="I1771" s="0" t="n">
        <v>2028</v>
      </c>
      <c r="J1771" s="0" t="n">
        <v>10.1</v>
      </c>
      <c r="K1771" s="0" t="n">
        <v>212.7</v>
      </c>
      <c r="M1771" s="0" t="n">
        <v>2031</v>
      </c>
      <c r="N1771" s="0" t="n">
        <v>22.8</v>
      </c>
      <c r="O1771" s="0" t="n">
        <v>478.74</v>
      </c>
      <c r="Q1771" s="0" t="n">
        <v>2034</v>
      </c>
      <c r="R1771" s="0" t="n">
        <v>341</v>
      </c>
      <c r="W1771" s="0" t="n">
        <v>2032</v>
      </c>
      <c r="X1771" s="0" t="n">
        <v>114332.34</v>
      </c>
    </row>
    <row r="1772" customFormat="false" ht="15" hidden="false" customHeight="false" outlineLevel="0" collapsed="false">
      <c r="A1772" s="0" t="n">
        <v>2031</v>
      </c>
      <c r="B1772" s="0" t="n">
        <v>10.36355846</v>
      </c>
      <c r="C1772" s="0" t="n">
        <v>217.6347277</v>
      </c>
      <c r="E1772" s="0" t="n">
        <v>2032</v>
      </c>
      <c r="F1772" s="0" t="n">
        <v>160.08116</v>
      </c>
      <c r="G1772" s="0" t="n">
        <v>3361.566359</v>
      </c>
      <c r="I1772" s="0" t="n">
        <v>2028</v>
      </c>
      <c r="J1772" s="0" t="n">
        <v>2.02</v>
      </c>
      <c r="K1772" s="0" t="n">
        <v>42.54</v>
      </c>
      <c r="M1772" s="0" t="n">
        <v>2031</v>
      </c>
      <c r="N1772" s="0" t="n">
        <v>19</v>
      </c>
      <c r="O1772" s="0" t="n">
        <v>398.95</v>
      </c>
      <c r="Q1772" s="0" t="n">
        <v>2034</v>
      </c>
      <c r="R1772" s="0" t="n">
        <v>324</v>
      </c>
      <c r="W1772" s="0" t="n">
        <v>2032</v>
      </c>
      <c r="X1772" s="0" t="n">
        <v>28583.085</v>
      </c>
    </row>
    <row r="1773" customFormat="false" ht="15" hidden="false" customHeight="false" outlineLevel="0" collapsed="false">
      <c r="A1773" s="0" t="n">
        <v>2031</v>
      </c>
      <c r="B1773" s="0" t="n">
        <v>23.17228339</v>
      </c>
      <c r="C1773" s="0" t="n">
        <v>486.6179512</v>
      </c>
      <c r="E1773" s="0" t="n">
        <v>2032</v>
      </c>
      <c r="F1773" s="0" t="n">
        <v>64.07492</v>
      </c>
      <c r="G1773" s="0" t="n">
        <v>1345.518083</v>
      </c>
      <c r="I1773" s="0" t="n">
        <v>2028</v>
      </c>
      <c r="J1773" s="0" t="n">
        <v>2.02</v>
      </c>
      <c r="K1773" s="0" t="n">
        <v>42.54</v>
      </c>
      <c r="M1773" s="0" t="n">
        <v>2031</v>
      </c>
      <c r="N1773" s="0" t="n">
        <v>15.2</v>
      </c>
      <c r="O1773" s="0" t="n">
        <v>319.16</v>
      </c>
      <c r="Q1773" s="0" t="n">
        <v>2034</v>
      </c>
      <c r="R1773" s="0" t="n">
        <v>153</v>
      </c>
      <c r="W1773" s="0" t="n">
        <v>2032</v>
      </c>
      <c r="X1773" s="0" t="n">
        <v>8851.536</v>
      </c>
    </row>
    <row r="1774" customFormat="false" ht="15" hidden="false" customHeight="false" outlineLevel="0" collapsed="false">
      <c r="A1774" s="0" t="n">
        <v>2031</v>
      </c>
      <c r="B1774" s="0" t="n">
        <v>244.9633772</v>
      </c>
      <c r="C1774" s="0" t="n">
        <v>5144.230921</v>
      </c>
      <c r="E1774" s="0" t="n">
        <v>2032</v>
      </c>
      <c r="F1774" s="0" t="n">
        <v>9.00044</v>
      </c>
      <c r="G1774" s="0" t="n">
        <v>189.001481</v>
      </c>
      <c r="I1774" s="0" t="n">
        <v>2028</v>
      </c>
      <c r="J1774" s="0" t="n">
        <v>0</v>
      </c>
      <c r="K1774" s="0" t="n">
        <v>0</v>
      </c>
      <c r="M1774" s="0" t="n">
        <v>2031</v>
      </c>
      <c r="N1774" s="0" t="n">
        <v>7.6</v>
      </c>
      <c r="O1774" s="0" t="n">
        <v>159.58</v>
      </c>
      <c r="Q1774" s="0" t="n">
        <v>2034</v>
      </c>
      <c r="R1774" s="0" t="n">
        <v>34</v>
      </c>
      <c r="W1774" s="0" t="n">
        <v>2032</v>
      </c>
      <c r="X1774" s="0" t="n">
        <v>15674.595</v>
      </c>
    </row>
    <row r="1775" customFormat="false" ht="15" hidden="false" customHeight="false" outlineLevel="0" collapsed="false">
      <c r="A1775" s="0" t="n">
        <v>2031</v>
      </c>
      <c r="B1775" s="0" t="n">
        <v>61.78700739</v>
      </c>
      <c r="C1775" s="0" t="n">
        <v>1297.527155</v>
      </c>
      <c r="E1775" s="0" t="n">
        <v>2032</v>
      </c>
      <c r="F1775" s="0" t="n">
        <v>215.15564</v>
      </c>
      <c r="G1775" s="0" t="n">
        <v>4518.082961</v>
      </c>
      <c r="I1775" s="0" t="n">
        <v>2028</v>
      </c>
      <c r="J1775" s="0" t="n">
        <v>4.04</v>
      </c>
      <c r="K1775" s="0" t="n">
        <v>85.08</v>
      </c>
      <c r="M1775" s="0" t="n">
        <v>2031</v>
      </c>
      <c r="N1775" s="0" t="n">
        <v>227.24</v>
      </c>
      <c r="O1775" s="0" t="n">
        <v>4766.34</v>
      </c>
      <c r="Q1775" s="0" t="n">
        <v>2034</v>
      </c>
      <c r="R1775" s="0" t="n">
        <v>32</v>
      </c>
      <c r="W1775" s="0" t="n">
        <v>2032</v>
      </c>
      <c r="X1775" s="0" t="n">
        <v>7007.466</v>
      </c>
    </row>
    <row r="1776" customFormat="false" ht="15" hidden="false" customHeight="false" outlineLevel="0" collapsed="false">
      <c r="A1776" s="0" t="n">
        <v>2031</v>
      </c>
      <c r="B1776" s="0" t="n">
        <v>55.09890747</v>
      </c>
      <c r="C1776" s="0" t="n">
        <v>1157.077057</v>
      </c>
      <c r="E1776" s="0" t="n">
        <v>2032</v>
      </c>
      <c r="F1776" s="0" t="n">
        <v>10.07228</v>
      </c>
      <c r="G1776" s="0" t="n">
        <v>211.509197</v>
      </c>
      <c r="I1776" s="0" t="n">
        <v>2028</v>
      </c>
      <c r="J1776" s="0" t="n">
        <v>7.07</v>
      </c>
      <c r="K1776" s="0" t="n">
        <v>148.89</v>
      </c>
      <c r="M1776" s="0" t="n">
        <v>2031</v>
      </c>
      <c r="N1776" s="0" t="n">
        <v>149.5</v>
      </c>
      <c r="O1776" s="0" t="n">
        <v>3135.75</v>
      </c>
      <c r="Q1776" s="0" t="n">
        <v>2034</v>
      </c>
      <c r="R1776" s="0" t="n">
        <v>32</v>
      </c>
      <c r="W1776" s="0" t="n">
        <v>2032</v>
      </c>
      <c r="X1776" s="0" t="n">
        <v>2766.105</v>
      </c>
    </row>
    <row r="1777" customFormat="false" ht="15" hidden="false" customHeight="false" outlineLevel="0" collapsed="false">
      <c r="A1777" s="0" t="n">
        <v>2031</v>
      </c>
      <c r="B1777" s="0" t="n">
        <v>38.31802474</v>
      </c>
      <c r="C1777" s="0" t="n">
        <v>804.6785196</v>
      </c>
      <c r="E1777" s="0" t="n">
        <v>2032</v>
      </c>
      <c r="F1777" s="0" t="n">
        <v>55.07448</v>
      </c>
      <c r="G1777" s="0" t="n">
        <v>1156.516602</v>
      </c>
      <c r="I1777" s="0" t="n">
        <v>2028</v>
      </c>
      <c r="J1777" s="0" t="n">
        <v>2.02</v>
      </c>
      <c r="K1777" s="0" t="n">
        <v>42.54</v>
      </c>
      <c r="M1777" s="0" t="n">
        <v>2031</v>
      </c>
      <c r="N1777" s="0" t="n">
        <v>59.8</v>
      </c>
      <c r="O1777" s="0" t="n">
        <v>1254.3</v>
      </c>
      <c r="Q1777" s="0" t="n">
        <v>2034</v>
      </c>
      <c r="R1777" s="0" t="n">
        <v>471</v>
      </c>
      <c r="W1777" s="0" t="n">
        <v>2032</v>
      </c>
      <c r="X1777" s="0" t="n">
        <v>4056.954</v>
      </c>
    </row>
    <row r="1778" customFormat="false" ht="15" hidden="false" customHeight="false" outlineLevel="0" collapsed="false">
      <c r="A1778" s="0" t="n">
        <v>2031</v>
      </c>
      <c r="B1778" s="0" t="n">
        <v>28.50222785</v>
      </c>
      <c r="C1778" s="0" t="n">
        <v>598.5467848</v>
      </c>
      <c r="E1778" s="0" t="n">
        <v>2032</v>
      </c>
      <c r="F1778" s="0" t="n">
        <v>50.36024</v>
      </c>
      <c r="G1778" s="0" t="n">
        <v>1057.521626</v>
      </c>
      <c r="I1778" s="0" t="n">
        <v>2028</v>
      </c>
      <c r="J1778" s="0" t="n">
        <v>7.07</v>
      </c>
      <c r="K1778" s="0" t="n">
        <v>148.89</v>
      </c>
      <c r="M1778" s="0" t="n">
        <v>2031</v>
      </c>
      <c r="N1778" s="0" t="n">
        <v>59.8</v>
      </c>
      <c r="O1778" s="0" t="n">
        <v>1254.3</v>
      </c>
      <c r="Q1778" s="0" t="n">
        <v>2034</v>
      </c>
      <c r="R1778" s="0" t="n">
        <v>447</v>
      </c>
      <c r="W1778" s="0" t="n">
        <v>2032</v>
      </c>
      <c r="X1778" s="0" t="n">
        <v>3134.919</v>
      </c>
    </row>
    <row r="1779" customFormat="false" ht="15" hidden="false" customHeight="false" outlineLevel="0" collapsed="false">
      <c r="A1779" s="0" t="n">
        <v>2031</v>
      </c>
      <c r="B1779" s="0" t="n">
        <v>12.66765682</v>
      </c>
      <c r="C1779" s="0" t="n">
        <v>266.0207933</v>
      </c>
      <c r="E1779" s="0" t="n">
        <v>2032</v>
      </c>
      <c r="F1779" s="0" t="n">
        <v>327.899462</v>
      </c>
      <c r="G1779" s="0" t="n">
        <v>6882.805008</v>
      </c>
      <c r="I1779" s="0" t="n">
        <v>2028</v>
      </c>
      <c r="J1779" s="0" t="n">
        <v>112.32</v>
      </c>
      <c r="K1779" s="0" t="n">
        <v>2355.84</v>
      </c>
      <c r="M1779" s="0" t="n">
        <v>2031</v>
      </c>
      <c r="N1779" s="0" t="n">
        <v>35.88</v>
      </c>
      <c r="O1779" s="0" t="n">
        <v>752.58</v>
      </c>
      <c r="Q1779" s="0" t="n">
        <v>2034</v>
      </c>
      <c r="R1779" s="0" t="n">
        <v>212</v>
      </c>
      <c r="W1779" s="0" t="n">
        <v>2032</v>
      </c>
      <c r="X1779" s="0" t="n">
        <v>47335.14</v>
      </c>
    </row>
    <row r="1780" customFormat="false" ht="15" hidden="false" customHeight="false" outlineLevel="0" collapsed="false">
      <c r="A1780" s="0" t="n">
        <v>2031</v>
      </c>
      <c r="B1780" s="0" t="n">
        <v>46.78899487</v>
      </c>
      <c r="C1780" s="0" t="n">
        <v>982.5688923</v>
      </c>
      <c r="E1780" s="0" t="n">
        <v>2032</v>
      </c>
      <c r="F1780" s="0" t="n">
        <v>88.044638</v>
      </c>
      <c r="G1780" s="0" t="n">
        <v>1848.109392</v>
      </c>
      <c r="I1780" s="0" t="n">
        <v>2028</v>
      </c>
      <c r="J1780" s="0" t="n">
        <v>37.44</v>
      </c>
      <c r="K1780" s="0" t="n">
        <v>785.28</v>
      </c>
      <c r="M1780" s="0" t="n">
        <v>2031</v>
      </c>
      <c r="N1780" s="0" t="n">
        <v>29.9</v>
      </c>
      <c r="O1780" s="0" t="n">
        <v>627.15</v>
      </c>
      <c r="Q1780" s="0" t="n">
        <v>2034</v>
      </c>
      <c r="R1780" s="0" t="n">
        <v>47</v>
      </c>
      <c r="W1780" s="0" t="n">
        <v>2032</v>
      </c>
      <c r="X1780" s="0" t="n">
        <v>11833.785</v>
      </c>
    </row>
    <row r="1781" customFormat="false" ht="15" hidden="false" customHeight="false" outlineLevel="0" collapsed="false">
      <c r="A1781" s="0" t="n">
        <v>2031</v>
      </c>
      <c r="B1781" s="0" t="n">
        <v>14.64658926</v>
      </c>
      <c r="C1781" s="0" t="n">
        <v>307.5783744</v>
      </c>
      <c r="E1781" s="0" t="n">
        <v>2032</v>
      </c>
      <c r="F1781" s="0" t="n">
        <v>35.241206</v>
      </c>
      <c r="G1781" s="0" t="n">
        <v>739.733904</v>
      </c>
      <c r="I1781" s="0" t="n">
        <v>2028</v>
      </c>
      <c r="J1781" s="0" t="n">
        <v>16.38</v>
      </c>
      <c r="K1781" s="0" t="n">
        <v>343.56</v>
      </c>
      <c r="M1781" s="0" t="n">
        <v>2031</v>
      </c>
      <c r="N1781" s="0" t="n">
        <v>23.92</v>
      </c>
      <c r="O1781" s="0" t="n">
        <v>501.72</v>
      </c>
      <c r="Q1781" s="0" t="n">
        <v>2034</v>
      </c>
      <c r="R1781" s="0" t="n">
        <v>45</v>
      </c>
      <c r="W1781" s="0" t="n">
        <v>2032</v>
      </c>
      <c r="X1781" s="0" t="n">
        <v>3664.656</v>
      </c>
    </row>
    <row r="1782" customFormat="false" ht="15" hidden="false" customHeight="false" outlineLevel="0" collapsed="false">
      <c r="A1782" s="0" t="n">
        <v>2031</v>
      </c>
      <c r="B1782" s="0" t="n">
        <v>32.74887852</v>
      </c>
      <c r="C1782" s="0" t="n">
        <v>687.7264488</v>
      </c>
      <c r="E1782" s="0" t="n">
        <v>2032</v>
      </c>
      <c r="F1782" s="0" t="n">
        <v>4.950242</v>
      </c>
      <c r="G1782" s="0" t="n">
        <v>103.908528</v>
      </c>
      <c r="I1782" s="0" t="n">
        <v>2028</v>
      </c>
      <c r="J1782" s="0" t="n">
        <v>9.36</v>
      </c>
      <c r="K1782" s="0" t="n">
        <v>196.32</v>
      </c>
      <c r="M1782" s="0" t="n">
        <v>2031</v>
      </c>
      <c r="N1782" s="0" t="n">
        <v>11.96</v>
      </c>
      <c r="O1782" s="0" t="n">
        <v>250.86</v>
      </c>
      <c r="Q1782" s="0" t="n">
        <v>2034</v>
      </c>
      <c r="R1782" s="0" t="n">
        <v>45</v>
      </c>
      <c r="W1782" s="0" t="n">
        <v>2032</v>
      </c>
      <c r="X1782" s="0" t="n">
        <v>6489.495</v>
      </c>
    </row>
    <row r="1783" customFormat="false" ht="15" hidden="false" customHeight="false" outlineLevel="0" collapsed="false">
      <c r="A1783" s="0" t="n">
        <v>2031</v>
      </c>
      <c r="B1783" s="0" t="n">
        <v>307.9375208</v>
      </c>
      <c r="C1783" s="0" t="n">
        <v>6466.687937</v>
      </c>
      <c r="E1783" s="0" t="n">
        <v>2032</v>
      </c>
      <c r="F1783" s="0" t="n">
        <v>118.335602</v>
      </c>
      <c r="G1783" s="0" t="n">
        <v>2483.934768</v>
      </c>
      <c r="I1783" s="0" t="n">
        <v>2028</v>
      </c>
      <c r="J1783" s="0" t="n">
        <v>9.36</v>
      </c>
      <c r="K1783" s="0" t="n">
        <v>196.32</v>
      </c>
      <c r="M1783" s="0" t="n">
        <v>2031</v>
      </c>
      <c r="N1783" s="0" t="n">
        <v>172.9</v>
      </c>
      <c r="O1783" s="0" t="n">
        <v>3626.72</v>
      </c>
      <c r="Q1783" s="0" t="n">
        <v>2034</v>
      </c>
      <c r="R1783" s="0" t="n">
        <v>260</v>
      </c>
      <c r="W1783" s="0" t="n">
        <v>2032</v>
      </c>
      <c r="X1783" s="0" t="n">
        <v>2901.186</v>
      </c>
    </row>
    <row r="1784" customFormat="false" ht="15" hidden="false" customHeight="false" outlineLevel="0" collapsed="false">
      <c r="A1784" s="0" t="n">
        <v>2031</v>
      </c>
      <c r="B1784" s="0" t="n">
        <v>77.67094858</v>
      </c>
      <c r="C1784" s="0" t="n">
        <v>1631.08992</v>
      </c>
      <c r="E1784" s="0" t="n">
        <v>2032</v>
      </c>
      <c r="F1784" s="0" t="n">
        <v>5.539754</v>
      </c>
      <c r="G1784" s="0" t="n">
        <v>116.282736</v>
      </c>
      <c r="I1784" s="0" t="n">
        <v>2028</v>
      </c>
      <c r="J1784" s="0" t="n">
        <v>4.68</v>
      </c>
      <c r="K1784" s="0" t="n">
        <v>98.16</v>
      </c>
      <c r="M1784" s="0" t="n">
        <v>2031</v>
      </c>
      <c r="N1784" s="0" t="n">
        <v>113.75</v>
      </c>
      <c r="O1784" s="0" t="n">
        <v>2386</v>
      </c>
      <c r="Q1784" s="0" t="n">
        <v>2034</v>
      </c>
      <c r="R1784" s="0" t="n">
        <v>247</v>
      </c>
      <c r="W1784" s="0" t="n">
        <v>2032</v>
      </c>
      <c r="X1784" s="0" t="n">
        <v>1145.205</v>
      </c>
    </row>
    <row r="1785" customFormat="false" ht="15" hidden="false" customHeight="false" outlineLevel="0" collapsed="false">
      <c r="A1785" s="0" t="n">
        <v>2031</v>
      </c>
      <c r="B1785" s="0" t="n">
        <v>69.26350036</v>
      </c>
      <c r="C1785" s="0" t="n">
        <v>1454.533508</v>
      </c>
      <c r="E1785" s="0" t="n">
        <v>2032</v>
      </c>
      <c r="F1785" s="0" t="n">
        <v>30.290964</v>
      </c>
      <c r="G1785" s="0" t="n">
        <v>635.825376</v>
      </c>
      <c r="I1785" s="0" t="n">
        <v>2028</v>
      </c>
      <c r="J1785" s="0" t="n">
        <v>4.68</v>
      </c>
      <c r="K1785" s="0" t="n">
        <v>98.16</v>
      </c>
      <c r="M1785" s="0" t="n">
        <v>2031</v>
      </c>
      <c r="N1785" s="0" t="n">
        <v>45.5</v>
      </c>
      <c r="O1785" s="0" t="n">
        <v>954.4</v>
      </c>
      <c r="Q1785" s="0" t="n">
        <v>2034</v>
      </c>
      <c r="R1785" s="0" t="n">
        <v>117</v>
      </c>
      <c r="W1785" s="0" t="n">
        <v>2032</v>
      </c>
      <c r="X1785" s="0" t="n">
        <v>1679.634</v>
      </c>
    </row>
    <row r="1786" customFormat="false" ht="15" hidden="false" customHeight="false" outlineLevel="0" collapsed="false">
      <c r="A1786" s="0" t="n">
        <v>2031</v>
      </c>
      <c r="B1786" s="0" t="n">
        <v>48.16865964</v>
      </c>
      <c r="C1786" s="0" t="n">
        <v>1011.541852</v>
      </c>
      <c r="E1786" s="0" t="n">
        <v>2032</v>
      </c>
      <c r="F1786" s="0" t="n">
        <v>27.698132</v>
      </c>
      <c r="G1786" s="0" t="n">
        <v>581.400288</v>
      </c>
      <c r="I1786" s="0" t="n">
        <v>2028</v>
      </c>
      <c r="J1786" s="0" t="n">
        <v>9.36</v>
      </c>
      <c r="K1786" s="0" t="n">
        <v>196.32</v>
      </c>
      <c r="M1786" s="0" t="n">
        <v>2031</v>
      </c>
      <c r="N1786" s="0" t="n">
        <v>45.5</v>
      </c>
      <c r="O1786" s="0" t="n">
        <v>954.4</v>
      </c>
      <c r="Q1786" s="0" t="n">
        <v>2034</v>
      </c>
      <c r="R1786" s="0" t="n">
        <v>26</v>
      </c>
      <c r="W1786" s="0" t="n">
        <v>2032</v>
      </c>
      <c r="X1786" s="0" t="n">
        <v>1297.899</v>
      </c>
    </row>
    <row r="1787" customFormat="false" ht="15" hidden="false" customHeight="false" outlineLevel="0" collapsed="false">
      <c r="A1787" s="0" t="n">
        <v>2031</v>
      </c>
      <c r="B1787" s="0" t="n">
        <v>35.82945941</v>
      </c>
      <c r="C1787" s="0" t="n">
        <v>752.4186476</v>
      </c>
      <c r="E1787" s="0" t="n">
        <v>2032</v>
      </c>
      <c r="F1787" s="0" t="n">
        <v>104.845596</v>
      </c>
      <c r="G1787" s="0" t="n">
        <v>2200.215669</v>
      </c>
      <c r="I1787" s="0" t="n">
        <v>2028</v>
      </c>
      <c r="J1787" s="0" t="n">
        <v>16.38</v>
      </c>
      <c r="K1787" s="0" t="n">
        <v>343.56</v>
      </c>
      <c r="M1787" s="0" t="n">
        <v>2031</v>
      </c>
      <c r="N1787" s="0" t="n">
        <v>27.3</v>
      </c>
      <c r="O1787" s="0" t="n">
        <v>572.64</v>
      </c>
      <c r="Q1787" s="0" t="n">
        <v>2034</v>
      </c>
      <c r="R1787" s="0" t="n">
        <v>25</v>
      </c>
      <c r="W1787" s="0" t="n">
        <v>2032</v>
      </c>
      <c r="X1787" s="0" t="n">
        <v>74674.04</v>
      </c>
    </row>
    <row r="1788" customFormat="false" ht="15" hidden="false" customHeight="false" outlineLevel="0" collapsed="false">
      <c r="A1788" s="0" t="n">
        <v>2031</v>
      </c>
      <c r="B1788" s="0" t="n">
        <v>15.92420418</v>
      </c>
      <c r="C1788" s="0" t="n">
        <v>334.4082878</v>
      </c>
      <c r="E1788" s="0" t="n">
        <v>2032</v>
      </c>
      <c r="F1788" s="0" t="n">
        <v>28.152204</v>
      </c>
      <c r="G1788" s="0" t="n">
        <v>590.782281</v>
      </c>
      <c r="I1788" s="0" t="n">
        <v>2028</v>
      </c>
      <c r="J1788" s="0" t="n">
        <v>7.02</v>
      </c>
      <c r="K1788" s="0" t="n">
        <v>147.24</v>
      </c>
      <c r="M1788" s="0" t="n">
        <v>2031</v>
      </c>
      <c r="N1788" s="0" t="n">
        <v>22.75</v>
      </c>
      <c r="O1788" s="0" t="n">
        <v>477.2</v>
      </c>
      <c r="Q1788" s="0" t="n">
        <v>2034</v>
      </c>
      <c r="R1788" s="0" t="n">
        <v>25</v>
      </c>
      <c r="W1788" s="0" t="n">
        <v>2032</v>
      </c>
      <c r="X1788" s="0" t="n">
        <v>18668.51</v>
      </c>
    </row>
    <row r="1789" customFormat="false" ht="15" hidden="false" customHeight="false" outlineLevel="0" collapsed="false">
      <c r="A1789" s="0" t="n">
        <v>2031</v>
      </c>
      <c r="B1789" s="0" t="n">
        <v>58.81731076</v>
      </c>
      <c r="C1789" s="0" t="n">
        <v>1235.163526</v>
      </c>
      <c r="E1789" s="0" t="n">
        <v>2032</v>
      </c>
      <c r="F1789" s="0" t="n">
        <v>11.268348</v>
      </c>
      <c r="G1789" s="0" t="n">
        <v>236.469597</v>
      </c>
      <c r="I1789" s="0" t="n">
        <v>2028</v>
      </c>
      <c r="J1789" s="0" t="n">
        <v>7.02</v>
      </c>
      <c r="K1789" s="0" t="n">
        <v>147.24</v>
      </c>
      <c r="M1789" s="0" t="n">
        <v>2031</v>
      </c>
      <c r="N1789" s="0" t="n">
        <v>18.2</v>
      </c>
      <c r="O1789" s="0" t="n">
        <v>381.76</v>
      </c>
      <c r="Q1789" s="0" t="n">
        <v>2034</v>
      </c>
      <c r="R1789" s="0" t="n">
        <v>929</v>
      </c>
      <c r="W1789" s="0" t="n">
        <v>2032</v>
      </c>
      <c r="X1789" s="0" t="n">
        <v>5781.216</v>
      </c>
    </row>
    <row r="1790" customFormat="false" ht="15" hidden="false" customHeight="false" outlineLevel="0" collapsed="false">
      <c r="A1790" s="0" t="n">
        <v>2031</v>
      </c>
      <c r="B1790" s="0" t="n">
        <v>18.41187216</v>
      </c>
      <c r="C1790" s="0" t="n">
        <v>386.6493153</v>
      </c>
      <c r="E1790" s="0" t="n">
        <v>2032</v>
      </c>
      <c r="F1790" s="0" t="n">
        <v>1.582836</v>
      </c>
      <c r="G1790" s="0" t="n">
        <v>33.216279</v>
      </c>
      <c r="I1790" s="0" t="n">
        <v>2028</v>
      </c>
      <c r="J1790" s="0" t="n">
        <v>30.16</v>
      </c>
      <c r="K1790" s="0" t="n">
        <v>629.2</v>
      </c>
      <c r="M1790" s="0" t="n">
        <v>2031</v>
      </c>
      <c r="N1790" s="0" t="n">
        <v>9.1</v>
      </c>
      <c r="O1790" s="0" t="n">
        <v>190.88</v>
      </c>
      <c r="Q1790" s="0" t="n">
        <v>2034</v>
      </c>
      <c r="R1790" s="0" t="n">
        <v>883</v>
      </c>
      <c r="W1790" s="0" t="n">
        <v>2032</v>
      </c>
      <c r="X1790" s="0" t="n">
        <v>10237.57</v>
      </c>
    </row>
    <row r="1791" customFormat="false" ht="15" hidden="false" customHeight="false" outlineLevel="0" collapsed="false">
      <c r="A1791" s="0" t="n">
        <v>2031</v>
      </c>
      <c r="B1791" s="0" t="n">
        <v>41.16782098</v>
      </c>
      <c r="C1791" s="0" t="n">
        <v>864.5242405</v>
      </c>
      <c r="E1791" s="0" t="n">
        <v>2032</v>
      </c>
      <c r="F1791" s="0" t="n">
        <v>37.837716</v>
      </c>
      <c r="G1791" s="0" t="n">
        <v>794.035599</v>
      </c>
      <c r="I1791" s="0" t="n">
        <v>2028</v>
      </c>
      <c r="J1791" s="0" t="n">
        <v>4.64</v>
      </c>
      <c r="K1791" s="0" t="n">
        <v>96.8</v>
      </c>
      <c r="M1791" s="0" t="n">
        <v>2031</v>
      </c>
      <c r="N1791" s="0" t="n">
        <v>67.64</v>
      </c>
      <c r="O1791" s="0" t="n">
        <v>1418.16</v>
      </c>
      <c r="Q1791" s="0" t="n">
        <v>2034</v>
      </c>
      <c r="R1791" s="0" t="n">
        <v>418</v>
      </c>
      <c r="W1791" s="0" t="n">
        <v>2032</v>
      </c>
      <c r="X1791" s="0" t="n">
        <v>4576.796</v>
      </c>
    </row>
    <row r="1792" customFormat="false" ht="15" hidden="false" customHeight="false" outlineLevel="0" collapsed="false">
      <c r="A1792" s="0" t="n">
        <v>2031</v>
      </c>
      <c r="B1792" s="0" t="n">
        <v>1005.227284</v>
      </c>
      <c r="C1792" s="0" t="n">
        <v>21109.77297</v>
      </c>
      <c r="E1792" s="0" t="n">
        <v>2032</v>
      </c>
      <c r="F1792" s="0" t="n">
        <v>1.771332</v>
      </c>
      <c r="G1792" s="0" t="n">
        <v>37.171923</v>
      </c>
      <c r="I1792" s="0" t="n">
        <v>2028</v>
      </c>
      <c r="J1792" s="0" t="n">
        <v>3.48</v>
      </c>
      <c r="K1792" s="0" t="n">
        <v>72.6</v>
      </c>
      <c r="M1792" s="0" t="n">
        <v>2031</v>
      </c>
      <c r="N1792" s="0" t="n">
        <v>44.5</v>
      </c>
      <c r="O1792" s="0" t="n">
        <v>933</v>
      </c>
      <c r="Q1792" s="0" t="n">
        <v>2034</v>
      </c>
      <c r="R1792" s="0" t="n">
        <v>93</v>
      </c>
      <c r="W1792" s="0" t="n">
        <v>2032</v>
      </c>
      <c r="X1792" s="0" t="n">
        <v>1806.63</v>
      </c>
    </row>
    <row r="1793" customFormat="false" ht="15" hidden="false" customHeight="false" outlineLevel="0" collapsed="false">
      <c r="A1793" s="0" t="n">
        <v>2031</v>
      </c>
      <c r="B1793" s="0" t="n">
        <v>253.5480461</v>
      </c>
      <c r="C1793" s="0" t="n">
        <v>5324.508968</v>
      </c>
      <c r="E1793" s="0" t="n">
        <v>2032</v>
      </c>
      <c r="F1793" s="0" t="n">
        <v>9.685512</v>
      </c>
      <c r="G1793" s="0" t="n">
        <v>203.253318</v>
      </c>
      <c r="I1793" s="0" t="n">
        <v>2028</v>
      </c>
      <c r="J1793" s="0" t="n">
        <v>5.8</v>
      </c>
      <c r="K1793" s="0" t="n">
        <v>121</v>
      </c>
      <c r="M1793" s="0" t="n">
        <v>2031</v>
      </c>
      <c r="N1793" s="0" t="n">
        <v>17.8</v>
      </c>
      <c r="O1793" s="0" t="n">
        <v>373.2</v>
      </c>
      <c r="Q1793" s="0" t="n">
        <v>2034</v>
      </c>
      <c r="R1793" s="0" t="n">
        <v>88</v>
      </c>
      <c r="W1793" s="0" t="n">
        <v>2032</v>
      </c>
      <c r="X1793" s="0" t="n">
        <v>2649.724</v>
      </c>
    </row>
    <row r="1794" customFormat="false" ht="15" hidden="false" customHeight="false" outlineLevel="0" collapsed="false">
      <c r="A1794" s="0" t="n">
        <v>2031</v>
      </c>
      <c r="B1794" s="0" t="n">
        <v>226.1028802</v>
      </c>
      <c r="C1794" s="0" t="n">
        <v>4748.160484</v>
      </c>
      <c r="E1794" s="0" t="n">
        <v>2032</v>
      </c>
      <c r="F1794" s="0" t="n">
        <v>8.856456</v>
      </c>
      <c r="G1794" s="0" t="n">
        <v>185.855334</v>
      </c>
      <c r="I1794" s="0" t="n">
        <v>2028</v>
      </c>
      <c r="J1794" s="0" t="n">
        <v>1.16</v>
      </c>
      <c r="K1794" s="0" t="n">
        <v>24.2</v>
      </c>
      <c r="M1794" s="0" t="n">
        <v>2031</v>
      </c>
      <c r="N1794" s="0" t="n">
        <v>17.8</v>
      </c>
      <c r="O1794" s="0" t="n">
        <v>373.2</v>
      </c>
      <c r="Q1794" s="0" t="n">
        <v>2034</v>
      </c>
      <c r="R1794" s="0" t="n">
        <v>88</v>
      </c>
      <c r="W1794" s="0" t="n">
        <v>2032</v>
      </c>
      <c r="X1794" s="0" t="n">
        <v>2047.514</v>
      </c>
    </row>
    <row r="1795" customFormat="false" ht="15" hidden="false" customHeight="false" outlineLevel="0" collapsed="false">
      <c r="A1795" s="0" t="n">
        <v>2031</v>
      </c>
      <c r="B1795" s="0" t="n">
        <v>157.2411533</v>
      </c>
      <c r="C1795" s="0" t="n">
        <v>3302.06422</v>
      </c>
      <c r="E1795" s="0" t="n">
        <v>2032</v>
      </c>
      <c r="F1795" s="0" t="n">
        <v>389.059393</v>
      </c>
      <c r="G1795" s="0" t="n">
        <v>8164.593814</v>
      </c>
      <c r="I1795" s="0" t="n">
        <v>2028</v>
      </c>
      <c r="J1795" s="0" t="n">
        <v>1.16</v>
      </c>
      <c r="K1795" s="0" t="n">
        <v>24.2</v>
      </c>
      <c r="M1795" s="0" t="n">
        <v>2031</v>
      </c>
      <c r="N1795" s="0" t="n">
        <v>10.68</v>
      </c>
      <c r="O1795" s="0" t="n">
        <v>223.92</v>
      </c>
      <c r="Q1795" s="0" t="n">
        <v>2034</v>
      </c>
      <c r="R1795" s="0" t="n">
        <v>430</v>
      </c>
      <c r="W1795" s="0" t="n">
        <v>2032</v>
      </c>
      <c r="X1795" s="0" t="n">
        <v>42916.4</v>
      </c>
    </row>
    <row r="1796" customFormat="false" ht="15" hidden="false" customHeight="false" outlineLevel="0" collapsed="false">
      <c r="A1796" s="0" t="n">
        <v>2031</v>
      </c>
      <c r="B1796" s="0" t="n">
        <v>116.9612267</v>
      </c>
      <c r="C1796" s="0" t="n">
        <v>2456.185761</v>
      </c>
      <c r="E1796" s="0" t="n">
        <v>2032</v>
      </c>
      <c r="F1796" s="0" t="n">
        <v>104.466757</v>
      </c>
      <c r="G1796" s="0" t="n">
        <v>2192.283886</v>
      </c>
      <c r="I1796" s="0" t="n">
        <v>2028</v>
      </c>
      <c r="J1796" s="0" t="n">
        <v>0</v>
      </c>
      <c r="K1796" s="0" t="n">
        <v>0</v>
      </c>
      <c r="M1796" s="0" t="n">
        <v>2031</v>
      </c>
      <c r="N1796" s="0" t="n">
        <v>8.9</v>
      </c>
      <c r="O1796" s="0" t="n">
        <v>186.6</v>
      </c>
      <c r="Q1796" s="0" t="n">
        <v>2034</v>
      </c>
      <c r="R1796" s="0" t="n">
        <v>409</v>
      </c>
      <c r="W1796" s="0" t="n">
        <v>2032</v>
      </c>
      <c r="X1796" s="0" t="n">
        <v>10729.1</v>
      </c>
    </row>
    <row r="1797" customFormat="false" ht="15" hidden="false" customHeight="false" outlineLevel="0" collapsed="false">
      <c r="A1797" s="0" t="n">
        <v>2031</v>
      </c>
      <c r="B1797" s="0" t="n">
        <v>51.98276743</v>
      </c>
      <c r="C1797" s="0" t="n">
        <v>1091.638116</v>
      </c>
      <c r="E1797" s="0" t="n">
        <v>2032</v>
      </c>
      <c r="F1797" s="0" t="n">
        <v>41.814409</v>
      </c>
      <c r="G1797" s="0" t="n">
        <v>877.494982</v>
      </c>
      <c r="I1797" s="0" t="n">
        <v>2028</v>
      </c>
      <c r="J1797" s="0" t="n">
        <v>2.32</v>
      </c>
      <c r="K1797" s="0" t="n">
        <v>48.4</v>
      </c>
      <c r="M1797" s="0" t="n">
        <v>2031</v>
      </c>
      <c r="N1797" s="0" t="n">
        <v>7.12</v>
      </c>
      <c r="O1797" s="0" t="n">
        <v>149.28</v>
      </c>
      <c r="Q1797" s="0" t="n">
        <v>2034</v>
      </c>
      <c r="R1797" s="0" t="n">
        <v>194</v>
      </c>
      <c r="W1797" s="0" t="n">
        <v>2032</v>
      </c>
      <c r="X1797" s="0" t="n">
        <v>3322.56</v>
      </c>
    </row>
    <row r="1798" customFormat="false" ht="15" hidden="false" customHeight="false" outlineLevel="0" collapsed="false">
      <c r="A1798" s="0" t="n">
        <v>2031</v>
      </c>
      <c r="B1798" s="0" t="n">
        <v>192.0024731</v>
      </c>
      <c r="C1798" s="0" t="n">
        <v>4032.051936</v>
      </c>
      <c r="E1798" s="0" t="n">
        <v>2032</v>
      </c>
      <c r="F1798" s="0" t="n">
        <v>5.873563</v>
      </c>
      <c r="G1798" s="0" t="n">
        <v>123.259474</v>
      </c>
      <c r="I1798" s="0" t="n">
        <v>2028</v>
      </c>
      <c r="J1798" s="0" t="n">
        <v>4.06</v>
      </c>
      <c r="K1798" s="0" t="n">
        <v>84.7</v>
      </c>
      <c r="M1798" s="0" t="n">
        <v>2031</v>
      </c>
      <c r="N1798" s="0" t="n">
        <v>3.56</v>
      </c>
      <c r="O1798" s="0" t="n">
        <v>74.64</v>
      </c>
      <c r="Q1798" s="0" t="n">
        <v>2034</v>
      </c>
      <c r="R1798" s="0" t="n">
        <v>43</v>
      </c>
      <c r="W1798" s="0" t="n">
        <v>2032</v>
      </c>
      <c r="X1798" s="0" t="n">
        <v>5883.7</v>
      </c>
    </row>
    <row r="1799" customFormat="false" ht="15" hidden="false" customHeight="false" outlineLevel="0" collapsed="false">
      <c r="A1799" s="0" t="n">
        <v>2031</v>
      </c>
      <c r="B1799" s="0" t="n">
        <v>60.10347879</v>
      </c>
      <c r="C1799" s="0" t="n">
        <v>1262.173055</v>
      </c>
      <c r="E1799" s="0" t="n">
        <v>2032</v>
      </c>
      <c r="F1799" s="0" t="n">
        <v>140.407603</v>
      </c>
      <c r="G1799" s="0" t="n">
        <v>2946.519394</v>
      </c>
      <c r="I1799" s="0" t="n">
        <v>2028</v>
      </c>
      <c r="J1799" s="0" t="n">
        <v>1.16</v>
      </c>
      <c r="K1799" s="0" t="n">
        <v>24.2</v>
      </c>
      <c r="M1799" s="0" t="n">
        <v>2031</v>
      </c>
      <c r="N1799" s="0" t="n">
        <v>97.66</v>
      </c>
      <c r="O1799" s="0" t="n">
        <v>2046.3</v>
      </c>
      <c r="Q1799" s="0" t="n">
        <v>2034</v>
      </c>
      <c r="R1799" s="0" t="n">
        <v>40</v>
      </c>
      <c r="W1799" s="0" t="n">
        <v>2032</v>
      </c>
      <c r="X1799" s="0" t="n">
        <v>2630.36</v>
      </c>
    </row>
    <row r="1800" customFormat="false" ht="15" hidden="false" customHeight="false" outlineLevel="0" collapsed="false">
      <c r="A1800" s="0" t="n">
        <v>2031</v>
      </c>
      <c r="B1800" s="0" t="n">
        <v>134.3877056</v>
      </c>
      <c r="C1800" s="0" t="n">
        <v>2822.141817</v>
      </c>
      <c r="E1800" s="0" t="n">
        <v>2032</v>
      </c>
      <c r="F1800" s="0" t="n">
        <v>6.573031</v>
      </c>
      <c r="G1800" s="0" t="n">
        <v>137.938138</v>
      </c>
      <c r="I1800" s="0" t="n">
        <v>2028</v>
      </c>
      <c r="J1800" s="0" t="n">
        <v>4.06</v>
      </c>
      <c r="K1800" s="0" t="n">
        <v>84.7</v>
      </c>
      <c r="M1800" s="0" t="n">
        <v>2031</v>
      </c>
      <c r="N1800" s="0" t="n">
        <v>64.25</v>
      </c>
      <c r="O1800" s="0" t="n">
        <v>1346.25</v>
      </c>
      <c r="Q1800" s="0" t="n">
        <v>2034</v>
      </c>
      <c r="R1800" s="0" t="n">
        <v>40</v>
      </c>
      <c r="W1800" s="0" t="n">
        <v>2032</v>
      </c>
      <c r="X1800" s="0" t="n">
        <v>1038.3</v>
      </c>
    </row>
    <row r="1801" customFormat="false" ht="15" hidden="false" customHeight="false" outlineLevel="0" collapsed="false">
      <c r="A1801" s="0" t="n">
        <v>2031</v>
      </c>
      <c r="B1801" s="0" t="n">
        <v>178.4507139</v>
      </c>
      <c r="C1801" s="0" t="n">
        <v>3747.464992</v>
      </c>
      <c r="E1801" s="0" t="n">
        <v>2032</v>
      </c>
      <c r="F1801" s="0" t="n">
        <v>35.940846</v>
      </c>
      <c r="G1801" s="0" t="n">
        <v>754.235508</v>
      </c>
      <c r="I1801" s="0" t="n">
        <v>2028</v>
      </c>
      <c r="J1801" s="0" t="n">
        <v>793.44</v>
      </c>
      <c r="K1801" s="0" t="n">
        <v>16660.32</v>
      </c>
      <c r="M1801" s="0" t="n">
        <v>2031</v>
      </c>
      <c r="N1801" s="0" t="n">
        <v>25.7</v>
      </c>
      <c r="O1801" s="0" t="n">
        <v>538.5</v>
      </c>
      <c r="Q1801" s="0" t="n">
        <v>2034</v>
      </c>
      <c r="R1801" s="0" t="n">
        <v>56</v>
      </c>
      <c r="W1801" s="0" t="n">
        <v>2032</v>
      </c>
      <c r="X1801" s="0" t="n">
        <v>1522.84</v>
      </c>
    </row>
    <row r="1802" customFormat="false" ht="15" hidden="false" customHeight="false" outlineLevel="0" collapsed="false">
      <c r="A1802" s="0" t="n">
        <v>2031</v>
      </c>
      <c r="B1802" s="0" t="n">
        <v>45.0105469</v>
      </c>
      <c r="C1802" s="0" t="n">
        <v>945.2214849</v>
      </c>
      <c r="E1802" s="0" t="n">
        <v>2032</v>
      </c>
      <c r="F1802" s="0" t="n">
        <v>32.864398</v>
      </c>
      <c r="G1802" s="0" t="n">
        <v>689.674804</v>
      </c>
      <c r="I1802" s="0" t="n">
        <v>2028</v>
      </c>
      <c r="J1802" s="0" t="n">
        <v>264.48</v>
      </c>
      <c r="K1802" s="0" t="n">
        <v>5553.44</v>
      </c>
      <c r="M1802" s="0" t="n">
        <v>2031</v>
      </c>
      <c r="N1802" s="0" t="n">
        <v>25.7</v>
      </c>
      <c r="O1802" s="0" t="n">
        <v>538.5</v>
      </c>
      <c r="Q1802" s="0" t="n">
        <v>2034</v>
      </c>
      <c r="R1802" s="0" t="n">
        <v>53</v>
      </c>
      <c r="W1802" s="0" t="n">
        <v>2032</v>
      </c>
      <c r="X1802" s="0" t="n">
        <v>1176.74</v>
      </c>
    </row>
    <row r="1803" customFormat="false" ht="15" hidden="false" customHeight="false" outlineLevel="0" collapsed="false">
      <c r="A1803" s="0" t="n">
        <v>2031</v>
      </c>
      <c r="B1803" s="0" t="n">
        <v>40.13840553</v>
      </c>
      <c r="C1803" s="0" t="n">
        <v>842.9065161</v>
      </c>
      <c r="E1803" s="0" t="n">
        <v>2032</v>
      </c>
      <c r="F1803" s="0" t="n">
        <v>564.316002</v>
      </c>
      <c r="G1803" s="0" t="n">
        <v>11841.38496</v>
      </c>
      <c r="I1803" s="0" t="n">
        <v>2028</v>
      </c>
      <c r="J1803" s="0" t="n">
        <v>115.71</v>
      </c>
      <c r="K1803" s="0" t="n">
        <v>2429.63</v>
      </c>
      <c r="M1803" s="0" t="n">
        <v>2031</v>
      </c>
      <c r="N1803" s="0" t="n">
        <v>15.42</v>
      </c>
      <c r="O1803" s="0" t="n">
        <v>323.1</v>
      </c>
      <c r="Q1803" s="0" t="n">
        <v>2034</v>
      </c>
      <c r="R1803" s="0" t="n">
        <v>25</v>
      </c>
      <c r="W1803" s="0" t="n">
        <v>2032</v>
      </c>
      <c r="X1803" s="0" t="n">
        <v>133365.72</v>
      </c>
    </row>
    <row r="1804" customFormat="false" ht="15" hidden="false" customHeight="false" outlineLevel="0" collapsed="false">
      <c r="A1804" s="0" t="n">
        <v>2031</v>
      </c>
      <c r="B1804" s="0" t="n">
        <v>27.91388226</v>
      </c>
      <c r="C1804" s="0" t="n">
        <v>586.1915275</v>
      </c>
      <c r="E1804" s="0" t="n">
        <v>2032</v>
      </c>
      <c r="F1804" s="0" t="n">
        <v>151.525098</v>
      </c>
      <c r="G1804" s="0" t="n">
        <v>3179.54304</v>
      </c>
      <c r="I1804" s="0" t="n">
        <v>2028</v>
      </c>
      <c r="J1804" s="0" t="n">
        <v>66.12</v>
      </c>
      <c r="K1804" s="0" t="n">
        <v>1388.36</v>
      </c>
      <c r="M1804" s="0" t="n">
        <v>2031</v>
      </c>
      <c r="N1804" s="0" t="n">
        <v>12.85</v>
      </c>
      <c r="O1804" s="0" t="n">
        <v>269.25</v>
      </c>
      <c r="Q1804" s="0" t="n">
        <v>2034</v>
      </c>
      <c r="R1804" s="0" t="n">
        <v>6</v>
      </c>
      <c r="W1804" s="0" t="n">
        <v>2032</v>
      </c>
      <c r="X1804" s="0" t="n">
        <v>33341.43</v>
      </c>
    </row>
    <row r="1805" customFormat="false" ht="15" hidden="false" customHeight="false" outlineLevel="0" collapsed="false">
      <c r="A1805" s="0" t="n">
        <v>2031</v>
      </c>
      <c r="B1805" s="0" t="n">
        <v>20.76327884</v>
      </c>
      <c r="C1805" s="0" t="n">
        <v>436.0288557</v>
      </c>
      <c r="E1805" s="0" t="n">
        <v>2032</v>
      </c>
      <c r="F1805" s="0" t="n">
        <v>60.650226</v>
      </c>
      <c r="G1805" s="0" t="n">
        <v>1272.66048</v>
      </c>
      <c r="I1805" s="0" t="n">
        <v>2028</v>
      </c>
      <c r="J1805" s="0" t="n">
        <v>66.12</v>
      </c>
      <c r="K1805" s="0" t="n">
        <v>1388.36</v>
      </c>
      <c r="M1805" s="0" t="n">
        <v>2031</v>
      </c>
      <c r="N1805" s="0" t="n">
        <v>10.28</v>
      </c>
      <c r="O1805" s="0" t="n">
        <v>215.4</v>
      </c>
      <c r="Q1805" s="0" t="n">
        <v>2034</v>
      </c>
      <c r="R1805" s="0" t="n">
        <v>5</v>
      </c>
      <c r="W1805" s="0" t="n">
        <v>2032</v>
      </c>
      <c r="X1805" s="0" t="n">
        <v>10325.088</v>
      </c>
    </row>
    <row r="1806" customFormat="false" ht="15" hidden="false" customHeight="false" outlineLevel="0" collapsed="false">
      <c r="A1806" s="0" t="n">
        <v>2031</v>
      </c>
      <c r="B1806" s="0" t="n">
        <v>9.22812393</v>
      </c>
      <c r="C1806" s="0" t="n">
        <v>193.7906025</v>
      </c>
      <c r="E1806" s="0" t="n">
        <v>2032</v>
      </c>
      <c r="F1806" s="0" t="n">
        <v>8.519382</v>
      </c>
      <c r="G1806" s="0" t="n">
        <v>178.76736</v>
      </c>
      <c r="I1806" s="0" t="n">
        <v>2028</v>
      </c>
      <c r="J1806" s="0" t="n">
        <v>33.06</v>
      </c>
      <c r="K1806" s="0" t="n">
        <v>694.18</v>
      </c>
      <c r="M1806" s="0" t="n">
        <v>2031</v>
      </c>
      <c r="N1806" s="0" t="n">
        <v>5.14</v>
      </c>
      <c r="O1806" s="0" t="n">
        <v>107.7</v>
      </c>
      <c r="Q1806" s="0" t="n">
        <v>2034</v>
      </c>
      <c r="R1806" s="0" t="n">
        <v>5</v>
      </c>
      <c r="W1806" s="0" t="n">
        <v>2032</v>
      </c>
      <c r="X1806" s="0" t="n">
        <v>18284.01</v>
      </c>
    </row>
    <row r="1807" customFormat="false" ht="15" hidden="false" customHeight="false" outlineLevel="0" collapsed="false">
      <c r="A1807" s="0" t="n">
        <v>2031</v>
      </c>
      <c r="B1807" s="0" t="n">
        <v>34.08480742</v>
      </c>
      <c r="C1807" s="0" t="n">
        <v>715.7809558</v>
      </c>
      <c r="E1807" s="0" t="n">
        <v>2032</v>
      </c>
      <c r="F1807" s="0" t="n">
        <v>203.655942</v>
      </c>
      <c r="G1807" s="0" t="n">
        <v>4273.43616</v>
      </c>
      <c r="I1807" s="0" t="n">
        <v>2028</v>
      </c>
      <c r="J1807" s="0" t="n">
        <v>33.06</v>
      </c>
      <c r="K1807" s="0" t="n">
        <v>694.18</v>
      </c>
      <c r="M1807" s="0" t="n">
        <v>2031</v>
      </c>
      <c r="N1807" s="0" t="n">
        <v>264.6</v>
      </c>
      <c r="O1807" s="0" t="n">
        <v>5548.5</v>
      </c>
      <c r="Q1807" s="0" t="n">
        <v>2034</v>
      </c>
      <c r="R1807" s="0" t="n">
        <v>468</v>
      </c>
      <c r="W1807" s="0" t="n">
        <v>2032</v>
      </c>
      <c r="X1807" s="0" t="n">
        <v>8174.028</v>
      </c>
    </row>
    <row r="1808" customFormat="false" ht="15" hidden="false" customHeight="false" outlineLevel="0" collapsed="false">
      <c r="A1808" s="0" t="n">
        <v>2031</v>
      </c>
      <c r="B1808" s="0" t="n">
        <v>10.66973496</v>
      </c>
      <c r="C1808" s="0" t="n">
        <v>224.0644341</v>
      </c>
      <c r="E1808" s="0" t="n">
        <v>2032</v>
      </c>
      <c r="F1808" s="0" t="n">
        <v>9.533934</v>
      </c>
      <c r="G1808" s="0" t="n">
        <v>200.05632</v>
      </c>
      <c r="I1808" s="0" t="n">
        <v>2028</v>
      </c>
      <c r="J1808" s="0" t="n">
        <v>66.12</v>
      </c>
      <c r="K1808" s="0" t="n">
        <v>1388.36</v>
      </c>
      <c r="M1808" s="0" t="n">
        <v>2031</v>
      </c>
      <c r="N1808" s="0" t="n">
        <v>29.4</v>
      </c>
      <c r="O1808" s="0" t="n">
        <v>616.5</v>
      </c>
      <c r="Q1808" s="0" t="n">
        <v>2034</v>
      </c>
      <c r="R1808" s="0" t="n">
        <v>445</v>
      </c>
      <c r="W1808" s="0" t="n">
        <v>2032</v>
      </c>
      <c r="X1808" s="0" t="n">
        <v>3226.59</v>
      </c>
    </row>
    <row r="1809" customFormat="false" ht="15" hidden="false" customHeight="false" outlineLevel="0" collapsed="false">
      <c r="A1809" s="0" t="n">
        <v>2031</v>
      </c>
      <c r="B1809" s="0" t="n">
        <v>23.85687533</v>
      </c>
      <c r="C1809" s="0" t="n">
        <v>500.9943819</v>
      </c>
      <c r="E1809" s="0" t="n">
        <v>2032</v>
      </c>
      <c r="F1809" s="0" t="n">
        <v>52.130844</v>
      </c>
      <c r="G1809" s="0" t="n">
        <v>1093.89312</v>
      </c>
      <c r="I1809" s="0" t="n">
        <v>2028</v>
      </c>
      <c r="J1809" s="0" t="n">
        <v>115.71</v>
      </c>
      <c r="K1809" s="0" t="n">
        <v>2429.63</v>
      </c>
      <c r="M1809" s="0" t="n">
        <v>2031</v>
      </c>
      <c r="N1809" s="0" t="n">
        <v>369.9</v>
      </c>
      <c r="O1809" s="0" t="n">
        <v>7766.1</v>
      </c>
      <c r="Q1809" s="0" t="n">
        <v>2034</v>
      </c>
      <c r="R1809" s="0" t="n">
        <v>211</v>
      </c>
      <c r="W1809" s="0" t="n">
        <v>2032</v>
      </c>
      <c r="X1809" s="0" t="n">
        <v>4732.332</v>
      </c>
    </row>
    <row r="1810" customFormat="false" ht="15" hidden="false" customHeight="false" outlineLevel="0" collapsed="false">
      <c r="A1810" s="0" t="n">
        <v>2031</v>
      </c>
      <c r="B1810" s="0" t="n">
        <v>302.5290516</v>
      </c>
      <c r="C1810" s="0" t="n">
        <v>6353.110084</v>
      </c>
      <c r="E1810" s="0" t="n">
        <v>2032</v>
      </c>
      <c r="F1810" s="0" t="n">
        <v>47.668572</v>
      </c>
      <c r="G1810" s="0" t="n">
        <v>1000.25856</v>
      </c>
      <c r="I1810" s="0" t="n">
        <v>2028</v>
      </c>
      <c r="J1810" s="0" t="n">
        <v>49.59</v>
      </c>
      <c r="K1810" s="0" t="n">
        <v>1041.27</v>
      </c>
      <c r="M1810" s="0" t="n">
        <v>2031</v>
      </c>
      <c r="N1810" s="0" t="n">
        <v>41.1</v>
      </c>
      <c r="O1810" s="0" t="n">
        <v>862.9</v>
      </c>
      <c r="Q1810" s="0" t="n">
        <v>2034</v>
      </c>
      <c r="R1810" s="0" t="n">
        <v>47</v>
      </c>
      <c r="W1810" s="0" t="n">
        <v>2032</v>
      </c>
      <c r="X1810" s="0" t="n">
        <v>3656.802</v>
      </c>
    </row>
    <row r="1811" customFormat="false" ht="15" hidden="false" customHeight="false" outlineLevel="0" collapsed="false">
      <c r="A1811" s="0" t="n">
        <v>2031</v>
      </c>
      <c r="B1811" s="0" t="n">
        <v>76.30677273</v>
      </c>
      <c r="C1811" s="0" t="n">
        <v>1602.442227</v>
      </c>
      <c r="E1811" s="0" t="n">
        <v>2032</v>
      </c>
      <c r="F1811" s="0" t="n">
        <v>360.792198</v>
      </c>
      <c r="G1811" s="0" t="n">
        <v>7576.122209</v>
      </c>
      <c r="I1811" s="0" t="n">
        <v>2028</v>
      </c>
      <c r="J1811" s="0" t="n">
        <v>49.59</v>
      </c>
      <c r="K1811" s="0" t="n">
        <v>1041.27</v>
      </c>
      <c r="M1811" s="0" t="n">
        <v>2031</v>
      </c>
      <c r="N1811" s="0" t="n">
        <v>317.7</v>
      </c>
      <c r="O1811" s="0" t="n">
        <v>6657.3</v>
      </c>
      <c r="Q1811" s="0" t="n">
        <v>2034</v>
      </c>
      <c r="R1811" s="0" t="n">
        <v>45</v>
      </c>
      <c r="W1811" s="0" t="n">
        <v>2032</v>
      </c>
      <c r="X1811" s="0" t="n">
        <v>68013.38</v>
      </c>
    </row>
    <row r="1812" customFormat="false" ht="15" hidden="false" customHeight="false" outlineLevel="0" collapsed="false">
      <c r="A1812" s="0" t="n">
        <v>2031</v>
      </c>
      <c r="B1812" s="0" t="n">
        <v>68.04698896</v>
      </c>
      <c r="C1812" s="0" t="n">
        <v>1428.986768</v>
      </c>
      <c r="E1812" s="0" t="n">
        <v>2032</v>
      </c>
      <c r="F1812" s="0" t="n">
        <v>96.876702</v>
      </c>
      <c r="G1812" s="0" t="n">
        <v>2034.272741</v>
      </c>
      <c r="I1812" s="0" t="n">
        <v>2028</v>
      </c>
      <c r="J1812" s="0" t="n">
        <v>185.12</v>
      </c>
      <c r="K1812" s="0" t="n">
        <v>3891.16</v>
      </c>
      <c r="M1812" s="0" t="n">
        <v>2031</v>
      </c>
      <c r="N1812" s="0" t="n">
        <v>35.3</v>
      </c>
      <c r="O1812" s="0" t="n">
        <v>739.7</v>
      </c>
      <c r="Q1812" s="0" t="n">
        <v>2034</v>
      </c>
      <c r="R1812" s="0" t="n">
        <v>45</v>
      </c>
      <c r="W1812" s="0" t="n">
        <v>2032</v>
      </c>
      <c r="X1812" s="0" t="n">
        <v>17003.345</v>
      </c>
    </row>
    <row r="1813" customFormat="false" ht="15" hidden="false" customHeight="false" outlineLevel="0" collapsed="false">
      <c r="A1813" s="0" t="n">
        <v>2031</v>
      </c>
      <c r="B1813" s="0" t="n">
        <v>47.32264805</v>
      </c>
      <c r="C1813" s="0" t="n">
        <v>993.7756091</v>
      </c>
      <c r="E1813" s="0" t="n">
        <v>2032</v>
      </c>
      <c r="F1813" s="0" t="n">
        <v>38.776374</v>
      </c>
      <c r="G1813" s="0" t="n">
        <v>814.248617</v>
      </c>
      <c r="I1813" s="0" t="n">
        <v>2028</v>
      </c>
      <c r="J1813" s="0" t="n">
        <v>28.48</v>
      </c>
      <c r="K1813" s="0" t="n">
        <v>598.64</v>
      </c>
      <c r="M1813" s="0" t="n">
        <v>2031</v>
      </c>
      <c r="N1813" s="0" t="n">
        <v>106.2</v>
      </c>
      <c r="O1813" s="0" t="n">
        <v>2218.5</v>
      </c>
      <c r="Q1813" s="0" t="n">
        <v>2034</v>
      </c>
      <c r="R1813" s="0" t="n">
        <v>763</v>
      </c>
      <c r="W1813" s="0" t="n">
        <v>2032</v>
      </c>
      <c r="X1813" s="0" t="n">
        <v>5265.552</v>
      </c>
    </row>
    <row r="1814" customFormat="false" ht="15" hidden="false" customHeight="false" outlineLevel="0" collapsed="false">
      <c r="A1814" s="0" t="n">
        <v>2031</v>
      </c>
      <c r="B1814" s="0" t="n">
        <v>35.20016771</v>
      </c>
      <c r="C1814" s="0" t="n">
        <v>739.2035219</v>
      </c>
      <c r="E1814" s="0" t="n">
        <v>2032</v>
      </c>
      <c r="F1814" s="0" t="n">
        <v>5.446818</v>
      </c>
      <c r="G1814" s="0" t="n">
        <v>114.375419</v>
      </c>
      <c r="I1814" s="0" t="n">
        <v>2028</v>
      </c>
      <c r="J1814" s="0" t="n">
        <v>21.36</v>
      </c>
      <c r="K1814" s="0" t="n">
        <v>448.98</v>
      </c>
      <c r="M1814" s="0" t="n">
        <v>2031</v>
      </c>
      <c r="N1814" s="0" t="n">
        <v>11.8</v>
      </c>
      <c r="O1814" s="0" t="n">
        <v>246.5</v>
      </c>
      <c r="Q1814" s="0" t="n">
        <v>2034</v>
      </c>
      <c r="R1814" s="0" t="n">
        <v>725</v>
      </c>
      <c r="W1814" s="0" t="n">
        <v>2032</v>
      </c>
      <c r="X1814" s="0" t="n">
        <v>9324.415</v>
      </c>
    </row>
    <row r="1815" customFormat="false" ht="15" hidden="false" customHeight="false" outlineLevel="0" collapsed="false">
      <c r="A1815" s="0" t="n">
        <v>2031</v>
      </c>
      <c r="B1815" s="0" t="n">
        <v>15.64451898</v>
      </c>
      <c r="C1815" s="0" t="n">
        <v>328.5348986</v>
      </c>
      <c r="E1815" s="0" t="n">
        <v>2032</v>
      </c>
      <c r="F1815" s="0" t="n">
        <v>130.206258</v>
      </c>
      <c r="G1815" s="0" t="n">
        <v>2734.145939</v>
      </c>
      <c r="I1815" s="0" t="n">
        <v>2028</v>
      </c>
      <c r="J1815" s="0" t="n">
        <v>35.6</v>
      </c>
      <c r="K1815" s="0" t="n">
        <v>748.3</v>
      </c>
      <c r="M1815" s="0" t="n">
        <v>2031</v>
      </c>
      <c r="N1815" s="0" t="n">
        <v>931.5</v>
      </c>
      <c r="O1815" s="0" t="n">
        <v>19551.6</v>
      </c>
      <c r="Q1815" s="0" t="n">
        <v>2034</v>
      </c>
      <c r="R1815" s="0" t="n">
        <v>343</v>
      </c>
      <c r="W1815" s="0" t="n">
        <v>2032</v>
      </c>
      <c r="X1815" s="0" t="n">
        <v>4168.562</v>
      </c>
    </row>
    <row r="1816" customFormat="false" ht="15" hidden="false" customHeight="false" outlineLevel="0" collapsed="false">
      <c r="A1816" s="0" t="n">
        <v>2031</v>
      </c>
      <c r="B1816" s="0" t="n">
        <v>57.78427129</v>
      </c>
      <c r="C1816" s="0" t="n">
        <v>1213.469697</v>
      </c>
      <c r="E1816" s="0" t="n">
        <v>2032</v>
      </c>
      <c r="F1816" s="0" t="n">
        <v>6.095466</v>
      </c>
      <c r="G1816" s="0" t="n">
        <v>127.996103</v>
      </c>
      <c r="I1816" s="0" t="n">
        <v>2028</v>
      </c>
      <c r="J1816" s="0" t="n">
        <v>7.12</v>
      </c>
      <c r="K1816" s="0" t="n">
        <v>149.66</v>
      </c>
      <c r="M1816" s="0" t="n">
        <v>2031</v>
      </c>
      <c r="N1816" s="0" t="n">
        <v>103.5</v>
      </c>
      <c r="O1816" s="0" t="n">
        <v>2172.4</v>
      </c>
      <c r="Q1816" s="0" t="n">
        <v>2034</v>
      </c>
      <c r="R1816" s="0" t="n">
        <v>76</v>
      </c>
      <c r="W1816" s="0" t="n">
        <v>2032</v>
      </c>
      <c r="X1816" s="0" t="n">
        <v>1645.485</v>
      </c>
    </row>
    <row r="1817" customFormat="false" ht="15" hidden="false" customHeight="false" outlineLevel="0" collapsed="false">
      <c r="A1817" s="0" t="n">
        <v>2031</v>
      </c>
      <c r="B1817" s="0" t="n">
        <v>18.08849473</v>
      </c>
      <c r="C1817" s="0" t="n">
        <v>379.8583894</v>
      </c>
      <c r="E1817" s="0" t="n">
        <v>2032</v>
      </c>
      <c r="F1817" s="0" t="n">
        <v>33.329556</v>
      </c>
      <c r="G1817" s="0" t="n">
        <v>699.873198</v>
      </c>
      <c r="I1817" s="0" t="n">
        <v>2028</v>
      </c>
      <c r="J1817" s="0" t="n">
        <v>7.12</v>
      </c>
      <c r="K1817" s="0" t="n">
        <v>149.66</v>
      </c>
      <c r="M1817" s="0" t="n">
        <v>2031</v>
      </c>
      <c r="N1817" s="0" t="n">
        <v>91.8</v>
      </c>
      <c r="O1817" s="0" t="n">
        <v>1922.4</v>
      </c>
      <c r="Q1817" s="0" t="n">
        <v>2034</v>
      </c>
      <c r="R1817" s="0" t="n">
        <v>73</v>
      </c>
      <c r="W1817" s="0" t="n">
        <v>2032</v>
      </c>
      <c r="X1817" s="0" t="n">
        <v>2413.378</v>
      </c>
    </row>
    <row r="1818" customFormat="false" ht="15" hidden="false" customHeight="false" outlineLevel="0" collapsed="false">
      <c r="A1818" s="0" t="n">
        <v>2031</v>
      </c>
      <c r="B1818" s="0" t="n">
        <v>40.44476882</v>
      </c>
      <c r="C1818" s="0" t="n">
        <v>849.3401451</v>
      </c>
      <c r="E1818" s="0" t="n">
        <v>2032</v>
      </c>
      <c r="F1818" s="0" t="n">
        <v>30.476628</v>
      </c>
      <c r="G1818" s="0" t="n">
        <v>639.965774</v>
      </c>
      <c r="I1818" s="0" t="n">
        <v>2028</v>
      </c>
      <c r="J1818" s="0" t="n">
        <v>0</v>
      </c>
      <c r="K1818" s="0" t="n">
        <v>0</v>
      </c>
      <c r="M1818" s="0" t="n">
        <v>2031</v>
      </c>
      <c r="N1818" s="0" t="n">
        <v>10.2</v>
      </c>
      <c r="O1818" s="0" t="n">
        <v>213.6</v>
      </c>
      <c r="Q1818" s="0" t="n">
        <v>2034</v>
      </c>
      <c r="R1818" s="0" t="n">
        <v>73</v>
      </c>
      <c r="W1818" s="0" t="n">
        <v>2032</v>
      </c>
      <c r="X1818" s="0" t="n">
        <v>1864.883</v>
      </c>
    </row>
    <row r="1819" customFormat="false" ht="15" hidden="false" customHeight="false" outlineLevel="0" collapsed="false">
      <c r="A1819" s="0" t="n">
        <v>2031</v>
      </c>
      <c r="B1819" s="0" t="n">
        <v>108.7159838</v>
      </c>
      <c r="C1819" s="0" t="n">
        <v>2283.035661</v>
      </c>
      <c r="E1819" s="0" t="n">
        <v>2032</v>
      </c>
      <c r="F1819" s="0" t="n">
        <v>2002.345304</v>
      </c>
      <c r="G1819" s="0" t="n">
        <v>42044.11189</v>
      </c>
      <c r="I1819" s="0" t="n">
        <v>2028</v>
      </c>
      <c r="J1819" s="0" t="n">
        <v>14.24</v>
      </c>
      <c r="K1819" s="0" t="n">
        <v>299.32</v>
      </c>
      <c r="M1819" s="0" t="n">
        <v>2032</v>
      </c>
      <c r="N1819" s="0" t="n">
        <v>6.84</v>
      </c>
      <c r="O1819" s="0" t="n">
        <v>142.12</v>
      </c>
      <c r="Q1819" s="0" t="n">
        <v>2034</v>
      </c>
      <c r="R1819" s="0" t="n">
        <v>340</v>
      </c>
      <c r="W1819" s="0" t="n">
        <v>2032</v>
      </c>
      <c r="X1819" s="0" t="n">
        <v>8950.94</v>
      </c>
    </row>
    <row r="1820" customFormat="false" ht="15" hidden="false" customHeight="false" outlineLevel="0" collapsed="false">
      <c r="A1820" s="0" t="n">
        <v>2031</v>
      </c>
      <c r="B1820" s="0" t="n">
        <v>27.4213859</v>
      </c>
      <c r="C1820" s="0" t="n">
        <v>575.8491039</v>
      </c>
      <c r="E1820" s="0" t="n">
        <v>2032</v>
      </c>
      <c r="F1820" s="0" t="n">
        <v>537.651896</v>
      </c>
      <c r="G1820" s="0" t="n">
        <v>11289.30981</v>
      </c>
      <c r="I1820" s="0" t="n">
        <v>2028</v>
      </c>
      <c r="J1820" s="0" t="n">
        <v>24.92</v>
      </c>
      <c r="K1820" s="0" t="n">
        <v>523.81</v>
      </c>
      <c r="M1820" s="0" t="n">
        <v>2032</v>
      </c>
      <c r="N1820" s="0" t="n">
        <v>4.5</v>
      </c>
      <c r="O1820" s="0" t="n">
        <v>93.5</v>
      </c>
      <c r="Q1820" s="0" t="n">
        <v>2034</v>
      </c>
      <c r="R1820" s="0" t="n">
        <v>323</v>
      </c>
      <c r="W1820" s="0" t="n">
        <v>2032</v>
      </c>
      <c r="X1820" s="0" t="n">
        <v>2237.735</v>
      </c>
    </row>
    <row r="1821" customFormat="false" ht="15" hidden="false" customHeight="false" outlineLevel="0" collapsed="false">
      <c r="A1821" s="0" t="n">
        <v>2031</v>
      </c>
      <c r="B1821" s="0" t="n">
        <v>24.45317338</v>
      </c>
      <c r="C1821" s="0" t="n">
        <v>513.516641</v>
      </c>
      <c r="E1821" s="0" t="n">
        <v>2032</v>
      </c>
      <c r="F1821" s="0" t="n">
        <v>215.203352</v>
      </c>
      <c r="G1821" s="0" t="n">
        <v>4518.718022</v>
      </c>
      <c r="I1821" s="0" t="n">
        <v>2028</v>
      </c>
      <c r="J1821" s="0" t="n">
        <v>7.12</v>
      </c>
      <c r="K1821" s="0" t="n">
        <v>149.66</v>
      </c>
      <c r="M1821" s="0" t="n">
        <v>2032</v>
      </c>
      <c r="N1821" s="0" t="n">
        <v>1.8</v>
      </c>
      <c r="O1821" s="0" t="n">
        <v>37.4</v>
      </c>
      <c r="Q1821" s="0" t="n">
        <v>2034</v>
      </c>
      <c r="R1821" s="0" t="n">
        <v>153</v>
      </c>
      <c r="W1821" s="0" t="n">
        <v>2032</v>
      </c>
      <c r="X1821" s="0" t="n">
        <v>692.976</v>
      </c>
    </row>
    <row r="1822" customFormat="false" ht="15" hidden="false" customHeight="false" outlineLevel="0" collapsed="false">
      <c r="A1822" s="0" t="n">
        <v>2031</v>
      </c>
      <c r="B1822" s="0" t="n">
        <v>17.00573288</v>
      </c>
      <c r="C1822" s="0" t="n">
        <v>357.1203905</v>
      </c>
      <c r="E1822" s="0" t="n">
        <v>2032</v>
      </c>
      <c r="F1822" s="0" t="n">
        <v>30.229064</v>
      </c>
      <c r="G1822" s="0" t="n">
        <v>634.732754</v>
      </c>
      <c r="I1822" s="0" t="n">
        <v>2028</v>
      </c>
      <c r="J1822" s="0" t="n">
        <v>24.92</v>
      </c>
      <c r="K1822" s="0" t="n">
        <v>523.81</v>
      </c>
      <c r="M1822" s="0" t="n">
        <v>2032</v>
      </c>
      <c r="N1822" s="0" t="n">
        <v>1.8</v>
      </c>
      <c r="O1822" s="0" t="n">
        <v>37.4</v>
      </c>
      <c r="Q1822" s="0" t="n">
        <v>2034</v>
      </c>
      <c r="R1822" s="0" t="n">
        <v>34</v>
      </c>
      <c r="W1822" s="0" t="n">
        <v>2032</v>
      </c>
      <c r="X1822" s="0" t="n">
        <v>1227.145</v>
      </c>
    </row>
    <row r="1823" customFormat="false" ht="15" hidden="false" customHeight="false" outlineLevel="0" collapsed="false">
      <c r="A1823" s="0" t="n">
        <v>2031</v>
      </c>
      <c r="B1823" s="0" t="n">
        <v>12.64943265</v>
      </c>
      <c r="C1823" s="0" t="n">
        <v>265.6380857</v>
      </c>
      <c r="E1823" s="0" t="n">
        <v>2032</v>
      </c>
      <c r="F1823" s="0" t="n">
        <v>722.626184</v>
      </c>
      <c r="G1823" s="0" t="n">
        <v>15173.29507</v>
      </c>
      <c r="I1823" s="0" t="n">
        <v>2028</v>
      </c>
      <c r="J1823" s="0" t="n">
        <v>408</v>
      </c>
      <c r="K1823" s="0" t="n">
        <v>8565.6</v>
      </c>
      <c r="M1823" s="0" t="n">
        <v>2032</v>
      </c>
      <c r="N1823" s="0" t="n">
        <v>1.08</v>
      </c>
      <c r="O1823" s="0" t="n">
        <v>22.44</v>
      </c>
      <c r="Q1823" s="0" t="n">
        <v>2034</v>
      </c>
      <c r="R1823" s="0" t="n">
        <v>32</v>
      </c>
      <c r="W1823" s="0" t="n">
        <v>2032</v>
      </c>
      <c r="X1823" s="0" t="n">
        <v>548.606</v>
      </c>
    </row>
    <row r="1824" customFormat="false" ht="15" hidden="false" customHeight="false" outlineLevel="0" collapsed="false">
      <c r="A1824" s="0" t="n">
        <v>2031</v>
      </c>
      <c r="B1824" s="0" t="n">
        <v>5.621970068</v>
      </c>
      <c r="C1824" s="0" t="n">
        <v>118.0613714</v>
      </c>
      <c r="E1824" s="0" t="n">
        <v>2032</v>
      </c>
      <c r="F1824" s="0" t="n">
        <v>33.828968</v>
      </c>
      <c r="G1824" s="0" t="n">
        <v>710.321498</v>
      </c>
      <c r="I1824" s="0" t="n">
        <v>2028</v>
      </c>
      <c r="J1824" s="0" t="n">
        <v>136</v>
      </c>
      <c r="K1824" s="0" t="n">
        <v>2855.2</v>
      </c>
      <c r="M1824" s="0" t="n">
        <v>2032</v>
      </c>
      <c r="N1824" s="0" t="n">
        <v>0.9</v>
      </c>
      <c r="O1824" s="0" t="n">
        <v>18.7</v>
      </c>
      <c r="Q1824" s="0" t="n">
        <v>2034</v>
      </c>
      <c r="R1824" s="0" t="n">
        <v>32</v>
      </c>
      <c r="W1824" s="0" t="n">
        <v>2032</v>
      </c>
      <c r="X1824" s="0" t="n">
        <v>216.555</v>
      </c>
    </row>
    <row r="1825" customFormat="false" ht="15" hidden="false" customHeight="false" outlineLevel="0" collapsed="false">
      <c r="A1825" s="0" t="n">
        <v>2031</v>
      </c>
      <c r="B1825" s="0" t="n">
        <v>20.7651922</v>
      </c>
      <c r="C1825" s="0" t="n">
        <v>436.0690363</v>
      </c>
      <c r="E1825" s="0" t="n">
        <v>2032</v>
      </c>
      <c r="F1825" s="0" t="n">
        <v>184.974288</v>
      </c>
      <c r="G1825" s="0" t="n">
        <v>3883.985268</v>
      </c>
      <c r="I1825" s="0" t="n">
        <v>2028</v>
      </c>
      <c r="J1825" s="0" t="n">
        <v>59.5</v>
      </c>
      <c r="K1825" s="0" t="n">
        <v>1249.15</v>
      </c>
      <c r="M1825" s="0" t="n">
        <v>2032</v>
      </c>
      <c r="N1825" s="0" t="n">
        <v>0.72</v>
      </c>
      <c r="O1825" s="0" t="n">
        <v>14.96</v>
      </c>
      <c r="Q1825" s="0" t="n">
        <v>2034</v>
      </c>
      <c r="R1825" s="0" t="n">
        <v>849</v>
      </c>
      <c r="W1825" s="0" t="n">
        <v>2032</v>
      </c>
      <c r="X1825" s="0" t="n">
        <v>317.614</v>
      </c>
    </row>
    <row r="1826" customFormat="false" ht="15" hidden="false" customHeight="false" outlineLevel="0" collapsed="false">
      <c r="A1826" s="0" t="n">
        <v>2031</v>
      </c>
      <c r="B1826" s="0" t="n">
        <v>6.500230277</v>
      </c>
      <c r="C1826" s="0" t="n">
        <v>136.5048358</v>
      </c>
      <c r="E1826" s="0" t="n">
        <v>2032</v>
      </c>
      <c r="F1826" s="0" t="n">
        <v>169.140944</v>
      </c>
      <c r="G1826" s="0" t="n">
        <v>3551.525684</v>
      </c>
      <c r="I1826" s="0" t="n">
        <v>2028</v>
      </c>
      <c r="J1826" s="0" t="n">
        <v>34</v>
      </c>
      <c r="K1826" s="0" t="n">
        <v>713.8</v>
      </c>
      <c r="M1826" s="0" t="n">
        <v>2032</v>
      </c>
      <c r="N1826" s="0" t="n">
        <v>0.36</v>
      </c>
      <c r="O1826" s="0" t="n">
        <v>7.48</v>
      </c>
      <c r="Q1826" s="0" t="n">
        <v>2034</v>
      </c>
      <c r="R1826" s="0" t="n">
        <v>806</v>
      </c>
      <c r="W1826" s="0" t="n">
        <v>2032</v>
      </c>
      <c r="X1826" s="0" t="n">
        <v>245.429</v>
      </c>
    </row>
    <row r="1827" customFormat="false" ht="15" hidden="false" customHeight="false" outlineLevel="0" collapsed="false">
      <c r="A1827" s="0" t="n">
        <v>2031</v>
      </c>
      <c r="B1827" s="0" t="n">
        <v>14.53411766</v>
      </c>
      <c r="C1827" s="0" t="n">
        <v>305.2164709</v>
      </c>
      <c r="E1827" s="0" t="n">
        <v>2032</v>
      </c>
      <c r="F1827" s="0" t="n">
        <v>244.125775</v>
      </c>
      <c r="G1827" s="0" t="n">
        <v>5123.557581</v>
      </c>
      <c r="I1827" s="0" t="n">
        <v>2028</v>
      </c>
      <c r="J1827" s="0" t="n">
        <v>34</v>
      </c>
      <c r="K1827" s="0" t="n">
        <v>713.8</v>
      </c>
      <c r="M1827" s="0" t="n">
        <v>2032</v>
      </c>
      <c r="N1827" s="0" t="n">
        <v>17.86</v>
      </c>
      <c r="O1827" s="0" t="n">
        <v>371.26</v>
      </c>
      <c r="Q1827" s="0" t="n">
        <v>2034</v>
      </c>
      <c r="R1827" s="0" t="n">
        <v>382</v>
      </c>
      <c r="W1827" s="0" t="n">
        <v>2032</v>
      </c>
      <c r="X1827" s="0" t="n">
        <v>69810.76</v>
      </c>
    </row>
    <row r="1828" customFormat="false" ht="15" hidden="false" customHeight="false" outlineLevel="0" collapsed="false">
      <c r="A1828" s="0" t="n">
        <v>2031</v>
      </c>
      <c r="B1828" s="0" t="n">
        <v>173.2436239</v>
      </c>
      <c r="C1828" s="0" t="n">
        <v>3638.116102</v>
      </c>
      <c r="E1828" s="0" t="n">
        <v>2032</v>
      </c>
      <c r="F1828" s="0" t="n">
        <v>65.550475</v>
      </c>
      <c r="G1828" s="0" t="n">
        <v>1375.731969</v>
      </c>
      <c r="I1828" s="0" t="n">
        <v>2028</v>
      </c>
      <c r="J1828" s="0" t="n">
        <v>17</v>
      </c>
      <c r="K1828" s="0" t="n">
        <v>356.9</v>
      </c>
      <c r="M1828" s="0" t="n">
        <v>2032</v>
      </c>
      <c r="N1828" s="0" t="n">
        <v>11.75</v>
      </c>
      <c r="O1828" s="0" t="n">
        <v>244.25</v>
      </c>
      <c r="Q1828" s="0" t="n">
        <v>2034</v>
      </c>
      <c r="R1828" s="0" t="n">
        <v>85</v>
      </c>
      <c r="W1828" s="0" t="n">
        <v>2032</v>
      </c>
      <c r="X1828" s="0" t="n">
        <v>17452.69</v>
      </c>
    </row>
    <row r="1829" customFormat="false" ht="15" hidden="false" customHeight="false" outlineLevel="0" collapsed="false">
      <c r="A1829" s="0" t="n">
        <v>2031</v>
      </c>
      <c r="B1829" s="0" t="n">
        <v>43.69716483</v>
      </c>
      <c r="C1829" s="0" t="n">
        <v>917.6404614</v>
      </c>
      <c r="E1829" s="0" t="n">
        <v>2032</v>
      </c>
      <c r="F1829" s="0" t="n">
        <v>26.237575</v>
      </c>
      <c r="G1829" s="0" t="n">
        <v>550.657653</v>
      </c>
      <c r="I1829" s="0" t="n">
        <v>2028</v>
      </c>
      <c r="J1829" s="0" t="n">
        <v>17</v>
      </c>
      <c r="K1829" s="0" t="n">
        <v>356.9</v>
      </c>
      <c r="M1829" s="0" t="n">
        <v>2032</v>
      </c>
      <c r="N1829" s="0" t="n">
        <v>4.7</v>
      </c>
      <c r="O1829" s="0" t="n">
        <v>97.7</v>
      </c>
      <c r="Q1829" s="0" t="n">
        <v>2034</v>
      </c>
      <c r="R1829" s="0" t="n">
        <v>81</v>
      </c>
      <c r="W1829" s="0" t="n">
        <v>2032</v>
      </c>
      <c r="X1829" s="0" t="n">
        <v>5404.704</v>
      </c>
    </row>
    <row r="1830" customFormat="false" ht="15" hidden="false" customHeight="false" outlineLevel="0" collapsed="false">
      <c r="A1830" s="0" t="n">
        <v>2031</v>
      </c>
      <c r="B1830" s="0" t="n">
        <v>38.96718976</v>
      </c>
      <c r="C1830" s="0" t="n">
        <v>818.310985</v>
      </c>
      <c r="E1830" s="0" t="n">
        <v>2032</v>
      </c>
      <c r="F1830" s="0" t="n">
        <v>3.685525</v>
      </c>
      <c r="G1830" s="0" t="n">
        <v>77.349471</v>
      </c>
      <c r="I1830" s="0" t="n">
        <v>2028</v>
      </c>
      <c r="J1830" s="0" t="n">
        <v>34</v>
      </c>
      <c r="K1830" s="0" t="n">
        <v>713.8</v>
      </c>
      <c r="M1830" s="0" t="n">
        <v>2032</v>
      </c>
      <c r="N1830" s="0" t="n">
        <v>4.7</v>
      </c>
      <c r="O1830" s="0" t="n">
        <v>97.7</v>
      </c>
      <c r="Q1830" s="0" t="n">
        <v>2034</v>
      </c>
      <c r="R1830" s="0" t="n">
        <v>81</v>
      </c>
      <c r="W1830" s="0" t="n">
        <v>2032</v>
      </c>
      <c r="X1830" s="0" t="n">
        <v>9570.83</v>
      </c>
    </row>
    <row r="1831" customFormat="false" ht="15" hidden="false" customHeight="false" outlineLevel="0" collapsed="false">
      <c r="A1831" s="0" t="n">
        <v>2031</v>
      </c>
      <c r="B1831" s="0" t="n">
        <v>27.09937111</v>
      </c>
      <c r="C1831" s="0" t="n">
        <v>569.0867933</v>
      </c>
      <c r="E1831" s="0" t="n">
        <v>2032</v>
      </c>
      <c r="F1831" s="0" t="n">
        <v>88.102525</v>
      </c>
      <c r="G1831" s="0" t="n">
        <v>1849.040151</v>
      </c>
      <c r="I1831" s="0" t="n">
        <v>2028</v>
      </c>
      <c r="J1831" s="0" t="n">
        <v>59.5</v>
      </c>
      <c r="K1831" s="0" t="n">
        <v>1249.15</v>
      </c>
      <c r="M1831" s="0" t="n">
        <v>2032</v>
      </c>
      <c r="N1831" s="0" t="n">
        <v>2.82</v>
      </c>
      <c r="O1831" s="0" t="n">
        <v>58.62</v>
      </c>
      <c r="Q1831" s="0" t="n">
        <v>2034</v>
      </c>
      <c r="R1831" s="0" t="n">
        <v>57</v>
      </c>
      <c r="W1831" s="0" t="n">
        <v>2032</v>
      </c>
      <c r="X1831" s="0" t="n">
        <v>4278.724</v>
      </c>
    </row>
    <row r="1832" customFormat="false" ht="15" hidden="false" customHeight="false" outlineLevel="0" collapsed="false">
      <c r="A1832" s="0" t="n">
        <v>2031</v>
      </c>
      <c r="B1832" s="0" t="n">
        <v>20.15741822</v>
      </c>
      <c r="C1832" s="0" t="n">
        <v>423.3057825</v>
      </c>
      <c r="E1832" s="0" t="n">
        <v>2032</v>
      </c>
      <c r="F1832" s="0" t="n">
        <v>4.124425</v>
      </c>
      <c r="G1832" s="0" t="n">
        <v>86.560827</v>
      </c>
      <c r="I1832" s="0" t="n">
        <v>2028</v>
      </c>
      <c r="J1832" s="0" t="n">
        <v>25.5</v>
      </c>
      <c r="K1832" s="0" t="n">
        <v>535.35</v>
      </c>
      <c r="M1832" s="0" t="n">
        <v>2032</v>
      </c>
      <c r="N1832" s="0" t="n">
        <v>2.35</v>
      </c>
      <c r="O1832" s="0" t="n">
        <v>48.85</v>
      </c>
      <c r="Q1832" s="0" t="n">
        <v>2034</v>
      </c>
      <c r="R1832" s="0" t="n">
        <v>54</v>
      </c>
      <c r="W1832" s="0" t="n">
        <v>2032</v>
      </c>
      <c r="X1832" s="0" t="n">
        <v>1688.97</v>
      </c>
    </row>
    <row r="1833" customFormat="false" ht="15" hidden="false" customHeight="false" outlineLevel="0" collapsed="false">
      <c r="A1833" s="0" t="n">
        <v>2031</v>
      </c>
      <c r="B1833" s="0" t="n">
        <v>8.95885254</v>
      </c>
      <c r="C1833" s="0" t="n">
        <v>188.1359033</v>
      </c>
      <c r="E1833" s="0" t="n">
        <v>2032</v>
      </c>
      <c r="F1833" s="0" t="n">
        <v>22.55205</v>
      </c>
      <c r="G1833" s="0" t="n">
        <v>473.308182</v>
      </c>
      <c r="I1833" s="0" t="n">
        <v>2028</v>
      </c>
      <c r="J1833" s="0" t="n">
        <v>25.5</v>
      </c>
      <c r="K1833" s="0" t="n">
        <v>535.35</v>
      </c>
      <c r="M1833" s="0" t="n">
        <v>2032</v>
      </c>
      <c r="N1833" s="0" t="n">
        <v>1.88</v>
      </c>
      <c r="O1833" s="0" t="n">
        <v>39.08</v>
      </c>
      <c r="Q1833" s="0" t="n">
        <v>2034</v>
      </c>
      <c r="R1833" s="0" t="n">
        <v>26</v>
      </c>
      <c r="W1833" s="0" t="n">
        <v>2032</v>
      </c>
      <c r="X1833" s="0" t="n">
        <v>2477.156</v>
      </c>
    </row>
    <row r="1834" customFormat="false" ht="15" hidden="false" customHeight="false" outlineLevel="0" collapsed="false">
      <c r="A1834" s="0" t="n">
        <v>2031</v>
      </c>
      <c r="B1834" s="0" t="n">
        <v>33.09023219</v>
      </c>
      <c r="C1834" s="0" t="n">
        <v>694.894876</v>
      </c>
      <c r="E1834" s="0" t="n">
        <v>2032</v>
      </c>
      <c r="F1834" s="0" t="n">
        <v>20.62165</v>
      </c>
      <c r="G1834" s="0" t="n">
        <v>432.794166</v>
      </c>
      <c r="I1834" s="0" t="n">
        <v>2028</v>
      </c>
      <c r="J1834" s="0" t="n">
        <v>190.32</v>
      </c>
      <c r="K1834" s="0" t="n">
        <v>3994.64</v>
      </c>
      <c r="M1834" s="0" t="n">
        <v>2032</v>
      </c>
      <c r="N1834" s="0" t="n">
        <v>0.94</v>
      </c>
      <c r="O1834" s="0" t="n">
        <v>19.54</v>
      </c>
      <c r="Q1834" s="0" t="n">
        <v>2034</v>
      </c>
      <c r="R1834" s="0" t="n">
        <v>6</v>
      </c>
      <c r="W1834" s="0" t="n">
        <v>2032</v>
      </c>
      <c r="X1834" s="0" t="n">
        <v>1914.166</v>
      </c>
    </row>
    <row r="1835" customFormat="false" ht="15" hidden="false" customHeight="false" outlineLevel="0" collapsed="false">
      <c r="A1835" s="0" t="n">
        <v>2031</v>
      </c>
      <c r="B1835" s="0" t="n">
        <v>10.35839818</v>
      </c>
      <c r="C1835" s="0" t="n">
        <v>217.5263618</v>
      </c>
      <c r="E1835" s="0" t="n">
        <v>2032</v>
      </c>
      <c r="F1835" s="0" t="n">
        <v>160.866037</v>
      </c>
      <c r="G1835" s="0" t="n">
        <v>3374.075185</v>
      </c>
      <c r="I1835" s="0" t="n">
        <v>2028</v>
      </c>
      <c r="J1835" s="0" t="n">
        <v>29.28</v>
      </c>
      <c r="K1835" s="0" t="n">
        <v>614.56</v>
      </c>
      <c r="M1835" s="0" t="n">
        <v>2032</v>
      </c>
      <c r="N1835" s="0" t="n">
        <v>67.26</v>
      </c>
      <c r="O1835" s="0" t="n">
        <v>1410.18</v>
      </c>
      <c r="Q1835" s="0" t="n">
        <v>2034</v>
      </c>
      <c r="R1835" s="0" t="n">
        <v>5</v>
      </c>
      <c r="W1835" s="0" t="n">
        <v>2032</v>
      </c>
      <c r="X1835" s="0" t="n">
        <v>120083.46</v>
      </c>
    </row>
    <row r="1836" customFormat="false" ht="15" hidden="false" customHeight="false" outlineLevel="0" collapsed="false">
      <c r="A1836" s="0" t="n">
        <v>2031</v>
      </c>
      <c r="B1836" s="0" t="n">
        <v>23.16074532</v>
      </c>
      <c r="C1836" s="0" t="n">
        <v>486.3756518</v>
      </c>
      <c r="E1836" s="0" t="n">
        <v>2032</v>
      </c>
      <c r="F1836" s="0" t="n">
        <v>43.194313</v>
      </c>
      <c r="G1836" s="0" t="n">
        <v>905.976565</v>
      </c>
      <c r="I1836" s="0" t="n">
        <v>2028</v>
      </c>
      <c r="J1836" s="0" t="n">
        <v>21.96</v>
      </c>
      <c r="K1836" s="0" t="n">
        <v>460.92</v>
      </c>
      <c r="M1836" s="0" t="n">
        <v>2032</v>
      </c>
      <c r="N1836" s="0" t="n">
        <v>44.25</v>
      </c>
      <c r="O1836" s="0" t="n">
        <v>927.75</v>
      </c>
      <c r="Q1836" s="0" t="n">
        <v>2034</v>
      </c>
      <c r="R1836" s="0" t="n">
        <v>5</v>
      </c>
      <c r="W1836" s="0" t="n">
        <v>2032</v>
      </c>
      <c r="X1836" s="0" t="n">
        <v>30020.865</v>
      </c>
    </row>
    <row r="1837" customFormat="false" ht="15" hidden="false" customHeight="false" outlineLevel="0" collapsed="false">
      <c r="A1837" s="0" t="n">
        <v>2031</v>
      </c>
      <c r="B1837" s="0" t="n">
        <v>193.9856785</v>
      </c>
      <c r="C1837" s="0" t="n">
        <v>4073.699249</v>
      </c>
      <c r="E1837" s="0" t="n">
        <v>2032</v>
      </c>
      <c r="F1837" s="0" t="n">
        <v>17.289181</v>
      </c>
      <c r="G1837" s="0" t="n">
        <v>362.630905</v>
      </c>
      <c r="I1837" s="0" t="n">
        <v>2028</v>
      </c>
      <c r="J1837" s="0" t="n">
        <v>36.6</v>
      </c>
      <c r="K1837" s="0" t="n">
        <v>768.2</v>
      </c>
      <c r="M1837" s="0" t="n">
        <v>2032</v>
      </c>
      <c r="N1837" s="0" t="n">
        <v>17.7</v>
      </c>
      <c r="O1837" s="0" t="n">
        <v>371.1</v>
      </c>
      <c r="Q1837" s="0" t="n">
        <v>2034</v>
      </c>
      <c r="R1837" s="0" t="n">
        <v>151</v>
      </c>
      <c r="W1837" s="0" t="n">
        <v>2032</v>
      </c>
      <c r="X1837" s="0" t="n">
        <v>9296.784</v>
      </c>
    </row>
    <row r="1838" customFormat="false" ht="15" hidden="false" customHeight="false" outlineLevel="0" collapsed="false">
      <c r="A1838" s="0" t="n">
        <v>2031</v>
      </c>
      <c r="B1838" s="0" t="n">
        <v>48.92892435</v>
      </c>
      <c r="C1838" s="0" t="n">
        <v>1027.507411</v>
      </c>
      <c r="E1838" s="0" t="n">
        <v>2032</v>
      </c>
      <c r="F1838" s="0" t="n">
        <v>2.428567</v>
      </c>
      <c r="G1838" s="0" t="n">
        <v>50.937835</v>
      </c>
      <c r="I1838" s="0" t="n">
        <v>2028</v>
      </c>
      <c r="J1838" s="0" t="n">
        <v>7.32</v>
      </c>
      <c r="K1838" s="0" t="n">
        <v>153.64</v>
      </c>
      <c r="M1838" s="0" t="n">
        <v>2032</v>
      </c>
      <c r="N1838" s="0" t="n">
        <v>17.7</v>
      </c>
      <c r="O1838" s="0" t="n">
        <v>371.1</v>
      </c>
      <c r="Q1838" s="0" t="n">
        <v>2034</v>
      </c>
      <c r="R1838" s="0" t="n">
        <v>144</v>
      </c>
      <c r="W1838" s="0" t="n">
        <v>2032</v>
      </c>
      <c r="X1838" s="0" t="n">
        <v>16463.055</v>
      </c>
    </row>
    <row r="1839" customFormat="false" ht="15" hidden="false" customHeight="false" outlineLevel="0" collapsed="false">
      <c r="A1839" s="0" t="n">
        <v>2031</v>
      </c>
      <c r="B1839" s="0" t="n">
        <v>43.63264041</v>
      </c>
      <c r="C1839" s="0" t="n">
        <v>916.2854486</v>
      </c>
      <c r="E1839" s="0" t="n">
        <v>2032</v>
      </c>
      <c r="F1839" s="0" t="n">
        <v>58.054927</v>
      </c>
      <c r="G1839" s="0" t="n">
        <v>1217.669635</v>
      </c>
      <c r="I1839" s="0" t="n">
        <v>2028</v>
      </c>
      <c r="J1839" s="0" t="n">
        <v>7.32</v>
      </c>
      <c r="K1839" s="0" t="n">
        <v>153.64</v>
      </c>
      <c r="M1839" s="0" t="n">
        <v>2032</v>
      </c>
      <c r="N1839" s="0" t="n">
        <v>10.62</v>
      </c>
      <c r="O1839" s="0" t="n">
        <v>222.66</v>
      </c>
      <c r="Q1839" s="0" t="n">
        <v>2034</v>
      </c>
      <c r="R1839" s="0" t="n">
        <v>68</v>
      </c>
      <c r="W1839" s="0" t="n">
        <v>2032</v>
      </c>
      <c r="X1839" s="0" t="n">
        <v>7359.954</v>
      </c>
    </row>
    <row r="1840" customFormat="false" ht="15" hidden="false" customHeight="false" outlineLevel="0" collapsed="false">
      <c r="A1840" s="0" t="n">
        <v>2031</v>
      </c>
      <c r="B1840" s="0" t="n">
        <v>30.34391554</v>
      </c>
      <c r="C1840" s="0" t="n">
        <v>637.2222264</v>
      </c>
      <c r="E1840" s="0" t="n">
        <v>2032</v>
      </c>
      <c r="F1840" s="0" t="n">
        <v>2.717779</v>
      </c>
      <c r="G1840" s="0" t="n">
        <v>57.003895</v>
      </c>
      <c r="I1840" s="0" t="n">
        <v>2028</v>
      </c>
      <c r="J1840" s="0" t="n">
        <v>0</v>
      </c>
      <c r="K1840" s="0" t="n">
        <v>0</v>
      </c>
      <c r="M1840" s="0" t="n">
        <v>2032</v>
      </c>
      <c r="N1840" s="0" t="n">
        <v>8.85</v>
      </c>
      <c r="O1840" s="0" t="n">
        <v>185.55</v>
      </c>
      <c r="Q1840" s="0" t="n">
        <v>2034</v>
      </c>
      <c r="R1840" s="0" t="n">
        <v>15</v>
      </c>
      <c r="W1840" s="0" t="n">
        <v>2032</v>
      </c>
      <c r="X1840" s="0" t="n">
        <v>2905.245</v>
      </c>
    </row>
    <row r="1841" customFormat="false" ht="15" hidden="false" customHeight="false" outlineLevel="0" collapsed="false">
      <c r="A1841" s="0" t="n">
        <v>2031</v>
      </c>
      <c r="B1841" s="0" t="n">
        <v>22.57081884</v>
      </c>
      <c r="C1841" s="0" t="n">
        <v>473.9871955</v>
      </c>
      <c r="E1841" s="0" t="n">
        <v>2032</v>
      </c>
      <c r="F1841" s="0" t="n">
        <v>14.860614</v>
      </c>
      <c r="G1841" s="0" t="n">
        <v>311.69307</v>
      </c>
      <c r="I1841" s="0" t="n">
        <v>2028</v>
      </c>
      <c r="J1841" s="0" t="n">
        <v>14.64</v>
      </c>
      <c r="K1841" s="0" t="n">
        <v>307.28</v>
      </c>
      <c r="M1841" s="0" t="n">
        <v>2032</v>
      </c>
      <c r="N1841" s="0" t="n">
        <v>7.08</v>
      </c>
      <c r="O1841" s="0" t="n">
        <v>148.44</v>
      </c>
      <c r="Q1841" s="0" t="n">
        <v>2034</v>
      </c>
      <c r="R1841" s="0" t="n">
        <v>15</v>
      </c>
      <c r="W1841" s="0" t="n">
        <v>2032</v>
      </c>
      <c r="X1841" s="0" t="n">
        <v>4261.026</v>
      </c>
    </row>
    <row r="1842" customFormat="false" ht="15" hidden="false" customHeight="false" outlineLevel="0" collapsed="false">
      <c r="A1842" s="0" t="n">
        <v>2031</v>
      </c>
      <c r="B1842" s="0" t="n">
        <v>10.03147504</v>
      </c>
      <c r="C1842" s="0" t="n">
        <v>210.6609758</v>
      </c>
      <c r="E1842" s="0" t="n">
        <v>2032</v>
      </c>
      <c r="F1842" s="0" t="n">
        <v>13.588582</v>
      </c>
      <c r="G1842" s="0" t="n">
        <v>285.01291</v>
      </c>
      <c r="I1842" s="0" t="n">
        <v>2028</v>
      </c>
      <c r="J1842" s="0" t="n">
        <v>25.62</v>
      </c>
      <c r="K1842" s="0" t="n">
        <v>537.74</v>
      </c>
      <c r="M1842" s="0" t="n">
        <v>2032</v>
      </c>
      <c r="N1842" s="0" t="n">
        <v>3.54</v>
      </c>
      <c r="O1842" s="0" t="n">
        <v>74.22</v>
      </c>
      <c r="Q1842" s="0" t="n">
        <v>2034</v>
      </c>
      <c r="R1842" s="0" t="n">
        <v>15</v>
      </c>
      <c r="W1842" s="0" t="n">
        <v>2032</v>
      </c>
      <c r="X1842" s="0" t="n">
        <v>3292.611</v>
      </c>
    </row>
    <row r="1843" customFormat="false" ht="15" hidden="false" customHeight="false" outlineLevel="0" collapsed="false">
      <c r="A1843" s="0" t="n">
        <v>2031</v>
      </c>
      <c r="B1843" s="0" t="n">
        <v>37.05204843</v>
      </c>
      <c r="C1843" s="0" t="n">
        <v>778.0930171</v>
      </c>
      <c r="E1843" s="0" t="n">
        <v>2032</v>
      </c>
      <c r="F1843" s="0" t="n">
        <v>225.623611</v>
      </c>
      <c r="G1843" s="0" t="n">
        <v>4734.498188</v>
      </c>
      <c r="I1843" s="0" t="n">
        <v>2028</v>
      </c>
      <c r="J1843" s="0" t="n">
        <v>7.32</v>
      </c>
      <c r="K1843" s="0" t="n">
        <v>153.64</v>
      </c>
      <c r="M1843" s="0" t="n">
        <v>2032</v>
      </c>
      <c r="N1843" s="0" t="n">
        <v>7.6</v>
      </c>
      <c r="O1843" s="0" t="n">
        <v>155.04</v>
      </c>
      <c r="Q1843" s="0" t="n">
        <v>2034</v>
      </c>
      <c r="R1843" s="0" t="n">
        <v>288</v>
      </c>
      <c r="W1843" s="0" t="n">
        <v>2032</v>
      </c>
      <c r="X1843" s="0" t="n">
        <v>53591.56</v>
      </c>
    </row>
    <row r="1844" customFormat="false" ht="15" hidden="false" customHeight="false" outlineLevel="0" collapsed="false">
      <c r="A1844" s="0" t="n">
        <v>2031</v>
      </c>
      <c r="B1844" s="0" t="n">
        <v>11.59858501</v>
      </c>
      <c r="C1844" s="0" t="n">
        <v>243.5702852</v>
      </c>
      <c r="E1844" s="0" t="n">
        <v>2032</v>
      </c>
      <c r="F1844" s="0" t="n">
        <v>60.582439</v>
      </c>
      <c r="G1844" s="0" t="n">
        <v>1271.265212</v>
      </c>
      <c r="I1844" s="0" t="n">
        <v>2028</v>
      </c>
      <c r="J1844" s="0" t="n">
        <v>25.62</v>
      </c>
      <c r="K1844" s="0" t="n">
        <v>537.74</v>
      </c>
      <c r="M1844" s="0" t="n">
        <v>2032</v>
      </c>
      <c r="N1844" s="0" t="n">
        <v>5</v>
      </c>
      <c r="O1844" s="0" t="n">
        <v>102</v>
      </c>
      <c r="Q1844" s="0" t="n">
        <v>2034</v>
      </c>
      <c r="R1844" s="0" t="n">
        <v>273</v>
      </c>
      <c r="W1844" s="0" t="n">
        <v>2032</v>
      </c>
      <c r="X1844" s="0" t="n">
        <v>13397.89</v>
      </c>
    </row>
    <row r="1845" customFormat="false" ht="15" hidden="false" customHeight="false" outlineLevel="0" collapsed="false">
      <c r="A1845" s="0" t="n">
        <v>2031</v>
      </c>
      <c r="B1845" s="0" t="n">
        <v>25.93372728</v>
      </c>
      <c r="C1845" s="0" t="n">
        <v>544.608273</v>
      </c>
      <c r="E1845" s="0" t="n">
        <v>2032</v>
      </c>
      <c r="F1845" s="0" t="n">
        <v>24.249043</v>
      </c>
      <c r="G1845" s="0" t="n">
        <v>508.843244</v>
      </c>
      <c r="I1845" s="0" t="n">
        <v>2028</v>
      </c>
      <c r="J1845" s="0" t="n">
        <v>322.56</v>
      </c>
      <c r="K1845" s="0" t="n">
        <v>6776.64</v>
      </c>
      <c r="M1845" s="0" t="n">
        <v>2032</v>
      </c>
      <c r="N1845" s="0" t="n">
        <v>2</v>
      </c>
      <c r="O1845" s="0" t="n">
        <v>40.8</v>
      </c>
      <c r="Q1845" s="0" t="n">
        <v>2034</v>
      </c>
      <c r="R1845" s="0" t="n">
        <v>129</v>
      </c>
      <c r="W1845" s="0" t="n">
        <v>2032</v>
      </c>
      <c r="X1845" s="0" t="n">
        <v>4149.024</v>
      </c>
    </row>
    <row r="1846" customFormat="false" ht="15" hidden="false" customHeight="false" outlineLevel="0" collapsed="false">
      <c r="A1846" s="0" t="n">
        <v>2031</v>
      </c>
      <c r="B1846" s="0" t="n">
        <v>117.6917412</v>
      </c>
      <c r="C1846" s="0" t="n">
        <v>2471.526565</v>
      </c>
      <c r="E1846" s="0" t="n">
        <v>2032</v>
      </c>
      <c r="F1846" s="0" t="n">
        <v>3.406201</v>
      </c>
      <c r="G1846" s="0" t="n">
        <v>71.475908</v>
      </c>
      <c r="I1846" s="0" t="n">
        <v>2028</v>
      </c>
      <c r="J1846" s="0" t="n">
        <v>107.52</v>
      </c>
      <c r="K1846" s="0" t="n">
        <v>2258.88</v>
      </c>
      <c r="M1846" s="0" t="n">
        <v>2032</v>
      </c>
      <c r="N1846" s="0" t="n">
        <v>2</v>
      </c>
      <c r="O1846" s="0" t="n">
        <v>40.8</v>
      </c>
      <c r="Q1846" s="0" t="n">
        <v>2034</v>
      </c>
      <c r="R1846" s="0" t="n">
        <v>29</v>
      </c>
      <c r="W1846" s="0" t="n">
        <v>2032</v>
      </c>
      <c r="X1846" s="0" t="n">
        <v>7347.23</v>
      </c>
    </row>
    <row r="1847" customFormat="false" ht="15" hidden="false" customHeight="false" outlineLevel="0" collapsed="false">
      <c r="A1847" s="0" t="n">
        <v>2031</v>
      </c>
      <c r="B1847" s="0" t="n">
        <v>29.68533732</v>
      </c>
      <c r="C1847" s="0" t="n">
        <v>623.3920837</v>
      </c>
      <c r="E1847" s="0" t="n">
        <v>2032</v>
      </c>
      <c r="F1847" s="0" t="n">
        <v>81.425281</v>
      </c>
      <c r="G1847" s="0" t="n">
        <v>1708.632548</v>
      </c>
      <c r="I1847" s="0" t="n">
        <v>2028</v>
      </c>
      <c r="J1847" s="0" t="n">
        <v>47.04</v>
      </c>
      <c r="K1847" s="0" t="n">
        <v>988.26</v>
      </c>
      <c r="M1847" s="0" t="n">
        <v>2032</v>
      </c>
      <c r="N1847" s="0" t="n">
        <v>1.2</v>
      </c>
      <c r="O1847" s="0" t="n">
        <v>24.48</v>
      </c>
      <c r="Q1847" s="0" t="n">
        <v>2034</v>
      </c>
      <c r="R1847" s="0" t="n">
        <v>27</v>
      </c>
      <c r="W1847" s="0" t="n">
        <v>2032</v>
      </c>
      <c r="X1847" s="0" t="n">
        <v>3284.644</v>
      </c>
    </row>
    <row r="1848" customFormat="false" ht="15" hidden="false" customHeight="false" outlineLevel="0" collapsed="false">
      <c r="A1848" s="0" t="n">
        <v>2031</v>
      </c>
      <c r="B1848" s="0" t="n">
        <v>26.47206465</v>
      </c>
      <c r="C1848" s="0" t="n">
        <v>555.9133576</v>
      </c>
      <c r="E1848" s="0" t="n">
        <v>2032</v>
      </c>
      <c r="F1848" s="0" t="n">
        <v>3.811837</v>
      </c>
      <c r="G1848" s="0" t="n">
        <v>79.987796</v>
      </c>
      <c r="I1848" s="0" t="n">
        <v>2028</v>
      </c>
      <c r="J1848" s="0" t="n">
        <v>26.88</v>
      </c>
      <c r="K1848" s="0" t="n">
        <v>564.72</v>
      </c>
      <c r="M1848" s="0" t="n">
        <v>2032</v>
      </c>
      <c r="N1848" s="0" t="n">
        <v>1</v>
      </c>
      <c r="O1848" s="0" t="n">
        <v>20.4</v>
      </c>
      <c r="Q1848" s="0" t="n">
        <v>2034</v>
      </c>
      <c r="R1848" s="0" t="n">
        <v>27</v>
      </c>
      <c r="W1848" s="0" t="n">
        <v>2032</v>
      </c>
      <c r="X1848" s="0" t="n">
        <v>1296.57</v>
      </c>
    </row>
    <row r="1849" customFormat="false" ht="15" hidden="false" customHeight="false" outlineLevel="0" collapsed="false">
      <c r="A1849" s="0" t="n">
        <v>2031</v>
      </c>
      <c r="B1849" s="0" t="n">
        <v>18.40975211</v>
      </c>
      <c r="C1849" s="0" t="n">
        <v>386.6047943</v>
      </c>
      <c r="E1849" s="0" t="n">
        <v>2032</v>
      </c>
      <c r="F1849" s="0" t="n">
        <v>20.842842</v>
      </c>
      <c r="G1849" s="0" t="n">
        <v>437.367336</v>
      </c>
      <c r="I1849" s="0" t="n">
        <v>2028</v>
      </c>
      <c r="J1849" s="0" t="n">
        <v>26.88</v>
      </c>
      <c r="K1849" s="0" t="n">
        <v>564.72</v>
      </c>
      <c r="M1849" s="0" t="n">
        <v>2032</v>
      </c>
      <c r="N1849" s="0" t="n">
        <v>0.8</v>
      </c>
      <c r="O1849" s="0" t="n">
        <v>16.32</v>
      </c>
      <c r="Q1849" s="0" t="n">
        <v>2034</v>
      </c>
      <c r="R1849" s="0" t="n">
        <v>1385</v>
      </c>
      <c r="W1849" s="0" t="n">
        <v>2032</v>
      </c>
      <c r="X1849" s="0" t="n">
        <v>1901.636</v>
      </c>
    </row>
    <row r="1850" customFormat="false" ht="15" hidden="false" customHeight="false" outlineLevel="0" collapsed="false">
      <c r="A1850" s="0" t="n">
        <v>2031</v>
      </c>
      <c r="B1850" s="0" t="n">
        <v>13.69378909</v>
      </c>
      <c r="C1850" s="0" t="n">
        <v>287.569571</v>
      </c>
      <c r="E1850" s="0" t="n">
        <v>2032</v>
      </c>
      <c r="F1850" s="0" t="n">
        <v>19.058746</v>
      </c>
      <c r="G1850" s="0" t="n">
        <v>399.929768</v>
      </c>
      <c r="I1850" s="0" t="n">
        <v>2028</v>
      </c>
      <c r="J1850" s="0" t="n">
        <v>13.44</v>
      </c>
      <c r="K1850" s="0" t="n">
        <v>282.36</v>
      </c>
      <c r="M1850" s="0" t="n">
        <v>2032</v>
      </c>
      <c r="N1850" s="0" t="n">
        <v>0.4</v>
      </c>
      <c r="O1850" s="0" t="n">
        <v>8.16</v>
      </c>
      <c r="Q1850" s="0" t="n">
        <v>2034</v>
      </c>
      <c r="R1850" s="0" t="n">
        <v>1316</v>
      </c>
      <c r="W1850" s="0" t="n">
        <v>2032</v>
      </c>
      <c r="X1850" s="0" t="n">
        <v>1469.446</v>
      </c>
    </row>
    <row r="1851" customFormat="false" ht="15" hidden="false" customHeight="false" outlineLevel="0" collapsed="false">
      <c r="A1851" s="0" t="n">
        <v>2031</v>
      </c>
      <c r="B1851" s="0" t="n">
        <v>6.086128486</v>
      </c>
      <c r="C1851" s="0" t="n">
        <v>127.8086982</v>
      </c>
      <c r="E1851" s="0" t="n">
        <v>2032</v>
      </c>
      <c r="F1851" s="0" t="n">
        <v>178.854252</v>
      </c>
      <c r="G1851" s="0" t="n">
        <v>3750.799802</v>
      </c>
      <c r="I1851" s="0" t="n">
        <v>2028</v>
      </c>
      <c r="J1851" s="0" t="n">
        <v>13.44</v>
      </c>
      <c r="K1851" s="0" t="n">
        <v>282.36</v>
      </c>
      <c r="M1851" s="0" t="n">
        <v>2032</v>
      </c>
      <c r="N1851" s="0" t="n">
        <v>20.9</v>
      </c>
      <c r="O1851" s="0" t="n">
        <v>432.44</v>
      </c>
      <c r="Q1851" s="0" t="n">
        <v>2034</v>
      </c>
      <c r="R1851" s="0" t="n">
        <v>623</v>
      </c>
      <c r="W1851" s="0" t="n">
        <v>2032</v>
      </c>
      <c r="X1851" s="0" t="n">
        <v>186493.52</v>
      </c>
    </row>
    <row r="1852" customFormat="false" ht="15" hidden="false" customHeight="false" outlineLevel="0" collapsed="false">
      <c r="A1852" s="0" t="n">
        <v>2031</v>
      </c>
      <c r="B1852" s="0" t="n">
        <v>22.47959812</v>
      </c>
      <c r="C1852" s="0" t="n">
        <v>472.0715606</v>
      </c>
      <c r="E1852" s="0" t="n">
        <v>2032</v>
      </c>
      <c r="F1852" s="0" t="n">
        <v>48.024348</v>
      </c>
      <c r="G1852" s="0" t="n">
        <v>1007.131298</v>
      </c>
      <c r="I1852" s="0" t="n">
        <v>2028</v>
      </c>
      <c r="J1852" s="0" t="n">
        <v>26.88</v>
      </c>
      <c r="K1852" s="0" t="n">
        <v>564.72</v>
      </c>
      <c r="M1852" s="0" t="n">
        <v>2032</v>
      </c>
      <c r="N1852" s="0" t="n">
        <v>13.75</v>
      </c>
      <c r="O1852" s="0" t="n">
        <v>284.5</v>
      </c>
      <c r="Q1852" s="0" t="n">
        <v>2034</v>
      </c>
      <c r="R1852" s="0" t="n">
        <v>138</v>
      </c>
      <c r="W1852" s="0" t="n">
        <v>2032</v>
      </c>
      <c r="X1852" s="0" t="n">
        <v>46623.38</v>
      </c>
    </row>
    <row r="1853" customFormat="false" ht="15" hidden="false" customHeight="false" outlineLevel="0" collapsed="false">
      <c r="A1853" s="0" t="n">
        <v>2031</v>
      </c>
      <c r="B1853" s="0" t="n">
        <v>7.036899196</v>
      </c>
      <c r="C1853" s="0" t="n">
        <v>147.7748831</v>
      </c>
      <c r="E1853" s="0" t="n">
        <v>2032</v>
      </c>
      <c r="F1853" s="0" t="n">
        <v>19.222476</v>
      </c>
      <c r="G1853" s="0" t="n">
        <v>403.119626</v>
      </c>
      <c r="I1853" s="0" t="n">
        <v>2028</v>
      </c>
      <c r="J1853" s="0" t="n">
        <v>47.04</v>
      </c>
      <c r="K1853" s="0" t="n">
        <v>988.26</v>
      </c>
      <c r="M1853" s="0" t="n">
        <v>2032</v>
      </c>
      <c r="N1853" s="0" t="n">
        <v>5.5</v>
      </c>
      <c r="O1853" s="0" t="n">
        <v>113.8</v>
      </c>
      <c r="Q1853" s="0" t="n">
        <v>2034</v>
      </c>
      <c r="R1853" s="0" t="n">
        <v>134</v>
      </c>
      <c r="W1853" s="0" t="n">
        <v>2032</v>
      </c>
      <c r="X1853" s="0" t="n">
        <v>14438.208</v>
      </c>
    </row>
    <row r="1854" customFormat="false" ht="15" hidden="false" customHeight="false" outlineLevel="0" collapsed="false">
      <c r="A1854" s="0" t="n">
        <v>2031</v>
      </c>
      <c r="B1854" s="0" t="n">
        <v>15.73407657</v>
      </c>
      <c r="C1854" s="0" t="n">
        <v>330.415608</v>
      </c>
      <c r="E1854" s="0" t="n">
        <v>2032</v>
      </c>
      <c r="F1854" s="0" t="n">
        <v>2.700132</v>
      </c>
      <c r="G1854" s="0" t="n">
        <v>56.625182</v>
      </c>
      <c r="I1854" s="0" t="n">
        <v>2028</v>
      </c>
      <c r="J1854" s="0" t="n">
        <v>20.16</v>
      </c>
      <c r="K1854" s="0" t="n">
        <v>423.54</v>
      </c>
      <c r="M1854" s="0" t="n">
        <v>2032</v>
      </c>
      <c r="N1854" s="0" t="n">
        <v>5.5</v>
      </c>
      <c r="O1854" s="0" t="n">
        <v>113.8</v>
      </c>
      <c r="Q1854" s="0" t="n">
        <v>2034</v>
      </c>
      <c r="R1854" s="0" t="n">
        <v>134</v>
      </c>
      <c r="W1854" s="0" t="n">
        <v>2032</v>
      </c>
      <c r="X1854" s="0" t="n">
        <v>25567.66</v>
      </c>
    </row>
    <row r="1855" customFormat="false" ht="15" hidden="false" customHeight="false" outlineLevel="0" collapsed="false">
      <c r="A1855" s="0" t="n">
        <v>2031</v>
      </c>
      <c r="B1855" s="0" t="n">
        <v>586.9627463</v>
      </c>
      <c r="C1855" s="0" t="n">
        <v>12326.21767</v>
      </c>
      <c r="E1855" s="0" t="n">
        <v>2032</v>
      </c>
      <c r="F1855" s="0" t="n">
        <v>64.546692</v>
      </c>
      <c r="G1855" s="0" t="n">
        <v>1353.625742</v>
      </c>
      <c r="I1855" s="0" t="n">
        <v>2028</v>
      </c>
      <c r="J1855" s="0" t="n">
        <v>20.16</v>
      </c>
      <c r="K1855" s="0" t="n">
        <v>423.54</v>
      </c>
      <c r="M1855" s="0" t="n">
        <v>2032</v>
      </c>
      <c r="N1855" s="0" t="n">
        <v>3.3</v>
      </c>
      <c r="O1855" s="0" t="n">
        <v>68.28</v>
      </c>
      <c r="Q1855" s="0" t="n">
        <v>2034</v>
      </c>
      <c r="R1855" s="0" t="n">
        <v>294</v>
      </c>
      <c r="W1855" s="0" t="n">
        <v>2032</v>
      </c>
      <c r="X1855" s="0" t="n">
        <v>11430.248</v>
      </c>
    </row>
    <row r="1856" customFormat="false" ht="15" hidden="false" customHeight="false" outlineLevel="0" collapsed="false">
      <c r="A1856" s="0" t="n">
        <v>2031</v>
      </c>
      <c r="B1856" s="0" t="n">
        <v>148.0493613</v>
      </c>
      <c r="C1856" s="0" t="n">
        <v>3109.036588</v>
      </c>
      <c r="E1856" s="0" t="n">
        <v>2032</v>
      </c>
      <c r="F1856" s="0" t="n">
        <v>3.021684</v>
      </c>
      <c r="G1856" s="0" t="n">
        <v>63.368534</v>
      </c>
      <c r="I1856" s="0" t="n">
        <v>2028</v>
      </c>
      <c r="J1856" s="0" t="n">
        <v>528.32</v>
      </c>
      <c r="K1856" s="0" t="n">
        <v>11090.04</v>
      </c>
      <c r="M1856" s="0" t="n">
        <v>2032</v>
      </c>
      <c r="N1856" s="0" t="n">
        <v>2.75</v>
      </c>
      <c r="O1856" s="0" t="n">
        <v>56.9</v>
      </c>
      <c r="Q1856" s="0" t="n">
        <v>2034</v>
      </c>
      <c r="R1856" s="0" t="n">
        <v>279</v>
      </c>
      <c r="W1856" s="0" t="n">
        <v>2032</v>
      </c>
      <c r="X1856" s="0" t="n">
        <v>4511.94</v>
      </c>
    </row>
    <row r="1857" customFormat="false" ht="15" hidden="false" customHeight="false" outlineLevel="0" collapsed="false">
      <c r="A1857" s="0" t="n">
        <v>2031</v>
      </c>
      <c r="B1857" s="0" t="n">
        <v>132.0238414</v>
      </c>
      <c r="C1857" s="0" t="n">
        <v>2772.500669</v>
      </c>
      <c r="E1857" s="0" t="n">
        <v>2032</v>
      </c>
      <c r="F1857" s="0" t="n">
        <v>16.522344</v>
      </c>
      <c r="G1857" s="0" t="n">
        <v>346.494444</v>
      </c>
      <c r="I1857" s="0" t="n">
        <v>2028</v>
      </c>
      <c r="J1857" s="0" t="n">
        <v>81.28</v>
      </c>
      <c r="K1857" s="0" t="n">
        <v>1706.16</v>
      </c>
      <c r="M1857" s="0" t="n">
        <v>2032</v>
      </c>
      <c r="N1857" s="0" t="n">
        <v>2.2</v>
      </c>
      <c r="O1857" s="0" t="n">
        <v>45.52</v>
      </c>
      <c r="Q1857" s="0" t="n">
        <v>2034</v>
      </c>
      <c r="R1857" s="0" t="n">
        <v>132</v>
      </c>
      <c r="W1857" s="0" t="n">
        <v>2032</v>
      </c>
      <c r="X1857" s="0" t="n">
        <v>6617.512</v>
      </c>
    </row>
    <row r="1858" customFormat="false" ht="15" hidden="false" customHeight="false" outlineLevel="0" collapsed="false">
      <c r="A1858" s="0" t="n">
        <v>2031</v>
      </c>
      <c r="B1858" s="0" t="n">
        <v>91.81475735</v>
      </c>
      <c r="C1858" s="0" t="n">
        <v>1928.109904</v>
      </c>
      <c r="E1858" s="0" t="n">
        <v>2032</v>
      </c>
      <c r="F1858" s="0" t="n">
        <v>15.108072</v>
      </c>
      <c r="G1858" s="0" t="n">
        <v>316.835372</v>
      </c>
      <c r="I1858" s="0" t="n">
        <v>2028</v>
      </c>
      <c r="J1858" s="0" t="n">
        <v>60.96</v>
      </c>
      <c r="K1858" s="0" t="n">
        <v>1279.62</v>
      </c>
      <c r="M1858" s="0" t="n">
        <v>2032</v>
      </c>
      <c r="N1858" s="0" t="n">
        <v>1.1</v>
      </c>
      <c r="O1858" s="0" t="n">
        <v>22.76</v>
      </c>
      <c r="Q1858" s="0" t="n">
        <v>2034</v>
      </c>
      <c r="R1858" s="0" t="n">
        <v>29</v>
      </c>
      <c r="W1858" s="0" t="n">
        <v>2032</v>
      </c>
      <c r="X1858" s="0" t="n">
        <v>5113.532</v>
      </c>
    </row>
    <row r="1859" customFormat="false" ht="15" hidden="false" customHeight="false" outlineLevel="0" collapsed="false">
      <c r="A1859" s="0" t="n">
        <v>2031</v>
      </c>
      <c r="B1859" s="0" t="n">
        <v>68.29488606</v>
      </c>
      <c r="C1859" s="0" t="n">
        <v>1434.192607</v>
      </c>
      <c r="E1859" s="0" t="n">
        <v>2032</v>
      </c>
      <c r="F1859" s="0" t="n">
        <v>263.141888</v>
      </c>
      <c r="G1859" s="0" t="n">
        <v>5518.270413</v>
      </c>
      <c r="I1859" s="0" t="n">
        <v>2028</v>
      </c>
      <c r="J1859" s="0" t="n">
        <v>101.6</v>
      </c>
      <c r="K1859" s="0" t="n">
        <v>2132.7</v>
      </c>
      <c r="M1859" s="0" t="n">
        <v>2032</v>
      </c>
      <c r="N1859" s="0" t="n">
        <v>12.92</v>
      </c>
      <c r="O1859" s="0" t="n">
        <v>269.42</v>
      </c>
      <c r="Q1859" s="0" t="n">
        <v>2034</v>
      </c>
      <c r="R1859" s="0" t="n">
        <v>28</v>
      </c>
      <c r="W1859" s="0" t="n">
        <v>2032</v>
      </c>
      <c r="X1859" s="0" t="n">
        <v>5358.66</v>
      </c>
    </row>
    <row r="1860" customFormat="false" ht="15" hidden="false" customHeight="false" outlineLevel="0" collapsed="false">
      <c r="A1860" s="0" t="n">
        <v>2031</v>
      </c>
      <c r="B1860" s="0" t="n">
        <v>30.35328269</v>
      </c>
      <c r="C1860" s="0" t="n">
        <v>637.4189365</v>
      </c>
      <c r="E1860" s="0" t="n">
        <v>2032</v>
      </c>
      <c r="F1860" s="0" t="n">
        <v>70.656512</v>
      </c>
      <c r="G1860" s="0" t="n">
        <v>1481.716737</v>
      </c>
      <c r="I1860" s="0" t="n">
        <v>2028</v>
      </c>
      <c r="J1860" s="0" t="n">
        <v>20.32</v>
      </c>
      <c r="K1860" s="0" t="n">
        <v>426.54</v>
      </c>
      <c r="M1860" s="0" t="n">
        <v>2032</v>
      </c>
      <c r="N1860" s="0" t="n">
        <v>8.5</v>
      </c>
      <c r="O1860" s="0" t="n">
        <v>177.25</v>
      </c>
      <c r="Q1860" s="0" t="n">
        <v>2034</v>
      </c>
      <c r="R1860" s="0" t="n">
        <v>28</v>
      </c>
      <c r="W1860" s="0" t="n">
        <v>2032</v>
      </c>
      <c r="X1860" s="0" t="n">
        <v>1339.665</v>
      </c>
    </row>
    <row r="1861" customFormat="false" ht="15" hidden="false" customHeight="false" outlineLevel="0" collapsed="false">
      <c r="A1861" s="0" t="n">
        <v>2031</v>
      </c>
      <c r="B1861" s="0" t="n">
        <v>112.1122563</v>
      </c>
      <c r="C1861" s="0" t="n">
        <v>2354.357382</v>
      </c>
      <c r="E1861" s="0" t="n">
        <v>2032</v>
      </c>
      <c r="F1861" s="0" t="n">
        <v>28.281344</v>
      </c>
      <c r="G1861" s="0" t="n">
        <v>593.079669</v>
      </c>
      <c r="I1861" s="0" t="n">
        <v>2028</v>
      </c>
      <c r="J1861" s="0" t="n">
        <v>20.32</v>
      </c>
      <c r="K1861" s="0" t="n">
        <v>426.54</v>
      </c>
      <c r="M1861" s="0" t="n">
        <v>2032</v>
      </c>
      <c r="N1861" s="0" t="n">
        <v>3.4</v>
      </c>
      <c r="O1861" s="0" t="n">
        <v>70.9</v>
      </c>
      <c r="Q1861" s="0" t="n">
        <v>2034</v>
      </c>
      <c r="R1861" s="0" t="n">
        <v>536</v>
      </c>
      <c r="W1861" s="0" t="n">
        <v>2032</v>
      </c>
      <c r="X1861" s="0" t="n">
        <v>414.864</v>
      </c>
    </row>
    <row r="1862" customFormat="false" ht="15" hidden="false" customHeight="false" outlineLevel="0" collapsed="false">
      <c r="A1862" s="0" t="n">
        <v>2031</v>
      </c>
      <c r="B1862" s="0" t="n">
        <v>35.09505116</v>
      </c>
      <c r="C1862" s="0" t="n">
        <v>736.9960744</v>
      </c>
      <c r="E1862" s="0" t="n">
        <v>2032</v>
      </c>
      <c r="F1862" s="0" t="n">
        <v>3.972608</v>
      </c>
      <c r="G1862" s="0" t="n">
        <v>83.308383</v>
      </c>
      <c r="I1862" s="0" t="n">
        <v>2028</v>
      </c>
      <c r="J1862" s="0" t="n">
        <v>0</v>
      </c>
      <c r="K1862" s="0" t="n">
        <v>0</v>
      </c>
      <c r="M1862" s="0" t="n">
        <v>2032</v>
      </c>
      <c r="N1862" s="0" t="n">
        <v>3.4</v>
      </c>
      <c r="O1862" s="0" t="n">
        <v>70.9</v>
      </c>
      <c r="Q1862" s="0" t="n">
        <v>2034</v>
      </c>
      <c r="R1862" s="0" t="n">
        <v>509</v>
      </c>
      <c r="W1862" s="0" t="n">
        <v>2032</v>
      </c>
      <c r="X1862" s="0" t="n">
        <v>734.655</v>
      </c>
    </row>
    <row r="1863" customFormat="false" ht="15" hidden="false" customHeight="false" outlineLevel="0" collapsed="false">
      <c r="A1863" s="0" t="n">
        <v>2031</v>
      </c>
      <c r="B1863" s="0" t="n">
        <v>78.47038971</v>
      </c>
      <c r="C1863" s="0" t="n">
        <v>1647.878184</v>
      </c>
      <c r="E1863" s="0" t="n">
        <v>2032</v>
      </c>
      <c r="F1863" s="0" t="n">
        <v>94.965248</v>
      </c>
      <c r="G1863" s="0" t="n">
        <v>1991.488023</v>
      </c>
      <c r="I1863" s="0" t="n">
        <v>2028</v>
      </c>
      <c r="J1863" s="0" t="n">
        <v>40.64</v>
      </c>
      <c r="K1863" s="0" t="n">
        <v>853.08</v>
      </c>
      <c r="M1863" s="0" t="n">
        <v>2032</v>
      </c>
      <c r="N1863" s="0" t="n">
        <v>2.04</v>
      </c>
      <c r="O1863" s="0" t="n">
        <v>42.54</v>
      </c>
      <c r="Q1863" s="0" t="n">
        <v>2034</v>
      </c>
      <c r="R1863" s="0" t="n">
        <v>241</v>
      </c>
      <c r="W1863" s="0" t="n">
        <v>2032</v>
      </c>
      <c r="X1863" s="0" t="n">
        <v>328.434</v>
      </c>
    </row>
    <row r="1864" customFormat="false" ht="15" hidden="false" customHeight="false" outlineLevel="0" collapsed="false">
      <c r="A1864" s="0" t="n">
        <v>2031</v>
      </c>
      <c r="B1864" s="0" t="n">
        <v>221.0567928</v>
      </c>
      <c r="C1864" s="0" t="n">
        <v>4642.192648</v>
      </c>
      <c r="E1864" s="0" t="n">
        <v>2032</v>
      </c>
      <c r="F1864" s="0" t="n">
        <v>4.445696</v>
      </c>
      <c r="G1864" s="0" t="n">
        <v>93.229371</v>
      </c>
      <c r="I1864" s="0" t="n">
        <v>2028</v>
      </c>
      <c r="J1864" s="0" t="n">
        <v>71.12</v>
      </c>
      <c r="K1864" s="0" t="n">
        <v>1492.89</v>
      </c>
      <c r="M1864" s="0" t="n">
        <v>2032</v>
      </c>
      <c r="N1864" s="0" t="n">
        <v>1.7</v>
      </c>
      <c r="O1864" s="0" t="n">
        <v>35.45</v>
      </c>
      <c r="Q1864" s="0" t="n">
        <v>2034</v>
      </c>
      <c r="R1864" s="0" t="n">
        <v>54</v>
      </c>
      <c r="W1864" s="0" t="n">
        <v>2032</v>
      </c>
      <c r="X1864" s="0" t="n">
        <v>129.645</v>
      </c>
    </row>
    <row r="1865" customFormat="false" ht="15" hidden="false" customHeight="false" outlineLevel="0" collapsed="false">
      <c r="A1865" s="0" t="n">
        <v>2031</v>
      </c>
      <c r="B1865" s="0" t="n">
        <v>55.75705987</v>
      </c>
      <c r="C1865" s="0" t="n">
        <v>1170.898257</v>
      </c>
      <c r="E1865" s="0" t="n">
        <v>2032</v>
      </c>
      <c r="F1865" s="0" t="n">
        <v>24.308736</v>
      </c>
      <c r="G1865" s="0" t="n">
        <v>509.771286</v>
      </c>
      <c r="I1865" s="0" t="n">
        <v>2028</v>
      </c>
      <c r="J1865" s="0" t="n">
        <v>20.32</v>
      </c>
      <c r="K1865" s="0" t="n">
        <v>426.54</v>
      </c>
      <c r="M1865" s="0" t="n">
        <v>2032</v>
      </c>
      <c r="N1865" s="0" t="n">
        <v>1.36</v>
      </c>
      <c r="O1865" s="0" t="n">
        <v>28.36</v>
      </c>
      <c r="Q1865" s="0" t="n">
        <v>2034</v>
      </c>
      <c r="R1865" s="0" t="n">
        <v>52</v>
      </c>
      <c r="W1865" s="0" t="n">
        <v>2032</v>
      </c>
      <c r="X1865" s="0" t="n">
        <v>190.146</v>
      </c>
    </row>
    <row r="1866" customFormat="false" ht="15" hidden="false" customHeight="false" outlineLevel="0" collapsed="false">
      <c r="A1866" s="0" t="n">
        <v>2031</v>
      </c>
      <c r="B1866" s="0" t="n">
        <v>49.72166824</v>
      </c>
      <c r="C1866" s="0" t="n">
        <v>1044.155033</v>
      </c>
      <c r="E1866" s="0" t="n">
        <v>2032</v>
      </c>
      <c r="F1866" s="0" t="n">
        <v>22.227968</v>
      </c>
      <c r="G1866" s="0" t="n">
        <v>466.136118</v>
      </c>
      <c r="I1866" s="0" t="n">
        <v>2028</v>
      </c>
      <c r="J1866" s="0" t="n">
        <v>71.12</v>
      </c>
      <c r="K1866" s="0" t="n">
        <v>1492.89</v>
      </c>
      <c r="M1866" s="0" t="n">
        <v>2032</v>
      </c>
      <c r="N1866" s="0" t="n">
        <v>0.68</v>
      </c>
      <c r="O1866" s="0" t="n">
        <v>14.18</v>
      </c>
      <c r="Q1866" s="0" t="n">
        <v>2034</v>
      </c>
      <c r="R1866" s="0" t="n">
        <v>52</v>
      </c>
      <c r="W1866" s="0" t="n">
        <v>2032</v>
      </c>
      <c r="X1866" s="0" t="n">
        <v>146.931</v>
      </c>
    </row>
    <row r="1867" customFormat="false" ht="15" hidden="false" customHeight="false" outlineLevel="0" collapsed="false">
      <c r="A1867" s="0" t="n">
        <v>2031</v>
      </c>
      <c r="B1867" s="0" t="n">
        <v>34.57847353</v>
      </c>
      <c r="C1867" s="0" t="n">
        <v>726.1479442</v>
      </c>
      <c r="E1867" s="0" t="n">
        <v>2032</v>
      </c>
      <c r="F1867" s="0" t="n">
        <v>749.851591</v>
      </c>
      <c r="G1867" s="0" t="n">
        <v>15739.17418</v>
      </c>
      <c r="I1867" s="0" t="n">
        <v>2028</v>
      </c>
      <c r="J1867" s="0" t="n">
        <v>440.64</v>
      </c>
      <c r="K1867" s="0" t="n">
        <v>9249.6</v>
      </c>
      <c r="M1867" s="0" t="n">
        <v>2032</v>
      </c>
      <c r="N1867" s="0" t="n">
        <v>2.28</v>
      </c>
      <c r="O1867" s="0" t="n">
        <v>45.98</v>
      </c>
      <c r="Q1867" s="0" t="n">
        <v>2034</v>
      </c>
      <c r="R1867" s="0" t="n">
        <v>87</v>
      </c>
      <c r="W1867" s="0" t="n">
        <v>2032</v>
      </c>
      <c r="X1867" s="0" t="n">
        <v>7759.92</v>
      </c>
    </row>
    <row r="1868" customFormat="false" ht="15" hidden="false" customHeight="false" outlineLevel="0" collapsed="false">
      <c r="A1868" s="0" t="n">
        <v>2031</v>
      </c>
      <c r="B1868" s="0" t="n">
        <v>25.72062464</v>
      </c>
      <c r="C1868" s="0" t="n">
        <v>540.1331174</v>
      </c>
      <c r="E1868" s="0" t="n">
        <v>2032</v>
      </c>
      <c r="F1868" s="0" t="n">
        <v>201.343459</v>
      </c>
      <c r="G1868" s="0" t="n">
        <v>4226.142624</v>
      </c>
      <c r="I1868" s="0" t="n">
        <v>2028</v>
      </c>
      <c r="J1868" s="0" t="n">
        <v>146.88</v>
      </c>
      <c r="K1868" s="0" t="n">
        <v>3083.2</v>
      </c>
      <c r="M1868" s="0" t="n">
        <v>2032</v>
      </c>
      <c r="N1868" s="0" t="n">
        <v>1.5</v>
      </c>
      <c r="O1868" s="0" t="n">
        <v>30.25</v>
      </c>
      <c r="Q1868" s="0" t="n">
        <v>2034</v>
      </c>
      <c r="R1868" s="0" t="n">
        <v>83</v>
      </c>
      <c r="W1868" s="0" t="n">
        <v>2032</v>
      </c>
      <c r="X1868" s="0" t="n">
        <v>1939.98</v>
      </c>
    </row>
    <row r="1869" customFormat="false" ht="15" hidden="false" customHeight="false" outlineLevel="0" collapsed="false">
      <c r="A1869" s="0" t="n">
        <v>2031</v>
      </c>
      <c r="B1869" s="0" t="n">
        <v>11.43138873</v>
      </c>
      <c r="C1869" s="0" t="n">
        <v>240.0591633</v>
      </c>
      <c r="E1869" s="0" t="n">
        <v>2032</v>
      </c>
      <c r="F1869" s="0" t="n">
        <v>80.590783</v>
      </c>
      <c r="G1869" s="0" t="n">
        <v>1691.577888</v>
      </c>
      <c r="I1869" s="0" t="n">
        <v>2028</v>
      </c>
      <c r="J1869" s="0" t="n">
        <v>64.26</v>
      </c>
      <c r="K1869" s="0" t="n">
        <v>1348.9</v>
      </c>
      <c r="M1869" s="0" t="n">
        <v>2032</v>
      </c>
      <c r="N1869" s="0" t="n">
        <v>0.6</v>
      </c>
      <c r="O1869" s="0" t="n">
        <v>12.1</v>
      </c>
      <c r="Q1869" s="0" t="n">
        <v>2034</v>
      </c>
      <c r="R1869" s="0" t="n">
        <v>39</v>
      </c>
      <c r="W1869" s="0" t="n">
        <v>2032</v>
      </c>
      <c r="X1869" s="0" t="n">
        <v>600.768</v>
      </c>
    </row>
    <row r="1870" customFormat="false" ht="15" hidden="false" customHeight="false" outlineLevel="0" collapsed="false">
      <c r="A1870" s="0" t="n">
        <v>2031</v>
      </c>
      <c r="B1870" s="0" t="n">
        <v>42.22274065</v>
      </c>
      <c r="C1870" s="0" t="n">
        <v>886.6775535</v>
      </c>
      <c r="E1870" s="0" t="n">
        <v>2032</v>
      </c>
      <c r="F1870" s="0" t="n">
        <v>11.320381</v>
      </c>
      <c r="G1870" s="0" t="n">
        <v>237.611616</v>
      </c>
      <c r="I1870" s="0" t="n">
        <v>2028</v>
      </c>
      <c r="J1870" s="0" t="n">
        <v>36.72</v>
      </c>
      <c r="K1870" s="0" t="n">
        <v>770.8</v>
      </c>
      <c r="M1870" s="0" t="n">
        <v>2032</v>
      </c>
      <c r="N1870" s="0" t="n">
        <v>0.6</v>
      </c>
      <c r="O1870" s="0" t="n">
        <v>12.1</v>
      </c>
      <c r="Q1870" s="0" t="n">
        <v>2034</v>
      </c>
      <c r="R1870" s="0" t="n">
        <v>9</v>
      </c>
      <c r="W1870" s="0" t="n">
        <v>2032</v>
      </c>
      <c r="X1870" s="0" t="n">
        <v>1063.86</v>
      </c>
    </row>
    <row r="1871" customFormat="false" ht="15" hidden="false" customHeight="false" outlineLevel="0" collapsed="false">
      <c r="A1871" s="0" t="n">
        <v>2031</v>
      </c>
      <c r="B1871" s="0" t="n">
        <v>13.21719223</v>
      </c>
      <c r="C1871" s="0" t="n">
        <v>277.5610369</v>
      </c>
      <c r="E1871" s="0" t="n">
        <v>2032</v>
      </c>
      <c r="F1871" s="0" t="n">
        <v>270.613861</v>
      </c>
      <c r="G1871" s="0" t="n">
        <v>5680.108896</v>
      </c>
      <c r="I1871" s="0" t="n">
        <v>2028</v>
      </c>
      <c r="J1871" s="0" t="n">
        <v>36.72</v>
      </c>
      <c r="K1871" s="0" t="n">
        <v>770.8</v>
      </c>
      <c r="M1871" s="0" t="n">
        <v>2032</v>
      </c>
      <c r="N1871" s="0" t="n">
        <v>0.36</v>
      </c>
      <c r="O1871" s="0" t="n">
        <v>7.26</v>
      </c>
      <c r="Q1871" s="0" t="n">
        <v>2034</v>
      </c>
      <c r="R1871" s="0" t="n">
        <v>8</v>
      </c>
      <c r="W1871" s="0" t="n">
        <v>2032</v>
      </c>
      <c r="X1871" s="0" t="n">
        <v>475.608</v>
      </c>
    </row>
    <row r="1872" customFormat="false" ht="15" hidden="false" customHeight="false" outlineLevel="0" collapsed="false">
      <c r="A1872" s="0" t="n">
        <v>2031</v>
      </c>
      <c r="B1872" s="0" t="n">
        <v>29.55283412</v>
      </c>
      <c r="C1872" s="0" t="n">
        <v>620.6095165</v>
      </c>
      <c r="E1872" s="0" t="n">
        <v>2032</v>
      </c>
      <c r="F1872" s="0" t="n">
        <v>12.668497</v>
      </c>
      <c r="G1872" s="0" t="n">
        <v>265.908192</v>
      </c>
      <c r="I1872" s="0" t="n">
        <v>2028</v>
      </c>
      <c r="J1872" s="0" t="n">
        <v>18.36</v>
      </c>
      <c r="K1872" s="0" t="n">
        <v>385.4</v>
      </c>
      <c r="M1872" s="0" t="n">
        <v>2032</v>
      </c>
      <c r="N1872" s="0" t="n">
        <v>0.3</v>
      </c>
      <c r="O1872" s="0" t="n">
        <v>6.05</v>
      </c>
      <c r="Q1872" s="0" t="n">
        <v>2034</v>
      </c>
      <c r="R1872" s="0" t="n">
        <v>8</v>
      </c>
      <c r="W1872" s="0" t="n">
        <v>2032</v>
      </c>
      <c r="X1872" s="0" t="n">
        <v>187.74</v>
      </c>
    </row>
    <row r="1873" customFormat="false" ht="15" hidden="false" customHeight="false" outlineLevel="0" collapsed="false">
      <c r="A1873" s="0" t="n">
        <v>2031</v>
      </c>
      <c r="B1873" s="0" t="n">
        <v>375.2269323</v>
      </c>
      <c r="C1873" s="0" t="n">
        <v>7879.765579</v>
      </c>
      <c r="E1873" s="0" t="n">
        <v>2032</v>
      </c>
      <c r="F1873" s="0" t="n">
        <v>69.270402</v>
      </c>
      <c r="G1873" s="0" t="n">
        <v>1453.966272</v>
      </c>
      <c r="I1873" s="0" t="n">
        <v>2028</v>
      </c>
      <c r="J1873" s="0" t="n">
        <v>18.36</v>
      </c>
      <c r="K1873" s="0" t="n">
        <v>385.4</v>
      </c>
      <c r="M1873" s="0" t="n">
        <v>2032</v>
      </c>
      <c r="N1873" s="0" t="n">
        <v>0.24</v>
      </c>
      <c r="O1873" s="0" t="n">
        <v>4.84</v>
      </c>
      <c r="Q1873" s="0" t="n">
        <v>2034</v>
      </c>
      <c r="R1873" s="0" t="n">
        <v>223</v>
      </c>
      <c r="W1873" s="0" t="n">
        <v>2032</v>
      </c>
      <c r="X1873" s="0" t="n">
        <v>275.352</v>
      </c>
    </row>
    <row r="1874" customFormat="false" ht="15" hidden="false" customHeight="false" outlineLevel="0" collapsed="false">
      <c r="A1874" s="0" t="n">
        <v>2031</v>
      </c>
      <c r="B1874" s="0" t="n">
        <v>94.64332794</v>
      </c>
      <c r="C1874" s="0" t="n">
        <v>1987.509887</v>
      </c>
      <c r="E1874" s="0" t="n">
        <v>2032</v>
      </c>
      <c r="F1874" s="0" t="n">
        <v>63.341026</v>
      </c>
      <c r="G1874" s="0" t="n">
        <v>1329.510336</v>
      </c>
      <c r="I1874" s="0" t="n">
        <v>2028</v>
      </c>
      <c r="J1874" s="0" t="n">
        <v>36.72</v>
      </c>
      <c r="K1874" s="0" t="n">
        <v>770.8</v>
      </c>
      <c r="M1874" s="0" t="n">
        <v>2032</v>
      </c>
      <c r="N1874" s="0" t="n">
        <v>0.12</v>
      </c>
      <c r="O1874" s="0" t="n">
        <v>2.42</v>
      </c>
      <c r="Q1874" s="0" t="n">
        <v>2034</v>
      </c>
      <c r="R1874" s="0" t="n">
        <v>211</v>
      </c>
      <c r="W1874" s="0" t="n">
        <v>2032</v>
      </c>
      <c r="X1874" s="0" t="n">
        <v>212.772</v>
      </c>
    </row>
    <row r="1875" customFormat="false" ht="15" hidden="false" customHeight="false" outlineLevel="0" collapsed="false">
      <c r="A1875" s="0" t="n">
        <v>2031</v>
      </c>
      <c r="B1875" s="0" t="n">
        <v>84.39871406</v>
      </c>
      <c r="C1875" s="0" t="n">
        <v>1772.372995</v>
      </c>
      <c r="E1875" s="0" t="n">
        <v>2032</v>
      </c>
      <c r="F1875" s="0" t="n">
        <v>237.444438</v>
      </c>
      <c r="G1875" s="0" t="n">
        <v>4978.110014</v>
      </c>
      <c r="I1875" s="0" t="n">
        <v>2028</v>
      </c>
      <c r="J1875" s="0" t="n">
        <v>64.26</v>
      </c>
      <c r="K1875" s="0" t="n">
        <v>1348.9</v>
      </c>
      <c r="M1875" s="0" t="n">
        <v>2032</v>
      </c>
      <c r="N1875" s="0" t="n">
        <v>10.26</v>
      </c>
      <c r="O1875" s="0" t="n">
        <v>208.62</v>
      </c>
      <c r="Q1875" s="0" t="n">
        <v>2034</v>
      </c>
      <c r="R1875" s="0" t="n">
        <v>100</v>
      </c>
      <c r="W1875" s="0" t="n">
        <v>2032</v>
      </c>
      <c r="X1875" s="0" t="n">
        <v>7759.3</v>
      </c>
    </row>
    <row r="1876" customFormat="false" ht="15" hidden="false" customHeight="false" outlineLevel="0" collapsed="false">
      <c r="A1876" s="0" t="n">
        <v>2031</v>
      </c>
      <c r="B1876" s="0" t="n">
        <v>58.69430378</v>
      </c>
      <c r="C1876" s="0" t="n">
        <v>1232.580379</v>
      </c>
      <c r="E1876" s="0" t="n">
        <v>2032</v>
      </c>
      <c r="F1876" s="0" t="n">
        <v>63.756462</v>
      </c>
      <c r="G1876" s="0" t="n">
        <v>1336.677686</v>
      </c>
      <c r="I1876" s="0" t="n">
        <v>2028</v>
      </c>
      <c r="J1876" s="0" t="n">
        <v>27.54</v>
      </c>
      <c r="K1876" s="0" t="n">
        <v>578.1</v>
      </c>
      <c r="M1876" s="0" t="n">
        <v>2032</v>
      </c>
      <c r="N1876" s="0" t="n">
        <v>6.75</v>
      </c>
      <c r="O1876" s="0" t="n">
        <v>137.25</v>
      </c>
      <c r="Q1876" s="0" t="n">
        <v>2034</v>
      </c>
      <c r="R1876" s="0" t="n">
        <v>22</v>
      </c>
      <c r="W1876" s="0" t="n">
        <v>2032</v>
      </c>
      <c r="X1876" s="0" t="n">
        <v>1939.825</v>
      </c>
    </row>
    <row r="1877" customFormat="false" ht="15" hidden="false" customHeight="false" outlineLevel="0" collapsed="false">
      <c r="A1877" s="0" t="n">
        <v>2031</v>
      </c>
      <c r="B1877" s="0" t="n">
        <v>43.65878542</v>
      </c>
      <c r="C1877" s="0" t="n">
        <v>916.8344938</v>
      </c>
      <c r="E1877" s="0" t="n">
        <v>2032</v>
      </c>
      <c r="F1877" s="0" t="n">
        <v>25.519494</v>
      </c>
      <c r="G1877" s="0" t="n">
        <v>535.025582</v>
      </c>
      <c r="I1877" s="0" t="n">
        <v>2028</v>
      </c>
      <c r="J1877" s="0" t="n">
        <v>27.54</v>
      </c>
      <c r="K1877" s="0" t="n">
        <v>578.1</v>
      </c>
      <c r="M1877" s="0" t="n">
        <v>2032</v>
      </c>
      <c r="N1877" s="0" t="n">
        <v>2.7</v>
      </c>
      <c r="O1877" s="0" t="n">
        <v>54.9</v>
      </c>
      <c r="Q1877" s="0" t="n">
        <v>2034</v>
      </c>
      <c r="R1877" s="0" t="n">
        <v>20</v>
      </c>
      <c r="W1877" s="0" t="n">
        <v>2032</v>
      </c>
      <c r="X1877" s="0" t="n">
        <v>600.72</v>
      </c>
    </row>
    <row r="1878" customFormat="false" ht="15" hidden="false" customHeight="false" outlineLevel="0" collapsed="false">
      <c r="A1878" s="0" t="n">
        <v>2031</v>
      </c>
      <c r="B1878" s="0" t="n">
        <v>19.40390463</v>
      </c>
      <c r="C1878" s="0" t="n">
        <v>407.4819972</v>
      </c>
      <c r="E1878" s="0" t="n">
        <v>2032</v>
      </c>
      <c r="F1878" s="0" t="n">
        <v>3.584658</v>
      </c>
      <c r="G1878" s="0" t="n">
        <v>75.153674</v>
      </c>
      <c r="I1878" s="0" t="n">
        <v>2028</v>
      </c>
      <c r="J1878" s="0" t="n">
        <v>105.56</v>
      </c>
      <c r="K1878" s="0" t="n">
        <v>2216.24</v>
      </c>
      <c r="M1878" s="0" t="n">
        <v>2032</v>
      </c>
      <c r="N1878" s="0" t="n">
        <v>2.7</v>
      </c>
      <c r="O1878" s="0" t="n">
        <v>54.9</v>
      </c>
      <c r="Q1878" s="0" t="n">
        <v>2034</v>
      </c>
      <c r="R1878" s="0" t="n">
        <v>20</v>
      </c>
      <c r="W1878" s="0" t="n">
        <v>2032</v>
      </c>
      <c r="X1878" s="0" t="n">
        <v>1063.775</v>
      </c>
    </row>
    <row r="1879" customFormat="false" ht="15" hidden="false" customHeight="false" outlineLevel="0" collapsed="false">
      <c r="A1879" s="0" t="n">
        <v>2031</v>
      </c>
      <c r="B1879" s="0" t="n">
        <v>71.66986026</v>
      </c>
      <c r="C1879" s="0" t="n">
        <v>1505.067065</v>
      </c>
      <c r="E1879" s="0" t="n">
        <v>2032</v>
      </c>
      <c r="F1879" s="0" t="n">
        <v>85.691298</v>
      </c>
      <c r="G1879" s="0" t="n">
        <v>1796.549594</v>
      </c>
      <c r="I1879" s="0" t="n">
        <v>2028</v>
      </c>
      <c r="J1879" s="0" t="n">
        <v>16.24</v>
      </c>
      <c r="K1879" s="0" t="n">
        <v>340.96</v>
      </c>
      <c r="M1879" s="0" t="n">
        <v>2032</v>
      </c>
      <c r="N1879" s="0" t="n">
        <v>1.62</v>
      </c>
      <c r="O1879" s="0" t="n">
        <v>32.94</v>
      </c>
      <c r="Q1879" s="0" t="n">
        <v>2034</v>
      </c>
      <c r="R1879" s="0" t="n">
        <v>127</v>
      </c>
      <c r="W1879" s="0" t="n">
        <v>2032</v>
      </c>
      <c r="X1879" s="0" t="n">
        <v>475.57</v>
      </c>
    </row>
    <row r="1880" customFormat="false" ht="15" hidden="false" customHeight="false" outlineLevel="0" collapsed="false">
      <c r="A1880" s="0" t="n">
        <v>2031</v>
      </c>
      <c r="B1880" s="0" t="n">
        <v>22.43516896</v>
      </c>
      <c r="C1880" s="0" t="n">
        <v>471.1385482</v>
      </c>
      <c r="E1880" s="0" t="n">
        <v>2032</v>
      </c>
      <c r="F1880" s="0" t="n">
        <v>4.011546</v>
      </c>
      <c r="G1880" s="0" t="n">
        <v>84.103538</v>
      </c>
      <c r="I1880" s="0" t="n">
        <v>2028</v>
      </c>
      <c r="J1880" s="0" t="n">
        <v>12.18</v>
      </c>
      <c r="K1880" s="0" t="n">
        <v>255.72</v>
      </c>
      <c r="M1880" s="0" t="n">
        <v>2032</v>
      </c>
      <c r="N1880" s="0" t="n">
        <v>1.35</v>
      </c>
      <c r="O1880" s="0" t="n">
        <v>27.45</v>
      </c>
      <c r="Q1880" s="0" t="n">
        <v>2034</v>
      </c>
      <c r="R1880" s="0" t="n">
        <v>121</v>
      </c>
      <c r="W1880" s="0" t="n">
        <v>2032</v>
      </c>
      <c r="X1880" s="0" t="n">
        <v>187.725</v>
      </c>
    </row>
    <row r="1881" customFormat="false" ht="15" hidden="false" customHeight="false" outlineLevel="0" collapsed="false">
      <c r="A1881" s="0" t="n">
        <v>2031</v>
      </c>
      <c r="B1881" s="0" t="n">
        <v>50.16366676</v>
      </c>
      <c r="C1881" s="0" t="n">
        <v>1053.437002</v>
      </c>
      <c r="E1881" s="0" t="n">
        <v>2032</v>
      </c>
      <c r="F1881" s="0" t="n">
        <v>21.934836</v>
      </c>
      <c r="G1881" s="0" t="n">
        <v>459.871908</v>
      </c>
      <c r="I1881" s="0" t="n">
        <v>2028</v>
      </c>
      <c r="J1881" s="0" t="n">
        <v>20.3</v>
      </c>
      <c r="K1881" s="0" t="n">
        <v>426.2</v>
      </c>
      <c r="M1881" s="0" t="n">
        <v>2032</v>
      </c>
      <c r="N1881" s="0" t="n">
        <v>1.08</v>
      </c>
      <c r="O1881" s="0" t="n">
        <v>21.96</v>
      </c>
      <c r="Q1881" s="0" t="n">
        <v>2034</v>
      </c>
      <c r="R1881" s="0" t="n">
        <v>57</v>
      </c>
      <c r="W1881" s="0" t="n">
        <v>2032</v>
      </c>
      <c r="X1881" s="0" t="n">
        <v>275.33</v>
      </c>
    </row>
    <row r="1882" customFormat="false" ht="15" hidden="false" customHeight="false" outlineLevel="0" collapsed="false">
      <c r="A1882" s="0" t="n">
        <v>2031</v>
      </c>
      <c r="B1882" s="0" t="n">
        <v>147.9273853</v>
      </c>
      <c r="C1882" s="0" t="n">
        <v>3106.475091</v>
      </c>
      <c r="E1882" s="0" t="n">
        <v>2032</v>
      </c>
      <c r="F1882" s="0" t="n">
        <v>20.057268</v>
      </c>
      <c r="G1882" s="0" t="n">
        <v>420.508004</v>
      </c>
      <c r="I1882" s="0" t="n">
        <v>2028</v>
      </c>
      <c r="J1882" s="0" t="n">
        <v>4.06</v>
      </c>
      <c r="K1882" s="0" t="n">
        <v>85.24</v>
      </c>
      <c r="M1882" s="0" t="n">
        <v>2032</v>
      </c>
      <c r="N1882" s="0" t="n">
        <v>0.54</v>
      </c>
      <c r="O1882" s="0" t="n">
        <v>10.98</v>
      </c>
      <c r="Q1882" s="0" t="n">
        <v>2034</v>
      </c>
      <c r="R1882" s="0" t="n">
        <v>13</v>
      </c>
      <c r="W1882" s="0" t="n">
        <v>2032</v>
      </c>
      <c r="X1882" s="0" t="n">
        <v>212.755</v>
      </c>
    </row>
    <row r="1883" customFormat="false" ht="15" hidden="false" customHeight="false" outlineLevel="0" collapsed="false">
      <c r="A1883" s="0" t="n">
        <v>2031</v>
      </c>
      <c r="B1883" s="0" t="n">
        <v>37.31166084</v>
      </c>
      <c r="C1883" s="0" t="n">
        <v>783.5448776</v>
      </c>
      <c r="E1883" s="0" t="n">
        <v>2032</v>
      </c>
      <c r="F1883" s="0" t="n">
        <v>576.136829</v>
      </c>
      <c r="G1883" s="0" t="n">
        <v>12096.30366</v>
      </c>
      <c r="I1883" s="0" t="n">
        <v>2028</v>
      </c>
      <c r="J1883" s="0" t="n">
        <v>4.06</v>
      </c>
      <c r="K1883" s="0" t="n">
        <v>85.24</v>
      </c>
      <c r="M1883" s="0" t="n">
        <v>2032</v>
      </c>
      <c r="N1883" s="0" t="n">
        <v>34.58</v>
      </c>
      <c r="O1883" s="0" t="n">
        <v>725.8</v>
      </c>
      <c r="Q1883" s="0" t="n">
        <v>2034</v>
      </c>
      <c r="R1883" s="0" t="n">
        <v>13</v>
      </c>
      <c r="W1883" s="0" t="n">
        <v>2032</v>
      </c>
      <c r="X1883" s="0" t="n">
        <v>71223.74</v>
      </c>
    </row>
    <row r="1884" customFormat="false" ht="15" hidden="false" customHeight="false" outlineLevel="0" collapsed="false">
      <c r="A1884" s="0" t="n">
        <v>2031</v>
      </c>
      <c r="B1884" s="0" t="n">
        <v>33.27288106</v>
      </c>
      <c r="C1884" s="0" t="n">
        <v>698.7305023</v>
      </c>
      <c r="E1884" s="0" t="n">
        <v>2032</v>
      </c>
      <c r="F1884" s="0" t="n">
        <v>154.699121</v>
      </c>
      <c r="G1884" s="0" t="n">
        <v>3247.991536</v>
      </c>
      <c r="I1884" s="0" t="n">
        <v>2028</v>
      </c>
      <c r="J1884" s="0" t="n">
        <v>0</v>
      </c>
      <c r="K1884" s="0" t="n">
        <v>0</v>
      </c>
      <c r="M1884" s="0" t="n">
        <v>2032</v>
      </c>
      <c r="N1884" s="0" t="n">
        <v>22.75</v>
      </c>
      <c r="O1884" s="0" t="n">
        <v>477.5</v>
      </c>
      <c r="Q1884" s="0" t="n">
        <v>2034</v>
      </c>
      <c r="R1884" s="0" t="n">
        <v>13</v>
      </c>
      <c r="W1884" s="0" t="n">
        <v>2032</v>
      </c>
      <c r="X1884" s="0" t="n">
        <v>17805.935</v>
      </c>
    </row>
    <row r="1885" customFormat="false" ht="15" hidden="false" customHeight="false" outlineLevel="0" collapsed="false">
      <c r="A1885" s="0" t="n">
        <v>2031</v>
      </c>
      <c r="B1885" s="0" t="n">
        <v>23.13931688</v>
      </c>
      <c r="C1885" s="0" t="n">
        <v>485.9256545</v>
      </c>
      <c r="E1885" s="0" t="n">
        <v>2032</v>
      </c>
      <c r="F1885" s="0" t="n">
        <v>61.920677</v>
      </c>
      <c r="G1885" s="0" t="n">
        <v>1300.058032</v>
      </c>
      <c r="I1885" s="0" t="n">
        <v>2028</v>
      </c>
      <c r="J1885" s="0" t="n">
        <v>8.12</v>
      </c>
      <c r="K1885" s="0" t="n">
        <v>170.48</v>
      </c>
      <c r="M1885" s="0" t="n">
        <v>2032</v>
      </c>
      <c r="N1885" s="0" t="n">
        <v>9.1</v>
      </c>
      <c r="O1885" s="0" t="n">
        <v>191</v>
      </c>
      <c r="Q1885" s="0" t="n">
        <v>2034</v>
      </c>
      <c r="R1885" s="0" t="n">
        <v>87</v>
      </c>
      <c r="W1885" s="0" t="n">
        <v>2032</v>
      </c>
      <c r="X1885" s="0" t="n">
        <v>5514.096</v>
      </c>
    </row>
    <row r="1886" customFormat="false" ht="15" hidden="false" customHeight="false" outlineLevel="0" collapsed="false">
      <c r="A1886" s="0" t="n">
        <v>2031</v>
      </c>
      <c r="B1886" s="0" t="n">
        <v>17.21179749</v>
      </c>
      <c r="C1886" s="0" t="n">
        <v>361.4477472</v>
      </c>
      <c r="E1886" s="0" t="n">
        <v>2032</v>
      </c>
      <c r="F1886" s="0" t="n">
        <v>8.697839</v>
      </c>
      <c r="G1886" s="0" t="n">
        <v>182.615824</v>
      </c>
      <c r="I1886" s="0" t="n">
        <v>2028</v>
      </c>
      <c r="J1886" s="0" t="n">
        <v>14.21</v>
      </c>
      <c r="K1886" s="0" t="n">
        <v>298.34</v>
      </c>
      <c r="M1886" s="0" t="n">
        <v>2032</v>
      </c>
      <c r="N1886" s="0" t="n">
        <v>9.1</v>
      </c>
      <c r="O1886" s="0" t="n">
        <v>191</v>
      </c>
      <c r="Q1886" s="0" t="n">
        <v>2034</v>
      </c>
      <c r="R1886" s="0" t="n">
        <v>82</v>
      </c>
      <c r="W1886" s="0" t="n">
        <v>2032</v>
      </c>
      <c r="X1886" s="0" t="n">
        <v>9764.545</v>
      </c>
    </row>
    <row r="1887" customFormat="false" ht="15" hidden="false" customHeight="false" outlineLevel="0" collapsed="false">
      <c r="A1887" s="0" t="n">
        <v>2031</v>
      </c>
      <c r="B1887" s="0" t="n">
        <v>7.649687772</v>
      </c>
      <c r="C1887" s="0" t="n">
        <v>160.6434432</v>
      </c>
      <c r="E1887" s="0" t="n">
        <v>2032</v>
      </c>
      <c r="F1887" s="0" t="n">
        <v>207.921959</v>
      </c>
      <c r="G1887" s="0" t="n">
        <v>4365.433744</v>
      </c>
      <c r="I1887" s="0" t="n">
        <v>2028</v>
      </c>
      <c r="J1887" s="0" t="n">
        <v>4.06</v>
      </c>
      <c r="K1887" s="0" t="n">
        <v>85.24</v>
      </c>
      <c r="M1887" s="0" t="n">
        <v>2032</v>
      </c>
      <c r="N1887" s="0" t="n">
        <v>5.46</v>
      </c>
      <c r="O1887" s="0" t="n">
        <v>114.6</v>
      </c>
      <c r="Q1887" s="0" t="n">
        <v>2034</v>
      </c>
      <c r="R1887" s="0" t="n">
        <v>39</v>
      </c>
      <c r="W1887" s="0" t="n">
        <v>2032</v>
      </c>
      <c r="X1887" s="0" t="n">
        <v>4365.326</v>
      </c>
    </row>
    <row r="1888" customFormat="false" ht="15" hidden="false" customHeight="false" outlineLevel="0" collapsed="false">
      <c r="A1888" s="0" t="n">
        <v>2031</v>
      </c>
      <c r="B1888" s="0" t="n">
        <v>28.25472832</v>
      </c>
      <c r="C1888" s="0" t="n">
        <v>593.3492947</v>
      </c>
      <c r="E1888" s="0" t="n">
        <v>2032</v>
      </c>
      <c r="F1888" s="0" t="n">
        <v>9.733643</v>
      </c>
      <c r="G1888" s="0" t="n">
        <v>204.363088</v>
      </c>
      <c r="I1888" s="0" t="n">
        <v>2028</v>
      </c>
      <c r="J1888" s="0" t="n">
        <v>14.21</v>
      </c>
      <c r="K1888" s="0" t="n">
        <v>298.34</v>
      </c>
      <c r="M1888" s="0" t="n">
        <v>2032</v>
      </c>
      <c r="N1888" s="0" t="n">
        <v>4.55</v>
      </c>
      <c r="O1888" s="0" t="n">
        <v>95.5</v>
      </c>
      <c r="Q1888" s="0" t="n">
        <v>2034</v>
      </c>
      <c r="R1888" s="0" t="n">
        <v>9</v>
      </c>
      <c r="W1888" s="0" t="n">
        <v>2032</v>
      </c>
      <c r="X1888" s="0" t="n">
        <v>1723.155</v>
      </c>
    </row>
    <row r="1889" customFormat="false" ht="15" hidden="false" customHeight="false" outlineLevel="0" collapsed="false">
      <c r="A1889" s="0" t="n">
        <v>2031</v>
      </c>
      <c r="B1889" s="0" t="n">
        <v>8.844716614</v>
      </c>
      <c r="C1889" s="0" t="n">
        <v>185.7390489</v>
      </c>
      <c r="E1889" s="0" t="n">
        <v>2032</v>
      </c>
      <c r="F1889" s="0" t="n">
        <v>53.222838</v>
      </c>
      <c r="G1889" s="0" t="n">
        <v>1117.442208</v>
      </c>
      <c r="I1889" s="0" t="n">
        <v>2028</v>
      </c>
      <c r="J1889" s="0" t="n">
        <v>263.52</v>
      </c>
      <c r="K1889" s="0" t="n">
        <v>5530.08</v>
      </c>
      <c r="M1889" s="0" t="n">
        <v>2032</v>
      </c>
      <c r="N1889" s="0" t="n">
        <v>3.64</v>
      </c>
      <c r="O1889" s="0" t="n">
        <v>76.4</v>
      </c>
      <c r="Q1889" s="0" t="n">
        <v>2034</v>
      </c>
      <c r="R1889" s="0" t="n">
        <v>8</v>
      </c>
      <c r="W1889" s="0" t="n">
        <v>2032</v>
      </c>
      <c r="X1889" s="0" t="n">
        <v>2527.294</v>
      </c>
    </row>
    <row r="1890" customFormat="false" ht="15" hidden="false" customHeight="false" outlineLevel="0" collapsed="false">
      <c r="A1890" s="0" t="n">
        <v>2031</v>
      </c>
      <c r="B1890" s="0" t="n">
        <v>19.77624584</v>
      </c>
      <c r="C1890" s="0" t="n">
        <v>415.3011626</v>
      </c>
      <c r="E1890" s="0" t="n">
        <v>2032</v>
      </c>
      <c r="F1890" s="0" t="n">
        <v>48.667094</v>
      </c>
      <c r="G1890" s="0" t="n">
        <v>1021.791904</v>
      </c>
      <c r="I1890" s="0" t="n">
        <v>2028</v>
      </c>
      <c r="J1890" s="0" t="n">
        <v>87.84</v>
      </c>
      <c r="K1890" s="0" t="n">
        <v>1843.36</v>
      </c>
      <c r="M1890" s="0" t="n">
        <v>2032</v>
      </c>
      <c r="N1890" s="0" t="n">
        <v>1.82</v>
      </c>
      <c r="O1890" s="0" t="n">
        <v>38.2</v>
      </c>
      <c r="Q1890" s="0" t="n">
        <v>2034</v>
      </c>
      <c r="R1890" s="0" t="n">
        <v>8</v>
      </c>
      <c r="W1890" s="0" t="n">
        <v>2032</v>
      </c>
      <c r="X1890" s="0" t="n">
        <v>1952.909</v>
      </c>
    </row>
    <row r="1891" customFormat="false" ht="15" hidden="false" customHeight="false" outlineLevel="0" collapsed="false">
      <c r="A1891" s="0" t="n">
        <v>2031</v>
      </c>
      <c r="B1891" s="0" t="n">
        <v>289.5544793</v>
      </c>
      <c r="C1891" s="0" t="n">
        <v>6080.644066</v>
      </c>
      <c r="E1891" s="0" t="n">
        <v>2032</v>
      </c>
      <c r="F1891" s="0" t="n">
        <v>1608.66037</v>
      </c>
      <c r="G1891" s="0" t="n">
        <v>33779.29803</v>
      </c>
      <c r="I1891" s="0" t="n">
        <v>2028</v>
      </c>
      <c r="J1891" s="0" t="n">
        <v>38.43</v>
      </c>
      <c r="K1891" s="0" t="n">
        <v>806.47</v>
      </c>
      <c r="M1891" s="0" t="n">
        <v>2032</v>
      </c>
      <c r="N1891" s="0" t="n">
        <v>1480.48</v>
      </c>
      <c r="O1891" s="0" t="n">
        <v>31088.56</v>
      </c>
      <c r="Q1891" s="0" t="n">
        <v>2034</v>
      </c>
      <c r="R1891" s="0" t="n">
        <v>883</v>
      </c>
      <c r="W1891" s="0" t="n">
        <v>2032</v>
      </c>
      <c r="X1891" s="0" t="n">
        <v>10229.38</v>
      </c>
    </row>
    <row r="1892" customFormat="false" ht="15" hidden="false" customHeight="false" outlineLevel="0" collapsed="false">
      <c r="A1892" s="0" t="n">
        <v>2031</v>
      </c>
      <c r="B1892" s="0" t="n">
        <v>73.03420193</v>
      </c>
      <c r="C1892" s="0" t="n">
        <v>1533.718241</v>
      </c>
      <c r="E1892" s="0" t="n">
        <v>2032</v>
      </c>
      <c r="F1892" s="0" t="n">
        <v>431.94313</v>
      </c>
      <c r="G1892" s="0" t="n">
        <v>9070.115725</v>
      </c>
      <c r="I1892" s="0" t="n">
        <v>2028</v>
      </c>
      <c r="J1892" s="0" t="n">
        <v>21.96</v>
      </c>
      <c r="K1892" s="0" t="n">
        <v>460.84</v>
      </c>
      <c r="M1892" s="0" t="n">
        <v>2032</v>
      </c>
      <c r="N1892" s="0" t="n">
        <v>974</v>
      </c>
      <c r="O1892" s="0" t="n">
        <v>20453</v>
      </c>
      <c r="Q1892" s="0" t="n">
        <v>2034</v>
      </c>
      <c r="R1892" s="0" t="n">
        <v>839</v>
      </c>
      <c r="W1892" s="0" t="n">
        <v>2032</v>
      </c>
      <c r="X1892" s="0" t="n">
        <v>2557.345</v>
      </c>
    </row>
    <row r="1893" customFormat="false" ht="15" hidden="false" customHeight="false" outlineLevel="0" collapsed="false">
      <c r="A1893" s="0" t="n">
        <v>2031</v>
      </c>
      <c r="B1893" s="0" t="n">
        <v>65.12865575</v>
      </c>
      <c r="C1893" s="0" t="n">
        <v>1367.701771</v>
      </c>
      <c r="E1893" s="0" t="n">
        <v>2032</v>
      </c>
      <c r="F1893" s="0" t="n">
        <v>172.89181</v>
      </c>
      <c r="G1893" s="0" t="n">
        <v>3630.451825</v>
      </c>
      <c r="I1893" s="0" t="n">
        <v>2028</v>
      </c>
      <c r="J1893" s="0" t="n">
        <v>21.96</v>
      </c>
      <c r="K1893" s="0" t="n">
        <v>460.84</v>
      </c>
      <c r="M1893" s="0" t="n">
        <v>2032</v>
      </c>
      <c r="N1893" s="0" t="n">
        <v>389.6</v>
      </c>
      <c r="O1893" s="0" t="n">
        <v>8181.2</v>
      </c>
      <c r="Q1893" s="0" t="n">
        <v>2034</v>
      </c>
      <c r="R1893" s="0" t="n">
        <v>397</v>
      </c>
      <c r="W1893" s="0" t="n">
        <v>2032</v>
      </c>
      <c r="X1893" s="0" t="n">
        <v>791.952</v>
      </c>
    </row>
    <row r="1894" customFormat="false" ht="15" hidden="false" customHeight="false" outlineLevel="0" collapsed="false">
      <c r="A1894" s="0" t="n">
        <v>2031</v>
      </c>
      <c r="B1894" s="0" t="n">
        <v>45.29312026</v>
      </c>
      <c r="C1894" s="0" t="n">
        <v>951.1555255</v>
      </c>
      <c r="E1894" s="0" t="n">
        <v>2032</v>
      </c>
      <c r="F1894" s="0" t="n">
        <v>24.28567</v>
      </c>
      <c r="G1894" s="0" t="n">
        <v>509.960275</v>
      </c>
      <c r="I1894" s="0" t="n">
        <v>2028</v>
      </c>
      <c r="J1894" s="0" t="n">
        <v>10.98</v>
      </c>
      <c r="K1894" s="0" t="n">
        <v>230.42</v>
      </c>
      <c r="M1894" s="0" t="n">
        <v>2032</v>
      </c>
      <c r="N1894" s="0" t="n">
        <v>389.6</v>
      </c>
      <c r="O1894" s="0" t="n">
        <v>8181.2</v>
      </c>
      <c r="Q1894" s="0" t="n">
        <v>2034</v>
      </c>
      <c r="R1894" s="0" t="n">
        <v>88</v>
      </c>
      <c r="W1894" s="0" t="n">
        <v>2032</v>
      </c>
      <c r="X1894" s="0" t="n">
        <v>1402.415</v>
      </c>
    </row>
    <row r="1895" customFormat="false" ht="15" hidden="false" customHeight="false" outlineLevel="0" collapsed="false">
      <c r="A1895" s="0" t="n">
        <v>2031</v>
      </c>
      <c r="B1895" s="0" t="n">
        <v>33.69053709</v>
      </c>
      <c r="C1895" s="0" t="n">
        <v>707.5012788</v>
      </c>
      <c r="E1895" s="0" t="n">
        <v>2032</v>
      </c>
      <c r="F1895" s="0" t="n">
        <v>580.54927</v>
      </c>
      <c r="G1895" s="0" t="n">
        <v>12190.60728</v>
      </c>
      <c r="I1895" s="0" t="n">
        <v>2028</v>
      </c>
      <c r="J1895" s="0" t="n">
        <v>10.98</v>
      </c>
      <c r="K1895" s="0" t="n">
        <v>230.42</v>
      </c>
      <c r="M1895" s="0" t="n">
        <v>2032</v>
      </c>
      <c r="N1895" s="0" t="n">
        <v>233.76</v>
      </c>
      <c r="O1895" s="0" t="n">
        <v>4908.72</v>
      </c>
      <c r="Q1895" s="0" t="n">
        <v>2034</v>
      </c>
      <c r="R1895" s="0" t="n">
        <v>85</v>
      </c>
      <c r="W1895" s="0" t="n">
        <v>2032</v>
      </c>
      <c r="X1895" s="0" t="n">
        <v>626.962</v>
      </c>
    </row>
    <row r="1896" customFormat="false" ht="15" hidden="false" customHeight="false" outlineLevel="0" collapsed="false">
      <c r="A1896" s="0" t="n">
        <v>2031</v>
      </c>
      <c r="B1896" s="0" t="n">
        <v>14.97357204</v>
      </c>
      <c r="C1896" s="0" t="n">
        <v>314.4450128</v>
      </c>
      <c r="E1896" s="0" t="n">
        <v>2032</v>
      </c>
      <c r="F1896" s="0" t="n">
        <v>27.17779</v>
      </c>
      <c r="G1896" s="0" t="n">
        <v>570.690175</v>
      </c>
      <c r="I1896" s="0" t="n">
        <v>2028</v>
      </c>
      <c r="J1896" s="0" t="n">
        <v>21.96</v>
      </c>
      <c r="K1896" s="0" t="n">
        <v>460.84</v>
      </c>
      <c r="M1896" s="0" t="n">
        <v>2032</v>
      </c>
      <c r="N1896" s="0" t="n">
        <v>194.8</v>
      </c>
      <c r="O1896" s="0" t="n">
        <v>4090.6</v>
      </c>
      <c r="Q1896" s="0" t="n">
        <v>2034</v>
      </c>
      <c r="R1896" s="0" t="n">
        <v>85</v>
      </c>
      <c r="W1896" s="0" t="n">
        <v>2032</v>
      </c>
      <c r="X1896" s="0" t="n">
        <v>247.485</v>
      </c>
    </row>
    <row r="1897" customFormat="false" ht="15" hidden="false" customHeight="false" outlineLevel="0" collapsed="false">
      <c r="A1897" s="0" t="n">
        <v>2031</v>
      </c>
      <c r="B1897" s="0" t="n">
        <v>55.30607556</v>
      </c>
      <c r="C1897" s="0" t="n">
        <v>1161.427587</v>
      </c>
      <c r="E1897" s="0" t="n">
        <v>2032</v>
      </c>
      <c r="F1897" s="0" t="n">
        <v>148.60614</v>
      </c>
      <c r="G1897" s="0" t="n">
        <v>3120.49155</v>
      </c>
      <c r="I1897" s="0" t="n">
        <v>2028</v>
      </c>
      <c r="J1897" s="0" t="n">
        <v>38.43</v>
      </c>
      <c r="K1897" s="0" t="n">
        <v>806.47</v>
      </c>
      <c r="M1897" s="0" t="n">
        <v>2032</v>
      </c>
      <c r="N1897" s="0" t="n">
        <v>155.84</v>
      </c>
      <c r="O1897" s="0" t="n">
        <v>3272.48</v>
      </c>
      <c r="Q1897" s="0" t="n">
        <v>2034</v>
      </c>
      <c r="R1897" s="0" t="n">
        <v>87</v>
      </c>
      <c r="W1897" s="0" t="n">
        <v>2032</v>
      </c>
      <c r="X1897" s="0" t="n">
        <v>362.978</v>
      </c>
    </row>
    <row r="1898" customFormat="false" ht="15" hidden="false" customHeight="false" outlineLevel="0" collapsed="false">
      <c r="A1898" s="0" t="n">
        <v>2031</v>
      </c>
      <c r="B1898" s="0" t="n">
        <v>17.31273293</v>
      </c>
      <c r="C1898" s="0" t="n">
        <v>363.5673915</v>
      </c>
      <c r="E1898" s="0" t="n">
        <v>2032</v>
      </c>
      <c r="F1898" s="0" t="n">
        <v>135.88582</v>
      </c>
      <c r="G1898" s="0" t="n">
        <v>2853.38515</v>
      </c>
      <c r="I1898" s="0" t="n">
        <v>2028</v>
      </c>
      <c r="J1898" s="0" t="n">
        <v>16.47</v>
      </c>
      <c r="K1898" s="0" t="n">
        <v>345.63</v>
      </c>
      <c r="M1898" s="0" t="n">
        <v>2032</v>
      </c>
      <c r="N1898" s="0" t="n">
        <v>77.92</v>
      </c>
      <c r="O1898" s="0" t="n">
        <v>1636.24</v>
      </c>
      <c r="Q1898" s="0" t="n">
        <v>2034</v>
      </c>
      <c r="R1898" s="0" t="n">
        <v>83</v>
      </c>
      <c r="W1898" s="0" t="n">
        <v>2032</v>
      </c>
      <c r="X1898" s="0" t="n">
        <v>280.483</v>
      </c>
    </row>
    <row r="1899" customFormat="false" ht="15" hidden="false" customHeight="false" outlineLevel="0" collapsed="false">
      <c r="A1899" s="0" t="n">
        <v>2031</v>
      </c>
      <c r="B1899" s="0" t="n">
        <v>38.71021283</v>
      </c>
      <c r="C1899" s="0" t="n">
        <v>812.9144694</v>
      </c>
      <c r="E1899" s="0" t="n">
        <v>2032</v>
      </c>
      <c r="F1899" s="0" t="n">
        <v>857.780881</v>
      </c>
      <c r="G1899" s="0" t="n">
        <v>18008.25901</v>
      </c>
      <c r="I1899" s="0" t="n">
        <v>2028</v>
      </c>
      <c r="J1899" s="0" t="n">
        <v>16.47</v>
      </c>
      <c r="K1899" s="0" t="n">
        <v>345.63</v>
      </c>
      <c r="M1899" s="0" t="n">
        <v>2032</v>
      </c>
      <c r="N1899" s="0" t="n">
        <v>215.08</v>
      </c>
      <c r="O1899" s="0" t="n">
        <v>4511.36</v>
      </c>
      <c r="Q1899" s="0" t="n">
        <v>2034</v>
      </c>
      <c r="R1899" s="0" t="n">
        <v>39</v>
      </c>
      <c r="W1899" s="0" t="n">
        <v>2032</v>
      </c>
      <c r="X1899" s="0" t="n">
        <v>11164.96</v>
      </c>
    </row>
    <row r="1900" customFormat="false" ht="15" hidden="false" customHeight="false" outlineLevel="0" collapsed="false">
      <c r="A1900" s="0" t="n">
        <v>2031</v>
      </c>
      <c r="B1900" s="0" t="n">
        <v>190.5046957</v>
      </c>
      <c r="C1900" s="0" t="n">
        <v>4000.59861</v>
      </c>
      <c r="E1900" s="0" t="n">
        <v>2032</v>
      </c>
      <c r="F1900" s="0" t="n">
        <v>230.323669</v>
      </c>
      <c r="G1900" s="0" t="n">
        <v>4835.417039</v>
      </c>
      <c r="I1900" s="0" t="n">
        <v>2028</v>
      </c>
      <c r="J1900" s="0" t="n">
        <v>105.56</v>
      </c>
      <c r="K1900" s="0" t="n">
        <v>2216.24</v>
      </c>
      <c r="M1900" s="0" t="n">
        <v>2032</v>
      </c>
      <c r="N1900" s="0" t="n">
        <v>141.5</v>
      </c>
      <c r="O1900" s="0" t="n">
        <v>2968</v>
      </c>
      <c r="Q1900" s="0" t="n">
        <v>2034</v>
      </c>
      <c r="R1900" s="0" t="n">
        <v>9</v>
      </c>
      <c r="W1900" s="0" t="n">
        <v>2032</v>
      </c>
      <c r="X1900" s="0" t="n">
        <v>2791.24</v>
      </c>
    </row>
    <row r="1901" customFormat="false" ht="15" hidden="false" customHeight="false" outlineLevel="0" collapsed="false">
      <c r="A1901" s="0" t="n">
        <v>2031</v>
      </c>
      <c r="B1901" s="0" t="n">
        <v>48.05091755</v>
      </c>
      <c r="C1901" s="0" t="n">
        <v>1009.069269</v>
      </c>
      <c r="E1901" s="0" t="n">
        <v>2032</v>
      </c>
      <c r="F1901" s="0" t="n">
        <v>92.190553</v>
      </c>
      <c r="G1901" s="0" t="n">
        <v>1935.449243</v>
      </c>
      <c r="I1901" s="0" t="n">
        <v>2028</v>
      </c>
      <c r="J1901" s="0" t="n">
        <v>16.24</v>
      </c>
      <c r="K1901" s="0" t="n">
        <v>340.96</v>
      </c>
      <c r="M1901" s="0" t="n">
        <v>2032</v>
      </c>
      <c r="N1901" s="0" t="n">
        <v>56.6</v>
      </c>
      <c r="O1901" s="0" t="n">
        <v>1187.2</v>
      </c>
      <c r="Q1901" s="0" t="n">
        <v>2034</v>
      </c>
      <c r="R1901" s="0" t="n">
        <v>8</v>
      </c>
      <c r="W1901" s="0" t="n">
        <v>2032</v>
      </c>
      <c r="X1901" s="0" t="n">
        <v>864.384</v>
      </c>
    </row>
    <row r="1902" customFormat="false" ht="15" hidden="false" customHeight="false" outlineLevel="0" collapsed="false">
      <c r="A1902" s="0" t="n">
        <v>2031</v>
      </c>
      <c r="B1902" s="0" t="n">
        <v>42.84967296</v>
      </c>
      <c r="C1902" s="0" t="n">
        <v>899.8431323</v>
      </c>
      <c r="E1902" s="0" t="n">
        <v>2032</v>
      </c>
      <c r="F1902" s="0" t="n">
        <v>12.949771</v>
      </c>
      <c r="G1902" s="0" t="n">
        <v>271.867601</v>
      </c>
      <c r="I1902" s="0" t="n">
        <v>2028</v>
      </c>
      <c r="J1902" s="0" t="n">
        <v>12.18</v>
      </c>
      <c r="K1902" s="0" t="n">
        <v>255.72</v>
      </c>
      <c r="M1902" s="0" t="n">
        <v>2032</v>
      </c>
      <c r="N1902" s="0" t="n">
        <v>56.6</v>
      </c>
      <c r="O1902" s="0" t="n">
        <v>1187.2</v>
      </c>
      <c r="Q1902" s="0" t="n">
        <v>2034</v>
      </c>
      <c r="R1902" s="0" t="n">
        <v>8</v>
      </c>
      <c r="W1902" s="0" t="n">
        <v>2032</v>
      </c>
      <c r="X1902" s="0" t="n">
        <v>1530.68</v>
      </c>
    </row>
    <row r="1903" customFormat="false" ht="15" hidden="false" customHeight="false" outlineLevel="0" collapsed="false">
      <c r="A1903" s="0" t="n">
        <v>2031</v>
      </c>
      <c r="B1903" s="0" t="n">
        <v>29.79940808</v>
      </c>
      <c r="C1903" s="0" t="n">
        <v>625.7875698</v>
      </c>
      <c r="E1903" s="0" t="n">
        <v>2032</v>
      </c>
      <c r="F1903" s="0" t="n">
        <v>309.564451</v>
      </c>
      <c r="G1903" s="0" t="n">
        <v>6498.998681</v>
      </c>
      <c r="I1903" s="0" t="n">
        <v>2028</v>
      </c>
      <c r="J1903" s="0" t="n">
        <v>20.3</v>
      </c>
      <c r="K1903" s="0" t="n">
        <v>426.2</v>
      </c>
      <c r="M1903" s="0" t="n">
        <v>2032</v>
      </c>
      <c r="N1903" s="0" t="n">
        <v>33.96</v>
      </c>
      <c r="O1903" s="0" t="n">
        <v>712.32</v>
      </c>
      <c r="Q1903" s="0" t="n">
        <v>2034</v>
      </c>
      <c r="R1903" s="0" t="n">
        <v>348</v>
      </c>
      <c r="W1903" s="0" t="n">
        <v>2032</v>
      </c>
      <c r="X1903" s="0" t="n">
        <v>684.304</v>
      </c>
    </row>
    <row r="1904" customFormat="false" ht="15" hidden="false" customHeight="false" outlineLevel="0" collapsed="false">
      <c r="A1904" s="0" t="n">
        <v>2031</v>
      </c>
      <c r="B1904" s="0" t="n">
        <v>22.16579598</v>
      </c>
      <c r="C1904" s="0" t="n">
        <v>465.4817157</v>
      </c>
      <c r="E1904" s="0" t="n">
        <v>2032</v>
      </c>
      <c r="F1904" s="0" t="n">
        <v>14.491927</v>
      </c>
      <c r="G1904" s="0" t="n">
        <v>304.243637</v>
      </c>
      <c r="I1904" s="0" t="n">
        <v>2028</v>
      </c>
      <c r="J1904" s="0" t="n">
        <v>4.06</v>
      </c>
      <c r="K1904" s="0" t="n">
        <v>85.24</v>
      </c>
      <c r="M1904" s="0" t="n">
        <v>2032</v>
      </c>
      <c r="N1904" s="0" t="n">
        <v>28.3</v>
      </c>
      <c r="O1904" s="0" t="n">
        <v>593.6</v>
      </c>
      <c r="Q1904" s="0" t="n">
        <v>2034</v>
      </c>
      <c r="R1904" s="0" t="n">
        <v>330</v>
      </c>
      <c r="W1904" s="0" t="n">
        <v>2032</v>
      </c>
      <c r="X1904" s="0" t="n">
        <v>270.12</v>
      </c>
    </row>
    <row r="1905" customFormat="false" ht="15" hidden="false" customHeight="false" outlineLevel="0" collapsed="false">
      <c r="A1905" s="0" t="n">
        <v>2031</v>
      </c>
      <c r="B1905" s="0" t="n">
        <v>9.851464882</v>
      </c>
      <c r="C1905" s="0" t="n">
        <v>206.8807625</v>
      </c>
      <c r="E1905" s="0" t="n">
        <v>2032</v>
      </c>
      <c r="F1905" s="0" t="n">
        <v>79.240782</v>
      </c>
      <c r="G1905" s="0" t="n">
        <v>1663.581642</v>
      </c>
      <c r="I1905" s="0" t="n">
        <v>2028</v>
      </c>
      <c r="J1905" s="0" t="n">
        <v>4.06</v>
      </c>
      <c r="K1905" s="0" t="n">
        <v>85.24</v>
      </c>
      <c r="M1905" s="0" t="n">
        <v>2032</v>
      </c>
      <c r="N1905" s="0" t="n">
        <v>22.64</v>
      </c>
      <c r="O1905" s="0" t="n">
        <v>474.88</v>
      </c>
      <c r="Q1905" s="0" t="n">
        <v>2034</v>
      </c>
      <c r="R1905" s="0" t="n">
        <v>156</v>
      </c>
      <c r="W1905" s="0" t="n">
        <v>2032</v>
      </c>
      <c r="X1905" s="0" t="n">
        <v>396.176</v>
      </c>
    </row>
    <row r="1906" customFormat="false" ht="15" hidden="false" customHeight="false" outlineLevel="0" collapsed="false">
      <c r="A1906" s="0" t="n">
        <v>2031</v>
      </c>
      <c r="B1906" s="0" t="n">
        <v>36.38716665</v>
      </c>
      <c r="C1906" s="0" t="n">
        <v>764.1304997</v>
      </c>
      <c r="E1906" s="0" t="n">
        <v>2032</v>
      </c>
      <c r="F1906" s="0" t="n">
        <v>72.457966</v>
      </c>
      <c r="G1906" s="0" t="n">
        <v>1521.183146</v>
      </c>
      <c r="I1906" s="0" t="n">
        <v>2028</v>
      </c>
      <c r="J1906" s="0" t="n">
        <v>0</v>
      </c>
      <c r="K1906" s="0" t="n">
        <v>0</v>
      </c>
      <c r="M1906" s="0" t="n">
        <v>2032</v>
      </c>
      <c r="N1906" s="0" t="n">
        <v>11.32</v>
      </c>
      <c r="O1906" s="0" t="n">
        <v>237.44</v>
      </c>
      <c r="Q1906" s="0" t="n">
        <v>2034</v>
      </c>
      <c r="R1906" s="0" t="n">
        <v>35</v>
      </c>
      <c r="W1906" s="0" t="n">
        <v>2032</v>
      </c>
      <c r="X1906" s="0" t="n">
        <v>306.136</v>
      </c>
    </row>
    <row r="1907" customFormat="false" ht="15" hidden="false" customHeight="false" outlineLevel="0" collapsed="false">
      <c r="A1907" s="0" t="n">
        <v>2031</v>
      </c>
      <c r="B1907" s="0" t="n">
        <v>11.3904538</v>
      </c>
      <c r="C1907" s="0" t="n">
        <v>239.1995297</v>
      </c>
      <c r="E1907" s="0" t="n">
        <v>2032</v>
      </c>
      <c r="F1907" s="0" t="n">
        <v>418.868435</v>
      </c>
      <c r="G1907" s="0" t="n">
        <v>8786.986053</v>
      </c>
      <c r="I1907" s="0" t="n">
        <v>2028</v>
      </c>
      <c r="J1907" s="0" t="n">
        <v>8.12</v>
      </c>
      <c r="K1907" s="0" t="n">
        <v>170.48</v>
      </c>
      <c r="M1907" s="0" t="n">
        <v>2032</v>
      </c>
      <c r="N1907" s="0" t="n">
        <v>262.96</v>
      </c>
      <c r="O1907" s="0" t="n">
        <v>5520.64</v>
      </c>
      <c r="Q1907" s="0" t="n">
        <v>2034</v>
      </c>
      <c r="R1907" s="0" t="n">
        <v>33</v>
      </c>
      <c r="W1907" s="0" t="n">
        <v>2032</v>
      </c>
      <c r="X1907" s="0" t="n">
        <v>3008.86</v>
      </c>
    </row>
    <row r="1908" customFormat="false" ht="15" hidden="false" customHeight="false" outlineLevel="0" collapsed="false">
      <c r="A1908" s="0" t="n">
        <v>2031</v>
      </c>
      <c r="B1908" s="0" t="n">
        <v>25.46835861</v>
      </c>
      <c r="C1908" s="0" t="n">
        <v>534.8355307</v>
      </c>
      <c r="E1908" s="0" t="n">
        <v>2032</v>
      </c>
      <c r="F1908" s="0" t="n">
        <v>112.470815</v>
      </c>
      <c r="G1908" s="0" t="n">
        <v>2359.403097</v>
      </c>
      <c r="I1908" s="0" t="n">
        <v>2028</v>
      </c>
      <c r="J1908" s="0" t="n">
        <v>14.21</v>
      </c>
      <c r="K1908" s="0" t="n">
        <v>298.34</v>
      </c>
      <c r="M1908" s="0" t="n">
        <v>2032</v>
      </c>
      <c r="N1908" s="0" t="n">
        <v>173</v>
      </c>
      <c r="O1908" s="0" t="n">
        <v>3632</v>
      </c>
      <c r="Q1908" s="0" t="n">
        <v>2034</v>
      </c>
      <c r="R1908" s="0" t="n">
        <v>33</v>
      </c>
      <c r="W1908" s="0" t="n">
        <v>2032</v>
      </c>
      <c r="X1908" s="0" t="n">
        <v>752.215</v>
      </c>
    </row>
    <row r="1909" customFormat="false" ht="15" hidden="false" customHeight="false" outlineLevel="0" collapsed="false">
      <c r="A1909" s="0" t="n">
        <v>2031</v>
      </c>
      <c r="B1909" s="0" t="n">
        <v>129.7169545</v>
      </c>
      <c r="C1909" s="0" t="n">
        <v>2724.056045</v>
      </c>
      <c r="E1909" s="0" t="n">
        <v>2032</v>
      </c>
      <c r="F1909" s="0" t="n">
        <v>45.018155</v>
      </c>
      <c r="G1909" s="0" t="n">
        <v>944.386989</v>
      </c>
      <c r="I1909" s="0" t="n">
        <v>2028</v>
      </c>
      <c r="J1909" s="0" t="n">
        <v>4.06</v>
      </c>
      <c r="K1909" s="0" t="n">
        <v>85.24</v>
      </c>
      <c r="M1909" s="0" t="n">
        <v>2032</v>
      </c>
      <c r="N1909" s="0" t="n">
        <v>69.2</v>
      </c>
      <c r="O1909" s="0" t="n">
        <v>1452.8</v>
      </c>
      <c r="Q1909" s="0" t="n">
        <v>2034</v>
      </c>
      <c r="R1909" s="0" t="n">
        <v>419</v>
      </c>
      <c r="W1909" s="0" t="n">
        <v>2032</v>
      </c>
      <c r="X1909" s="0" t="n">
        <v>232.944</v>
      </c>
    </row>
    <row r="1910" customFormat="false" ht="15" hidden="false" customHeight="false" outlineLevel="0" collapsed="false">
      <c r="A1910" s="0" t="n">
        <v>2031</v>
      </c>
      <c r="B1910" s="0" t="n">
        <v>32.71845171</v>
      </c>
      <c r="C1910" s="0" t="n">
        <v>687.087486</v>
      </c>
      <c r="E1910" s="0" t="n">
        <v>2032</v>
      </c>
      <c r="F1910" s="0" t="n">
        <v>6.323585</v>
      </c>
      <c r="G1910" s="0" t="n">
        <v>132.655623</v>
      </c>
      <c r="I1910" s="0" t="n">
        <v>2028</v>
      </c>
      <c r="J1910" s="0" t="n">
        <v>14.21</v>
      </c>
      <c r="K1910" s="0" t="n">
        <v>298.34</v>
      </c>
      <c r="M1910" s="0" t="n">
        <v>2032</v>
      </c>
      <c r="N1910" s="0" t="n">
        <v>69.2</v>
      </c>
      <c r="O1910" s="0" t="n">
        <v>1452.8</v>
      </c>
      <c r="Q1910" s="0" t="n">
        <v>2034</v>
      </c>
      <c r="R1910" s="0" t="n">
        <v>398</v>
      </c>
      <c r="W1910" s="0" t="n">
        <v>2032</v>
      </c>
      <c r="X1910" s="0" t="n">
        <v>412.505</v>
      </c>
    </row>
    <row r="1911" customFormat="false" ht="15" hidden="false" customHeight="false" outlineLevel="0" collapsed="false">
      <c r="A1911" s="0" t="n">
        <v>2031</v>
      </c>
      <c r="B1911" s="0" t="n">
        <v>29.17686128</v>
      </c>
      <c r="C1911" s="0" t="n">
        <v>612.7140869</v>
      </c>
      <c r="E1911" s="0" t="n">
        <v>2032</v>
      </c>
      <c r="F1911" s="0" t="n">
        <v>151.165385</v>
      </c>
      <c r="G1911" s="0" t="n">
        <v>3171.134463</v>
      </c>
      <c r="I1911" s="0" t="n">
        <v>2028</v>
      </c>
      <c r="J1911" s="0" t="n">
        <v>27.84</v>
      </c>
      <c r="K1911" s="0" t="n">
        <v>584.16</v>
      </c>
      <c r="M1911" s="0" t="n">
        <v>2032</v>
      </c>
      <c r="N1911" s="0" t="n">
        <v>41.52</v>
      </c>
      <c r="O1911" s="0" t="n">
        <v>871.68</v>
      </c>
      <c r="Q1911" s="0" t="n">
        <v>2034</v>
      </c>
      <c r="R1911" s="0" t="n">
        <v>189</v>
      </c>
      <c r="W1911" s="0" t="n">
        <v>2032</v>
      </c>
      <c r="X1911" s="0" t="n">
        <v>184.414</v>
      </c>
    </row>
    <row r="1912" customFormat="false" ht="15" hidden="false" customHeight="false" outlineLevel="0" collapsed="false">
      <c r="A1912" s="0" t="n">
        <v>2031</v>
      </c>
      <c r="B1912" s="0" t="n">
        <v>20.29077787</v>
      </c>
      <c r="C1912" s="0" t="n">
        <v>426.1063353</v>
      </c>
      <c r="E1912" s="0" t="n">
        <v>2032</v>
      </c>
      <c r="F1912" s="0" t="n">
        <v>7.076645</v>
      </c>
      <c r="G1912" s="0" t="n">
        <v>148.453251</v>
      </c>
      <c r="I1912" s="0" t="n">
        <v>2028</v>
      </c>
      <c r="J1912" s="0" t="n">
        <v>9.28</v>
      </c>
      <c r="K1912" s="0" t="n">
        <v>194.72</v>
      </c>
      <c r="M1912" s="0" t="n">
        <v>2032</v>
      </c>
      <c r="N1912" s="0" t="n">
        <v>34.6</v>
      </c>
      <c r="O1912" s="0" t="n">
        <v>726.4</v>
      </c>
      <c r="Q1912" s="0" t="n">
        <v>2034</v>
      </c>
      <c r="R1912" s="0" t="n">
        <v>42</v>
      </c>
      <c r="W1912" s="0" t="n">
        <v>2032</v>
      </c>
      <c r="X1912" s="0" t="n">
        <v>72.795</v>
      </c>
    </row>
    <row r="1913" customFormat="false" ht="15" hidden="false" customHeight="false" outlineLevel="0" collapsed="false">
      <c r="A1913" s="0" t="n">
        <v>2031</v>
      </c>
      <c r="B1913" s="0" t="n">
        <v>15.09295894</v>
      </c>
      <c r="C1913" s="0" t="n">
        <v>316.9521377</v>
      </c>
      <c r="E1913" s="0" t="n">
        <v>2032</v>
      </c>
      <c r="F1913" s="0" t="n">
        <v>38.69457</v>
      </c>
      <c r="G1913" s="0" t="n">
        <v>811.731366</v>
      </c>
      <c r="I1913" s="0" t="n">
        <v>2028</v>
      </c>
      <c r="J1913" s="0" t="n">
        <v>4.06</v>
      </c>
      <c r="K1913" s="0" t="n">
        <v>85.19</v>
      </c>
      <c r="M1913" s="0" t="n">
        <v>2032</v>
      </c>
      <c r="N1913" s="0" t="n">
        <v>27.68</v>
      </c>
      <c r="O1913" s="0" t="n">
        <v>581.12</v>
      </c>
      <c r="Q1913" s="0" t="n">
        <v>2034</v>
      </c>
      <c r="R1913" s="0" t="n">
        <v>41</v>
      </c>
      <c r="W1913" s="0" t="n">
        <v>2032</v>
      </c>
      <c r="X1913" s="0" t="n">
        <v>106.766</v>
      </c>
    </row>
    <row r="1914" customFormat="false" ht="15" hidden="false" customHeight="false" outlineLevel="0" collapsed="false">
      <c r="A1914" s="0" t="n">
        <v>2031</v>
      </c>
      <c r="B1914" s="0" t="n">
        <v>6.707981751</v>
      </c>
      <c r="C1914" s="0" t="n">
        <v>140.8676168</v>
      </c>
      <c r="E1914" s="0" t="n">
        <v>2032</v>
      </c>
      <c r="F1914" s="0" t="n">
        <v>35.38241</v>
      </c>
      <c r="G1914" s="0" t="n">
        <v>742.249158</v>
      </c>
      <c r="I1914" s="0" t="n">
        <v>2028</v>
      </c>
      <c r="J1914" s="0" t="n">
        <v>2.32</v>
      </c>
      <c r="K1914" s="0" t="n">
        <v>48.68</v>
      </c>
      <c r="M1914" s="0" t="n">
        <v>2032</v>
      </c>
      <c r="N1914" s="0" t="n">
        <v>13.84</v>
      </c>
      <c r="O1914" s="0" t="n">
        <v>290.56</v>
      </c>
      <c r="Q1914" s="0" t="n">
        <v>2034</v>
      </c>
      <c r="R1914" s="0" t="n">
        <v>41</v>
      </c>
      <c r="W1914" s="0" t="n">
        <v>2032</v>
      </c>
      <c r="X1914" s="0" t="n">
        <v>82.501</v>
      </c>
    </row>
    <row r="1915" customFormat="false" ht="15" hidden="false" customHeight="false" outlineLevel="0" collapsed="false">
      <c r="A1915" s="0" t="n">
        <v>2031</v>
      </c>
      <c r="B1915" s="0" t="n">
        <v>24.77646246</v>
      </c>
      <c r="C1915" s="0" t="n">
        <v>520.3057117</v>
      </c>
      <c r="E1915" s="0" t="n">
        <v>2032</v>
      </c>
      <c r="F1915" s="0" t="n">
        <v>335.094748</v>
      </c>
      <c r="G1915" s="0" t="n">
        <v>7033.906014</v>
      </c>
      <c r="I1915" s="0" t="n">
        <v>2028</v>
      </c>
      <c r="J1915" s="0" t="n">
        <v>2.32</v>
      </c>
      <c r="K1915" s="0" t="n">
        <v>48.68</v>
      </c>
      <c r="M1915" s="0" t="n">
        <v>2032</v>
      </c>
      <c r="N1915" s="0" t="n">
        <v>427.88</v>
      </c>
      <c r="O1915" s="0" t="n">
        <v>8979.78</v>
      </c>
      <c r="Q1915" s="0" t="n">
        <v>2034</v>
      </c>
      <c r="R1915" s="0" t="n">
        <v>294</v>
      </c>
      <c r="W1915" s="0" t="n">
        <v>2032</v>
      </c>
      <c r="X1915" s="0" t="n">
        <v>6914.86</v>
      </c>
    </row>
    <row r="1916" customFormat="false" ht="15" hidden="false" customHeight="false" outlineLevel="0" collapsed="false">
      <c r="A1916" s="0" t="n">
        <v>2031</v>
      </c>
      <c r="B1916" s="0" t="n">
        <v>7.755897941</v>
      </c>
      <c r="C1916" s="0" t="n">
        <v>162.8738568</v>
      </c>
      <c r="E1916" s="0" t="n">
        <v>2032</v>
      </c>
      <c r="F1916" s="0" t="n">
        <v>89.976652</v>
      </c>
      <c r="G1916" s="0" t="n">
        <v>1888.681686</v>
      </c>
      <c r="I1916" s="0" t="n">
        <v>2028</v>
      </c>
      <c r="J1916" s="0" t="n">
        <v>1.16</v>
      </c>
      <c r="K1916" s="0" t="n">
        <v>24.34</v>
      </c>
      <c r="M1916" s="0" t="n">
        <v>2032</v>
      </c>
      <c r="N1916" s="0" t="n">
        <v>281.5</v>
      </c>
      <c r="O1916" s="0" t="n">
        <v>5907.75</v>
      </c>
      <c r="Q1916" s="0" t="n">
        <v>2034</v>
      </c>
      <c r="R1916" s="0" t="n">
        <v>279</v>
      </c>
      <c r="W1916" s="0" t="n">
        <v>2032</v>
      </c>
      <c r="X1916" s="0" t="n">
        <v>1728.715</v>
      </c>
    </row>
    <row r="1917" customFormat="false" ht="15" hidden="false" customHeight="false" outlineLevel="0" collapsed="false">
      <c r="A1917" s="0" t="n">
        <v>2031</v>
      </c>
      <c r="B1917" s="0" t="n">
        <v>17.34171383</v>
      </c>
      <c r="C1917" s="0" t="n">
        <v>364.1759903</v>
      </c>
      <c r="E1917" s="0" t="n">
        <v>2032</v>
      </c>
      <c r="F1917" s="0" t="n">
        <v>36.014524</v>
      </c>
      <c r="G1917" s="0" t="n">
        <v>755.973582</v>
      </c>
      <c r="I1917" s="0" t="n">
        <v>2028</v>
      </c>
      <c r="J1917" s="0" t="n">
        <v>1.16</v>
      </c>
      <c r="K1917" s="0" t="n">
        <v>24.34</v>
      </c>
      <c r="M1917" s="0" t="n">
        <v>2032</v>
      </c>
      <c r="N1917" s="0" t="n">
        <v>112.6</v>
      </c>
      <c r="O1917" s="0" t="n">
        <v>2363.1</v>
      </c>
      <c r="Q1917" s="0" t="n">
        <v>2034</v>
      </c>
      <c r="R1917" s="0" t="n">
        <v>132</v>
      </c>
      <c r="W1917" s="0" t="n">
        <v>2032</v>
      </c>
      <c r="X1917" s="0" t="n">
        <v>535.344</v>
      </c>
    </row>
    <row r="1918" customFormat="false" ht="15" hidden="false" customHeight="false" outlineLevel="0" collapsed="false">
      <c r="A1918" s="0" t="n">
        <v>2031</v>
      </c>
      <c r="B1918" s="0" t="n">
        <v>87.80131852</v>
      </c>
      <c r="C1918" s="0" t="n">
        <v>1843.827689</v>
      </c>
      <c r="E1918" s="0" t="n">
        <v>2032</v>
      </c>
      <c r="F1918" s="0" t="n">
        <v>5.058868</v>
      </c>
      <c r="G1918" s="0" t="n">
        <v>106.189674</v>
      </c>
      <c r="I1918" s="0" t="n">
        <v>2028</v>
      </c>
      <c r="J1918" s="0" t="n">
        <v>2.32</v>
      </c>
      <c r="K1918" s="0" t="n">
        <v>48.68</v>
      </c>
      <c r="M1918" s="0" t="n">
        <v>2032</v>
      </c>
      <c r="N1918" s="0" t="n">
        <v>112.6</v>
      </c>
      <c r="O1918" s="0" t="n">
        <v>2363.1</v>
      </c>
      <c r="Q1918" s="0" t="n">
        <v>2034</v>
      </c>
      <c r="R1918" s="0" t="n">
        <v>29</v>
      </c>
      <c r="W1918" s="0" t="n">
        <v>2032</v>
      </c>
      <c r="X1918" s="0" t="n">
        <v>948.005</v>
      </c>
    </row>
    <row r="1919" customFormat="false" ht="15" hidden="false" customHeight="false" outlineLevel="0" collapsed="false">
      <c r="A1919" s="0" t="n">
        <v>2031</v>
      </c>
      <c r="B1919" s="0" t="n">
        <v>22.14608885</v>
      </c>
      <c r="C1919" s="0" t="n">
        <v>465.0678659</v>
      </c>
      <c r="E1919" s="0" t="n">
        <v>2032</v>
      </c>
      <c r="F1919" s="0" t="n">
        <v>120.932308</v>
      </c>
      <c r="G1919" s="0" t="n">
        <v>2538.465594</v>
      </c>
      <c r="I1919" s="0" t="n">
        <v>2028</v>
      </c>
      <c r="J1919" s="0" t="n">
        <v>4.06</v>
      </c>
      <c r="K1919" s="0" t="n">
        <v>85.19</v>
      </c>
      <c r="M1919" s="0" t="n">
        <v>2032</v>
      </c>
      <c r="N1919" s="0" t="n">
        <v>67.56</v>
      </c>
      <c r="O1919" s="0" t="n">
        <v>1417.86</v>
      </c>
      <c r="Q1919" s="0" t="n">
        <v>2034</v>
      </c>
      <c r="R1919" s="0" t="n">
        <v>28</v>
      </c>
      <c r="W1919" s="0" t="n">
        <v>2032</v>
      </c>
      <c r="X1919" s="0" t="n">
        <v>423.814</v>
      </c>
    </row>
    <row r="1920" customFormat="false" ht="15" hidden="false" customHeight="false" outlineLevel="0" collapsed="false">
      <c r="A1920" s="0" t="n">
        <v>2031</v>
      </c>
      <c r="B1920" s="0" t="n">
        <v>19.7488979</v>
      </c>
      <c r="C1920" s="0" t="n">
        <v>414.7268559</v>
      </c>
      <c r="E1920" s="0" t="n">
        <v>2032</v>
      </c>
      <c r="F1920" s="0" t="n">
        <v>5.661316</v>
      </c>
      <c r="G1920" s="0" t="n">
        <v>118.835538</v>
      </c>
      <c r="I1920" s="0" t="n">
        <v>2028</v>
      </c>
      <c r="J1920" s="0" t="n">
        <v>1.74</v>
      </c>
      <c r="K1920" s="0" t="n">
        <v>36.51</v>
      </c>
      <c r="M1920" s="0" t="n">
        <v>2032</v>
      </c>
      <c r="N1920" s="0" t="n">
        <v>56.3</v>
      </c>
      <c r="O1920" s="0" t="n">
        <v>1181.55</v>
      </c>
      <c r="Q1920" s="0" t="n">
        <v>2034</v>
      </c>
      <c r="R1920" s="0" t="n">
        <v>28</v>
      </c>
      <c r="W1920" s="0" t="n">
        <v>2032</v>
      </c>
      <c r="X1920" s="0" t="n">
        <v>167.295</v>
      </c>
    </row>
    <row r="1921" customFormat="false" ht="15" hidden="false" customHeight="false" outlineLevel="0" collapsed="false">
      <c r="A1921" s="0" t="n">
        <v>2031</v>
      </c>
      <c r="B1921" s="0" t="n">
        <v>13.73418808</v>
      </c>
      <c r="C1921" s="0" t="n">
        <v>288.4179497</v>
      </c>
      <c r="E1921" s="0" t="n">
        <v>2032</v>
      </c>
      <c r="F1921" s="0" t="n">
        <v>30.955656</v>
      </c>
      <c r="G1921" s="0" t="n">
        <v>649.783908</v>
      </c>
      <c r="I1921" s="0" t="n">
        <v>2028</v>
      </c>
      <c r="J1921" s="0" t="n">
        <v>1.74</v>
      </c>
      <c r="K1921" s="0" t="n">
        <v>36.51</v>
      </c>
      <c r="M1921" s="0" t="n">
        <v>2032</v>
      </c>
      <c r="N1921" s="0" t="n">
        <v>45.04</v>
      </c>
      <c r="O1921" s="0" t="n">
        <v>945.24</v>
      </c>
      <c r="Q1921" s="0" t="n">
        <v>2034</v>
      </c>
      <c r="R1921" s="0" t="n">
        <v>124</v>
      </c>
      <c r="W1921" s="0" t="n">
        <v>2032</v>
      </c>
      <c r="X1921" s="0" t="n">
        <v>245.366</v>
      </c>
    </row>
    <row r="1922" customFormat="false" ht="15" hidden="false" customHeight="false" outlineLevel="0" collapsed="false">
      <c r="A1922" s="0" t="n">
        <v>2031</v>
      </c>
      <c r="B1922" s="0" t="n">
        <v>10.21594826</v>
      </c>
      <c r="C1922" s="0" t="n">
        <v>214.5349134</v>
      </c>
      <c r="E1922" s="0" t="n">
        <v>2032</v>
      </c>
      <c r="F1922" s="0" t="n">
        <v>28.305928</v>
      </c>
      <c r="G1922" s="0" t="n">
        <v>594.164004</v>
      </c>
      <c r="I1922" s="0" t="n">
        <v>2028</v>
      </c>
      <c r="J1922" s="0" t="n">
        <v>9.36</v>
      </c>
      <c r="K1922" s="0" t="n">
        <v>201.76</v>
      </c>
      <c r="M1922" s="0" t="n">
        <v>2032</v>
      </c>
      <c r="N1922" s="0" t="n">
        <v>22.52</v>
      </c>
      <c r="O1922" s="0" t="n">
        <v>472.62</v>
      </c>
      <c r="Q1922" s="0" t="n">
        <v>2034</v>
      </c>
      <c r="R1922" s="0" t="n">
        <v>118</v>
      </c>
      <c r="W1922" s="0" t="n">
        <v>2032</v>
      </c>
      <c r="X1922" s="0" t="n">
        <v>189.601</v>
      </c>
    </row>
    <row r="1923" customFormat="false" ht="15" hidden="false" customHeight="false" outlineLevel="0" collapsed="false">
      <c r="A1923" s="0" t="n">
        <v>2031</v>
      </c>
      <c r="B1923" s="0" t="n">
        <v>4.540421447</v>
      </c>
      <c r="C1923" s="0" t="n">
        <v>95.34885038</v>
      </c>
      <c r="E1923" s="0" t="n">
        <v>2032</v>
      </c>
      <c r="F1923" s="0" t="n">
        <v>215.85858</v>
      </c>
      <c r="G1923" s="0" t="n">
        <v>4528.404639</v>
      </c>
      <c r="I1923" s="0" t="n">
        <v>2028</v>
      </c>
      <c r="J1923" s="0" t="n">
        <v>1.44</v>
      </c>
      <c r="K1923" s="0" t="n">
        <v>31.04</v>
      </c>
      <c r="M1923" s="0" t="n">
        <v>2032</v>
      </c>
      <c r="N1923" s="0" t="n">
        <v>27.74</v>
      </c>
      <c r="O1923" s="0" t="n">
        <v>578.74</v>
      </c>
      <c r="Q1923" s="0" t="n">
        <v>2034</v>
      </c>
      <c r="R1923" s="0" t="n">
        <v>56</v>
      </c>
      <c r="W1923" s="0" t="n">
        <v>2032</v>
      </c>
      <c r="X1923" s="0" t="n">
        <v>1755.84</v>
      </c>
    </row>
    <row r="1924" customFormat="false" ht="15" hidden="false" customHeight="false" outlineLevel="0" collapsed="false">
      <c r="A1924" s="0" t="n">
        <v>2031</v>
      </c>
      <c r="B1924" s="0" t="n">
        <v>16.77040662</v>
      </c>
      <c r="C1924" s="0" t="n">
        <v>352.178539</v>
      </c>
      <c r="E1924" s="0" t="n">
        <v>2032</v>
      </c>
      <c r="F1924" s="0" t="n">
        <v>57.96042</v>
      </c>
      <c r="G1924" s="0" t="n">
        <v>1215.926811</v>
      </c>
      <c r="I1924" s="0" t="n">
        <v>2028</v>
      </c>
      <c r="J1924" s="0" t="n">
        <v>1.08</v>
      </c>
      <c r="K1924" s="0" t="n">
        <v>23.28</v>
      </c>
      <c r="M1924" s="0" t="n">
        <v>2032</v>
      </c>
      <c r="N1924" s="0" t="n">
        <v>18.25</v>
      </c>
      <c r="O1924" s="0" t="n">
        <v>380.75</v>
      </c>
      <c r="Q1924" s="0" t="n">
        <v>2034</v>
      </c>
      <c r="R1924" s="0" t="n">
        <v>12</v>
      </c>
      <c r="W1924" s="0" t="n">
        <v>2032</v>
      </c>
      <c r="X1924" s="0" t="n">
        <v>438.96</v>
      </c>
    </row>
    <row r="1925" customFormat="false" ht="15" hidden="false" customHeight="false" outlineLevel="0" collapsed="false">
      <c r="A1925" s="0" t="n">
        <v>2031</v>
      </c>
      <c r="B1925" s="0" t="n">
        <v>5.249722891</v>
      </c>
      <c r="C1925" s="0" t="n">
        <v>110.2441807</v>
      </c>
      <c r="E1925" s="0" t="n">
        <v>2032</v>
      </c>
      <c r="F1925" s="0" t="n">
        <v>23.19954</v>
      </c>
      <c r="G1925" s="0" t="n">
        <v>486.693207</v>
      </c>
      <c r="I1925" s="0" t="n">
        <v>2028</v>
      </c>
      <c r="J1925" s="0" t="n">
        <v>1.8</v>
      </c>
      <c r="K1925" s="0" t="n">
        <v>38.8</v>
      </c>
      <c r="M1925" s="0" t="n">
        <v>2032</v>
      </c>
      <c r="N1925" s="0" t="n">
        <v>7.3</v>
      </c>
      <c r="O1925" s="0" t="n">
        <v>152.3</v>
      </c>
      <c r="Q1925" s="0" t="n">
        <v>2034</v>
      </c>
      <c r="R1925" s="0" t="n">
        <v>13</v>
      </c>
      <c r="W1925" s="0" t="n">
        <v>2032</v>
      </c>
      <c r="X1925" s="0" t="n">
        <v>135.936</v>
      </c>
    </row>
    <row r="1926" customFormat="false" ht="15" hidden="false" customHeight="false" outlineLevel="0" collapsed="false">
      <c r="A1926" s="0" t="n">
        <v>2031</v>
      </c>
      <c r="B1926" s="0" t="n">
        <v>11.73805957</v>
      </c>
      <c r="C1926" s="0" t="n">
        <v>246.4992509</v>
      </c>
      <c r="E1926" s="0" t="n">
        <v>2032</v>
      </c>
      <c r="F1926" s="0" t="n">
        <v>3.25878</v>
      </c>
      <c r="G1926" s="0" t="n">
        <v>68.364549</v>
      </c>
      <c r="I1926" s="0" t="n">
        <v>2028</v>
      </c>
      <c r="J1926" s="0" t="n">
        <v>0.36</v>
      </c>
      <c r="K1926" s="0" t="n">
        <v>7.76</v>
      </c>
      <c r="M1926" s="0" t="n">
        <v>2032</v>
      </c>
      <c r="N1926" s="0" t="n">
        <v>7.3</v>
      </c>
      <c r="O1926" s="0" t="n">
        <v>152.3</v>
      </c>
      <c r="Q1926" s="0" t="n">
        <v>2034</v>
      </c>
      <c r="R1926" s="0" t="n">
        <v>13</v>
      </c>
      <c r="W1926" s="0" t="n">
        <v>2032</v>
      </c>
      <c r="X1926" s="0" t="n">
        <v>240.72</v>
      </c>
    </row>
    <row r="1927" customFormat="false" ht="15" hidden="false" customHeight="false" outlineLevel="0" collapsed="false">
      <c r="A1927" s="0" t="n">
        <v>2031</v>
      </c>
      <c r="B1927" s="0" t="n">
        <v>537.912534</v>
      </c>
      <c r="C1927" s="0" t="n">
        <v>11296.16321</v>
      </c>
      <c r="E1927" s="0" t="n">
        <v>2032</v>
      </c>
      <c r="F1927" s="0" t="n">
        <v>77.90118</v>
      </c>
      <c r="G1927" s="0" t="n">
        <v>1634.255469</v>
      </c>
      <c r="I1927" s="0" t="n">
        <v>2028</v>
      </c>
      <c r="J1927" s="0" t="n">
        <v>0.36</v>
      </c>
      <c r="K1927" s="0" t="n">
        <v>7.76</v>
      </c>
      <c r="M1927" s="0" t="n">
        <v>2032</v>
      </c>
      <c r="N1927" s="0" t="n">
        <v>4.38</v>
      </c>
      <c r="O1927" s="0" t="n">
        <v>91.38</v>
      </c>
      <c r="Q1927" s="0" t="n">
        <v>2034</v>
      </c>
      <c r="R1927" s="0" t="n">
        <v>87</v>
      </c>
      <c r="W1927" s="0" t="n">
        <v>2032</v>
      </c>
      <c r="X1927" s="0" t="n">
        <v>107.616</v>
      </c>
    </row>
    <row r="1928" customFormat="false" ht="15" hidden="false" customHeight="false" outlineLevel="0" collapsed="false">
      <c r="A1928" s="0" t="n">
        <v>2031</v>
      </c>
      <c r="B1928" s="0" t="n">
        <v>135.6774474</v>
      </c>
      <c r="C1928" s="0" t="n">
        <v>2849.226395</v>
      </c>
      <c r="E1928" s="0" t="n">
        <v>2032</v>
      </c>
      <c r="F1928" s="0" t="n">
        <v>3.64686</v>
      </c>
      <c r="G1928" s="0" t="n">
        <v>76.505913</v>
      </c>
      <c r="I1928" s="0" t="n">
        <v>2028</v>
      </c>
      <c r="J1928" s="0" t="n">
        <v>0</v>
      </c>
      <c r="K1928" s="0" t="n">
        <v>0</v>
      </c>
      <c r="M1928" s="0" t="n">
        <v>2032</v>
      </c>
      <c r="N1928" s="0" t="n">
        <v>3.65</v>
      </c>
      <c r="O1928" s="0" t="n">
        <v>76.15</v>
      </c>
      <c r="Q1928" s="0" t="n">
        <v>2034</v>
      </c>
      <c r="R1928" s="0" t="n">
        <v>82</v>
      </c>
      <c r="W1928" s="0" t="n">
        <v>2032</v>
      </c>
      <c r="X1928" s="0" t="n">
        <v>42.48</v>
      </c>
    </row>
    <row r="1929" customFormat="false" ht="15" hidden="false" customHeight="false" outlineLevel="0" collapsed="false">
      <c r="A1929" s="0" t="n">
        <v>2031</v>
      </c>
      <c r="B1929" s="0" t="n">
        <v>120.9911183</v>
      </c>
      <c r="C1929" s="0" t="n">
        <v>2540.813483</v>
      </c>
      <c r="E1929" s="0" t="n">
        <v>2032</v>
      </c>
      <c r="F1929" s="0" t="n">
        <v>19.94076</v>
      </c>
      <c r="G1929" s="0" t="n">
        <v>418.328658</v>
      </c>
      <c r="I1929" s="0" t="n">
        <v>2028</v>
      </c>
      <c r="J1929" s="0" t="n">
        <v>0.72</v>
      </c>
      <c r="K1929" s="0" t="n">
        <v>15.52</v>
      </c>
      <c r="M1929" s="0" t="n">
        <v>2032</v>
      </c>
      <c r="N1929" s="0" t="n">
        <v>2.92</v>
      </c>
      <c r="O1929" s="0" t="n">
        <v>60.92</v>
      </c>
      <c r="Q1929" s="0" t="n">
        <v>2034</v>
      </c>
      <c r="R1929" s="0" t="n">
        <v>39</v>
      </c>
      <c r="W1929" s="0" t="n">
        <v>2032</v>
      </c>
      <c r="X1929" s="0" t="n">
        <v>62.304</v>
      </c>
    </row>
    <row r="1930" customFormat="false" ht="15" hidden="false" customHeight="false" outlineLevel="0" collapsed="false">
      <c r="A1930" s="0" t="n">
        <v>2031</v>
      </c>
      <c r="B1930" s="0" t="n">
        <v>84.14215228</v>
      </c>
      <c r="C1930" s="0" t="n">
        <v>1766.985198</v>
      </c>
      <c r="E1930" s="0" t="n">
        <v>2032</v>
      </c>
      <c r="F1930" s="0" t="n">
        <v>18.23388</v>
      </c>
      <c r="G1930" s="0" t="n">
        <v>382.520754</v>
      </c>
      <c r="I1930" s="0" t="n">
        <v>2028</v>
      </c>
      <c r="J1930" s="0" t="n">
        <v>1.26</v>
      </c>
      <c r="K1930" s="0" t="n">
        <v>27.16</v>
      </c>
      <c r="M1930" s="0" t="n">
        <v>2032</v>
      </c>
      <c r="N1930" s="0" t="n">
        <v>1.46</v>
      </c>
      <c r="O1930" s="0" t="n">
        <v>30.46</v>
      </c>
      <c r="Q1930" s="0" t="n">
        <v>2034</v>
      </c>
      <c r="R1930" s="0" t="n">
        <v>9</v>
      </c>
      <c r="W1930" s="0" t="n">
        <v>2032</v>
      </c>
      <c r="X1930" s="0" t="n">
        <v>48.144</v>
      </c>
    </row>
    <row r="1931" customFormat="false" ht="15" hidden="false" customHeight="false" outlineLevel="0" collapsed="false">
      <c r="A1931" s="0" t="n">
        <v>2031</v>
      </c>
      <c r="B1931" s="0" t="n">
        <v>62.5877459</v>
      </c>
      <c r="C1931" s="0" t="n">
        <v>1314.342664</v>
      </c>
      <c r="E1931" s="0" t="n">
        <v>2032</v>
      </c>
      <c r="F1931" s="0" t="n">
        <v>223.567815</v>
      </c>
      <c r="G1931" s="0" t="n">
        <v>4691.840421</v>
      </c>
      <c r="I1931" s="0" t="n">
        <v>2028</v>
      </c>
      <c r="J1931" s="0" t="n">
        <v>0.36</v>
      </c>
      <c r="K1931" s="0" t="n">
        <v>7.76</v>
      </c>
      <c r="M1931" s="0" t="n">
        <v>2032</v>
      </c>
      <c r="N1931" s="0" t="n">
        <v>49.02</v>
      </c>
      <c r="O1931" s="0" t="n">
        <v>1022.96</v>
      </c>
      <c r="Q1931" s="0" t="n">
        <v>2034</v>
      </c>
      <c r="R1931" s="0" t="n">
        <v>8</v>
      </c>
      <c r="W1931" s="0" t="n">
        <v>2032</v>
      </c>
      <c r="X1931" s="0" t="n">
        <v>3091.32</v>
      </c>
    </row>
    <row r="1932" customFormat="false" ht="15" hidden="false" customHeight="false" outlineLevel="0" collapsed="false">
      <c r="A1932" s="0" t="n">
        <v>2031</v>
      </c>
      <c r="B1932" s="0" t="n">
        <v>27.81677595</v>
      </c>
      <c r="C1932" s="0" t="n">
        <v>584.152295</v>
      </c>
      <c r="E1932" s="0" t="n">
        <v>2032</v>
      </c>
      <c r="F1932" s="0" t="n">
        <v>60.030435</v>
      </c>
      <c r="G1932" s="0" t="n">
        <v>1259.811129</v>
      </c>
      <c r="I1932" s="0" t="n">
        <v>2028</v>
      </c>
      <c r="J1932" s="0" t="n">
        <v>1.26</v>
      </c>
      <c r="K1932" s="0" t="n">
        <v>27.16</v>
      </c>
      <c r="M1932" s="0" t="n">
        <v>2032</v>
      </c>
      <c r="N1932" s="0" t="n">
        <v>32.25</v>
      </c>
      <c r="O1932" s="0" t="n">
        <v>673</v>
      </c>
      <c r="Q1932" s="0" t="n">
        <v>2034</v>
      </c>
      <c r="R1932" s="0" t="n">
        <v>8</v>
      </c>
      <c r="W1932" s="0" t="n">
        <v>2032</v>
      </c>
      <c r="X1932" s="0" t="n">
        <v>772.83</v>
      </c>
    </row>
    <row r="1933" customFormat="false" ht="15" hidden="false" customHeight="false" outlineLevel="0" collapsed="false">
      <c r="A1933" s="0" t="n">
        <v>2031</v>
      </c>
      <c r="B1933" s="0" t="n">
        <v>102.7434675</v>
      </c>
      <c r="C1933" s="0" t="n">
        <v>2157.612818</v>
      </c>
      <c r="E1933" s="0" t="n">
        <v>2032</v>
      </c>
      <c r="F1933" s="0" t="n">
        <v>24.028095</v>
      </c>
      <c r="G1933" s="0" t="n">
        <v>504.258573</v>
      </c>
      <c r="I1933" s="0" t="n">
        <v>2028</v>
      </c>
      <c r="J1933" s="0" t="n">
        <v>125.76</v>
      </c>
      <c r="K1933" s="0" t="n">
        <v>2645.28</v>
      </c>
      <c r="M1933" s="0" t="n">
        <v>2032</v>
      </c>
      <c r="N1933" s="0" t="n">
        <v>12.9</v>
      </c>
      <c r="O1933" s="0" t="n">
        <v>269.2</v>
      </c>
      <c r="Q1933" s="0" t="n">
        <v>2034</v>
      </c>
      <c r="R1933" s="0" t="n">
        <v>185</v>
      </c>
      <c r="W1933" s="0" t="n">
        <v>2032</v>
      </c>
      <c r="X1933" s="0" t="n">
        <v>239.328</v>
      </c>
    </row>
    <row r="1934" customFormat="false" ht="15" hidden="false" customHeight="false" outlineLevel="0" collapsed="false">
      <c r="A1934" s="0" t="n">
        <v>2031</v>
      </c>
      <c r="B1934" s="0" t="n">
        <v>32.16229312</v>
      </c>
      <c r="C1934" s="0" t="n">
        <v>675.4081556</v>
      </c>
      <c r="E1934" s="0" t="n">
        <v>2032</v>
      </c>
      <c r="F1934" s="0" t="n">
        <v>3.375165</v>
      </c>
      <c r="G1934" s="0" t="n">
        <v>70.831911</v>
      </c>
      <c r="I1934" s="0" t="n">
        <v>2028</v>
      </c>
      <c r="J1934" s="0" t="n">
        <v>41.92</v>
      </c>
      <c r="K1934" s="0" t="n">
        <v>881.76</v>
      </c>
      <c r="M1934" s="0" t="n">
        <v>2032</v>
      </c>
      <c r="N1934" s="0" t="n">
        <v>12.9</v>
      </c>
      <c r="O1934" s="0" t="n">
        <v>269.2</v>
      </c>
      <c r="Q1934" s="0" t="n">
        <v>2034</v>
      </c>
      <c r="R1934" s="0" t="n">
        <v>176</v>
      </c>
      <c r="W1934" s="0" t="n">
        <v>2032</v>
      </c>
      <c r="X1934" s="0" t="n">
        <v>423.81</v>
      </c>
    </row>
    <row r="1935" customFormat="false" ht="15" hidden="false" customHeight="false" outlineLevel="0" collapsed="false">
      <c r="A1935" s="0" t="n">
        <v>2031</v>
      </c>
      <c r="B1935" s="0" t="n">
        <v>71.91292196</v>
      </c>
      <c r="C1935" s="0" t="n">
        <v>1510.171361</v>
      </c>
      <c r="E1935" s="0" t="n">
        <v>2032</v>
      </c>
      <c r="F1935" s="0" t="n">
        <v>80.683365</v>
      </c>
      <c r="G1935" s="0" t="n">
        <v>1693.237791</v>
      </c>
      <c r="I1935" s="0" t="n">
        <v>2028</v>
      </c>
      <c r="J1935" s="0" t="n">
        <v>18.34</v>
      </c>
      <c r="K1935" s="0" t="n">
        <v>385.77</v>
      </c>
      <c r="M1935" s="0" t="n">
        <v>2032</v>
      </c>
      <c r="N1935" s="0" t="n">
        <v>7.74</v>
      </c>
      <c r="O1935" s="0" t="n">
        <v>161.52</v>
      </c>
      <c r="Q1935" s="0" t="n">
        <v>2034</v>
      </c>
      <c r="R1935" s="0" t="n">
        <v>83</v>
      </c>
      <c r="W1935" s="0" t="n">
        <v>2032</v>
      </c>
      <c r="X1935" s="0" t="n">
        <v>189.468</v>
      </c>
    </row>
    <row r="1936" customFormat="false" ht="15" hidden="false" customHeight="false" outlineLevel="0" collapsed="false">
      <c r="A1936" s="0" t="n">
        <v>2031</v>
      </c>
      <c r="B1936" s="0" t="n">
        <v>237.4260425</v>
      </c>
      <c r="C1936" s="0" t="n">
        <v>4985.946893</v>
      </c>
      <c r="E1936" s="0" t="n">
        <v>2032</v>
      </c>
      <c r="F1936" s="0" t="n">
        <v>3.777105</v>
      </c>
      <c r="G1936" s="0" t="n">
        <v>79.267107</v>
      </c>
      <c r="I1936" s="0" t="n">
        <v>2028</v>
      </c>
      <c r="J1936" s="0" t="n">
        <v>10.48</v>
      </c>
      <c r="K1936" s="0" t="n">
        <v>220.44</v>
      </c>
      <c r="M1936" s="0" t="n">
        <v>2032</v>
      </c>
      <c r="N1936" s="0" t="n">
        <v>6.45</v>
      </c>
      <c r="O1936" s="0" t="n">
        <v>134.6</v>
      </c>
      <c r="Q1936" s="0" t="n">
        <v>2034</v>
      </c>
      <c r="R1936" s="0" t="n">
        <v>19</v>
      </c>
      <c r="W1936" s="0" t="n">
        <v>2032</v>
      </c>
      <c r="X1936" s="0" t="n">
        <v>74.79</v>
      </c>
    </row>
    <row r="1937" customFormat="false" ht="15" hidden="false" customHeight="false" outlineLevel="0" collapsed="false">
      <c r="A1937" s="0" t="n">
        <v>2031</v>
      </c>
      <c r="B1937" s="0" t="n">
        <v>59.88586871</v>
      </c>
      <c r="C1937" s="0" t="n">
        <v>1257.603243</v>
      </c>
      <c r="E1937" s="0" t="n">
        <v>2032</v>
      </c>
      <c r="F1937" s="0" t="n">
        <v>20.65293</v>
      </c>
      <c r="G1937" s="0" t="n">
        <v>433.426662</v>
      </c>
      <c r="I1937" s="0" t="n">
        <v>2028</v>
      </c>
      <c r="J1937" s="0" t="n">
        <v>10.48</v>
      </c>
      <c r="K1937" s="0" t="n">
        <v>220.44</v>
      </c>
      <c r="M1937" s="0" t="n">
        <v>2032</v>
      </c>
      <c r="N1937" s="0" t="n">
        <v>5.16</v>
      </c>
      <c r="O1937" s="0" t="n">
        <v>107.68</v>
      </c>
      <c r="Q1937" s="0" t="n">
        <v>2034</v>
      </c>
      <c r="R1937" s="0" t="n">
        <v>19</v>
      </c>
      <c r="W1937" s="0" t="n">
        <v>2032</v>
      </c>
      <c r="X1937" s="0" t="n">
        <v>109.692</v>
      </c>
    </row>
    <row r="1938" customFormat="false" ht="15" hidden="false" customHeight="false" outlineLevel="0" collapsed="false">
      <c r="A1938" s="0" t="n">
        <v>2031</v>
      </c>
      <c r="B1938" s="0" t="n">
        <v>53.40355647</v>
      </c>
      <c r="C1938" s="0" t="n">
        <v>1121.474686</v>
      </c>
      <c r="E1938" s="0" t="n">
        <v>2032</v>
      </c>
      <c r="F1938" s="0" t="n">
        <v>18.88509</v>
      </c>
      <c r="G1938" s="0" t="n">
        <v>396.326406</v>
      </c>
      <c r="I1938" s="0" t="n">
        <v>2028</v>
      </c>
      <c r="J1938" s="0" t="n">
        <v>5.24</v>
      </c>
      <c r="K1938" s="0" t="n">
        <v>110.22</v>
      </c>
      <c r="M1938" s="0" t="n">
        <v>2032</v>
      </c>
      <c r="N1938" s="0" t="n">
        <v>2.58</v>
      </c>
      <c r="O1938" s="0" t="n">
        <v>53.84</v>
      </c>
      <c r="Q1938" s="0" t="n">
        <v>2034</v>
      </c>
      <c r="R1938" s="0" t="n">
        <v>19</v>
      </c>
      <c r="W1938" s="0" t="n">
        <v>2032</v>
      </c>
      <c r="X1938" s="0" t="n">
        <v>84.762</v>
      </c>
    </row>
    <row r="1939" customFormat="false" ht="15" hidden="false" customHeight="false" outlineLevel="0" collapsed="false">
      <c r="A1939" s="0" t="n">
        <v>2031</v>
      </c>
      <c r="B1939" s="0" t="n">
        <v>37.1390086</v>
      </c>
      <c r="C1939" s="0" t="n">
        <v>779.9191805</v>
      </c>
      <c r="E1939" s="0" t="n">
        <v>2032</v>
      </c>
      <c r="F1939" s="0" t="n">
        <v>839.792666</v>
      </c>
      <c r="G1939" s="0" t="n">
        <v>17634.61809</v>
      </c>
      <c r="I1939" s="0" t="n">
        <v>2028</v>
      </c>
      <c r="J1939" s="0" t="n">
        <v>5.24</v>
      </c>
      <c r="K1939" s="0" t="n">
        <v>110.22</v>
      </c>
      <c r="M1939" s="0" t="n">
        <v>2032</v>
      </c>
      <c r="N1939" s="0" t="n">
        <v>57.76</v>
      </c>
      <c r="O1939" s="0" t="n">
        <v>1207.26</v>
      </c>
      <c r="Q1939" s="0" t="n">
        <v>2034</v>
      </c>
      <c r="R1939" s="0" t="n">
        <v>654</v>
      </c>
      <c r="W1939" s="0" t="n">
        <v>2032</v>
      </c>
      <c r="X1939" s="0" t="n">
        <v>29235.48</v>
      </c>
    </row>
    <row r="1940" customFormat="false" ht="15" hidden="false" customHeight="false" outlineLevel="0" collapsed="false">
      <c r="A1940" s="0" t="n">
        <v>2031</v>
      </c>
      <c r="B1940" s="0" t="n">
        <v>27.62523622</v>
      </c>
      <c r="C1940" s="0" t="n">
        <v>580.1299607</v>
      </c>
      <c r="E1940" s="0" t="n">
        <v>2032</v>
      </c>
      <c r="F1940" s="0" t="n">
        <v>225.493634</v>
      </c>
      <c r="G1940" s="0" t="n">
        <v>4735.090312</v>
      </c>
      <c r="I1940" s="0" t="n">
        <v>2028</v>
      </c>
      <c r="J1940" s="0" t="n">
        <v>10.48</v>
      </c>
      <c r="K1940" s="0" t="n">
        <v>220.44</v>
      </c>
      <c r="M1940" s="0" t="n">
        <v>2032</v>
      </c>
      <c r="N1940" s="0" t="n">
        <v>38</v>
      </c>
      <c r="O1940" s="0" t="n">
        <v>794.25</v>
      </c>
      <c r="Q1940" s="0" t="n">
        <v>2034</v>
      </c>
      <c r="R1940" s="0" t="n">
        <v>621</v>
      </c>
      <c r="W1940" s="0" t="n">
        <v>2032</v>
      </c>
      <c r="X1940" s="0" t="n">
        <v>7308.87</v>
      </c>
    </row>
    <row r="1941" customFormat="false" ht="15" hidden="false" customHeight="false" outlineLevel="0" collapsed="false">
      <c r="A1941" s="0" t="n">
        <v>2031</v>
      </c>
      <c r="B1941" s="0" t="n">
        <v>12.27788277</v>
      </c>
      <c r="C1941" s="0" t="n">
        <v>257.8355381</v>
      </c>
      <c r="E1941" s="0" t="n">
        <v>2032</v>
      </c>
      <c r="F1941" s="0" t="n">
        <v>90.257258</v>
      </c>
      <c r="G1941" s="0" t="n">
        <v>1895.291944</v>
      </c>
      <c r="I1941" s="0" t="n">
        <v>2028</v>
      </c>
      <c r="J1941" s="0" t="n">
        <v>18.34</v>
      </c>
      <c r="K1941" s="0" t="n">
        <v>385.77</v>
      </c>
      <c r="M1941" s="0" t="n">
        <v>2032</v>
      </c>
      <c r="N1941" s="0" t="n">
        <v>15.2</v>
      </c>
      <c r="O1941" s="0" t="n">
        <v>317.7</v>
      </c>
      <c r="Q1941" s="0" t="n">
        <v>2034</v>
      </c>
      <c r="R1941" s="0" t="n">
        <v>294</v>
      </c>
      <c r="W1941" s="0" t="n">
        <v>2032</v>
      </c>
      <c r="X1941" s="0" t="n">
        <v>2263.392</v>
      </c>
    </row>
    <row r="1942" customFormat="false" ht="15" hidden="false" customHeight="false" outlineLevel="0" collapsed="false">
      <c r="A1942" s="0" t="n">
        <v>2031</v>
      </c>
      <c r="B1942" s="0" t="n">
        <v>45.34933349</v>
      </c>
      <c r="C1942" s="0" t="n">
        <v>952.3360033</v>
      </c>
      <c r="E1942" s="0" t="n">
        <v>2032</v>
      </c>
      <c r="F1942" s="0" t="n">
        <v>12.678206</v>
      </c>
      <c r="G1942" s="0" t="n">
        <v>266.226808</v>
      </c>
      <c r="I1942" s="0" t="n">
        <v>2028</v>
      </c>
      <c r="J1942" s="0" t="n">
        <v>7.86</v>
      </c>
      <c r="K1942" s="0" t="n">
        <v>165.33</v>
      </c>
      <c r="M1942" s="0" t="n">
        <v>2032</v>
      </c>
      <c r="N1942" s="0" t="n">
        <v>15.2</v>
      </c>
      <c r="O1942" s="0" t="n">
        <v>317.7</v>
      </c>
      <c r="Q1942" s="0" t="n">
        <v>2034</v>
      </c>
      <c r="R1942" s="0" t="n">
        <v>65</v>
      </c>
      <c r="W1942" s="0" t="n">
        <v>2032</v>
      </c>
      <c r="X1942" s="0" t="n">
        <v>4008.09</v>
      </c>
    </row>
    <row r="1943" customFormat="false" ht="15" hidden="false" customHeight="false" outlineLevel="0" collapsed="false">
      <c r="A1943" s="0" t="n">
        <v>2031</v>
      </c>
      <c r="B1943" s="0" t="n">
        <v>14.19592497</v>
      </c>
      <c r="C1943" s="0" t="n">
        <v>298.1144244</v>
      </c>
      <c r="E1943" s="0" t="n">
        <v>2032</v>
      </c>
      <c r="F1943" s="0" t="n">
        <v>303.072686</v>
      </c>
      <c r="G1943" s="0" t="n">
        <v>6364.155448</v>
      </c>
      <c r="I1943" s="0" t="n">
        <v>2028</v>
      </c>
      <c r="J1943" s="0" t="n">
        <v>7.86</v>
      </c>
      <c r="K1943" s="0" t="n">
        <v>165.33</v>
      </c>
      <c r="M1943" s="0" t="n">
        <v>2032</v>
      </c>
      <c r="N1943" s="0" t="n">
        <v>9.12</v>
      </c>
      <c r="O1943" s="0" t="n">
        <v>190.62</v>
      </c>
      <c r="Q1943" s="0" t="n">
        <v>2034</v>
      </c>
      <c r="R1943" s="0" t="n">
        <v>61</v>
      </c>
      <c r="W1943" s="0" t="n">
        <v>2032</v>
      </c>
      <c r="X1943" s="0" t="n">
        <v>1791.852</v>
      </c>
    </row>
    <row r="1944" customFormat="false" ht="15" hidden="false" customHeight="false" outlineLevel="0" collapsed="false">
      <c r="A1944" s="0" t="n">
        <v>2031</v>
      </c>
      <c r="B1944" s="0" t="n">
        <v>31.74122071</v>
      </c>
      <c r="C1944" s="0" t="n">
        <v>666.565635</v>
      </c>
      <c r="E1944" s="0" t="n">
        <v>2032</v>
      </c>
      <c r="F1944" s="0" t="n">
        <v>14.188022</v>
      </c>
      <c r="G1944" s="0" t="n">
        <v>297.931096</v>
      </c>
      <c r="I1944" s="0" t="n">
        <v>2028</v>
      </c>
      <c r="J1944" s="0" t="n">
        <v>16.12</v>
      </c>
      <c r="K1944" s="0" t="n">
        <v>339.04</v>
      </c>
      <c r="M1944" s="0" t="n">
        <v>2032</v>
      </c>
      <c r="N1944" s="0" t="n">
        <v>7.6</v>
      </c>
      <c r="O1944" s="0" t="n">
        <v>158.85</v>
      </c>
      <c r="Q1944" s="0" t="n">
        <v>2034</v>
      </c>
      <c r="R1944" s="0" t="n">
        <v>61</v>
      </c>
      <c r="W1944" s="0" t="n">
        <v>2032</v>
      </c>
      <c r="X1944" s="0" t="n">
        <v>707.31</v>
      </c>
    </row>
    <row r="1945" customFormat="false" ht="15" hidden="false" customHeight="false" outlineLevel="0" collapsed="false">
      <c r="A1945" s="0" t="n">
        <v>2031</v>
      </c>
      <c r="B1945" s="0" t="n">
        <v>105.551454</v>
      </c>
      <c r="C1945" s="0" t="n">
        <v>2216.580534</v>
      </c>
      <c r="E1945" s="0" t="n">
        <v>2032</v>
      </c>
      <c r="F1945" s="0" t="n">
        <v>77.579052</v>
      </c>
      <c r="G1945" s="0" t="n">
        <v>1629.065136</v>
      </c>
      <c r="I1945" s="0" t="n">
        <v>2028</v>
      </c>
      <c r="J1945" s="0" t="n">
        <v>2.48</v>
      </c>
      <c r="K1945" s="0" t="n">
        <v>52.16</v>
      </c>
      <c r="M1945" s="0" t="n">
        <v>2032</v>
      </c>
      <c r="N1945" s="0" t="n">
        <v>6.08</v>
      </c>
      <c r="O1945" s="0" t="n">
        <v>127.08</v>
      </c>
      <c r="Q1945" s="0" t="n">
        <v>2034</v>
      </c>
      <c r="R1945" s="0" t="n">
        <v>117</v>
      </c>
      <c r="W1945" s="0" t="n">
        <v>2032</v>
      </c>
      <c r="X1945" s="0" t="n">
        <v>1037.388</v>
      </c>
    </row>
    <row r="1946" customFormat="false" ht="15" hidden="false" customHeight="false" outlineLevel="0" collapsed="false">
      <c r="A1946" s="0" t="n">
        <v>2031</v>
      </c>
      <c r="B1946" s="0" t="n">
        <v>26.6231979</v>
      </c>
      <c r="C1946" s="0" t="n">
        <v>559.0871559</v>
      </c>
      <c r="E1946" s="0" t="n">
        <v>2032</v>
      </c>
      <c r="F1946" s="0" t="n">
        <v>70.938476</v>
      </c>
      <c r="G1946" s="0" t="n">
        <v>1489.621168</v>
      </c>
      <c r="I1946" s="0" t="n">
        <v>2028</v>
      </c>
      <c r="J1946" s="0" t="n">
        <v>1.86</v>
      </c>
      <c r="K1946" s="0" t="n">
        <v>39.12</v>
      </c>
      <c r="M1946" s="0" t="n">
        <v>2032</v>
      </c>
      <c r="N1946" s="0" t="n">
        <v>3.04</v>
      </c>
      <c r="O1946" s="0" t="n">
        <v>63.54</v>
      </c>
      <c r="Q1946" s="0" t="n">
        <v>2034</v>
      </c>
      <c r="R1946" s="0" t="n">
        <v>111</v>
      </c>
      <c r="W1946" s="0" t="n">
        <v>2032</v>
      </c>
      <c r="X1946" s="0" t="n">
        <v>801.618</v>
      </c>
    </row>
    <row r="1947" customFormat="false" ht="15" hidden="false" customHeight="false" outlineLevel="0" collapsed="false">
      <c r="A1947" s="0" t="n">
        <v>2031</v>
      </c>
      <c r="B1947" s="0" t="n">
        <v>23.74138479</v>
      </c>
      <c r="C1947" s="0" t="n">
        <v>498.5690807</v>
      </c>
      <c r="E1947" s="0" t="n">
        <v>2032</v>
      </c>
      <c r="F1947" s="0" t="n">
        <v>886.048076</v>
      </c>
      <c r="G1947" s="0" t="n">
        <v>18601.35616</v>
      </c>
      <c r="I1947" s="0" t="n">
        <v>2028</v>
      </c>
      <c r="J1947" s="0" t="n">
        <v>3.1</v>
      </c>
      <c r="K1947" s="0" t="n">
        <v>65.2</v>
      </c>
      <c r="M1947" s="0" t="n">
        <v>2032</v>
      </c>
      <c r="N1947" s="0" t="n">
        <v>110.96</v>
      </c>
      <c r="O1947" s="0" t="n">
        <v>2324.84</v>
      </c>
      <c r="Q1947" s="0" t="n">
        <v>2034</v>
      </c>
      <c r="R1947" s="0" t="n">
        <v>53</v>
      </c>
      <c r="W1947" s="0" t="n">
        <v>2032</v>
      </c>
      <c r="X1947" s="0" t="n">
        <v>11631.2</v>
      </c>
    </row>
    <row r="1948" customFormat="false" ht="15" hidden="false" customHeight="false" outlineLevel="0" collapsed="false">
      <c r="A1948" s="0" t="n">
        <v>2031</v>
      </c>
      <c r="B1948" s="0" t="n">
        <v>16.5107261</v>
      </c>
      <c r="C1948" s="0" t="n">
        <v>346.7252482</v>
      </c>
      <c r="E1948" s="0" t="n">
        <v>2032</v>
      </c>
      <c r="F1948" s="0" t="n">
        <v>237.913724</v>
      </c>
      <c r="G1948" s="0" t="n">
        <v>4994.670193</v>
      </c>
      <c r="I1948" s="0" t="n">
        <v>2028</v>
      </c>
      <c r="J1948" s="0" t="n">
        <v>0.62</v>
      </c>
      <c r="K1948" s="0" t="n">
        <v>13.04</v>
      </c>
      <c r="M1948" s="0" t="n">
        <v>2032</v>
      </c>
      <c r="N1948" s="0" t="n">
        <v>73</v>
      </c>
      <c r="O1948" s="0" t="n">
        <v>1529.5</v>
      </c>
      <c r="Q1948" s="0" t="n">
        <v>2034</v>
      </c>
      <c r="R1948" s="0" t="n">
        <v>12</v>
      </c>
      <c r="W1948" s="0" t="n">
        <v>2032</v>
      </c>
      <c r="X1948" s="0" t="n">
        <v>2907.8</v>
      </c>
    </row>
    <row r="1949" customFormat="false" ht="15" hidden="false" customHeight="false" outlineLevel="0" collapsed="false">
      <c r="A1949" s="0" t="n">
        <v>2031</v>
      </c>
      <c r="B1949" s="0" t="n">
        <v>12.28123006</v>
      </c>
      <c r="C1949" s="0" t="n">
        <v>257.9058313</v>
      </c>
      <c r="E1949" s="0" t="n">
        <v>2032</v>
      </c>
      <c r="F1949" s="0" t="n">
        <v>95.228588</v>
      </c>
      <c r="G1949" s="0" t="n">
        <v>1999.192741</v>
      </c>
      <c r="I1949" s="0" t="n">
        <v>2028</v>
      </c>
      <c r="J1949" s="0" t="n">
        <v>0.62</v>
      </c>
      <c r="K1949" s="0" t="n">
        <v>13.04</v>
      </c>
      <c r="M1949" s="0" t="n">
        <v>2032</v>
      </c>
      <c r="N1949" s="0" t="n">
        <v>29.2</v>
      </c>
      <c r="O1949" s="0" t="n">
        <v>611.8</v>
      </c>
      <c r="Q1949" s="0" t="n">
        <v>2034</v>
      </c>
      <c r="R1949" s="0" t="n">
        <v>11</v>
      </c>
      <c r="W1949" s="0" t="n">
        <v>2032</v>
      </c>
      <c r="X1949" s="0" t="n">
        <v>900.48</v>
      </c>
    </row>
    <row r="1950" customFormat="false" ht="15" hidden="false" customHeight="false" outlineLevel="0" collapsed="false">
      <c r="A1950" s="0" t="n">
        <v>2031</v>
      </c>
      <c r="B1950" s="0" t="n">
        <v>5.458324472</v>
      </c>
      <c r="C1950" s="0" t="n">
        <v>114.6248139</v>
      </c>
      <c r="E1950" s="0" t="n">
        <v>2032</v>
      </c>
      <c r="F1950" s="0" t="n">
        <v>13.376516</v>
      </c>
      <c r="G1950" s="0" t="n">
        <v>280.821487</v>
      </c>
      <c r="I1950" s="0" t="n">
        <v>2028</v>
      </c>
      <c r="J1950" s="0" t="n">
        <v>0</v>
      </c>
      <c r="K1950" s="0" t="n">
        <v>0</v>
      </c>
      <c r="M1950" s="0" t="n">
        <v>2032</v>
      </c>
      <c r="N1950" s="0" t="n">
        <v>29.2</v>
      </c>
      <c r="O1950" s="0" t="n">
        <v>611.8</v>
      </c>
      <c r="Q1950" s="0" t="n">
        <v>2034</v>
      </c>
      <c r="R1950" s="0" t="n">
        <v>11</v>
      </c>
      <c r="W1950" s="0" t="n">
        <v>2032</v>
      </c>
      <c r="X1950" s="0" t="n">
        <v>1594.6</v>
      </c>
    </row>
    <row r="1951" customFormat="false" ht="15" hidden="false" customHeight="false" outlineLevel="0" collapsed="false">
      <c r="A1951" s="0" t="n">
        <v>2031</v>
      </c>
      <c r="B1951" s="0" t="n">
        <v>20.16075422</v>
      </c>
      <c r="C1951" s="0" t="n">
        <v>423.3758386</v>
      </c>
      <c r="E1951" s="0" t="n">
        <v>2032</v>
      </c>
      <c r="F1951" s="0" t="n">
        <v>319.765796</v>
      </c>
      <c r="G1951" s="0" t="n">
        <v>6713.041447</v>
      </c>
      <c r="I1951" s="0" t="n">
        <v>2028</v>
      </c>
      <c r="J1951" s="0" t="n">
        <v>1.24</v>
      </c>
      <c r="K1951" s="0" t="n">
        <v>26.08</v>
      </c>
      <c r="M1951" s="0" t="n">
        <v>2032</v>
      </c>
      <c r="N1951" s="0" t="n">
        <v>17.52</v>
      </c>
      <c r="O1951" s="0" t="n">
        <v>367.08</v>
      </c>
      <c r="Q1951" s="0" t="n">
        <v>2034</v>
      </c>
      <c r="R1951" s="0" t="n">
        <v>117</v>
      </c>
      <c r="W1951" s="0" t="n">
        <v>2032</v>
      </c>
      <c r="X1951" s="0" t="n">
        <v>712.88</v>
      </c>
    </row>
    <row r="1952" customFormat="false" ht="15" hidden="false" customHeight="false" outlineLevel="0" collapsed="false">
      <c r="A1952" s="0" t="n">
        <v>2031</v>
      </c>
      <c r="B1952" s="0" t="n">
        <v>6.311020081</v>
      </c>
      <c r="C1952" s="0" t="n">
        <v>132.5314217</v>
      </c>
      <c r="E1952" s="0" t="n">
        <v>2032</v>
      </c>
      <c r="F1952" s="0" t="n">
        <v>14.969492</v>
      </c>
      <c r="G1952" s="0" t="n">
        <v>314.263819</v>
      </c>
      <c r="I1952" s="0" t="n">
        <v>2028</v>
      </c>
      <c r="J1952" s="0" t="n">
        <v>2.17</v>
      </c>
      <c r="K1952" s="0" t="n">
        <v>45.64</v>
      </c>
      <c r="M1952" s="0" t="n">
        <v>2032</v>
      </c>
      <c r="N1952" s="0" t="n">
        <v>14.6</v>
      </c>
      <c r="O1952" s="0" t="n">
        <v>305.9</v>
      </c>
      <c r="Q1952" s="0" t="n">
        <v>2034</v>
      </c>
      <c r="R1952" s="0" t="n">
        <v>111</v>
      </c>
      <c r="W1952" s="0" t="n">
        <v>2032</v>
      </c>
      <c r="X1952" s="0" t="n">
        <v>281.4</v>
      </c>
    </row>
    <row r="1953" customFormat="false" ht="15" hidden="false" customHeight="false" outlineLevel="0" collapsed="false">
      <c r="A1953" s="0" t="n">
        <v>2031</v>
      </c>
      <c r="B1953" s="0" t="n">
        <v>14.11105523</v>
      </c>
      <c r="C1953" s="0" t="n">
        <v>296.3321598</v>
      </c>
      <c r="E1953" s="0" t="n">
        <v>2032</v>
      </c>
      <c r="F1953" s="0" t="n">
        <v>81.852072</v>
      </c>
      <c r="G1953" s="0" t="n">
        <v>1718.371254</v>
      </c>
      <c r="I1953" s="0" t="n">
        <v>2028</v>
      </c>
      <c r="J1953" s="0" t="n">
        <v>0.62</v>
      </c>
      <c r="K1953" s="0" t="n">
        <v>13.04</v>
      </c>
      <c r="M1953" s="0" t="n">
        <v>2032</v>
      </c>
      <c r="N1953" s="0" t="n">
        <v>11.68</v>
      </c>
      <c r="O1953" s="0" t="n">
        <v>244.72</v>
      </c>
      <c r="Q1953" s="0" t="n">
        <v>2034</v>
      </c>
      <c r="R1953" s="0" t="n">
        <v>53</v>
      </c>
      <c r="W1953" s="0" t="n">
        <v>2032</v>
      </c>
      <c r="X1953" s="0" t="n">
        <v>412.72</v>
      </c>
    </row>
    <row r="1954" customFormat="false" ht="15" hidden="false" customHeight="false" outlineLevel="0" collapsed="false">
      <c r="A1954" s="0" t="n">
        <v>2031</v>
      </c>
      <c r="B1954" s="0" t="n">
        <v>478.9372054</v>
      </c>
      <c r="C1954" s="0" t="n">
        <v>10057.68131</v>
      </c>
      <c r="E1954" s="0" t="n">
        <v>2032</v>
      </c>
      <c r="F1954" s="0" t="n">
        <v>74.845736</v>
      </c>
      <c r="G1954" s="0" t="n">
        <v>1571.282902</v>
      </c>
      <c r="I1954" s="0" t="n">
        <v>2028</v>
      </c>
      <c r="J1954" s="0" t="n">
        <v>2.17</v>
      </c>
      <c r="K1954" s="0" t="n">
        <v>45.64</v>
      </c>
      <c r="M1954" s="0" t="n">
        <v>2032</v>
      </c>
      <c r="N1954" s="0" t="n">
        <v>5.84</v>
      </c>
      <c r="O1954" s="0" t="n">
        <v>122.36</v>
      </c>
      <c r="Q1954" s="0" t="n">
        <v>2034</v>
      </c>
      <c r="R1954" s="0" t="n">
        <v>12</v>
      </c>
      <c r="W1954" s="0" t="n">
        <v>2032</v>
      </c>
      <c r="X1954" s="0" t="n">
        <v>318.92</v>
      </c>
    </row>
    <row r="1955" customFormat="false" ht="15" hidden="false" customHeight="false" outlineLevel="0" collapsed="false">
      <c r="A1955" s="0" t="n">
        <v>2031</v>
      </c>
      <c r="B1955" s="0" t="n">
        <v>120.8021256</v>
      </c>
      <c r="C1955" s="0" t="n">
        <v>2536.844637</v>
      </c>
      <c r="E1955" s="0" t="n">
        <v>2032</v>
      </c>
      <c r="F1955" s="0" t="n">
        <v>299.118318</v>
      </c>
      <c r="G1955" s="0" t="n">
        <v>6279.942831</v>
      </c>
      <c r="I1955" s="0" t="n">
        <v>2028</v>
      </c>
      <c r="J1955" s="0" t="n">
        <v>100.8</v>
      </c>
      <c r="K1955" s="0" t="n">
        <v>2120.16</v>
      </c>
      <c r="M1955" s="0" t="n">
        <v>2032</v>
      </c>
      <c r="N1955" s="0" t="n">
        <v>111.34</v>
      </c>
      <c r="O1955" s="0" t="n">
        <v>2330.92</v>
      </c>
      <c r="Q1955" s="0" t="n">
        <v>2034</v>
      </c>
      <c r="R1955" s="0" t="n">
        <v>11</v>
      </c>
      <c r="W1955" s="0" t="n">
        <v>2032</v>
      </c>
      <c r="X1955" s="0" t="n">
        <v>15418.78</v>
      </c>
    </row>
    <row r="1956" customFormat="false" ht="15" hidden="false" customHeight="false" outlineLevel="0" collapsed="false">
      <c r="A1956" s="0" t="n">
        <v>2031</v>
      </c>
      <c r="B1956" s="0" t="n">
        <v>107.7259673</v>
      </c>
      <c r="C1956" s="0" t="n">
        <v>2262.245313</v>
      </c>
      <c r="E1956" s="0" t="n">
        <v>2032</v>
      </c>
      <c r="F1956" s="0" t="n">
        <v>80.316582</v>
      </c>
      <c r="G1956" s="0" t="n">
        <v>1686.234219</v>
      </c>
      <c r="I1956" s="0" t="n">
        <v>2028</v>
      </c>
      <c r="J1956" s="0" t="n">
        <v>33.6</v>
      </c>
      <c r="K1956" s="0" t="n">
        <v>706.72</v>
      </c>
      <c r="M1956" s="0" t="n">
        <v>2032</v>
      </c>
      <c r="N1956" s="0" t="n">
        <v>73.25</v>
      </c>
      <c r="O1956" s="0" t="n">
        <v>1533.5</v>
      </c>
      <c r="Q1956" s="0" t="n">
        <v>2034</v>
      </c>
      <c r="R1956" s="0" t="n">
        <v>11</v>
      </c>
      <c r="W1956" s="0" t="n">
        <v>2032</v>
      </c>
      <c r="X1956" s="0" t="n">
        <v>3854.695</v>
      </c>
    </row>
    <row r="1957" customFormat="false" ht="15" hidden="false" customHeight="false" outlineLevel="0" collapsed="false">
      <c r="A1957" s="0" t="n">
        <v>2031</v>
      </c>
      <c r="B1957" s="0" t="n">
        <v>74.91702594</v>
      </c>
      <c r="C1957" s="0" t="n">
        <v>1573.257545</v>
      </c>
      <c r="E1957" s="0" t="n">
        <v>2032</v>
      </c>
      <c r="F1957" s="0" t="n">
        <v>32.147934</v>
      </c>
      <c r="G1957" s="0" t="n">
        <v>674.940903</v>
      </c>
      <c r="I1957" s="0" t="n">
        <v>2028</v>
      </c>
      <c r="J1957" s="0" t="n">
        <v>14.7</v>
      </c>
      <c r="K1957" s="0" t="n">
        <v>309.19</v>
      </c>
      <c r="M1957" s="0" t="n">
        <v>2032</v>
      </c>
      <c r="N1957" s="0" t="n">
        <v>29.3</v>
      </c>
      <c r="O1957" s="0" t="n">
        <v>613.4</v>
      </c>
      <c r="Q1957" s="0" t="n">
        <v>2034</v>
      </c>
      <c r="R1957" s="0" t="n">
        <v>159</v>
      </c>
      <c r="W1957" s="0" t="n">
        <v>2032</v>
      </c>
      <c r="X1957" s="0" t="n">
        <v>1193.712</v>
      </c>
    </row>
    <row r="1958" customFormat="false" ht="15" hidden="false" customHeight="false" outlineLevel="0" collapsed="false">
      <c r="A1958" s="0" t="n">
        <v>2031</v>
      </c>
      <c r="B1958" s="0" t="n">
        <v>55.72578852</v>
      </c>
      <c r="C1958" s="0" t="n">
        <v>1170.241559</v>
      </c>
      <c r="E1958" s="0" t="n">
        <v>2032</v>
      </c>
      <c r="F1958" s="0" t="n">
        <v>4.515738</v>
      </c>
      <c r="G1958" s="0" t="n">
        <v>94.807221</v>
      </c>
      <c r="I1958" s="0" t="n">
        <v>2028</v>
      </c>
      <c r="J1958" s="0" t="n">
        <v>8.4</v>
      </c>
      <c r="K1958" s="0" t="n">
        <v>176.68</v>
      </c>
      <c r="M1958" s="0" t="n">
        <v>2032</v>
      </c>
      <c r="N1958" s="0" t="n">
        <v>29.3</v>
      </c>
      <c r="O1958" s="0" t="n">
        <v>613.4</v>
      </c>
      <c r="Q1958" s="0" t="n">
        <v>2034</v>
      </c>
      <c r="R1958" s="0" t="n">
        <v>151</v>
      </c>
      <c r="W1958" s="0" t="n">
        <v>2032</v>
      </c>
      <c r="X1958" s="0" t="n">
        <v>2113.865</v>
      </c>
    </row>
    <row r="1959" customFormat="false" ht="15" hidden="false" customHeight="false" outlineLevel="0" collapsed="false">
      <c r="A1959" s="0" t="n">
        <v>2031</v>
      </c>
      <c r="B1959" s="0" t="n">
        <v>24.76701712</v>
      </c>
      <c r="C1959" s="0" t="n">
        <v>520.1073595</v>
      </c>
      <c r="E1959" s="0" t="n">
        <v>2032</v>
      </c>
      <c r="F1959" s="0" t="n">
        <v>107.948778</v>
      </c>
      <c r="G1959" s="0" t="n">
        <v>2266.367901</v>
      </c>
      <c r="I1959" s="0" t="n">
        <v>2028</v>
      </c>
      <c r="J1959" s="0" t="n">
        <v>8.4</v>
      </c>
      <c r="K1959" s="0" t="n">
        <v>176.68</v>
      </c>
      <c r="M1959" s="0" t="n">
        <v>2032</v>
      </c>
      <c r="N1959" s="0" t="n">
        <v>17.58</v>
      </c>
      <c r="O1959" s="0" t="n">
        <v>368.04</v>
      </c>
      <c r="Q1959" s="0" t="n">
        <v>2034</v>
      </c>
      <c r="R1959" s="0" t="n">
        <v>72</v>
      </c>
      <c r="W1959" s="0" t="n">
        <v>2032</v>
      </c>
      <c r="X1959" s="0" t="n">
        <v>945.022</v>
      </c>
    </row>
    <row r="1960" customFormat="false" ht="15" hidden="false" customHeight="false" outlineLevel="0" collapsed="false">
      <c r="A1960" s="0" t="n">
        <v>2031</v>
      </c>
      <c r="B1960" s="0" t="n">
        <v>91.47894147</v>
      </c>
      <c r="C1960" s="0" t="n">
        <v>1921.057771</v>
      </c>
      <c r="E1960" s="0" t="n">
        <v>2032</v>
      </c>
      <c r="F1960" s="0" t="n">
        <v>5.053506</v>
      </c>
      <c r="G1960" s="0" t="n">
        <v>106.097577</v>
      </c>
      <c r="I1960" s="0" t="n">
        <v>2028</v>
      </c>
      <c r="J1960" s="0" t="n">
        <v>4.2</v>
      </c>
      <c r="K1960" s="0" t="n">
        <v>88.34</v>
      </c>
      <c r="M1960" s="0" t="n">
        <v>2032</v>
      </c>
      <c r="N1960" s="0" t="n">
        <v>14.65</v>
      </c>
      <c r="O1960" s="0" t="n">
        <v>306.7</v>
      </c>
      <c r="Q1960" s="0" t="n">
        <v>2034</v>
      </c>
      <c r="R1960" s="0" t="n">
        <v>16</v>
      </c>
      <c r="W1960" s="0" t="n">
        <v>2032</v>
      </c>
      <c r="X1960" s="0" t="n">
        <v>373.035</v>
      </c>
    </row>
    <row r="1961" customFormat="false" ht="15" hidden="false" customHeight="false" outlineLevel="0" collapsed="false">
      <c r="A1961" s="0" t="n">
        <v>2031</v>
      </c>
      <c r="B1961" s="0" t="n">
        <v>28.63610311</v>
      </c>
      <c r="C1961" s="0" t="n">
        <v>601.3581653</v>
      </c>
      <c r="E1961" s="0" t="n">
        <v>2032</v>
      </c>
      <c r="F1961" s="0" t="n">
        <v>27.632196</v>
      </c>
      <c r="G1961" s="0" t="n">
        <v>580.133682</v>
      </c>
      <c r="I1961" s="0" t="n">
        <v>2028</v>
      </c>
      <c r="J1961" s="0" t="n">
        <v>4.2</v>
      </c>
      <c r="K1961" s="0" t="n">
        <v>88.34</v>
      </c>
      <c r="M1961" s="0" t="n">
        <v>2032</v>
      </c>
      <c r="N1961" s="0" t="n">
        <v>11.72</v>
      </c>
      <c r="O1961" s="0" t="n">
        <v>245.36</v>
      </c>
      <c r="Q1961" s="0" t="n">
        <v>2034</v>
      </c>
      <c r="R1961" s="0" t="n">
        <v>13</v>
      </c>
      <c r="W1961" s="0" t="n">
        <v>2032</v>
      </c>
      <c r="X1961" s="0" t="n">
        <v>547.118</v>
      </c>
    </row>
    <row r="1962" customFormat="false" ht="15" hidden="false" customHeight="false" outlineLevel="0" collapsed="false">
      <c r="A1962" s="0" t="n">
        <v>2031</v>
      </c>
      <c r="B1962" s="0" t="n">
        <v>64.02857657</v>
      </c>
      <c r="C1962" s="0" t="n">
        <v>1344.600108</v>
      </c>
      <c r="E1962" s="0" t="n">
        <v>2032</v>
      </c>
      <c r="F1962" s="0" t="n">
        <v>25.266948</v>
      </c>
      <c r="G1962" s="0" t="n">
        <v>530.475666</v>
      </c>
      <c r="I1962" s="0" t="n">
        <v>2028</v>
      </c>
      <c r="J1962" s="0" t="n">
        <v>8.4</v>
      </c>
      <c r="K1962" s="0" t="n">
        <v>176.68</v>
      </c>
      <c r="M1962" s="0" t="n">
        <v>2032</v>
      </c>
      <c r="N1962" s="0" t="n">
        <v>5.86</v>
      </c>
      <c r="O1962" s="0" t="n">
        <v>122.68</v>
      </c>
      <c r="Q1962" s="0" t="n">
        <v>2034</v>
      </c>
      <c r="R1962" s="0" t="n">
        <v>13</v>
      </c>
      <c r="W1962" s="0" t="n">
        <v>2032</v>
      </c>
      <c r="X1962" s="0" t="n">
        <v>422.773</v>
      </c>
    </row>
    <row r="1963" customFormat="false" ht="15" hidden="false" customHeight="false" outlineLevel="0" collapsed="false">
      <c r="A1963" s="0" t="n">
        <v>2032</v>
      </c>
      <c r="B1963" s="0" t="n">
        <v>226.1450212</v>
      </c>
      <c r="C1963" s="0" t="n">
        <v>4749.045446</v>
      </c>
      <c r="E1963" s="0" t="n">
        <v>2032</v>
      </c>
      <c r="F1963" s="0" t="n">
        <v>405.505761</v>
      </c>
      <c r="G1963" s="0" t="n">
        <v>8509.453593</v>
      </c>
      <c r="I1963" s="0" t="n">
        <v>2028</v>
      </c>
      <c r="J1963" s="0" t="n">
        <v>14.7</v>
      </c>
      <c r="K1963" s="0" t="n">
        <v>309.19</v>
      </c>
      <c r="M1963" s="0" t="n">
        <v>2032</v>
      </c>
      <c r="N1963" s="0" t="n">
        <v>619.78</v>
      </c>
      <c r="O1963" s="0" t="n">
        <v>13011.96</v>
      </c>
      <c r="Q1963" s="0" t="n">
        <v>2035</v>
      </c>
      <c r="R1963" s="0" t="n">
        <v>1490</v>
      </c>
      <c r="W1963" s="0" t="n">
        <v>2032</v>
      </c>
      <c r="X1963" s="0" t="n">
        <v>9561.64</v>
      </c>
    </row>
    <row r="1964" customFormat="false" ht="15" hidden="false" customHeight="false" outlineLevel="0" collapsed="false">
      <c r="A1964" s="0" t="n">
        <v>2032</v>
      </c>
      <c r="B1964" s="0" t="n">
        <v>57.04046155</v>
      </c>
      <c r="C1964" s="0" t="n">
        <v>1197.849693</v>
      </c>
      <c r="E1964" s="0" t="n">
        <v>2032</v>
      </c>
      <c r="F1964" s="0" t="n">
        <v>108.882789</v>
      </c>
      <c r="G1964" s="0" t="n">
        <v>2284.882557</v>
      </c>
      <c r="I1964" s="0" t="n">
        <v>2028</v>
      </c>
      <c r="J1964" s="0" t="n">
        <v>6.3</v>
      </c>
      <c r="K1964" s="0" t="n">
        <v>132.51</v>
      </c>
      <c r="M1964" s="0" t="n">
        <v>2032</v>
      </c>
      <c r="N1964" s="0" t="n">
        <v>407.75</v>
      </c>
      <c r="O1964" s="0" t="n">
        <v>8560.5</v>
      </c>
      <c r="Q1964" s="0" t="n">
        <v>2035</v>
      </c>
      <c r="R1964" s="0" t="n">
        <v>1415</v>
      </c>
      <c r="W1964" s="0" t="n">
        <v>2032</v>
      </c>
      <c r="X1964" s="0" t="n">
        <v>2390.41</v>
      </c>
    </row>
    <row r="1965" customFormat="false" ht="15" hidden="false" customHeight="false" outlineLevel="0" collapsed="false">
      <c r="A1965" s="0" t="n">
        <v>2032</v>
      </c>
      <c r="B1965" s="0" t="n">
        <v>50.86614882</v>
      </c>
      <c r="C1965" s="0" t="n">
        <v>1068.189125</v>
      </c>
      <c r="E1965" s="0" t="n">
        <v>2032</v>
      </c>
      <c r="F1965" s="0" t="n">
        <v>43.581993</v>
      </c>
      <c r="G1965" s="0" t="n">
        <v>914.559009</v>
      </c>
      <c r="I1965" s="0" t="n">
        <v>2028</v>
      </c>
      <c r="J1965" s="0" t="n">
        <v>6.3</v>
      </c>
      <c r="K1965" s="0" t="n">
        <v>132.51</v>
      </c>
      <c r="M1965" s="0" t="n">
        <v>2032</v>
      </c>
      <c r="N1965" s="0" t="n">
        <v>163.1</v>
      </c>
      <c r="O1965" s="0" t="n">
        <v>3424.2</v>
      </c>
      <c r="Q1965" s="0" t="n">
        <v>2035</v>
      </c>
      <c r="R1965" s="0" t="n">
        <v>670</v>
      </c>
      <c r="W1965" s="0" t="n">
        <v>2032</v>
      </c>
      <c r="X1965" s="0" t="n">
        <v>740.256</v>
      </c>
    </row>
    <row r="1966" customFormat="false" ht="15" hidden="false" customHeight="false" outlineLevel="0" collapsed="false">
      <c r="A1966" s="0" t="n">
        <v>2032</v>
      </c>
      <c r="B1966" s="0" t="n">
        <v>35.37439195</v>
      </c>
      <c r="C1966" s="0" t="n">
        <v>742.862231</v>
      </c>
      <c r="E1966" s="0" t="n">
        <v>2032</v>
      </c>
      <c r="F1966" s="0" t="n">
        <v>6.121851</v>
      </c>
      <c r="G1966" s="0" t="n">
        <v>128.465763</v>
      </c>
      <c r="I1966" s="0" t="n">
        <v>2028</v>
      </c>
      <c r="J1966" s="0" t="n">
        <v>39.52</v>
      </c>
      <c r="K1966" s="0" t="n">
        <v>825.76</v>
      </c>
      <c r="M1966" s="0" t="n">
        <v>2032</v>
      </c>
      <c r="N1966" s="0" t="n">
        <v>163.1</v>
      </c>
      <c r="O1966" s="0" t="n">
        <v>3424.2</v>
      </c>
      <c r="Q1966" s="0" t="n">
        <v>2035</v>
      </c>
      <c r="R1966" s="0" t="n">
        <v>149</v>
      </c>
      <c r="W1966" s="0" t="n">
        <v>2032</v>
      </c>
      <c r="X1966" s="0" t="n">
        <v>1310.87</v>
      </c>
    </row>
    <row r="1967" customFormat="false" ht="15" hidden="false" customHeight="false" outlineLevel="0" collapsed="false">
      <c r="A1967" s="0" t="n">
        <v>2032</v>
      </c>
      <c r="B1967" s="0" t="n">
        <v>26.31265537</v>
      </c>
      <c r="C1967" s="0" t="n">
        <v>552.5657627</v>
      </c>
      <c r="E1967" s="0" t="n">
        <v>2032</v>
      </c>
      <c r="F1967" s="0" t="n">
        <v>146.342931</v>
      </c>
      <c r="G1967" s="0" t="n">
        <v>3070.975803</v>
      </c>
      <c r="I1967" s="0" t="n">
        <v>2028</v>
      </c>
      <c r="J1967" s="0" t="n">
        <v>6.08</v>
      </c>
      <c r="K1967" s="0" t="n">
        <v>127.04</v>
      </c>
      <c r="M1967" s="0" t="n">
        <v>2032</v>
      </c>
      <c r="N1967" s="0" t="n">
        <v>97.86</v>
      </c>
      <c r="O1967" s="0" t="n">
        <v>2054.52</v>
      </c>
      <c r="Q1967" s="0" t="n">
        <v>2035</v>
      </c>
      <c r="R1967" s="0" t="n">
        <v>138</v>
      </c>
      <c r="W1967" s="0" t="n">
        <v>2032</v>
      </c>
      <c r="X1967" s="0" t="n">
        <v>586.036</v>
      </c>
    </row>
    <row r="1968" customFormat="false" ht="15" hidden="false" customHeight="false" outlineLevel="0" collapsed="false">
      <c r="A1968" s="0" t="n">
        <v>2032</v>
      </c>
      <c r="B1968" s="0" t="n">
        <v>11.6945135</v>
      </c>
      <c r="C1968" s="0" t="n">
        <v>245.5847834</v>
      </c>
      <c r="E1968" s="0" t="n">
        <v>2032</v>
      </c>
      <c r="F1968" s="0" t="n">
        <v>6.850887</v>
      </c>
      <c r="G1968" s="0" t="n">
        <v>143.764431</v>
      </c>
      <c r="I1968" s="0" t="n">
        <v>2028</v>
      </c>
      <c r="J1968" s="0" t="n">
        <v>4.56</v>
      </c>
      <c r="K1968" s="0" t="n">
        <v>95.28</v>
      </c>
      <c r="M1968" s="0" t="n">
        <v>2032</v>
      </c>
      <c r="N1968" s="0" t="n">
        <v>81.55</v>
      </c>
      <c r="O1968" s="0" t="n">
        <v>1712.1</v>
      </c>
      <c r="Q1968" s="0" t="n">
        <v>2035</v>
      </c>
      <c r="R1968" s="0" t="n">
        <v>138</v>
      </c>
      <c r="W1968" s="0" t="n">
        <v>2032</v>
      </c>
      <c r="X1968" s="0" t="n">
        <v>231.33</v>
      </c>
    </row>
    <row r="1969" customFormat="false" ht="15" hidden="false" customHeight="false" outlineLevel="0" collapsed="false">
      <c r="A1969" s="0" t="n">
        <v>2032</v>
      </c>
      <c r="B1969" s="0" t="n">
        <v>43.19461284</v>
      </c>
      <c r="C1969" s="0" t="n">
        <v>907.0868697</v>
      </c>
      <c r="E1969" s="0" t="n">
        <v>2032</v>
      </c>
      <c r="F1969" s="0" t="n">
        <v>37.460142</v>
      </c>
      <c r="G1969" s="0" t="n">
        <v>786.093246</v>
      </c>
      <c r="I1969" s="0" t="n">
        <v>2028</v>
      </c>
      <c r="J1969" s="0" t="n">
        <v>7.6</v>
      </c>
      <c r="K1969" s="0" t="n">
        <v>158.8</v>
      </c>
      <c r="M1969" s="0" t="n">
        <v>2032</v>
      </c>
      <c r="N1969" s="0" t="n">
        <v>65.24</v>
      </c>
      <c r="O1969" s="0" t="n">
        <v>1369.68</v>
      </c>
      <c r="Q1969" s="0" t="n">
        <v>2035</v>
      </c>
      <c r="R1969" s="0" t="n">
        <v>437</v>
      </c>
      <c r="W1969" s="0" t="n">
        <v>2032</v>
      </c>
      <c r="X1969" s="0" t="n">
        <v>339.284</v>
      </c>
    </row>
    <row r="1970" customFormat="false" ht="15" hidden="false" customHeight="false" outlineLevel="0" collapsed="false">
      <c r="A1970" s="0" t="n">
        <v>2032</v>
      </c>
      <c r="B1970" s="0" t="n">
        <v>13.52142217</v>
      </c>
      <c r="C1970" s="0" t="n">
        <v>283.9498655</v>
      </c>
      <c r="E1970" s="0" t="n">
        <v>2032</v>
      </c>
      <c r="F1970" s="0" t="n">
        <v>34.253646</v>
      </c>
      <c r="G1970" s="0" t="n">
        <v>718.805598</v>
      </c>
      <c r="I1970" s="0" t="n">
        <v>2028</v>
      </c>
      <c r="J1970" s="0" t="n">
        <v>1.52</v>
      </c>
      <c r="K1970" s="0" t="n">
        <v>31.76</v>
      </c>
      <c r="M1970" s="0" t="n">
        <v>2032</v>
      </c>
      <c r="N1970" s="0" t="n">
        <v>32.62</v>
      </c>
      <c r="O1970" s="0" t="n">
        <v>684.84</v>
      </c>
      <c r="Q1970" s="0" t="n">
        <v>2035</v>
      </c>
      <c r="R1970" s="0" t="n">
        <v>415</v>
      </c>
      <c r="W1970" s="0" t="n">
        <v>2032</v>
      </c>
      <c r="X1970" s="0" t="n">
        <v>262.174</v>
      </c>
    </row>
    <row r="1971" customFormat="false" ht="15" hidden="false" customHeight="false" outlineLevel="0" collapsed="false">
      <c r="A1971" s="0" t="n">
        <v>2032</v>
      </c>
      <c r="B1971" s="0" t="n">
        <v>30.23307366</v>
      </c>
      <c r="C1971" s="0" t="n">
        <v>634.8945469</v>
      </c>
      <c r="E1971" s="0" t="n">
        <v>2032</v>
      </c>
      <c r="F1971" s="0" t="n">
        <v>545.813838</v>
      </c>
      <c r="G1971" s="0" t="n">
        <v>11452.32557</v>
      </c>
      <c r="I1971" s="0" t="n">
        <v>2028</v>
      </c>
      <c r="J1971" s="0" t="n">
        <v>1.52</v>
      </c>
      <c r="K1971" s="0" t="n">
        <v>31.76</v>
      </c>
      <c r="M1971" s="0" t="n">
        <v>2032</v>
      </c>
      <c r="N1971" s="0" t="n">
        <v>210.9</v>
      </c>
      <c r="O1971" s="0" t="n">
        <v>4423.2</v>
      </c>
      <c r="Q1971" s="0" t="n">
        <v>2035</v>
      </c>
      <c r="R1971" s="0" t="n">
        <v>197</v>
      </c>
      <c r="W1971" s="0" t="n">
        <v>2032</v>
      </c>
      <c r="X1971" s="0" t="n">
        <v>26010.86</v>
      </c>
    </row>
    <row r="1972" customFormat="false" ht="15" hidden="false" customHeight="false" outlineLevel="0" collapsed="false">
      <c r="A1972" s="0" t="n">
        <v>2032</v>
      </c>
      <c r="B1972" s="0" t="n">
        <v>227.8786204</v>
      </c>
      <c r="C1972" s="0" t="n">
        <v>4785.451028</v>
      </c>
      <c r="E1972" s="0" t="n">
        <v>2032</v>
      </c>
      <c r="F1972" s="0" t="n">
        <v>146.557062</v>
      </c>
      <c r="G1972" s="0" t="n">
        <v>3075.076283</v>
      </c>
      <c r="I1972" s="0" t="n">
        <v>2028</v>
      </c>
      <c r="J1972" s="0" t="n">
        <v>0</v>
      </c>
      <c r="K1972" s="0" t="n">
        <v>0</v>
      </c>
      <c r="M1972" s="0" t="n">
        <v>2032</v>
      </c>
      <c r="N1972" s="0" t="n">
        <v>138.75</v>
      </c>
      <c r="O1972" s="0" t="n">
        <v>2910</v>
      </c>
      <c r="Q1972" s="0" t="n">
        <v>2035</v>
      </c>
      <c r="R1972" s="0" t="n">
        <v>44</v>
      </c>
      <c r="W1972" s="0" t="n">
        <v>2032</v>
      </c>
      <c r="X1972" s="0" t="n">
        <v>6502.715</v>
      </c>
    </row>
    <row r="1973" customFormat="false" ht="15" hidden="false" customHeight="false" outlineLevel="0" collapsed="false">
      <c r="A1973" s="0" t="n">
        <v>2032</v>
      </c>
      <c r="B1973" s="0" t="n">
        <v>57.47772652</v>
      </c>
      <c r="C1973" s="0" t="n">
        <v>1207.032257</v>
      </c>
      <c r="E1973" s="0" t="n">
        <v>2032</v>
      </c>
      <c r="F1973" s="0" t="n">
        <v>58.661694</v>
      </c>
      <c r="G1973" s="0" t="n">
        <v>1230.846071</v>
      </c>
      <c r="I1973" s="0" t="n">
        <v>2028</v>
      </c>
      <c r="J1973" s="0" t="n">
        <v>3.04</v>
      </c>
      <c r="K1973" s="0" t="n">
        <v>63.52</v>
      </c>
      <c r="M1973" s="0" t="n">
        <v>2032</v>
      </c>
      <c r="N1973" s="0" t="n">
        <v>55.5</v>
      </c>
      <c r="O1973" s="0" t="n">
        <v>1164</v>
      </c>
      <c r="Q1973" s="0" t="n">
        <v>2035</v>
      </c>
      <c r="R1973" s="0" t="n">
        <v>41</v>
      </c>
      <c r="W1973" s="0" t="n">
        <v>2032</v>
      </c>
      <c r="X1973" s="0" t="n">
        <v>2013.744</v>
      </c>
    </row>
    <row r="1974" customFormat="false" ht="15" hidden="false" customHeight="false" outlineLevel="0" collapsed="false">
      <c r="A1974" s="0" t="n">
        <v>2032</v>
      </c>
      <c r="B1974" s="0" t="n">
        <v>51.25608229</v>
      </c>
      <c r="C1974" s="0" t="n">
        <v>1076.377728</v>
      </c>
      <c r="E1974" s="0" t="n">
        <v>2032</v>
      </c>
      <c r="F1974" s="0" t="n">
        <v>8.240058</v>
      </c>
      <c r="G1974" s="0" t="n">
        <v>172.893797</v>
      </c>
      <c r="I1974" s="0" t="n">
        <v>2028</v>
      </c>
      <c r="J1974" s="0" t="n">
        <v>5.32</v>
      </c>
      <c r="K1974" s="0" t="n">
        <v>111.16</v>
      </c>
      <c r="M1974" s="0" t="n">
        <v>2032</v>
      </c>
      <c r="N1974" s="0" t="n">
        <v>55.5</v>
      </c>
      <c r="O1974" s="0" t="n">
        <v>1164</v>
      </c>
      <c r="Q1974" s="0" t="n">
        <v>2035</v>
      </c>
      <c r="R1974" s="0" t="n">
        <v>41</v>
      </c>
      <c r="W1974" s="0" t="n">
        <v>2032</v>
      </c>
      <c r="X1974" s="0" t="n">
        <v>3566.005</v>
      </c>
    </row>
    <row r="1975" customFormat="false" ht="15" hidden="false" customHeight="false" outlineLevel="0" collapsed="false">
      <c r="A1975" s="0" t="n">
        <v>2032</v>
      </c>
      <c r="B1975" s="0" t="n">
        <v>35.64556757</v>
      </c>
      <c r="C1975" s="0" t="n">
        <v>748.556919</v>
      </c>
      <c r="E1975" s="0" t="n">
        <v>2032</v>
      </c>
      <c r="F1975" s="0" t="n">
        <v>196.978698</v>
      </c>
      <c r="G1975" s="0" t="n">
        <v>4133.028557</v>
      </c>
      <c r="I1975" s="0" t="n">
        <v>2028</v>
      </c>
      <c r="J1975" s="0" t="n">
        <v>1.52</v>
      </c>
      <c r="K1975" s="0" t="n">
        <v>31.76</v>
      </c>
      <c r="M1975" s="0" t="n">
        <v>2032</v>
      </c>
      <c r="N1975" s="0" t="n">
        <v>33.3</v>
      </c>
      <c r="O1975" s="0" t="n">
        <v>698.4</v>
      </c>
      <c r="Q1975" s="0" t="n">
        <v>2035</v>
      </c>
      <c r="R1975" s="0" t="n">
        <v>1883</v>
      </c>
      <c r="W1975" s="0" t="n">
        <v>2032</v>
      </c>
      <c r="X1975" s="0" t="n">
        <v>1594.214</v>
      </c>
    </row>
    <row r="1976" customFormat="false" ht="15" hidden="false" customHeight="false" outlineLevel="0" collapsed="false">
      <c r="A1976" s="0" t="n">
        <v>2032</v>
      </c>
      <c r="B1976" s="0" t="n">
        <v>26.51436486</v>
      </c>
      <c r="C1976" s="0" t="n">
        <v>556.801662</v>
      </c>
      <c r="E1976" s="0" t="n">
        <v>2032</v>
      </c>
      <c r="F1976" s="0" t="n">
        <v>9.221346</v>
      </c>
      <c r="G1976" s="0" t="n">
        <v>193.483289</v>
      </c>
      <c r="I1976" s="0" t="n">
        <v>2028</v>
      </c>
      <c r="J1976" s="0" t="n">
        <v>5.32</v>
      </c>
      <c r="K1976" s="0" t="n">
        <v>111.16</v>
      </c>
      <c r="M1976" s="0" t="n">
        <v>2032</v>
      </c>
      <c r="N1976" s="0" t="n">
        <v>27.75</v>
      </c>
      <c r="O1976" s="0" t="n">
        <v>582</v>
      </c>
      <c r="Q1976" s="0" t="n">
        <v>2035</v>
      </c>
      <c r="R1976" s="0" t="n">
        <v>1788</v>
      </c>
      <c r="W1976" s="0" t="n">
        <v>2032</v>
      </c>
      <c r="X1976" s="0" t="n">
        <v>629.295</v>
      </c>
    </row>
    <row r="1977" customFormat="false" ht="15" hidden="false" customHeight="false" outlineLevel="0" collapsed="false">
      <c r="A1977" s="0" t="n">
        <v>2032</v>
      </c>
      <c r="B1977" s="0" t="n">
        <v>11.78416216</v>
      </c>
      <c r="C1977" s="0" t="n">
        <v>247.4674054</v>
      </c>
      <c r="E1977" s="0" t="n">
        <v>2032</v>
      </c>
      <c r="F1977" s="0" t="n">
        <v>50.421636</v>
      </c>
      <c r="G1977" s="0" t="n">
        <v>1057.952274</v>
      </c>
      <c r="I1977" s="0" t="n">
        <v>2028</v>
      </c>
      <c r="J1977" s="0" t="n">
        <v>989.28</v>
      </c>
      <c r="K1977" s="0" t="n">
        <v>20770.56</v>
      </c>
      <c r="M1977" s="0" t="n">
        <v>2032</v>
      </c>
      <c r="N1977" s="0" t="n">
        <v>22.2</v>
      </c>
      <c r="O1977" s="0" t="n">
        <v>465.6</v>
      </c>
      <c r="Q1977" s="0" t="n">
        <v>2035</v>
      </c>
      <c r="R1977" s="0" t="n">
        <v>847</v>
      </c>
      <c r="W1977" s="0" t="n">
        <v>2032</v>
      </c>
      <c r="X1977" s="0" t="n">
        <v>922.966</v>
      </c>
    </row>
    <row r="1978" customFormat="false" ht="15" hidden="false" customHeight="false" outlineLevel="0" collapsed="false">
      <c r="A1978" s="0" t="n">
        <v>2032</v>
      </c>
      <c r="B1978" s="0" t="n">
        <v>43.52573729</v>
      </c>
      <c r="C1978" s="0" t="n">
        <v>914.040483</v>
      </c>
      <c r="E1978" s="0" t="n">
        <v>2032</v>
      </c>
      <c r="F1978" s="0" t="n">
        <v>46.105668</v>
      </c>
      <c r="G1978" s="0" t="n">
        <v>967.394162</v>
      </c>
      <c r="I1978" s="0" t="n">
        <v>2028</v>
      </c>
      <c r="J1978" s="0" t="n">
        <v>329.76</v>
      </c>
      <c r="K1978" s="0" t="n">
        <v>6923.52</v>
      </c>
      <c r="M1978" s="0" t="n">
        <v>2032</v>
      </c>
      <c r="N1978" s="0" t="n">
        <v>11.1</v>
      </c>
      <c r="O1978" s="0" t="n">
        <v>232.8</v>
      </c>
      <c r="Q1978" s="0" t="n">
        <v>2035</v>
      </c>
      <c r="R1978" s="0" t="n">
        <v>188</v>
      </c>
      <c r="W1978" s="0" t="n">
        <v>2032</v>
      </c>
      <c r="X1978" s="0" t="n">
        <v>713.201</v>
      </c>
    </row>
    <row r="1979" customFormat="false" ht="15" hidden="false" customHeight="false" outlineLevel="0" collapsed="false">
      <c r="A1979" s="0" t="n">
        <v>2032</v>
      </c>
      <c r="B1979" s="0" t="n">
        <v>13.62507568</v>
      </c>
      <c r="C1979" s="0" t="n">
        <v>286.1265893</v>
      </c>
      <c r="E1979" s="0" t="n">
        <v>2032</v>
      </c>
      <c r="F1979" s="0" t="n">
        <v>388.545444</v>
      </c>
      <c r="G1979" s="0" t="n">
        <v>8155.342732</v>
      </c>
      <c r="I1979" s="0" t="n">
        <v>2028</v>
      </c>
      <c r="J1979" s="0" t="n">
        <v>144.27</v>
      </c>
      <c r="K1979" s="0" t="n">
        <v>3029.04</v>
      </c>
      <c r="M1979" s="0" t="n">
        <v>2032</v>
      </c>
      <c r="N1979" s="0" t="n">
        <v>28.5</v>
      </c>
      <c r="O1979" s="0" t="n">
        <v>594.32</v>
      </c>
      <c r="Q1979" s="0" t="n">
        <v>2035</v>
      </c>
      <c r="R1979" s="0" t="n">
        <v>180</v>
      </c>
      <c r="W1979" s="0" t="n">
        <v>2032</v>
      </c>
      <c r="X1979" s="0" t="n">
        <v>13882.42</v>
      </c>
    </row>
    <row r="1980" customFormat="false" ht="15" hidden="false" customHeight="false" outlineLevel="0" collapsed="false">
      <c r="A1980" s="0" t="n">
        <v>2032</v>
      </c>
      <c r="B1980" s="0" t="n">
        <v>30.46483658</v>
      </c>
      <c r="C1980" s="0" t="n">
        <v>639.7615683</v>
      </c>
      <c r="E1980" s="0" t="n">
        <v>2032</v>
      </c>
      <c r="F1980" s="0" t="n">
        <v>104.328756</v>
      </c>
      <c r="G1980" s="0" t="n">
        <v>2189.799868</v>
      </c>
      <c r="I1980" s="0" t="n">
        <v>2028</v>
      </c>
      <c r="J1980" s="0" t="n">
        <v>82.44</v>
      </c>
      <c r="K1980" s="0" t="n">
        <v>1730.88</v>
      </c>
      <c r="M1980" s="0" t="n">
        <v>2032</v>
      </c>
      <c r="N1980" s="0" t="n">
        <v>18.75</v>
      </c>
      <c r="O1980" s="0" t="n">
        <v>391</v>
      </c>
      <c r="Q1980" s="0" t="n">
        <v>2035</v>
      </c>
      <c r="R1980" s="0" t="n">
        <v>180</v>
      </c>
      <c r="W1980" s="0" t="n">
        <v>2032</v>
      </c>
      <c r="X1980" s="0" t="n">
        <v>3470.605</v>
      </c>
    </row>
    <row r="1981" customFormat="false" ht="15" hidden="false" customHeight="false" outlineLevel="0" collapsed="false">
      <c r="A1981" s="0" t="n">
        <v>2032</v>
      </c>
      <c r="B1981" s="0" t="n">
        <v>185.5249996</v>
      </c>
      <c r="C1981" s="0" t="n">
        <v>3896.024991</v>
      </c>
      <c r="E1981" s="0" t="n">
        <v>2032</v>
      </c>
      <c r="F1981" s="0" t="n">
        <v>41.759172</v>
      </c>
      <c r="G1981" s="0" t="n">
        <v>876.500716</v>
      </c>
      <c r="I1981" s="0" t="n">
        <v>2028</v>
      </c>
      <c r="J1981" s="0" t="n">
        <v>82.44</v>
      </c>
      <c r="K1981" s="0" t="n">
        <v>1730.88</v>
      </c>
      <c r="M1981" s="0" t="n">
        <v>2032</v>
      </c>
      <c r="N1981" s="0" t="n">
        <v>7.5</v>
      </c>
      <c r="O1981" s="0" t="n">
        <v>156.4</v>
      </c>
      <c r="Q1981" s="0" t="n">
        <v>2035</v>
      </c>
      <c r="R1981" s="0" t="n">
        <v>1196</v>
      </c>
      <c r="W1981" s="0" t="n">
        <v>2032</v>
      </c>
      <c r="X1981" s="0" t="n">
        <v>1074.768</v>
      </c>
    </row>
    <row r="1982" customFormat="false" ht="15" hidden="false" customHeight="false" outlineLevel="0" collapsed="false">
      <c r="A1982" s="0" t="n">
        <v>2032</v>
      </c>
      <c r="B1982" s="0" t="n">
        <v>46.79489094</v>
      </c>
      <c r="C1982" s="0" t="n">
        <v>982.6927098</v>
      </c>
      <c r="E1982" s="0" t="n">
        <v>2032</v>
      </c>
      <c r="F1982" s="0" t="n">
        <v>5.865804</v>
      </c>
      <c r="G1982" s="0" t="n">
        <v>123.119812</v>
      </c>
      <c r="I1982" s="0" t="n">
        <v>2028</v>
      </c>
      <c r="J1982" s="0" t="n">
        <v>41.22</v>
      </c>
      <c r="K1982" s="0" t="n">
        <v>865.44</v>
      </c>
      <c r="M1982" s="0" t="n">
        <v>2032</v>
      </c>
      <c r="N1982" s="0" t="n">
        <v>7.5</v>
      </c>
      <c r="O1982" s="0" t="n">
        <v>156.4</v>
      </c>
      <c r="Q1982" s="0" t="n">
        <v>2035</v>
      </c>
      <c r="R1982" s="0" t="n">
        <v>1137</v>
      </c>
      <c r="W1982" s="0" t="n">
        <v>2032</v>
      </c>
      <c r="X1982" s="0" t="n">
        <v>1903.235</v>
      </c>
    </row>
    <row r="1983" customFormat="false" ht="15" hidden="false" customHeight="false" outlineLevel="0" collapsed="false">
      <c r="A1983" s="0" t="n">
        <v>2032</v>
      </c>
      <c r="B1983" s="0" t="n">
        <v>41.72960425</v>
      </c>
      <c r="C1983" s="0" t="n">
        <v>876.3216892</v>
      </c>
      <c r="E1983" s="0" t="n">
        <v>2032</v>
      </c>
      <c r="F1983" s="0" t="n">
        <v>140.222124</v>
      </c>
      <c r="G1983" s="0" t="n">
        <v>2943.180772</v>
      </c>
      <c r="I1983" s="0" t="n">
        <v>2028</v>
      </c>
      <c r="J1983" s="0" t="n">
        <v>41.22</v>
      </c>
      <c r="K1983" s="0" t="n">
        <v>865.44</v>
      </c>
      <c r="M1983" s="0" t="n">
        <v>2032</v>
      </c>
      <c r="N1983" s="0" t="n">
        <v>4.5</v>
      </c>
      <c r="O1983" s="0" t="n">
        <v>93.84</v>
      </c>
      <c r="Q1983" s="0" t="n">
        <v>2035</v>
      </c>
      <c r="R1983" s="0" t="n">
        <v>538</v>
      </c>
      <c r="W1983" s="0" t="n">
        <v>2032</v>
      </c>
      <c r="X1983" s="0" t="n">
        <v>850.858</v>
      </c>
    </row>
    <row r="1984" customFormat="false" ht="15" hidden="false" customHeight="false" outlineLevel="0" collapsed="false">
      <c r="A1984" s="0" t="n">
        <v>2032</v>
      </c>
      <c r="B1984" s="0" t="n">
        <v>29.02046667</v>
      </c>
      <c r="C1984" s="0" t="n">
        <v>609.4298001</v>
      </c>
      <c r="E1984" s="0" t="n">
        <v>2032</v>
      </c>
      <c r="F1984" s="0" t="n">
        <v>6.564348</v>
      </c>
      <c r="G1984" s="0" t="n">
        <v>137.781844</v>
      </c>
      <c r="I1984" s="0" t="n">
        <v>2028</v>
      </c>
      <c r="J1984" s="0" t="n">
        <v>82.44</v>
      </c>
      <c r="K1984" s="0" t="n">
        <v>1730.88</v>
      </c>
      <c r="M1984" s="0" t="n">
        <v>2032</v>
      </c>
      <c r="N1984" s="0" t="n">
        <v>3.75</v>
      </c>
      <c r="O1984" s="0" t="n">
        <v>78.2</v>
      </c>
      <c r="Q1984" s="0" t="n">
        <v>2035</v>
      </c>
      <c r="R1984" s="0" t="n">
        <v>120</v>
      </c>
      <c r="W1984" s="0" t="n">
        <v>2032</v>
      </c>
      <c r="X1984" s="0" t="n">
        <v>335.865</v>
      </c>
    </row>
    <row r="1985" customFormat="false" ht="15" hidden="false" customHeight="false" outlineLevel="0" collapsed="false">
      <c r="A1985" s="0" t="n">
        <v>2032</v>
      </c>
      <c r="B1985" s="0" t="n">
        <v>21.58639332</v>
      </c>
      <c r="C1985" s="0" t="n">
        <v>453.3142597</v>
      </c>
      <c r="E1985" s="0" t="n">
        <v>2032</v>
      </c>
      <c r="F1985" s="0" t="n">
        <v>35.893368</v>
      </c>
      <c r="G1985" s="0" t="n">
        <v>753.380904</v>
      </c>
      <c r="I1985" s="0" t="n">
        <v>2028</v>
      </c>
      <c r="J1985" s="0" t="n">
        <v>144.27</v>
      </c>
      <c r="K1985" s="0" t="n">
        <v>3029.04</v>
      </c>
      <c r="M1985" s="0" t="n">
        <v>2032</v>
      </c>
      <c r="N1985" s="0" t="n">
        <v>3</v>
      </c>
      <c r="O1985" s="0" t="n">
        <v>62.56</v>
      </c>
      <c r="Q1985" s="0" t="n">
        <v>2035</v>
      </c>
      <c r="R1985" s="0" t="n">
        <v>113</v>
      </c>
      <c r="W1985" s="0" t="n">
        <v>2032</v>
      </c>
      <c r="X1985" s="0" t="n">
        <v>492.602</v>
      </c>
    </row>
    <row r="1986" customFormat="false" ht="15" hidden="false" customHeight="false" outlineLevel="0" collapsed="false">
      <c r="A1986" s="0" t="n">
        <v>2032</v>
      </c>
      <c r="B1986" s="0" t="n">
        <v>9.593952587</v>
      </c>
      <c r="C1986" s="0" t="n">
        <v>201.4730043</v>
      </c>
      <c r="E1986" s="0" t="n">
        <v>2032</v>
      </c>
      <c r="F1986" s="0" t="n">
        <v>32.820984</v>
      </c>
      <c r="G1986" s="0" t="n">
        <v>688.893352</v>
      </c>
      <c r="I1986" s="0" t="n">
        <v>2028</v>
      </c>
      <c r="J1986" s="0" t="n">
        <v>61.83</v>
      </c>
      <c r="K1986" s="0" t="n">
        <v>1298.16</v>
      </c>
      <c r="M1986" s="0" t="n">
        <v>2032</v>
      </c>
      <c r="N1986" s="0" t="n">
        <v>1.5</v>
      </c>
      <c r="O1986" s="0" t="n">
        <v>31.28</v>
      </c>
      <c r="Q1986" s="0" t="n">
        <v>2035</v>
      </c>
      <c r="R1986" s="0" t="n">
        <v>113</v>
      </c>
      <c r="W1986" s="0" t="n">
        <v>2032</v>
      </c>
      <c r="X1986" s="0" t="n">
        <v>380.647</v>
      </c>
    </row>
    <row r="1987" customFormat="false" ht="15" hidden="false" customHeight="false" outlineLevel="0" collapsed="false">
      <c r="A1987" s="0" t="n">
        <v>2032</v>
      </c>
      <c r="B1987" s="0" t="n">
        <v>35.43602457</v>
      </c>
      <c r="C1987" s="0" t="n">
        <v>744.156516</v>
      </c>
      <c r="E1987" s="0" t="n">
        <v>2032</v>
      </c>
      <c r="F1987" s="0" t="n">
        <v>342.290034</v>
      </c>
      <c r="G1987" s="0" t="n">
        <v>7178.325683</v>
      </c>
      <c r="I1987" s="0" t="n">
        <v>2028</v>
      </c>
      <c r="J1987" s="0" t="n">
        <v>61.83</v>
      </c>
      <c r="K1987" s="0" t="n">
        <v>1298.16</v>
      </c>
      <c r="M1987" s="0" t="n">
        <v>2032</v>
      </c>
      <c r="N1987" s="0" t="n">
        <v>74.48</v>
      </c>
      <c r="O1987" s="0" t="n">
        <v>1559.9</v>
      </c>
      <c r="Q1987" s="0" t="n">
        <v>2035</v>
      </c>
      <c r="R1987" s="0" t="n">
        <v>343</v>
      </c>
      <c r="W1987" s="0" t="n">
        <v>2032</v>
      </c>
      <c r="X1987" s="0" t="n">
        <v>5772.82</v>
      </c>
    </row>
    <row r="1988" customFormat="false" ht="15" hidden="false" customHeight="false" outlineLevel="0" collapsed="false">
      <c r="A1988" s="0" t="n">
        <v>2032</v>
      </c>
      <c r="B1988" s="0" t="n">
        <v>11.09271311</v>
      </c>
      <c r="C1988" s="0" t="n">
        <v>232.9469753</v>
      </c>
      <c r="E1988" s="0" t="n">
        <v>2032</v>
      </c>
      <c r="F1988" s="0" t="n">
        <v>91.908666</v>
      </c>
      <c r="G1988" s="0" t="n">
        <v>1927.459967</v>
      </c>
      <c r="I1988" s="0" t="n">
        <v>2028</v>
      </c>
      <c r="J1988" s="0" t="n">
        <v>114.92</v>
      </c>
      <c r="K1988" s="0" t="n">
        <v>2412.8</v>
      </c>
      <c r="M1988" s="0" t="n">
        <v>2032</v>
      </c>
      <c r="N1988" s="0" t="n">
        <v>49</v>
      </c>
      <c r="O1988" s="0" t="n">
        <v>1026.25</v>
      </c>
      <c r="Q1988" s="0" t="n">
        <v>2035</v>
      </c>
      <c r="R1988" s="0" t="n">
        <v>325</v>
      </c>
      <c r="W1988" s="0" t="n">
        <v>2032</v>
      </c>
      <c r="X1988" s="0" t="n">
        <v>1443.205</v>
      </c>
    </row>
    <row r="1989" customFormat="false" ht="15" hidden="false" customHeight="false" outlineLevel="0" collapsed="false">
      <c r="A1989" s="0" t="n">
        <v>2032</v>
      </c>
      <c r="B1989" s="0" t="n">
        <v>24.80262863</v>
      </c>
      <c r="C1989" s="0" t="n">
        <v>520.8552012</v>
      </c>
      <c r="E1989" s="0" t="n">
        <v>2032</v>
      </c>
      <c r="F1989" s="0" t="n">
        <v>36.787842</v>
      </c>
      <c r="G1989" s="0" t="n">
        <v>771.495179</v>
      </c>
      <c r="I1989" s="0" t="n">
        <v>2028</v>
      </c>
      <c r="J1989" s="0" t="n">
        <v>17.68</v>
      </c>
      <c r="K1989" s="0" t="n">
        <v>371.2</v>
      </c>
      <c r="M1989" s="0" t="n">
        <v>2032</v>
      </c>
      <c r="N1989" s="0" t="n">
        <v>19.6</v>
      </c>
      <c r="O1989" s="0" t="n">
        <v>410.5</v>
      </c>
      <c r="Q1989" s="0" t="n">
        <v>2035</v>
      </c>
      <c r="R1989" s="0" t="n">
        <v>154</v>
      </c>
      <c r="W1989" s="0" t="n">
        <v>2032</v>
      </c>
      <c r="X1989" s="0" t="n">
        <v>446.928</v>
      </c>
    </row>
    <row r="1990" customFormat="false" ht="15" hidden="false" customHeight="false" outlineLevel="0" collapsed="false">
      <c r="A1990" s="0" t="n">
        <v>2032</v>
      </c>
      <c r="B1990" s="0" t="n">
        <v>338.7392976</v>
      </c>
      <c r="C1990" s="0" t="n">
        <v>7113.52525</v>
      </c>
      <c r="E1990" s="0" t="n">
        <v>2032</v>
      </c>
      <c r="F1990" s="0" t="n">
        <v>5.167494</v>
      </c>
      <c r="G1990" s="0" t="n">
        <v>108.369953</v>
      </c>
      <c r="I1990" s="0" t="n">
        <v>2028</v>
      </c>
      <c r="J1990" s="0" t="n">
        <v>13.26</v>
      </c>
      <c r="K1990" s="0" t="n">
        <v>278.4</v>
      </c>
      <c r="M1990" s="0" t="n">
        <v>2032</v>
      </c>
      <c r="N1990" s="0" t="n">
        <v>19.6</v>
      </c>
      <c r="O1990" s="0" t="n">
        <v>410.5</v>
      </c>
      <c r="Q1990" s="0" t="n">
        <v>2035</v>
      </c>
      <c r="R1990" s="0" t="n">
        <v>34</v>
      </c>
      <c r="W1990" s="0" t="n">
        <v>2032</v>
      </c>
      <c r="X1990" s="0" t="n">
        <v>791.435</v>
      </c>
    </row>
    <row r="1991" customFormat="false" ht="15" hidden="false" customHeight="false" outlineLevel="0" collapsed="false">
      <c r="A1991" s="0" t="n">
        <v>2032</v>
      </c>
      <c r="B1991" s="0" t="n">
        <v>85.44006751</v>
      </c>
      <c r="C1991" s="0" t="n">
        <v>1794.241418</v>
      </c>
      <c r="E1991" s="0" t="n">
        <v>2032</v>
      </c>
      <c r="F1991" s="0" t="n">
        <v>123.529014</v>
      </c>
      <c r="G1991" s="0" t="n">
        <v>2590.585193</v>
      </c>
      <c r="I1991" s="0" t="n">
        <v>2028</v>
      </c>
      <c r="J1991" s="0" t="n">
        <v>22.1</v>
      </c>
      <c r="K1991" s="0" t="n">
        <v>464</v>
      </c>
      <c r="M1991" s="0" t="n">
        <v>2032</v>
      </c>
      <c r="N1991" s="0" t="n">
        <v>11.76</v>
      </c>
      <c r="O1991" s="0" t="n">
        <v>246.3</v>
      </c>
      <c r="Q1991" s="0" t="n">
        <v>2035</v>
      </c>
      <c r="R1991" s="0" t="n">
        <v>32</v>
      </c>
      <c r="W1991" s="0" t="n">
        <v>2032</v>
      </c>
      <c r="X1991" s="0" t="n">
        <v>353.818</v>
      </c>
    </row>
    <row r="1992" customFormat="false" ht="15" hidden="false" customHeight="false" outlineLevel="0" collapsed="false">
      <c r="A1992" s="0" t="n">
        <v>2032</v>
      </c>
      <c r="B1992" s="0" t="n">
        <v>76.19165538</v>
      </c>
      <c r="C1992" s="0" t="n">
        <v>1600.024763</v>
      </c>
      <c r="E1992" s="0" t="n">
        <v>2032</v>
      </c>
      <c r="F1992" s="0" t="n">
        <v>5.782878</v>
      </c>
      <c r="G1992" s="0" t="n">
        <v>121.275461</v>
      </c>
      <c r="I1992" s="0" t="n">
        <v>2028</v>
      </c>
      <c r="J1992" s="0" t="n">
        <v>4.42</v>
      </c>
      <c r="K1992" s="0" t="n">
        <v>92.8</v>
      </c>
      <c r="M1992" s="0" t="n">
        <v>2032</v>
      </c>
      <c r="N1992" s="0" t="n">
        <v>9.8</v>
      </c>
      <c r="O1992" s="0" t="n">
        <v>205.25</v>
      </c>
      <c r="Q1992" s="0" t="n">
        <v>2035</v>
      </c>
      <c r="R1992" s="0" t="n">
        <v>32</v>
      </c>
      <c r="W1992" s="0" t="n">
        <v>2032</v>
      </c>
      <c r="X1992" s="0" t="n">
        <v>139.665</v>
      </c>
    </row>
    <row r="1993" customFormat="false" ht="15" hidden="false" customHeight="false" outlineLevel="0" collapsed="false">
      <c r="A1993" s="0" t="n">
        <v>2032</v>
      </c>
      <c r="B1993" s="0" t="n">
        <v>52.98678086</v>
      </c>
      <c r="C1993" s="0" t="n">
        <v>1112.722398</v>
      </c>
      <c r="E1993" s="0" t="n">
        <v>2032</v>
      </c>
      <c r="F1993" s="0" t="n">
        <v>31.620348</v>
      </c>
      <c r="G1993" s="0" t="n">
        <v>663.125226</v>
      </c>
      <c r="I1993" s="0" t="n">
        <v>2028</v>
      </c>
      <c r="J1993" s="0" t="n">
        <v>4.42</v>
      </c>
      <c r="K1993" s="0" t="n">
        <v>92.8</v>
      </c>
      <c r="M1993" s="0" t="n">
        <v>2032</v>
      </c>
      <c r="N1993" s="0" t="n">
        <v>7.84</v>
      </c>
      <c r="O1993" s="0" t="n">
        <v>164.2</v>
      </c>
      <c r="Q1993" s="0" t="n">
        <v>2035</v>
      </c>
      <c r="R1993" s="0" t="n">
        <v>473</v>
      </c>
      <c r="W1993" s="0" t="n">
        <v>2032</v>
      </c>
      <c r="X1993" s="0" t="n">
        <v>204.842</v>
      </c>
    </row>
    <row r="1994" customFormat="false" ht="15" hidden="false" customHeight="false" outlineLevel="0" collapsed="false">
      <c r="A1994" s="0" t="n">
        <v>2032</v>
      </c>
      <c r="B1994" s="0" t="n">
        <v>39.41333905</v>
      </c>
      <c r="C1994" s="0" t="n">
        <v>827.6801201</v>
      </c>
      <c r="E1994" s="0" t="n">
        <v>2032</v>
      </c>
      <c r="F1994" s="0" t="n">
        <v>28.913724</v>
      </c>
      <c r="G1994" s="0" t="n">
        <v>606.363338</v>
      </c>
      <c r="I1994" s="0" t="n">
        <v>2028</v>
      </c>
      <c r="J1994" s="0" t="n">
        <v>0</v>
      </c>
      <c r="K1994" s="0" t="n">
        <v>0</v>
      </c>
      <c r="M1994" s="0" t="n">
        <v>2032</v>
      </c>
      <c r="N1994" s="0" t="n">
        <v>3.92</v>
      </c>
      <c r="O1994" s="0" t="n">
        <v>82.1</v>
      </c>
      <c r="Q1994" s="0" t="n">
        <v>2035</v>
      </c>
      <c r="R1994" s="0" t="n">
        <v>450</v>
      </c>
      <c r="W1994" s="0" t="n">
        <v>2032</v>
      </c>
      <c r="X1994" s="0" t="n">
        <v>158.287</v>
      </c>
    </row>
    <row r="1995" customFormat="false" ht="15" hidden="false" customHeight="false" outlineLevel="0" collapsed="false">
      <c r="A1995" s="0" t="n">
        <v>2032</v>
      </c>
      <c r="B1995" s="0" t="n">
        <v>17.51703958</v>
      </c>
      <c r="C1995" s="0" t="n">
        <v>367.8578312</v>
      </c>
      <c r="E1995" s="0" t="n">
        <v>2032</v>
      </c>
      <c r="F1995" s="0" t="n">
        <v>120.264066</v>
      </c>
      <c r="G1995" s="0" t="n">
        <v>2524.003539</v>
      </c>
      <c r="I1995" s="0" t="n">
        <v>2028</v>
      </c>
      <c r="J1995" s="0" t="n">
        <v>8.84</v>
      </c>
      <c r="K1995" s="0" t="n">
        <v>185.6</v>
      </c>
      <c r="M1995" s="0" t="n">
        <v>2032</v>
      </c>
      <c r="N1995" s="0" t="n">
        <v>46.74</v>
      </c>
      <c r="O1995" s="0" t="n">
        <v>977.36</v>
      </c>
      <c r="Q1995" s="0" t="n">
        <v>2035</v>
      </c>
      <c r="R1995" s="0" t="n">
        <v>213</v>
      </c>
      <c r="W1995" s="0" t="n">
        <v>2032</v>
      </c>
      <c r="X1995" s="0" t="n">
        <v>5574.42</v>
      </c>
    </row>
    <row r="1996" customFormat="false" ht="15" hidden="false" customHeight="false" outlineLevel="0" collapsed="false">
      <c r="A1996" s="0" t="n">
        <v>2032</v>
      </c>
      <c r="B1996" s="0" t="n">
        <v>64.70057459</v>
      </c>
      <c r="C1996" s="0" t="n">
        <v>1358.712066</v>
      </c>
      <c r="E1996" s="0" t="n">
        <v>2032</v>
      </c>
      <c r="F1996" s="0" t="n">
        <v>32.292234</v>
      </c>
      <c r="G1996" s="0" t="n">
        <v>677.722911</v>
      </c>
      <c r="I1996" s="0" t="n">
        <v>2028</v>
      </c>
      <c r="J1996" s="0" t="n">
        <v>15.47</v>
      </c>
      <c r="K1996" s="0" t="n">
        <v>324.8</v>
      </c>
      <c r="M1996" s="0" t="n">
        <v>2032</v>
      </c>
      <c r="N1996" s="0" t="n">
        <v>30.75</v>
      </c>
      <c r="O1996" s="0" t="n">
        <v>643</v>
      </c>
      <c r="Q1996" s="0" t="n">
        <v>2035</v>
      </c>
      <c r="R1996" s="0" t="n">
        <v>47</v>
      </c>
      <c r="W1996" s="0" t="n">
        <v>2032</v>
      </c>
      <c r="X1996" s="0" t="n">
        <v>1393.605</v>
      </c>
    </row>
    <row r="1997" customFormat="false" ht="15" hidden="false" customHeight="false" outlineLevel="0" collapsed="false">
      <c r="A1997" s="0" t="n">
        <v>2032</v>
      </c>
      <c r="B1997" s="0" t="n">
        <v>20.25353918</v>
      </c>
      <c r="C1997" s="0" t="n">
        <v>425.3243228</v>
      </c>
      <c r="E1997" s="0" t="n">
        <v>2032</v>
      </c>
      <c r="F1997" s="0" t="n">
        <v>12.925458</v>
      </c>
      <c r="G1997" s="0" t="n">
        <v>271.268907</v>
      </c>
      <c r="I1997" s="0" t="n">
        <v>2028</v>
      </c>
      <c r="J1997" s="0" t="n">
        <v>4.42</v>
      </c>
      <c r="K1997" s="0" t="n">
        <v>92.8</v>
      </c>
      <c r="M1997" s="0" t="n">
        <v>2032</v>
      </c>
      <c r="N1997" s="0" t="n">
        <v>12.3</v>
      </c>
      <c r="O1997" s="0" t="n">
        <v>257.2</v>
      </c>
      <c r="Q1997" s="0" t="n">
        <v>2035</v>
      </c>
      <c r="R1997" s="0" t="n">
        <v>46</v>
      </c>
      <c r="W1997" s="0" t="n">
        <v>2032</v>
      </c>
      <c r="X1997" s="0" t="n">
        <v>431.568</v>
      </c>
    </row>
    <row r="1998" customFormat="false" ht="15" hidden="false" customHeight="false" outlineLevel="0" collapsed="false">
      <c r="A1998" s="0" t="n">
        <v>2032</v>
      </c>
      <c r="B1998" s="0" t="n">
        <v>45.28567589</v>
      </c>
      <c r="C1998" s="0" t="n">
        <v>950.9991937</v>
      </c>
      <c r="E1998" s="0" t="n">
        <v>2032</v>
      </c>
      <c r="F1998" s="0" t="n">
        <v>1.815606</v>
      </c>
      <c r="G1998" s="0" t="n">
        <v>38.104449</v>
      </c>
      <c r="I1998" s="0" t="n">
        <v>2028</v>
      </c>
      <c r="J1998" s="0" t="n">
        <v>15.47</v>
      </c>
      <c r="K1998" s="0" t="n">
        <v>324.8</v>
      </c>
      <c r="M1998" s="0" t="n">
        <v>2032</v>
      </c>
      <c r="N1998" s="0" t="n">
        <v>12.3</v>
      </c>
      <c r="O1998" s="0" t="n">
        <v>257.2</v>
      </c>
      <c r="Q1998" s="0" t="n">
        <v>2035</v>
      </c>
      <c r="R1998" s="0" t="n">
        <v>46</v>
      </c>
      <c r="W1998" s="0" t="n">
        <v>2032</v>
      </c>
      <c r="X1998" s="0" t="n">
        <v>764.235</v>
      </c>
    </row>
    <row r="1999" customFormat="false" ht="15" hidden="false" customHeight="false" outlineLevel="0" collapsed="false">
      <c r="A1999" s="0" t="n">
        <v>2032</v>
      </c>
      <c r="B1999" s="0" t="n">
        <v>162.6295348</v>
      </c>
      <c r="C1999" s="0" t="n">
        <v>3415.220232</v>
      </c>
      <c r="E1999" s="0" t="n">
        <v>2032</v>
      </c>
      <c r="F1999" s="0" t="n">
        <v>43.402086</v>
      </c>
      <c r="G1999" s="0" t="n">
        <v>910.887369</v>
      </c>
      <c r="I1999" s="0" t="n">
        <v>2028</v>
      </c>
      <c r="J1999" s="0" t="n">
        <v>97.44</v>
      </c>
      <c r="K1999" s="0" t="n">
        <v>2049.12</v>
      </c>
      <c r="M1999" s="0" t="n">
        <v>2032</v>
      </c>
      <c r="N1999" s="0" t="n">
        <v>7.38</v>
      </c>
      <c r="O1999" s="0" t="n">
        <v>154.32</v>
      </c>
      <c r="Q1999" s="0" t="n">
        <v>2035</v>
      </c>
      <c r="R1999" s="0" t="n">
        <v>261</v>
      </c>
      <c r="W1999" s="0" t="n">
        <v>2032</v>
      </c>
      <c r="X1999" s="0" t="n">
        <v>341.658</v>
      </c>
    </row>
    <row r="2000" customFormat="false" ht="15" hidden="false" customHeight="false" outlineLevel="0" collapsed="false">
      <c r="A2000" s="0" t="n">
        <v>2032</v>
      </c>
      <c r="B2000" s="0" t="n">
        <v>41.0199777</v>
      </c>
      <c r="C2000" s="0" t="n">
        <v>861.4195318</v>
      </c>
      <c r="E2000" s="0" t="n">
        <v>2032</v>
      </c>
      <c r="F2000" s="0" t="n">
        <v>2.031822</v>
      </c>
      <c r="G2000" s="0" t="n">
        <v>42.642213</v>
      </c>
      <c r="I2000" s="0" t="n">
        <v>2028</v>
      </c>
      <c r="J2000" s="0" t="n">
        <v>32.48</v>
      </c>
      <c r="K2000" s="0" t="n">
        <v>683.04</v>
      </c>
      <c r="M2000" s="0" t="n">
        <v>2032</v>
      </c>
      <c r="N2000" s="0" t="n">
        <v>6.15</v>
      </c>
      <c r="O2000" s="0" t="n">
        <v>128.6</v>
      </c>
      <c r="Q2000" s="0" t="n">
        <v>2035</v>
      </c>
      <c r="R2000" s="0" t="n">
        <v>248</v>
      </c>
      <c r="W2000" s="0" t="n">
        <v>2032</v>
      </c>
      <c r="X2000" s="0" t="n">
        <v>134.865</v>
      </c>
    </row>
    <row r="2001" customFormat="false" ht="15" hidden="false" customHeight="false" outlineLevel="0" collapsed="false">
      <c r="A2001" s="0" t="n">
        <v>2032</v>
      </c>
      <c r="B2001" s="0" t="n">
        <v>36.57979325</v>
      </c>
      <c r="C2001" s="0" t="n">
        <v>768.1756583</v>
      </c>
      <c r="E2001" s="0" t="n">
        <v>2032</v>
      </c>
      <c r="F2001" s="0" t="n">
        <v>11.109852</v>
      </c>
      <c r="G2001" s="0" t="n">
        <v>233.164458</v>
      </c>
      <c r="I2001" s="0" t="n">
        <v>2028</v>
      </c>
      <c r="J2001" s="0" t="n">
        <v>14.21</v>
      </c>
      <c r="K2001" s="0" t="n">
        <v>298.83</v>
      </c>
      <c r="M2001" s="0" t="n">
        <v>2032</v>
      </c>
      <c r="N2001" s="0" t="n">
        <v>4.92</v>
      </c>
      <c r="O2001" s="0" t="n">
        <v>102.88</v>
      </c>
      <c r="Q2001" s="0" t="n">
        <v>2035</v>
      </c>
      <c r="R2001" s="0" t="n">
        <v>118</v>
      </c>
      <c r="W2001" s="0" t="n">
        <v>2032</v>
      </c>
      <c r="X2001" s="0" t="n">
        <v>197.802</v>
      </c>
    </row>
    <row r="2002" customFormat="false" ht="15" hidden="false" customHeight="false" outlineLevel="0" collapsed="false">
      <c r="A2002" s="0" t="n">
        <v>2032</v>
      </c>
      <c r="B2002" s="0" t="n">
        <v>25.43907833</v>
      </c>
      <c r="C2002" s="0" t="n">
        <v>534.2206448</v>
      </c>
      <c r="E2002" s="0" t="n">
        <v>2032</v>
      </c>
      <c r="F2002" s="0" t="n">
        <v>10.158876</v>
      </c>
      <c r="G2002" s="0" t="n">
        <v>213.206154</v>
      </c>
      <c r="I2002" s="0" t="n">
        <v>2028</v>
      </c>
      <c r="J2002" s="0" t="n">
        <v>8.12</v>
      </c>
      <c r="K2002" s="0" t="n">
        <v>170.76</v>
      </c>
      <c r="M2002" s="0" t="n">
        <v>2032</v>
      </c>
      <c r="N2002" s="0" t="n">
        <v>2.46</v>
      </c>
      <c r="O2002" s="0" t="n">
        <v>51.44</v>
      </c>
      <c r="Q2002" s="0" t="n">
        <v>2035</v>
      </c>
      <c r="R2002" s="0" t="n">
        <v>26</v>
      </c>
      <c r="W2002" s="0" t="n">
        <v>2032</v>
      </c>
      <c r="X2002" s="0" t="n">
        <v>152.847</v>
      </c>
    </row>
    <row r="2003" customFormat="false" ht="15" hidden="false" customHeight="false" outlineLevel="0" collapsed="false">
      <c r="A2003" s="0" t="n">
        <v>2032</v>
      </c>
      <c r="B2003" s="0" t="n">
        <v>18.92243694</v>
      </c>
      <c r="C2003" s="0" t="n">
        <v>397.3711756</v>
      </c>
      <c r="E2003" s="0" t="n">
        <v>2032</v>
      </c>
      <c r="F2003" s="0" t="n">
        <v>1427.236373</v>
      </c>
      <c r="G2003" s="0" t="n">
        <v>29965.79645</v>
      </c>
      <c r="I2003" s="0" t="n">
        <v>2028</v>
      </c>
      <c r="J2003" s="0" t="n">
        <v>8.12</v>
      </c>
      <c r="K2003" s="0" t="n">
        <v>170.76</v>
      </c>
      <c r="M2003" s="0" t="n">
        <v>2032</v>
      </c>
      <c r="N2003" s="0" t="n">
        <v>46.74</v>
      </c>
      <c r="O2003" s="0" t="n">
        <v>975.46</v>
      </c>
      <c r="Q2003" s="0" t="n">
        <v>2035</v>
      </c>
      <c r="R2003" s="0" t="n">
        <v>25</v>
      </c>
      <c r="W2003" s="0" t="n">
        <v>2032</v>
      </c>
      <c r="X2003" s="0" t="n">
        <v>55746.68</v>
      </c>
    </row>
    <row r="2004" customFormat="false" ht="15" hidden="false" customHeight="false" outlineLevel="0" collapsed="false">
      <c r="A2004" s="0" t="n">
        <v>2032</v>
      </c>
      <c r="B2004" s="0" t="n">
        <v>8.409971971</v>
      </c>
      <c r="C2004" s="0" t="n">
        <v>176.6094114</v>
      </c>
      <c r="E2004" s="0" t="n">
        <v>2032</v>
      </c>
      <c r="F2004" s="0" t="n">
        <v>383.228777</v>
      </c>
      <c r="G2004" s="0" t="n">
        <v>8046.148305</v>
      </c>
      <c r="I2004" s="0" t="n">
        <v>2028</v>
      </c>
      <c r="J2004" s="0" t="n">
        <v>4.06</v>
      </c>
      <c r="K2004" s="0" t="n">
        <v>85.38</v>
      </c>
      <c r="M2004" s="0" t="n">
        <v>2032</v>
      </c>
      <c r="N2004" s="0" t="n">
        <v>30.75</v>
      </c>
      <c r="O2004" s="0" t="n">
        <v>641.75</v>
      </c>
      <c r="Q2004" s="0" t="n">
        <v>2035</v>
      </c>
      <c r="R2004" s="0" t="n">
        <v>25</v>
      </c>
      <c r="W2004" s="0" t="n">
        <v>2032</v>
      </c>
      <c r="X2004" s="0" t="n">
        <v>13936.67</v>
      </c>
    </row>
    <row r="2005" customFormat="false" ht="15" hidden="false" customHeight="false" outlineLevel="0" collapsed="false">
      <c r="A2005" s="0" t="n">
        <v>2032</v>
      </c>
      <c r="B2005" s="0" t="n">
        <v>31.06289829</v>
      </c>
      <c r="C2005" s="0" t="n">
        <v>652.3208641</v>
      </c>
      <c r="E2005" s="0" t="n">
        <v>2032</v>
      </c>
      <c r="F2005" s="0" t="n">
        <v>153.393149</v>
      </c>
      <c r="G2005" s="0" t="n">
        <v>3220.593285</v>
      </c>
      <c r="I2005" s="0" t="n">
        <v>2028</v>
      </c>
      <c r="J2005" s="0" t="n">
        <v>4.06</v>
      </c>
      <c r="K2005" s="0" t="n">
        <v>85.38</v>
      </c>
      <c r="M2005" s="0" t="n">
        <v>2032</v>
      </c>
      <c r="N2005" s="0" t="n">
        <v>12.3</v>
      </c>
      <c r="O2005" s="0" t="n">
        <v>256.7</v>
      </c>
      <c r="Q2005" s="0" t="n">
        <v>2035</v>
      </c>
      <c r="R2005" s="0" t="n">
        <v>934</v>
      </c>
      <c r="W2005" s="0" t="n">
        <v>2032</v>
      </c>
      <c r="X2005" s="0" t="n">
        <v>4315.872</v>
      </c>
    </row>
    <row r="2006" customFormat="false" ht="15" hidden="false" customHeight="false" outlineLevel="0" collapsed="false">
      <c r="A2006" s="0" t="n">
        <v>2032</v>
      </c>
      <c r="B2006" s="0" t="n">
        <v>9.723771877</v>
      </c>
      <c r="C2006" s="0" t="n">
        <v>204.1992094</v>
      </c>
      <c r="E2006" s="0" t="n">
        <v>2032</v>
      </c>
      <c r="F2006" s="0" t="n">
        <v>21.546743</v>
      </c>
      <c r="G2006" s="0" t="n">
        <v>452.388495</v>
      </c>
      <c r="I2006" s="0" t="n">
        <v>2028</v>
      </c>
      <c r="J2006" s="0" t="n">
        <v>8.12</v>
      </c>
      <c r="K2006" s="0" t="n">
        <v>170.76</v>
      </c>
      <c r="M2006" s="0" t="n">
        <v>2032</v>
      </c>
      <c r="N2006" s="0" t="n">
        <v>12.3</v>
      </c>
      <c r="O2006" s="0" t="n">
        <v>256.7</v>
      </c>
      <c r="Q2006" s="0" t="n">
        <v>2035</v>
      </c>
      <c r="R2006" s="0" t="n">
        <v>887</v>
      </c>
      <c r="W2006" s="0" t="n">
        <v>2032</v>
      </c>
      <c r="X2006" s="0" t="n">
        <v>7642.69</v>
      </c>
    </row>
    <row r="2007" customFormat="false" ht="15" hidden="false" customHeight="false" outlineLevel="0" collapsed="false">
      <c r="A2007" s="0" t="n">
        <v>2032</v>
      </c>
      <c r="B2007" s="0" t="n">
        <v>21.74175969</v>
      </c>
      <c r="C2007" s="0" t="n">
        <v>456.5769534</v>
      </c>
      <c r="E2007" s="0" t="n">
        <v>2032</v>
      </c>
      <c r="F2007" s="0" t="n">
        <v>515.075183</v>
      </c>
      <c r="G2007" s="0" t="n">
        <v>10814.3531</v>
      </c>
      <c r="I2007" s="0" t="n">
        <v>2028</v>
      </c>
      <c r="J2007" s="0" t="n">
        <v>14.21</v>
      </c>
      <c r="K2007" s="0" t="n">
        <v>298.83</v>
      </c>
      <c r="M2007" s="0" t="n">
        <v>2032</v>
      </c>
      <c r="N2007" s="0" t="n">
        <v>7.38</v>
      </c>
      <c r="O2007" s="0" t="n">
        <v>154.02</v>
      </c>
      <c r="Q2007" s="0" t="n">
        <v>2035</v>
      </c>
      <c r="R2007" s="0" t="n">
        <v>420</v>
      </c>
      <c r="W2007" s="0" t="n">
        <v>2032</v>
      </c>
      <c r="X2007" s="0" t="n">
        <v>3416.732</v>
      </c>
    </row>
    <row r="2008" customFormat="false" ht="15" hidden="false" customHeight="false" outlineLevel="0" collapsed="false">
      <c r="A2008" s="0" t="n">
        <v>2032</v>
      </c>
      <c r="B2008" s="0" t="n">
        <v>68.23804963</v>
      </c>
      <c r="C2008" s="0" t="n">
        <v>1432.999042</v>
      </c>
      <c r="E2008" s="0" t="n">
        <v>2032</v>
      </c>
      <c r="F2008" s="0" t="n">
        <v>24.112691</v>
      </c>
      <c r="G2008" s="0" t="n">
        <v>506.262315</v>
      </c>
      <c r="I2008" s="0" t="n">
        <v>2028</v>
      </c>
      <c r="J2008" s="0" t="n">
        <v>6.09</v>
      </c>
      <c r="K2008" s="0" t="n">
        <v>128.07</v>
      </c>
      <c r="M2008" s="0" t="n">
        <v>2032</v>
      </c>
      <c r="N2008" s="0" t="n">
        <v>6.15</v>
      </c>
      <c r="O2008" s="0" t="n">
        <v>128.35</v>
      </c>
      <c r="Q2008" s="0" t="n">
        <v>2035</v>
      </c>
      <c r="R2008" s="0" t="n">
        <v>93</v>
      </c>
      <c r="W2008" s="0" t="n">
        <v>2032</v>
      </c>
      <c r="X2008" s="0" t="n">
        <v>1348.71</v>
      </c>
    </row>
    <row r="2009" customFormat="false" ht="15" hidden="false" customHeight="false" outlineLevel="0" collapsed="false">
      <c r="A2009" s="0" t="n">
        <v>2032</v>
      </c>
      <c r="B2009" s="0" t="n">
        <v>17.21165394</v>
      </c>
      <c r="C2009" s="0" t="n">
        <v>361.4447328</v>
      </c>
      <c r="E2009" s="0" t="n">
        <v>2032</v>
      </c>
      <c r="F2009" s="0" t="n">
        <v>131.846406</v>
      </c>
      <c r="G2009" s="0" t="n">
        <v>2768.20479</v>
      </c>
      <c r="I2009" s="0" t="n">
        <v>2028</v>
      </c>
      <c r="J2009" s="0" t="n">
        <v>6.09</v>
      </c>
      <c r="K2009" s="0" t="n">
        <v>128.07</v>
      </c>
      <c r="M2009" s="0" t="n">
        <v>2032</v>
      </c>
      <c r="N2009" s="0" t="n">
        <v>4.92</v>
      </c>
      <c r="O2009" s="0" t="n">
        <v>102.68</v>
      </c>
      <c r="Q2009" s="0" t="n">
        <v>2035</v>
      </c>
      <c r="R2009" s="0" t="n">
        <v>89</v>
      </c>
      <c r="W2009" s="0" t="n">
        <v>2032</v>
      </c>
      <c r="X2009" s="0" t="n">
        <v>1978.108</v>
      </c>
    </row>
    <row r="2010" customFormat="false" ht="15" hidden="false" customHeight="false" outlineLevel="0" collapsed="false">
      <c r="A2010" s="0" t="n">
        <v>2032</v>
      </c>
      <c r="B2010" s="0" t="n">
        <v>15.34858813</v>
      </c>
      <c r="C2010" s="0" t="n">
        <v>322.3203506</v>
      </c>
      <c r="E2010" s="0" t="n">
        <v>2032</v>
      </c>
      <c r="F2010" s="0" t="n">
        <v>120.560678</v>
      </c>
      <c r="G2010" s="0" t="n">
        <v>2531.25327</v>
      </c>
      <c r="I2010" s="0" t="n">
        <v>2028</v>
      </c>
      <c r="J2010" s="0" t="n">
        <v>28.08</v>
      </c>
      <c r="K2010" s="0" t="n">
        <v>589.68</v>
      </c>
      <c r="M2010" s="0" t="n">
        <v>2032</v>
      </c>
      <c r="N2010" s="0" t="n">
        <v>2.46</v>
      </c>
      <c r="O2010" s="0" t="n">
        <v>51.34</v>
      </c>
      <c r="Q2010" s="0" t="n">
        <v>2035</v>
      </c>
      <c r="R2010" s="0" t="n">
        <v>89</v>
      </c>
      <c r="W2010" s="0" t="n">
        <v>2032</v>
      </c>
      <c r="X2010" s="0" t="n">
        <v>1528.538</v>
      </c>
    </row>
    <row r="2011" customFormat="false" ht="15" hidden="false" customHeight="false" outlineLevel="0" collapsed="false">
      <c r="A2011" s="0" t="n">
        <v>2032</v>
      </c>
      <c r="B2011" s="0" t="n">
        <v>10.67403342</v>
      </c>
      <c r="C2011" s="0" t="n">
        <v>224.1547017</v>
      </c>
      <c r="E2011" s="0" t="n">
        <v>2032</v>
      </c>
      <c r="F2011" s="0" t="n">
        <v>658.882618</v>
      </c>
      <c r="G2011" s="0" t="n">
        <v>13834.47918</v>
      </c>
      <c r="I2011" s="0" t="n">
        <v>2028</v>
      </c>
      <c r="J2011" s="0" t="n">
        <v>4.32</v>
      </c>
      <c r="K2011" s="0" t="n">
        <v>90.72</v>
      </c>
      <c r="M2011" s="0" t="n">
        <v>2032</v>
      </c>
      <c r="N2011" s="0" t="n">
        <v>241.68</v>
      </c>
      <c r="O2011" s="0" t="n">
        <v>5072.24</v>
      </c>
      <c r="Q2011" s="0" t="n">
        <v>2035</v>
      </c>
      <c r="R2011" s="0" t="n">
        <v>433</v>
      </c>
      <c r="W2011" s="0" t="n">
        <v>2032</v>
      </c>
      <c r="X2011" s="0" t="n">
        <v>15062.9</v>
      </c>
    </row>
    <row r="2012" customFormat="false" ht="15" hidden="false" customHeight="false" outlineLevel="0" collapsed="false">
      <c r="A2012" s="0" t="n">
        <v>2032</v>
      </c>
      <c r="B2012" s="0" t="n">
        <v>7.939702908</v>
      </c>
      <c r="C2012" s="0" t="n">
        <v>166.7337611</v>
      </c>
      <c r="E2012" s="0" t="n">
        <v>2032</v>
      </c>
      <c r="F2012" s="0" t="n">
        <v>176.917282</v>
      </c>
      <c r="G2012" s="0" t="n">
        <v>3714.710918</v>
      </c>
      <c r="I2012" s="0" t="n">
        <v>2028</v>
      </c>
      <c r="J2012" s="0" t="n">
        <v>3.24</v>
      </c>
      <c r="K2012" s="0" t="n">
        <v>68.04</v>
      </c>
      <c r="M2012" s="0" t="n">
        <v>2032</v>
      </c>
      <c r="N2012" s="0" t="n">
        <v>159</v>
      </c>
      <c r="O2012" s="0" t="n">
        <v>3337</v>
      </c>
      <c r="Q2012" s="0" t="n">
        <v>2035</v>
      </c>
      <c r="R2012" s="0" t="n">
        <v>411</v>
      </c>
      <c r="W2012" s="0" t="n">
        <v>2032</v>
      </c>
      <c r="X2012" s="0" t="n">
        <v>3765.725</v>
      </c>
    </row>
    <row r="2013" customFormat="false" ht="15" hidden="false" customHeight="false" outlineLevel="0" collapsed="false">
      <c r="A2013" s="0" t="n">
        <v>2032</v>
      </c>
      <c r="B2013" s="0" t="n">
        <v>3.528756848</v>
      </c>
      <c r="C2013" s="0" t="n">
        <v>74.10389381</v>
      </c>
      <c r="E2013" s="0" t="n">
        <v>2032</v>
      </c>
      <c r="F2013" s="0" t="n">
        <v>70.813834</v>
      </c>
      <c r="G2013" s="0" t="n">
        <v>1486.869566</v>
      </c>
      <c r="I2013" s="0" t="n">
        <v>2028</v>
      </c>
      <c r="J2013" s="0" t="n">
        <v>5.4</v>
      </c>
      <c r="K2013" s="0" t="n">
        <v>113.4</v>
      </c>
      <c r="M2013" s="0" t="n">
        <v>2032</v>
      </c>
      <c r="N2013" s="0" t="n">
        <v>63.6</v>
      </c>
      <c r="O2013" s="0" t="n">
        <v>1334.8</v>
      </c>
      <c r="Q2013" s="0" t="n">
        <v>2035</v>
      </c>
      <c r="R2013" s="0" t="n">
        <v>195</v>
      </c>
      <c r="W2013" s="0" t="n">
        <v>2032</v>
      </c>
      <c r="X2013" s="0" t="n">
        <v>1166.16</v>
      </c>
    </row>
    <row r="2014" customFormat="false" ht="15" hidden="false" customHeight="false" outlineLevel="0" collapsed="false">
      <c r="A2014" s="0" t="n">
        <v>2032</v>
      </c>
      <c r="B2014" s="0" t="n">
        <v>13.03374321</v>
      </c>
      <c r="C2014" s="0" t="n">
        <v>273.7086074</v>
      </c>
      <c r="E2014" s="0" t="n">
        <v>2032</v>
      </c>
      <c r="F2014" s="0" t="n">
        <v>9.947038</v>
      </c>
      <c r="G2014" s="0" t="n">
        <v>208.856762</v>
      </c>
      <c r="I2014" s="0" t="n">
        <v>2028</v>
      </c>
      <c r="J2014" s="0" t="n">
        <v>1.08</v>
      </c>
      <c r="K2014" s="0" t="n">
        <v>22.68</v>
      </c>
      <c r="M2014" s="0" t="n">
        <v>2032</v>
      </c>
      <c r="N2014" s="0" t="n">
        <v>63.6</v>
      </c>
      <c r="O2014" s="0" t="n">
        <v>1334.8</v>
      </c>
      <c r="Q2014" s="0" t="n">
        <v>2035</v>
      </c>
      <c r="R2014" s="0" t="n">
        <v>43</v>
      </c>
      <c r="W2014" s="0" t="n">
        <v>2032</v>
      </c>
      <c r="X2014" s="0" t="n">
        <v>2065.075</v>
      </c>
    </row>
    <row r="2015" customFormat="false" ht="15" hidden="false" customHeight="false" outlineLevel="0" collapsed="false">
      <c r="A2015" s="0" t="n">
        <v>2032</v>
      </c>
      <c r="B2015" s="0" t="n">
        <v>4.080016761</v>
      </c>
      <c r="C2015" s="0" t="n">
        <v>85.68035197</v>
      </c>
      <c r="E2015" s="0" t="n">
        <v>2032</v>
      </c>
      <c r="F2015" s="0" t="n">
        <v>237.784078</v>
      </c>
      <c r="G2015" s="0" t="n">
        <v>4992.723722</v>
      </c>
      <c r="I2015" s="0" t="n">
        <v>2028</v>
      </c>
      <c r="J2015" s="0" t="n">
        <v>1.08</v>
      </c>
      <c r="K2015" s="0" t="n">
        <v>22.68</v>
      </c>
      <c r="M2015" s="0" t="n">
        <v>2032</v>
      </c>
      <c r="N2015" s="0" t="n">
        <v>38.16</v>
      </c>
      <c r="O2015" s="0" t="n">
        <v>800.88</v>
      </c>
      <c r="Q2015" s="0" t="n">
        <v>2035</v>
      </c>
      <c r="R2015" s="0" t="n">
        <v>41</v>
      </c>
      <c r="W2015" s="0" t="n">
        <v>2032</v>
      </c>
      <c r="X2015" s="0" t="n">
        <v>923.21</v>
      </c>
    </row>
    <row r="2016" customFormat="false" ht="15" hidden="false" customHeight="false" outlineLevel="0" collapsed="false">
      <c r="A2016" s="0" t="n">
        <v>2032</v>
      </c>
      <c r="B2016" s="0" t="n">
        <v>9.122668143</v>
      </c>
      <c r="C2016" s="0" t="n">
        <v>191.576031</v>
      </c>
      <c r="E2016" s="0" t="n">
        <v>2032</v>
      </c>
      <c r="F2016" s="0" t="n">
        <v>11.131606</v>
      </c>
      <c r="G2016" s="0" t="n">
        <v>233.728994</v>
      </c>
      <c r="I2016" s="0" t="n">
        <v>2028</v>
      </c>
      <c r="J2016" s="0" t="n">
        <v>0</v>
      </c>
      <c r="K2016" s="0" t="n">
        <v>0</v>
      </c>
      <c r="M2016" s="0" t="n">
        <v>2032</v>
      </c>
      <c r="N2016" s="0" t="n">
        <v>31.8</v>
      </c>
      <c r="O2016" s="0" t="n">
        <v>667.4</v>
      </c>
      <c r="Q2016" s="0" t="n">
        <v>2035</v>
      </c>
      <c r="R2016" s="0" t="n">
        <v>41</v>
      </c>
      <c r="W2016" s="0" t="n">
        <v>2032</v>
      </c>
      <c r="X2016" s="0" t="n">
        <v>364.425</v>
      </c>
    </row>
    <row r="2017" customFormat="false" ht="15" hidden="false" customHeight="false" outlineLevel="0" collapsed="false">
      <c r="A2017" s="0" t="n">
        <v>2032</v>
      </c>
      <c r="B2017" s="0" t="n">
        <v>272.742971</v>
      </c>
      <c r="C2017" s="0" t="n">
        <v>5727.602392</v>
      </c>
      <c r="E2017" s="0" t="n">
        <v>2032</v>
      </c>
      <c r="F2017" s="0" t="n">
        <v>60.866796</v>
      </c>
      <c r="G2017" s="0" t="n">
        <v>1278.012804</v>
      </c>
      <c r="I2017" s="0" t="n">
        <v>2028</v>
      </c>
      <c r="J2017" s="0" t="n">
        <v>2.16</v>
      </c>
      <c r="K2017" s="0" t="n">
        <v>45.36</v>
      </c>
      <c r="M2017" s="0" t="n">
        <v>2032</v>
      </c>
      <c r="N2017" s="0" t="n">
        <v>25.44</v>
      </c>
      <c r="O2017" s="0" t="n">
        <v>533.92</v>
      </c>
      <c r="Q2017" s="0" t="n">
        <v>2035</v>
      </c>
      <c r="R2017" s="0" t="n">
        <v>56</v>
      </c>
      <c r="W2017" s="0" t="n">
        <v>2032</v>
      </c>
      <c r="X2017" s="0" t="n">
        <v>534.49</v>
      </c>
    </row>
    <row r="2018" customFormat="false" ht="15" hidden="false" customHeight="false" outlineLevel="0" collapsed="false">
      <c r="A2018" s="0" t="n">
        <v>2032</v>
      </c>
      <c r="B2018" s="0" t="n">
        <v>68.79384241</v>
      </c>
      <c r="C2018" s="0" t="n">
        <v>1444.670691</v>
      </c>
      <c r="E2018" s="0" t="n">
        <v>2032</v>
      </c>
      <c r="F2018" s="0" t="n">
        <v>55.656748</v>
      </c>
      <c r="G2018" s="0" t="n">
        <v>1168.618052</v>
      </c>
      <c r="I2018" s="0" t="n">
        <v>2028</v>
      </c>
      <c r="J2018" s="0" t="n">
        <v>3.78</v>
      </c>
      <c r="K2018" s="0" t="n">
        <v>79.38</v>
      </c>
      <c r="M2018" s="0" t="n">
        <v>2032</v>
      </c>
      <c r="N2018" s="0" t="n">
        <v>12.72</v>
      </c>
      <c r="O2018" s="0" t="n">
        <v>266.96</v>
      </c>
      <c r="Q2018" s="0" t="n">
        <v>2035</v>
      </c>
      <c r="R2018" s="0" t="n">
        <v>54</v>
      </c>
      <c r="W2018" s="0" t="n">
        <v>2032</v>
      </c>
      <c r="X2018" s="0" t="n">
        <v>413.015</v>
      </c>
    </row>
    <row r="2019" customFormat="false" ht="15" hidden="false" customHeight="false" outlineLevel="0" collapsed="false">
      <c r="A2019" s="0" t="n">
        <v>2032</v>
      </c>
      <c r="B2019" s="0" t="n">
        <v>61.34729157</v>
      </c>
      <c r="C2019" s="0" t="n">
        <v>1288.293123</v>
      </c>
      <c r="E2019" s="0" t="n">
        <v>2032</v>
      </c>
      <c r="F2019" s="0" t="n">
        <v>82.745789</v>
      </c>
      <c r="G2019" s="0" t="n">
        <v>1735.605773</v>
      </c>
      <c r="I2019" s="0" t="n">
        <v>2028</v>
      </c>
      <c r="J2019" s="0" t="n">
        <v>1.08</v>
      </c>
      <c r="K2019" s="0" t="n">
        <v>22.68</v>
      </c>
      <c r="M2019" s="0" t="n">
        <v>2032</v>
      </c>
      <c r="N2019" s="0" t="n">
        <v>182.4</v>
      </c>
      <c r="O2019" s="0" t="n">
        <v>3825.84</v>
      </c>
      <c r="Q2019" s="0" t="n">
        <v>2035</v>
      </c>
      <c r="R2019" s="0" t="n">
        <v>25</v>
      </c>
      <c r="W2019" s="0" t="n">
        <v>2032</v>
      </c>
      <c r="X2019" s="0" t="n">
        <v>4977.36</v>
      </c>
    </row>
    <row r="2020" customFormat="false" ht="15" hidden="false" customHeight="false" outlineLevel="0" collapsed="false">
      <c r="A2020" s="0" t="n">
        <v>2032</v>
      </c>
      <c r="B2020" s="0" t="n">
        <v>42.66340557</v>
      </c>
      <c r="C2020" s="0" t="n">
        <v>895.931517</v>
      </c>
      <c r="E2020" s="0" t="n">
        <v>2032</v>
      </c>
      <c r="F2020" s="0" t="n">
        <v>22.218161</v>
      </c>
      <c r="G2020" s="0" t="n">
        <v>466.029377</v>
      </c>
      <c r="I2020" s="0" t="n">
        <v>2028</v>
      </c>
      <c r="J2020" s="0" t="n">
        <v>3.78</v>
      </c>
      <c r="K2020" s="0" t="n">
        <v>79.38</v>
      </c>
      <c r="M2020" s="0" t="n">
        <v>2032</v>
      </c>
      <c r="N2020" s="0" t="n">
        <v>120</v>
      </c>
      <c r="O2020" s="0" t="n">
        <v>2517</v>
      </c>
      <c r="Q2020" s="0" t="n">
        <v>2035</v>
      </c>
      <c r="R2020" s="0" t="n">
        <v>6</v>
      </c>
      <c r="W2020" s="0" t="n">
        <v>2032</v>
      </c>
      <c r="X2020" s="0" t="n">
        <v>1244.34</v>
      </c>
    </row>
    <row r="2021" customFormat="false" ht="15" hidden="false" customHeight="false" outlineLevel="0" collapsed="false">
      <c r="A2021" s="0" t="n">
        <v>2032</v>
      </c>
      <c r="B2021" s="0" t="n">
        <v>31.73446738</v>
      </c>
      <c r="C2021" s="0" t="n">
        <v>666.4238151</v>
      </c>
      <c r="E2021" s="0" t="n">
        <v>2032</v>
      </c>
      <c r="F2021" s="0" t="n">
        <v>8.893157</v>
      </c>
      <c r="G2021" s="0" t="n">
        <v>186.535349</v>
      </c>
      <c r="I2021" s="0" t="n">
        <v>2028</v>
      </c>
      <c r="J2021" s="0" t="n">
        <v>237.6</v>
      </c>
      <c r="K2021" s="0" t="n">
        <v>4992</v>
      </c>
      <c r="M2021" s="0" t="n">
        <v>2032</v>
      </c>
      <c r="N2021" s="0" t="n">
        <v>48</v>
      </c>
      <c r="O2021" s="0" t="n">
        <v>1006.8</v>
      </c>
      <c r="Q2021" s="0" t="n">
        <v>2035</v>
      </c>
      <c r="R2021" s="0" t="n">
        <v>5</v>
      </c>
      <c r="W2021" s="0" t="n">
        <v>2032</v>
      </c>
      <c r="X2021" s="0" t="n">
        <v>385.344</v>
      </c>
    </row>
    <row r="2022" customFormat="false" ht="15" hidden="false" customHeight="false" outlineLevel="0" collapsed="false">
      <c r="A2022" s="0" t="n">
        <v>2032</v>
      </c>
      <c r="B2022" s="0" t="n">
        <v>14.10420773</v>
      </c>
      <c r="C2022" s="0" t="n">
        <v>296.1883623</v>
      </c>
      <c r="E2022" s="0" t="n">
        <v>2032</v>
      </c>
      <c r="F2022" s="0" t="n">
        <v>1.249199</v>
      </c>
      <c r="G2022" s="0" t="n">
        <v>26.202143</v>
      </c>
      <c r="I2022" s="0" t="n">
        <v>2028</v>
      </c>
      <c r="J2022" s="0" t="n">
        <v>79.2</v>
      </c>
      <c r="K2022" s="0" t="n">
        <v>1664</v>
      </c>
      <c r="M2022" s="0" t="n">
        <v>2032</v>
      </c>
      <c r="N2022" s="0" t="n">
        <v>48</v>
      </c>
      <c r="O2022" s="0" t="n">
        <v>1006.8</v>
      </c>
      <c r="Q2022" s="0" t="n">
        <v>2035</v>
      </c>
      <c r="R2022" s="0" t="n">
        <v>5</v>
      </c>
      <c r="W2022" s="0" t="n">
        <v>2032</v>
      </c>
      <c r="X2022" s="0" t="n">
        <v>682.38</v>
      </c>
    </row>
    <row r="2023" customFormat="false" ht="15" hidden="false" customHeight="false" outlineLevel="0" collapsed="false">
      <c r="A2023" s="0" t="n">
        <v>2032</v>
      </c>
      <c r="B2023" s="0" t="n">
        <v>52.09500954</v>
      </c>
      <c r="C2023" s="0" t="n">
        <v>1093.9952</v>
      </c>
      <c r="E2023" s="0" t="n">
        <v>2032</v>
      </c>
      <c r="F2023" s="0" t="n">
        <v>29.862119</v>
      </c>
      <c r="G2023" s="0" t="n">
        <v>626.362583</v>
      </c>
      <c r="I2023" s="0" t="n">
        <v>2028</v>
      </c>
      <c r="J2023" s="0" t="n">
        <v>34.65</v>
      </c>
      <c r="K2023" s="0" t="n">
        <v>728</v>
      </c>
      <c r="M2023" s="0" t="n">
        <v>2032</v>
      </c>
      <c r="N2023" s="0" t="n">
        <v>28.8</v>
      </c>
      <c r="O2023" s="0" t="n">
        <v>604.08</v>
      </c>
      <c r="Q2023" s="0" t="n">
        <v>2035</v>
      </c>
      <c r="R2023" s="0" t="n">
        <v>471</v>
      </c>
      <c r="W2023" s="0" t="n">
        <v>2032</v>
      </c>
      <c r="X2023" s="0" t="n">
        <v>305.064</v>
      </c>
    </row>
    <row r="2024" customFormat="false" ht="15" hidden="false" customHeight="false" outlineLevel="0" collapsed="false">
      <c r="A2024" s="0" t="n">
        <v>2032</v>
      </c>
      <c r="B2024" s="0" t="n">
        <v>16.30755714</v>
      </c>
      <c r="C2024" s="0" t="n">
        <v>342.4586998</v>
      </c>
      <c r="E2024" s="0" t="n">
        <v>2032</v>
      </c>
      <c r="F2024" s="0" t="n">
        <v>1.397963</v>
      </c>
      <c r="G2024" s="0" t="n">
        <v>29.322491</v>
      </c>
      <c r="I2024" s="0" t="n">
        <v>2028</v>
      </c>
      <c r="J2024" s="0" t="n">
        <v>19.8</v>
      </c>
      <c r="K2024" s="0" t="n">
        <v>416</v>
      </c>
      <c r="M2024" s="0" t="n">
        <v>2032</v>
      </c>
      <c r="N2024" s="0" t="n">
        <v>24</v>
      </c>
      <c r="O2024" s="0" t="n">
        <v>503.4</v>
      </c>
      <c r="Q2024" s="0" t="n">
        <v>2035</v>
      </c>
      <c r="R2024" s="0" t="n">
        <v>447</v>
      </c>
      <c r="W2024" s="0" t="n">
        <v>2032</v>
      </c>
      <c r="X2024" s="0" t="n">
        <v>120.42</v>
      </c>
    </row>
    <row r="2025" customFormat="false" ht="15" hidden="false" customHeight="false" outlineLevel="0" collapsed="false">
      <c r="A2025" s="0" t="n">
        <v>2032</v>
      </c>
      <c r="B2025" s="0" t="n">
        <v>36.46270118</v>
      </c>
      <c r="C2025" s="0" t="n">
        <v>765.7167249</v>
      </c>
      <c r="E2025" s="0" t="n">
        <v>2032</v>
      </c>
      <c r="F2025" s="0" t="n">
        <v>7.643958</v>
      </c>
      <c r="G2025" s="0" t="n">
        <v>160.333206</v>
      </c>
      <c r="I2025" s="0" t="n">
        <v>2028</v>
      </c>
      <c r="J2025" s="0" t="n">
        <v>19.8</v>
      </c>
      <c r="K2025" s="0" t="n">
        <v>416</v>
      </c>
      <c r="M2025" s="0" t="n">
        <v>2032</v>
      </c>
      <c r="N2025" s="0" t="n">
        <v>19.2</v>
      </c>
      <c r="O2025" s="0" t="n">
        <v>402.72</v>
      </c>
      <c r="Q2025" s="0" t="n">
        <v>2035</v>
      </c>
      <c r="R2025" s="0" t="n">
        <v>212</v>
      </c>
      <c r="W2025" s="0" t="n">
        <v>2032</v>
      </c>
      <c r="X2025" s="0" t="n">
        <v>176.616</v>
      </c>
    </row>
    <row r="2026" customFormat="false" ht="15" hidden="false" customHeight="false" outlineLevel="0" collapsed="false">
      <c r="A2026" s="0" t="n">
        <v>2032</v>
      </c>
      <c r="B2026" s="0" t="n">
        <v>347.9154173</v>
      </c>
      <c r="C2026" s="0" t="n">
        <v>7306.223763</v>
      </c>
      <c r="E2026" s="0" t="n">
        <v>2032</v>
      </c>
      <c r="F2026" s="0" t="n">
        <v>6.989654</v>
      </c>
      <c r="G2026" s="0" t="n">
        <v>146.609078</v>
      </c>
      <c r="I2026" s="0" t="n">
        <v>2028</v>
      </c>
      <c r="J2026" s="0" t="n">
        <v>9.9</v>
      </c>
      <c r="K2026" s="0" t="n">
        <v>208</v>
      </c>
      <c r="M2026" s="0" t="n">
        <v>2032</v>
      </c>
      <c r="N2026" s="0" t="n">
        <v>9.6</v>
      </c>
      <c r="O2026" s="0" t="n">
        <v>201.36</v>
      </c>
      <c r="Q2026" s="0" t="n">
        <v>2035</v>
      </c>
      <c r="R2026" s="0" t="n">
        <v>47</v>
      </c>
      <c r="W2026" s="0" t="n">
        <v>2032</v>
      </c>
      <c r="X2026" s="0" t="n">
        <v>136.476</v>
      </c>
    </row>
    <row r="2027" customFormat="false" ht="15" hidden="false" customHeight="false" outlineLevel="0" collapsed="false">
      <c r="A2027" s="0" t="n">
        <v>2032</v>
      </c>
      <c r="B2027" s="0" t="n">
        <v>87.75455624</v>
      </c>
      <c r="C2027" s="0" t="n">
        <v>1842.845681</v>
      </c>
      <c r="E2027" s="0" t="n">
        <v>2032</v>
      </c>
      <c r="F2027" s="0" t="n">
        <v>635.240964</v>
      </c>
      <c r="G2027" s="0" t="n">
        <v>13336.97655</v>
      </c>
      <c r="I2027" s="0" t="n">
        <v>2028</v>
      </c>
      <c r="J2027" s="0" t="n">
        <v>9.9</v>
      </c>
      <c r="K2027" s="0" t="n">
        <v>208</v>
      </c>
      <c r="M2027" s="0" t="n">
        <v>2032</v>
      </c>
      <c r="N2027" s="0" t="n">
        <v>164.92</v>
      </c>
      <c r="O2027" s="0" t="n">
        <v>3456.48</v>
      </c>
      <c r="Q2027" s="0" t="n">
        <v>2035</v>
      </c>
      <c r="R2027" s="0" t="n">
        <v>45</v>
      </c>
      <c r="W2027" s="0" t="n">
        <v>2032</v>
      </c>
      <c r="X2027" s="0" t="n">
        <v>47871.44</v>
      </c>
    </row>
    <row r="2028" customFormat="false" ht="15" hidden="false" customHeight="false" outlineLevel="0" collapsed="false">
      <c r="A2028" s="0" t="n">
        <v>2032</v>
      </c>
      <c r="B2028" s="0" t="n">
        <v>78.25561357</v>
      </c>
      <c r="C2028" s="0" t="n">
        <v>1643.367885</v>
      </c>
      <c r="E2028" s="0" t="n">
        <v>2032</v>
      </c>
      <c r="F2028" s="0" t="n">
        <v>170.569236</v>
      </c>
      <c r="G2028" s="0" t="n">
        <v>3581.12595</v>
      </c>
      <c r="I2028" s="0" t="n">
        <v>2028</v>
      </c>
      <c r="J2028" s="0" t="n">
        <v>19.8</v>
      </c>
      <c r="K2028" s="0" t="n">
        <v>416</v>
      </c>
      <c r="M2028" s="0" t="n">
        <v>2032</v>
      </c>
      <c r="N2028" s="0" t="n">
        <v>108.5</v>
      </c>
      <c r="O2028" s="0" t="n">
        <v>2274</v>
      </c>
      <c r="Q2028" s="0" t="n">
        <v>2035</v>
      </c>
      <c r="R2028" s="0" t="n">
        <v>45</v>
      </c>
      <c r="W2028" s="0" t="n">
        <v>2032</v>
      </c>
      <c r="X2028" s="0" t="n">
        <v>11967.86</v>
      </c>
    </row>
    <row r="2029" customFormat="false" ht="15" hidden="false" customHeight="false" outlineLevel="0" collapsed="false">
      <c r="A2029" s="0" t="n">
        <v>2032</v>
      </c>
      <c r="B2029" s="0" t="n">
        <v>54.42214146</v>
      </c>
      <c r="C2029" s="0" t="n">
        <v>1142.864971</v>
      </c>
      <c r="E2029" s="0" t="n">
        <v>2032</v>
      </c>
      <c r="F2029" s="0" t="n">
        <v>68.272932</v>
      </c>
      <c r="G2029" s="0" t="n">
        <v>1433.40015</v>
      </c>
      <c r="I2029" s="0" t="n">
        <v>2028</v>
      </c>
      <c r="J2029" s="0" t="n">
        <v>34.65</v>
      </c>
      <c r="K2029" s="0" t="n">
        <v>728</v>
      </c>
      <c r="M2029" s="0" t="n">
        <v>2032</v>
      </c>
      <c r="N2029" s="0" t="n">
        <v>43.4</v>
      </c>
      <c r="O2029" s="0" t="n">
        <v>909.6</v>
      </c>
      <c r="Q2029" s="0" t="n">
        <v>2035</v>
      </c>
      <c r="R2029" s="0" t="n">
        <v>767</v>
      </c>
      <c r="W2029" s="0" t="n">
        <v>2032</v>
      </c>
      <c r="X2029" s="0" t="n">
        <v>3706.176</v>
      </c>
    </row>
    <row r="2030" customFormat="false" ht="15" hidden="false" customHeight="false" outlineLevel="0" collapsed="false">
      <c r="A2030" s="0" t="n">
        <v>2032</v>
      </c>
      <c r="B2030" s="0" t="n">
        <v>40.48100826</v>
      </c>
      <c r="C2030" s="0" t="n">
        <v>850.1011734</v>
      </c>
      <c r="E2030" s="0" t="n">
        <v>2032</v>
      </c>
      <c r="F2030" s="0" t="n">
        <v>9.590124</v>
      </c>
      <c r="G2030" s="0" t="n">
        <v>201.34605</v>
      </c>
      <c r="I2030" s="0" t="n">
        <v>2028</v>
      </c>
      <c r="J2030" s="0" t="n">
        <v>14.85</v>
      </c>
      <c r="K2030" s="0" t="n">
        <v>312</v>
      </c>
      <c r="M2030" s="0" t="n">
        <v>2032</v>
      </c>
      <c r="N2030" s="0" t="n">
        <v>43.4</v>
      </c>
      <c r="O2030" s="0" t="n">
        <v>909.6</v>
      </c>
      <c r="Q2030" s="0" t="n">
        <v>2035</v>
      </c>
      <c r="R2030" s="0" t="n">
        <v>729</v>
      </c>
      <c r="W2030" s="0" t="n">
        <v>2032</v>
      </c>
      <c r="X2030" s="0" t="n">
        <v>6563.02</v>
      </c>
    </row>
    <row r="2031" customFormat="false" ht="15" hidden="false" customHeight="false" outlineLevel="0" collapsed="false">
      <c r="A2031" s="0" t="n">
        <v>2032</v>
      </c>
      <c r="B2031" s="0" t="n">
        <v>17.99155923</v>
      </c>
      <c r="C2031" s="0" t="n">
        <v>377.8227437</v>
      </c>
      <c r="E2031" s="0" t="n">
        <v>2032</v>
      </c>
      <c r="F2031" s="0" t="n">
        <v>229.252044</v>
      </c>
      <c r="G2031" s="0" t="n">
        <v>4813.18005</v>
      </c>
      <c r="I2031" s="0" t="n">
        <v>2028</v>
      </c>
      <c r="J2031" s="0" t="n">
        <v>14.85</v>
      </c>
      <c r="K2031" s="0" t="n">
        <v>312</v>
      </c>
      <c r="M2031" s="0" t="n">
        <v>2032</v>
      </c>
      <c r="N2031" s="0" t="n">
        <v>26.04</v>
      </c>
      <c r="O2031" s="0" t="n">
        <v>545.76</v>
      </c>
      <c r="Q2031" s="0" t="n">
        <v>2035</v>
      </c>
      <c r="R2031" s="0" t="n">
        <v>345</v>
      </c>
      <c r="W2031" s="0" t="n">
        <v>2032</v>
      </c>
      <c r="X2031" s="0" t="n">
        <v>2934.056</v>
      </c>
    </row>
    <row r="2032" customFormat="false" ht="15" hidden="false" customHeight="false" outlineLevel="0" collapsed="false">
      <c r="A2032" s="0" t="n">
        <v>2032</v>
      </c>
      <c r="B2032" s="0" t="n">
        <v>66.45325053</v>
      </c>
      <c r="C2032" s="0" t="n">
        <v>1395.518261</v>
      </c>
      <c r="E2032" s="0" t="n">
        <v>2032</v>
      </c>
      <c r="F2032" s="0" t="n">
        <v>10.732188</v>
      </c>
      <c r="G2032" s="0" t="n">
        <v>225.32385</v>
      </c>
      <c r="I2032" s="0" t="n">
        <v>2028</v>
      </c>
      <c r="J2032" s="0" t="n">
        <v>26</v>
      </c>
      <c r="K2032" s="0" t="n">
        <v>550.16</v>
      </c>
      <c r="M2032" s="0" t="n">
        <v>2032</v>
      </c>
      <c r="N2032" s="0" t="n">
        <v>21.7</v>
      </c>
      <c r="O2032" s="0" t="n">
        <v>454.8</v>
      </c>
      <c r="Q2032" s="0" t="n">
        <v>2035</v>
      </c>
      <c r="R2032" s="0" t="n">
        <v>77</v>
      </c>
      <c r="W2032" s="0" t="n">
        <v>2032</v>
      </c>
      <c r="X2032" s="0" t="n">
        <v>1158.18</v>
      </c>
    </row>
    <row r="2033" customFormat="false" ht="15" hidden="false" customHeight="false" outlineLevel="0" collapsed="false">
      <c r="A2033" s="0" t="n">
        <v>2032</v>
      </c>
      <c r="B2033" s="0" t="n">
        <v>20.80218795</v>
      </c>
      <c r="C2033" s="0" t="n">
        <v>436.845947</v>
      </c>
      <c r="E2033" s="0" t="n">
        <v>2032</v>
      </c>
      <c r="F2033" s="0" t="n">
        <v>58.682808</v>
      </c>
      <c r="G2033" s="0" t="n">
        <v>1232.0541</v>
      </c>
      <c r="I2033" s="0" t="n">
        <v>2028</v>
      </c>
      <c r="J2033" s="0" t="n">
        <v>4</v>
      </c>
      <c r="K2033" s="0" t="n">
        <v>84.64</v>
      </c>
      <c r="M2033" s="0" t="n">
        <v>2032</v>
      </c>
      <c r="N2033" s="0" t="n">
        <v>17.36</v>
      </c>
      <c r="O2033" s="0" t="n">
        <v>363.84</v>
      </c>
      <c r="Q2033" s="0" t="n">
        <v>2035</v>
      </c>
      <c r="R2033" s="0" t="n">
        <v>74</v>
      </c>
      <c r="W2033" s="0" t="n">
        <v>2032</v>
      </c>
      <c r="X2033" s="0" t="n">
        <v>1698.664</v>
      </c>
    </row>
    <row r="2034" customFormat="false" ht="15" hidden="false" customHeight="false" outlineLevel="0" collapsed="false">
      <c r="A2034" s="0" t="n">
        <v>2032</v>
      </c>
      <c r="B2034" s="0" t="n">
        <v>46.51242102</v>
      </c>
      <c r="C2034" s="0" t="n">
        <v>976.7608414</v>
      </c>
      <c r="E2034" s="0" t="n">
        <v>2032</v>
      </c>
      <c r="F2034" s="0" t="n">
        <v>53.659704</v>
      </c>
      <c r="G2034" s="0" t="n">
        <v>1126.5933</v>
      </c>
      <c r="I2034" s="0" t="n">
        <v>2028</v>
      </c>
      <c r="J2034" s="0" t="n">
        <v>3</v>
      </c>
      <c r="K2034" s="0" t="n">
        <v>63.48</v>
      </c>
      <c r="M2034" s="0" t="n">
        <v>2032</v>
      </c>
      <c r="N2034" s="0" t="n">
        <v>8.68</v>
      </c>
      <c r="O2034" s="0" t="n">
        <v>181.92</v>
      </c>
      <c r="Q2034" s="0" t="n">
        <v>2035</v>
      </c>
      <c r="R2034" s="0" t="n">
        <v>74</v>
      </c>
      <c r="W2034" s="0" t="n">
        <v>2032</v>
      </c>
      <c r="X2034" s="0" t="n">
        <v>1312.604</v>
      </c>
    </row>
    <row r="2035" customFormat="false" ht="15" hidden="false" customHeight="false" outlineLevel="0" collapsed="false">
      <c r="A2035" s="0" t="n">
        <v>2032</v>
      </c>
      <c r="B2035" s="0" t="n">
        <v>342.5053923</v>
      </c>
      <c r="C2035" s="0" t="n">
        <v>7192.613239</v>
      </c>
      <c r="E2035" s="0" t="n">
        <v>2033</v>
      </c>
      <c r="F2035" s="0" t="n">
        <v>266.225582</v>
      </c>
      <c r="G2035" s="0" t="n">
        <v>5582.514038</v>
      </c>
      <c r="I2035" s="0" t="n">
        <v>2028</v>
      </c>
      <c r="J2035" s="0" t="n">
        <v>5</v>
      </c>
      <c r="K2035" s="0" t="n">
        <v>105.8</v>
      </c>
      <c r="M2035" s="0" t="n">
        <v>2032</v>
      </c>
      <c r="N2035" s="0" t="n">
        <v>264.48</v>
      </c>
      <c r="O2035" s="0" t="n">
        <v>5551.8</v>
      </c>
      <c r="Q2035" s="0" t="n">
        <v>2035</v>
      </c>
      <c r="R2035" s="0" t="n">
        <v>342</v>
      </c>
      <c r="W2035" s="0" t="n">
        <v>2033</v>
      </c>
      <c r="X2035" s="0" t="n">
        <v>164593.26</v>
      </c>
    </row>
    <row r="2036" customFormat="false" ht="15" hidden="false" customHeight="false" outlineLevel="0" collapsed="false">
      <c r="A2036" s="0" t="n">
        <v>2032</v>
      </c>
      <c r="B2036" s="0" t="n">
        <v>86.38998797</v>
      </c>
      <c r="C2036" s="0" t="n">
        <v>1814.189747</v>
      </c>
      <c r="E2036" s="0" t="n">
        <v>2033</v>
      </c>
      <c r="F2036" s="0" t="n">
        <v>71.484518</v>
      </c>
      <c r="G2036" s="0" t="n">
        <v>1498.966862</v>
      </c>
      <c r="I2036" s="0" t="n">
        <v>2028</v>
      </c>
      <c r="J2036" s="0" t="n">
        <v>1</v>
      </c>
      <c r="K2036" s="0" t="n">
        <v>21.16</v>
      </c>
      <c r="M2036" s="0" t="n">
        <v>2032</v>
      </c>
      <c r="N2036" s="0" t="n">
        <v>174</v>
      </c>
      <c r="O2036" s="0" t="n">
        <v>3652.5</v>
      </c>
      <c r="Q2036" s="0" t="n">
        <v>2035</v>
      </c>
      <c r="R2036" s="0" t="n">
        <v>325</v>
      </c>
      <c r="W2036" s="0" t="n">
        <v>2033</v>
      </c>
      <c r="X2036" s="0" t="n">
        <v>41148.315</v>
      </c>
    </row>
    <row r="2037" customFormat="false" ht="15" hidden="false" customHeight="false" outlineLevel="0" collapsed="false">
      <c r="A2037" s="0" t="n">
        <v>2032</v>
      </c>
      <c r="B2037" s="0" t="n">
        <v>77.03875223</v>
      </c>
      <c r="C2037" s="0" t="n">
        <v>1617.813797</v>
      </c>
      <c r="E2037" s="0" t="n">
        <v>2033</v>
      </c>
      <c r="F2037" s="0" t="n">
        <v>28.612766</v>
      </c>
      <c r="G2037" s="0" t="n">
        <v>599.984294</v>
      </c>
      <c r="I2037" s="0" t="n">
        <v>2028</v>
      </c>
      <c r="J2037" s="0" t="n">
        <v>1</v>
      </c>
      <c r="K2037" s="0" t="n">
        <v>21.16</v>
      </c>
      <c r="M2037" s="0" t="n">
        <v>2032</v>
      </c>
      <c r="N2037" s="0" t="n">
        <v>69.6</v>
      </c>
      <c r="O2037" s="0" t="n">
        <v>1461</v>
      </c>
      <c r="Q2037" s="0" t="n">
        <v>2035</v>
      </c>
      <c r="R2037" s="0" t="n">
        <v>154</v>
      </c>
      <c r="W2037" s="0" t="n">
        <v>2033</v>
      </c>
      <c r="X2037" s="0" t="n">
        <v>12742.704</v>
      </c>
    </row>
    <row r="2038" customFormat="false" ht="15" hidden="false" customHeight="false" outlineLevel="0" collapsed="false">
      <c r="A2038" s="0" t="n">
        <v>2032</v>
      </c>
      <c r="B2038" s="0" t="n">
        <v>53.57588652</v>
      </c>
      <c r="C2038" s="0" t="n">
        <v>1125.093617</v>
      </c>
      <c r="E2038" s="0" t="n">
        <v>2033</v>
      </c>
      <c r="F2038" s="0" t="n">
        <v>4.019162</v>
      </c>
      <c r="G2038" s="0" t="n">
        <v>84.278258</v>
      </c>
      <c r="I2038" s="0" t="n">
        <v>2028</v>
      </c>
      <c r="J2038" s="0" t="n">
        <v>0</v>
      </c>
      <c r="K2038" s="0" t="n">
        <v>0</v>
      </c>
      <c r="M2038" s="0" t="n">
        <v>2032</v>
      </c>
      <c r="N2038" s="0" t="n">
        <v>69.6</v>
      </c>
      <c r="O2038" s="0" t="n">
        <v>1461</v>
      </c>
      <c r="Q2038" s="0" t="n">
        <v>2035</v>
      </c>
      <c r="R2038" s="0" t="n">
        <v>34</v>
      </c>
      <c r="W2038" s="0" t="n">
        <v>2033</v>
      </c>
      <c r="X2038" s="0" t="n">
        <v>22565.205</v>
      </c>
    </row>
    <row r="2039" customFormat="false" ht="15" hidden="false" customHeight="false" outlineLevel="0" collapsed="false">
      <c r="A2039" s="0" t="n">
        <v>2032</v>
      </c>
      <c r="B2039" s="0" t="n">
        <v>39.85153554</v>
      </c>
      <c r="C2039" s="0" t="n">
        <v>836.8822462</v>
      </c>
      <c r="E2039" s="0" t="n">
        <v>2033</v>
      </c>
      <c r="F2039" s="0" t="n">
        <v>96.078122</v>
      </c>
      <c r="G2039" s="0" t="n">
        <v>2014.672898</v>
      </c>
      <c r="I2039" s="0" t="n">
        <v>2028</v>
      </c>
      <c r="J2039" s="0" t="n">
        <v>2</v>
      </c>
      <c r="K2039" s="0" t="n">
        <v>42.32</v>
      </c>
      <c r="M2039" s="0" t="n">
        <v>2032</v>
      </c>
      <c r="N2039" s="0" t="n">
        <v>41.76</v>
      </c>
      <c r="O2039" s="0" t="n">
        <v>876.6</v>
      </c>
      <c r="Q2039" s="0" t="n">
        <v>2035</v>
      </c>
      <c r="R2039" s="0" t="n">
        <v>32</v>
      </c>
      <c r="W2039" s="0" t="n">
        <v>2033</v>
      </c>
      <c r="X2039" s="0" t="n">
        <v>10087.974</v>
      </c>
    </row>
    <row r="2040" customFormat="false" ht="15" hidden="false" customHeight="false" outlineLevel="0" collapsed="false">
      <c r="A2040" s="0" t="n">
        <v>2032</v>
      </c>
      <c r="B2040" s="0" t="n">
        <v>17.71179357</v>
      </c>
      <c r="C2040" s="0" t="n">
        <v>371.947665</v>
      </c>
      <c r="E2040" s="0" t="n">
        <v>2033</v>
      </c>
      <c r="F2040" s="0" t="n">
        <v>4.497794</v>
      </c>
      <c r="G2040" s="0" t="n">
        <v>94.314746</v>
      </c>
      <c r="I2040" s="0" t="n">
        <v>2028</v>
      </c>
      <c r="J2040" s="0" t="n">
        <v>3.5</v>
      </c>
      <c r="K2040" s="0" t="n">
        <v>74.06</v>
      </c>
      <c r="M2040" s="0" t="n">
        <v>2032</v>
      </c>
      <c r="N2040" s="0" t="n">
        <v>34.8</v>
      </c>
      <c r="O2040" s="0" t="n">
        <v>730.5</v>
      </c>
      <c r="Q2040" s="0" t="n">
        <v>2035</v>
      </c>
      <c r="R2040" s="0" t="n">
        <v>32</v>
      </c>
      <c r="W2040" s="0" t="n">
        <v>2033</v>
      </c>
      <c r="X2040" s="0" t="n">
        <v>3982.095</v>
      </c>
    </row>
    <row r="2041" customFormat="false" ht="15" hidden="false" customHeight="false" outlineLevel="0" collapsed="false">
      <c r="A2041" s="0" t="n">
        <v>2032</v>
      </c>
      <c r="B2041" s="0" t="n">
        <v>65.4199139</v>
      </c>
      <c r="C2041" s="0" t="n">
        <v>1373.818192</v>
      </c>
      <c r="E2041" s="0" t="n">
        <v>2033</v>
      </c>
      <c r="F2041" s="0" t="n">
        <v>24.593604</v>
      </c>
      <c r="G2041" s="0" t="n">
        <v>515.706036</v>
      </c>
      <c r="I2041" s="0" t="n">
        <v>2028</v>
      </c>
      <c r="J2041" s="0" t="n">
        <v>1</v>
      </c>
      <c r="K2041" s="0" t="n">
        <v>21.16</v>
      </c>
      <c r="M2041" s="0" t="n">
        <v>2032</v>
      </c>
      <c r="N2041" s="0" t="n">
        <v>27.84</v>
      </c>
      <c r="O2041" s="0" t="n">
        <v>584.4</v>
      </c>
      <c r="Q2041" s="0" t="n">
        <v>2035</v>
      </c>
      <c r="R2041" s="0" t="n">
        <v>853</v>
      </c>
      <c r="W2041" s="0" t="n">
        <v>2033</v>
      </c>
      <c r="X2041" s="0" t="n">
        <v>5840.406</v>
      </c>
    </row>
    <row r="2042" customFormat="false" ht="15" hidden="false" customHeight="false" outlineLevel="0" collapsed="false">
      <c r="A2042" s="0" t="n">
        <v>2032</v>
      </c>
      <c r="B2042" s="0" t="n">
        <v>20.4787175</v>
      </c>
      <c r="C2042" s="0" t="n">
        <v>430.0530676</v>
      </c>
      <c r="E2042" s="0" t="n">
        <v>2033</v>
      </c>
      <c r="F2042" s="0" t="n">
        <v>22.488452</v>
      </c>
      <c r="G2042" s="0" t="n">
        <v>471.562868</v>
      </c>
      <c r="I2042" s="0" t="n">
        <v>2028</v>
      </c>
      <c r="J2042" s="0" t="n">
        <v>3.5</v>
      </c>
      <c r="K2042" s="0" t="n">
        <v>74.06</v>
      </c>
      <c r="M2042" s="0" t="n">
        <v>2032</v>
      </c>
      <c r="N2042" s="0" t="n">
        <v>13.92</v>
      </c>
      <c r="O2042" s="0" t="n">
        <v>292.2</v>
      </c>
      <c r="Q2042" s="0" t="n">
        <v>2035</v>
      </c>
      <c r="R2042" s="0" t="n">
        <v>811</v>
      </c>
      <c r="W2042" s="0" t="n">
        <v>2033</v>
      </c>
      <c r="X2042" s="0" t="n">
        <v>4513.041</v>
      </c>
    </row>
    <row r="2043" customFormat="false" ht="15" hidden="false" customHeight="false" outlineLevel="0" collapsed="false">
      <c r="A2043" s="0" t="n">
        <v>2032</v>
      </c>
      <c r="B2043" s="0" t="n">
        <v>45.78916086</v>
      </c>
      <c r="C2043" s="0" t="n">
        <v>961.5723781</v>
      </c>
      <c r="E2043" s="0" t="n">
        <v>2033</v>
      </c>
      <c r="F2043" s="0" t="n">
        <v>357.708504</v>
      </c>
      <c r="G2043" s="0" t="n">
        <v>7507.766992</v>
      </c>
      <c r="I2043" s="0" t="n">
        <v>2028</v>
      </c>
      <c r="J2043" s="0" t="n">
        <v>20.64</v>
      </c>
      <c r="K2043" s="0" t="n">
        <v>436.8</v>
      </c>
      <c r="M2043" s="0" t="n">
        <v>2032</v>
      </c>
      <c r="N2043" s="0" t="n">
        <v>171.38</v>
      </c>
      <c r="O2043" s="0" t="n">
        <v>3595.94</v>
      </c>
      <c r="Q2043" s="0" t="n">
        <v>2035</v>
      </c>
      <c r="R2043" s="0" t="n">
        <v>384</v>
      </c>
      <c r="W2043" s="0" t="n">
        <v>2033</v>
      </c>
      <c r="X2043" s="0" t="n">
        <v>62337.28</v>
      </c>
    </row>
    <row r="2044" customFormat="false" ht="15" hidden="false" customHeight="false" outlineLevel="0" collapsed="false">
      <c r="A2044" s="0" t="n">
        <v>2032</v>
      </c>
      <c r="B2044" s="0" t="n">
        <v>1286.689251</v>
      </c>
      <c r="C2044" s="0" t="n">
        <v>27020.47427</v>
      </c>
      <c r="E2044" s="0" t="n">
        <v>2033</v>
      </c>
      <c r="F2044" s="0" t="n">
        <v>96.048696</v>
      </c>
      <c r="G2044" s="0" t="n">
        <v>2015.918608</v>
      </c>
      <c r="I2044" s="0" t="n">
        <v>2028</v>
      </c>
      <c r="J2044" s="0" t="n">
        <v>6.88</v>
      </c>
      <c r="K2044" s="0" t="n">
        <v>145.6</v>
      </c>
      <c r="M2044" s="0" t="n">
        <v>2032</v>
      </c>
      <c r="N2044" s="0" t="n">
        <v>112.75</v>
      </c>
      <c r="O2044" s="0" t="n">
        <v>2365.75</v>
      </c>
      <c r="Q2044" s="0" t="n">
        <v>2035</v>
      </c>
      <c r="R2044" s="0" t="n">
        <v>85</v>
      </c>
      <c r="W2044" s="0" t="n">
        <v>2033</v>
      </c>
      <c r="X2044" s="0" t="n">
        <v>15584.32</v>
      </c>
    </row>
    <row r="2045" customFormat="false" ht="15" hidden="false" customHeight="false" outlineLevel="0" collapsed="false">
      <c r="A2045" s="0" t="n">
        <v>2032</v>
      </c>
      <c r="B2045" s="0" t="n">
        <v>324.5410771</v>
      </c>
      <c r="C2045" s="0" t="n">
        <v>6815.362618</v>
      </c>
      <c r="E2045" s="0" t="n">
        <v>2033</v>
      </c>
      <c r="F2045" s="0" t="n">
        <v>38.444952</v>
      </c>
      <c r="G2045" s="0" t="n">
        <v>806.902096</v>
      </c>
      <c r="I2045" s="0" t="n">
        <v>2028</v>
      </c>
      <c r="J2045" s="0" t="n">
        <v>3.01</v>
      </c>
      <c r="K2045" s="0" t="n">
        <v>63.7</v>
      </c>
      <c r="M2045" s="0" t="n">
        <v>2032</v>
      </c>
      <c r="N2045" s="0" t="n">
        <v>45.1</v>
      </c>
      <c r="O2045" s="0" t="n">
        <v>946.3</v>
      </c>
      <c r="Q2045" s="0" t="n">
        <v>2035</v>
      </c>
      <c r="R2045" s="0" t="n">
        <v>82</v>
      </c>
      <c r="W2045" s="0" t="n">
        <v>2033</v>
      </c>
      <c r="X2045" s="0" t="n">
        <v>4826.112</v>
      </c>
    </row>
    <row r="2046" customFormat="false" ht="15" hidden="false" customHeight="false" outlineLevel="0" collapsed="false">
      <c r="A2046" s="0" t="n">
        <v>2032</v>
      </c>
      <c r="B2046" s="0" t="n">
        <v>289.4113104</v>
      </c>
      <c r="C2046" s="0" t="n">
        <v>6077.637518</v>
      </c>
      <c r="E2046" s="0" t="n">
        <v>2033</v>
      </c>
      <c r="F2046" s="0" t="n">
        <v>5.400264</v>
      </c>
      <c r="G2046" s="0" t="n">
        <v>113.343472</v>
      </c>
      <c r="I2046" s="0" t="n">
        <v>2028</v>
      </c>
      <c r="J2046" s="0" t="n">
        <v>1.72</v>
      </c>
      <c r="K2046" s="0" t="n">
        <v>36.4</v>
      </c>
      <c r="M2046" s="0" t="n">
        <v>2032</v>
      </c>
      <c r="N2046" s="0" t="n">
        <v>45.1</v>
      </c>
      <c r="O2046" s="0" t="n">
        <v>946.3</v>
      </c>
      <c r="Q2046" s="0" t="n">
        <v>2035</v>
      </c>
      <c r="R2046" s="0" t="n">
        <v>82</v>
      </c>
      <c r="W2046" s="0" t="n">
        <v>2033</v>
      </c>
      <c r="X2046" s="0" t="n">
        <v>8546.24</v>
      </c>
    </row>
    <row r="2047" customFormat="false" ht="15" hidden="false" customHeight="false" outlineLevel="0" collapsed="false">
      <c r="A2047" s="0" t="n">
        <v>2032</v>
      </c>
      <c r="B2047" s="0" t="n">
        <v>201.2684146</v>
      </c>
      <c r="C2047" s="0" t="n">
        <v>4226.636706</v>
      </c>
      <c r="E2047" s="0" t="n">
        <v>2033</v>
      </c>
      <c r="F2047" s="0" t="n">
        <v>129.093384</v>
      </c>
      <c r="G2047" s="0" t="n">
        <v>2709.477232</v>
      </c>
      <c r="I2047" s="0" t="n">
        <v>2028</v>
      </c>
      <c r="J2047" s="0" t="n">
        <v>1.72</v>
      </c>
      <c r="K2047" s="0" t="n">
        <v>36.4</v>
      </c>
      <c r="M2047" s="0" t="n">
        <v>2032</v>
      </c>
      <c r="N2047" s="0" t="n">
        <v>27.06</v>
      </c>
      <c r="O2047" s="0" t="n">
        <v>567.78</v>
      </c>
      <c r="Q2047" s="0" t="n">
        <v>2035</v>
      </c>
      <c r="R2047" s="0" t="n">
        <v>57</v>
      </c>
      <c r="W2047" s="0" t="n">
        <v>2033</v>
      </c>
      <c r="X2047" s="0" t="n">
        <v>3820.672</v>
      </c>
    </row>
    <row r="2048" customFormat="false" ht="15" hidden="false" customHeight="false" outlineLevel="0" collapsed="false">
      <c r="A2048" s="0" t="n">
        <v>2032</v>
      </c>
      <c r="B2048" s="0" t="n">
        <v>149.7101756</v>
      </c>
      <c r="C2048" s="0" t="n">
        <v>3143.913687</v>
      </c>
      <c r="E2048" s="0" t="n">
        <v>2033</v>
      </c>
      <c r="F2048" s="0" t="n">
        <v>6.043368</v>
      </c>
      <c r="G2048" s="0" t="n">
        <v>126.841264</v>
      </c>
      <c r="I2048" s="0" t="n">
        <v>2028</v>
      </c>
      <c r="J2048" s="0" t="n">
        <v>0.86</v>
      </c>
      <c r="K2048" s="0" t="n">
        <v>18.2</v>
      </c>
      <c r="M2048" s="0" t="n">
        <v>2032</v>
      </c>
      <c r="N2048" s="0" t="n">
        <v>22.55</v>
      </c>
      <c r="O2048" s="0" t="n">
        <v>473.15</v>
      </c>
      <c r="Q2048" s="0" t="n">
        <v>2035</v>
      </c>
      <c r="R2048" s="0" t="n">
        <v>54</v>
      </c>
      <c r="W2048" s="0" t="n">
        <v>2033</v>
      </c>
      <c r="X2048" s="0" t="n">
        <v>1508.16</v>
      </c>
    </row>
    <row r="2049" customFormat="false" ht="15" hidden="false" customHeight="false" outlineLevel="0" collapsed="false">
      <c r="A2049" s="0" t="n">
        <v>2032</v>
      </c>
      <c r="B2049" s="0" t="n">
        <v>66.5378558</v>
      </c>
      <c r="C2049" s="0" t="n">
        <v>1397.294972</v>
      </c>
      <c r="E2049" s="0" t="n">
        <v>2033</v>
      </c>
      <c r="F2049" s="0" t="n">
        <v>33.044688</v>
      </c>
      <c r="G2049" s="0" t="n">
        <v>693.558624</v>
      </c>
      <c r="I2049" s="0" t="n">
        <v>2028</v>
      </c>
      <c r="J2049" s="0" t="n">
        <v>0.86</v>
      </c>
      <c r="K2049" s="0" t="n">
        <v>18.2</v>
      </c>
      <c r="M2049" s="0" t="n">
        <v>2032</v>
      </c>
      <c r="N2049" s="0" t="n">
        <v>18.04</v>
      </c>
      <c r="O2049" s="0" t="n">
        <v>378.52</v>
      </c>
      <c r="Q2049" s="0" t="n">
        <v>2035</v>
      </c>
      <c r="R2049" s="0" t="n">
        <v>26</v>
      </c>
      <c r="W2049" s="0" t="n">
        <v>2033</v>
      </c>
      <c r="X2049" s="0" t="n">
        <v>2211.968</v>
      </c>
    </row>
    <row r="2050" customFormat="false" ht="15" hidden="false" customHeight="false" outlineLevel="0" collapsed="false">
      <c r="A2050" s="0" t="n">
        <v>2032</v>
      </c>
      <c r="B2050" s="0" t="n">
        <v>245.7628461</v>
      </c>
      <c r="C2050" s="0" t="n">
        <v>5161.019768</v>
      </c>
      <c r="E2050" s="0" t="n">
        <v>2033</v>
      </c>
      <c r="F2050" s="0" t="n">
        <v>30.216144</v>
      </c>
      <c r="G2050" s="0" t="n">
        <v>634.191712</v>
      </c>
      <c r="I2050" s="0" t="n">
        <v>2028</v>
      </c>
      <c r="J2050" s="0" t="n">
        <v>1.72</v>
      </c>
      <c r="K2050" s="0" t="n">
        <v>36.4</v>
      </c>
      <c r="M2050" s="0" t="n">
        <v>2032</v>
      </c>
      <c r="N2050" s="0" t="n">
        <v>9.02</v>
      </c>
      <c r="O2050" s="0" t="n">
        <v>189.26</v>
      </c>
      <c r="Q2050" s="0" t="n">
        <v>2035</v>
      </c>
      <c r="R2050" s="0" t="n">
        <v>6</v>
      </c>
      <c r="W2050" s="0" t="n">
        <v>2033</v>
      </c>
      <c r="X2050" s="0" t="n">
        <v>1709.248</v>
      </c>
    </row>
    <row r="2051" customFormat="false" ht="15" hidden="false" customHeight="false" outlineLevel="0" collapsed="false">
      <c r="A2051" s="0" t="n">
        <v>2032</v>
      </c>
      <c r="B2051" s="0" t="n">
        <v>76.93235283</v>
      </c>
      <c r="C2051" s="0" t="n">
        <v>1615.579409</v>
      </c>
      <c r="E2051" s="0" t="n">
        <v>2033</v>
      </c>
      <c r="F2051" s="0" t="n">
        <v>272.39297</v>
      </c>
      <c r="G2051" s="0" t="n">
        <v>5716.654727</v>
      </c>
      <c r="I2051" s="0" t="n">
        <v>2028</v>
      </c>
      <c r="J2051" s="0" t="n">
        <v>3.01</v>
      </c>
      <c r="K2051" s="0" t="n">
        <v>63.7</v>
      </c>
      <c r="M2051" s="0" t="n">
        <v>2032</v>
      </c>
      <c r="N2051" s="0" t="n">
        <v>44.46</v>
      </c>
      <c r="O2051" s="0" t="n">
        <v>932.14</v>
      </c>
      <c r="Q2051" s="0" t="n">
        <v>2035</v>
      </c>
      <c r="R2051" s="0" t="n">
        <v>5</v>
      </c>
      <c r="W2051" s="0" t="n">
        <v>2033</v>
      </c>
      <c r="X2051" s="0" t="n">
        <v>121549.76</v>
      </c>
    </row>
    <row r="2052" customFormat="false" ht="15" hidden="false" customHeight="false" outlineLevel="0" collapsed="false">
      <c r="A2052" s="0" t="n">
        <v>2032</v>
      </c>
      <c r="B2052" s="0" t="n">
        <v>172.0160395</v>
      </c>
      <c r="C2052" s="0" t="n">
        <v>3612.33683</v>
      </c>
      <c r="E2052" s="0" t="n">
        <v>2033</v>
      </c>
      <c r="F2052" s="0" t="n">
        <v>73.14053</v>
      </c>
      <c r="G2052" s="0" t="n">
        <v>1534.985123</v>
      </c>
      <c r="I2052" s="0" t="n">
        <v>2028</v>
      </c>
      <c r="J2052" s="0" t="n">
        <v>1.29</v>
      </c>
      <c r="K2052" s="0" t="n">
        <v>27.3</v>
      </c>
      <c r="M2052" s="0" t="n">
        <v>2032</v>
      </c>
      <c r="N2052" s="0" t="n">
        <v>29.25</v>
      </c>
      <c r="O2052" s="0" t="n">
        <v>613.25</v>
      </c>
      <c r="Q2052" s="0" t="n">
        <v>2035</v>
      </c>
      <c r="R2052" s="0" t="n">
        <v>5</v>
      </c>
      <c r="W2052" s="0" t="n">
        <v>2033</v>
      </c>
      <c r="X2052" s="0" t="n">
        <v>30387.44</v>
      </c>
    </row>
    <row r="2053" customFormat="false" ht="15" hidden="false" customHeight="false" outlineLevel="0" collapsed="false">
      <c r="A2053" s="0" t="n">
        <v>2032</v>
      </c>
      <c r="B2053" s="0" t="n">
        <v>357.1513163</v>
      </c>
      <c r="C2053" s="0" t="n">
        <v>7500.177641</v>
      </c>
      <c r="E2053" s="0" t="n">
        <v>2033</v>
      </c>
      <c r="F2053" s="0" t="n">
        <v>29.27561</v>
      </c>
      <c r="G2053" s="0" t="n">
        <v>614.401151</v>
      </c>
      <c r="I2053" s="0" t="n">
        <v>2028</v>
      </c>
      <c r="J2053" s="0" t="n">
        <v>1.29</v>
      </c>
      <c r="K2053" s="0" t="n">
        <v>27.3</v>
      </c>
      <c r="M2053" s="0" t="n">
        <v>2032</v>
      </c>
      <c r="N2053" s="0" t="n">
        <v>11.7</v>
      </c>
      <c r="O2053" s="0" t="n">
        <v>245.3</v>
      </c>
      <c r="Q2053" s="0" t="n">
        <v>2035</v>
      </c>
      <c r="R2053" s="0" t="n">
        <v>152</v>
      </c>
      <c r="W2053" s="0" t="n">
        <v>2033</v>
      </c>
      <c r="X2053" s="0" t="n">
        <v>9410.304</v>
      </c>
    </row>
    <row r="2054" customFormat="false" ht="15" hidden="false" customHeight="false" outlineLevel="0" collapsed="false">
      <c r="A2054" s="0" t="n">
        <v>2032</v>
      </c>
      <c r="B2054" s="0" t="n">
        <v>90.08412306</v>
      </c>
      <c r="C2054" s="0" t="n">
        <v>1891.766584</v>
      </c>
      <c r="E2054" s="0" t="n">
        <v>2033</v>
      </c>
      <c r="F2054" s="0" t="n">
        <v>4.11227</v>
      </c>
      <c r="G2054" s="0" t="n">
        <v>86.303357</v>
      </c>
      <c r="I2054" s="0" t="n">
        <v>2028</v>
      </c>
      <c r="J2054" s="0" t="n">
        <v>7.8</v>
      </c>
      <c r="K2054" s="0" t="n">
        <v>167.44</v>
      </c>
      <c r="M2054" s="0" t="n">
        <v>2032</v>
      </c>
      <c r="N2054" s="0" t="n">
        <v>11.7</v>
      </c>
      <c r="O2054" s="0" t="n">
        <v>245.3</v>
      </c>
      <c r="Q2054" s="0" t="n">
        <v>2035</v>
      </c>
      <c r="R2054" s="0" t="n">
        <v>144</v>
      </c>
      <c r="W2054" s="0" t="n">
        <v>2033</v>
      </c>
      <c r="X2054" s="0" t="n">
        <v>16664.08</v>
      </c>
    </row>
    <row r="2055" customFormat="false" ht="15" hidden="false" customHeight="false" outlineLevel="0" collapsed="false">
      <c r="A2055" s="0" t="n">
        <v>2032</v>
      </c>
      <c r="B2055" s="0" t="n">
        <v>80.33301775</v>
      </c>
      <c r="C2055" s="0" t="n">
        <v>1686.993373</v>
      </c>
      <c r="E2055" s="0" t="n">
        <v>2033</v>
      </c>
      <c r="F2055" s="0" t="n">
        <v>98.30387</v>
      </c>
      <c r="G2055" s="0" t="n">
        <v>2063.082917</v>
      </c>
      <c r="I2055" s="0" t="n">
        <v>2028</v>
      </c>
      <c r="J2055" s="0" t="n">
        <v>1.2</v>
      </c>
      <c r="K2055" s="0" t="n">
        <v>25.76</v>
      </c>
      <c r="M2055" s="0" t="n">
        <v>2032</v>
      </c>
      <c r="N2055" s="0" t="n">
        <v>7.02</v>
      </c>
      <c r="O2055" s="0" t="n">
        <v>147.18</v>
      </c>
      <c r="Q2055" s="0" t="n">
        <v>2035</v>
      </c>
      <c r="R2055" s="0" t="n">
        <v>68</v>
      </c>
      <c r="W2055" s="0" t="n">
        <v>2033</v>
      </c>
      <c r="X2055" s="0" t="n">
        <v>7449.824</v>
      </c>
    </row>
    <row r="2056" customFormat="false" ht="15" hidden="false" customHeight="false" outlineLevel="0" collapsed="false">
      <c r="A2056" s="0" t="n">
        <v>2032</v>
      </c>
      <c r="B2056" s="0" t="n">
        <v>55.86685295</v>
      </c>
      <c r="C2056" s="0" t="n">
        <v>1173.203912</v>
      </c>
      <c r="E2056" s="0" t="n">
        <v>2033</v>
      </c>
      <c r="F2056" s="0" t="n">
        <v>4.60199</v>
      </c>
      <c r="G2056" s="0" t="n">
        <v>96.581009</v>
      </c>
      <c r="I2056" s="0" t="n">
        <v>2028</v>
      </c>
      <c r="J2056" s="0" t="n">
        <v>0.9</v>
      </c>
      <c r="K2056" s="0" t="n">
        <v>19.32</v>
      </c>
      <c r="M2056" s="0" t="n">
        <v>2032</v>
      </c>
      <c r="N2056" s="0" t="n">
        <v>5.85</v>
      </c>
      <c r="O2056" s="0" t="n">
        <v>122.65</v>
      </c>
      <c r="Q2056" s="0" t="n">
        <v>2035</v>
      </c>
      <c r="R2056" s="0" t="n">
        <v>15</v>
      </c>
      <c r="W2056" s="0" t="n">
        <v>2033</v>
      </c>
      <c r="X2056" s="0" t="n">
        <v>2940.72</v>
      </c>
    </row>
    <row r="2057" customFormat="false" ht="15" hidden="false" customHeight="false" outlineLevel="0" collapsed="false">
      <c r="A2057" s="0" t="n">
        <v>2032</v>
      </c>
      <c r="B2057" s="0" t="n">
        <v>41.55563296</v>
      </c>
      <c r="C2057" s="0" t="n">
        <v>872.6682922</v>
      </c>
      <c r="E2057" s="0" t="n">
        <v>2033</v>
      </c>
      <c r="F2057" s="0" t="n">
        <v>25.16334</v>
      </c>
      <c r="G2057" s="0" t="n">
        <v>528.097794</v>
      </c>
      <c r="I2057" s="0" t="n">
        <v>2028</v>
      </c>
      <c r="J2057" s="0" t="n">
        <v>1.5</v>
      </c>
      <c r="K2057" s="0" t="n">
        <v>32.2</v>
      </c>
      <c r="M2057" s="0" t="n">
        <v>2032</v>
      </c>
      <c r="N2057" s="0" t="n">
        <v>4.68</v>
      </c>
      <c r="O2057" s="0" t="n">
        <v>98.12</v>
      </c>
      <c r="Q2057" s="0" t="n">
        <v>2035</v>
      </c>
      <c r="R2057" s="0" t="n">
        <v>15</v>
      </c>
      <c r="W2057" s="0" t="n">
        <v>2033</v>
      </c>
      <c r="X2057" s="0" t="n">
        <v>4313.056</v>
      </c>
    </row>
    <row r="2058" customFormat="false" ht="15" hidden="false" customHeight="false" outlineLevel="0" collapsed="false">
      <c r="A2058" s="0" t="n">
        <v>2032</v>
      </c>
      <c r="B2058" s="0" t="n">
        <v>18.46917021</v>
      </c>
      <c r="C2058" s="0" t="n">
        <v>387.8525743</v>
      </c>
      <c r="E2058" s="0" t="n">
        <v>2033</v>
      </c>
      <c r="F2058" s="0" t="n">
        <v>23.00942</v>
      </c>
      <c r="G2058" s="0" t="n">
        <v>482.893922</v>
      </c>
      <c r="I2058" s="0" t="n">
        <v>2028</v>
      </c>
      <c r="J2058" s="0" t="n">
        <v>0.3</v>
      </c>
      <c r="K2058" s="0" t="n">
        <v>6.44</v>
      </c>
      <c r="M2058" s="0" t="n">
        <v>2032</v>
      </c>
      <c r="N2058" s="0" t="n">
        <v>2.34</v>
      </c>
      <c r="O2058" s="0" t="n">
        <v>49.06</v>
      </c>
      <c r="Q2058" s="0" t="n">
        <v>2035</v>
      </c>
      <c r="R2058" s="0" t="n">
        <v>15</v>
      </c>
      <c r="W2058" s="0" t="n">
        <v>2033</v>
      </c>
      <c r="X2058" s="0" t="n">
        <v>3332.816</v>
      </c>
    </row>
    <row r="2059" customFormat="false" ht="15" hidden="false" customHeight="false" outlineLevel="0" collapsed="false">
      <c r="A2059" s="0" t="n">
        <v>2032</v>
      </c>
      <c r="B2059" s="0" t="n">
        <v>68.21734455</v>
      </c>
      <c r="C2059" s="0" t="n">
        <v>1432.564236</v>
      </c>
      <c r="E2059" s="0" t="n">
        <v>2033</v>
      </c>
      <c r="F2059" s="0" t="n">
        <v>597.722687</v>
      </c>
      <c r="G2059" s="0" t="n">
        <v>12550.12063</v>
      </c>
      <c r="I2059" s="0" t="n">
        <v>2028</v>
      </c>
      <c r="J2059" s="0" t="n">
        <v>0.3</v>
      </c>
      <c r="K2059" s="0" t="n">
        <v>6.44</v>
      </c>
      <c r="M2059" s="0" t="n">
        <v>2032</v>
      </c>
      <c r="N2059" s="0" t="n">
        <v>98.8</v>
      </c>
      <c r="O2059" s="0" t="n">
        <v>2073.28</v>
      </c>
      <c r="Q2059" s="0" t="n">
        <v>2035</v>
      </c>
      <c r="R2059" s="0" t="n">
        <v>289</v>
      </c>
      <c r="W2059" s="0" t="n">
        <v>2033</v>
      </c>
      <c r="X2059" s="0" t="n">
        <v>115068.9</v>
      </c>
    </row>
    <row r="2060" customFormat="false" ht="15" hidden="false" customHeight="false" outlineLevel="0" collapsed="false">
      <c r="A2060" s="0" t="n">
        <v>2032</v>
      </c>
      <c r="B2060" s="0" t="n">
        <v>21.35441098</v>
      </c>
      <c r="C2060" s="0" t="n">
        <v>448.4426306</v>
      </c>
      <c r="E2060" s="0" t="n">
        <v>2033</v>
      </c>
      <c r="F2060" s="0" t="n">
        <v>160.495163</v>
      </c>
      <c r="G2060" s="0" t="n">
        <v>3369.846419</v>
      </c>
      <c r="I2060" s="0" t="n">
        <v>2028</v>
      </c>
      <c r="J2060" s="0" t="n">
        <v>0</v>
      </c>
      <c r="K2060" s="0" t="n">
        <v>0</v>
      </c>
      <c r="M2060" s="0" t="n">
        <v>2032</v>
      </c>
      <c r="N2060" s="0" t="n">
        <v>65</v>
      </c>
      <c r="O2060" s="0" t="n">
        <v>1364</v>
      </c>
      <c r="Q2060" s="0" t="n">
        <v>2035</v>
      </c>
      <c r="R2060" s="0" t="n">
        <v>275</v>
      </c>
      <c r="W2060" s="0" t="n">
        <v>2033</v>
      </c>
      <c r="X2060" s="0" t="n">
        <v>28767.225</v>
      </c>
    </row>
    <row r="2061" customFormat="false" ht="15" hidden="false" customHeight="false" outlineLevel="0" collapsed="false">
      <c r="A2061" s="0" t="n">
        <v>2032</v>
      </c>
      <c r="B2061" s="0" t="n">
        <v>47.74715797</v>
      </c>
      <c r="C2061" s="0" t="n">
        <v>1002.690317</v>
      </c>
      <c r="E2061" s="0" t="n">
        <v>2033</v>
      </c>
      <c r="F2061" s="0" t="n">
        <v>64.240631</v>
      </c>
      <c r="G2061" s="0" t="n">
        <v>1348.832303</v>
      </c>
      <c r="I2061" s="0" t="n">
        <v>2028</v>
      </c>
      <c r="J2061" s="0" t="n">
        <v>0.6</v>
      </c>
      <c r="K2061" s="0" t="n">
        <v>12.88</v>
      </c>
      <c r="M2061" s="0" t="n">
        <v>2032</v>
      </c>
      <c r="N2061" s="0" t="n">
        <v>26</v>
      </c>
      <c r="O2061" s="0" t="n">
        <v>545.6</v>
      </c>
      <c r="Q2061" s="0" t="n">
        <v>2035</v>
      </c>
      <c r="R2061" s="0" t="n">
        <v>130</v>
      </c>
      <c r="W2061" s="0" t="n">
        <v>2033</v>
      </c>
      <c r="X2061" s="0" t="n">
        <v>8908.56</v>
      </c>
    </row>
    <row r="2062" customFormat="false" ht="15" hidden="false" customHeight="false" outlineLevel="0" collapsed="false">
      <c r="A2062" s="0" t="n">
        <v>2032</v>
      </c>
      <c r="B2062" s="0" t="n">
        <v>198.5867726</v>
      </c>
      <c r="C2062" s="0" t="n">
        <v>4170.322224</v>
      </c>
      <c r="E2062" s="0" t="n">
        <v>2033</v>
      </c>
      <c r="F2062" s="0" t="n">
        <v>9.023717</v>
      </c>
      <c r="G2062" s="0" t="n">
        <v>189.467021</v>
      </c>
      <c r="I2062" s="0" t="n">
        <v>2028</v>
      </c>
      <c r="J2062" s="0" t="n">
        <v>1.05</v>
      </c>
      <c r="K2062" s="0" t="n">
        <v>22.54</v>
      </c>
      <c r="M2062" s="0" t="n">
        <v>2032</v>
      </c>
      <c r="N2062" s="0" t="n">
        <v>26</v>
      </c>
      <c r="O2062" s="0" t="n">
        <v>545.6</v>
      </c>
      <c r="Q2062" s="0" t="n">
        <v>2035</v>
      </c>
      <c r="R2062" s="0" t="n">
        <v>29</v>
      </c>
      <c r="W2062" s="0" t="n">
        <v>2033</v>
      </c>
      <c r="X2062" s="0" t="n">
        <v>15775.575</v>
      </c>
    </row>
    <row r="2063" customFormat="false" ht="15" hidden="false" customHeight="false" outlineLevel="0" collapsed="false">
      <c r="A2063" s="0" t="n">
        <v>2032</v>
      </c>
      <c r="B2063" s="0" t="n">
        <v>50.08945633</v>
      </c>
      <c r="C2063" s="0" t="n">
        <v>1051.878583</v>
      </c>
      <c r="E2063" s="0" t="n">
        <v>2033</v>
      </c>
      <c r="F2063" s="0" t="n">
        <v>215.712077</v>
      </c>
      <c r="G2063" s="0" t="n">
        <v>4529.211701</v>
      </c>
      <c r="I2063" s="0" t="n">
        <v>2028</v>
      </c>
      <c r="J2063" s="0" t="n">
        <v>0.3</v>
      </c>
      <c r="K2063" s="0" t="n">
        <v>6.44</v>
      </c>
      <c r="M2063" s="0" t="n">
        <v>2032</v>
      </c>
      <c r="N2063" s="0" t="n">
        <v>15.6</v>
      </c>
      <c r="O2063" s="0" t="n">
        <v>327.36</v>
      </c>
      <c r="Q2063" s="0" t="n">
        <v>2035</v>
      </c>
      <c r="R2063" s="0" t="n">
        <v>27</v>
      </c>
      <c r="W2063" s="0" t="n">
        <v>2033</v>
      </c>
      <c r="X2063" s="0" t="n">
        <v>7052.61</v>
      </c>
    </row>
    <row r="2064" customFormat="false" ht="15" hidden="false" customHeight="false" outlineLevel="0" collapsed="false">
      <c r="A2064" s="0" t="n">
        <v>2032</v>
      </c>
      <c r="B2064" s="0" t="n">
        <v>44.66755125</v>
      </c>
      <c r="C2064" s="0" t="n">
        <v>938.0185763</v>
      </c>
      <c r="E2064" s="0" t="n">
        <v>2033</v>
      </c>
      <c r="F2064" s="0" t="n">
        <v>10.098329</v>
      </c>
      <c r="G2064" s="0" t="n">
        <v>212.030177</v>
      </c>
      <c r="I2064" s="0" t="n">
        <v>2028</v>
      </c>
      <c r="J2064" s="0" t="n">
        <v>1.05</v>
      </c>
      <c r="K2064" s="0" t="n">
        <v>22.54</v>
      </c>
      <c r="M2064" s="0" t="n">
        <v>2032</v>
      </c>
      <c r="N2064" s="0" t="n">
        <v>13</v>
      </c>
      <c r="O2064" s="0" t="n">
        <v>272.8</v>
      </c>
      <c r="Q2064" s="0" t="n">
        <v>2035</v>
      </c>
      <c r="R2064" s="0" t="n">
        <v>27</v>
      </c>
      <c r="W2064" s="0" t="n">
        <v>2033</v>
      </c>
      <c r="X2064" s="0" t="n">
        <v>2783.925</v>
      </c>
    </row>
    <row r="2065" customFormat="false" ht="15" hidden="false" customHeight="false" outlineLevel="0" collapsed="false">
      <c r="A2065" s="0" t="n">
        <v>2032</v>
      </c>
      <c r="B2065" s="0" t="n">
        <v>31.0636347</v>
      </c>
      <c r="C2065" s="0" t="n">
        <v>652.3363287</v>
      </c>
      <c r="E2065" s="0" t="n">
        <v>2033</v>
      </c>
      <c r="F2065" s="0" t="n">
        <v>55.216914</v>
      </c>
      <c r="G2065" s="0" t="n">
        <v>1159.365282</v>
      </c>
      <c r="I2065" s="0" t="n">
        <v>2028</v>
      </c>
      <c r="J2065" s="0" t="n">
        <v>53.76</v>
      </c>
      <c r="K2065" s="0" t="n">
        <v>1129.44</v>
      </c>
      <c r="M2065" s="0" t="n">
        <v>2032</v>
      </c>
      <c r="N2065" s="0" t="n">
        <v>10.4</v>
      </c>
      <c r="O2065" s="0" t="n">
        <v>218.24</v>
      </c>
      <c r="Q2065" s="0" t="n">
        <v>2035</v>
      </c>
      <c r="R2065" s="0" t="n">
        <v>1392</v>
      </c>
      <c r="W2065" s="0" t="n">
        <v>2033</v>
      </c>
      <c r="X2065" s="0" t="n">
        <v>4083.09</v>
      </c>
    </row>
    <row r="2066" customFormat="false" ht="15" hidden="false" customHeight="false" outlineLevel="0" collapsed="false">
      <c r="A2066" s="0" t="n">
        <v>2032</v>
      </c>
      <c r="B2066" s="0" t="n">
        <v>23.10617001</v>
      </c>
      <c r="C2066" s="0" t="n">
        <v>485.2295701</v>
      </c>
      <c r="E2066" s="0" t="n">
        <v>2033</v>
      </c>
      <c r="F2066" s="0" t="n">
        <v>50.490482</v>
      </c>
      <c r="G2066" s="0" t="n">
        <v>1060.126466</v>
      </c>
      <c r="I2066" s="0" t="n">
        <v>2028</v>
      </c>
      <c r="J2066" s="0" t="n">
        <v>17.92</v>
      </c>
      <c r="K2066" s="0" t="n">
        <v>376.48</v>
      </c>
      <c r="M2066" s="0" t="n">
        <v>2032</v>
      </c>
      <c r="N2066" s="0" t="n">
        <v>5.2</v>
      </c>
      <c r="O2066" s="0" t="n">
        <v>109.12</v>
      </c>
      <c r="Q2066" s="0" t="n">
        <v>2035</v>
      </c>
      <c r="R2066" s="0" t="n">
        <v>1323</v>
      </c>
      <c r="W2066" s="0" t="n">
        <v>2033</v>
      </c>
      <c r="X2066" s="0" t="n">
        <v>3155.115</v>
      </c>
    </row>
    <row r="2067" customFormat="false" ht="15" hidden="false" customHeight="false" outlineLevel="0" collapsed="false">
      <c r="A2067" s="0" t="n">
        <v>2032</v>
      </c>
      <c r="B2067" s="0" t="n">
        <v>10.26940889</v>
      </c>
      <c r="C2067" s="0" t="n">
        <v>215.6575867</v>
      </c>
      <c r="E2067" s="0" t="n">
        <v>2033</v>
      </c>
      <c r="F2067" s="0" t="n">
        <v>328.92736</v>
      </c>
      <c r="G2067" s="0" t="n">
        <v>6899.765325</v>
      </c>
      <c r="I2067" s="0" t="n">
        <v>2028</v>
      </c>
      <c r="J2067" s="0" t="n">
        <v>7.84</v>
      </c>
      <c r="K2067" s="0" t="n">
        <v>164.71</v>
      </c>
      <c r="M2067" s="0" t="n">
        <v>2032</v>
      </c>
      <c r="N2067" s="0" t="n">
        <v>144.4</v>
      </c>
      <c r="O2067" s="0" t="n">
        <v>3032.02</v>
      </c>
      <c r="Q2067" s="0" t="n">
        <v>2035</v>
      </c>
      <c r="R2067" s="0" t="n">
        <v>627</v>
      </c>
      <c r="W2067" s="0" t="n">
        <v>2033</v>
      </c>
      <c r="X2067" s="0" t="n">
        <v>47789.6</v>
      </c>
    </row>
    <row r="2068" customFormat="false" ht="15" hidden="false" customHeight="false" outlineLevel="0" collapsed="false">
      <c r="A2068" s="0" t="n">
        <v>2032</v>
      </c>
      <c r="B2068" s="0" t="n">
        <v>37.93087599</v>
      </c>
      <c r="C2068" s="0" t="n">
        <v>796.5483958</v>
      </c>
      <c r="E2068" s="0" t="n">
        <v>2033</v>
      </c>
      <c r="F2068" s="0" t="n">
        <v>88.32064</v>
      </c>
      <c r="G2068" s="0" t="n">
        <v>1852.663425</v>
      </c>
      <c r="I2068" s="0" t="n">
        <v>2028</v>
      </c>
      <c r="J2068" s="0" t="n">
        <v>4.48</v>
      </c>
      <c r="K2068" s="0" t="n">
        <v>94.12</v>
      </c>
      <c r="M2068" s="0" t="n">
        <v>2032</v>
      </c>
      <c r="N2068" s="0" t="n">
        <v>95</v>
      </c>
      <c r="O2068" s="0" t="n">
        <v>1994.75</v>
      </c>
      <c r="Q2068" s="0" t="n">
        <v>2035</v>
      </c>
      <c r="R2068" s="0" t="n">
        <v>139</v>
      </c>
      <c r="W2068" s="0" t="n">
        <v>2033</v>
      </c>
      <c r="X2068" s="0" t="n">
        <v>11947.4</v>
      </c>
    </row>
    <row r="2069" customFormat="false" ht="15" hidden="false" customHeight="false" outlineLevel="0" collapsed="false">
      <c r="A2069" s="0" t="n">
        <v>2032</v>
      </c>
      <c r="B2069" s="0" t="n">
        <v>11.87368872</v>
      </c>
      <c r="C2069" s="0" t="n">
        <v>249.3474632</v>
      </c>
      <c r="E2069" s="0" t="n">
        <v>2033</v>
      </c>
      <c r="F2069" s="0" t="n">
        <v>35.35168</v>
      </c>
      <c r="G2069" s="0" t="n">
        <v>741.556725</v>
      </c>
      <c r="I2069" s="0" t="n">
        <v>2028</v>
      </c>
      <c r="J2069" s="0" t="n">
        <v>4.48</v>
      </c>
      <c r="K2069" s="0" t="n">
        <v>94.12</v>
      </c>
      <c r="M2069" s="0" t="n">
        <v>2032</v>
      </c>
      <c r="N2069" s="0" t="n">
        <v>38</v>
      </c>
      <c r="O2069" s="0" t="n">
        <v>797.9</v>
      </c>
      <c r="Q2069" s="0" t="n">
        <v>2035</v>
      </c>
      <c r="R2069" s="0" t="n">
        <v>134</v>
      </c>
      <c r="W2069" s="0" t="n">
        <v>2033</v>
      </c>
      <c r="X2069" s="0" t="n">
        <v>3699.84</v>
      </c>
    </row>
    <row r="2070" customFormat="false" ht="15" hidden="false" customHeight="false" outlineLevel="0" collapsed="false">
      <c r="A2070" s="0" t="n">
        <v>2032</v>
      </c>
      <c r="B2070" s="0" t="n">
        <v>26.54884237</v>
      </c>
      <c r="C2070" s="0" t="n">
        <v>557.5256899</v>
      </c>
      <c r="E2070" s="0" t="n">
        <v>2033</v>
      </c>
      <c r="F2070" s="0" t="n">
        <v>4.96576</v>
      </c>
      <c r="G2070" s="0" t="n">
        <v>104.164575</v>
      </c>
      <c r="I2070" s="0" t="n">
        <v>2028</v>
      </c>
      <c r="J2070" s="0" t="n">
        <v>2.24</v>
      </c>
      <c r="K2070" s="0" t="n">
        <v>47.06</v>
      </c>
      <c r="M2070" s="0" t="n">
        <v>2032</v>
      </c>
      <c r="N2070" s="0" t="n">
        <v>38</v>
      </c>
      <c r="O2070" s="0" t="n">
        <v>797.9</v>
      </c>
      <c r="Q2070" s="0" t="n">
        <v>2035</v>
      </c>
      <c r="R2070" s="0" t="n">
        <v>134</v>
      </c>
      <c r="W2070" s="0" t="n">
        <v>2033</v>
      </c>
      <c r="X2070" s="0" t="n">
        <v>6551.8</v>
      </c>
    </row>
    <row r="2071" customFormat="false" ht="15" hidden="false" customHeight="false" outlineLevel="0" collapsed="false">
      <c r="A2071" s="0" t="n">
        <v>2032</v>
      </c>
      <c r="B2071" s="0" t="n">
        <v>169.6536004</v>
      </c>
      <c r="C2071" s="0" t="n">
        <v>3562.725608</v>
      </c>
      <c r="E2071" s="0" t="n">
        <v>2033</v>
      </c>
      <c r="F2071" s="0" t="n">
        <v>118.70656</v>
      </c>
      <c r="G2071" s="0" t="n">
        <v>2490.055575</v>
      </c>
      <c r="I2071" s="0" t="n">
        <v>2028</v>
      </c>
      <c r="J2071" s="0" t="n">
        <v>2.24</v>
      </c>
      <c r="K2071" s="0" t="n">
        <v>47.06</v>
      </c>
      <c r="M2071" s="0" t="n">
        <v>2032</v>
      </c>
      <c r="N2071" s="0" t="n">
        <v>22.8</v>
      </c>
      <c r="O2071" s="0" t="n">
        <v>478.74</v>
      </c>
      <c r="Q2071" s="0" t="n">
        <v>2035</v>
      </c>
      <c r="R2071" s="0" t="n">
        <v>296</v>
      </c>
      <c r="W2071" s="0" t="n">
        <v>2033</v>
      </c>
      <c r="X2071" s="0" t="n">
        <v>2929.04</v>
      </c>
    </row>
    <row r="2072" customFormat="false" ht="15" hidden="false" customHeight="false" outlineLevel="0" collapsed="false">
      <c r="A2072" s="0" t="n">
        <v>2032</v>
      </c>
      <c r="B2072" s="0" t="n">
        <v>42.79165474</v>
      </c>
      <c r="C2072" s="0" t="n">
        <v>898.6247496</v>
      </c>
      <c r="E2072" s="0" t="n">
        <v>2033</v>
      </c>
      <c r="F2072" s="0" t="n">
        <v>5.55712</v>
      </c>
      <c r="G2072" s="0" t="n">
        <v>116.569275</v>
      </c>
      <c r="I2072" s="0" t="n">
        <v>2028</v>
      </c>
      <c r="J2072" s="0" t="n">
        <v>4.48</v>
      </c>
      <c r="K2072" s="0" t="n">
        <v>94.12</v>
      </c>
      <c r="M2072" s="0" t="n">
        <v>2032</v>
      </c>
      <c r="N2072" s="0" t="n">
        <v>19</v>
      </c>
      <c r="O2072" s="0" t="n">
        <v>398.95</v>
      </c>
      <c r="Q2072" s="0" t="n">
        <v>2035</v>
      </c>
      <c r="R2072" s="0" t="n">
        <v>281</v>
      </c>
      <c r="W2072" s="0" t="n">
        <v>2033</v>
      </c>
      <c r="X2072" s="0" t="n">
        <v>1156.2</v>
      </c>
    </row>
    <row r="2073" customFormat="false" ht="15" hidden="false" customHeight="false" outlineLevel="0" collapsed="false">
      <c r="A2073" s="0" t="n">
        <v>2032</v>
      </c>
      <c r="B2073" s="0" t="n">
        <v>38.1596961</v>
      </c>
      <c r="C2073" s="0" t="n">
        <v>801.3536182</v>
      </c>
      <c r="E2073" s="0" t="n">
        <v>2033</v>
      </c>
      <c r="F2073" s="0" t="n">
        <v>30.38592</v>
      </c>
      <c r="G2073" s="0" t="n">
        <v>637.39215</v>
      </c>
      <c r="I2073" s="0" t="n">
        <v>2028</v>
      </c>
      <c r="J2073" s="0" t="n">
        <v>7.84</v>
      </c>
      <c r="K2073" s="0" t="n">
        <v>164.71</v>
      </c>
      <c r="M2073" s="0" t="n">
        <v>2032</v>
      </c>
      <c r="N2073" s="0" t="n">
        <v>15.2</v>
      </c>
      <c r="O2073" s="0" t="n">
        <v>319.16</v>
      </c>
      <c r="Q2073" s="0" t="n">
        <v>2035</v>
      </c>
      <c r="R2073" s="0" t="n">
        <v>133</v>
      </c>
      <c r="W2073" s="0" t="n">
        <v>2033</v>
      </c>
      <c r="X2073" s="0" t="n">
        <v>1695.76</v>
      </c>
    </row>
    <row r="2074" customFormat="false" ht="15" hidden="false" customHeight="false" outlineLevel="0" collapsed="false">
      <c r="A2074" s="0" t="n">
        <v>2032</v>
      </c>
      <c r="B2074" s="0" t="n">
        <v>26.53780713</v>
      </c>
      <c r="C2074" s="0" t="n">
        <v>557.2939497</v>
      </c>
      <c r="E2074" s="0" t="n">
        <v>2033</v>
      </c>
      <c r="F2074" s="0" t="n">
        <v>27.78496</v>
      </c>
      <c r="G2074" s="0" t="n">
        <v>582.83295</v>
      </c>
      <c r="I2074" s="0" t="n">
        <v>2028</v>
      </c>
      <c r="J2074" s="0" t="n">
        <v>3.36</v>
      </c>
      <c r="K2074" s="0" t="n">
        <v>70.59</v>
      </c>
      <c r="M2074" s="0" t="n">
        <v>2032</v>
      </c>
      <c r="N2074" s="0" t="n">
        <v>7.6</v>
      </c>
      <c r="O2074" s="0" t="n">
        <v>159.58</v>
      </c>
      <c r="Q2074" s="0" t="n">
        <v>2035</v>
      </c>
      <c r="R2074" s="0" t="n">
        <v>30</v>
      </c>
      <c r="W2074" s="0" t="n">
        <v>2033</v>
      </c>
      <c r="X2074" s="0" t="n">
        <v>1310.36</v>
      </c>
    </row>
    <row r="2075" customFormat="false" ht="15" hidden="false" customHeight="false" outlineLevel="0" collapsed="false">
      <c r="A2075" s="0" t="n">
        <v>2032</v>
      </c>
      <c r="B2075" s="0" t="n">
        <v>19.73970815</v>
      </c>
      <c r="C2075" s="0" t="n">
        <v>414.5338712</v>
      </c>
      <c r="E2075" s="0" t="n">
        <v>2033</v>
      </c>
      <c r="F2075" s="0" t="n">
        <v>105.359545</v>
      </c>
      <c r="G2075" s="0" t="n">
        <v>2205.869108</v>
      </c>
      <c r="I2075" s="0" t="n">
        <v>2028</v>
      </c>
      <c r="J2075" s="0" t="n">
        <v>3.36</v>
      </c>
      <c r="K2075" s="0" t="n">
        <v>70.59</v>
      </c>
      <c r="M2075" s="0" t="n">
        <v>2032</v>
      </c>
      <c r="N2075" s="0" t="n">
        <v>227.24</v>
      </c>
      <c r="O2075" s="0" t="n">
        <v>4766.34</v>
      </c>
      <c r="Q2075" s="0" t="n">
        <v>2035</v>
      </c>
      <c r="R2075" s="0" t="n">
        <v>29</v>
      </c>
      <c r="W2075" s="0" t="n">
        <v>2033</v>
      </c>
      <c r="X2075" s="0" t="n">
        <v>75390.76</v>
      </c>
    </row>
    <row r="2076" customFormat="false" ht="15" hidden="false" customHeight="false" outlineLevel="0" collapsed="false">
      <c r="A2076" s="0" t="n">
        <v>2032</v>
      </c>
      <c r="B2076" s="0" t="n">
        <v>8.773203622</v>
      </c>
      <c r="C2076" s="0" t="n">
        <v>184.2372761</v>
      </c>
      <c r="E2076" s="0" t="n">
        <v>2033</v>
      </c>
      <c r="F2076" s="0" t="n">
        <v>28.290205</v>
      </c>
      <c r="G2076" s="0" t="n">
        <v>592.300292</v>
      </c>
      <c r="I2076" s="0" t="n">
        <v>2028</v>
      </c>
      <c r="J2076" s="0" t="n">
        <v>13</v>
      </c>
      <c r="K2076" s="0" t="n">
        <v>275.08</v>
      </c>
      <c r="M2076" s="0" t="n">
        <v>2032</v>
      </c>
      <c r="N2076" s="0" t="n">
        <v>149.5</v>
      </c>
      <c r="O2076" s="0" t="n">
        <v>3135.75</v>
      </c>
      <c r="Q2076" s="0" t="n">
        <v>2035</v>
      </c>
      <c r="R2076" s="0" t="n">
        <v>29</v>
      </c>
      <c r="W2076" s="0" t="n">
        <v>2033</v>
      </c>
      <c r="X2076" s="0" t="n">
        <v>18847.69</v>
      </c>
    </row>
    <row r="2077" customFormat="false" ht="15" hidden="false" customHeight="false" outlineLevel="0" collapsed="false">
      <c r="A2077" s="0" t="n">
        <v>2032</v>
      </c>
      <c r="B2077" s="0" t="n">
        <v>32.4045232</v>
      </c>
      <c r="C2077" s="0" t="n">
        <v>680.4949871</v>
      </c>
      <c r="E2077" s="0" t="n">
        <v>2033</v>
      </c>
      <c r="F2077" s="0" t="n">
        <v>11.323585</v>
      </c>
      <c r="G2077" s="0" t="n">
        <v>237.077204</v>
      </c>
      <c r="I2077" s="0" t="n">
        <v>2028</v>
      </c>
      <c r="J2077" s="0" t="n">
        <v>2</v>
      </c>
      <c r="K2077" s="0" t="n">
        <v>42.32</v>
      </c>
      <c r="M2077" s="0" t="n">
        <v>2032</v>
      </c>
      <c r="N2077" s="0" t="n">
        <v>59.8</v>
      </c>
      <c r="O2077" s="0" t="n">
        <v>1254.3</v>
      </c>
      <c r="Q2077" s="0" t="n">
        <v>2035</v>
      </c>
      <c r="R2077" s="0" t="n">
        <v>539</v>
      </c>
      <c r="W2077" s="0" t="n">
        <v>2033</v>
      </c>
      <c r="X2077" s="0" t="n">
        <v>5836.704</v>
      </c>
    </row>
    <row r="2078" customFormat="false" ht="15" hidden="false" customHeight="false" outlineLevel="0" collapsed="false">
      <c r="A2078" s="0" t="n">
        <v>2032</v>
      </c>
      <c r="B2078" s="0" t="n">
        <v>10.14374732</v>
      </c>
      <c r="C2078" s="0" t="n">
        <v>213.0186937</v>
      </c>
      <c r="E2078" s="0" t="n">
        <v>2033</v>
      </c>
      <c r="F2078" s="0" t="n">
        <v>1.590595</v>
      </c>
      <c r="G2078" s="0" t="n">
        <v>33.301628</v>
      </c>
      <c r="I2078" s="0" t="n">
        <v>2028</v>
      </c>
      <c r="J2078" s="0" t="n">
        <v>1.5</v>
      </c>
      <c r="K2078" s="0" t="n">
        <v>31.74</v>
      </c>
      <c r="M2078" s="0" t="n">
        <v>2032</v>
      </c>
      <c r="N2078" s="0" t="n">
        <v>59.8</v>
      </c>
      <c r="O2078" s="0" t="n">
        <v>1254.3</v>
      </c>
      <c r="Q2078" s="0" t="n">
        <v>2035</v>
      </c>
      <c r="R2078" s="0" t="n">
        <v>512</v>
      </c>
      <c r="W2078" s="0" t="n">
        <v>2033</v>
      </c>
      <c r="X2078" s="0" t="n">
        <v>10335.83</v>
      </c>
    </row>
    <row r="2079" customFormat="false" ht="15" hidden="false" customHeight="false" outlineLevel="0" collapsed="false">
      <c r="A2079" s="0" t="n">
        <v>2032</v>
      </c>
      <c r="B2079" s="0" t="n">
        <v>22.68079911</v>
      </c>
      <c r="C2079" s="0" t="n">
        <v>476.2967814</v>
      </c>
      <c r="E2079" s="0" t="n">
        <v>2033</v>
      </c>
      <c r="F2079" s="0" t="n">
        <v>38.023195</v>
      </c>
      <c r="G2079" s="0" t="n">
        <v>796.075868</v>
      </c>
      <c r="I2079" s="0" t="n">
        <v>2028</v>
      </c>
      <c r="J2079" s="0" t="n">
        <v>2.5</v>
      </c>
      <c r="K2079" s="0" t="n">
        <v>52.9</v>
      </c>
      <c r="M2079" s="0" t="n">
        <v>2032</v>
      </c>
      <c r="N2079" s="0" t="n">
        <v>35.88</v>
      </c>
      <c r="O2079" s="0" t="n">
        <v>752.58</v>
      </c>
      <c r="Q2079" s="0" t="n">
        <v>2035</v>
      </c>
      <c r="R2079" s="0" t="n">
        <v>242</v>
      </c>
      <c r="W2079" s="0" t="n">
        <v>2033</v>
      </c>
      <c r="X2079" s="0" t="n">
        <v>4620.724</v>
      </c>
    </row>
    <row r="2080" customFormat="false" ht="15" hidden="false" customHeight="false" outlineLevel="0" collapsed="false">
      <c r="A2080" s="0" t="n">
        <v>2032</v>
      </c>
      <c r="B2080" s="0" t="n">
        <v>226.5933658</v>
      </c>
      <c r="C2080" s="0" t="n">
        <v>4758.460683</v>
      </c>
      <c r="E2080" s="0" t="n">
        <v>2033</v>
      </c>
      <c r="F2080" s="0" t="n">
        <v>1.780015</v>
      </c>
      <c r="G2080" s="0" t="n">
        <v>37.267436</v>
      </c>
      <c r="I2080" s="0" t="n">
        <v>2028</v>
      </c>
      <c r="J2080" s="0" t="n">
        <v>0.5</v>
      </c>
      <c r="K2080" s="0" t="n">
        <v>10.58</v>
      </c>
      <c r="M2080" s="0" t="n">
        <v>2032</v>
      </c>
      <c r="N2080" s="0" t="n">
        <v>29.9</v>
      </c>
      <c r="O2080" s="0" t="n">
        <v>627.15</v>
      </c>
      <c r="Q2080" s="0" t="n">
        <v>2035</v>
      </c>
      <c r="R2080" s="0" t="n">
        <v>54</v>
      </c>
      <c r="W2080" s="0" t="n">
        <v>2033</v>
      </c>
      <c r="X2080" s="0" t="n">
        <v>1823.97</v>
      </c>
    </row>
    <row r="2081" customFormat="false" ht="15" hidden="false" customHeight="false" outlineLevel="0" collapsed="false">
      <c r="A2081" s="0" t="n">
        <v>2032</v>
      </c>
      <c r="B2081" s="0" t="n">
        <v>57.15354732</v>
      </c>
      <c r="C2081" s="0" t="n">
        <v>1200.224494</v>
      </c>
      <c r="E2081" s="0" t="n">
        <v>2033</v>
      </c>
      <c r="F2081" s="0" t="n">
        <v>9.73299</v>
      </c>
      <c r="G2081" s="0" t="n">
        <v>203.775576</v>
      </c>
      <c r="I2081" s="0" t="n">
        <v>2028</v>
      </c>
      <c r="J2081" s="0" t="n">
        <v>0.5</v>
      </c>
      <c r="K2081" s="0" t="n">
        <v>10.58</v>
      </c>
      <c r="M2081" s="0" t="n">
        <v>2032</v>
      </c>
      <c r="N2081" s="0" t="n">
        <v>23.92</v>
      </c>
      <c r="O2081" s="0" t="n">
        <v>501.72</v>
      </c>
      <c r="Q2081" s="0" t="n">
        <v>2035</v>
      </c>
      <c r="R2081" s="0" t="n">
        <v>53</v>
      </c>
      <c r="W2081" s="0" t="n">
        <v>2033</v>
      </c>
      <c r="X2081" s="0" t="n">
        <v>2675.156</v>
      </c>
    </row>
    <row r="2082" customFormat="false" ht="15" hidden="false" customHeight="false" outlineLevel="0" collapsed="false">
      <c r="A2082" s="0" t="n">
        <v>2032</v>
      </c>
      <c r="B2082" s="0" t="n">
        <v>50.96699369</v>
      </c>
      <c r="C2082" s="0" t="n">
        <v>1070.306867</v>
      </c>
      <c r="E2082" s="0" t="n">
        <v>2033</v>
      </c>
      <c r="F2082" s="0" t="n">
        <v>8.89987</v>
      </c>
      <c r="G2082" s="0" t="n">
        <v>186.332888</v>
      </c>
      <c r="I2082" s="0" t="n">
        <v>2028</v>
      </c>
      <c r="J2082" s="0" t="n">
        <v>0</v>
      </c>
      <c r="K2082" s="0" t="n">
        <v>0</v>
      </c>
      <c r="M2082" s="0" t="n">
        <v>2032</v>
      </c>
      <c r="N2082" s="0" t="n">
        <v>11.96</v>
      </c>
      <c r="O2082" s="0" t="n">
        <v>250.86</v>
      </c>
      <c r="Q2082" s="0" t="n">
        <v>2035</v>
      </c>
      <c r="R2082" s="0" t="n">
        <v>53</v>
      </c>
      <c r="W2082" s="0" t="n">
        <v>2033</v>
      </c>
      <c r="X2082" s="0" t="n">
        <v>2067.166</v>
      </c>
    </row>
    <row r="2083" customFormat="false" ht="15" hidden="false" customHeight="false" outlineLevel="0" collapsed="false">
      <c r="A2083" s="0" t="n">
        <v>2032</v>
      </c>
      <c r="B2083" s="0" t="n">
        <v>35.44452358</v>
      </c>
      <c r="C2083" s="0" t="n">
        <v>744.3349951</v>
      </c>
      <c r="E2083" s="0" t="n">
        <v>2033</v>
      </c>
      <c r="F2083" s="0" t="n">
        <v>390.087291</v>
      </c>
      <c r="G2083" s="0" t="n">
        <v>8184.637825</v>
      </c>
      <c r="I2083" s="0" t="n">
        <v>2028</v>
      </c>
      <c r="J2083" s="0" t="n">
        <v>1</v>
      </c>
      <c r="K2083" s="0" t="n">
        <v>21.16</v>
      </c>
      <c r="M2083" s="0" t="n">
        <v>2032</v>
      </c>
      <c r="N2083" s="0" t="n">
        <v>172.9</v>
      </c>
      <c r="O2083" s="0" t="n">
        <v>3626.72</v>
      </c>
      <c r="Q2083" s="0" t="n">
        <v>2035</v>
      </c>
      <c r="R2083" s="0" t="n">
        <v>88</v>
      </c>
      <c r="W2083" s="0" t="n">
        <v>2033</v>
      </c>
      <c r="X2083" s="0" t="n">
        <v>43328.08</v>
      </c>
    </row>
    <row r="2084" customFormat="false" ht="15" hidden="false" customHeight="false" outlineLevel="0" collapsed="false">
      <c r="A2084" s="0" t="n">
        <v>2032</v>
      </c>
      <c r="B2084" s="0" t="n">
        <v>26.36482162</v>
      </c>
      <c r="C2084" s="0" t="n">
        <v>553.6612539</v>
      </c>
      <c r="E2084" s="0" t="n">
        <v>2033</v>
      </c>
      <c r="F2084" s="0" t="n">
        <v>104.742759</v>
      </c>
      <c r="G2084" s="0" t="n">
        <v>2197.665925</v>
      </c>
      <c r="I2084" s="0" t="n">
        <v>2028</v>
      </c>
      <c r="J2084" s="0" t="n">
        <v>1.75</v>
      </c>
      <c r="K2084" s="0" t="n">
        <v>37.03</v>
      </c>
      <c r="M2084" s="0" t="n">
        <v>2032</v>
      </c>
      <c r="N2084" s="0" t="n">
        <v>113.75</v>
      </c>
      <c r="O2084" s="0" t="n">
        <v>2386</v>
      </c>
      <c r="Q2084" s="0" t="n">
        <v>2035</v>
      </c>
      <c r="R2084" s="0" t="n">
        <v>83</v>
      </c>
      <c r="W2084" s="0" t="n">
        <v>2033</v>
      </c>
      <c r="X2084" s="0" t="n">
        <v>10832.02</v>
      </c>
    </row>
    <row r="2085" customFormat="false" ht="15" hidden="false" customHeight="false" outlineLevel="0" collapsed="false">
      <c r="A2085" s="0" t="n">
        <v>2032</v>
      </c>
      <c r="B2085" s="0" t="n">
        <v>11.7176985</v>
      </c>
      <c r="C2085" s="0" t="n">
        <v>246.0716684</v>
      </c>
      <c r="E2085" s="0" t="n">
        <v>2033</v>
      </c>
      <c r="F2085" s="0" t="n">
        <v>41.924883</v>
      </c>
      <c r="G2085" s="0" t="n">
        <v>879.649225</v>
      </c>
      <c r="I2085" s="0" t="n">
        <v>2028</v>
      </c>
      <c r="J2085" s="0" t="n">
        <v>0.5</v>
      </c>
      <c r="K2085" s="0" t="n">
        <v>10.58</v>
      </c>
      <c r="M2085" s="0" t="n">
        <v>2032</v>
      </c>
      <c r="N2085" s="0" t="n">
        <v>45.5</v>
      </c>
      <c r="O2085" s="0" t="n">
        <v>954.4</v>
      </c>
      <c r="Q2085" s="0" t="n">
        <v>2035</v>
      </c>
      <c r="R2085" s="0" t="n">
        <v>39</v>
      </c>
      <c r="W2085" s="0" t="n">
        <v>2033</v>
      </c>
      <c r="X2085" s="0" t="n">
        <v>3354.432</v>
      </c>
    </row>
    <row r="2086" customFormat="false" ht="15" hidden="false" customHeight="false" outlineLevel="0" collapsed="false">
      <c r="A2086" s="0" t="n">
        <v>2032</v>
      </c>
      <c r="B2086" s="0" t="n">
        <v>43.28024847</v>
      </c>
      <c r="C2086" s="0" t="n">
        <v>908.885218</v>
      </c>
      <c r="E2086" s="0" t="n">
        <v>2033</v>
      </c>
      <c r="F2086" s="0" t="n">
        <v>5.889081</v>
      </c>
      <c r="G2086" s="0" t="n">
        <v>123.562075</v>
      </c>
      <c r="I2086" s="0" t="n">
        <v>2028</v>
      </c>
      <c r="J2086" s="0" t="n">
        <v>1.75</v>
      </c>
      <c r="K2086" s="0" t="n">
        <v>37.03</v>
      </c>
      <c r="M2086" s="0" t="n">
        <v>2032</v>
      </c>
      <c r="N2086" s="0" t="n">
        <v>45.5</v>
      </c>
      <c r="O2086" s="0" t="n">
        <v>954.4</v>
      </c>
      <c r="Q2086" s="0" t="n">
        <v>2035</v>
      </c>
      <c r="R2086" s="0" t="n">
        <v>9</v>
      </c>
      <c r="W2086" s="0" t="n">
        <v>2033</v>
      </c>
      <c r="X2086" s="0" t="n">
        <v>5940.14</v>
      </c>
    </row>
    <row r="2087" customFormat="false" ht="15" hidden="false" customHeight="false" outlineLevel="0" collapsed="false">
      <c r="A2087" s="0" t="n">
        <v>2032</v>
      </c>
      <c r="B2087" s="0" t="n">
        <v>13.54822911</v>
      </c>
      <c r="C2087" s="0" t="n">
        <v>284.5128113</v>
      </c>
      <c r="E2087" s="0" t="n">
        <v>2033</v>
      </c>
      <c r="F2087" s="0" t="n">
        <v>140.778561</v>
      </c>
      <c r="G2087" s="0" t="n">
        <v>2953.753075</v>
      </c>
      <c r="I2087" s="0" t="n">
        <v>2028</v>
      </c>
      <c r="J2087" s="0" t="n">
        <v>77.28</v>
      </c>
      <c r="K2087" s="0" t="n">
        <v>1624.8</v>
      </c>
      <c r="M2087" s="0" t="n">
        <v>2032</v>
      </c>
      <c r="N2087" s="0" t="n">
        <v>27.3</v>
      </c>
      <c r="O2087" s="0" t="n">
        <v>572.64</v>
      </c>
      <c r="Q2087" s="0" t="n">
        <v>2035</v>
      </c>
      <c r="R2087" s="0" t="n">
        <v>8</v>
      </c>
      <c r="W2087" s="0" t="n">
        <v>2033</v>
      </c>
      <c r="X2087" s="0" t="n">
        <v>2655.592</v>
      </c>
    </row>
    <row r="2088" customFormat="false" ht="15" hidden="false" customHeight="false" outlineLevel="0" collapsed="false">
      <c r="A2088" s="0" t="n">
        <v>2032</v>
      </c>
      <c r="B2088" s="0" t="n">
        <v>30.29301235</v>
      </c>
      <c r="C2088" s="0" t="n">
        <v>636.1532593</v>
      </c>
      <c r="E2088" s="0" t="n">
        <v>2033</v>
      </c>
      <c r="F2088" s="0" t="n">
        <v>6.590397</v>
      </c>
      <c r="G2088" s="0" t="n">
        <v>138.276775</v>
      </c>
      <c r="I2088" s="0" t="n">
        <v>2028</v>
      </c>
      <c r="J2088" s="0" t="n">
        <v>25.76</v>
      </c>
      <c r="K2088" s="0" t="n">
        <v>541.6</v>
      </c>
      <c r="M2088" s="0" t="n">
        <v>2032</v>
      </c>
      <c r="N2088" s="0" t="n">
        <v>22.75</v>
      </c>
      <c r="O2088" s="0" t="n">
        <v>477.2</v>
      </c>
      <c r="Q2088" s="0" t="n">
        <v>2035</v>
      </c>
      <c r="R2088" s="0" t="n">
        <v>8</v>
      </c>
      <c r="W2088" s="0" t="n">
        <v>2033</v>
      </c>
      <c r="X2088" s="0" t="n">
        <v>1048.26</v>
      </c>
    </row>
    <row r="2089" customFormat="false" ht="15" hidden="false" customHeight="false" outlineLevel="0" collapsed="false">
      <c r="A2089" s="0" t="n">
        <v>2032</v>
      </c>
      <c r="B2089" s="0" t="n">
        <v>180.085085</v>
      </c>
      <c r="C2089" s="0" t="n">
        <v>3781.786785</v>
      </c>
      <c r="E2089" s="0" t="n">
        <v>2033</v>
      </c>
      <c r="F2089" s="0" t="n">
        <v>36.035802</v>
      </c>
      <c r="G2089" s="0" t="n">
        <v>756.08715</v>
      </c>
      <c r="I2089" s="0" t="n">
        <v>2028</v>
      </c>
      <c r="J2089" s="0" t="n">
        <v>11.27</v>
      </c>
      <c r="K2089" s="0" t="n">
        <v>236.95</v>
      </c>
      <c r="M2089" s="0" t="n">
        <v>2032</v>
      </c>
      <c r="N2089" s="0" t="n">
        <v>18.2</v>
      </c>
      <c r="O2089" s="0" t="n">
        <v>381.76</v>
      </c>
      <c r="Q2089" s="0" t="n">
        <v>2035</v>
      </c>
      <c r="R2089" s="0" t="n">
        <v>224</v>
      </c>
      <c r="W2089" s="0" t="n">
        <v>2033</v>
      </c>
      <c r="X2089" s="0" t="n">
        <v>1537.448</v>
      </c>
    </row>
    <row r="2090" customFormat="false" ht="15" hidden="false" customHeight="false" outlineLevel="0" collapsed="false">
      <c r="A2090" s="0" t="n">
        <v>2032</v>
      </c>
      <c r="B2090" s="0" t="n">
        <v>45.42278362</v>
      </c>
      <c r="C2090" s="0" t="n">
        <v>953.878456</v>
      </c>
      <c r="E2090" s="0" t="n">
        <v>2033</v>
      </c>
      <c r="F2090" s="0" t="n">
        <v>32.951226</v>
      </c>
      <c r="G2090" s="0" t="n">
        <v>691.36795</v>
      </c>
      <c r="I2090" s="0" t="n">
        <v>2028</v>
      </c>
      <c r="J2090" s="0" t="n">
        <v>6.44</v>
      </c>
      <c r="K2090" s="0" t="n">
        <v>135.4</v>
      </c>
      <c r="M2090" s="0" t="n">
        <v>2032</v>
      </c>
      <c r="N2090" s="0" t="n">
        <v>9.1</v>
      </c>
      <c r="O2090" s="0" t="n">
        <v>190.88</v>
      </c>
      <c r="Q2090" s="0" t="n">
        <v>2035</v>
      </c>
      <c r="R2090" s="0" t="n">
        <v>213</v>
      </c>
      <c r="W2090" s="0" t="n">
        <v>2033</v>
      </c>
      <c r="X2090" s="0" t="n">
        <v>1188.028</v>
      </c>
    </row>
    <row r="2091" customFormat="false" ht="15" hidden="false" customHeight="false" outlineLevel="0" collapsed="false">
      <c r="A2091" s="0" t="n">
        <v>2032</v>
      </c>
      <c r="B2091" s="0" t="n">
        <v>40.50601991</v>
      </c>
      <c r="C2091" s="0" t="n">
        <v>850.6264182</v>
      </c>
      <c r="E2091" s="0" t="n">
        <v>2033</v>
      </c>
      <c r="F2091" s="0" t="n">
        <v>565.3439</v>
      </c>
      <c r="G2091" s="0" t="n">
        <v>11870.1661</v>
      </c>
      <c r="I2091" s="0" t="n">
        <v>2028</v>
      </c>
      <c r="J2091" s="0" t="n">
        <v>6.44</v>
      </c>
      <c r="K2091" s="0" t="n">
        <v>135.4</v>
      </c>
      <c r="M2091" s="0" t="n">
        <v>2032</v>
      </c>
      <c r="N2091" s="0" t="n">
        <v>67.64</v>
      </c>
      <c r="O2091" s="0" t="n">
        <v>1418.16</v>
      </c>
      <c r="Q2091" s="0" t="n">
        <v>2035</v>
      </c>
      <c r="R2091" s="0" t="n">
        <v>101</v>
      </c>
      <c r="W2091" s="0" t="n">
        <v>2033</v>
      </c>
      <c r="X2091" s="0" t="n">
        <v>134646.64</v>
      </c>
    </row>
    <row r="2092" customFormat="false" ht="15" hidden="false" customHeight="false" outlineLevel="0" collapsed="false">
      <c r="A2092" s="0" t="n">
        <v>2032</v>
      </c>
      <c r="B2092" s="0" t="n">
        <v>28.16953628</v>
      </c>
      <c r="C2092" s="0" t="n">
        <v>591.5602619</v>
      </c>
      <c r="E2092" s="0" t="n">
        <v>2033</v>
      </c>
      <c r="F2092" s="0" t="n">
        <v>151.8011</v>
      </c>
      <c r="G2092" s="0" t="n">
        <v>3187.271096</v>
      </c>
      <c r="I2092" s="0" t="n">
        <v>2028</v>
      </c>
      <c r="J2092" s="0" t="n">
        <v>3.22</v>
      </c>
      <c r="K2092" s="0" t="n">
        <v>67.7</v>
      </c>
      <c r="M2092" s="0" t="n">
        <v>2032</v>
      </c>
      <c r="N2092" s="0" t="n">
        <v>44.5</v>
      </c>
      <c r="O2092" s="0" t="n">
        <v>933</v>
      </c>
      <c r="Q2092" s="0" t="n">
        <v>2035</v>
      </c>
      <c r="R2092" s="0" t="n">
        <v>22</v>
      </c>
      <c r="W2092" s="0" t="n">
        <v>2033</v>
      </c>
      <c r="X2092" s="0" t="n">
        <v>33661.66</v>
      </c>
    </row>
    <row r="2093" customFormat="false" ht="15" hidden="false" customHeight="false" outlineLevel="0" collapsed="false">
      <c r="A2093" s="0" t="n">
        <v>2032</v>
      </c>
      <c r="B2093" s="0" t="n">
        <v>20.95344285</v>
      </c>
      <c r="C2093" s="0" t="n">
        <v>440.0222998</v>
      </c>
      <c r="E2093" s="0" t="n">
        <v>2033</v>
      </c>
      <c r="F2093" s="0" t="n">
        <v>60.7607</v>
      </c>
      <c r="G2093" s="0" t="n">
        <v>1275.753752</v>
      </c>
      <c r="I2093" s="0" t="n">
        <v>2028</v>
      </c>
      <c r="J2093" s="0" t="n">
        <v>3.22</v>
      </c>
      <c r="K2093" s="0" t="n">
        <v>67.7</v>
      </c>
      <c r="M2093" s="0" t="n">
        <v>2032</v>
      </c>
      <c r="N2093" s="0" t="n">
        <v>17.8</v>
      </c>
      <c r="O2093" s="0" t="n">
        <v>373.2</v>
      </c>
      <c r="Q2093" s="0" t="n">
        <v>2035</v>
      </c>
      <c r="R2093" s="0" t="n">
        <v>20</v>
      </c>
      <c r="W2093" s="0" t="n">
        <v>2033</v>
      </c>
      <c r="X2093" s="0" t="n">
        <v>10424.256</v>
      </c>
    </row>
    <row r="2094" customFormat="false" ht="15" hidden="false" customHeight="false" outlineLevel="0" collapsed="false">
      <c r="A2094" s="0" t="n">
        <v>2032</v>
      </c>
      <c r="B2094" s="0" t="n">
        <v>9.312641266</v>
      </c>
      <c r="C2094" s="0" t="n">
        <v>195.5654666</v>
      </c>
      <c r="E2094" s="0" t="n">
        <v>2033</v>
      </c>
      <c r="F2094" s="0" t="n">
        <v>8.5349</v>
      </c>
      <c r="G2094" s="0" t="n">
        <v>179.201864</v>
      </c>
      <c r="I2094" s="0" t="n">
        <v>2028</v>
      </c>
      <c r="J2094" s="0" t="n">
        <v>6.44</v>
      </c>
      <c r="K2094" s="0" t="n">
        <v>135.4</v>
      </c>
      <c r="M2094" s="0" t="n">
        <v>2032</v>
      </c>
      <c r="N2094" s="0" t="n">
        <v>17.8</v>
      </c>
      <c r="O2094" s="0" t="n">
        <v>373.2</v>
      </c>
      <c r="Q2094" s="0" t="n">
        <v>2035</v>
      </c>
      <c r="R2094" s="0" t="n">
        <v>20</v>
      </c>
      <c r="W2094" s="0" t="n">
        <v>2033</v>
      </c>
      <c r="X2094" s="0" t="n">
        <v>18459.62</v>
      </c>
    </row>
    <row r="2095" customFormat="false" ht="15" hidden="false" customHeight="false" outlineLevel="0" collapsed="false">
      <c r="A2095" s="0" t="n">
        <v>2032</v>
      </c>
      <c r="B2095" s="0" t="n">
        <v>34.3969789</v>
      </c>
      <c r="C2095" s="0" t="n">
        <v>722.336557</v>
      </c>
      <c r="E2095" s="0" t="n">
        <v>2033</v>
      </c>
      <c r="F2095" s="0" t="n">
        <v>204.0269</v>
      </c>
      <c r="G2095" s="0" t="n">
        <v>4283.822984</v>
      </c>
      <c r="I2095" s="0" t="n">
        <v>2028</v>
      </c>
      <c r="J2095" s="0" t="n">
        <v>11.27</v>
      </c>
      <c r="K2095" s="0" t="n">
        <v>236.95</v>
      </c>
      <c r="M2095" s="0" t="n">
        <v>2032</v>
      </c>
      <c r="N2095" s="0" t="n">
        <v>10.68</v>
      </c>
      <c r="O2095" s="0" t="n">
        <v>223.92</v>
      </c>
      <c r="Q2095" s="0" t="n">
        <v>2035</v>
      </c>
      <c r="R2095" s="0" t="n">
        <v>128</v>
      </c>
      <c r="W2095" s="0" t="n">
        <v>2033</v>
      </c>
      <c r="X2095" s="0" t="n">
        <v>8252.536</v>
      </c>
    </row>
    <row r="2096" customFormat="false" ht="15" hidden="false" customHeight="false" outlineLevel="0" collapsed="false">
      <c r="A2096" s="0" t="n">
        <v>2032</v>
      </c>
      <c r="B2096" s="0" t="n">
        <v>10.76745553</v>
      </c>
      <c r="C2096" s="0" t="n">
        <v>226.1165662</v>
      </c>
      <c r="E2096" s="0" t="n">
        <v>2033</v>
      </c>
      <c r="F2096" s="0" t="n">
        <v>9.5513</v>
      </c>
      <c r="G2096" s="0" t="n">
        <v>200.542568</v>
      </c>
      <c r="I2096" s="0" t="n">
        <v>2028</v>
      </c>
      <c r="J2096" s="0" t="n">
        <v>4.83</v>
      </c>
      <c r="K2096" s="0" t="n">
        <v>101.55</v>
      </c>
      <c r="M2096" s="0" t="n">
        <v>2032</v>
      </c>
      <c r="N2096" s="0" t="n">
        <v>8.9</v>
      </c>
      <c r="O2096" s="0" t="n">
        <v>186.6</v>
      </c>
      <c r="Q2096" s="0" t="n">
        <v>2035</v>
      </c>
      <c r="R2096" s="0" t="n">
        <v>121</v>
      </c>
      <c r="W2096" s="0" t="n">
        <v>2033</v>
      </c>
      <c r="X2096" s="0" t="n">
        <v>3257.58</v>
      </c>
    </row>
    <row r="2097" customFormat="false" ht="15" hidden="false" customHeight="false" outlineLevel="0" collapsed="false">
      <c r="A2097" s="0" t="n">
        <v>2032</v>
      </c>
      <c r="B2097" s="0" t="n">
        <v>24.07537256</v>
      </c>
      <c r="C2097" s="0" t="n">
        <v>505.5828238</v>
      </c>
      <c r="E2097" s="0" t="n">
        <v>2033</v>
      </c>
      <c r="F2097" s="0" t="n">
        <v>52.2258</v>
      </c>
      <c r="G2097" s="0" t="n">
        <v>1096.551888</v>
      </c>
      <c r="I2097" s="0" t="n">
        <v>2028</v>
      </c>
      <c r="J2097" s="0" t="n">
        <v>4.83</v>
      </c>
      <c r="K2097" s="0" t="n">
        <v>101.55</v>
      </c>
      <c r="M2097" s="0" t="n">
        <v>2032</v>
      </c>
      <c r="N2097" s="0" t="n">
        <v>7.12</v>
      </c>
      <c r="O2097" s="0" t="n">
        <v>149.28</v>
      </c>
      <c r="Q2097" s="0" t="n">
        <v>2035</v>
      </c>
      <c r="R2097" s="0" t="n">
        <v>57</v>
      </c>
      <c r="W2097" s="0" t="n">
        <v>2033</v>
      </c>
      <c r="X2097" s="0" t="n">
        <v>4777.784</v>
      </c>
    </row>
    <row r="2098" customFormat="false" ht="15" hidden="false" customHeight="false" outlineLevel="0" collapsed="false">
      <c r="A2098" s="0" t="n">
        <v>2032</v>
      </c>
      <c r="B2098" s="0" t="n">
        <v>254.5102902</v>
      </c>
      <c r="C2098" s="0" t="n">
        <v>5344.716095</v>
      </c>
      <c r="E2098" s="0" t="n">
        <v>2033</v>
      </c>
      <c r="F2098" s="0" t="n">
        <v>47.7554</v>
      </c>
      <c r="G2098" s="0" t="n">
        <v>1002.689744</v>
      </c>
      <c r="I2098" s="0" t="n">
        <v>2028</v>
      </c>
      <c r="J2098" s="0" t="n">
        <v>7.28</v>
      </c>
      <c r="K2098" s="0" t="n">
        <v>157.04</v>
      </c>
      <c r="M2098" s="0" t="n">
        <v>2032</v>
      </c>
      <c r="N2098" s="0" t="n">
        <v>3.56</v>
      </c>
      <c r="O2098" s="0" t="n">
        <v>74.64</v>
      </c>
      <c r="Q2098" s="0" t="n">
        <v>2035</v>
      </c>
      <c r="R2098" s="0" t="n">
        <v>13</v>
      </c>
      <c r="W2098" s="0" t="n">
        <v>2033</v>
      </c>
      <c r="X2098" s="0" t="n">
        <v>3691.924</v>
      </c>
    </row>
    <row r="2099" customFormat="false" ht="15" hidden="false" customHeight="false" outlineLevel="0" collapsed="false">
      <c r="A2099" s="0" t="n">
        <v>2032</v>
      </c>
      <c r="B2099" s="0" t="n">
        <v>64.19502116</v>
      </c>
      <c r="C2099" s="0" t="n">
        <v>1348.095444</v>
      </c>
      <c r="E2099" s="0" t="n">
        <v>2033</v>
      </c>
      <c r="F2099" s="0" t="n">
        <v>361.820096</v>
      </c>
      <c r="G2099" s="0" t="n">
        <v>7594.624373</v>
      </c>
      <c r="I2099" s="0" t="n">
        <v>2028</v>
      </c>
      <c r="J2099" s="0" t="n">
        <v>1.12</v>
      </c>
      <c r="K2099" s="0" t="n">
        <v>24.16</v>
      </c>
      <c r="M2099" s="0" t="n">
        <v>2032</v>
      </c>
      <c r="N2099" s="0" t="n">
        <v>97.66</v>
      </c>
      <c r="O2099" s="0" t="n">
        <v>2046.3</v>
      </c>
      <c r="Q2099" s="0" t="n">
        <v>2035</v>
      </c>
      <c r="R2099" s="0" t="n">
        <v>13</v>
      </c>
      <c r="W2099" s="0" t="n">
        <v>2033</v>
      </c>
      <c r="X2099" s="0" t="n">
        <v>68666.24</v>
      </c>
    </row>
    <row r="2100" customFormat="false" ht="15" hidden="false" customHeight="false" outlineLevel="0" collapsed="false">
      <c r="A2100" s="0" t="n">
        <v>2032</v>
      </c>
      <c r="B2100" s="0" t="n">
        <v>57.24626715</v>
      </c>
      <c r="C2100" s="0" t="n">
        <v>1202.17161</v>
      </c>
      <c r="E2100" s="0" t="n">
        <v>2033</v>
      </c>
      <c r="F2100" s="0" t="n">
        <v>97.152704</v>
      </c>
      <c r="G2100" s="0" t="n">
        <v>2039.240777</v>
      </c>
      <c r="I2100" s="0" t="n">
        <v>2028</v>
      </c>
      <c r="J2100" s="0" t="n">
        <v>0.84</v>
      </c>
      <c r="K2100" s="0" t="n">
        <v>18.12</v>
      </c>
      <c r="M2100" s="0" t="n">
        <v>2032</v>
      </c>
      <c r="N2100" s="0" t="n">
        <v>64.25</v>
      </c>
      <c r="O2100" s="0" t="n">
        <v>1346.25</v>
      </c>
      <c r="Q2100" s="0" t="n">
        <v>2035</v>
      </c>
      <c r="R2100" s="0" t="n">
        <v>13</v>
      </c>
      <c r="W2100" s="0" t="n">
        <v>2033</v>
      </c>
      <c r="X2100" s="0" t="n">
        <v>17166.56</v>
      </c>
    </row>
    <row r="2101" customFormat="false" ht="15" hidden="false" customHeight="false" outlineLevel="0" collapsed="false">
      <c r="A2101" s="0" t="n">
        <v>2032</v>
      </c>
      <c r="B2101" s="0" t="n">
        <v>39.81138613</v>
      </c>
      <c r="C2101" s="0" t="n">
        <v>836.0391088</v>
      </c>
      <c r="E2101" s="0" t="n">
        <v>2033</v>
      </c>
      <c r="F2101" s="0" t="n">
        <v>38.886848</v>
      </c>
      <c r="G2101" s="0" t="n">
        <v>816.237149</v>
      </c>
      <c r="I2101" s="0" t="n">
        <v>2028</v>
      </c>
      <c r="J2101" s="0" t="n">
        <v>1.4</v>
      </c>
      <c r="K2101" s="0" t="n">
        <v>30.2</v>
      </c>
      <c r="M2101" s="0" t="n">
        <v>2032</v>
      </c>
      <c r="N2101" s="0" t="n">
        <v>25.7</v>
      </c>
      <c r="O2101" s="0" t="n">
        <v>538.5</v>
      </c>
      <c r="Q2101" s="0" t="n">
        <v>2035</v>
      </c>
      <c r="R2101" s="0" t="n">
        <v>87</v>
      </c>
      <c r="W2101" s="0" t="n">
        <v>2033</v>
      </c>
      <c r="X2101" s="0" t="n">
        <v>5316.096</v>
      </c>
    </row>
    <row r="2102" customFormat="false" ht="15" hidden="false" customHeight="false" outlineLevel="0" collapsed="false">
      <c r="A2102" s="0" t="n">
        <v>2032</v>
      </c>
      <c r="B2102" s="0" t="n">
        <v>29.61303998</v>
      </c>
      <c r="C2102" s="0" t="n">
        <v>621.8738395</v>
      </c>
      <c r="E2102" s="0" t="n">
        <v>2033</v>
      </c>
      <c r="F2102" s="0" t="n">
        <v>5.462336</v>
      </c>
      <c r="G2102" s="0" t="n">
        <v>114.654743</v>
      </c>
      <c r="I2102" s="0" t="n">
        <v>2028</v>
      </c>
      <c r="J2102" s="0" t="n">
        <v>0.28</v>
      </c>
      <c r="K2102" s="0" t="n">
        <v>6.04</v>
      </c>
      <c r="M2102" s="0" t="n">
        <v>2032</v>
      </c>
      <c r="N2102" s="0" t="n">
        <v>25.7</v>
      </c>
      <c r="O2102" s="0" t="n">
        <v>538.5</v>
      </c>
      <c r="Q2102" s="0" t="n">
        <v>2035</v>
      </c>
      <c r="R2102" s="0" t="n">
        <v>83</v>
      </c>
      <c r="W2102" s="0" t="n">
        <v>2033</v>
      </c>
      <c r="X2102" s="0" t="n">
        <v>9413.92</v>
      </c>
    </row>
    <row r="2103" customFormat="false" ht="15" hidden="false" customHeight="false" outlineLevel="0" collapsed="false">
      <c r="A2103" s="0" t="n">
        <v>2032</v>
      </c>
      <c r="B2103" s="0" t="n">
        <v>13.1613511</v>
      </c>
      <c r="C2103" s="0" t="n">
        <v>276.3883731</v>
      </c>
      <c r="E2103" s="0" t="n">
        <v>2033</v>
      </c>
      <c r="F2103" s="0" t="n">
        <v>130.577216</v>
      </c>
      <c r="G2103" s="0" t="n">
        <v>2740.823183</v>
      </c>
      <c r="I2103" s="0" t="n">
        <v>2028</v>
      </c>
      <c r="J2103" s="0" t="n">
        <v>0.28</v>
      </c>
      <c r="K2103" s="0" t="n">
        <v>6.04</v>
      </c>
      <c r="M2103" s="0" t="n">
        <v>2032</v>
      </c>
      <c r="N2103" s="0" t="n">
        <v>15.42</v>
      </c>
      <c r="O2103" s="0" t="n">
        <v>323.1</v>
      </c>
      <c r="Q2103" s="0" t="n">
        <v>2035</v>
      </c>
      <c r="R2103" s="0" t="n">
        <v>39</v>
      </c>
      <c r="W2103" s="0" t="n">
        <v>2033</v>
      </c>
      <c r="X2103" s="0" t="n">
        <v>4208.576</v>
      </c>
    </row>
    <row r="2104" customFormat="false" ht="15" hidden="false" customHeight="false" outlineLevel="0" collapsed="false">
      <c r="A2104" s="0" t="n">
        <v>2032</v>
      </c>
      <c r="B2104" s="0" t="n">
        <v>48.61249383</v>
      </c>
      <c r="C2104" s="0" t="n">
        <v>1020.862371</v>
      </c>
      <c r="E2104" s="0" t="n">
        <v>2033</v>
      </c>
      <c r="F2104" s="0" t="n">
        <v>6.112832</v>
      </c>
      <c r="G2104" s="0" t="n">
        <v>128.308691</v>
      </c>
      <c r="I2104" s="0" t="n">
        <v>2028</v>
      </c>
      <c r="J2104" s="0" t="n">
        <v>0</v>
      </c>
      <c r="K2104" s="0" t="n">
        <v>0</v>
      </c>
      <c r="M2104" s="0" t="n">
        <v>2032</v>
      </c>
      <c r="N2104" s="0" t="n">
        <v>12.85</v>
      </c>
      <c r="O2104" s="0" t="n">
        <v>269.25</v>
      </c>
      <c r="Q2104" s="0" t="n">
        <v>2035</v>
      </c>
      <c r="R2104" s="0" t="n">
        <v>9</v>
      </c>
      <c r="W2104" s="0" t="n">
        <v>2033</v>
      </c>
      <c r="X2104" s="0" t="n">
        <v>1661.28</v>
      </c>
    </row>
    <row r="2105" customFormat="false" ht="15" hidden="false" customHeight="false" outlineLevel="0" collapsed="false">
      <c r="A2105" s="0" t="n">
        <v>2032</v>
      </c>
      <c r="B2105" s="0" t="n">
        <v>15.21740811</v>
      </c>
      <c r="C2105" s="0" t="n">
        <v>319.5655703</v>
      </c>
      <c r="E2105" s="0" t="n">
        <v>2033</v>
      </c>
      <c r="F2105" s="0" t="n">
        <v>33.424512</v>
      </c>
      <c r="G2105" s="0" t="n">
        <v>701.582406</v>
      </c>
      <c r="I2105" s="0" t="n">
        <v>2028</v>
      </c>
      <c r="J2105" s="0" t="n">
        <v>0.56</v>
      </c>
      <c r="K2105" s="0" t="n">
        <v>12.08</v>
      </c>
      <c r="M2105" s="0" t="n">
        <v>2032</v>
      </c>
      <c r="N2105" s="0" t="n">
        <v>10.28</v>
      </c>
      <c r="O2105" s="0" t="n">
        <v>215.4</v>
      </c>
      <c r="Q2105" s="0" t="n">
        <v>2035</v>
      </c>
      <c r="R2105" s="0" t="n">
        <v>8</v>
      </c>
      <c r="W2105" s="0" t="n">
        <v>2033</v>
      </c>
      <c r="X2105" s="0" t="n">
        <v>2436.544</v>
      </c>
    </row>
    <row r="2106" customFormat="false" ht="15" hidden="false" customHeight="false" outlineLevel="0" collapsed="false">
      <c r="A2106" s="0" t="n">
        <v>2032</v>
      </c>
      <c r="B2106" s="0" t="n">
        <v>34.02519458</v>
      </c>
      <c r="C2106" s="0" t="n">
        <v>714.5290863</v>
      </c>
      <c r="E2106" s="0" t="n">
        <v>2033</v>
      </c>
      <c r="F2106" s="0" t="n">
        <v>30.563456</v>
      </c>
      <c r="G2106" s="0" t="n">
        <v>641.528678</v>
      </c>
      <c r="I2106" s="0" t="n">
        <v>2028</v>
      </c>
      <c r="J2106" s="0" t="n">
        <v>0.98</v>
      </c>
      <c r="K2106" s="0" t="n">
        <v>21.14</v>
      </c>
      <c r="M2106" s="0" t="n">
        <v>2032</v>
      </c>
      <c r="N2106" s="0" t="n">
        <v>5.14</v>
      </c>
      <c r="O2106" s="0" t="n">
        <v>107.7</v>
      </c>
      <c r="Q2106" s="0" t="n">
        <v>2035</v>
      </c>
      <c r="R2106" s="0" t="n">
        <v>8</v>
      </c>
      <c r="W2106" s="0" t="n">
        <v>2033</v>
      </c>
      <c r="X2106" s="0" t="n">
        <v>1882.784</v>
      </c>
    </row>
    <row r="2107" customFormat="false" ht="15" hidden="false" customHeight="false" outlineLevel="0" collapsed="false">
      <c r="A2107" s="0" t="n">
        <v>2032</v>
      </c>
      <c r="B2107" s="0" t="n">
        <v>319.9387136</v>
      </c>
      <c r="C2107" s="0" t="n">
        <v>6718.712986</v>
      </c>
      <c r="E2107" s="0" t="n">
        <v>2033</v>
      </c>
      <c r="F2107" s="0" t="n">
        <v>2006.970845</v>
      </c>
      <c r="G2107" s="0" t="n">
        <v>42145.8738</v>
      </c>
      <c r="I2107" s="0" t="n">
        <v>2028</v>
      </c>
      <c r="J2107" s="0" t="n">
        <v>0.28</v>
      </c>
      <c r="K2107" s="0" t="n">
        <v>6.04</v>
      </c>
      <c r="M2107" s="0" t="n">
        <v>2032</v>
      </c>
      <c r="N2107" s="0" t="n">
        <v>317.7</v>
      </c>
      <c r="O2107" s="0" t="n">
        <v>6658.2</v>
      </c>
      <c r="Q2107" s="0" t="n">
        <v>2035</v>
      </c>
      <c r="R2107" s="0" t="n">
        <v>888</v>
      </c>
      <c r="W2107" s="0" t="n">
        <v>2033</v>
      </c>
      <c r="X2107" s="0" t="n">
        <v>9037.12</v>
      </c>
    </row>
    <row r="2108" customFormat="false" ht="15" hidden="false" customHeight="false" outlineLevel="0" collapsed="false">
      <c r="A2108" s="0" t="n">
        <v>2032</v>
      </c>
      <c r="B2108" s="0" t="n">
        <v>80.69800429</v>
      </c>
      <c r="C2108" s="0" t="n">
        <v>1694.65809</v>
      </c>
      <c r="E2108" s="0" t="n">
        <v>2033</v>
      </c>
      <c r="F2108" s="0" t="n">
        <v>538.893905</v>
      </c>
      <c r="G2108" s="0" t="n">
        <v>11316.634</v>
      </c>
      <c r="I2108" s="0" t="n">
        <v>2028</v>
      </c>
      <c r="J2108" s="0" t="n">
        <v>0.98</v>
      </c>
      <c r="K2108" s="0" t="n">
        <v>21.14</v>
      </c>
      <c r="M2108" s="0" t="n">
        <v>2032</v>
      </c>
      <c r="N2108" s="0" t="n">
        <v>35.3</v>
      </c>
      <c r="O2108" s="0" t="n">
        <v>739.8</v>
      </c>
      <c r="Q2108" s="0" t="n">
        <v>2035</v>
      </c>
      <c r="R2108" s="0" t="n">
        <v>843</v>
      </c>
      <c r="W2108" s="0" t="n">
        <v>2033</v>
      </c>
      <c r="X2108" s="0" t="n">
        <v>2259.28</v>
      </c>
    </row>
    <row r="2109" customFormat="false" ht="15" hidden="false" customHeight="false" outlineLevel="0" collapsed="false">
      <c r="A2109" s="0" t="n">
        <v>2032</v>
      </c>
      <c r="B2109" s="0" t="n">
        <v>71.96289413</v>
      </c>
      <c r="C2109" s="0" t="n">
        <v>1511.220777</v>
      </c>
      <c r="E2109" s="0" t="n">
        <v>2033</v>
      </c>
      <c r="F2109" s="0" t="n">
        <v>215.700485</v>
      </c>
      <c r="G2109" s="0" t="n">
        <v>4529.654948</v>
      </c>
      <c r="I2109" s="0" t="n">
        <v>2028</v>
      </c>
      <c r="J2109" s="0" t="n">
        <v>24</v>
      </c>
      <c r="K2109" s="0" t="n">
        <v>508.32</v>
      </c>
      <c r="M2109" s="0" t="n">
        <v>2032</v>
      </c>
      <c r="N2109" s="0" t="n">
        <v>444.6</v>
      </c>
      <c r="O2109" s="0" t="n">
        <v>9319.5</v>
      </c>
      <c r="Q2109" s="0" t="n">
        <v>2035</v>
      </c>
      <c r="R2109" s="0" t="n">
        <v>399</v>
      </c>
      <c r="W2109" s="0" t="n">
        <v>2033</v>
      </c>
      <c r="X2109" s="0" t="n">
        <v>699.648</v>
      </c>
    </row>
    <row r="2110" customFormat="false" ht="15" hidden="false" customHeight="false" outlineLevel="0" collapsed="false">
      <c r="A2110" s="0" t="n">
        <v>2032</v>
      </c>
      <c r="B2110" s="0" t="n">
        <v>50.04592803</v>
      </c>
      <c r="C2110" s="0" t="n">
        <v>1050.964489</v>
      </c>
      <c r="E2110" s="0" t="n">
        <v>2033</v>
      </c>
      <c r="F2110" s="0" t="n">
        <v>30.298895</v>
      </c>
      <c r="G2110" s="0" t="n">
        <v>636.269036</v>
      </c>
      <c r="I2110" s="0" t="n">
        <v>2028</v>
      </c>
      <c r="J2110" s="0" t="n">
        <v>8</v>
      </c>
      <c r="K2110" s="0" t="n">
        <v>169.44</v>
      </c>
      <c r="M2110" s="0" t="n">
        <v>2032</v>
      </c>
      <c r="N2110" s="0" t="n">
        <v>49.4</v>
      </c>
      <c r="O2110" s="0" t="n">
        <v>1035.5</v>
      </c>
      <c r="Q2110" s="0" t="n">
        <v>2035</v>
      </c>
      <c r="R2110" s="0" t="n">
        <v>89</v>
      </c>
      <c r="W2110" s="0" t="n">
        <v>2033</v>
      </c>
      <c r="X2110" s="0" t="n">
        <v>1238.96</v>
      </c>
    </row>
    <row r="2111" customFormat="false" ht="15" hidden="false" customHeight="false" outlineLevel="0" collapsed="false">
      <c r="A2111" s="0" t="n">
        <v>2032</v>
      </c>
      <c r="B2111" s="0" t="n">
        <v>37.2258344</v>
      </c>
      <c r="C2111" s="0" t="n">
        <v>781.7425224</v>
      </c>
      <c r="E2111" s="0" t="n">
        <v>2033</v>
      </c>
      <c r="F2111" s="0" t="n">
        <v>724.295495</v>
      </c>
      <c r="G2111" s="0" t="n">
        <v>15210.01992</v>
      </c>
      <c r="I2111" s="0" t="n">
        <v>2028</v>
      </c>
      <c r="J2111" s="0" t="n">
        <v>3.5</v>
      </c>
      <c r="K2111" s="0" t="n">
        <v>74.13</v>
      </c>
      <c r="M2111" s="0" t="n">
        <v>2032</v>
      </c>
      <c r="N2111" s="0" t="n">
        <v>380.7</v>
      </c>
      <c r="O2111" s="0" t="n">
        <v>7988.4</v>
      </c>
      <c r="Q2111" s="0" t="n">
        <v>2035</v>
      </c>
      <c r="R2111" s="0" t="n">
        <v>86</v>
      </c>
      <c r="W2111" s="0" t="n">
        <v>2033</v>
      </c>
      <c r="X2111" s="0" t="n">
        <v>553.888</v>
      </c>
    </row>
    <row r="2112" customFormat="false" ht="15" hidden="false" customHeight="false" outlineLevel="0" collapsed="false">
      <c r="A2112" s="0" t="n">
        <v>2032</v>
      </c>
      <c r="B2112" s="0" t="n">
        <v>16.54481529</v>
      </c>
      <c r="C2112" s="0" t="n">
        <v>347.441121</v>
      </c>
      <c r="E2112" s="0" t="n">
        <v>2033</v>
      </c>
      <c r="F2112" s="0" t="n">
        <v>33.907115</v>
      </c>
      <c r="G2112" s="0" t="n">
        <v>712.040732</v>
      </c>
      <c r="I2112" s="0" t="n">
        <v>2028</v>
      </c>
      <c r="J2112" s="0" t="n">
        <v>2</v>
      </c>
      <c r="K2112" s="0" t="n">
        <v>42.36</v>
      </c>
      <c r="M2112" s="0" t="n">
        <v>2032</v>
      </c>
      <c r="N2112" s="0" t="n">
        <v>42.3</v>
      </c>
      <c r="O2112" s="0" t="n">
        <v>887.6</v>
      </c>
      <c r="Q2112" s="0" t="n">
        <v>2035</v>
      </c>
      <c r="R2112" s="0" t="n">
        <v>86</v>
      </c>
      <c r="W2112" s="0" t="n">
        <v>2033</v>
      </c>
      <c r="X2112" s="0" t="n">
        <v>218.64</v>
      </c>
    </row>
    <row r="2113" customFormat="false" ht="15" hidden="false" customHeight="false" outlineLevel="0" collapsed="false">
      <c r="A2113" s="0" t="n">
        <v>2032</v>
      </c>
      <c r="B2113" s="0" t="n">
        <v>61.10958708</v>
      </c>
      <c r="C2113" s="0" t="n">
        <v>1283.301329</v>
      </c>
      <c r="E2113" s="0" t="n">
        <v>2033</v>
      </c>
      <c r="F2113" s="0" t="n">
        <v>185.40159</v>
      </c>
      <c r="G2113" s="0" t="n">
        <v>3893.385912</v>
      </c>
      <c r="I2113" s="0" t="n">
        <v>2028</v>
      </c>
      <c r="J2113" s="0" t="n">
        <v>2</v>
      </c>
      <c r="K2113" s="0" t="n">
        <v>42.36</v>
      </c>
      <c r="M2113" s="0" t="n">
        <v>2032</v>
      </c>
      <c r="N2113" s="0" t="n">
        <v>126.9</v>
      </c>
      <c r="O2113" s="0" t="n">
        <v>2662.2</v>
      </c>
      <c r="Q2113" s="0" t="n">
        <v>2035</v>
      </c>
      <c r="R2113" s="0" t="n">
        <v>88</v>
      </c>
      <c r="W2113" s="0" t="n">
        <v>2033</v>
      </c>
      <c r="X2113" s="0" t="n">
        <v>320.672</v>
      </c>
    </row>
    <row r="2114" customFormat="false" ht="15" hidden="false" customHeight="false" outlineLevel="0" collapsed="false">
      <c r="A2114" s="0" t="n">
        <v>2032</v>
      </c>
      <c r="B2114" s="0" t="n">
        <v>19.12943469</v>
      </c>
      <c r="C2114" s="0" t="n">
        <v>401.7181286</v>
      </c>
      <c r="E2114" s="0" t="n">
        <v>2033</v>
      </c>
      <c r="F2114" s="0" t="n">
        <v>169.53167</v>
      </c>
      <c r="G2114" s="0" t="n">
        <v>3560.121656</v>
      </c>
      <c r="I2114" s="0" t="n">
        <v>2028</v>
      </c>
      <c r="J2114" s="0" t="n">
        <v>1</v>
      </c>
      <c r="K2114" s="0" t="n">
        <v>21.18</v>
      </c>
      <c r="M2114" s="0" t="n">
        <v>2032</v>
      </c>
      <c r="N2114" s="0" t="n">
        <v>14.1</v>
      </c>
      <c r="O2114" s="0" t="n">
        <v>295.8</v>
      </c>
      <c r="Q2114" s="0" t="n">
        <v>2035</v>
      </c>
      <c r="R2114" s="0" t="n">
        <v>83</v>
      </c>
      <c r="W2114" s="0" t="n">
        <v>2033</v>
      </c>
      <c r="X2114" s="0" t="n">
        <v>247.792</v>
      </c>
    </row>
    <row r="2115" customFormat="false" ht="15" hidden="false" customHeight="false" outlineLevel="0" collapsed="false">
      <c r="A2115" s="0" t="n">
        <v>2032</v>
      </c>
      <c r="B2115" s="0" t="n">
        <v>42.77224696</v>
      </c>
      <c r="C2115" s="0" t="n">
        <v>898.2171861</v>
      </c>
      <c r="E2115" s="0" t="n">
        <v>2033</v>
      </c>
      <c r="F2115" s="0" t="n">
        <v>243.611826</v>
      </c>
      <c r="G2115" s="0" t="n">
        <v>5106.597264</v>
      </c>
      <c r="I2115" s="0" t="n">
        <v>2028</v>
      </c>
      <c r="J2115" s="0" t="n">
        <v>1</v>
      </c>
      <c r="K2115" s="0" t="n">
        <v>21.18</v>
      </c>
      <c r="M2115" s="0" t="n">
        <v>2032</v>
      </c>
      <c r="N2115" s="0" t="n">
        <v>1071</v>
      </c>
      <c r="O2115" s="0" t="n">
        <v>22483.8</v>
      </c>
      <c r="Q2115" s="0" t="n">
        <v>2035</v>
      </c>
      <c r="R2115" s="0" t="n">
        <v>39</v>
      </c>
      <c r="W2115" s="0" t="n">
        <v>2033</v>
      </c>
      <c r="X2115" s="0" t="n">
        <v>70481.6</v>
      </c>
    </row>
    <row r="2116" customFormat="false" ht="15" hidden="false" customHeight="false" outlineLevel="0" collapsed="false">
      <c r="A2116" s="0" t="n">
        <v>2032</v>
      </c>
      <c r="B2116" s="0" t="n">
        <v>1044.403824</v>
      </c>
      <c r="C2116" s="0" t="n">
        <v>21932.4803</v>
      </c>
      <c r="E2116" s="0" t="n">
        <v>2033</v>
      </c>
      <c r="F2116" s="0" t="n">
        <v>65.412474</v>
      </c>
      <c r="G2116" s="0" t="n">
        <v>1371.177936</v>
      </c>
      <c r="I2116" s="0" t="n">
        <v>2028</v>
      </c>
      <c r="J2116" s="0" t="n">
        <v>2</v>
      </c>
      <c r="K2116" s="0" t="n">
        <v>42.36</v>
      </c>
      <c r="M2116" s="0" t="n">
        <v>2032</v>
      </c>
      <c r="N2116" s="0" t="n">
        <v>119</v>
      </c>
      <c r="O2116" s="0" t="n">
        <v>2498.2</v>
      </c>
      <c r="Q2116" s="0" t="n">
        <v>2035</v>
      </c>
      <c r="R2116" s="0" t="n">
        <v>9</v>
      </c>
      <c r="W2116" s="0" t="n">
        <v>2033</v>
      </c>
      <c r="X2116" s="0" t="n">
        <v>17620.4</v>
      </c>
    </row>
    <row r="2117" customFormat="false" ht="15" hidden="false" customHeight="false" outlineLevel="0" collapsed="false">
      <c r="A2117" s="0" t="n">
        <v>2032</v>
      </c>
      <c r="B2117" s="0" t="n">
        <v>263.4295278</v>
      </c>
      <c r="C2117" s="0" t="n">
        <v>5532.020085</v>
      </c>
      <c r="E2117" s="0" t="n">
        <v>2033</v>
      </c>
      <c r="F2117" s="0" t="n">
        <v>26.182338</v>
      </c>
      <c r="G2117" s="0" t="n">
        <v>548.834832</v>
      </c>
      <c r="I2117" s="0" t="n">
        <v>2028</v>
      </c>
      <c r="J2117" s="0" t="n">
        <v>3.5</v>
      </c>
      <c r="K2117" s="0" t="n">
        <v>74.13</v>
      </c>
      <c r="M2117" s="0" t="n">
        <v>2032</v>
      </c>
      <c r="N2117" s="0" t="n">
        <v>102.6</v>
      </c>
      <c r="O2117" s="0" t="n">
        <v>2152.8</v>
      </c>
      <c r="Q2117" s="0" t="n">
        <v>2035</v>
      </c>
      <c r="R2117" s="0" t="n">
        <v>8</v>
      </c>
      <c r="W2117" s="0" t="n">
        <v>2033</v>
      </c>
      <c r="X2117" s="0" t="n">
        <v>5456.64</v>
      </c>
    </row>
    <row r="2118" customFormat="false" ht="15" hidden="false" customHeight="false" outlineLevel="0" collapsed="false">
      <c r="A2118" s="0" t="n">
        <v>2032</v>
      </c>
      <c r="B2118" s="0" t="n">
        <v>234.9147465</v>
      </c>
      <c r="C2118" s="0" t="n">
        <v>4933.209677</v>
      </c>
      <c r="E2118" s="0" t="n">
        <v>2033</v>
      </c>
      <c r="F2118" s="0" t="n">
        <v>3.677766</v>
      </c>
      <c r="G2118" s="0" t="n">
        <v>77.093424</v>
      </c>
      <c r="I2118" s="0" t="n">
        <v>2028</v>
      </c>
      <c r="J2118" s="0" t="n">
        <v>1.5</v>
      </c>
      <c r="K2118" s="0" t="n">
        <v>31.77</v>
      </c>
      <c r="M2118" s="0" t="n">
        <v>2032</v>
      </c>
      <c r="N2118" s="0" t="n">
        <v>11.4</v>
      </c>
      <c r="O2118" s="0" t="n">
        <v>239.2</v>
      </c>
      <c r="Q2118" s="0" t="n">
        <v>2035</v>
      </c>
      <c r="R2118" s="0" t="n">
        <v>8</v>
      </c>
      <c r="W2118" s="0" t="n">
        <v>2033</v>
      </c>
      <c r="X2118" s="0" t="n">
        <v>9662.8</v>
      </c>
    </row>
    <row r="2119" customFormat="false" ht="15" hidden="false" customHeight="false" outlineLevel="0" collapsed="false">
      <c r="A2119" s="0" t="n">
        <v>2032</v>
      </c>
      <c r="B2119" s="0" t="n">
        <v>163.3692841</v>
      </c>
      <c r="C2119" s="0" t="n">
        <v>3430.754966</v>
      </c>
      <c r="E2119" s="0" t="n">
        <v>2033</v>
      </c>
      <c r="F2119" s="0" t="n">
        <v>87.917046</v>
      </c>
      <c r="G2119" s="0" t="n">
        <v>1842.919344</v>
      </c>
      <c r="I2119" s="0" t="n">
        <v>2028</v>
      </c>
      <c r="J2119" s="0" t="n">
        <v>1.5</v>
      </c>
      <c r="K2119" s="0" t="n">
        <v>31.77</v>
      </c>
      <c r="M2119" s="0" t="n">
        <v>2033</v>
      </c>
      <c r="N2119" s="0" t="n">
        <v>6.84</v>
      </c>
      <c r="O2119" s="0" t="n">
        <v>142.12</v>
      </c>
      <c r="Q2119" s="0" t="n">
        <v>2035</v>
      </c>
      <c r="R2119" s="0" t="n">
        <v>349</v>
      </c>
      <c r="W2119" s="0" t="n">
        <v>2033</v>
      </c>
      <c r="X2119" s="0" t="n">
        <v>4319.84</v>
      </c>
    </row>
    <row r="2120" customFormat="false" ht="15" hidden="false" customHeight="false" outlineLevel="0" collapsed="false">
      <c r="A2120" s="0" t="n">
        <v>2032</v>
      </c>
      <c r="B2120" s="0" t="n">
        <v>121.5195353</v>
      </c>
      <c r="C2120" s="0" t="n">
        <v>2551.910241</v>
      </c>
      <c r="E2120" s="0" t="n">
        <v>2033</v>
      </c>
      <c r="F2120" s="0" t="n">
        <v>4.115742</v>
      </c>
      <c r="G2120" s="0" t="n">
        <v>86.274288</v>
      </c>
      <c r="I2120" s="0" t="n">
        <v>2028</v>
      </c>
      <c r="J2120" s="0" t="n">
        <v>6.24</v>
      </c>
      <c r="K2120" s="0" t="n">
        <v>128.44</v>
      </c>
      <c r="M2120" s="0" t="n">
        <v>2033</v>
      </c>
      <c r="N2120" s="0" t="n">
        <v>4.5</v>
      </c>
      <c r="O2120" s="0" t="n">
        <v>93.5</v>
      </c>
      <c r="Q2120" s="0" t="n">
        <v>2035</v>
      </c>
      <c r="R2120" s="0" t="n">
        <v>332</v>
      </c>
      <c r="W2120" s="0" t="n">
        <v>2033</v>
      </c>
      <c r="X2120" s="0" t="n">
        <v>1705.2</v>
      </c>
    </row>
    <row r="2121" customFormat="false" ht="15" hidden="false" customHeight="false" outlineLevel="0" collapsed="false">
      <c r="A2121" s="0" t="n">
        <v>2032</v>
      </c>
      <c r="B2121" s="0" t="n">
        <v>54.00868234</v>
      </c>
      <c r="C2121" s="0" t="n">
        <v>1134.182329</v>
      </c>
      <c r="E2121" s="0" t="n">
        <v>2033</v>
      </c>
      <c r="F2121" s="0" t="n">
        <v>22.504572</v>
      </c>
      <c r="G2121" s="0" t="n">
        <v>471.741408</v>
      </c>
      <c r="I2121" s="0" t="n">
        <v>2028</v>
      </c>
      <c r="J2121" s="0" t="n">
        <v>0.96</v>
      </c>
      <c r="K2121" s="0" t="n">
        <v>19.76</v>
      </c>
      <c r="M2121" s="0" t="n">
        <v>2033</v>
      </c>
      <c r="N2121" s="0" t="n">
        <v>1.8</v>
      </c>
      <c r="O2121" s="0" t="n">
        <v>37.4</v>
      </c>
      <c r="Q2121" s="0" t="n">
        <v>2035</v>
      </c>
      <c r="R2121" s="0" t="n">
        <v>157</v>
      </c>
      <c r="W2121" s="0" t="n">
        <v>2033</v>
      </c>
      <c r="X2121" s="0" t="n">
        <v>2500.96</v>
      </c>
    </row>
    <row r="2122" customFormat="false" ht="15" hidden="false" customHeight="false" outlineLevel="0" collapsed="false">
      <c r="A2122" s="0" t="n">
        <v>2032</v>
      </c>
      <c r="B2122" s="0" t="n">
        <v>199.4853505</v>
      </c>
      <c r="C2122" s="0" t="n">
        <v>4189.192361</v>
      </c>
      <c r="E2122" s="0" t="n">
        <v>2033</v>
      </c>
      <c r="F2122" s="0" t="n">
        <v>20.578236</v>
      </c>
      <c r="G2122" s="0" t="n">
        <v>431.361504</v>
      </c>
      <c r="I2122" s="0" t="n">
        <v>2028</v>
      </c>
      <c r="J2122" s="0" t="n">
        <v>0.72</v>
      </c>
      <c r="K2122" s="0" t="n">
        <v>14.82</v>
      </c>
      <c r="M2122" s="0" t="n">
        <v>2033</v>
      </c>
      <c r="N2122" s="0" t="n">
        <v>1.8</v>
      </c>
      <c r="O2122" s="0" t="n">
        <v>37.4</v>
      </c>
      <c r="Q2122" s="0" t="n">
        <v>2035</v>
      </c>
      <c r="R2122" s="0" t="n">
        <v>35</v>
      </c>
      <c r="W2122" s="0" t="n">
        <v>2033</v>
      </c>
      <c r="X2122" s="0" t="n">
        <v>1932.56</v>
      </c>
    </row>
    <row r="2123" customFormat="false" ht="15" hidden="false" customHeight="false" outlineLevel="0" collapsed="false">
      <c r="A2123" s="0" t="n">
        <v>2032</v>
      </c>
      <c r="B2123" s="0" t="n">
        <v>62.4458807</v>
      </c>
      <c r="C2123" s="0" t="n">
        <v>1311.363495</v>
      </c>
      <c r="E2123" s="0" t="n">
        <v>2033</v>
      </c>
      <c r="F2123" s="0" t="n">
        <v>160.352088</v>
      </c>
      <c r="G2123" s="0" t="n">
        <v>3362.768307</v>
      </c>
      <c r="I2123" s="0" t="n">
        <v>2028</v>
      </c>
      <c r="J2123" s="0" t="n">
        <v>1.2</v>
      </c>
      <c r="K2123" s="0" t="n">
        <v>24.7</v>
      </c>
      <c r="M2123" s="0" t="n">
        <v>2033</v>
      </c>
      <c r="N2123" s="0" t="n">
        <v>1.08</v>
      </c>
      <c r="O2123" s="0" t="n">
        <v>22.44</v>
      </c>
      <c r="Q2123" s="0" t="n">
        <v>2035</v>
      </c>
      <c r="R2123" s="0" t="n">
        <v>33</v>
      </c>
      <c r="W2123" s="0" t="n">
        <v>2033</v>
      </c>
      <c r="X2123" s="0" t="n">
        <v>121236.66</v>
      </c>
    </row>
    <row r="2124" customFormat="false" ht="15" hidden="false" customHeight="false" outlineLevel="0" collapsed="false">
      <c r="A2124" s="0" t="n">
        <v>2032</v>
      </c>
      <c r="B2124" s="0" t="n">
        <v>139.6251731</v>
      </c>
      <c r="C2124" s="0" t="n">
        <v>2932.128636</v>
      </c>
      <c r="E2124" s="0" t="n">
        <v>2033</v>
      </c>
      <c r="F2124" s="0" t="n">
        <v>43.056312</v>
      </c>
      <c r="G2124" s="0" t="n">
        <v>902.940543</v>
      </c>
      <c r="I2124" s="0" t="n">
        <v>2028</v>
      </c>
      <c r="J2124" s="0" t="n">
        <v>0.24</v>
      </c>
      <c r="K2124" s="0" t="n">
        <v>4.94</v>
      </c>
      <c r="M2124" s="0" t="n">
        <v>2033</v>
      </c>
      <c r="N2124" s="0" t="n">
        <v>0.9</v>
      </c>
      <c r="O2124" s="0" t="n">
        <v>18.7</v>
      </c>
      <c r="Q2124" s="0" t="n">
        <v>2035</v>
      </c>
      <c r="R2124" s="0" t="n">
        <v>33</v>
      </c>
      <c r="W2124" s="0" t="n">
        <v>2033</v>
      </c>
      <c r="X2124" s="0" t="n">
        <v>30309.165</v>
      </c>
    </row>
    <row r="2125" customFormat="false" ht="15" hidden="false" customHeight="false" outlineLevel="0" collapsed="false">
      <c r="A2125" s="0" t="n">
        <v>2032</v>
      </c>
      <c r="B2125" s="0" t="n">
        <v>185.405441</v>
      </c>
      <c r="C2125" s="0" t="n">
        <v>3893.514261</v>
      </c>
      <c r="E2125" s="0" t="n">
        <v>2033</v>
      </c>
      <c r="F2125" s="0" t="n">
        <v>17.233944</v>
      </c>
      <c r="G2125" s="0" t="n">
        <v>361.415691</v>
      </c>
      <c r="I2125" s="0" t="n">
        <v>2028</v>
      </c>
      <c r="J2125" s="0" t="n">
        <v>0.24</v>
      </c>
      <c r="K2125" s="0" t="n">
        <v>4.94</v>
      </c>
      <c r="M2125" s="0" t="n">
        <v>2033</v>
      </c>
      <c r="N2125" s="0" t="n">
        <v>0.72</v>
      </c>
      <c r="O2125" s="0" t="n">
        <v>14.96</v>
      </c>
      <c r="Q2125" s="0" t="n">
        <v>2035</v>
      </c>
      <c r="R2125" s="0" t="n">
        <v>421</v>
      </c>
      <c r="W2125" s="0" t="n">
        <v>2033</v>
      </c>
      <c r="X2125" s="0" t="n">
        <v>9386.064</v>
      </c>
    </row>
    <row r="2126" customFormat="false" ht="15" hidden="false" customHeight="false" outlineLevel="0" collapsed="false">
      <c r="A2126" s="0" t="n">
        <v>2032</v>
      </c>
      <c r="B2126" s="0" t="n">
        <v>46.76473474</v>
      </c>
      <c r="C2126" s="0" t="n">
        <v>982.0594295</v>
      </c>
      <c r="E2126" s="0" t="n">
        <v>2033</v>
      </c>
      <c r="F2126" s="0" t="n">
        <v>2.420808</v>
      </c>
      <c r="G2126" s="0" t="n">
        <v>50.767137</v>
      </c>
      <c r="I2126" s="0" t="n">
        <v>2028</v>
      </c>
      <c r="J2126" s="0" t="n">
        <v>0</v>
      </c>
      <c r="K2126" s="0" t="n">
        <v>0</v>
      </c>
      <c r="M2126" s="0" t="n">
        <v>2033</v>
      </c>
      <c r="N2126" s="0" t="n">
        <v>0.36</v>
      </c>
      <c r="O2126" s="0" t="n">
        <v>7.48</v>
      </c>
      <c r="Q2126" s="0" t="n">
        <v>2035</v>
      </c>
      <c r="R2126" s="0" t="n">
        <v>400</v>
      </c>
      <c r="W2126" s="0" t="n">
        <v>2033</v>
      </c>
      <c r="X2126" s="0" t="n">
        <v>16621.155</v>
      </c>
    </row>
    <row r="2127" customFormat="false" ht="15" hidden="false" customHeight="false" outlineLevel="0" collapsed="false">
      <c r="A2127" s="0" t="n">
        <v>2032</v>
      </c>
      <c r="B2127" s="0" t="n">
        <v>41.70271228</v>
      </c>
      <c r="C2127" s="0" t="n">
        <v>875.756958</v>
      </c>
      <c r="E2127" s="0" t="n">
        <v>2033</v>
      </c>
      <c r="F2127" s="0" t="n">
        <v>57.869448</v>
      </c>
      <c r="G2127" s="0" t="n">
        <v>1213.589097</v>
      </c>
      <c r="I2127" s="0" t="n">
        <v>2028</v>
      </c>
      <c r="J2127" s="0" t="n">
        <v>0.48</v>
      </c>
      <c r="K2127" s="0" t="n">
        <v>9.88</v>
      </c>
      <c r="M2127" s="0" t="n">
        <v>2033</v>
      </c>
      <c r="N2127" s="0" t="n">
        <v>17.86</v>
      </c>
      <c r="O2127" s="0" t="n">
        <v>371.26</v>
      </c>
      <c r="Q2127" s="0" t="n">
        <v>2035</v>
      </c>
      <c r="R2127" s="0" t="n">
        <v>190</v>
      </c>
      <c r="W2127" s="0" t="n">
        <v>2033</v>
      </c>
      <c r="X2127" s="0" t="n">
        <v>7430.634</v>
      </c>
    </row>
    <row r="2128" customFormat="false" ht="15" hidden="false" customHeight="false" outlineLevel="0" collapsed="false">
      <c r="A2128" s="0" t="n">
        <v>2032</v>
      </c>
      <c r="B2128" s="0" t="n">
        <v>29.00176491</v>
      </c>
      <c r="C2128" s="0" t="n">
        <v>609.037063</v>
      </c>
      <c r="E2128" s="0" t="n">
        <v>2033</v>
      </c>
      <c r="F2128" s="0" t="n">
        <v>2.709096</v>
      </c>
      <c r="G2128" s="0" t="n">
        <v>56.812869</v>
      </c>
      <c r="I2128" s="0" t="n">
        <v>2028</v>
      </c>
      <c r="J2128" s="0" t="n">
        <v>0.84</v>
      </c>
      <c r="K2128" s="0" t="n">
        <v>17.29</v>
      </c>
      <c r="M2128" s="0" t="n">
        <v>2033</v>
      </c>
      <c r="N2128" s="0" t="n">
        <v>11.75</v>
      </c>
      <c r="O2128" s="0" t="n">
        <v>244.25</v>
      </c>
      <c r="Q2128" s="0" t="n">
        <v>2035</v>
      </c>
      <c r="R2128" s="0" t="n">
        <v>42</v>
      </c>
      <c r="W2128" s="0" t="n">
        <v>2033</v>
      </c>
      <c r="X2128" s="0" t="n">
        <v>2933.145</v>
      </c>
    </row>
    <row r="2129" customFormat="false" ht="15" hidden="false" customHeight="false" outlineLevel="0" collapsed="false">
      <c r="A2129" s="0" t="n">
        <v>2032</v>
      </c>
      <c r="B2129" s="0" t="n">
        <v>21.57248232</v>
      </c>
      <c r="C2129" s="0" t="n">
        <v>453.0221288</v>
      </c>
      <c r="E2129" s="0" t="n">
        <v>2033</v>
      </c>
      <c r="F2129" s="0" t="n">
        <v>14.813136</v>
      </c>
      <c r="G2129" s="0" t="n">
        <v>310.648554</v>
      </c>
      <c r="I2129" s="0" t="n">
        <v>2028</v>
      </c>
      <c r="J2129" s="0" t="n">
        <v>0.24</v>
      </c>
      <c r="K2129" s="0" t="n">
        <v>4.94</v>
      </c>
      <c r="M2129" s="0" t="n">
        <v>2033</v>
      </c>
      <c r="N2129" s="0" t="n">
        <v>4.7</v>
      </c>
      <c r="O2129" s="0" t="n">
        <v>97.7</v>
      </c>
      <c r="Q2129" s="0" t="n">
        <v>2035</v>
      </c>
      <c r="R2129" s="0" t="n">
        <v>41</v>
      </c>
      <c r="W2129" s="0" t="n">
        <v>2033</v>
      </c>
      <c r="X2129" s="0" t="n">
        <v>4301.946</v>
      </c>
    </row>
    <row r="2130" customFormat="false" ht="15" hidden="false" customHeight="false" outlineLevel="0" collapsed="false">
      <c r="A2130" s="0" t="n">
        <v>2032</v>
      </c>
      <c r="B2130" s="0" t="n">
        <v>9.587769921</v>
      </c>
      <c r="C2130" s="0" t="n">
        <v>201.3431683</v>
      </c>
      <c r="E2130" s="0" t="n">
        <v>2033</v>
      </c>
      <c r="F2130" s="0" t="n">
        <v>13.545168</v>
      </c>
      <c r="G2130" s="0" t="n">
        <v>284.057802</v>
      </c>
      <c r="I2130" s="0" t="n">
        <v>2028</v>
      </c>
      <c r="J2130" s="0" t="n">
        <v>0.84</v>
      </c>
      <c r="K2130" s="0" t="n">
        <v>17.29</v>
      </c>
      <c r="M2130" s="0" t="n">
        <v>2033</v>
      </c>
      <c r="N2130" s="0" t="n">
        <v>4.7</v>
      </c>
      <c r="O2130" s="0" t="n">
        <v>97.7</v>
      </c>
      <c r="Q2130" s="0" t="n">
        <v>2035</v>
      </c>
      <c r="R2130" s="0" t="n">
        <v>41</v>
      </c>
      <c r="W2130" s="0" t="n">
        <v>2033</v>
      </c>
      <c r="X2130" s="0" t="n">
        <v>3324.231</v>
      </c>
    </row>
    <row r="2131" customFormat="false" ht="15" hidden="false" customHeight="false" outlineLevel="0" collapsed="false">
      <c r="A2131" s="0" t="n">
        <v>2032</v>
      </c>
      <c r="B2131" s="0" t="n">
        <v>35.4131884</v>
      </c>
      <c r="C2131" s="0" t="n">
        <v>743.6769565</v>
      </c>
      <c r="E2131" s="0" t="n">
        <v>2033</v>
      </c>
      <c r="F2131" s="0" t="n">
        <v>225.109662</v>
      </c>
      <c r="G2131" s="0" t="n">
        <v>4719.079718</v>
      </c>
      <c r="I2131" s="0" t="n">
        <v>2028</v>
      </c>
      <c r="J2131" s="0" t="n">
        <v>341.28</v>
      </c>
      <c r="K2131" s="0" t="n">
        <v>7163.04</v>
      </c>
      <c r="M2131" s="0" t="n">
        <v>2033</v>
      </c>
      <c r="N2131" s="0" t="n">
        <v>2.82</v>
      </c>
      <c r="O2131" s="0" t="n">
        <v>58.62</v>
      </c>
      <c r="Q2131" s="0" t="n">
        <v>2035</v>
      </c>
      <c r="R2131" s="0" t="n">
        <v>296</v>
      </c>
      <c r="W2131" s="0" t="n">
        <v>2033</v>
      </c>
      <c r="X2131" s="0" t="n">
        <v>54105.54</v>
      </c>
    </row>
    <row r="2132" customFormat="false" ht="15" hidden="false" customHeight="false" outlineLevel="0" collapsed="false">
      <c r="A2132" s="0" t="n">
        <v>2032</v>
      </c>
      <c r="B2132" s="0" t="n">
        <v>11.08556459</v>
      </c>
      <c r="C2132" s="0" t="n">
        <v>232.7968565</v>
      </c>
      <c r="E2132" s="0" t="n">
        <v>2033</v>
      </c>
      <c r="F2132" s="0" t="n">
        <v>60.444438</v>
      </c>
      <c r="G2132" s="0" t="n">
        <v>1267.125182</v>
      </c>
      <c r="I2132" s="0" t="n">
        <v>2028</v>
      </c>
      <c r="J2132" s="0" t="n">
        <v>113.76</v>
      </c>
      <c r="K2132" s="0" t="n">
        <v>2387.68</v>
      </c>
      <c r="M2132" s="0" t="n">
        <v>2033</v>
      </c>
      <c r="N2132" s="0" t="n">
        <v>2.35</v>
      </c>
      <c r="O2132" s="0" t="n">
        <v>48.85</v>
      </c>
      <c r="Q2132" s="0" t="n">
        <v>2035</v>
      </c>
      <c r="R2132" s="0" t="n">
        <v>281</v>
      </c>
      <c r="W2132" s="0" t="n">
        <v>2033</v>
      </c>
      <c r="X2132" s="0" t="n">
        <v>13526.385</v>
      </c>
    </row>
    <row r="2133" customFormat="false" ht="15" hidden="false" customHeight="false" outlineLevel="0" collapsed="false">
      <c r="A2133" s="0" t="n">
        <v>2032</v>
      </c>
      <c r="B2133" s="0" t="n">
        <v>24.78664498</v>
      </c>
      <c r="C2133" s="0" t="n">
        <v>520.5195446</v>
      </c>
      <c r="E2133" s="0" t="n">
        <v>2033</v>
      </c>
      <c r="F2133" s="0" t="n">
        <v>24.193806</v>
      </c>
      <c r="G2133" s="0" t="n">
        <v>507.186134</v>
      </c>
      <c r="I2133" s="0" t="n">
        <v>2028</v>
      </c>
      <c r="J2133" s="0" t="n">
        <v>49.77</v>
      </c>
      <c r="K2133" s="0" t="n">
        <v>1044.61</v>
      </c>
      <c r="M2133" s="0" t="n">
        <v>2033</v>
      </c>
      <c r="N2133" s="0" t="n">
        <v>1.88</v>
      </c>
      <c r="O2133" s="0" t="n">
        <v>39.08</v>
      </c>
      <c r="Q2133" s="0" t="n">
        <v>2035</v>
      </c>
      <c r="R2133" s="0" t="n">
        <v>133</v>
      </c>
      <c r="W2133" s="0" t="n">
        <v>2033</v>
      </c>
      <c r="X2133" s="0" t="n">
        <v>4188.816</v>
      </c>
    </row>
    <row r="2134" customFormat="false" ht="15" hidden="false" customHeight="false" outlineLevel="0" collapsed="false">
      <c r="A2134" s="0" t="n">
        <v>2032</v>
      </c>
      <c r="B2134" s="0" t="n">
        <v>314.3194612</v>
      </c>
      <c r="C2134" s="0" t="n">
        <v>6600.708685</v>
      </c>
      <c r="E2134" s="0" t="n">
        <v>2033</v>
      </c>
      <c r="F2134" s="0" t="n">
        <v>3.398442</v>
      </c>
      <c r="G2134" s="0" t="n">
        <v>71.243138</v>
      </c>
      <c r="I2134" s="0" t="n">
        <v>2028</v>
      </c>
      <c r="J2134" s="0" t="n">
        <v>28.44</v>
      </c>
      <c r="K2134" s="0" t="n">
        <v>596.92</v>
      </c>
      <c r="M2134" s="0" t="n">
        <v>2033</v>
      </c>
      <c r="N2134" s="0" t="n">
        <v>0.94</v>
      </c>
      <c r="O2134" s="0" t="n">
        <v>19.54</v>
      </c>
      <c r="Q2134" s="0" t="n">
        <v>2035</v>
      </c>
      <c r="R2134" s="0" t="n">
        <v>30</v>
      </c>
      <c r="W2134" s="0" t="n">
        <v>2033</v>
      </c>
      <c r="X2134" s="0" t="n">
        <v>7417.695</v>
      </c>
    </row>
    <row r="2135" customFormat="false" ht="15" hidden="false" customHeight="false" outlineLevel="0" collapsed="false">
      <c r="A2135" s="0" t="n">
        <v>2032</v>
      </c>
      <c r="B2135" s="0" t="n">
        <v>79.28066266</v>
      </c>
      <c r="C2135" s="0" t="n">
        <v>1664.893916</v>
      </c>
      <c r="E2135" s="0" t="n">
        <v>2033</v>
      </c>
      <c r="F2135" s="0" t="n">
        <v>81.239802</v>
      </c>
      <c r="G2135" s="0" t="n">
        <v>1703.068178</v>
      </c>
      <c r="I2135" s="0" t="n">
        <v>2028</v>
      </c>
      <c r="J2135" s="0" t="n">
        <v>28.44</v>
      </c>
      <c r="K2135" s="0" t="n">
        <v>596.92</v>
      </c>
      <c r="M2135" s="0" t="n">
        <v>2033</v>
      </c>
      <c r="N2135" s="0" t="n">
        <v>67.26</v>
      </c>
      <c r="O2135" s="0" t="n">
        <v>1410.18</v>
      </c>
      <c r="Q2135" s="0" t="n">
        <v>2035</v>
      </c>
      <c r="R2135" s="0" t="n">
        <v>29</v>
      </c>
      <c r="W2135" s="0" t="n">
        <v>2033</v>
      </c>
      <c r="X2135" s="0" t="n">
        <v>3316.146</v>
      </c>
    </row>
    <row r="2136" customFormat="false" ht="15" hidden="false" customHeight="false" outlineLevel="0" collapsed="false">
      <c r="A2136" s="0" t="n">
        <v>2032</v>
      </c>
      <c r="B2136" s="0" t="n">
        <v>70.69897185</v>
      </c>
      <c r="C2136" s="0" t="n">
        <v>1484.678409</v>
      </c>
      <c r="E2136" s="0" t="n">
        <v>2033</v>
      </c>
      <c r="F2136" s="0" t="n">
        <v>3.803154</v>
      </c>
      <c r="G2136" s="0" t="n">
        <v>79.727306</v>
      </c>
      <c r="I2136" s="0" t="n">
        <v>2028</v>
      </c>
      <c r="J2136" s="0" t="n">
        <v>14.22</v>
      </c>
      <c r="K2136" s="0" t="n">
        <v>298.46</v>
      </c>
      <c r="M2136" s="0" t="n">
        <v>2033</v>
      </c>
      <c r="N2136" s="0" t="n">
        <v>44.25</v>
      </c>
      <c r="O2136" s="0" t="n">
        <v>927.75</v>
      </c>
      <c r="Q2136" s="0" t="n">
        <v>2035</v>
      </c>
      <c r="R2136" s="0" t="n">
        <v>29</v>
      </c>
      <c r="W2136" s="0" t="n">
        <v>2033</v>
      </c>
      <c r="X2136" s="0" t="n">
        <v>1309.005</v>
      </c>
    </row>
    <row r="2137" customFormat="false" ht="15" hidden="false" customHeight="false" outlineLevel="0" collapsed="false">
      <c r="A2137" s="0" t="n">
        <v>2032</v>
      </c>
      <c r="B2137" s="0" t="n">
        <v>49.16694499</v>
      </c>
      <c r="C2137" s="0" t="n">
        <v>1032.505845</v>
      </c>
      <c r="E2137" s="0" t="n">
        <v>2033</v>
      </c>
      <c r="F2137" s="0" t="n">
        <v>20.795364</v>
      </c>
      <c r="G2137" s="0" t="n">
        <v>435.942996</v>
      </c>
      <c r="I2137" s="0" t="n">
        <v>2028</v>
      </c>
      <c r="J2137" s="0" t="n">
        <v>14.22</v>
      </c>
      <c r="K2137" s="0" t="n">
        <v>298.46</v>
      </c>
      <c r="M2137" s="0" t="n">
        <v>2033</v>
      </c>
      <c r="N2137" s="0" t="n">
        <v>17.7</v>
      </c>
      <c r="O2137" s="0" t="n">
        <v>371.1</v>
      </c>
      <c r="Q2137" s="0" t="n">
        <v>2035</v>
      </c>
      <c r="R2137" s="0" t="n">
        <v>125</v>
      </c>
      <c r="W2137" s="0" t="n">
        <v>2033</v>
      </c>
      <c r="X2137" s="0" t="n">
        <v>1919.874</v>
      </c>
    </row>
    <row r="2138" customFormat="false" ht="15" hidden="false" customHeight="false" outlineLevel="0" collapsed="false">
      <c r="A2138" s="0" t="n">
        <v>2032</v>
      </c>
      <c r="B2138" s="0" t="n">
        <v>36.57201743</v>
      </c>
      <c r="C2138" s="0" t="n">
        <v>768.012366</v>
      </c>
      <c r="E2138" s="0" t="n">
        <v>2033</v>
      </c>
      <c r="F2138" s="0" t="n">
        <v>19.015332</v>
      </c>
      <c r="G2138" s="0" t="n">
        <v>398.627348</v>
      </c>
      <c r="I2138" s="0" t="n">
        <v>2028</v>
      </c>
      <c r="J2138" s="0" t="n">
        <v>28.44</v>
      </c>
      <c r="K2138" s="0" t="n">
        <v>596.92</v>
      </c>
      <c r="M2138" s="0" t="n">
        <v>2033</v>
      </c>
      <c r="N2138" s="0" t="n">
        <v>17.7</v>
      </c>
      <c r="O2138" s="0" t="n">
        <v>371.1</v>
      </c>
      <c r="Q2138" s="0" t="n">
        <v>2035</v>
      </c>
      <c r="R2138" s="0" t="n">
        <v>118</v>
      </c>
      <c r="W2138" s="0" t="n">
        <v>2033</v>
      </c>
      <c r="X2138" s="0" t="n">
        <v>1483.539</v>
      </c>
    </row>
    <row r="2139" customFormat="false" ht="15" hidden="false" customHeight="false" outlineLevel="0" collapsed="false">
      <c r="A2139" s="0" t="n">
        <v>2032</v>
      </c>
      <c r="B2139" s="0" t="n">
        <v>16.25422997</v>
      </c>
      <c r="C2139" s="0" t="n">
        <v>341.3388293</v>
      </c>
      <c r="E2139" s="0" t="n">
        <v>2033</v>
      </c>
      <c r="F2139" s="0" t="n">
        <v>178.340303</v>
      </c>
      <c r="G2139" s="0" t="n">
        <v>3738.465026</v>
      </c>
      <c r="I2139" s="0" t="n">
        <v>2028</v>
      </c>
      <c r="J2139" s="0" t="n">
        <v>49.77</v>
      </c>
      <c r="K2139" s="0" t="n">
        <v>1044.61</v>
      </c>
      <c r="M2139" s="0" t="n">
        <v>2033</v>
      </c>
      <c r="N2139" s="0" t="n">
        <v>10.62</v>
      </c>
      <c r="O2139" s="0" t="n">
        <v>222.66</v>
      </c>
      <c r="Q2139" s="0" t="n">
        <v>2035</v>
      </c>
      <c r="R2139" s="0" t="n">
        <v>56</v>
      </c>
      <c r="W2139" s="0" t="n">
        <v>2033</v>
      </c>
      <c r="X2139" s="0" t="n">
        <v>188284.7</v>
      </c>
    </row>
    <row r="2140" customFormat="false" ht="15" hidden="false" customHeight="false" outlineLevel="0" collapsed="false">
      <c r="A2140" s="0" t="n">
        <v>2032</v>
      </c>
      <c r="B2140" s="0" t="n">
        <v>60.03628716</v>
      </c>
      <c r="C2140" s="0" t="n">
        <v>1260.76203</v>
      </c>
      <c r="E2140" s="0" t="n">
        <v>2033</v>
      </c>
      <c r="F2140" s="0" t="n">
        <v>47.886347</v>
      </c>
      <c r="G2140" s="0" t="n">
        <v>1003.819274</v>
      </c>
      <c r="I2140" s="0" t="n">
        <v>2028</v>
      </c>
      <c r="J2140" s="0" t="n">
        <v>21.33</v>
      </c>
      <c r="K2140" s="0" t="n">
        <v>447.69</v>
      </c>
      <c r="M2140" s="0" t="n">
        <v>2033</v>
      </c>
      <c r="N2140" s="0" t="n">
        <v>8.85</v>
      </c>
      <c r="O2140" s="0" t="n">
        <v>185.55</v>
      </c>
      <c r="Q2140" s="0" t="n">
        <v>2035</v>
      </c>
      <c r="R2140" s="0" t="n">
        <v>12</v>
      </c>
      <c r="W2140" s="0" t="n">
        <v>2033</v>
      </c>
      <c r="X2140" s="0" t="n">
        <v>47071.175</v>
      </c>
    </row>
    <row r="2141" customFormat="false" ht="15" hidden="false" customHeight="false" outlineLevel="0" collapsed="false">
      <c r="A2141" s="0" t="n">
        <v>2032</v>
      </c>
      <c r="B2141" s="0" t="n">
        <v>18.79345434</v>
      </c>
      <c r="C2141" s="0" t="n">
        <v>394.6625411</v>
      </c>
      <c r="E2141" s="0" t="n">
        <v>2033</v>
      </c>
      <c r="F2141" s="0" t="n">
        <v>19.167239</v>
      </c>
      <c r="G2141" s="0" t="n">
        <v>401.793938</v>
      </c>
      <c r="I2141" s="0" t="n">
        <v>2028</v>
      </c>
      <c r="J2141" s="0" t="n">
        <v>21.33</v>
      </c>
      <c r="K2141" s="0" t="n">
        <v>447.69</v>
      </c>
      <c r="M2141" s="0" t="n">
        <v>2033</v>
      </c>
      <c r="N2141" s="0" t="n">
        <v>7.08</v>
      </c>
      <c r="O2141" s="0" t="n">
        <v>148.44</v>
      </c>
      <c r="Q2141" s="0" t="n">
        <v>2035</v>
      </c>
      <c r="R2141" s="0" t="n">
        <v>13</v>
      </c>
      <c r="W2141" s="0" t="n">
        <v>2033</v>
      </c>
      <c r="X2141" s="0" t="n">
        <v>14576.88</v>
      </c>
    </row>
    <row r="2142" customFormat="false" ht="15" hidden="false" customHeight="false" outlineLevel="0" collapsed="false">
      <c r="A2142" s="0" t="n">
        <v>2032</v>
      </c>
      <c r="B2142" s="0" t="n">
        <v>42.02101541</v>
      </c>
      <c r="C2142" s="0" t="n">
        <v>882.4413237</v>
      </c>
      <c r="E2142" s="0" t="n">
        <v>2033</v>
      </c>
      <c r="F2142" s="0" t="n">
        <v>2.692373</v>
      </c>
      <c r="G2142" s="0" t="n">
        <v>56.438966</v>
      </c>
      <c r="I2142" s="0" t="n">
        <v>2028</v>
      </c>
      <c r="J2142" s="0" t="n">
        <v>81.12</v>
      </c>
      <c r="K2142" s="0" t="n">
        <v>1705.08</v>
      </c>
      <c r="M2142" s="0" t="n">
        <v>2033</v>
      </c>
      <c r="N2142" s="0" t="n">
        <v>3.54</v>
      </c>
      <c r="O2142" s="0" t="n">
        <v>74.22</v>
      </c>
      <c r="Q2142" s="0" t="n">
        <v>2035</v>
      </c>
      <c r="R2142" s="0" t="n">
        <v>13</v>
      </c>
      <c r="W2142" s="0" t="n">
        <v>2033</v>
      </c>
      <c r="X2142" s="0" t="n">
        <v>25813.225</v>
      </c>
    </row>
    <row r="2143" customFormat="false" ht="15" hidden="false" customHeight="false" outlineLevel="0" collapsed="false">
      <c r="A2143" s="0" t="n">
        <v>2032</v>
      </c>
      <c r="B2143" s="0" t="n">
        <v>112.9529521</v>
      </c>
      <c r="C2143" s="0" t="n">
        <v>2372.011993</v>
      </c>
      <c r="E2143" s="0" t="n">
        <v>2033</v>
      </c>
      <c r="F2143" s="0" t="n">
        <v>64.361213</v>
      </c>
      <c r="G2143" s="0" t="n">
        <v>1349.174246</v>
      </c>
      <c r="I2143" s="0" t="n">
        <v>2028</v>
      </c>
      <c r="J2143" s="0" t="n">
        <v>12.48</v>
      </c>
      <c r="K2143" s="0" t="n">
        <v>262.32</v>
      </c>
      <c r="M2143" s="0" t="n">
        <v>2033</v>
      </c>
      <c r="N2143" s="0" t="n">
        <v>7.6</v>
      </c>
      <c r="O2143" s="0" t="n">
        <v>155.04</v>
      </c>
      <c r="Q2143" s="0" t="n">
        <v>2035</v>
      </c>
      <c r="R2143" s="0" t="n">
        <v>87</v>
      </c>
      <c r="W2143" s="0" t="n">
        <v>2033</v>
      </c>
      <c r="X2143" s="0" t="n">
        <v>11540.03</v>
      </c>
    </row>
    <row r="2144" customFormat="false" ht="15" hidden="false" customHeight="false" outlineLevel="0" collapsed="false">
      <c r="A2144" s="0" t="n">
        <v>2032</v>
      </c>
      <c r="B2144" s="0" t="n">
        <v>28.49007457</v>
      </c>
      <c r="C2144" s="0" t="n">
        <v>598.291566</v>
      </c>
      <c r="E2144" s="0" t="n">
        <v>2033</v>
      </c>
      <c r="F2144" s="0" t="n">
        <v>3.013001</v>
      </c>
      <c r="G2144" s="0" t="n">
        <v>63.160142</v>
      </c>
      <c r="I2144" s="0" t="n">
        <v>2028</v>
      </c>
      <c r="J2144" s="0" t="n">
        <v>9.36</v>
      </c>
      <c r="K2144" s="0" t="n">
        <v>196.74</v>
      </c>
      <c r="M2144" s="0" t="n">
        <v>2033</v>
      </c>
      <c r="N2144" s="0" t="n">
        <v>5</v>
      </c>
      <c r="O2144" s="0" t="n">
        <v>102</v>
      </c>
      <c r="Q2144" s="0" t="n">
        <v>2035</v>
      </c>
      <c r="R2144" s="0" t="n">
        <v>83</v>
      </c>
      <c r="W2144" s="0" t="n">
        <v>2033</v>
      </c>
      <c r="X2144" s="0" t="n">
        <v>4555.275</v>
      </c>
    </row>
    <row r="2145" customFormat="false" ht="15" hidden="false" customHeight="false" outlineLevel="0" collapsed="false">
      <c r="A2145" s="0" t="n">
        <v>2032</v>
      </c>
      <c r="B2145" s="0" t="n">
        <v>25.40618245</v>
      </c>
      <c r="C2145" s="0" t="n">
        <v>533.5298314</v>
      </c>
      <c r="E2145" s="0" t="n">
        <v>2033</v>
      </c>
      <c r="F2145" s="0" t="n">
        <v>16.474866</v>
      </c>
      <c r="G2145" s="0" t="n">
        <v>345.354972</v>
      </c>
      <c r="I2145" s="0" t="n">
        <v>2028</v>
      </c>
      <c r="J2145" s="0" t="n">
        <v>15.6</v>
      </c>
      <c r="K2145" s="0" t="n">
        <v>327.9</v>
      </c>
      <c r="M2145" s="0" t="n">
        <v>2033</v>
      </c>
      <c r="N2145" s="0" t="n">
        <v>2</v>
      </c>
      <c r="O2145" s="0" t="n">
        <v>40.8</v>
      </c>
      <c r="Q2145" s="0" t="n">
        <v>2035</v>
      </c>
      <c r="R2145" s="0" t="n">
        <v>39</v>
      </c>
      <c r="W2145" s="0" t="n">
        <v>2033</v>
      </c>
      <c r="X2145" s="0" t="n">
        <v>6681.07</v>
      </c>
    </row>
    <row r="2146" customFormat="false" ht="15" hidden="false" customHeight="false" outlineLevel="0" collapsed="false">
      <c r="A2146" s="0" t="n">
        <v>2032</v>
      </c>
      <c r="B2146" s="0" t="n">
        <v>17.66849421</v>
      </c>
      <c r="C2146" s="0" t="n">
        <v>371.0383784</v>
      </c>
      <c r="E2146" s="0" t="n">
        <v>2033</v>
      </c>
      <c r="F2146" s="0" t="n">
        <v>15.064658</v>
      </c>
      <c r="G2146" s="0" t="n">
        <v>315.793436</v>
      </c>
      <c r="I2146" s="0" t="n">
        <v>2028</v>
      </c>
      <c r="J2146" s="0" t="n">
        <v>3.12</v>
      </c>
      <c r="K2146" s="0" t="n">
        <v>65.58</v>
      </c>
      <c r="M2146" s="0" t="n">
        <v>2033</v>
      </c>
      <c r="N2146" s="0" t="n">
        <v>2</v>
      </c>
      <c r="O2146" s="0" t="n">
        <v>40.8</v>
      </c>
      <c r="Q2146" s="0" t="n">
        <v>2035</v>
      </c>
      <c r="R2146" s="0" t="n">
        <v>9</v>
      </c>
      <c r="W2146" s="0" t="n">
        <v>2033</v>
      </c>
      <c r="X2146" s="0" t="n">
        <v>5162.645</v>
      </c>
    </row>
    <row r="2147" customFormat="false" ht="15" hidden="false" customHeight="false" outlineLevel="0" collapsed="false">
      <c r="A2147" s="0" t="n">
        <v>2032</v>
      </c>
      <c r="B2147" s="0" t="n">
        <v>13.14241668</v>
      </c>
      <c r="C2147" s="0" t="n">
        <v>275.9907504</v>
      </c>
      <c r="E2147" s="0" t="n">
        <v>2033</v>
      </c>
      <c r="F2147" s="0" t="n">
        <v>262.627939</v>
      </c>
      <c r="G2147" s="0" t="n">
        <v>5505.935637</v>
      </c>
      <c r="I2147" s="0" t="n">
        <v>2028</v>
      </c>
      <c r="J2147" s="0" t="n">
        <v>3.12</v>
      </c>
      <c r="K2147" s="0" t="n">
        <v>65.58</v>
      </c>
      <c r="M2147" s="0" t="n">
        <v>2033</v>
      </c>
      <c r="N2147" s="0" t="n">
        <v>1.2</v>
      </c>
      <c r="O2147" s="0" t="n">
        <v>24.48</v>
      </c>
      <c r="Q2147" s="0" t="n">
        <v>2035</v>
      </c>
      <c r="R2147" s="0" t="n">
        <v>8</v>
      </c>
      <c r="W2147" s="0" t="n">
        <v>2033</v>
      </c>
      <c r="X2147" s="0" t="n">
        <v>5428.1</v>
      </c>
    </row>
    <row r="2148" customFormat="false" ht="15" hidden="false" customHeight="false" outlineLevel="0" collapsed="false">
      <c r="A2148" s="0" t="n">
        <v>2032</v>
      </c>
      <c r="B2148" s="0" t="n">
        <v>5.841074082</v>
      </c>
      <c r="C2148" s="0" t="n">
        <v>122.6625557</v>
      </c>
      <c r="E2148" s="0" t="n">
        <v>2033</v>
      </c>
      <c r="F2148" s="0" t="n">
        <v>70.518511</v>
      </c>
      <c r="G2148" s="0" t="n">
        <v>1478.404713</v>
      </c>
      <c r="I2148" s="0" t="n">
        <v>2028</v>
      </c>
      <c r="J2148" s="0" t="n">
        <v>0</v>
      </c>
      <c r="K2148" s="0" t="n">
        <v>0</v>
      </c>
      <c r="M2148" s="0" t="n">
        <v>2033</v>
      </c>
      <c r="N2148" s="0" t="n">
        <v>1</v>
      </c>
      <c r="O2148" s="0" t="n">
        <v>20.4</v>
      </c>
      <c r="Q2148" s="0" t="n">
        <v>2035</v>
      </c>
      <c r="R2148" s="0" t="n">
        <v>8</v>
      </c>
      <c r="W2148" s="0" t="n">
        <v>2033</v>
      </c>
      <c r="X2148" s="0" t="n">
        <v>1357.025</v>
      </c>
    </row>
    <row r="2149" customFormat="false" ht="15" hidden="false" customHeight="false" outlineLevel="0" collapsed="false">
      <c r="A2149" s="0" t="n">
        <v>2032</v>
      </c>
      <c r="B2149" s="0" t="n">
        <v>21.57447025</v>
      </c>
      <c r="C2149" s="0" t="n">
        <v>453.0638753</v>
      </c>
      <c r="E2149" s="0" t="n">
        <v>2033</v>
      </c>
      <c r="F2149" s="0" t="n">
        <v>28.226107</v>
      </c>
      <c r="G2149" s="0" t="n">
        <v>591.753981</v>
      </c>
      <c r="I2149" s="0" t="n">
        <v>2028</v>
      </c>
      <c r="J2149" s="0" t="n">
        <v>6.24</v>
      </c>
      <c r="K2149" s="0" t="n">
        <v>131.16</v>
      </c>
      <c r="M2149" s="0" t="n">
        <v>2033</v>
      </c>
      <c r="N2149" s="0" t="n">
        <v>0.8</v>
      </c>
      <c r="O2149" s="0" t="n">
        <v>16.32</v>
      </c>
      <c r="Q2149" s="0" t="n">
        <v>2035</v>
      </c>
      <c r="R2149" s="0" t="n">
        <v>186</v>
      </c>
      <c r="W2149" s="0" t="n">
        <v>2033</v>
      </c>
      <c r="X2149" s="0" t="n">
        <v>420.24</v>
      </c>
    </row>
    <row r="2150" customFormat="false" ht="15" hidden="false" customHeight="false" outlineLevel="0" collapsed="false">
      <c r="A2150" s="0" t="n">
        <v>2032</v>
      </c>
      <c r="B2150" s="0" t="n">
        <v>6.753562566</v>
      </c>
      <c r="C2150" s="0" t="n">
        <v>141.8248139</v>
      </c>
      <c r="E2150" s="0" t="n">
        <v>2033</v>
      </c>
      <c r="F2150" s="0" t="n">
        <v>3.964849</v>
      </c>
      <c r="G2150" s="0" t="n">
        <v>83.122167</v>
      </c>
      <c r="I2150" s="0" t="n">
        <v>2028</v>
      </c>
      <c r="J2150" s="0" t="n">
        <v>10.92</v>
      </c>
      <c r="K2150" s="0" t="n">
        <v>229.53</v>
      </c>
      <c r="M2150" s="0" t="n">
        <v>2033</v>
      </c>
      <c r="N2150" s="0" t="n">
        <v>0.4</v>
      </c>
      <c r="O2150" s="0" t="n">
        <v>8.16</v>
      </c>
      <c r="Q2150" s="0" t="n">
        <v>2035</v>
      </c>
      <c r="R2150" s="0" t="n">
        <v>177</v>
      </c>
      <c r="W2150" s="0" t="n">
        <v>2033</v>
      </c>
      <c r="X2150" s="0" t="n">
        <v>744.175</v>
      </c>
    </row>
    <row r="2151" customFormat="false" ht="15" hidden="false" customHeight="false" outlineLevel="0" collapsed="false">
      <c r="A2151" s="0" t="n">
        <v>2032</v>
      </c>
      <c r="B2151" s="0" t="n">
        <v>15.10055318</v>
      </c>
      <c r="C2151" s="0" t="n">
        <v>317.1116168</v>
      </c>
      <c r="E2151" s="0" t="n">
        <v>2033</v>
      </c>
      <c r="F2151" s="0" t="n">
        <v>94.779769</v>
      </c>
      <c r="G2151" s="0" t="n">
        <v>1987.036527</v>
      </c>
      <c r="I2151" s="0" t="n">
        <v>2028</v>
      </c>
      <c r="J2151" s="0" t="n">
        <v>3.12</v>
      </c>
      <c r="K2151" s="0" t="n">
        <v>65.58</v>
      </c>
      <c r="M2151" s="0" t="n">
        <v>2033</v>
      </c>
      <c r="N2151" s="0" t="n">
        <v>20.9</v>
      </c>
      <c r="O2151" s="0" t="n">
        <v>432.44</v>
      </c>
      <c r="Q2151" s="0" t="n">
        <v>2035</v>
      </c>
      <c r="R2151" s="0" t="n">
        <v>84</v>
      </c>
      <c r="W2151" s="0" t="n">
        <v>2033</v>
      </c>
      <c r="X2151" s="0" t="n">
        <v>332.69</v>
      </c>
    </row>
    <row r="2152" customFormat="false" ht="15" hidden="false" customHeight="false" outlineLevel="0" collapsed="false">
      <c r="A2152" s="0" t="n">
        <v>2032</v>
      </c>
      <c r="B2152" s="0" t="n">
        <v>179.9954161</v>
      </c>
      <c r="C2152" s="0" t="n">
        <v>3779.903737</v>
      </c>
      <c r="E2152" s="0" t="n">
        <v>2033</v>
      </c>
      <c r="F2152" s="0" t="n">
        <v>4.437013</v>
      </c>
      <c r="G2152" s="0" t="n">
        <v>93.020979</v>
      </c>
      <c r="I2152" s="0" t="n">
        <v>2028</v>
      </c>
      <c r="J2152" s="0" t="n">
        <v>10.92</v>
      </c>
      <c r="K2152" s="0" t="n">
        <v>229.53</v>
      </c>
      <c r="M2152" s="0" t="n">
        <v>2033</v>
      </c>
      <c r="N2152" s="0" t="n">
        <v>13.75</v>
      </c>
      <c r="O2152" s="0" t="n">
        <v>284.5</v>
      </c>
      <c r="Q2152" s="0" t="n">
        <v>2035</v>
      </c>
      <c r="R2152" s="0" t="n">
        <v>19</v>
      </c>
      <c r="W2152" s="0" t="n">
        <v>2033</v>
      </c>
      <c r="X2152" s="0" t="n">
        <v>131.325</v>
      </c>
    </row>
    <row r="2153" customFormat="false" ht="15" hidden="false" customHeight="false" outlineLevel="0" collapsed="false">
      <c r="A2153" s="0" t="n">
        <v>2032</v>
      </c>
      <c r="B2153" s="0" t="n">
        <v>45.40016647</v>
      </c>
      <c r="C2153" s="0" t="n">
        <v>953.4034958</v>
      </c>
      <c r="E2153" s="0" t="n">
        <v>2033</v>
      </c>
      <c r="F2153" s="0" t="n">
        <v>24.261258</v>
      </c>
      <c r="G2153" s="0" t="n">
        <v>508.631814</v>
      </c>
      <c r="I2153" s="0" t="n">
        <v>2028</v>
      </c>
      <c r="J2153" s="0" t="n">
        <v>197.28</v>
      </c>
      <c r="K2153" s="0" t="n">
        <v>4144.32</v>
      </c>
      <c r="M2153" s="0" t="n">
        <v>2033</v>
      </c>
      <c r="N2153" s="0" t="n">
        <v>5.5</v>
      </c>
      <c r="O2153" s="0" t="n">
        <v>113.8</v>
      </c>
      <c r="Q2153" s="0" t="n">
        <v>2035</v>
      </c>
      <c r="R2153" s="0" t="n">
        <v>19</v>
      </c>
      <c r="W2153" s="0" t="n">
        <v>2033</v>
      </c>
      <c r="X2153" s="0" t="n">
        <v>192.61</v>
      </c>
    </row>
    <row r="2154" customFormat="false" ht="15" hidden="false" customHeight="false" outlineLevel="0" collapsed="false">
      <c r="A2154" s="0" t="n">
        <v>2032</v>
      </c>
      <c r="B2154" s="0" t="n">
        <v>40.48585094</v>
      </c>
      <c r="C2154" s="0" t="n">
        <v>850.2028697</v>
      </c>
      <c r="E2154" s="0" t="n">
        <v>2033</v>
      </c>
      <c r="F2154" s="0" t="n">
        <v>22.184554</v>
      </c>
      <c r="G2154" s="0" t="n">
        <v>465.094182</v>
      </c>
      <c r="I2154" s="0" t="n">
        <v>2028</v>
      </c>
      <c r="J2154" s="0" t="n">
        <v>65.76</v>
      </c>
      <c r="K2154" s="0" t="n">
        <v>1381.44</v>
      </c>
      <c r="M2154" s="0" t="n">
        <v>2033</v>
      </c>
      <c r="N2154" s="0" t="n">
        <v>5.5</v>
      </c>
      <c r="O2154" s="0" t="n">
        <v>113.8</v>
      </c>
      <c r="Q2154" s="0" t="n">
        <v>2035</v>
      </c>
      <c r="R2154" s="0" t="n">
        <v>19</v>
      </c>
      <c r="W2154" s="0" t="n">
        <v>2033</v>
      </c>
      <c r="X2154" s="0" t="n">
        <v>148.835</v>
      </c>
    </row>
    <row r="2155" customFormat="false" ht="15" hidden="false" customHeight="false" outlineLevel="0" collapsed="false">
      <c r="A2155" s="0" t="n">
        <v>2032</v>
      </c>
      <c r="B2155" s="0" t="n">
        <v>28.15550996</v>
      </c>
      <c r="C2155" s="0" t="n">
        <v>591.2657091</v>
      </c>
      <c r="E2155" s="0" t="n">
        <v>2033</v>
      </c>
      <c r="F2155" s="0" t="n">
        <v>750.879489</v>
      </c>
      <c r="G2155" s="0" t="n">
        <v>15767.44137</v>
      </c>
      <c r="I2155" s="0" t="n">
        <v>2028</v>
      </c>
      <c r="J2155" s="0" t="n">
        <v>28.77</v>
      </c>
      <c r="K2155" s="0" t="n">
        <v>604.38</v>
      </c>
      <c r="M2155" s="0" t="n">
        <v>2033</v>
      </c>
      <c r="N2155" s="0" t="n">
        <v>3.3</v>
      </c>
      <c r="O2155" s="0" t="n">
        <v>68.28</v>
      </c>
      <c r="Q2155" s="0" t="n">
        <v>2035</v>
      </c>
      <c r="R2155" s="0" t="n">
        <v>657</v>
      </c>
      <c r="W2155" s="0" t="n">
        <v>2033</v>
      </c>
      <c r="X2155" s="0" t="n">
        <v>7803.94</v>
      </c>
    </row>
    <row r="2156" customFormat="false" ht="15" hidden="false" customHeight="false" outlineLevel="0" collapsed="false">
      <c r="A2156" s="0" t="n">
        <v>2032</v>
      </c>
      <c r="B2156" s="0" t="n">
        <v>20.9430096</v>
      </c>
      <c r="C2156" s="0" t="n">
        <v>439.8032016</v>
      </c>
      <c r="E2156" s="0" t="n">
        <v>2033</v>
      </c>
      <c r="F2156" s="0" t="n">
        <v>201.619461</v>
      </c>
      <c r="G2156" s="0" t="n">
        <v>4233.732679</v>
      </c>
      <c r="I2156" s="0" t="n">
        <v>2028</v>
      </c>
      <c r="J2156" s="0" t="n">
        <v>16.44</v>
      </c>
      <c r="K2156" s="0" t="n">
        <v>345.36</v>
      </c>
      <c r="M2156" s="0" t="n">
        <v>2033</v>
      </c>
      <c r="N2156" s="0" t="n">
        <v>2.75</v>
      </c>
      <c r="O2156" s="0" t="n">
        <v>56.9</v>
      </c>
      <c r="Q2156" s="0" t="n">
        <v>2035</v>
      </c>
      <c r="R2156" s="0" t="n">
        <v>624</v>
      </c>
      <c r="W2156" s="0" t="n">
        <v>2033</v>
      </c>
      <c r="X2156" s="0" t="n">
        <v>1950.985</v>
      </c>
    </row>
    <row r="2157" customFormat="false" ht="15" hidden="false" customHeight="false" outlineLevel="0" collapsed="false">
      <c r="A2157" s="0" t="n">
        <v>2032</v>
      </c>
      <c r="B2157" s="0" t="n">
        <v>9.308004266</v>
      </c>
      <c r="C2157" s="0" t="n">
        <v>195.4680896</v>
      </c>
      <c r="E2157" s="0" t="n">
        <v>2033</v>
      </c>
      <c r="F2157" s="0" t="n">
        <v>80.701257</v>
      </c>
      <c r="G2157" s="0" t="n">
        <v>1694.615923</v>
      </c>
      <c r="I2157" s="0" t="n">
        <v>2028</v>
      </c>
      <c r="J2157" s="0" t="n">
        <v>16.44</v>
      </c>
      <c r="K2157" s="0" t="n">
        <v>345.36</v>
      </c>
      <c r="M2157" s="0" t="n">
        <v>2033</v>
      </c>
      <c r="N2157" s="0" t="n">
        <v>2.2</v>
      </c>
      <c r="O2157" s="0" t="n">
        <v>45.52</v>
      </c>
      <c r="Q2157" s="0" t="n">
        <v>2035</v>
      </c>
      <c r="R2157" s="0" t="n">
        <v>296</v>
      </c>
      <c r="W2157" s="0" t="n">
        <v>2033</v>
      </c>
      <c r="X2157" s="0" t="n">
        <v>604.176</v>
      </c>
    </row>
    <row r="2158" customFormat="false" ht="15" hidden="false" customHeight="false" outlineLevel="0" collapsed="false">
      <c r="A2158" s="0" t="n">
        <v>2032</v>
      </c>
      <c r="B2158" s="0" t="n">
        <v>34.37985178</v>
      </c>
      <c r="C2158" s="0" t="n">
        <v>721.9768873</v>
      </c>
      <c r="E2158" s="0" t="n">
        <v>2033</v>
      </c>
      <c r="F2158" s="0" t="n">
        <v>11.335899</v>
      </c>
      <c r="G2158" s="0" t="n">
        <v>238.038361</v>
      </c>
      <c r="I2158" s="0" t="n">
        <v>2028</v>
      </c>
      <c r="J2158" s="0" t="n">
        <v>8.22</v>
      </c>
      <c r="K2158" s="0" t="n">
        <v>172.68</v>
      </c>
      <c r="M2158" s="0" t="n">
        <v>2033</v>
      </c>
      <c r="N2158" s="0" t="n">
        <v>1.1</v>
      </c>
      <c r="O2158" s="0" t="n">
        <v>22.76</v>
      </c>
      <c r="Q2158" s="0" t="n">
        <v>2035</v>
      </c>
      <c r="R2158" s="0" t="n">
        <v>66</v>
      </c>
      <c r="W2158" s="0" t="n">
        <v>2033</v>
      </c>
      <c r="X2158" s="0" t="n">
        <v>1069.895</v>
      </c>
    </row>
    <row r="2159" customFormat="false" ht="15" hidden="false" customHeight="false" outlineLevel="0" collapsed="false">
      <c r="A2159" s="0" t="n">
        <v>2032</v>
      </c>
      <c r="B2159" s="0" t="n">
        <v>10.76209414</v>
      </c>
      <c r="C2159" s="0" t="n">
        <v>226.003977</v>
      </c>
      <c r="E2159" s="0" t="n">
        <v>2033</v>
      </c>
      <c r="F2159" s="0" t="n">
        <v>270.984819</v>
      </c>
      <c r="G2159" s="0" t="n">
        <v>5690.310241</v>
      </c>
      <c r="I2159" s="0" t="n">
        <v>2028</v>
      </c>
      <c r="J2159" s="0" t="n">
        <v>8.22</v>
      </c>
      <c r="K2159" s="0" t="n">
        <v>172.68</v>
      </c>
      <c r="M2159" s="0" t="n">
        <v>2033</v>
      </c>
      <c r="N2159" s="0" t="n">
        <v>12.92</v>
      </c>
      <c r="O2159" s="0" t="n">
        <v>269.42</v>
      </c>
      <c r="Q2159" s="0" t="n">
        <v>2035</v>
      </c>
      <c r="R2159" s="0" t="n">
        <v>61</v>
      </c>
      <c r="W2159" s="0" t="n">
        <v>2033</v>
      </c>
      <c r="X2159" s="0" t="n">
        <v>478.306</v>
      </c>
    </row>
    <row r="2160" customFormat="false" ht="15" hidden="false" customHeight="false" outlineLevel="0" collapsed="false">
      <c r="A2160" s="0" t="n">
        <v>2032</v>
      </c>
      <c r="B2160" s="0" t="n">
        <v>24.06338483</v>
      </c>
      <c r="C2160" s="0" t="n">
        <v>505.3310813</v>
      </c>
      <c r="E2160" s="0" t="n">
        <v>2033</v>
      </c>
      <c r="F2160" s="0" t="n">
        <v>12.685863</v>
      </c>
      <c r="G2160" s="0" t="n">
        <v>266.385757</v>
      </c>
      <c r="I2160" s="0" t="n">
        <v>2028</v>
      </c>
      <c r="J2160" s="0" t="n">
        <v>16.44</v>
      </c>
      <c r="K2160" s="0" t="n">
        <v>345.36</v>
      </c>
      <c r="M2160" s="0" t="n">
        <v>2033</v>
      </c>
      <c r="N2160" s="0" t="n">
        <v>8.5</v>
      </c>
      <c r="O2160" s="0" t="n">
        <v>177.25</v>
      </c>
      <c r="Q2160" s="0" t="n">
        <v>2035</v>
      </c>
      <c r="R2160" s="0" t="n">
        <v>61</v>
      </c>
      <c r="W2160" s="0" t="n">
        <v>2033</v>
      </c>
      <c r="X2160" s="0" t="n">
        <v>188.805</v>
      </c>
    </row>
    <row r="2161" customFormat="false" ht="15" hidden="false" customHeight="false" outlineLevel="0" collapsed="false">
      <c r="A2161" s="0" t="n">
        <v>2032</v>
      </c>
      <c r="B2161" s="0" t="n">
        <v>201.545847</v>
      </c>
      <c r="C2161" s="0" t="n">
        <v>4232.462786</v>
      </c>
      <c r="E2161" s="0" t="n">
        <v>2033</v>
      </c>
      <c r="F2161" s="0" t="n">
        <v>69.365358</v>
      </c>
      <c r="G2161" s="0" t="n">
        <v>1456.577562</v>
      </c>
      <c r="I2161" s="0" t="n">
        <v>2028</v>
      </c>
      <c r="J2161" s="0" t="n">
        <v>28.77</v>
      </c>
      <c r="K2161" s="0" t="n">
        <v>604.38</v>
      </c>
      <c r="M2161" s="0" t="n">
        <v>2033</v>
      </c>
      <c r="N2161" s="0" t="n">
        <v>3.4</v>
      </c>
      <c r="O2161" s="0" t="n">
        <v>70.9</v>
      </c>
      <c r="Q2161" s="0" t="n">
        <v>2035</v>
      </c>
      <c r="R2161" s="0" t="n">
        <v>118</v>
      </c>
      <c r="W2161" s="0" t="n">
        <v>2033</v>
      </c>
      <c r="X2161" s="0" t="n">
        <v>276.914</v>
      </c>
    </row>
    <row r="2162" customFormat="false" ht="15" hidden="false" customHeight="false" outlineLevel="0" collapsed="false">
      <c r="A2162" s="0" t="n">
        <v>2032</v>
      </c>
      <c r="B2162" s="0" t="n">
        <v>50.8358224</v>
      </c>
      <c r="C2162" s="0" t="n">
        <v>1067.55227</v>
      </c>
      <c r="E2162" s="0" t="n">
        <v>2033</v>
      </c>
      <c r="F2162" s="0" t="n">
        <v>63.427854</v>
      </c>
      <c r="G2162" s="0" t="n">
        <v>1331.898106</v>
      </c>
      <c r="I2162" s="0" t="n">
        <v>2028</v>
      </c>
      <c r="J2162" s="0" t="n">
        <v>12.33</v>
      </c>
      <c r="K2162" s="0" t="n">
        <v>259.02</v>
      </c>
      <c r="M2162" s="0" t="n">
        <v>2033</v>
      </c>
      <c r="N2162" s="0" t="n">
        <v>3.4</v>
      </c>
      <c r="O2162" s="0" t="n">
        <v>70.9</v>
      </c>
      <c r="Q2162" s="0" t="n">
        <v>2035</v>
      </c>
      <c r="R2162" s="0" t="n">
        <v>112</v>
      </c>
      <c r="W2162" s="0" t="n">
        <v>2033</v>
      </c>
      <c r="X2162" s="0" t="n">
        <v>213.979</v>
      </c>
    </row>
    <row r="2163" customFormat="false" ht="15" hidden="false" customHeight="false" outlineLevel="0" collapsed="false">
      <c r="A2163" s="0" t="n">
        <v>2032</v>
      </c>
      <c r="B2163" s="0" t="n">
        <v>45.33312735</v>
      </c>
      <c r="C2163" s="0" t="n">
        <v>951.9956743</v>
      </c>
      <c r="E2163" s="0" t="n">
        <v>2033</v>
      </c>
      <c r="F2163" s="0" t="n">
        <v>237.958387</v>
      </c>
      <c r="G2163" s="0" t="n">
        <v>4988.388994</v>
      </c>
      <c r="I2163" s="0" t="n">
        <v>2028</v>
      </c>
      <c r="J2163" s="0" t="n">
        <v>12.33</v>
      </c>
      <c r="K2163" s="0" t="n">
        <v>259.02</v>
      </c>
      <c r="M2163" s="0" t="n">
        <v>2033</v>
      </c>
      <c r="N2163" s="0" t="n">
        <v>2.04</v>
      </c>
      <c r="O2163" s="0" t="n">
        <v>42.54</v>
      </c>
      <c r="Q2163" s="0" t="n">
        <v>2035</v>
      </c>
      <c r="R2163" s="0" t="n">
        <v>53</v>
      </c>
      <c r="W2163" s="0" t="n">
        <v>2033</v>
      </c>
      <c r="X2163" s="0" t="n">
        <v>7858.5</v>
      </c>
    </row>
    <row r="2164" customFormat="false" ht="15" hidden="false" customHeight="false" outlineLevel="0" collapsed="false">
      <c r="A2164" s="0" t="n">
        <v>2032</v>
      </c>
      <c r="B2164" s="0" t="n">
        <v>31.52650343</v>
      </c>
      <c r="C2164" s="0" t="n">
        <v>662.056572</v>
      </c>
      <c r="E2164" s="0" t="n">
        <v>2033</v>
      </c>
      <c r="F2164" s="0" t="n">
        <v>63.894463</v>
      </c>
      <c r="G2164" s="0" t="n">
        <v>1339.437706</v>
      </c>
      <c r="I2164" s="0" t="n">
        <v>2028</v>
      </c>
      <c r="J2164" s="0" t="n">
        <v>29.12</v>
      </c>
      <c r="K2164" s="0" t="n">
        <v>614.12</v>
      </c>
      <c r="M2164" s="0" t="n">
        <v>2033</v>
      </c>
      <c r="N2164" s="0" t="n">
        <v>1.7</v>
      </c>
      <c r="O2164" s="0" t="n">
        <v>35.45</v>
      </c>
      <c r="Q2164" s="0" t="n">
        <v>2035</v>
      </c>
      <c r="R2164" s="0" t="n">
        <v>12</v>
      </c>
      <c r="W2164" s="0" t="n">
        <v>2033</v>
      </c>
      <c r="X2164" s="0" t="n">
        <v>1964.625</v>
      </c>
    </row>
    <row r="2165" customFormat="false" ht="15" hidden="false" customHeight="false" outlineLevel="0" collapsed="false">
      <c r="A2165" s="0" t="n">
        <v>2032</v>
      </c>
      <c r="B2165" s="0" t="n">
        <v>23.45046724</v>
      </c>
      <c r="C2165" s="0" t="n">
        <v>492.4598121</v>
      </c>
      <c r="E2165" s="0" t="n">
        <v>2033</v>
      </c>
      <c r="F2165" s="0" t="n">
        <v>25.574731</v>
      </c>
      <c r="G2165" s="0" t="n">
        <v>536.130322</v>
      </c>
      <c r="I2165" s="0" t="n">
        <v>2028</v>
      </c>
      <c r="J2165" s="0" t="n">
        <v>4.48</v>
      </c>
      <c r="K2165" s="0" t="n">
        <v>94.48</v>
      </c>
      <c r="M2165" s="0" t="n">
        <v>2033</v>
      </c>
      <c r="N2165" s="0" t="n">
        <v>1.36</v>
      </c>
      <c r="O2165" s="0" t="n">
        <v>28.36</v>
      </c>
      <c r="Q2165" s="0" t="n">
        <v>2035</v>
      </c>
      <c r="R2165" s="0" t="n">
        <v>11</v>
      </c>
      <c r="W2165" s="0" t="n">
        <v>2033</v>
      </c>
      <c r="X2165" s="0" t="n">
        <v>608.4</v>
      </c>
    </row>
    <row r="2166" customFormat="false" ht="15" hidden="false" customHeight="false" outlineLevel="0" collapsed="false">
      <c r="A2166" s="0" t="n">
        <v>2032</v>
      </c>
      <c r="B2166" s="0" t="n">
        <v>10.42242988</v>
      </c>
      <c r="C2166" s="0" t="n">
        <v>218.8710276</v>
      </c>
      <c r="E2166" s="0" t="n">
        <v>2033</v>
      </c>
      <c r="F2166" s="0" t="n">
        <v>3.592417</v>
      </c>
      <c r="G2166" s="0" t="n">
        <v>75.308854</v>
      </c>
      <c r="I2166" s="0" t="n">
        <v>2028</v>
      </c>
      <c r="J2166" s="0" t="n">
        <v>3.36</v>
      </c>
      <c r="K2166" s="0" t="n">
        <v>70.86</v>
      </c>
      <c r="M2166" s="0" t="n">
        <v>2033</v>
      </c>
      <c r="N2166" s="0" t="n">
        <v>0.68</v>
      </c>
      <c r="O2166" s="0" t="n">
        <v>14.18</v>
      </c>
      <c r="Q2166" s="0" t="n">
        <v>2035</v>
      </c>
      <c r="R2166" s="0" t="n">
        <v>11</v>
      </c>
      <c r="W2166" s="0" t="n">
        <v>2033</v>
      </c>
      <c r="X2166" s="0" t="n">
        <v>1077.375</v>
      </c>
    </row>
    <row r="2167" customFormat="false" ht="15" hidden="false" customHeight="false" outlineLevel="0" collapsed="false">
      <c r="A2167" s="0" t="n">
        <v>2032</v>
      </c>
      <c r="B2167" s="0" t="n">
        <v>38.49607116</v>
      </c>
      <c r="C2167" s="0" t="n">
        <v>808.4174944</v>
      </c>
      <c r="E2167" s="0" t="n">
        <v>2033</v>
      </c>
      <c r="F2167" s="0" t="n">
        <v>85.876777</v>
      </c>
      <c r="G2167" s="0" t="n">
        <v>1800.259174</v>
      </c>
      <c r="I2167" s="0" t="n">
        <v>2028</v>
      </c>
      <c r="J2167" s="0" t="n">
        <v>5.6</v>
      </c>
      <c r="K2167" s="0" t="n">
        <v>118.1</v>
      </c>
      <c r="M2167" s="0" t="n">
        <v>2033</v>
      </c>
      <c r="N2167" s="0" t="n">
        <v>2.28</v>
      </c>
      <c r="O2167" s="0" t="n">
        <v>45.98</v>
      </c>
      <c r="Q2167" s="0" t="n">
        <v>2035</v>
      </c>
      <c r="R2167" s="0" t="n">
        <v>118</v>
      </c>
      <c r="W2167" s="0" t="n">
        <v>2033</v>
      </c>
      <c r="X2167" s="0" t="n">
        <v>481.65</v>
      </c>
    </row>
    <row r="2168" customFormat="false" ht="15" hidden="false" customHeight="false" outlineLevel="0" collapsed="false">
      <c r="A2168" s="0" t="n">
        <v>2032</v>
      </c>
      <c r="B2168" s="0" t="n">
        <v>12.05061455</v>
      </c>
      <c r="C2168" s="0" t="n">
        <v>253.0629055</v>
      </c>
      <c r="E2168" s="0" t="n">
        <v>2033</v>
      </c>
      <c r="F2168" s="0" t="n">
        <v>4.020229</v>
      </c>
      <c r="G2168" s="0" t="n">
        <v>84.277198</v>
      </c>
      <c r="I2168" s="0" t="n">
        <v>2028</v>
      </c>
      <c r="J2168" s="0" t="n">
        <v>1.12</v>
      </c>
      <c r="K2168" s="0" t="n">
        <v>23.62</v>
      </c>
      <c r="M2168" s="0" t="n">
        <v>2033</v>
      </c>
      <c r="N2168" s="0" t="n">
        <v>1.5</v>
      </c>
      <c r="O2168" s="0" t="n">
        <v>30.25</v>
      </c>
      <c r="Q2168" s="0" t="n">
        <v>2035</v>
      </c>
      <c r="R2168" s="0" t="n">
        <v>112</v>
      </c>
      <c r="W2168" s="0" t="n">
        <v>2033</v>
      </c>
      <c r="X2168" s="0" t="n">
        <v>190.125</v>
      </c>
    </row>
    <row r="2169" customFormat="false" ht="15" hidden="false" customHeight="false" outlineLevel="0" collapsed="false">
      <c r="A2169" s="0" t="n">
        <v>2032</v>
      </c>
      <c r="B2169" s="0" t="n">
        <v>26.94443771</v>
      </c>
      <c r="C2169" s="0" t="n">
        <v>565.8331919</v>
      </c>
      <c r="E2169" s="0" t="n">
        <v>2033</v>
      </c>
      <c r="F2169" s="0" t="n">
        <v>21.982314</v>
      </c>
      <c r="G2169" s="0" t="n">
        <v>460.821468</v>
      </c>
      <c r="I2169" s="0" t="n">
        <v>2028</v>
      </c>
      <c r="J2169" s="0" t="n">
        <v>1.12</v>
      </c>
      <c r="K2169" s="0" t="n">
        <v>23.62</v>
      </c>
      <c r="M2169" s="0" t="n">
        <v>2033</v>
      </c>
      <c r="N2169" s="0" t="n">
        <v>0.6</v>
      </c>
      <c r="O2169" s="0" t="n">
        <v>12.1</v>
      </c>
      <c r="Q2169" s="0" t="n">
        <v>2035</v>
      </c>
      <c r="R2169" s="0" t="n">
        <v>53</v>
      </c>
      <c r="W2169" s="0" t="n">
        <v>2033</v>
      </c>
      <c r="X2169" s="0" t="n">
        <v>278.85</v>
      </c>
    </row>
    <row r="2170" customFormat="false" ht="15" hidden="false" customHeight="false" outlineLevel="0" collapsed="false">
      <c r="A2170" s="0" t="n">
        <v>2032</v>
      </c>
      <c r="B2170" s="0" t="n">
        <v>122.2785199</v>
      </c>
      <c r="C2170" s="0" t="n">
        <v>2567.848919</v>
      </c>
      <c r="E2170" s="0" t="n">
        <v>2033</v>
      </c>
      <c r="F2170" s="0" t="n">
        <v>20.100682</v>
      </c>
      <c r="G2170" s="0" t="n">
        <v>421.376284</v>
      </c>
      <c r="I2170" s="0" t="n">
        <v>2028</v>
      </c>
      <c r="J2170" s="0" t="n">
        <v>0</v>
      </c>
      <c r="K2170" s="0" t="n">
        <v>0</v>
      </c>
      <c r="M2170" s="0" t="n">
        <v>2033</v>
      </c>
      <c r="N2170" s="0" t="n">
        <v>0.6</v>
      </c>
      <c r="O2170" s="0" t="n">
        <v>12.1</v>
      </c>
      <c r="Q2170" s="0" t="n">
        <v>2035</v>
      </c>
      <c r="R2170" s="0" t="n">
        <v>12</v>
      </c>
      <c r="W2170" s="0" t="n">
        <v>2033</v>
      </c>
      <c r="X2170" s="0" t="n">
        <v>215.475</v>
      </c>
    </row>
    <row r="2171" customFormat="false" ht="15" hidden="false" customHeight="false" outlineLevel="0" collapsed="false">
      <c r="A2171" s="0" t="n">
        <v>2032</v>
      </c>
      <c r="B2171" s="0" t="n">
        <v>30.84225855</v>
      </c>
      <c r="C2171" s="0" t="n">
        <v>647.6874296</v>
      </c>
      <c r="E2171" s="0" t="n">
        <v>2033</v>
      </c>
      <c r="F2171" s="0" t="n">
        <v>574.594982</v>
      </c>
      <c r="G2171" s="0" t="n">
        <v>12058.27144</v>
      </c>
      <c r="I2171" s="0" t="n">
        <v>2028</v>
      </c>
      <c r="J2171" s="0" t="n">
        <v>2.24</v>
      </c>
      <c r="K2171" s="0" t="n">
        <v>47.24</v>
      </c>
      <c r="M2171" s="0" t="n">
        <v>2033</v>
      </c>
      <c r="N2171" s="0" t="n">
        <v>0.36</v>
      </c>
      <c r="O2171" s="0" t="n">
        <v>7.26</v>
      </c>
      <c r="Q2171" s="0" t="n">
        <v>2035</v>
      </c>
      <c r="R2171" s="0" t="n">
        <v>11</v>
      </c>
      <c r="W2171" s="0" t="n">
        <v>2033</v>
      </c>
      <c r="X2171" s="0" t="n">
        <v>72114.06</v>
      </c>
    </row>
    <row r="2172" customFormat="false" ht="15" hidden="false" customHeight="false" outlineLevel="0" collapsed="false">
      <c r="A2172" s="0" t="n">
        <v>2032</v>
      </c>
      <c r="B2172" s="0" t="n">
        <v>27.50375559</v>
      </c>
      <c r="C2172" s="0" t="n">
        <v>577.5788675</v>
      </c>
      <c r="E2172" s="0" t="n">
        <v>2033</v>
      </c>
      <c r="F2172" s="0" t="n">
        <v>154.285118</v>
      </c>
      <c r="G2172" s="0" t="n">
        <v>3237.779462</v>
      </c>
      <c r="I2172" s="0" t="n">
        <v>2028</v>
      </c>
      <c r="J2172" s="0" t="n">
        <v>3.92</v>
      </c>
      <c r="K2172" s="0" t="n">
        <v>82.67</v>
      </c>
      <c r="M2172" s="0" t="n">
        <v>2033</v>
      </c>
      <c r="N2172" s="0" t="n">
        <v>0.3</v>
      </c>
      <c r="O2172" s="0" t="n">
        <v>6.05</v>
      </c>
      <c r="Q2172" s="0" t="n">
        <v>2035</v>
      </c>
      <c r="R2172" s="0" t="n">
        <v>11</v>
      </c>
      <c r="W2172" s="0" t="n">
        <v>2033</v>
      </c>
      <c r="X2172" s="0" t="n">
        <v>18028.515</v>
      </c>
    </row>
    <row r="2173" customFormat="false" ht="15" hidden="false" customHeight="false" outlineLevel="0" collapsed="false">
      <c r="A2173" s="0" t="n">
        <v>2032</v>
      </c>
      <c r="B2173" s="0" t="n">
        <v>19.12723202</v>
      </c>
      <c r="C2173" s="0" t="n">
        <v>401.6718725</v>
      </c>
      <c r="E2173" s="0" t="n">
        <v>2033</v>
      </c>
      <c r="F2173" s="0" t="n">
        <v>61.754966</v>
      </c>
      <c r="G2173" s="0" t="n">
        <v>1295.970494</v>
      </c>
      <c r="I2173" s="0" t="n">
        <v>2028</v>
      </c>
      <c r="J2173" s="0" t="n">
        <v>1.12</v>
      </c>
      <c r="K2173" s="0" t="n">
        <v>23.62</v>
      </c>
      <c r="M2173" s="0" t="n">
        <v>2033</v>
      </c>
      <c r="N2173" s="0" t="n">
        <v>0.24</v>
      </c>
      <c r="O2173" s="0" t="n">
        <v>4.84</v>
      </c>
      <c r="Q2173" s="0" t="n">
        <v>2035</v>
      </c>
      <c r="R2173" s="0" t="n">
        <v>160</v>
      </c>
      <c r="W2173" s="0" t="n">
        <v>2033</v>
      </c>
      <c r="X2173" s="0" t="n">
        <v>5583.024</v>
      </c>
    </row>
    <row r="2174" customFormat="false" ht="15" hidden="false" customHeight="false" outlineLevel="0" collapsed="false">
      <c r="A2174" s="0" t="n">
        <v>2032</v>
      </c>
      <c r="B2174" s="0" t="n">
        <v>14.22747464</v>
      </c>
      <c r="C2174" s="0" t="n">
        <v>298.7769674</v>
      </c>
      <c r="E2174" s="0" t="n">
        <v>2033</v>
      </c>
      <c r="F2174" s="0" t="n">
        <v>8.674562</v>
      </c>
      <c r="G2174" s="0" t="n">
        <v>182.041658</v>
      </c>
      <c r="I2174" s="0" t="n">
        <v>2028</v>
      </c>
      <c r="J2174" s="0" t="n">
        <v>3.92</v>
      </c>
      <c r="K2174" s="0" t="n">
        <v>82.67</v>
      </c>
      <c r="M2174" s="0" t="n">
        <v>2033</v>
      </c>
      <c r="N2174" s="0" t="n">
        <v>0.12</v>
      </c>
      <c r="O2174" s="0" t="n">
        <v>2.42</v>
      </c>
      <c r="Q2174" s="0" t="n">
        <v>2035</v>
      </c>
      <c r="R2174" s="0" t="n">
        <v>152</v>
      </c>
      <c r="W2174" s="0" t="n">
        <v>2033</v>
      </c>
      <c r="X2174" s="0" t="n">
        <v>9886.605</v>
      </c>
    </row>
    <row r="2175" customFormat="false" ht="15" hidden="false" customHeight="false" outlineLevel="0" collapsed="false">
      <c r="A2175" s="0" t="n">
        <v>2032</v>
      </c>
      <c r="B2175" s="0" t="n">
        <v>6.323322061</v>
      </c>
      <c r="C2175" s="0" t="n">
        <v>132.7897633</v>
      </c>
      <c r="E2175" s="0" t="n">
        <v>2033</v>
      </c>
      <c r="F2175" s="0" t="n">
        <v>207.365522</v>
      </c>
      <c r="G2175" s="0" t="n">
        <v>4351.708298</v>
      </c>
      <c r="I2175" s="0" t="n">
        <v>2028</v>
      </c>
      <c r="J2175" s="0" t="n">
        <v>116.64</v>
      </c>
      <c r="K2175" s="0" t="n">
        <v>2448</v>
      </c>
      <c r="M2175" s="0" t="n">
        <v>2033</v>
      </c>
      <c r="N2175" s="0" t="n">
        <v>10.26</v>
      </c>
      <c r="O2175" s="0" t="n">
        <v>208.62</v>
      </c>
      <c r="Q2175" s="0" t="n">
        <v>2035</v>
      </c>
      <c r="R2175" s="0" t="n">
        <v>72</v>
      </c>
      <c r="W2175" s="0" t="n">
        <v>2033</v>
      </c>
      <c r="X2175" s="0" t="n">
        <v>4419.894</v>
      </c>
    </row>
    <row r="2176" customFormat="false" ht="15" hidden="false" customHeight="false" outlineLevel="0" collapsed="false">
      <c r="A2176" s="0" t="n">
        <v>2032</v>
      </c>
      <c r="B2176" s="0" t="n">
        <v>23.3556914</v>
      </c>
      <c r="C2176" s="0" t="n">
        <v>490.4695194</v>
      </c>
      <c r="E2176" s="0" t="n">
        <v>2033</v>
      </c>
      <c r="F2176" s="0" t="n">
        <v>9.707594</v>
      </c>
      <c r="G2176" s="0" t="n">
        <v>203.720546</v>
      </c>
      <c r="I2176" s="0" t="n">
        <v>2028</v>
      </c>
      <c r="J2176" s="0" t="n">
        <v>38.88</v>
      </c>
      <c r="K2176" s="0" t="n">
        <v>816</v>
      </c>
      <c r="M2176" s="0" t="n">
        <v>2033</v>
      </c>
      <c r="N2176" s="0" t="n">
        <v>6.75</v>
      </c>
      <c r="O2176" s="0" t="n">
        <v>137.25</v>
      </c>
      <c r="Q2176" s="0" t="n">
        <v>2035</v>
      </c>
      <c r="R2176" s="0" t="n">
        <v>16</v>
      </c>
      <c r="W2176" s="0" t="n">
        <v>2033</v>
      </c>
      <c r="X2176" s="0" t="n">
        <v>1744.695</v>
      </c>
    </row>
    <row r="2177" customFormat="false" ht="15" hidden="false" customHeight="false" outlineLevel="0" collapsed="false">
      <c r="A2177" s="0" t="n">
        <v>2032</v>
      </c>
      <c r="B2177" s="0" t="n">
        <v>7.311146985</v>
      </c>
      <c r="C2177" s="0" t="n">
        <v>153.5340867</v>
      </c>
      <c r="E2177" s="0" t="n">
        <v>2033</v>
      </c>
      <c r="F2177" s="0" t="n">
        <v>53.080404</v>
      </c>
      <c r="G2177" s="0" t="n">
        <v>1113.928836</v>
      </c>
      <c r="I2177" s="0" t="n">
        <v>2028</v>
      </c>
      <c r="J2177" s="0" t="n">
        <v>17.01</v>
      </c>
      <c r="K2177" s="0" t="n">
        <v>357</v>
      </c>
      <c r="M2177" s="0" t="n">
        <v>2033</v>
      </c>
      <c r="N2177" s="0" t="n">
        <v>2.7</v>
      </c>
      <c r="O2177" s="0" t="n">
        <v>54.9</v>
      </c>
      <c r="Q2177" s="0" t="n">
        <v>2035</v>
      </c>
      <c r="R2177" s="0" t="n">
        <v>13</v>
      </c>
      <c r="W2177" s="0" t="n">
        <v>2033</v>
      </c>
      <c r="X2177" s="0" t="n">
        <v>2558.886</v>
      </c>
    </row>
    <row r="2178" customFormat="false" ht="15" hidden="false" customHeight="false" outlineLevel="0" collapsed="false">
      <c r="A2178" s="0" t="n">
        <v>2032</v>
      </c>
      <c r="B2178" s="0" t="n">
        <v>16.34727787</v>
      </c>
      <c r="C2178" s="0" t="n">
        <v>343.2928352</v>
      </c>
      <c r="E2178" s="0" t="n">
        <v>2033</v>
      </c>
      <c r="F2178" s="0" t="n">
        <v>48.536852</v>
      </c>
      <c r="G2178" s="0" t="n">
        <v>1018.579268</v>
      </c>
      <c r="I2178" s="0" t="n">
        <v>2028</v>
      </c>
      <c r="J2178" s="0" t="n">
        <v>9.72</v>
      </c>
      <c r="K2178" s="0" t="n">
        <v>204</v>
      </c>
      <c r="M2178" s="0" t="n">
        <v>2033</v>
      </c>
      <c r="N2178" s="0" t="n">
        <v>2.7</v>
      </c>
      <c r="O2178" s="0" t="n">
        <v>54.9</v>
      </c>
      <c r="Q2178" s="0" t="n">
        <v>2035</v>
      </c>
      <c r="R2178" s="0" t="n">
        <v>13</v>
      </c>
      <c r="W2178" s="0" t="n">
        <v>2033</v>
      </c>
      <c r="X2178" s="0" t="n">
        <v>1977.321</v>
      </c>
    </row>
    <row r="2179" customFormat="false" ht="15" hidden="false" customHeight="false" outlineLevel="0" collapsed="false">
      <c r="A2179" s="0" t="n">
        <v>2032</v>
      </c>
      <c r="B2179" s="0" t="n">
        <v>609.8383384</v>
      </c>
      <c r="C2179" s="0" t="n">
        <v>12806.60511</v>
      </c>
      <c r="E2179" s="0" t="n">
        <v>2033</v>
      </c>
      <c r="F2179" s="0" t="n">
        <v>1607.632472</v>
      </c>
      <c r="G2179" s="0" t="n">
        <v>33755.14242</v>
      </c>
      <c r="I2179" s="0" t="n">
        <v>2028</v>
      </c>
      <c r="J2179" s="0" t="n">
        <v>9.72</v>
      </c>
      <c r="K2179" s="0" t="n">
        <v>204</v>
      </c>
      <c r="M2179" s="0" t="n">
        <v>2033</v>
      </c>
      <c r="N2179" s="0" t="n">
        <v>1.62</v>
      </c>
      <c r="O2179" s="0" t="n">
        <v>32.94</v>
      </c>
      <c r="W2179" s="0" t="n">
        <v>2033</v>
      </c>
      <c r="X2179" s="0" t="n">
        <v>10401.12</v>
      </c>
    </row>
    <row r="2180" customFormat="false" ht="15" hidden="false" customHeight="false" outlineLevel="0" collapsed="false">
      <c r="A2180" s="0" t="n">
        <v>2032</v>
      </c>
      <c r="B2180" s="0" t="n">
        <v>153.8192621</v>
      </c>
      <c r="C2180" s="0" t="n">
        <v>3230.204504</v>
      </c>
      <c r="E2180" s="0" t="n">
        <v>2033</v>
      </c>
      <c r="F2180" s="0" t="n">
        <v>431.667128</v>
      </c>
      <c r="G2180" s="0" t="n">
        <v>9063.629678</v>
      </c>
      <c r="I2180" s="0" t="n">
        <v>2028</v>
      </c>
      <c r="J2180" s="0" t="n">
        <v>4.86</v>
      </c>
      <c r="K2180" s="0" t="n">
        <v>102</v>
      </c>
      <c r="M2180" s="0" t="n">
        <v>2033</v>
      </c>
      <c r="N2180" s="0" t="n">
        <v>1.35</v>
      </c>
      <c r="O2180" s="0" t="n">
        <v>27.45</v>
      </c>
      <c r="W2180" s="0" t="n">
        <v>2033</v>
      </c>
      <c r="X2180" s="0" t="n">
        <v>2600.28</v>
      </c>
    </row>
    <row r="2181" customFormat="false" ht="15" hidden="false" customHeight="false" outlineLevel="0" collapsed="false">
      <c r="A2181" s="0" t="n">
        <v>2032</v>
      </c>
      <c r="B2181" s="0" t="n">
        <v>137.1691825</v>
      </c>
      <c r="C2181" s="0" t="n">
        <v>2880.552831</v>
      </c>
      <c r="E2181" s="0" t="n">
        <v>2033</v>
      </c>
      <c r="F2181" s="0" t="n">
        <v>172.781336</v>
      </c>
      <c r="G2181" s="0" t="n">
        <v>3627.855686</v>
      </c>
      <c r="I2181" s="0" t="n">
        <v>2028</v>
      </c>
      <c r="J2181" s="0" t="n">
        <v>4.86</v>
      </c>
      <c r="K2181" s="0" t="n">
        <v>102</v>
      </c>
      <c r="M2181" s="0" t="n">
        <v>2033</v>
      </c>
      <c r="N2181" s="0" t="n">
        <v>1.08</v>
      </c>
      <c r="O2181" s="0" t="n">
        <v>21.96</v>
      </c>
      <c r="W2181" s="0" t="n">
        <v>2033</v>
      </c>
      <c r="X2181" s="0" t="n">
        <v>805.248</v>
      </c>
    </row>
    <row r="2182" customFormat="false" ht="15" hidden="false" customHeight="false" outlineLevel="0" collapsed="false">
      <c r="A2182" s="0" t="n">
        <v>2032</v>
      </c>
      <c r="B2182" s="0" t="n">
        <v>95.39303714</v>
      </c>
      <c r="C2182" s="0" t="n">
        <v>2003.25378</v>
      </c>
      <c r="E2182" s="0" t="n">
        <v>2033</v>
      </c>
      <c r="F2182" s="0" t="n">
        <v>24.270152</v>
      </c>
      <c r="G2182" s="0" t="n">
        <v>509.595602</v>
      </c>
      <c r="I2182" s="0" t="n">
        <v>2028</v>
      </c>
      <c r="J2182" s="0" t="n">
        <v>9.72</v>
      </c>
      <c r="K2182" s="0" t="n">
        <v>204</v>
      </c>
      <c r="M2182" s="0" t="n">
        <v>2033</v>
      </c>
      <c r="N2182" s="0" t="n">
        <v>0.54</v>
      </c>
      <c r="O2182" s="0" t="n">
        <v>10.98</v>
      </c>
      <c r="W2182" s="0" t="n">
        <v>2033</v>
      </c>
      <c r="X2182" s="0" t="n">
        <v>1425.96</v>
      </c>
    </row>
    <row r="2183" customFormat="false" ht="15" hidden="false" customHeight="false" outlineLevel="0" collapsed="false">
      <c r="A2183" s="0" t="n">
        <v>2032</v>
      </c>
      <c r="B2183" s="0" t="n">
        <v>70.9565302</v>
      </c>
      <c r="C2183" s="0" t="n">
        <v>1490.087134</v>
      </c>
      <c r="E2183" s="0" t="n">
        <v>2033</v>
      </c>
      <c r="F2183" s="0" t="n">
        <v>580.178312</v>
      </c>
      <c r="G2183" s="0" t="n">
        <v>12181.88976</v>
      </c>
      <c r="I2183" s="0" t="n">
        <v>2028</v>
      </c>
      <c r="J2183" s="0" t="n">
        <v>17.01</v>
      </c>
      <c r="K2183" s="0" t="n">
        <v>357</v>
      </c>
      <c r="M2183" s="0" t="n">
        <v>2033</v>
      </c>
      <c r="N2183" s="0" t="n">
        <v>34.58</v>
      </c>
      <c r="O2183" s="0" t="n">
        <v>725.8</v>
      </c>
      <c r="W2183" s="0" t="n">
        <v>2033</v>
      </c>
      <c r="X2183" s="0" t="n">
        <v>637.488</v>
      </c>
    </row>
    <row r="2184" customFormat="false" ht="15" hidden="false" customHeight="false" outlineLevel="0" collapsed="false">
      <c r="A2184" s="0" t="n">
        <v>2032</v>
      </c>
      <c r="B2184" s="0" t="n">
        <v>31.53623564</v>
      </c>
      <c r="C2184" s="0" t="n">
        <v>662.2609485</v>
      </c>
      <c r="E2184" s="0" t="n">
        <v>2033</v>
      </c>
      <c r="F2184" s="0" t="n">
        <v>27.160424</v>
      </c>
      <c r="G2184" s="0" t="n">
        <v>570.282074</v>
      </c>
      <c r="I2184" s="0" t="n">
        <v>2028</v>
      </c>
      <c r="J2184" s="0" t="n">
        <v>7.29</v>
      </c>
      <c r="K2184" s="0" t="n">
        <v>153</v>
      </c>
      <c r="M2184" s="0" t="n">
        <v>2033</v>
      </c>
      <c r="N2184" s="0" t="n">
        <v>22.75</v>
      </c>
      <c r="O2184" s="0" t="n">
        <v>477.5</v>
      </c>
      <c r="W2184" s="0" t="n">
        <v>2033</v>
      </c>
      <c r="X2184" s="0" t="n">
        <v>251.64</v>
      </c>
    </row>
    <row r="2185" customFormat="false" ht="15" hidden="false" customHeight="false" outlineLevel="0" collapsed="false">
      <c r="A2185" s="0" t="n">
        <v>2032</v>
      </c>
      <c r="B2185" s="0" t="n">
        <v>116.4815868</v>
      </c>
      <c r="C2185" s="0" t="n">
        <v>2446.113323</v>
      </c>
      <c r="E2185" s="0" t="n">
        <v>2033</v>
      </c>
      <c r="F2185" s="0" t="n">
        <v>148.511184</v>
      </c>
      <c r="G2185" s="0" t="n">
        <v>3118.260084</v>
      </c>
      <c r="I2185" s="0" t="n">
        <v>2028</v>
      </c>
      <c r="J2185" s="0" t="n">
        <v>7.29</v>
      </c>
      <c r="K2185" s="0" t="n">
        <v>153</v>
      </c>
      <c r="M2185" s="0" t="n">
        <v>2033</v>
      </c>
      <c r="N2185" s="0" t="n">
        <v>9.1</v>
      </c>
      <c r="O2185" s="0" t="n">
        <v>191</v>
      </c>
      <c r="W2185" s="0" t="n">
        <v>2033</v>
      </c>
      <c r="X2185" s="0" t="n">
        <v>369.072</v>
      </c>
    </row>
    <row r="2186" customFormat="false" ht="15" hidden="false" customHeight="false" outlineLevel="0" collapsed="false">
      <c r="A2186" s="0" t="n">
        <v>2032</v>
      </c>
      <c r="B2186" s="0" t="n">
        <v>36.46280419</v>
      </c>
      <c r="C2186" s="0" t="n">
        <v>765.718888</v>
      </c>
      <c r="E2186" s="0" t="n">
        <v>2033</v>
      </c>
      <c r="F2186" s="0" t="n">
        <v>135.798992</v>
      </c>
      <c r="G2186" s="0" t="n">
        <v>2851.344692</v>
      </c>
      <c r="I2186" s="0" t="n">
        <v>2028</v>
      </c>
      <c r="J2186" s="0" t="n">
        <v>15.08</v>
      </c>
      <c r="K2186" s="0" t="n">
        <v>319.8</v>
      </c>
      <c r="M2186" s="0" t="n">
        <v>2033</v>
      </c>
      <c r="N2186" s="0" t="n">
        <v>9.1</v>
      </c>
      <c r="O2186" s="0" t="n">
        <v>191</v>
      </c>
      <c r="W2186" s="0" t="n">
        <v>2033</v>
      </c>
      <c r="X2186" s="0" t="n">
        <v>285.192</v>
      </c>
    </row>
    <row r="2187" customFormat="false" ht="15" hidden="false" customHeight="false" outlineLevel="0" collapsed="false">
      <c r="A2187" s="0" t="n">
        <v>2032</v>
      </c>
      <c r="B2187" s="0" t="n">
        <v>81.52860189</v>
      </c>
      <c r="C2187" s="0" t="n">
        <v>1712.10064</v>
      </c>
      <c r="E2187" s="0" t="n">
        <v>2033</v>
      </c>
      <c r="F2187" s="0" t="n">
        <v>857.266932</v>
      </c>
      <c r="G2187" s="0" t="n">
        <v>17996.95213</v>
      </c>
      <c r="I2187" s="0" t="n">
        <v>2028</v>
      </c>
      <c r="J2187" s="0" t="n">
        <v>2.32</v>
      </c>
      <c r="K2187" s="0" t="n">
        <v>49.2</v>
      </c>
      <c r="M2187" s="0" t="n">
        <v>2033</v>
      </c>
      <c r="N2187" s="0" t="n">
        <v>5.46</v>
      </c>
      <c r="O2187" s="0" t="n">
        <v>114.6</v>
      </c>
      <c r="W2187" s="0" t="n">
        <v>2033</v>
      </c>
      <c r="X2187" s="0" t="n">
        <v>11298.26</v>
      </c>
    </row>
    <row r="2188" customFormat="false" ht="15" hidden="false" customHeight="false" outlineLevel="0" collapsed="false">
      <c r="A2188" s="0" t="n">
        <v>2032</v>
      </c>
      <c r="B2188" s="0" t="n">
        <v>229.6719988</v>
      </c>
      <c r="C2188" s="0" t="n">
        <v>4823.111976</v>
      </c>
      <c r="E2188" s="0" t="n">
        <v>2033</v>
      </c>
      <c r="F2188" s="0" t="n">
        <v>230.185668</v>
      </c>
      <c r="G2188" s="0" t="n">
        <v>4832.381017</v>
      </c>
      <c r="I2188" s="0" t="n">
        <v>2028</v>
      </c>
      <c r="J2188" s="0" t="n">
        <v>1.74</v>
      </c>
      <c r="K2188" s="0" t="n">
        <v>36.9</v>
      </c>
      <c r="M2188" s="0" t="n">
        <v>2033</v>
      </c>
      <c r="N2188" s="0" t="n">
        <v>4.55</v>
      </c>
      <c r="O2188" s="0" t="n">
        <v>95.5</v>
      </c>
      <c r="W2188" s="0" t="n">
        <v>2033</v>
      </c>
      <c r="X2188" s="0" t="n">
        <v>2824.565</v>
      </c>
    </row>
    <row r="2189" customFormat="false" ht="15" hidden="false" customHeight="false" outlineLevel="0" collapsed="false">
      <c r="A2189" s="0" t="n">
        <v>2032</v>
      </c>
      <c r="B2189" s="0" t="n">
        <v>57.9300696</v>
      </c>
      <c r="C2189" s="0" t="n">
        <v>1216.531462</v>
      </c>
      <c r="E2189" s="0" t="n">
        <v>2033</v>
      </c>
      <c r="F2189" s="0" t="n">
        <v>92.135316</v>
      </c>
      <c r="G2189" s="0" t="n">
        <v>1934.234029</v>
      </c>
      <c r="I2189" s="0" t="n">
        <v>2028</v>
      </c>
      <c r="J2189" s="0" t="n">
        <v>2.9</v>
      </c>
      <c r="K2189" s="0" t="n">
        <v>61.5</v>
      </c>
      <c r="M2189" s="0" t="n">
        <v>2033</v>
      </c>
      <c r="N2189" s="0" t="n">
        <v>3.64</v>
      </c>
      <c r="O2189" s="0" t="n">
        <v>76.4</v>
      </c>
      <c r="W2189" s="0" t="n">
        <v>2033</v>
      </c>
      <c r="X2189" s="0" t="n">
        <v>874.704</v>
      </c>
    </row>
    <row r="2190" customFormat="false" ht="15" hidden="false" customHeight="false" outlineLevel="0" collapsed="false">
      <c r="A2190" s="0" t="n">
        <v>2032</v>
      </c>
      <c r="B2190" s="0" t="n">
        <v>51.65946174</v>
      </c>
      <c r="C2190" s="0" t="n">
        <v>1084.848697</v>
      </c>
      <c r="E2190" s="0" t="n">
        <v>2033</v>
      </c>
      <c r="F2190" s="0" t="n">
        <v>12.942012</v>
      </c>
      <c r="G2190" s="0" t="n">
        <v>271.696903</v>
      </c>
      <c r="I2190" s="0" t="n">
        <v>2028</v>
      </c>
      <c r="J2190" s="0" t="n">
        <v>0.58</v>
      </c>
      <c r="K2190" s="0" t="n">
        <v>12.3</v>
      </c>
      <c r="M2190" s="0" t="n">
        <v>2033</v>
      </c>
      <c r="N2190" s="0" t="n">
        <v>1.82</v>
      </c>
      <c r="O2190" s="0" t="n">
        <v>38.2</v>
      </c>
      <c r="W2190" s="0" t="n">
        <v>2033</v>
      </c>
      <c r="X2190" s="0" t="n">
        <v>1548.955</v>
      </c>
    </row>
    <row r="2191" customFormat="false" ht="15" hidden="false" customHeight="false" outlineLevel="0" collapsed="false">
      <c r="A2191" s="0" t="n">
        <v>2032</v>
      </c>
      <c r="B2191" s="0" t="n">
        <v>35.92609407</v>
      </c>
      <c r="C2191" s="0" t="n">
        <v>754.4479755</v>
      </c>
      <c r="E2191" s="0" t="n">
        <v>2033</v>
      </c>
      <c r="F2191" s="0" t="n">
        <v>309.378972</v>
      </c>
      <c r="G2191" s="0" t="n">
        <v>6494.918143</v>
      </c>
      <c r="I2191" s="0" t="n">
        <v>2028</v>
      </c>
      <c r="J2191" s="0" t="n">
        <v>0.58</v>
      </c>
      <c r="K2191" s="0" t="n">
        <v>12.3</v>
      </c>
      <c r="M2191" s="0" t="n">
        <v>2033</v>
      </c>
      <c r="N2191" s="0" t="n">
        <v>1480.48</v>
      </c>
      <c r="O2191" s="0" t="n">
        <v>31088.56</v>
      </c>
      <c r="W2191" s="0" t="n">
        <v>2033</v>
      </c>
      <c r="X2191" s="0" t="n">
        <v>692.474</v>
      </c>
    </row>
    <row r="2192" customFormat="false" ht="15" hidden="false" customHeight="false" outlineLevel="0" collapsed="false">
      <c r="A2192" s="0" t="n">
        <v>2032</v>
      </c>
      <c r="B2192" s="0" t="n">
        <v>26.72302985</v>
      </c>
      <c r="C2192" s="0" t="n">
        <v>561.1836269</v>
      </c>
      <c r="E2192" s="0" t="n">
        <v>2033</v>
      </c>
      <c r="F2192" s="0" t="n">
        <v>14.483244</v>
      </c>
      <c r="G2192" s="0" t="n">
        <v>304.052611</v>
      </c>
      <c r="I2192" s="0" t="n">
        <v>2028</v>
      </c>
      <c r="J2192" s="0" t="n">
        <v>0</v>
      </c>
      <c r="K2192" s="0" t="n">
        <v>0</v>
      </c>
      <c r="M2192" s="0" t="n">
        <v>2033</v>
      </c>
      <c r="N2192" s="0" t="n">
        <v>974</v>
      </c>
      <c r="O2192" s="0" t="n">
        <v>20453</v>
      </c>
      <c r="W2192" s="0" t="n">
        <v>2033</v>
      </c>
      <c r="X2192" s="0" t="n">
        <v>273.345</v>
      </c>
    </row>
    <row r="2193" customFormat="false" ht="15" hidden="false" customHeight="false" outlineLevel="0" collapsed="false">
      <c r="A2193" s="0" t="n">
        <v>2032</v>
      </c>
      <c r="B2193" s="0" t="n">
        <v>11.87690216</v>
      </c>
      <c r="C2193" s="0" t="n">
        <v>249.4149453</v>
      </c>
      <c r="E2193" s="0" t="n">
        <v>2033</v>
      </c>
      <c r="F2193" s="0" t="n">
        <v>79.193304</v>
      </c>
      <c r="G2193" s="0" t="n">
        <v>1662.537126</v>
      </c>
      <c r="I2193" s="0" t="n">
        <v>2028</v>
      </c>
      <c r="J2193" s="0" t="n">
        <v>1.16</v>
      </c>
      <c r="K2193" s="0" t="n">
        <v>24.6</v>
      </c>
      <c r="M2193" s="0" t="n">
        <v>2033</v>
      </c>
      <c r="N2193" s="0" t="n">
        <v>389.6</v>
      </c>
      <c r="O2193" s="0" t="n">
        <v>8181.2</v>
      </c>
      <c r="W2193" s="0" t="n">
        <v>2033</v>
      </c>
      <c r="X2193" s="0" t="n">
        <v>400.906</v>
      </c>
    </row>
    <row r="2194" customFormat="false" ht="15" hidden="false" customHeight="false" outlineLevel="0" collapsed="false">
      <c r="A2194" s="0" t="n">
        <v>2032</v>
      </c>
      <c r="B2194" s="0" t="n">
        <v>43.86827982</v>
      </c>
      <c r="C2194" s="0" t="n">
        <v>921.2338761</v>
      </c>
      <c r="E2194" s="0" t="n">
        <v>2033</v>
      </c>
      <c r="F2194" s="0" t="n">
        <v>72.414552</v>
      </c>
      <c r="G2194" s="0" t="n">
        <v>1520.228038</v>
      </c>
      <c r="I2194" s="0" t="n">
        <v>2028</v>
      </c>
      <c r="J2194" s="0" t="n">
        <v>2.03</v>
      </c>
      <c r="K2194" s="0" t="n">
        <v>43.05</v>
      </c>
      <c r="M2194" s="0" t="n">
        <v>2033</v>
      </c>
      <c r="N2194" s="0" t="n">
        <v>389.6</v>
      </c>
      <c r="O2194" s="0" t="n">
        <v>8181.2</v>
      </c>
      <c r="W2194" s="0" t="n">
        <v>2033</v>
      </c>
      <c r="X2194" s="0" t="n">
        <v>309.791</v>
      </c>
    </row>
    <row r="2195" customFormat="false" ht="15" hidden="false" customHeight="false" outlineLevel="0" collapsed="false">
      <c r="A2195" s="0" t="n">
        <v>2032</v>
      </c>
      <c r="B2195" s="0" t="n">
        <v>13.73230346</v>
      </c>
      <c r="C2195" s="0" t="n">
        <v>288.3783726</v>
      </c>
      <c r="E2195" s="0" t="n">
        <v>2033</v>
      </c>
      <c r="F2195" s="0" t="n">
        <v>418.868435</v>
      </c>
      <c r="G2195" s="0" t="n">
        <v>8788.013951</v>
      </c>
      <c r="I2195" s="0" t="n">
        <v>2028</v>
      </c>
      <c r="J2195" s="0" t="n">
        <v>0.58</v>
      </c>
      <c r="K2195" s="0" t="n">
        <v>12.3</v>
      </c>
      <c r="M2195" s="0" t="n">
        <v>2033</v>
      </c>
      <c r="N2195" s="0" t="n">
        <v>233.76</v>
      </c>
      <c r="O2195" s="0" t="n">
        <v>4908.72</v>
      </c>
      <c r="W2195" s="0" t="n">
        <v>2033</v>
      </c>
      <c r="X2195" s="0" t="n">
        <v>3042.96</v>
      </c>
    </row>
    <row r="2196" customFormat="false" ht="15" hidden="false" customHeight="false" outlineLevel="0" collapsed="false">
      <c r="A2196" s="0" t="n">
        <v>2032</v>
      </c>
      <c r="B2196" s="0" t="n">
        <v>30.70459133</v>
      </c>
      <c r="C2196" s="0" t="n">
        <v>644.796418</v>
      </c>
      <c r="E2196" s="0" t="n">
        <v>2033</v>
      </c>
      <c r="F2196" s="0" t="n">
        <v>112.470815</v>
      </c>
      <c r="G2196" s="0" t="n">
        <v>2359.679099</v>
      </c>
      <c r="I2196" s="0" t="n">
        <v>2028</v>
      </c>
      <c r="J2196" s="0" t="n">
        <v>2.03</v>
      </c>
      <c r="K2196" s="0" t="n">
        <v>43.05</v>
      </c>
      <c r="M2196" s="0" t="n">
        <v>2033</v>
      </c>
      <c r="N2196" s="0" t="n">
        <v>194.8</v>
      </c>
      <c r="O2196" s="0" t="n">
        <v>4090.6</v>
      </c>
      <c r="W2196" s="0" t="n">
        <v>2033</v>
      </c>
      <c r="X2196" s="0" t="n">
        <v>760.74</v>
      </c>
    </row>
    <row r="2197" customFormat="false" ht="15" hidden="false" customHeight="false" outlineLevel="0" collapsed="false">
      <c r="A2197" s="0" t="n">
        <v>2032</v>
      </c>
      <c r="B2197" s="0" t="n">
        <v>389.8505831</v>
      </c>
      <c r="C2197" s="0" t="n">
        <v>8186.862246</v>
      </c>
      <c r="E2197" s="0" t="n">
        <v>2033</v>
      </c>
      <c r="F2197" s="0" t="n">
        <v>45.018155</v>
      </c>
      <c r="G2197" s="0" t="n">
        <v>944.497463</v>
      </c>
      <c r="I2197" s="0" t="n">
        <v>2028</v>
      </c>
      <c r="J2197" s="0" t="n">
        <v>100.32</v>
      </c>
      <c r="K2197" s="0" t="n">
        <v>2108.16</v>
      </c>
      <c r="M2197" s="0" t="n">
        <v>2033</v>
      </c>
      <c r="N2197" s="0" t="n">
        <v>155.84</v>
      </c>
      <c r="O2197" s="0" t="n">
        <v>3272.48</v>
      </c>
      <c r="W2197" s="0" t="n">
        <v>2033</v>
      </c>
      <c r="X2197" s="0" t="n">
        <v>235.584</v>
      </c>
    </row>
    <row r="2198" customFormat="false" ht="15" hidden="false" customHeight="false" outlineLevel="0" collapsed="false">
      <c r="A2198" s="0" t="n">
        <v>2032</v>
      </c>
      <c r="B2198" s="0" t="n">
        <v>98.3318451</v>
      </c>
      <c r="C2198" s="0" t="n">
        <v>2064.968747</v>
      </c>
      <c r="E2198" s="0" t="n">
        <v>2033</v>
      </c>
      <c r="F2198" s="0" t="n">
        <v>6.323585</v>
      </c>
      <c r="G2198" s="0" t="n">
        <v>132.671141</v>
      </c>
      <c r="I2198" s="0" t="n">
        <v>2028</v>
      </c>
      <c r="J2198" s="0" t="n">
        <v>33.44</v>
      </c>
      <c r="K2198" s="0" t="n">
        <v>702.72</v>
      </c>
      <c r="M2198" s="0" t="n">
        <v>2033</v>
      </c>
      <c r="N2198" s="0" t="n">
        <v>77.92</v>
      </c>
      <c r="O2198" s="0" t="n">
        <v>1636.24</v>
      </c>
      <c r="W2198" s="0" t="n">
        <v>2033</v>
      </c>
      <c r="X2198" s="0" t="n">
        <v>417.18</v>
      </c>
    </row>
    <row r="2199" customFormat="false" ht="15" hidden="false" customHeight="false" outlineLevel="0" collapsed="false">
      <c r="A2199" s="0" t="n">
        <v>2032</v>
      </c>
      <c r="B2199" s="0" t="n">
        <v>87.68796974</v>
      </c>
      <c r="C2199" s="0" t="n">
        <v>1841.447365</v>
      </c>
      <c r="E2199" s="0" t="n">
        <v>2033</v>
      </c>
      <c r="F2199" s="0" t="n">
        <v>151.165385</v>
      </c>
      <c r="G2199" s="0" t="n">
        <v>3171.505421</v>
      </c>
      <c r="I2199" s="0" t="n">
        <v>2028</v>
      </c>
      <c r="J2199" s="0" t="n">
        <v>14.63</v>
      </c>
      <c r="K2199" s="0" t="n">
        <v>307.44</v>
      </c>
      <c r="M2199" s="0" t="n">
        <v>2033</v>
      </c>
      <c r="N2199" s="0" t="n">
        <v>215.08</v>
      </c>
      <c r="O2199" s="0" t="n">
        <v>4511.36</v>
      </c>
      <c r="W2199" s="0" t="n">
        <v>2033</v>
      </c>
      <c r="X2199" s="0" t="n">
        <v>186.504</v>
      </c>
    </row>
    <row r="2200" customFormat="false" ht="15" hidden="false" customHeight="false" outlineLevel="0" collapsed="false">
      <c r="A2200" s="0" t="n">
        <v>2032</v>
      </c>
      <c r="B2200" s="0" t="n">
        <v>60.98178618</v>
      </c>
      <c r="C2200" s="0" t="n">
        <v>1280.61751</v>
      </c>
      <c r="E2200" s="0" t="n">
        <v>2033</v>
      </c>
      <c r="F2200" s="0" t="n">
        <v>7.076645</v>
      </c>
      <c r="G2200" s="0" t="n">
        <v>148.470617</v>
      </c>
      <c r="I2200" s="0" t="n">
        <v>2028</v>
      </c>
      <c r="J2200" s="0" t="n">
        <v>8.36</v>
      </c>
      <c r="K2200" s="0" t="n">
        <v>175.68</v>
      </c>
      <c r="M2200" s="0" t="n">
        <v>2033</v>
      </c>
      <c r="N2200" s="0" t="n">
        <v>141.5</v>
      </c>
      <c r="O2200" s="0" t="n">
        <v>2968</v>
      </c>
      <c r="W2200" s="0" t="n">
        <v>2033</v>
      </c>
      <c r="X2200" s="0" t="n">
        <v>73.62</v>
      </c>
    </row>
    <row r="2201" customFormat="false" ht="15" hidden="false" customHeight="false" outlineLevel="0" collapsed="false">
      <c r="A2201" s="0" t="n">
        <v>2032</v>
      </c>
      <c r="B2201" s="0" t="n">
        <v>45.3602913</v>
      </c>
      <c r="C2201" s="0" t="n">
        <v>952.5661173</v>
      </c>
      <c r="E2201" s="0" t="n">
        <v>2033</v>
      </c>
      <c r="F2201" s="0" t="n">
        <v>38.69457</v>
      </c>
      <c r="G2201" s="0" t="n">
        <v>811.826322</v>
      </c>
      <c r="I2201" s="0" t="n">
        <v>2028</v>
      </c>
      <c r="J2201" s="0" t="n">
        <v>8.36</v>
      </c>
      <c r="K2201" s="0" t="n">
        <v>175.68</v>
      </c>
      <c r="M2201" s="0" t="n">
        <v>2033</v>
      </c>
      <c r="N2201" s="0" t="n">
        <v>56.6</v>
      </c>
      <c r="O2201" s="0" t="n">
        <v>1187.2</v>
      </c>
      <c r="W2201" s="0" t="n">
        <v>2033</v>
      </c>
      <c r="X2201" s="0" t="n">
        <v>107.976</v>
      </c>
    </row>
    <row r="2202" customFormat="false" ht="15" hidden="false" customHeight="false" outlineLevel="0" collapsed="false">
      <c r="A2202" s="0" t="n">
        <v>2032</v>
      </c>
      <c r="B2202" s="0" t="n">
        <v>20.16012947</v>
      </c>
      <c r="C2202" s="0" t="n">
        <v>423.3627188</v>
      </c>
      <c r="E2202" s="0" t="n">
        <v>2033</v>
      </c>
      <c r="F2202" s="0" t="n">
        <v>35.38241</v>
      </c>
      <c r="G2202" s="0" t="n">
        <v>742.335986</v>
      </c>
      <c r="I2202" s="0" t="n">
        <v>2028</v>
      </c>
      <c r="J2202" s="0" t="n">
        <v>4.18</v>
      </c>
      <c r="K2202" s="0" t="n">
        <v>87.84</v>
      </c>
      <c r="M2202" s="0" t="n">
        <v>2033</v>
      </c>
      <c r="N2202" s="0" t="n">
        <v>56.6</v>
      </c>
      <c r="O2202" s="0" t="n">
        <v>1187.2</v>
      </c>
      <c r="W2202" s="0" t="n">
        <v>2033</v>
      </c>
      <c r="X2202" s="0" t="n">
        <v>83.436</v>
      </c>
    </row>
    <row r="2203" customFormat="false" ht="15" hidden="false" customHeight="false" outlineLevel="0" collapsed="false">
      <c r="A2203" s="0" t="n">
        <v>2032</v>
      </c>
      <c r="B2203" s="0" t="n">
        <v>74.46303665</v>
      </c>
      <c r="C2203" s="0" t="n">
        <v>1563.72377</v>
      </c>
      <c r="E2203" s="0" t="n">
        <v>2033</v>
      </c>
      <c r="F2203" s="0" t="n">
        <v>336.122646</v>
      </c>
      <c r="G2203" s="0" t="n">
        <v>7057.033719</v>
      </c>
      <c r="I2203" s="0" t="n">
        <v>2028</v>
      </c>
      <c r="J2203" s="0" t="n">
        <v>4.18</v>
      </c>
      <c r="K2203" s="0" t="n">
        <v>87.84</v>
      </c>
      <c r="M2203" s="0" t="n">
        <v>2033</v>
      </c>
      <c r="N2203" s="0" t="n">
        <v>33.96</v>
      </c>
      <c r="O2203" s="0" t="n">
        <v>712.32</v>
      </c>
      <c r="W2203" s="0" t="n">
        <v>2033</v>
      </c>
      <c r="X2203" s="0" t="n">
        <v>7023.36</v>
      </c>
    </row>
    <row r="2204" customFormat="false" ht="15" hidden="false" customHeight="false" outlineLevel="0" collapsed="false">
      <c r="A2204" s="0" t="n">
        <v>2032</v>
      </c>
      <c r="B2204" s="0" t="n">
        <v>23.30953071</v>
      </c>
      <c r="C2204" s="0" t="n">
        <v>489.5001449</v>
      </c>
      <c r="E2204" s="0" t="n">
        <v>2033</v>
      </c>
      <c r="F2204" s="0" t="n">
        <v>90.252654</v>
      </c>
      <c r="G2204" s="0" t="n">
        <v>1894.891731</v>
      </c>
      <c r="I2204" s="0" t="n">
        <v>2028</v>
      </c>
      <c r="J2204" s="0" t="n">
        <v>8.36</v>
      </c>
      <c r="K2204" s="0" t="n">
        <v>175.68</v>
      </c>
      <c r="M2204" s="0" t="n">
        <v>2033</v>
      </c>
      <c r="N2204" s="0" t="n">
        <v>28.3</v>
      </c>
      <c r="O2204" s="0" t="n">
        <v>593.6</v>
      </c>
      <c r="W2204" s="0" t="n">
        <v>2033</v>
      </c>
      <c r="X2204" s="0" t="n">
        <v>1755.84</v>
      </c>
    </row>
    <row r="2205" customFormat="false" ht="15" hidden="false" customHeight="false" outlineLevel="0" collapsed="false">
      <c r="A2205" s="0" t="n">
        <v>2032</v>
      </c>
      <c r="B2205" s="0" t="n">
        <v>52.1186862</v>
      </c>
      <c r="C2205" s="0" t="n">
        <v>1094.49241</v>
      </c>
      <c r="E2205" s="0" t="n">
        <v>2033</v>
      </c>
      <c r="F2205" s="0" t="n">
        <v>36.124998</v>
      </c>
      <c r="G2205" s="0" t="n">
        <v>758.459247</v>
      </c>
      <c r="I2205" s="0" t="n">
        <v>2028</v>
      </c>
      <c r="J2205" s="0" t="n">
        <v>14.63</v>
      </c>
      <c r="K2205" s="0" t="n">
        <v>307.44</v>
      </c>
      <c r="M2205" s="0" t="n">
        <v>2033</v>
      </c>
      <c r="N2205" s="0" t="n">
        <v>22.64</v>
      </c>
      <c r="O2205" s="0" t="n">
        <v>474.88</v>
      </c>
      <c r="W2205" s="0" t="n">
        <v>2033</v>
      </c>
      <c r="X2205" s="0" t="n">
        <v>543.744</v>
      </c>
    </row>
    <row r="2206" customFormat="false" ht="15" hidden="false" customHeight="false" outlineLevel="0" collapsed="false">
      <c r="A2206" s="0" t="n">
        <v>2032</v>
      </c>
      <c r="B2206" s="0" t="n">
        <v>153.6925323</v>
      </c>
      <c r="C2206" s="0" t="n">
        <v>3227.543178</v>
      </c>
      <c r="E2206" s="0" t="n">
        <v>2033</v>
      </c>
      <c r="F2206" s="0" t="n">
        <v>5.074386</v>
      </c>
      <c r="G2206" s="0" t="n">
        <v>106.538829</v>
      </c>
      <c r="I2206" s="0" t="n">
        <v>2028</v>
      </c>
      <c r="J2206" s="0" t="n">
        <v>6.27</v>
      </c>
      <c r="K2206" s="0" t="n">
        <v>131.76</v>
      </c>
      <c r="M2206" s="0" t="n">
        <v>2033</v>
      </c>
      <c r="N2206" s="0" t="n">
        <v>11.32</v>
      </c>
      <c r="O2206" s="0" t="n">
        <v>237.44</v>
      </c>
      <c r="W2206" s="0" t="n">
        <v>2033</v>
      </c>
      <c r="X2206" s="0" t="n">
        <v>962.88</v>
      </c>
    </row>
    <row r="2207" customFormat="false" ht="15" hidden="false" customHeight="false" outlineLevel="0" collapsed="false">
      <c r="A2207" s="0" t="n">
        <v>2032</v>
      </c>
      <c r="B2207" s="0" t="n">
        <v>38.76580139</v>
      </c>
      <c r="C2207" s="0" t="n">
        <v>814.0818292</v>
      </c>
      <c r="E2207" s="0" t="n">
        <v>2033</v>
      </c>
      <c r="F2207" s="0" t="n">
        <v>121.303266</v>
      </c>
      <c r="G2207" s="0" t="n">
        <v>2546.812149</v>
      </c>
      <c r="I2207" s="0" t="n">
        <v>2028</v>
      </c>
      <c r="J2207" s="0" t="n">
        <v>6.27</v>
      </c>
      <c r="K2207" s="0" t="n">
        <v>131.76</v>
      </c>
      <c r="M2207" s="0" t="n">
        <v>2033</v>
      </c>
      <c r="N2207" s="0" t="n">
        <v>264.1</v>
      </c>
      <c r="O2207" s="0" t="n">
        <v>5540.02</v>
      </c>
      <c r="W2207" s="0" t="n">
        <v>2033</v>
      </c>
      <c r="X2207" s="0" t="n">
        <v>430.464</v>
      </c>
    </row>
    <row r="2208" customFormat="false" ht="15" hidden="false" customHeight="false" outlineLevel="0" collapsed="false">
      <c r="A2208" s="0" t="n">
        <v>2032</v>
      </c>
      <c r="B2208" s="0" t="n">
        <v>34.56961899</v>
      </c>
      <c r="C2208" s="0" t="n">
        <v>725.9619987</v>
      </c>
      <c r="E2208" s="0" t="n">
        <v>2033</v>
      </c>
      <c r="F2208" s="0" t="n">
        <v>5.678682</v>
      </c>
      <c r="G2208" s="0" t="n">
        <v>119.226273</v>
      </c>
      <c r="I2208" s="0" t="n">
        <v>2028</v>
      </c>
      <c r="J2208" s="0" t="n">
        <v>20.28</v>
      </c>
      <c r="K2208" s="0" t="n">
        <v>427.44</v>
      </c>
      <c r="M2208" s="0" t="n">
        <v>2033</v>
      </c>
      <c r="N2208" s="0" t="n">
        <v>173.75</v>
      </c>
      <c r="O2208" s="0" t="n">
        <v>3644.75</v>
      </c>
      <c r="W2208" s="0" t="n">
        <v>2033</v>
      </c>
      <c r="X2208" s="0" t="n">
        <v>169.92</v>
      </c>
    </row>
    <row r="2209" customFormat="false" ht="15" hidden="false" customHeight="false" outlineLevel="0" collapsed="false">
      <c r="A2209" s="0" t="n">
        <v>2032</v>
      </c>
      <c r="B2209" s="0" t="n">
        <v>24.04112126</v>
      </c>
      <c r="C2209" s="0" t="n">
        <v>504.8635464</v>
      </c>
      <c r="E2209" s="0" t="n">
        <v>2033</v>
      </c>
      <c r="F2209" s="0" t="n">
        <v>31.050612</v>
      </c>
      <c r="G2209" s="0" t="n">
        <v>651.920418</v>
      </c>
      <c r="I2209" s="0" t="n">
        <v>2028</v>
      </c>
      <c r="J2209" s="0" t="n">
        <v>3.12</v>
      </c>
      <c r="K2209" s="0" t="n">
        <v>65.76</v>
      </c>
      <c r="M2209" s="0" t="n">
        <v>2033</v>
      </c>
      <c r="N2209" s="0" t="n">
        <v>69.5</v>
      </c>
      <c r="O2209" s="0" t="n">
        <v>1457.9</v>
      </c>
      <c r="W2209" s="0" t="n">
        <v>2033</v>
      </c>
      <c r="X2209" s="0" t="n">
        <v>249.216</v>
      </c>
    </row>
    <row r="2210" customFormat="false" ht="15" hidden="false" customHeight="false" outlineLevel="0" collapsed="false">
      <c r="A2210" s="0" t="n">
        <v>2032</v>
      </c>
      <c r="B2210" s="0" t="n">
        <v>17.88258973</v>
      </c>
      <c r="C2210" s="0" t="n">
        <v>375.5343843</v>
      </c>
      <c r="E2210" s="0" t="n">
        <v>2033</v>
      </c>
      <c r="F2210" s="0" t="n">
        <v>28.392756</v>
      </c>
      <c r="G2210" s="0" t="n">
        <v>596.117634</v>
      </c>
      <c r="I2210" s="0" t="n">
        <v>2028</v>
      </c>
      <c r="J2210" s="0" t="n">
        <v>2.34</v>
      </c>
      <c r="K2210" s="0" t="n">
        <v>49.32</v>
      </c>
      <c r="M2210" s="0" t="n">
        <v>2033</v>
      </c>
      <c r="N2210" s="0" t="n">
        <v>69.5</v>
      </c>
      <c r="O2210" s="0" t="n">
        <v>1457.9</v>
      </c>
      <c r="W2210" s="0" t="n">
        <v>2033</v>
      </c>
      <c r="X2210" s="0" t="n">
        <v>192.576</v>
      </c>
    </row>
    <row r="2211" customFormat="false" ht="15" hidden="false" customHeight="false" outlineLevel="0" collapsed="false">
      <c r="A2211" s="0" t="n">
        <v>2032</v>
      </c>
      <c r="B2211" s="0" t="n">
        <v>7.947817658</v>
      </c>
      <c r="C2211" s="0" t="n">
        <v>166.9041708</v>
      </c>
      <c r="E2211" s="0" t="n">
        <v>2033</v>
      </c>
      <c r="F2211" s="0" t="n">
        <v>216.372529</v>
      </c>
      <c r="G2211" s="0" t="n">
        <v>4537.141772</v>
      </c>
      <c r="I2211" s="0" t="n">
        <v>2028</v>
      </c>
      <c r="J2211" s="0" t="n">
        <v>3.9</v>
      </c>
      <c r="K2211" s="0" t="n">
        <v>82.2</v>
      </c>
      <c r="M2211" s="0" t="n">
        <v>2033</v>
      </c>
      <c r="N2211" s="0" t="n">
        <v>41.7</v>
      </c>
      <c r="O2211" s="0" t="n">
        <v>874.74</v>
      </c>
      <c r="W2211" s="0" t="n">
        <v>2033</v>
      </c>
      <c r="X2211" s="0" t="n">
        <v>1774.44</v>
      </c>
    </row>
    <row r="2212" customFormat="false" ht="15" hidden="false" customHeight="false" outlineLevel="0" collapsed="false">
      <c r="A2212" s="0" t="n">
        <v>2032</v>
      </c>
      <c r="B2212" s="0" t="n">
        <v>29.35589469</v>
      </c>
      <c r="C2212" s="0" t="n">
        <v>616.4737885</v>
      </c>
      <c r="E2212" s="0" t="n">
        <v>2033</v>
      </c>
      <c r="F2212" s="0" t="n">
        <v>58.098421</v>
      </c>
      <c r="G2212" s="0" t="n">
        <v>1218.272828</v>
      </c>
      <c r="I2212" s="0" t="n">
        <v>2028</v>
      </c>
      <c r="J2212" s="0" t="n">
        <v>0.78</v>
      </c>
      <c r="K2212" s="0" t="n">
        <v>16.44</v>
      </c>
      <c r="M2212" s="0" t="n">
        <v>2033</v>
      </c>
      <c r="N2212" s="0" t="n">
        <v>34.75</v>
      </c>
      <c r="O2212" s="0" t="n">
        <v>728.95</v>
      </c>
      <c r="W2212" s="0" t="n">
        <v>2033</v>
      </c>
      <c r="X2212" s="0" t="n">
        <v>443.61</v>
      </c>
    </row>
    <row r="2213" customFormat="false" ht="15" hidden="false" customHeight="false" outlineLevel="0" collapsed="false">
      <c r="A2213" s="0" t="n">
        <v>2032</v>
      </c>
      <c r="B2213" s="0" t="n">
        <v>9.189420141</v>
      </c>
      <c r="C2213" s="0" t="n">
        <v>192.977823</v>
      </c>
      <c r="E2213" s="0" t="n">
        <v>2033</v>
      </c>
      <c r="F2213" s="0" t="n">
        <v>23.254777</v>
      </c>
      <c r="G2213" s="0" t="n">
        <v>487.632236</v>
      </c>
      <c r="I2213" s="0" t="n">
        <v>2028</v>
      </c>
      <c r="J2213" s="0" t="n">
        <v>0.78</v>
      </c>
      <c r="K2213" s="0" t="n">
        <v>16.44</v>
      </c>
      <c r="M2213" s="0" t="n">
        <v>2033</v>
      </c>
      <c r="N2213" s="0" t="n">
        <v>27.8</v>
      </c>
      <c r="O2213" s="0" t="n">
        <v>583.16</v>
      </c>
      <c r="W2213" s="0" t="n">
        <v>2033</v>
      </c>
      <c r="X2213" s="0" t="n">
        <v>137.376</v>
      </c>
    </row>
    <row r="2214" customFormat="false" ht="15" hidden="false" customHeight="false" outlineLevel="0" collapsed="false">
      <c r="A2214" s="0" t="n">
        <v>2032</v>
      </c>
      <c r="B2214" s="0" t="n">
        <v>20.54698186</v>
      </c>
      <c r="C2214" s="0" t="n">
        <v>431.4866191</v>
      </c>
      <c r="E2214" s="0" t="n">
        <v>2033</v>
      </c>
      <c r="F2214" s="0" t="n">
        <v>3.266539</v>
      </c>
      <c r="G2214" s="0" t="n">
        <v>68.496452</v>
      </c>
      <c r="I2214" s="0" t="n">
        <v>2028</v>
      </c>
      <c r="J2214" s="0" t="n">
        <v>0</v>
      </c>
      <c r="K2214" s="0" t="n">
        <v>0</v>
      </c>
      <c r="M2214" s="0" t="n">
        <v>2033</v>
      </c>
      <c r="N2214" s="0" t="n">
        <v>13.9</v>
      </c>
      <c r="O2214" s="0" t="n">
        <v>291.58</v>
      </c>
      <c r="W2214" s="0" t="n">
        <v>2033</v>
      </c>
      <c r="X2214" s="0" t="n">
        <v>243.27</v>
      </c>
    </row>
    <row r="2215" customFormat="false" ht="15" hidden="false" customHeight="false" outlineLevel="0" collapsed="false">
      <c r="A2215" s="0" t="n">
        <v>2032</v>
      </c>
      <c r="B2215" s="0" t="n">
        <v>300.8392333</v>
      </c>
      <c r="C2215" s="0" t="n">
        <v>6317.623898</v>
      </c>
      <c r="E2215" s="0" t="n">
        <v>2033</v>
      </c>
      <c r="F2215" s="0" t="n">
        <v>78.086659</v>
      </c>
      <c r="G2215" s="0" t="n">
        <v>1637.408612</v>
      </c>
      <c r="I2215" s="0" t="n">
        <v>2028</v>
      </c>
      <c r="J2215" s="0" t="n">
        <v>1.56</v>
      </c>
      <c r="K2215" s="0" t="n">
        <v>32.88</v>
      </c>
      <c r="M2215" s="0" t="n">
        <v>2033</v>
      </c>
      <c r="N2215" s="0" t="n">
        <v>427.88</v>
      </c>
      <c r="O2215" s="0" t="n">
        <v>8979.78</v>
      </c>
      <c r="W2215" s="0" t="n">
        <v>2033</v>
      </c>
      <c r="X2215" s="0" t="n">
        <v>108.756</v>
      </c>
    </row>
    <row r="2216" customFormat="false" ht="15" hidden="false" customHeight="false" outlineLevel="0" collapsed="false">
      <c r="A2216" s="0" t="n">
        <v>2032</v>
      </c>
      <c r="B2216" s="0" t="n">
        <v>75.88055056</v>
      </c>
      <c r="C2216" s="0" t="n">
        <v>1593.491562</v>
      </c>
      <c r="E2216" s="0" t="n">
        <v>2033</v>
      </c>
      <c r="F2216" s="0" t="n">
        <v>3.655543</v>
      </c>
      <c r="G2216" s="0" t="n">
        <v>76.653524</v>
      </c>
      <c r="I2216" s="0" t="n">
        <v>2028</v>
      </c>
      <c r="J2216" s="0" t="n">
        <v>2.73</v>
      </c>
      <c r="K2216" s="0" t="n">
        <v>57.54</v>
      </c>
      <c r="M2216" s="0" t="n">
        <v>2033</v>
      </c>
      <c r="N2216" s="0" t="n">
        <v>281.5</v>
      </c>
      <c r="O2216" s="0" t="n">
        <v>5907.75</v>
      </c>
      <c r="W2216" s="0" t="n">
        <v>2033</v>
      </c>
      <c r="X2216" s="0" t="n">
        <v>42.93</v>
      </c>
    </row>
    <row r="2217" customFormat="false" ht="15" hidden="false" customHeight="false" outlineLevel="0" collapsed="false">
      <c r="A2217" s="0" t="n">
        <v>2032</v>
      </c>
      <c r="B2217" s="0" t="n">
        <v>67.66690297</v>
      </c>
      <c r="C2217" s="0" t="n">
        <v>1421.004962</v>
      </c>
      <c r="E2217" s="0" t="n">
        <v>2033</v>
      </c>
      <c r="F2217" s="0" t="n">
        <v>19.988238</v>
      </c>
      <c r="G2217" s="0" t="n">
        <v>419.135784</v>
      </c>
      <c r="I2217" s="0" t="n">
        <v>2028</v>
      </c>
      <c r="J2217" s="0" t="n">
        <v>0.78</v>
      </c>
      <c r="K2217" s="0" t="n">
        <v>16.44</v>
      </c>
      <c r="M2217" s="0" t="n">
        <v>2033</v>
      </c>
      <c r="N2217" s="0" t="n">
        <v>112.6</v>
      </c>
      <c r="O2217" s="0" t="n">
        <v>2363.1</v>
      </c>
      <c r="W2217" s="0" t="n">
        <v>2033</v>
      </c>
      <c r="X2217" s="0" t="n">
        <v>62.964</v>
      </c>
    </row>
    <row r="2218" customFormat="false" ht="15" hidden="false" customHeight="false" outlineLevel="0" collapsed="false">
      <c r="A2218" s="0" t="n">
        <v>2032</v>
      </c>
      <c r="B2218" s="0" t="n">
        <v>47.05832078</v>
      </c>
      <c r="C2218" s="0" t="n">
        <v>988.2247363</v>
      </c>
      <c r="E2218" s="0" t="n">
        <v>2033</v>
      </c>
      <c r="F2218" s="0" t="n">
        <v>18.277294</v>
      </c>
      <c r="G2218" s="0" t="n">
        <v>383.258792</v>
      </c>
      <c r="I2218" s="0" t="n">
        <v>2028</v>
      </c>
      <c r="J2218" s="0" t="n">
        <v>2.73</v>
      </c>
      <c r="K2218" s="0" t="n">
        <v>57.54</v>
      </c>
      <c r="M2218" s="0" t="n">
        <v>2033</v>
      </c>
      <c r="N2218" s="0" t="n">
        <v>112.6</v>
      </c>
      <c r="O2218" s="0" t="n">
        <v>2363.1</v>
      </c>
      <c r="W2218" s="0" t="n">
        <v>2033</v>
      </c>
      <c r="X2218" s="0" t="n">
        <v>48.654</v>
      </c>
    </row>
    <row r="2219" customFormat="false" ht="15" hidden="false" customHeight="false" outlineLevel="0" collapsed="false">
      <c r="A2219" s="0" t="n">
        <v>2032</v>
      </c>
      <c r="B2219" s="0" t="n">
        <v>35.00355224</v>
      </c>
      <c r="C2219" s="0" t="n">
        <v>735.0745971</v>
      </c>
      <c r="E2219" s="0" t="n">
        <v>2033</v>
      </c>
      <c r="F2219" s="0" t="n">
        <v>222.025968</v>
      </c>
      <c r="G2219" s="0" t="n">
        <v>4652.780297</v>
      </c>
      <c r="I2219" s="0" t="n">
        <v>2028</v>
      </c>
      <c r="J2219" s="0" t="n">
        <v>106.56</v>
      </c>
      <c r="K2219" s="0" t="n">
        <v>2242.08</v>
      </c>
      <c r="M2219" s="0" t="n">
        <v>2033</v>
      </c>
      <c r="N2219" s="0" t="n">
        <v>67.56</v>
      </c>
      <c r="O2219" s="0" t="n">
        <v>1417.86</v>
      </c>
      <c r="W2219" s="0" t="n">
        <v>2033</v>
      </c>
      <c r="X2219" s="0" t="n">
        <v>3127.9</v>
      </c>
    </row>
    <row r="2220" customFormat="false" ht="15" hidden="false" customHeight="false" outlineLevel="0" collapsed="false">
      <c r="A2220" s="0" t="n">
        <v>2032</v>
      </c>
      <c r="B2220" s="0" t="n">
        <v>15.55713433</v>
      </c>
      <c r="C2220" s="0" t="n">
        <v>326.6998209</v>
      </c>
      <c r="E2220" s="0" t="n">
        <v>2033</v>
      </c>
      <c r="F2220" s="0" t="n">
        <v>59.616432</v>
      </c>
      <c r="G2220" s="0" t="n">
        <v>1249.323053</v>
      </c>
      <c r="I2220" s="0" t="n">
        <v>2028</v>
      </c>
      <c r="J2220" s="0" t="n">
        <v>35.52</v>
      </c>
      <c r="K2220" s="0" t="n">
        <v>747.36</v>
      </c>
      <c r="M2220" s="0" t="n">
        <v>2033</v>
      </c>
      <c r="N2220" s="0" t="n">
        <v>56.3</v>
      </c>
      <c r="O2220" s="0" t="n">
        <v>1181.55</v>
      </c>
      <c r="W2220" s="0" t="n">
        <v>2033</v>
      </c>
      <c r="X2220" s="0" t="n">
        <v>781.975</v>
      </c>
    </row>
    <row r="2221" customFormat="false" ht="15" hidden="false" customHeight="false" outlineLevel="0" collapsed="false">
      <c r="A2221" s="0" t="n">
        <v>2032</v>
      </c>
      <c r="B2221" s="0" t="n">
        <v>57.46150915</v>
      </c>
      <c r="C2221" s="0" t="n">
        <v>1206.691692</v>
      </c>
      <c r="E2221" s="0" t="n">
        <v>2033</v>
      </c>
      <c r="F2221" s="0" t="n">
        <v>23.862384</v>
      </c>
      <c r="G2221" s="0" t="n">
        <v>500.060561</v>
      </c>
      <c r="I2221" s="0" t="n">
        <v>2028</v>
      </c>
      <c r="J2221" s="0" t="n">
        <v>15.54</v>
      </c>
      <c r="K2221" s="0" t="n">
        <v>326.97</v>
      </c>
      <c r="M2221" s="0" t="n">
        <v>2033</v>
      </c>
      <c r="N2221" s="0" t="n">
        <v>45.04</v>
      </c>
      <c r="O2221" s="0" t="n">
        <v>945.24</v>
      </c>
      <c r="W2221" s="0" t="n">
        <v>2033</v>
      </c>
      <c r="X2221" s="0" t="n">
        <v>242.16</v>
      </c>
    </row>
    <row r="2222" customFormat="false" ht="15" hidden="false" customHeight="false" outlineLevel="0" collapsed="false">
      <c r="A2222" s="0" t="n">
        <v>2032</v>
      </c>
      <c r="B2222" s="0" t="n">
        <v>17.98745891</v>
      </c>
      <c r="C2222" s="0" t="n">
        <v>377.7366371</v>
      </c>
      <c r="E2222" s="0" t="n">
        <v>2033</v>
      </c>
      <c r="F2222" s="0" t="n">
        <v>3.351888</v>
      </c>
      <c r="G2222" s="0" t="n">
        <v>70.242227</v>
      </c>
      <c r="I2222" s="0" t="n">
        <v>2028</v>
      </c>
      <c r="J2222" s="0" t="n">
        <v>8.88</v>
      </c>
      <c r="K2222" s="0" t="n">
        <v>186.84</v>
      </c>
      <c r="M2222" s="0" t="n">
        <v>2033</v>
      </c>
      <c r="N2222" s="0" t="n">
        <v>22.52</v>
      </c>
      <c r="O2222" s="0" t="n">
        <v>472.62</v>
      </c>
      <c r="W2222" s="0" t="n">
        <v>2033</v>
      </c>
      <c r="X2222" s="0" t="n">
        <v>428.825</v>
      </c>
    </row>
    <row r="2223" customFormat="false" ht="15" hidden="false" customHeight="false" outlineLevel="0" collapsed="false">
      <c r="A2223" s="0" t="n">
        <v>2032</v>
      </c>
      <c r="B2223" s="0" t="n">
        <v>40.2188589</v>
      </c>
      <c r="C2223" s="0" t="n">
        <v>844.5960368</v>
      </c>
      <c r="E2223" s="0" t="n">
        <v>2033</v>
      </c>
      <c r="F2223" s="0" t="n">
        <v>80.126928</v>
      </c>
      <c r="G2223" s="0" t="n">
        <v>1679.141387</v>
      </c>
      <c r="I2223" s="0" t="n">
        <v>2028</v>
      </c>
      <c r="J2223" s="0" t="n">
        <v>8.88</v>
      </c>
      <c r="K2223" s="0" t="n">
        <v>186.84</v>
      </c>
      <c r="M2223" s="0" t="n">
        <v>2033</v>
      </c>
      <c r="N2223" s="0" t="n">
        <v>27.74</v>
      </c>
      <c r="O2223" s="0" t="n">
        <v>578.74</v>
      </c>
      <c r="W2223" s="0" t="n">
        <v>2033</v>
      </c>
      <c r="X2223" s="0" t="n">
        <v>191.71</v>
      </c>
    </row>
    <row r="2224" customFormat="false" ht="15" hidden="false" customHeight="false" outlineLevel="0" collapsed="false">
      <c r="A2224" s="0" t="n">
        <v>2032</v>
      </c>
      <c r="B2224" s="0" t="n">
        <v>197.9292005</v>
      </c>
      <c r="C2224" s="0" t="n">
        <v>4156.51321</v>
      </c>
      <c r="E2224" s="0" t="n">
        <v>2033</v>
      </c>
      <c r="F2224" s="0" t="n">
        <v>3.751056</v>
      </c>
      <c r="G2224" s="0" t="n">
        <v>78.607199</v>
      </c>
      <c r="I2224" s="0" t="n">
        <v>2028</v>
      </c>
      <c r="J2224" s="0" t="n">
        <v>4.44</v>
      </c>
      <c r="K2224" s="0" t="n">
        <v>93.42</v>
      </c>
      <c r="M2224" s="0" t="n">
        <v>2033</v>
      </c>
      <c r="N2224" s="0" t="n">
        <v>18.25</v>
      </c>
      <c r="O2224" s="0" t="n">
        <v>380.75</v>
      </c>
      <c r="W2224" s="0" t="n">
        <v>2033</v>
      </c>
      <c r="X2224" s="0" t="n">
        <v>75.675</v>
      </c>
    </row>
    <row r="2225" customFormat="false" ht="15" hidden="false" customHeight="false" outlineLevel="0" collapsed="false">
      <c r="A2225" s="0" t="n">
        <v>2032</v>
      </c>
      <c r="B2225" s="0" t="n">
        <v>49.9235972</v>
      </c>
      <c r="C2225" s="0" t="n">
        <v>1048.395541</v>
      </c>
      <c r="E2225" s="0" t="n">
        <v>2033</v>
      </c>
      <c r="F2225" s="0" t="n">
        <v>20.510496</v>
      </c>
      <c r="G2225" s="0" t="n">
        <v>429.818334</v>
      </c>
      <c r="I2225" s="0" t="n">
        <v>2028</v>
      </c>
      <c r="J2225" s="0" t="n">
        <v>4.44</v>
      </c>
      <c r="K2225" s="0" t="n">
        <v>93.42</v>
      </c>
      <c r="M2225" s="0" t="n">
        <v>2033</v>
      </c>
      <c r="N2225" s="0" t="n">
        <v>7.3</v>
      </c>
      <c r="O2225" s="0" t="n">
        <v>152.3</v>
      </c>
      <c r="W2225" s="0" t="n">
        <v>2033</v>
      </c>
      <c r="X2225" s="0" t="n">
        <v>110.99</v>
      </c>
    </row>
    <row r="2226" customFormat="false" ht="15" hidden="false" customHeight="false" outlineLevel="0" collapsed="false">
      <c r="A2226" s="0" t="n">
        <v>2032</v>
      </c>
      <c r="B2226" s="0" t="n">
        <v>44.51964545</v>
      </c>
      <c r="C2226" s="0" t="n">
        <v>934.9125545</v>
      </c>
      <c r="E2226" s="0" t="n">
        <v>2033</v>
      </c>
      <c r="F2226" s="0" t="n">
        <v>18.754848</v>
      </c>
      <c r="G2226" s="0" t="n">
        <v>393.026942</v>
      </c>
      <c r="I2226" s="0" t="n">
        <v>2028</v>
      </c>
      <c r="J2226" s="0" t="n">
        <v>8.88</v>
      </c>
      <c r="K2226" s="0" t="n">
        <v>186.84</v>
      </c>
      <c r="M2226" s="0" t="n">
        <v>2033</v>
      </c>
      <c r="N2226" s="0" t="n">
        <v>7.3</v>
      </c>
      <c r="O2226" s="0" t="n">
        <v>152.3</v>
      </c>
      <c r="W2226" s="0" t="n">
        <v>2033</v>
      </c>
      <c r="X2226" s="0" t="n">
        <v>85.765</v>
      </c>
    </row>
    <row r="2227" customFormat="false" ht="15" hidden="false" customHeight="false" outlineLevel="0" collapsed="false">
      <c r="A2227" s="0" t="n">
        <v>2032</v>
      </c>
      <c r="B2227" s="0" t="n">
        <v>30.96077498</v>
      </c>
      <c r="C2227" s="0" t="n">
        <v>650.1762746</v>
      </c>
      <c r="E2227" s="0" t="n">
        <v>2033</v>
      </c>
      <c r="F2227" s="0" t="n">
        <v>838.250819</v>
      </c>
      <c r="G2227" s="0" t="n">
        <v>17595.04402</v>
      </c>
      <c r="I2227" s="0" t="n">
        <v>2028</v>
      </c>
      <c r="J2227" s="0" t="n">
        <v>15.54</v>
      </c>
      <c r="K2227" s="0" t="n">
        <v>326.97</v>
      </c>
      <c r="M2227" s="0" t="n">
        <v>2033</v>
      </c>
      <c r="N2227" s="0" t="n">
        <v>4.38</v>
      </c>
      <c r="O2227" s="0" t="n">
        <v>91.38</v>
      </c>
      <c r="W2227" s="0" t="n">
        <v>2033</v>
      </c>
      <c r="X2227" s="0" t="n">
        <v>29631.04</v>
      </c>
    </row>
    <row r="2228" customFormat="false" ht="15" hidden="false" customHeight="false" outlineLevel="0" collapsed="false">
      <c r="A2228" s="0" t="n">
        <v>2032</v>
      </c>
      <c r="B2228" s="0" t="n">
        <v>23.02965951</v>
      </c>
      <c r="C2228" s="0" t="n">
        <v>483.6228497</v>
      </c>
      <c r="E2228" s="0" t="n">
        <v>2033</v>
      </c>
      <c r="F2228" s="0" t="n">
        <v>225.079631</v>
      </c>
      <c r="G2228" s="0" t="n">
        <v>4724.464235</v>
      </c>
      <c r="I2228" s="0" t="n">
        <v>2028</v>
      </c>
      <c r="J2228" s="0" t="n">
        <v>6.66</v>
      </c>
      <c r="K2228" s="0" t="n">
        <v>140.13</v>
      </c>
      <c r="M2228" s="0" t="n">
        <v>2033</v>
      </c>
      <c r="N2228" s="0" t="n">
        <v>3.65</v>
      </c>
      <c r="O2228" s="0" t="n">
        <v>76.15</v>
      </c>
      <c r="W2228" s="0" t="n">
        <v>2033</v>
      </c>
      <c r="X2228" s="0" t="n">
        <v>7407.76</v>
      </c>
    </row>
    <row r="2229" customFormat="false" ht="15" hidden="false" customHeight="false" outlineLevel="0" collapsed="false">
      <c r="A2229" s="0" t="n">
        <v>2032</v>
      </c>
      <c r="B2229" s="0" t="n">
        <v>10.23540423</v>
      </c>
      <c r="C2229" s="0" t="n">
        <v>214.9434888</v>
      </c>
      <c r="E2229" s="0" t="n">
        <v>2033</v>
      </c>
      <c r="F2229" s="0" t="n">
        <v>90.091547</v>
      </c>
      <c r="G2229" s="0" t="n">
        <v>1891.038695</v>
      </c>
      <c r="I2229" s="0" t="n">
        <v>2028</v>
      </c>
      <c r="J2229" s="0" t="n">
        <v>6.66</v>
      </c>
      <c r="K2229" s="0" t="n">
        <v>140.13</v>
      </c>
      <c r="M2229" s="0" t="n">
        <v>2033</v>
      </c>
      <c r="N2229" s="0" t="n">
        <v>2.92</v>
      </c>
      <c r="O2229" s="0" t="n">
        <v>60.92</v>
      </c>
      <c r="W2229" s="0" t="n">
        <v>2033</v>
      </c>
      <c r="X2229" s="0" t="n">
        <v>2294.016</v>
      </c>
    </row>
    <row r="2230" customFormat="false" ht="15" hidden="false" customHeight="false" outlineLevel="0" collapsed="false">
      <c r="A2230" s="0" t="n">
        <v>2032</v>
      </c>
      <c r="B2230" s="0" t="n">
        <v>37.80527706</v>
      </c>
      <c r="C2230" s="0" t="n">
        <v>793.9108183</v>
      </c>
      <c r="E2230" s="0" t="n">
        <v>2033</v>
      </c>
      <c r="F2230" s="0" t="n">
        <v>12.654929</v>
      </c>
      <c r="G2230" s="0" t="n">
        <v>265.629365</v>
      </c>
      <c r="I2230" s="0" t="n">
        <v>2028</v>
      </c>
      <c r="J2230" s="0" t="n">
        <v>27.56</v>
      </c>
      <c r="K2230" s="0" t="n">
        <v>575.12</v>
      </c>
      <c r="M2230" s="0" t="n">
        <v>2033</v>
      </c>
      <c r="N2230" s="0" t="n">
        <v>1.46</v>
      </c>
      <c r="O2230" s="0" t="n">
        <v>30.46</v>
      </c>
      <c r="W2230" s="0" t="n">
        <v>2033</v>
      </c>
      <c r="X2230" s="0" t="n">
        <v>4062.32</v>
      </c>
    </row>
    <row r="2231" customFormat="false" ht="15" hidden="false" customHeight="false" outlineLevel="0" collapsed="false">
      <c r="A2231" s="0" t="n">
        <v>2032</v>
      </c>
      <c r="B2231" s="0" t="n">
        <v>11.83437187</v>
      </c>
      <c r="C2231" s="0" t="n">
        <v>248.5218094</v>
      </c>
      <c r="E2231" s="0" t="n">
        <v>2033</v>
      </c>
      <c r="F2231" s="0" t="n">
        <v>302.516249</v>
      </c>
      <c r="G2231" s="0" t="n">
        <v>6349.873565</v>
      </c>
      <c r="I2231" s="0" t="n">
        <v>2028</v>
      </c>
      <c r="J2231" s="0" t="n">
        <v>4.24</v>
      </c>
      <c r="K2231" s="0" t="n">
        <v>88.48</v>
      </c>
      <c r="M2231" s="0" t="n">
        <v>2033</v>
      </c>
      <c r="N2231" s="0" t="n">
        <v>49.02</v>
      </c>
      <c r="O2231" s="0" t="n">
        <v>1022.96</v>
      </c>
      <c r="W2231" s="0" t="n">
        <v>2033</v>
      </c>
      <c r="X2231" s="0" t="n">
        <v>1816.096</v>
      </c>
    </row>
    <row r="2232" customFormat="false" ht="15" hidden="false" customHeight="false" outlineLevel="0" collapsed="false">
      <c r="A2232" s="0" t="n">
        <v>2032</v>
      </c>
      <c r="B2232" s="0" t="n">
        <v>26.4609323</v>
      </c>
      <c r="C2232" s="0" t="n">
        <v>555.6795783</v>
      </c>
      <c r="E2232" s="0" t="n">
        <v>2033</v>
      </c>
      <c r="F2232" s="0" t="n">
        <v>14.161973</v>
      </c>
      <c r="G2232" s="0" t="n">
        <v>297.262505</v>
      </c>
      <c r="I2232" s="0" t="n">
        <v>2028</v>
      </c>
      <c r="J2232" s="0" t="n">
        <v>3.18</v>
      </c>
      <c r="K2232" s="0" t="n">
        <v>66.36</v>
      </c>
      <c r="M2232" s="0" t="n">
        <v>2033</v>
      </c>
      <c r="N2232" s="0" t="n">
        <v>32.25</v>
      </c>
      <c r="O2232" s="0" t="n">
        <v>673</v>
      </c>
      <c r="W2232" s="0" t="n">
        <v>2033</v>
      </c>
      <c r="X2232" s="0" t="n">
        <v>716.88</v>
      </c>
    </row>
    <row r="2233" customFormat="false" ht="15" hidden="false" customHeight="false" outlineLevel="0" collapsed="false">
      <c r="A2233" s="0" t="n">
        <v>2032</v>
      </c>
      <c r="B2233" s="0" t="n">
        <v>134.7723897</v>
      </c>
      <c r="C2233" s="0" t="n">
        <v>2830.220185</v>
      </c>
      <c r="E2233" s="0" t="n">
        <v>2033</v>
      </c>
      <c r="F2233" s="0" t="n">
        <v>77.436618</v>
      </c>
      <c r="G2233" s="0" t="n">
        <v>1625.40933</v>
      </c>
      <c r="I2233" s="0" t="n">
        <v>2028</v>
      </c>
      <c r="J2233" s="0" t="n">
        <v>5.3</v>
      </c>
      <c r="K2233" s="0" t="n">
        <v>110.6</v>
      </c>
      <c r="M2233" s="0" t="n">
        <v>2033</v>
      </c>
      <c r="N2233" s="0" t="n">
        <v>12.9</v>
      </c>
      <c r="O2233" s="0" t="n">
        <v>269.2</v>
      </c>
      <c r="W2233" s="0" t="n">
        <v>2033</v>
      </c>
      <c r="X2233" s="0" t="n">
        <v>1051.424</v>
      </c>
    </row>
    <row r="2234" customFormat="false" ht="15" hidden="false" customHeight="false" outlineLevel="0" collapsed="false">
      <c r="A2234" s="0" t="n">
        <v>2032</v>
      </c>
      <c r="B2234" s="0" t="n">
        <v>33.99358196</v>
      </c>
      <c r="C2234" s="0" t="n">
        <v>713.8652213</v>
      </c>
      <c r="E2234" s="0" t="n">
        <v>2033</v>
      </c>
      <c r="F2234" s="0" t="n">
        <v>70.808234</v>
      </c>
      <c r="G2234" s="0" t="n">
        <v>1486.27829</v>
      </c>
      <c r="I2234" s="0" t="n">
        <v>2028</v>
      </c>
      <c r="J2234" s="0" t="n">
        <v>1.06</v>
      </c>
      <c r="K2234" s="0" t="n">
        <v>22.12</v>
      </c>
      <c r="M2234" s="0" t="n">
        <v>2033</v>
      </c>
      <c r="N2234" s="0" t="n">
        <v>12.9</v>
      </c>
      <c r="O2234" s="0" t="n">
        <v>269.2</v>
      </c>
      <c r="W2234" s="0" t="n">
        <v>2033</v>
      </c>
      <c r="X2234" s="0" t="n">
        <v>812.464</v>
      </c>
    </row>
    <row r="2235" customFormat="false" ht="15" hidden="false" customHeight="false" outlineLevel="0" collapsed="false">
      <c r="A2235" s="0" t="n">
        <v>2032</v>
      </c>
      <c r="B2235" s="0" t="n">
        <v>30.31396577</v>
      </c>
      <c r="C2235" s="0" t="n">
        <v>636.5932812</v>
      </c>
      <c r="E2235" s="0" t="n">
        <v>2033</v>
      </c>
      <c r="F2235" s="0" t="n">
        <v>891.187566</v>
      </c>
      <c r="G2235" s="0" t="n">
        <v>18713.39704</v>
      </c>
      <c r="I2235" s="0" t="n">
        <v>2028</v>
      </c>
      <c r="J2235" s="0" t="n">
        <v>1.06</v>
      </c>
      <c r="K2235" s="0" t="n">
        <v>22.12</v>
      </c>
      <c r="M2235" s="0" t="n">
        <v>2033</v>
      </c>
      <c r="N2235" s="0" t="n">
        <v>7.74</v>
      </c>
      <c r="O2235" s="0" t="n">
        <v>161.52</v>
      </c>
      <c r="W2235" s="0" t="n">
        <v>2033</v>
      </c>
      <c r="X2235" s="0" t="n">
        <v>11776.28</v>
      </c>
    </row>
    <row r="2236" customFormat="false" ht="15" hidden="false" customHeight="false" outlineLevel="0" collapsed="false">
      <c r="A2236" s="0" t="n">
        <v>2032</v>
      </c>
      <c r="B2236" s="0" t="n">
        <v>21.08156665</v>
      </c>
      <c r="C2236" s="0" t="n">
        <v>442.7128998</v>
      </c>
      <c r="E2236" s="0" t="n">
        <v>2033</v>
      </c>
      <c r="F2236" s="0" t="n">
        <v>239.293734</v>
      </c>
      <c r="G2236" s="0" t="n">
        <v>5024.754411</v>
      </c>
      <c r="I2236" s="0" t="n">
        <v>2028</v>
      </c>
      <c r="J2236" s="0" t="n">
        <v>0</v>
      </c>
      <c r="K2236" s="0" t="n">
        <v>0</v>
      </c>
      <c r="M2236" s="0" t="n">
        <v>2033</v>
      </c>
      <c r="N2236" s="0" t="n">
        <v>6.45</v>
      </c>
      <c r="O2236" s="0" t="n">
        <v>134.6</v>
      </c>
      <c r="W2236" s="0" t="n">
        <v>2033</v>
      </c>
      <c r="X2236" s="0" t="n">
        <v>2944.07</v>
      </c>
    </row>
    <row r="2237" customFormat="false" ht="15" hidden="false" customHeight="false" outlineLevel="0" collapsed="false">
      <c r="A2237" s="0" t="n">
        <v>2032</v>
      </c>
      <c r="B2237" s="0" t="n">
        <v>15.68117408</v>
      </c>
      <c r="C2237" s="0" t="n">
        <v>329.3046556</v>
      </c>
      <c r="E2237" s="0" t="n">
        <v>2033</v>
      </c>
      <c r="F2237" s="0" t="n">
        <v>95.780958</v>
      </c>
      <c r="G2237" s="0" t="n">
        <v>2011.234407</v>
      </c>
      <c r="I2237" s="0" t="n">
        <v>2028</v>
      </c>
      <c r="J2237" s="0" t="n">
        <v>2.12</v>
      </c>
      <c r="K2237" s="0" t="n">
        <v>44.24</v>
      </c>
      <c r="M2237" s="0" t="n">
        <v>2033</v>
      </c>
      <c r="N2237" s="0" t="n">
        <v>5.16</v>
      </c>
      <c r="O2237" s="0" t="n">
        <v>107.68</v>
      </c>
      <c r="W2237" s="0" t="n">
        <v>2033</v>
      </c>
      <c r="X2237" s="0" t="n">
        <v>911.712</v>
      </c>
    </row>
    <row r="2238" customFormat="false" ht="15" hidden="false" customHeight="false" outlineLevel="0" collapsed="false">
      <c r="A2238" s="0" t="n">
        <v>2032</v>
      </c>
      <c r="B2238" s="0" t="n">
        <v>6.9694107</v>
      </c>
      <c r="C2238" s="0" t="n">
        <v>146.3576247</v>
      </c>
      <c r="E2238" s="0" t="n">
        <v>2033</v>
      </c>
      <c r="F2238" s="0" t="n">
        <v>13.454106</v>
      </c>
      <c r="G2238" s="0" t="n">
        <v>282.512949</v>
      </c>
      <c r="I2238" s="0" t="n">
        <v>2028</v>
      </c>
      <c r="J2238" s="0" t="n">
        <v>3.71</v>
      </c>
      <c r="K2238" s="0" t="n">
        <v>77.42</v>
      </c>
      <c r="M2238" s="0" t="n">
        <v>2033</v>
      </c>
      <c r="N2238" s="0" t="n">
        <v>2.58</v>
      </c>
      <c r="O2238" s="0" t="n">
        <v>53.84</v>
      </c>
      <c r="W2238" s="0" t="n">
        <v>2033</v>
      </c>
      <c r="X2238" s="0" t="n">
        <v>1614.49</v>
      </c>
    </row>
    <row r="2239" customFormat="false" ht="15" hidden="false" customHeight="false" outlineLevel="0" collapsed="false">
      <c r="A2239" s="0" t="n">
        <v>2032</v>
      </c>
      <c r="B2239" s="0" t="n">
        <v>25.74207102</v>
      </c>
      <c r="C2239" s="0" t="n">
        <v>540.5834913</v>
      </c>
      <c r="E2239" s="0" t="n">
        <v>2033</v>
      </c>
      <c r="F2239" s="0" t="n">
        <v>321.620586</v>
      </c>
      <c r="G2239" s="0" t="n">
        <v>6753.475869</v>
      </c>
      <c r="I2239" s="0" t="n">
        <v>2028</v>
      </c>
      <c r="J2239" s="0" t="n">
        <v>1.06</v>
      </c>
      <c r="K2239" s="0" t="n">
        <v>22.12</v>
      </c>
      <c r="M2239" s="0" t="n">
        <v>2033</v>
      </c>
      <c r="N2239" s="0" t="n">
        <v>57.76</v>
      </c>
      <c r="O2239" s="0" t="n">
        <v>1207.26</v>
      </c>
      <c r="W2239" s="0" t="n">
        <v>2033</v>
      </c>
      <c r="X2239" s="0" t="n">
        <v>721.772</v>
      </c>
    </row>
    <row r="2240" customFormat="false" ht="15" hidden="false" customHeight="false" outlineLevel="0" collapsed="false">
      <c r="A2240" s="0" t="n">
        <v>2032</v>
      </c>
      <c r="B2240" s="0" t="n">
        <v>8.058167137</v>
      </c>
      <c r="C2240" s="0" t="n">
        <v>169.2215099</v>
      </c>
      <c r="E2240" s="0" t="n">
        <v>2033</v>
      </c>
      <c r="F2240" s="0" t="n">
        <v>15.056322</v>
      </c>
      <c r="G2240" s="0" t="n">
        <v>316.156713</v>
      </c>
      <c r="I2240" s="0" t="n">
        <v>2028</v>
      </c>
      <c r="J2240" s="0" t="n">
        <v>3.71</v>
      </c>
      <c r="K2240" s="0" t="n">
        <v>77.42</v>
      </c>
      <c r="M2240" s="0" t="n">
        <v>2033</v>
      </c>
      <c r="N2240" s="0" t="n">
        <v>38</v>
      </c>
      <c r="O2240" s="0" t="n">
        <v>794.25</v>
      </c>
      <c r="W2240" s="0" t="n">
        <v>2033</v>
      </c>
      <c r="X2240" s="0" t="n">
        <v>284.91</v>
      </c>
    </row>
    <row r="2241" customFormat="false" ht="15" hidden="false" customHeight="false" outlineLevel="0" collapsed="false">
      <c r="A2241" s="0" t="n">
        <v>2032</v>
      </c>
      <c r="B2241" s="0" t="n">
        <v>18.01756928</v>
      </c>
      <c r="C2241" s="0" t="n">
        <v>378.3689548</v>
      </c>
      <c r="E2241" s="0" t="n">
        <v>2033</v>
      </c>
      <c r="F2241" s="0" t="n">
        <v>82.326852</v>
      </c>
      <c r="G2241" s="0" t="n">
        <v>1728.721458</v>
      </c>
      <c r="I2241" s="0" t="n">
        <v>2028</v>
      </c>
      <c r="J2241" s="0" t="n">
        <v>107.52</v>
      </c>
      <c r="K2241" s="0" t="n">
        <v>2258.88</v>
      </c>
      <c r="M2241" s="0" t="n">
        <v>2033</v>
      </c>
      <c r="N2241" s="0" t="n">
        <v>15.2</v>
      </c>
      <c r="O2241" s="0" t="n">
        <v>317.7</v>
      </c>
      <c r="W2241" s="0" t="n">
        <v>2033</v>
      </c>
      <c r="X2241" s="0" t="n">
        <v>417.868</v>
      </c>
    </row>
    <row r="2242" customFormat="false" ht="15" hidden="false" customHeight="false" outlineLevel="0" collapsed="false">
      <c r="A2242" s="0" t="n">
        <v>2032</v>
      </c>
      <c r="B2242" s="0" t="n">
        <v>91.2231833</v>
      </c>
      <c r="C2242" s="0" t="n">
        <v>1915.686849</v>
      </c>
      <c r="E2242" s="0" t="n">
        <v>2033</v>
      </c>
      <c r="F2242" s="0" t="n">
        <v>75.279876</v>
      </c>
      <c r="G2242" s="0" t="n">
        <v>1580.747154</v>
      </c>
      <c r="I2242" s="0" t="n">
        <v>2028</v>
      </c>
      <c r="J2242" s="0" t="n">
        <v>35.84</v>
      </c>
      <c r="K2242" s="0" t="n">
        <v>752.96</v>
      </c>
      <c r="M2242" s="0" t="n">
        <v>2033</v>
      </c>
      <c r="N2242" s="0" t="n">
        <v>15.2</v>
      </c>
      <c r="O2242" s="0" t="n">
        <v>317.7</v>
      </c>
      <c r="W2242" s="0" t="n">
        <v>2033</v>
      </c>
      <c r="X2242" s="0" t="n">
        <v>322.898</v>
      </c>
    </row>
    <row r="2243" customFormat="false" ht="15" hidden="false" customHeight="false" outlineLevel="0" collapsed="false">
      <c r="A2243" s="0" t="n">
        <v>2032</v>
      </c>
      <c r="B2243" s="0" t="n">
        <v>23.00918433</v>
      </c>
      <c r="C2243" s="0" t="n">
        <v>483.192871</v>
      </c>
      <c r="E2243" s="0" t="n">
        <v>2033</v>
      </c>
      <c r="F2243" s="0" t="n">
        <v>300.146216</v>
      </c>
      <c r="G2243" s="0" t="n">
        <v>6296.389199</v>
      </c>
      <c r="I2243" s="0" t="n">
        <v>2028</v>
      </c>
      <c r="J2243" s="0" t="n">
        <v>15.68</v>
      </c>
      <c r="K2243" s="0" t="n">
        <v>329.42</v>
      </c>
      <c r="M2243" s="0" t="n">
        <v>2033</v>
      </c>
      <c r="N2243" s="0" t="n">
        <v>9.12</v>
      </c>
      <c r="O2243" s="0" t="n">
        <v>190.62</v>
      </c>
      <c r="W2243" s="0" t="n">
        <v>2033</v>
      </c>
      <c r="X2243" s="0" t="n">
        <v>15748.62</v>
      </c>
    </row>
    <row r="2244" customFormat="false" ht="15" hidden="false" customHeight="false" outlineLevel="0" collapsed="false">
      <c r="A2244" s="0" t="n">
        <v>2032</v>
      </c>
      <c r="B2244" s="0" t="n">
        <v>20.51856809</v>
      </c>
      <c r="C2244" s="0" t="n">
        <v>430.88993</v>
      </c>
      <c r="E2244" s="0" t="n">
        <v>2033</v>
      </c>
      <c r="F2244" s="0" t="n">
        <v>80.592584</v>
      </c>
      <c r="G2244" s="0" t="n">
        <v>1690.650251</v>
      </c>
      <c r="I2244" s="0" t="n">
        <v>2028</v>
      </c>
      <c r="J2244" s="0" t="n">
        <v>8.96</v>
      </c>
      <c r="K2244" s="0" t="n">
        <v>188.24</v>
      </c>
      <c r="M2244" s="0" t="n">
        <v>2033</v>
      </c>
      <c r="N2244" s="0" t="n">
        <v>7.6</v>
      </c>
      <c r="O2244" s="0" t="n">
        <v>158.85</v>
      </c>
      <c r="W2244" s="0" t="n">
        <v>2033</v>
      </c>
      <c r="X2244" s="0" t="n">
        <v>3937.155</v>
      </c>
    </row>
    <row r="2245" customFormat="false" ht="15" hidden="false" customHeight="false" outlineLevel="0" collapsed="false">
      <c r="A2245" s="0" t="n">
        <v>2032</v>
      </c>
      <c r="B2245" s="0" t="n">
        <v>14.26944809</v>
      </c>
      <c r="C2245" s="0" t="n">
        <v>299.6584099</v>
      </c>
      <c r="E2245" s="0" t="n">
        <v>2033</v>
      </c>
      <c r="F2245" s="0" t="n">
        <v>32.258408</v>
      </c>
      <c r="G2245" s="0" t="n">
        <v>676.708487</v>
      </c>
      <c r="I2245" s="0" t="n">
        <v>2028</v>
      </c>
      <c r="J2245" s="0" t="n">
        <v>8.96</v>
      </c>
      <c r="K2245" s="0" t="n">
        <v>188.24</v>
      </c>
      <c r="M2245" s="0" t="n">
        <v>2033</v>
      </c>
      <c r="N2245" s="0" t="n">
        <v>6.08</v>
      </c>
      <c r="O2245" s="0" t="n">
        <v>127.08</v>
      </c>
      <c r="W2245" s="0" t="n">
        <v>2033</v>
      </c>
      <c r="X2245" s="0" t="n">
        <v>1219.248</v>
      </c>
    </row>
    <row r="2246" customFormat="false" ht="15" hidden="false" customHeight="false" outlineLevel="0" collapsed="false">
      <c r="A2246" s="0" t="n">
        <v>2032</v>
      </c>
      <c r="B2246" s="0" t="n">
        <v>10.61409254</v>
      </c>
      <c r="C2246" s="0" t="n">
        <v>222.8959434</v>
      </c>
      <c r="E2246" s="0" t="n">
        <v>2033</v>
      </c>
      <c r="F2246" s="0" t="n">
        <v>4.531256</v>
      </c>
      <c r="G2246" s="0" t="n">
        <v>95.055509</v>
      </c>
      <c r="I2246" s="0" t="n">
        <v>2028</v>
      </c>
      <c r="J2246" s="0" t="n">
        <v>4.48</v>
      </c>
      <c r="K2246" s="0" t="n">
        <v>94.12</v>
      </c>
      <c r="M2246" s="0" t="n">
        <v>2033</v>
      </c>
      <c r="N2246" s="0" t="n">
        <v>3.04</v>
      </c>
      <c r="O2246" s="0" t="n">
        <v>63.54</v>
      </c>
      <c r="W2246" s="0" t="n">
        <v>2033</v>
      </c>
      <c r="X2246" s="0" t="n">
        <v>2159.085</v>
      </c>
    </row>
    <row r="2247" customFormat="false" ht="15" hidden="false" customHeight="false" outlineLevel="0" collapsed="false">
      <c r="A2247" s="0" t="n">
        <v>2032</v>
      </c>
      <c r="B2247" s="0" t="n">
        <v>4.717374464</v>
      </c>
      <c r="C2247" s="0" t="n">
        <v>99.06486374</v>
      </c>
      <c r="E2247" s="0" t="n">
        <v>2033</v>
      </c>
      <c r="F2247" s="0" t="n">
        <v>108.319736</v>
      </c>
      <c r="G2247" s="0" t="n">
        <v>2272.303229</v>
      </c>
      <c r="I2247" s="0" t="n">
        <v>2028</v>
      </c>
      <c r="J2247" s="0" t="n">
        <v>4.48</v>
      </c>
      <c r="K2247" s="0" t="n">
        <v>94.12</v>
      </c>
      <c r="M2247" s="0" t="n">
        <v>2033</v>
      </c>
      <c r="N2247" s="0" t="n">
        <v>110.96</v>
      </c>
      <c r="O2247" s="0" t="n">
        <v>2324.84</v>
      </c>
      <c r="W2247" s="0" t="n">
        <v>2033</v>
      </c>
      <c r="X2247" s="0" t="n">
        <v>965.238</v>
      </c>
    </row>
    <row r="2248" customFormat="false" ht="15" hidden="false" customHeight="false" outlineLevel="0" collapsed="false">
      <c r="A2248" s="0" t="n">
        <v>2032</v>
      </c>
      <c r="B2248" s="0" t="n">
        <v>17.42399662</v>
      </c>
      <c r="C2248" s="0" t="n">
        <v>365.9039289</v>
      </c>
      <c r="E2248" s="0" t="n">
        <v>2033</v>
      </c>
      <c r="F2248" s="0" t="n">
        <v>5.070872</v>
      </c>
      <c r="G2248" s="0" t="n">
        <v>106.375433</v>
      </c>
      <c r="I2248" s="0" t="n">
        <v>2028</v>
      </c>
      <c r="J2248" s="0" t="n">
        <v>8.96</v>
      </c>
      <c r="K2248" s="0" t="n">
        <v>188.24</v>
      </c>
      <c r="M2248" s="0" t="n">
        <v>2033</v>
      </c>
      <c r="N2248" s="0" t="n">
        <v>73</v>
      </c>
      <c r="O2248" s="0" t="n">
        <v>1529.5</v>
      </c>
      <c r="W2248" s="0" t="n">
        <v>2033</v>
      </c>
      <c r="X2248" s="0" t="n">
        <v>381.015</v>
      </c>
    </row>
    <row r="2249" customFormat="false" ht="15" hidden="false" customHeight="false" outlineLevel="0" collapsed="false">
      <c r="A2249" s="0" t="n">
        <v>2032</v>
      </c>
      <c r="B2249" s="0" t="n">
        <v>5.454319384</v>
      </c>
      <c r="C2249" s="0" t="n">
        <v>114.5407071</v>
      </c>
      <c r="E2249" s="0" t="n">
        <v>2033</v>
      </c>
      <c r="F2249" s="0" t="n">
        <v>27.727152</v>
      </c>
      <c r="G2249" s="0" t="n">
        <v>581.652978</v>
      </c>
      <c r="I2249" s="0" t="n">
        <v>2028</v>
      </c>
      <c r="J2249" s="0" t="n">
        <v>15.68</v>
      </c>
      <c r="K2249" s="0" t="n">
        <v>329.42</v>
      </c>
      <c r="M2249" s="0" t="n">
        <v>2033</v>
      </c>
      <c r="N2249" s="0" t="n">
        <v>29.2</v>
      </c>
      <c r="O2249" s="0" t="n">
        <v>611.8</v>
      </c>
      <c r="W2249" s="0" t="n">
        <v>2033</v>
      </c>
      <c r="X2249" s="0" t="n">
        <v>558.822</v>
      </c>
    </row>
    <row r="2250" customFormat="false" ht="15" hidden="false" customHeight="false" outlineLevel="0" collapsed="false">
      <c r="A2250" s="0" t="n">
        <v>2032</v>
      </c>
      <c r="B2250" s="0" t="n">
        <v>12.19552482</v>
      </c>
      <c r="C2250" s="0" t="n">
        <v>256.1060213</v>
      </c>
      <c r="E2250" s="0" t="n">
        <v>2033</v>
      </c>
      <c r="F2250" s="0" t="n">
        <v>25.353776</v>
      </c>
      <c r="G2250" s="0" t="n">
        <v>531.864914</v>
      </c>
      <c r="I2250" s="0" t="n">
        <v>2028</v>
      </c>
      <c r="J2250" s="0" t="n">
        <v>6.72</v>
      </c>
      <c r="K2250" s="0" t="n">
        <v>141.18</v>
      </c>
      <c r="M2250" s="0" t="n">
        <v>2033</v>
      </c>
      <c r="N2250" s="0" t="n">
        <v>29.2</v>
      </c>
      <c r="O2250" s="0" t="n">
        <v>611.8</v>
      </c>
      <c r="W2250" s="0" t="n">
        <v>2033</v>
      </c>
      <c r="X2250" s="0" t="n">
        <v>431.817</v>
      </c>
    </row>
    <row r="2251" customFormat="false" ht="15" hidden="false" customHeight="false" outlineLevel="0" collapsed="false">
      <c r="A2251" s="0" t="n">
        <v>2032</v>
      </c>
      <c r="B2251" s="0" t="n">
        <v>558.8765011</v>
      </c>
      <c r="C2251" s="0" t="n">
        <v>11736.40652</v>
      </c>
      <c r="E2251" s="0" t="n">
        <v>2033</v>
      </c>
      <c r="F2251" s="0" t="n">
        <v>409.103404</v>
      </c>
      <c r="G2251" s="0" t="n">
        <v>8581.920402</v>
      </c>
      <c r="I2251" s="0" t="n">
        <v>2028</v>
      </c>
      <c r="J2251" s="0" t="n">
        <v>6.72</v>
      </c>
      <c r="K2251" s="0" t="n">
        <v>141.18</v>
      </c>
      <c r="M2251" s="0" t="n">
        <v>2033</v>
      </c>
      <c r="N2251" s="0" t="n">
        <v>17.52</v>
      </c>
      <c r="O2251" s="0" t="n">
        <v>367.08</v>
      </c>
      <c r="W2251" s="0" t="n">
        <v>2033</v>
      </c>
      <c r="X2251" s="0" t="n">
        <v>9691.22</v>
      </c>
    </row>
    <row r="2252" customFormat="false" ht="15" hidden="false" customHeight="false" outlineLevel="0" collapsed="false">
      <c r="A2252" s="0" t="n">
        <v>2032</v>
      </c>
      <c r="B2252" s="0" t="n">
        <v>140.9651798</v>
      </c>
      <c r="C2252" s="0" t="n">
        <v>2960.268775</v>
      </c>
      <c r="E2252" s="0" t="n">
        <v>2033</v>
      </c>
      <c r="F2252" s="0" t="n">
        <v>109.848796</v>
      </c>
      <c r="G2252" s="0" t="n">
        <v>2304.340698</v>
      </c>
      <c r="I2252" s="0" t="n">
        <v>2028</v>
      </c>
      <c r="J2252" s="0" t="n">
        <v>16.12</v>
      </c>
      <c r="K2252" s="0" t="n">
        <v>339.04</v>
      </c>
      <c r="M2252" s="0" t="n">
        <v>2033</v>
      </c>
      <c r="N2252" s="0" t="n">
        <v>14.6</v>
      </c>
      <c r="O2252" s="0" t="n">
        <v>305.9</v>
      </c>
      <c r="W2252" s="0" t="n">
        <v>2033</v>
      </c>
      <c r="X2252" s="0" t="n">
        <v>2422.805</v>
      </c>
    </row>
    <row r="2253" customFormat="false" ht="15" hidden="false" customHeight="false" outlineLevel="0" collapsed="false">
      <c r="A2253" s="0" t="n">
        <v>2032</v>
      </c>
      <c r="B2253" s="0" t="n">
        <v>125.706483</v>
      </c>
      <c r="C2253" s="0" t="n">
        <v>2639.836144</v>
      </c>
      <c r="E2253" s="0" t="n">
        <v>2033</v>
      </c>
      <c r="F2253" s="0" t="n">
        <v>43.968652</v>
      </c>
      <c r="G2253" s="0" t="n">
        <v>922.347426</v>
      </c>
      <c r="I2253" s="0" t="n">
        <v>2028</v>
      </c>
      <c r="J2253" s="0" t="n">
        <v>2.48</v>
      </c>
      <c r="K2253" s="0" t="n">
        <v>52.16</v>
      </c>
      <c r="M2253" s="0" t="n">
        <v>2033</v>
      </c>
      <c r="N2253" s="0" t="n">
        <v>11.68</v>
      </c>
      <c r="O2253" s="0" t="n">
        <v>244.72</v>
      </c>
      <c r="W2253" s="0" t="n">
        <v>2033</v>
      </c>
      <c r="X2253" s="0" t="n">
        <v>750.288</v>
      </c>
    </row>
    <row r="2254" customFormat="false" ht="15" hidden="false" customHeight="false" outlineLevel="0" collapsed="false">
      <c r="A2254" s="0" t="n">
        <v>2032</v>
      </c>
      <c r="B2254" s="0" t="n">
        <v>87.42140903</v>
      </c>
      <c r="C2254" s="0" t="n">
        <v>1835.84959</v>
      </c>
      <c r="E2254" s="0" t="n">
        <v>2033</v>
      </c>
      <c r="F2254" s="0" t="n">
        <v>6.176164</v>
      </c>
      <c r="G2254" s="0" t="n">
        <v>129.559782</v>
      </c>
      <c r="I2254" s="0" t="n">
        <v>2028</v>
      </c>
      <c r="J2254" s="0" t="n">
        <v>1.86</v>
      </c>
      <c r="K2254" s="0" t="n">
        <v>39.12</v>
      </c>
      <c r="M2254" s="0" t="n">
        <v>2033</v>
      </c>
      <c r="N2254" s="0" t="n">
        <v>5.84</v>
      </c>
      <c r="O2254" s="0" t="n">
        <v>122.36</v>
      </c>
      <c r="W2254" s="0" t="n">
        <v>2033</v>
      </c>
      <c r="X2254" s="0" t="n">
        <v>1328.635</v>
      </c>
    </row>
    <row r="2255" customFormat="false" ht="15" hidden="false" customHeight="false" outlineLevel="0" collapsed="false">
      <c r="A2255" s="0" t="n">
        <v>2032</v>
      </c>
      <c r="B2255" s="0" t="n">
        <v>65.0269667</v>
      </c>
      <c r="C2255" s="0" t="n">
        <v>1365.566301</v>
      </c>
      <c r="E2255" s="0" t="n">
        <v>2033</v>
      </c>
      <c r="F2255" s="0" t="n">
        <v>147.641284</v>
      </c>
      <c r="G2255" s="0" t="n">
        <v>3097.128342</v>
      </c>
      <c r="I2255" s="0" t="n">
        <v>2028</v>
      </c>
      <c r="J2255" s="0" t="n">
        <v>3.1</v>
      </c>
      <c r="K2255" s="0" t="n">
        <v>65.2</v>
      </c>
      <c r="M2255" s="0" t="n">
        <v>2033</v>
      </c>
      <c r="N2255" s="0" t="n">
        <v>111.34</v>
      </c>
      <c r="O2255" s="0" t="n">
        <v>2330.92</v>
      </c>
      <c r="W2255" s="0" t="n">
        <v>2033</v>
      </c>
      <c r="X2255" s="0" t="n">
        <v>593.978</v>
      </c>
    </row>
    <row r="2256" customFormat="false" ht="15" hidden="false" customHeight="false" outlineLevel="0" collapsed="false">
      <c r="A2256" s="0" t="n">
        <v>2032</v>
      </c>
      <c r="B2256" s="0" t="n">
        <v>28.90087409</v>
      </c>
      <c r="C2256" s="0" t="n">
        <v>606.9183559</v>
      </c>
      <c r="E2256" s="0" t="n">
        <v>2033</v>
      </c>
      <c r="F2256" s="0" t="n">
        <v>6.911668</v>
      </c>
      <c r="G2256" s="0" t="n">
        <v>144.988734</v>
      </c>
      <c r="I2256" s="0" t="n">
        <v>2028</v>
      </c>
      <c r="J2256" s="0" t="n">
        <v>0.62</v>
      </c>
      <c r="K2256" s="0" t="n">
        <v>13.04</v>
      </c>
      <c r="M2256" s="0" t="n">
        <v>2033</v>
      </c>
      <c r="N2256" s="0" t="n">
        <v>73.25</v>
      </c>
      <c r="O2256" s="0" t="n">
        <v>1533.5</v>
      </c>
      <c r="W2256" s="0" t="n">
        <v>2033</v>
      </c>
      <c r="X2256" s="0" t="n">
        <v>234.465</v>
      </c>
    </row>
    <row r="2257" customFormat="false" ht="15" hidden="false" customHeight="false" outlineLevel="0" collapsed="false">
      <c r="A2257" s="0" t="n">
        <v>2032</v>
      </c>
      <c r="B2257" s="0" t="n">
        <v>106.74767</v>
      </c>
      <c r="C2257" s="0" t="n">
        <v>2241.701069</v>
      </c>
      <c r="E2257" s="0" t="n">
        <v>2033</v>
      </c>
      <c r="F2257" s="0" t="n">
        <v>37.792488</v>
      </c>
      <c r="G2257" s="0" t="n">
        <v>792.787644</v>
      </c>
      <c r="I2257" s="0" t="n">
        <v>2028</v>
      </c>
      <c r="J2257" s="0" t="n">
        <v>0.62</v>
      </c>
      <c r="K2257" s="0" t="n">
        <v>13.04</v>
      </c>
      <c r="M2257" s="0" t="n">
        <v>2033</v>
      </c>
      <c r="N2257" s="0" t="n">
        <v>29.3</v>
      </c>
      <c r="O2257" s="0" t="n">
        <v>613.4</v>
      </c>
      <c r="W2257" s="0" t="n">
        <v>2033</v>
      </c>
      <c r="X2257" s="0" t="n">
        <v>343.882</v>
      </c>
    </row>
    <row r="2258" customFormat="false" ht="15" hidden="false" customHeight="false" outlineLevel="0" collapsed="false">
      <c r="A2258" s="0" t="n">
        <v>2032</v>
      </c>
      <c r="B2258" s="0" t="n">
        <v>33.41574831</v>
      </c>
      <c r="C2258" s="0" t="n">
        <v>701.7307145</v>
      </c>
      <c r="E2258" s="0" t="n">
        <v>2033</v>
      </c>
      <c r="F2258" s="0" t="n">
        <v>34.557544</v>
      </c>
      <c r="G2258" s="0" t="n">
        <v>724.926972</v>
      </c>
      <c r="I2258" s="0" t="n">
        <v>2028</v>
      </c>
      <c r="J2258" s="0" t="n">
        <v>0</v>
      </c>
      <c r="K2258" s="0" t="n">
        <v>0</v>
      </c>
      <c r="M2258" s="0" t="n">
        <v>2033</v>
      </c>
      <c r="N2258" s="0" t="n">
        <v>29.3</v>
      </c>
      <c r="O2258" s="0" t="n">
        <v>613.4</v>
      </c>
      <c r="W2258" s="0" t="n">
        <v>2033</v>
      </c>
      <c r="X2258" s="0" t="n">
        <v>265.727</v>
      </c>
    </row>
    <row r="2259" customFormat="false" ht="15" hidden="false" customHeight="false" outlineLevel="0" collapsed="false">
      <c r="A2259" s="0" t="n">
        <v>2032</v>
      </c>
      <c r="B2259" s="0" t="n">
        <v>74.71557115</v>
      </c>
      <c r="C2259" s="0" t="n">
        <v>1569.026994</v>
      </c>
      <c r="E2259" s="0" t="n">
        <v>2033</v>
      </c>
      <c r="F2259" s="0" t="n">
        <v>543.758042</v>
      </c>
      <c r="G2259" s="0" t="n">
        <v>11412.23755</v>
      </c>
      <c r="I2259" s="0" t="n">
        <v>2028</v>
      </c>
      <c r="J2259" s="0" t="n">
        <v>1.24</v>
      </c>
      <c r="K2259" s="0" t="n">
        <v>26.08</v>
      </c>
      <c r="M2259" s="0" t="n">
        <v>2033</v>
      </c>
      <c r="N2259" s="0" t="n">
        <v>17.58</v>
      </c>
      <c r="O2259" s="0" t="n">
        <v>368.04</v>
      </c>
      <c r="W2259" s="0" t="n">
        <v>2033</v>
      </c>
      <c r="X2259" s="0" t="n">
        <v>26384.72</v>
      </c>
    </row>
    <row r="2260" customFormat="false" ht="15" hidden="false" customHeight="false" outlineLevel="0" collapsed="false">
      <c r="A2260" s="0" t="n">
        <v>2032</v>
      </c>
      <c r="B2260" s="0" t="n">
        <v>246.6792044</v>
      </c>
      <c r="C2260" s="0" t="n">
        <v>5180.263292</v>
      </c>
      <c r="E2260" s="0" t="n">
        <v>2033</v>
      </c>
      <c r="F2260" s="0" t="n">
        <v>146.005058</v>
      </c>
      <c r="G2260" s="0" t="n">
        <v>3064.312205</v>
      </c>
      <c r="I2260" s="0" t="n">
        <v>2028</v>
      </c>
      <c r="J2260" s="0" t="n">
        <v>2.17</v>
      </c>
      <c r="K2260" s="0" t="n">
        <v>45.64</v>
      </c>
      <c r="M2260" s="0" t="n">
        <v>2033</v>
      </c>
      <c r="N2260" s="0" t="n">
        <v>14.65</v>
      </c>
      <c r="O2260" s="0" t="n">
        <v>306.7</v>
      </c>
      <c r="W2260" s="0" t="n">
        <v>2033</v>
      </c>
      <c r="X2260" s="0" t="n">
        <v>6596.18</v>
      </c>
    </row>
    <row r="2261" customFormat="false" ht="15" hidden="false" customHeight="false" outlineLevel="0" collapsed="false">
      <c r="A2261" s="0" t="n">
        <v>2032</v>
      </c>
      <c r="B2261" s="0" t="n">
        <v>62.21978974</v>
      </c>
      <c r="C2261" s="0" t="n">
        <v>1306.615585</v>
      </c>
      <c r="E2261" s="0" t="n">
        <v>2033</v>
      </c>
      <c r="F2261" s="0" t="n">
        <v>58.440746</v>
      </c>
      <c r="G2261" s="0" t="n">
        <v>1226.537585</v>
      </c>
      <c r="I2261" s="0" t="n">
        <v>2028</v>
      </c>
      <c r="J2261" s="0" t="n">
        <v>0.62</v>
      </c>
      <c r="K2261" s="0" t="n">
        <v>13.04</v>
      </c>
      <c r="M2261" s="0" t="n">
        <v>2033</v>
      </c>
      <c r="N2261" s="0" t="n">
        <v>11.72</v>
      </c>
      <c r="O2261" s="0" t="n">
        <v>245.36</v>
      </c>
      <c r="W2261" s="0" t="n">
        <v>2033</v>
      </c>
      <c r="X2261" s="0" t="n">
        <v>2042.688</v>
      </c>
    </row>
    <row r="2262" customFormat="false" ht="15" hidden="false" customHeight="false" outlineLevel="0" collapsed="false">
      <c r="A2262" s="0" t="n">
        <v>2032</v>
      </c>
      <c r="B2262" s="0" t="n">
        <v>55.48484354</v>
      </c>
      <c r="C2262" s="0" t="n">
        <v>1165.181714</v>
      </c>
      <c r="E2262" s="0" t="n">
        <v>2033</v>
      </c>
      <c r="F2262" s="0" t="n">
        <v>8.209022</v>
      </c>
      <c r="G2262" s="0" t="n">
        <v>172.288595</v>
      </c>
      <c r="I2262" s="0" t="n">
        <v>2028</v>
      </c>
      <c r="J2262" s="0" t="n">
        <v>2.17</v>
      </c>
      <c r="K2262" s="0" t="n">
        <v>45.64</v>
      </c>
      <c r="M2262" s="0" t="n">
        <v>2033</v>
      </c>
      <c r="N2262" s="0" t="n">
        <v>5.86</v>
      </c>
      <c r="O2262" s="0" t="n">
        <v>122.68</v>
      </c>
      <c r="W2262" s="0" t="n">
        <v>2033</v>
      </c>
      <c r="X2262" s="0" t="n">
        <v>3617.26</v>
      </c>
    </row>
    <row r="2263" customFormat="false" ht="15" hidden="false" customHeight="false" outlineLevel="0" collapsed="false">
      <c r="A2263" s="0" t="n">
        <v>2032</v>
      </c>
      <c r="B2263" s="0" t="n">
        <v>38.5864204</v>
      </c>
      <c r="C2263" s="0" t="n">
        <v>810.3148285</v>
      </c>
      <c r="E2263" s="0" t="n">
        <v>2033</v>
      </c>
      <c r="F2263" s="0" t="n">
        <v>196.236782</v>
      </c>
      <c r="G2263" s="0" t="n">
        <v>4118.561195</v>
      </c>
      <c r="I2263" s="0" t="n">
        <v>2028</v>
      </c>
      <c r="J2263" s="0" t="n">
        <v>91.2</v>
      </c>
      <c r="K2263" s="0" t="n">
        <v>1910.88</v>
      </c>
      <c r="M2263" s="0" t="n">
        <v>2033</v>
      </c>
      <c r="N2263" s="0" t="n">
        <v>619.78</v>
      </c>
      <c r="O2263" s="0" t="n">
        <v>13011.96</v>
      </c>
      <c r="W2263" s="0" t="n">
        <v>2033</v>
      </c>
      <c r="X2263" s="0" t="n">
        <v>1617.128</v>
      </c>
    </row>
    <row r="2264" customFormat="false" ht="15" hidden="false" customHeight="false" outlineLevel="0" collapsed="false">
      <c r="A2264" s="0" t="n">
        <v>2032</v>
      </c>
      <c r="B2264" s="0" t="n">
        <v>28.70186951</v>
      </c>
      <c r="C2264" s="0" t="n">
        <v>602.7392598</v>
      </c>
      <c r="E2264" s="0" t="n">
        <v>2033</v>
      </c>
      <c r="F2264" s="0" t="n">
        <v>9.186614</v>
      </c>
      <c r="G2264" s="0" t="n">
        <v>192.806015</v>
      </c>
      <c r="I2264" s="0" t="n">
        <v>2028</v>
      </c>
      <c r="J2264" s="0" t="n">
        <v>30.4</v>
      </c>
      <c r="K2264" s="0" t="n">
        <v>636.96</v>
      </c>
      <c r="M2264" s="0" t="n">
        <v>2033</v>
      </c>
      <c r="N2264" s="0" t="n">
        <v>407.75</v>
      </c>
      <c r="O2264" s="0" t="n">
        <v>8560.5</v>
      </c>
      <c r="W2264" s="0" t="n">
        <v>2033</v>
      </c>
      <c r="X2264" s="0" t="n">
        <v>638.34</v>
      </c>
    </row>
    <row r="2265" customFormat="false" ht="15" hidden="false" customHeight="false" outlineLevel="0" collapsed="false">
      <c r="A2265" s="0" t="n">
        <v>2032</v>
      </c>
      <c r="B2265" s="0" t="n">
        <v>12.75638645</v>
      </c>
      <c r="C2265" s="0" t="n">
        <v>267.8841155</v>
      </c>
      <c r="E2265" s="0" t="n">
        <v>2033</v>
      </c>
      <c r="F2265" s="0" t="n">
        <v>50.231724</v>
      </c>
      <c r="G2265" s="0" t="n">
        <v>1054.24899</v>
      </c>
      <c r="I2265" s="0" t="n">
        <v>2028</v>
      </c>
      <c r="J2265" s="0" t="n">
        <v>13.3</v>
      </c>
      <c r="K2265" s="0" t="n">
        <v>278.67</v>
      </c>
      <c r="M2265" s="0" t="n">
        <v>2033</v>
      </c>
      <c r="N2265" s="0" t="n">
        <v>163.1</v>
      </c>
      <c r="O2265" s="0" t="n">
        <v>3424.2</v>
      </c>
      <c r="W2265" s="0" t="n">
        <v>2033</v>
      </c>
      <c r="X2265" s="0" t="n">
        <v>936.232</v>
      </c>
    </row>
    <row r="2266" customFormat="false" ht="15" hidden="false" customHeight="false" outlineLevel="0" collapsed="false">
      <c r="A2266" s="0" t="n">
        <v>2032</v>
      </c>
      <c r="B2266" s="0" t="n">
        <v>47.11672479</v>
      </c>
      <c r="C2266" s="0" t="n">
        <v>989.4512207</v>
      </c>
      <c r="E2266" s="0" t="n">
        <v>2033</v>
      </c>
      <c r="F2266" s="0" t="n">
        <v>45.932012</v>
      </c>
      <c r="G2266" s="0" t="n">
        <v>964.00787</v>
      </c>
      <c r="I2266" s="0" t="n">
        <v>2028</v>
      </c>
      <c r="J2266" s="0" t="n">
        <v>7.6</v>
      </c>
      <c r="K2266" s="0" t="n">
        <v>159.24</v>
      </c>
      <c r="M2266" s="0" t="n">
        <v>2033</v>
      </c>
      <c r="N2266" s="0" t="n">
        <v>163.1</v>
      </c>
      <c r="O2266" s="0" t="n">
        <v>3424.2</v>
      </c>
      <c r="W2266" s="0" t="n">
        <v>2033</v>
      </c>
      <c r="X2266" s="0" t="n">
        <v>723.452</v>
      </c>
    </row>
    <row r="2267" customFormat="false" ht="15" hidden="false" customHeight="false" outlineLevel="0" collapsed="false">
      <c r="A2267" s="0" t="n">
        <v>2032</v>
      </c>
      <c r="B2267" s="0" t="n">
        <v>14.74918017</v>
      </c>
      <c r="C2267" s="0" t="n">
        <v>309.7327835</v>
      </c>
      <c r="E2267" s="0" t="n">
        <v>2033</v>
      </c>
      <c r="F2267" s="0" t="n">
        <v>389.059393</v>
      </c>
      <c r="G2267" s="0" t="n">
        <v>8162.024069</v>
      </c>
      <c r="I2267" s="0" t="n">
        <v>2028</v>
      </c>
      <c r="J2267" s="0" t="n">
        <v>7.6</v>
      </c>
      <c r="K2267" s="0" t="n">
        <v>159.24</v>
      </c>
      <c r="M2267" s="0" t="n">
        <v>2033</v>
      </c>
      <c r="N2267" s="0" t="n">
        <v>97.86</v>
      </c>
      <c r="O2267" s="0" t="n">
        <v>2054.52</v>
      </c>
      <c r="W2267" s="0" t="n">
        <v>2033</v>
      </c>
      <c r="X2267" s="0" t="n">
        <v>14103.14</v>
      </c>
    </row>
    <row r="2268" customFormat="false" ht="15" hidden="false" customHeight="false" outlineLevel="0" collapsed="false">
      <c r="A2268" s="0" t="n">
        <v>2032</v>
      </c>
      <c r="B2268" s="0" t="n">
        <v>32.97826552</v>
      </c>
      <c r="C2268" s="0" t="n">
        <v>692.5435759</v>
      </c>
      <c r="E2268" s="0" t="n">
        <v>2033</v>
      </c>
      <c r="F2268" s="0" t="n">
        <v>104.466757</v>
      </c>
      <c r="G2268" s="0" t="n">
        <v>2191.593881</v>
      </c>
      <c r="I2268" s="0" t="n">
        <v>2028</v>
      </c>
      <c r="J2268" s="0" t="n">
        <v>3.8</v>
      </c>
      <c r="K2268" s="0" t="n">
        <v>79.62</v>
      </c>
      <c r="M2268" s="0" t="n">
        <v>2033</v>
      </c>
      <c r="N2268" s="0" t="n">
        <v>81.55</v>
      </c>
      <c r="O2268" s="0" t="n">
        <v>1712.1</v>
      </c>
      <c r="W2268" s="0" t="n">
        <v>2033</v>
      </c>
      <c r="X2268" s="0" t="n">
        <v>3525.785</v>
      </c>
    </row>
    <row r="2269" customFormat="false" ht="15" hidden="false" customHeight="false" outlineLevel="0" collapsed="false">
      <c r="A2269" s="0" t="n">
        <v>2032</v>
      </c>
      <c r="B2269" s="0" t="n">
        <v>109.6650916</v>
      </c>
      <c r="C2269" s="0" t="n">
        <v>2302.966923</v>
      </c>
      <c r="E2269" s="0" t="n">
        <v>2033</v>
      </c>
      <c r="F2269" s="0" t="n">
        <v>41.814409</v>
      </c>
      <c r="G2269" s="0" t="n">
        <v>877.218797</v>
      </c>
      <c r="I2269" s="0" t="n">
        <v>2028</v>
      </c>
      <c r="J2269" s="0" t="n">
        <v>3.8</v>
      </c>
      <c r="K2269" s="0" t="n">
        <v>79.62</v>
      </c>
      <c r="M2269" s="0" t="n">
        <v>2033</v>
      </c>
      <c r="N2269" s="0" t="n">
        <v>65.24</v>
      </c>
      <c r="O2269" s="0" t="n">
        <v>1369.68</v>
      </c>
      <c r="W2269" s="0" t="n">
        <v>2033</v>
      </c>
      <c r="X2269" s="0" t="n">
        <v>1091.856</v>
      </c>
    </row>
    <row r="2270" customFormat="false" ht="15" hidden="false" customHeight="false" outlineLevel="0" collapsed="false">
      <c r="A2270" s="0" t="n">
        <v>2032</v>
      </c>
      <c r="B2270" s="0" t="n">
        <v>27.66077894</v>
      </c>
      <c r="C2270" s="0" t="n">
        <v>580.8763577</v>
      </c>
      <c r="E2270" s="0" t="n">
        <v>2033</v>
      </c>
      <c r="F2270" s="0" t="n">
        <v>5.873563</v>
      </c>
      <c r="G2270" s="0" t="n">
        <v>123.220679</v>
      </c>
      <c r="I2270" s="0" t="n">
        <v>2028</v>
      </c>
      <c r="J2270" s="0" t="n">
        <v>7.6</v>
      </c>
      <c r="K2270" s="0" t="n">
        <v>159.24</v>
      </c>
      <c r="M2270" s="0" t="n">
        <v>2033</v>
      </c>
      <c r="N2270" s="0" t="n">
        <v>32.62</v>
      </c>
      <c r="O2270" s="0" t="n">
        <v>684.84</v>
      </c>
      <c r="W2270" s="0" t="n">
        <v>2033</v>
      </c>
      <c r="X2270" s="0" t="n">
        <v>1933.495</v>
      </c>
    </row>
    <row r="2271" customFormat="false" ht="15" hidden="false" customHeight="false" outlineLevel="0" collapsed="false">
      <c r="A2271" s="0" t="n">
        <v>2032</v>
      </c>
      <c r="B2271" s="0" t="n">
        <v>24.66665345</v>
      </c>
      <c r="C2271" s="0" t="n">
        <v>517.9997225</v>
      </c>
      <c r="E2271" s="0" t="n">
        <v>2033</v>
      </c>
      <c r="F2271" s="0" t="n">
        <v>140.407603</v>
      </c>
      <c r="G2271" s="0" t="n">
        <v>2945.591999</v>
      </c>
      <c r="I2271" s="0" t="n">
        <v>2028</v>
      </c>
      <c r="J2271" s="0" t="n">
        <v>13.3</v>
      </c>
      <c r="K2271" s="0" t="n">
        <v>278.67</v>
      </c>
      <c r="M2271" s="0" t="n">
        <v>2033</v>
      </c>
      <c r="N2271" s="0" t="n">
        <v>210.9</v>
      </c>
      <c r="O2271" s="0" t="n">
        <v>4423.2</v>
      </c>
      <c r="W2271" s="0" t="n">
        <v>2033</v>
      </c>
      <c r="X2271" s="0" t="n">
        <v>864.386</v>
      </c>
    </row>
    <row r="2272" customFormat="false" ht="15" hidden="false" customHeight="false" outlineLevel="0" collapsed="false">
      <c r="A2272" s="0" t="n">
        <v>2032</v>
      </c>
      <c r="B2272" s="0" t="n">
        <v>17.15419562</v>
      </c>
      <c r="C2272" s="0" t="n">
        <v>360.238108</v>
      </c>
      <c r="E2272" s="0" t="n">
        <v>2033</v>
      </c>
      <c r="F2272" s="0" t="n">
        <v>6.573031</v>
      </c>
      <c r="G2272" s="0" t="n">
        <v>137.894723</v>
      </c>
      <c r="I2272" s="0" t="n">
        <v>2028</v>
      </c>
      <c r="J2272" s="0" t="n">
        <v>5.7</v>
      </c>
      <c r="K2272" s="0" t="n">
        <v>119.43</v>
      </c>
      <c r="M2272" s="0" t="n">
        <v>2033</v>
      </c>
      <c r="N2272" s="0" t="n">
        <v>138.75</v>
      </c>
      <c r="O2272" s="0" t="n">
        <v>2910</v>
      </c>
      <c r="W2272" s="0" t="n">
        <v>2033</v>
      </c>
      <c r="X2272" s="0" t="n">
        <v>341.205</v>
      </c>
    </row>
    <row r="2273" customFormat="false" ht="15" hidden="false" customHeight="false" outlineLevel="0" collapsed="false">
      <c r="A2273" s="0" t="n">
        <v>2032</v>
      </c>
      <c r="B2273" s="0" t="n">
        <v>12.7598642</v>
      </c>
      <c r="C2273" s="0" t="n">
        <v>267.9571482</v>
      </c>
      <c r="E2273" s="0" t="n">
        <v>2033</v>
      </c>
      <c r="F2273" s="0" t="n">
        <v>35.940846</v>
      </c>
      <c r="G2273" s="0" t="n">
        <v>753.998118</v>
      </c>
      <c r="I2273" s="0" t="n">
        <v>2028</v>
      </c>
      <c r="J2273" s="0" t="n">
        <v>5.7</v>
      </c>
      <c r="K2273" s="0" t="n">
        <v>119.43</v>
      </c>
      <c r="M2273" s="0" t="n">
        <v>2033</v>
      </c>
      <c r="N2273" s="0" t="n">
        <v>55.5</v>
      </c>
      <c r="O2273" s="0" t="n">
        <v>1164</v>
      </c>
      <c r="W2273" s="0" t="n">
        <v>2033</v>
      </c>
      <c r="X2273" s="0" t="n">
        <v>500.434</v>
      </c>
    </row>
    <row r="2274" customFormat="false" ht="15" hidden="false" customHeight="false" outlineLevel="0" collapsed="false">
      <c r="A2274" s="0" t="n">
        <v>2032</v>
      </c>
      <c r="B2274" s="0" t="n">
        <v>5.671050756</v>
      </c>
      <c r="C2274" s="0" t="n">
        <v>119.0920659</v>
      </c>
      <c r="E2274" s="0" t="n">
        <v>2033</v>
      </c>
      <c r="F2274" s="0" t="n">
        <v>32.864398</v>
      </c>
      <c r="G2274" s="0" t="n">
        <v>689.457734</v>
      </c>
      <c r="I2274" s="0" t="n">
        <v>2028</v>
      </c>
      <c r="J2274" s="0" t="n">
        <v>10.4</v>
      </c>
      <c r="K2274" s="0" t="n">
        <v>221</v>
      </c>
      <c r="M2274" s="0" t="n">
        <v>2033</v>
      </c>
      <c r="N2274" s="0" t="n">
        <v>55.5</v>
      </c>
      <c r="O2274" s="0" t="n">
        <v>1164</v>
      </c>
      <c r="W2274" s="0" t="n">
        <v>2033</v>
      </c>
      <c r="X2274" s="0" t="n">
        <v>386.699</v>
      </c>
    </row>
    <row r="2275" customFormat="false" ht="15" hidden="false" customHeight="false" outlineLevel="0" collapsed="false">
      <c r="A2275" s="0" t="n">
        <v>2032</v>
      </c>
      <c r="B2275" s="0" t="n">
        <v>20.94647562</v>
      </c>
      <c r="C2275" s="0" t="n">
        <v>439.875988</v>
      </c>
      <c r="E2275" s="0" t="n">
        <v>2033</v>
      </c>
      <c r="F2275" s="0" t="n">
        <v>347.429524</v>
      </c>
      <c r="G2275" s="0" t="n">
        <v>7291.394463</v>
      </c>
      <c r="I2275" s="0" t="n">
        <v>2028</v>
      </c>
      <c r="J2275" s="0" t="n">
        <v>1.6</v>
      </c>
      <c r="K2275" s="0" t="n">
        <v>34</v>
      </c>
      <c r="M2275" s="0" t="n">
        <v>2033</v>
      </c>
      <c r="N2275" s="0" t="n">
        <v>33.3</v>
      </c>
      <c r="O2275" s="0" t="n">
        <v>698.4</v>
      </c>
      <c r="W2275" s="0" t="n">
        <v>2033</v>
      </c>
      <c r="X2275" s="0" t="n">
        <v>5881.94</v>
      </c>
    </row>
    <row r="2276" customFormat="false" ht="15" hidden="false" customHeight="false" outlineLevel="0" collapsed="false">
      <c r="A2276" s="0" t="n">
        <v>2032</v>
      </c>
      <c r="B2276" s="0" t="n">
        <v>6.556978316</v>
      </c>
      <c r="C2276" s="0" t="n">
        <v>137.6965446</v>
      </c>
      <c r="E2276" s="0" t="n">
        <v>2033</v>
      </c>
      <c r="F2276" s="0" t="n">
        <v>93.288676</v>
      </c>
      <c r="G2276" s="0" t="n">
        <v>1957.820187</v>
      </c>
      <c r="I2276" s="0" t="n">
        <v>2028</v>
      </c>
      <c r="J2276" s="0" t="n">
        <v>1.2</v>
      </c>
      <c r="K2276" s="0" t="n">
        <v>25.5</v>
      </c>
      <c r="M2276" s="0" t="n">
        <v>2033</v>
      </c>
      <c r="N2276" s="0" t="n">
        <v>27.75</v>
      </c>
      <c r="O2276" s="0" t="n">
        <v>582</v>
      </c>
      <c r="W2276" s="0" t="n">
        <v>2033</v>
      </c>
      <c r="X2276" s="0" t="n">
        <v>1470.485</v>
      </c>
    </row>
    <row r="2277" customFormat="false" ht="15" hidden="false" customHeight="false" outlineLevel="0" collapsed="false">
      <c r="A2277" s="0" t="n">
        <v>2032</v>
      </c>
      <c r="B2277" s="0" t="n">
        <v>14.66100281</v>
      </c>
      <c r="C2277" s="0" t="n">
        <v>307.881059</v>
      </c>
      <c r="E2277" s="0" t="n">
        <v>2033</v>
      </c>
      <c r="F2277" s="0" t="n">
        <v>37.340212</v>
      </c>
      <c r="G2277" s="0" t="n">
        <v>783.647319</v>
      </c>
      <c r="I2277" s="0" t="n">
        <v>2028</v>
      </c>
      <c r="J2277" s="0" t="n">
        <v>2</v>
      </c>
      <c r="K2277" s="0" t="n">
        <v>42.5</v>
      </c>
      <c r="M2277" s="0" t="n">
        <v>2033</v>
      </c>
      <c r="N2277" s="0" t="n">
        <v>22.2</v>
      </c>
      <c r="O2277" s="0" t="n">
        <v>465.6</v>
      </c>
      <c r="W2277" s="0" t="n">
        <v>2033</v>
      </c>
      <c r="X2277" s="0" t="n">
        <v>455.376</v>
      </c>
    </row>
    <row r="2278" customFormat="false" ht="15" hidden="false" customHeight="false" outlineLevel="0" collapsed="false">
      <c r="A2278" s="0" t="n">
        <v>2032</v>
      </c>
      <c r="B2278" s="0" t="n">
        <v>497.6027377</v>
      </c>
      <c r="C2278" s="0" t="n">
        <v>10449.65749</v>
      </c>
      <c r="E2278" s="0" t="n">
        <v>2033</v>
      </c>
      <c r="F2278" s="0" t="n">
        <v>5.245084</v>
      </c>
      <c r="G2278" s="0" t="n">
        <v>110.076933</v>
      </c>
      <c r="I2278" s="0" t="n">
        <v>2028</v>
      </c>
      <c r="J2278" s="0" t="n">
        <v>0.4</v>
      </c>
      <c r="K2278" s="0" t="n">
        <v>8.5</v>
      </c>
      <c r="M2278" s="0" t="n">
        <v>2033</v>
      </c>
      <c r="N2278" s="0" t="n">
        <v>11.1</v>
      </c>
      <c r="O2278" s="0" t="n">
        <v>232.8</v>
      </c>
      <c r="W2278" s="0" t="n">
        <v>2033</v>
      </c>
      <c r="X2278" s="0" t="n">
        <v>806.395</v>
      </c>
    </row>
    <row r="2279" customFormat="false" ht="15" hidden="false" customHeight="false" outlineLevel="0" collapsed="false">
      <c r="A2279" s="0" t="n">
        <v>2032</v>
      </c>
      <c r="B2279" s="0" t="n">
        <v>125.5101248</v>
      </c>
      <c r="C2279" s="0" t="n">
        <v>2635.71262</v>
      </c>
      <c r="E2279" s="0" t="n">
        <v>2033</v>
      </c>
      <c r="F2279" s="0" t="n">
        <v>125.383804</v>
      </c>
      <c r="G2279" s="0" t="n">
        <v>2631.390573</v>
      </c>
      <c r="I2279" s="0" t="n">
        <v>2028</v>
      </c>
      <c r="J2279" s="0" t="n">
        <v>0.4</v>
      </c>
      <c r="K2279" s="0" t="n">
        <v>8.5</v>
      </c>
      <c r="M2279" s="0" t="n">
        <v>2033</v>
      </c>
      <c r="N2279" s="0" t="n">
        <v>28.5</v>
      </c>
      <c r="O2279" s="0" t="n">
        <v>594.32</v>
      </c>
      <c r="W2279" s="0" t="n">
        <v>2033</v>
      </c>
      <c r="X2279" s="0" t="n">
        <v>360.506</v>
      </c>
    </row>
    <row r="2280" customFormat="false" ht="15" hidden="false" customHeight="false" outlineLevel="0" collapsed="false">
      <c r="A2280" s="0" t="n">
        <v>2032</v>
      </c>
      <c r="B2280" s="0" t="n">
        <v>111.9243518</v>
      </c>
      <c r="C2280" s="0" t="n">
        <v>2350.411387</v>
      </c>
      <c r="E2280" s="0" t="n">
        <v>2033</v>
      </c>
      <c r="F2280" s="0" t="n">
        <v>5.869708</v>
      </c>
      <c r="G2280" s="0" t="n">
        <v>123.185721</v>
      </c>
      <c r="I2280" s="0" t="n">
        <v>2028</v>
      </c>
      <c r="J2280" s="0" t="n">
        <v>0</v>
      </c>
      <c r="K2280" s="0" t="n">
        <v>0</v>
      </c>
      <c r="M2280" s="0" t="n">
        <v>2033</v>
      </c>
      <c r="N2280" s="0" t="n">
        <v>18.75</v>
      </c>
      <c r="O2280" s="0" t="n">
        <v>391</v>
      </c>
      <c r="W2280" s="0" t="n">
        <v>2033</v>
      </c>
      <c r="X2280" s="0" t="n">
        <v>142.305</v>
      </c>
    </row>
    <row r="2281" customFormat="false" ht="15" hidden="false" customHeight="false" outlineLevel="0" collapsed="false">
      <c r="A2281" s="0" t="n">
        <v>2032</v>
      </c>
      <c r="B2281" s="0" t="n">
        <v>77.83675353</v>
      </c>
      <c r="C2281" s="0" t="n">
        <v>1634.571824</v>
      </c>
      <c r="E2281" s="0" t="n">
        <v>2033</v>
      </c>
      <c r="F2281" s="0" t="n">
        <v>32.095128</v>
      </c>
      <c r="G2281" s="0" t="n">
        <v>673.570386</v>
      </c>
      <c r="I2281" s="0" t="n">
        <v>2028</v>
      </c>
      <c r="J2281" s="0" t="n">
        <v>0.8</v>
      </c>
      <c r="K2281" s="0" t="n">
        <v>17</v>
      </c>
      <c r="M2281" s="0" t="n">
        <v>2033</v>
      </c>
      <c r="N2281" s="0" t="n">
        <v>7.5</v>
      </c>
      <c r="O2281" s="0" t="n">
        <v>156.4</v>
      </c>
      <c r="W2281" s="0" t="n">
        <v>2033</v>
      </c>
      <c r="X2281" s="0" t="n">
        <v>208.714</v>
      </c>
    </row>
    <row r="2282" customFormat="false" ht="15" hidden="false" customHeight="false" outlineLevel="0" collapsed="false">
      <c r="A2282" s="0" t="n">
        <v>2032</v>
      </c>
      <c r="B2282" s="0" t="n">
        <v>57.89757951</v>
      </c>
      <c r="C2282" s="0" t="n">
        <v>1215.84917</v>
      </c>
      <c r="E2282" s="0" t="n">
        <v>2033</v>
      </c>
      <c r="F2282" s="0" t="n">
        <v>29.347864</v>
      </c>
      <c r="G2282" s="0" t="n">
        <v>615.914418</v>
      </c>
      <c r="I2282" s="0" t="n">
        <v>2028</v>
      </c>
      <c r="J2282" s="0" t="n">
        <v>1.4</v>
      </c>
      <c r="K2282" s="0" t="n">
        <v>29.75</v>
      </c>
      <c r="M2282" s="0" t="n">
        <v>2033</v>
      </c>
      <c r="N2282" s="0" t="n">
        <v>7.5</v>
      </c>
      <c r="O2282" s="0" t="n">
        <v>156.4</v>
      </c>
      <c r="W2282" s="0" t="n">
        <v>2033</v>
      </c>
      <c r="X2282" s="0" t="n">
        <v>161.279</v>
      </c>
    </row>
    <row r="2283" customFormat="false" ht="15" hidden="false" customHeight="false" outlineLevel="0" collapsed="false">
      <c r="A2283" s="0" t="n">
        <v>2032</v>
      </c>
      <c r="B2283" s="0" t="n">
        <v>25.73225756</v>
      </c>
      <c r="C2283" s="0" t="n">
        <v>540.3774087</v>
      </c>
      <c r="E2283" s="0" t="n">
        <v>2033</v>
      </c>
      <c r="F2283" s="0" t="n">
        <v>120.778015</v>
      </c>
      <c r="G2283" s="0" t="n">
        <v>2531.198825</v>
      </c>
      <c r="I2283" s="0" t="n">
        <v>2028</v>
      </c>
      <c r="J2283" s="0" t="n">
        <v>0.4</v>
      </c>
      <c r="K2283" s="0" t="n">
        <v>8.5</v>
      </c>
      <c r="M2283" s="0" t="n">
        <v>2033</v>
      </c>
      <c r="N2283" s="0" t="n">
        <v>4.5</v>
      </c>
      <c r="O2283" s="0" t="n">
        <v>93.84</v>
      </c>
      <c r="W2283" s="0" t="n">
        <v>2033</v>
      </c>
      <c r="X2283" s="0" t="n">
        <v>5671.14</v>
      </c>
    </row>
    <row r="2284" customFormat="false" ht="15" hidden="false" customHeight="false" outlineLevel="0" collapsed="false">
      <c r="A2284" s="0" t="n">
        <v>2032</v>
      </c>
      <c r="B2284" s="0" t="n">
        <v>95.04413357</v>
      </c>
      <c r="C2284" s="0" t="n">
        <v>1995.926805</v>
      </c>
      <c r="E2284" s="0" t="n">
        <v>2033</v>
      </c>
      <c r="F2284" s="0" t="n">
        <v>32.430235</v>
      </c>
      <c r="G2284" s="0" t="n">
        <v>679.654925</v>
      </c>
      <c r="I2284" s="0" t="n">
        <v>2028</v>
      </c>
      <c r="J2284" s="0" t="n">
        <v>1.4</v>
      </c>
      <c r="K2284" s="0" t="n">
        <v>29.75</v>
      </c>
      <c r="M2284" s="0" t="n">
        <v>2033</v>
      </c>
      <c r="N2284" s="0" t="n">
        <v>3.75</v>
      </c>
      <c r="O2284" s="0" t="n">
        <v>78.2</v>
      </c>
      <c r="W2284" s="0" t="n">
        <v>2033</v>
      </c>
      <c r="X2284" s="0" t="n">
        <v>1417.785</v>
      </c>
    </row>
    <row r="2285" customFormat="false" ht="15" hidden="false" customHeight="false" outlineLevel="0" collapsed="false">
      <c r="A2285" s="0" t="n">
        <v>2032</v>
      </c>
      <c r="B2285" s="0" t="n">
        <v>29.75213273</v>
      </c>
      <c r="C2285" s="0" t="n">
        <v>624.7947874</v>
      </c>
      <c r="E2285" s="0" t="n">
        <v>2033</v>
      </c>
      <c r="F2285" s="0" t="n">
        <v>12.980695</v>
      </c>
      <c r="G2285" s="0" t="n">
        <v>272.042225</v>
      </c>
      <c r="I2285" s="0" t="n">
        <v>2028</v>
      </c>
      <c r="J2285" s="0" t="n">
        <v>34.56</v>
      </c>
      <c r="K2285" s="0" t="n">
        <v>730.56</v>
      </c>
      <c r="M2285" s="0" t="n">
        <v>2033</v>
      </c>
      <c r="N2285" s="0" t="n">
        <v>3</v>
      </c>
      <c r="O2285" s="0" t="n">
        <v>62.56</v>
      </c>
      <c r="W2285" s="0" t="n">
        <v>2033</v>
      </c>
      <c r="X2285" s="0" t="n">
        <v>439.056</v>
      </c>
    </row>
    <row r="2286" customFormat="false" ht="15" hidden="false" customHeight="false" outlineLevel="0" collapsed="false">
      <c r="A2286" s="0" t="n">
        <v>2032</v>
      </c>
      <c r="B2286" s="0" t="n">
        <v>66.52395061</v>
      </c>
      <c r="C2286" s="0" t="n">
        <v>1397.002963</v>
      </c>
      <c r="E2286" s="0" t="n">
        <v>2033</v>
      </c>
      <c r="F2286" s="0" t="n">
        <v>1.823365</v>
      </c>
      <c r="G2286" s="0" t="n">
        <v>38.213075</v>
      </c>
      <c r="I2286" s="0" t="n">
        <v>2028</v>
      </c>
      <c r="J2286" s="0" t="n">
        <v>11.52</v>
      </c>
      <c r="K2286" s="0" t="n">
        <v>243.52</v>
      </c>
      <c r="M2286" s="0" t="n">
        <v>2033</v>
      </c>
      <c r="N2286" s="0" t="n">
        <v>1.5</v>
      </c>
      <c r="O2286" s="0" t="n">
        <v>31.28</v>
      </c>
      <c r="W2286" s="0" t="n">
        <v>2033</v>
      </c>
      <c r="X2286" s="0" t="n">
        <v>777.495</v>
      </c>
    </row>
    <row r="2287" customFormat="false" ht="15" hidden="false" customHeight="false" outlineLevel="0" collapsed="false">
      <c r="A2287" s="0" t="n">
        <v>2033</v>
      </c>
      <c r="B2287" s="0" t="n">
        <v>234.9583743</v>
      </c>
      <c r="C2287" s="0" t="n">
        <v>4934.125859</v>
      </c>
      <c r="E2287" s="0" t="n">
        <v>2033</v>
      </c>
      <c r="F2287" s="0" t="n">
        <v>43.587565</v>
      </c>
      <c r="G2287" s="0" t="n">
        <v>913.484075</v>
      </c>
      <c r="I2287" s="0" t="n">
        <v>2028</v>
      </c>
      <c r="J2287" s="0" t="n">
        <v>5.04</v>
      </c>
      <c r="K2287" s="0" t="n">
        <v>106.54</v>
      </c>
      <c r="M2287" s="0" t="n">
        <v>2033</v>
      </c>
      <c r="N2287" s="0" t="n">
        <v>74.48</v>
      </c>
      <c r="O2287" s="0" t="n">
        <v>1559.9</v>
      </c>
      <c r="W2287" s="0" t="n">
        <v>2033</v>
      </c>
      <c r="X2287" s="0" t="n">
        <v>347.586</v>
      </c>
    </row>
    <row r="2288" customFormat="false" ht="15" hidden="false" customHeight="false" outlineLevel="0" collapsed="false">
      <c r="A2288" s="0" t="n">
        <v>2033</v>
      </c>
      <c r="B2288" s="0" t="n">
        <v>59.2634498</v>
      </c>
      <c r="C2288" s="0" t="n">
        <v>1244.532446</v>
      </c>
      <c r="E2288" s="0" t="n">
        <v>2033</v>
      </c>
      <c r="F2288" s="0" t="n">
        <v>2.040505</v>
      </c>
      <c r="G2288" s="0" t="n">
        <v>42.763775</v>
      </c>
      <c r="I2288" s="0" t="n">
        <v>2028</v>
      </c>
      <c r="J2288" s="0" t="n">
        <v>2.88</v>
      </c>
      <c r="K2288" s="0" t="n">
        <v>60.88</v>
      </c>
      <c r="M2288" s="0" t="n">
        <v>2033</v>
      </c>
      <c r="N2288" s="0" t="n">
        <v>49</v>
      </c>
      <c r="O2288" s="0" t="n">
        <v>1026.25</v>
      </c>
      <c r="W2288" s="0" t="n">
        <v>2033</v>
      </c>
      <c r="X2288" s="0" t="n">
        <v>137.205</v>
      </c>
    </row>
    <row r="2289" customFormat="false" ht="15" hidden="false" customHeight="false" outlineLevel="0" collapsed="false">
      <c r="A2289" s="0" t="n">
        <v>2033</v>
      </c>
      <c r="B2289" s="0" t="n">
        <v>52.84851095</v>
      </c>
      <c r="C2289" s="0" t="n">
        <v>1109.81873</v>
      </c>
      <c r="E2289" s="0" t="n">
        <v>2033</v>
      </c>
      <c r="F2289" s="0" t="n">
        <v>11.15733</v>
      </c>
      <c r="G2289" s="0" t="n">
        <v>233.82915</v>
      </c>
      <c r="I2289" s="0" t="n">
        <v>2028</v>
      </c>
      <c r="J2289" s="0" t="n">
        <v>2.88</v>
      </c>
      <c r="K2289" s="0" t="n">
        <v>60.88</v>
      </c>
      <c r="M2289" s="0" t="n">
        <v>2033</v>
      </c>
      <c r="N2289" s="0" t="n">
        <v>19.6</v>
      </c>
      <c r="O2289" s="0" t="n">
        <v>410.5</v>
      </c>
      <c r="W2289" s="0" t="n">
        <v>2033</v>
      </c>
      <c r="X2289" s="0" t="n">
        <v>201.234</v>
      </c>
    </row>
    <row r="2290" customFormat="false" ht="15" hidden="false" customHeight="false" outlineLevel="0" collapsed="false">
      <c r="A2290" s="0" t="n">
        <v>2033</v>
      </c>
      <c r="B2290" s="0" t="n">
        <v>36.75300733</v>
      </c>
      <c r="C2290" s="0" t="n">
        <v>771.8131539</v>
      </c>
      <c r="E2290" s="0" t="n">
        <v>2033</v>
      </c>
      <c r="F2290" s="0" t="n">
        <v>10.20229</v>
      </c>
      <c r="G2290" s="0" t="n">
        <v>213.81395</v>
      </c>
      <c r="I2290" s="0" t="n">
        <v>2028</v>
      </c>
      <c r="J2290" s="0" t="n">
        <v>1.44</v>
      </c>
      <c r="K2290" s="0" t="n">
        <v>30.44</v>
      </c>
      <c r="M2290" s="0" t="n">
        <v>2033</v>
      </c>
      <c r="N2290" s="0" t="n">
        <v>19.6</v>
      </c>
      <c r="O2290" s="0" t="n">
        <v>410.5</v>
      </c>
      <c r="W2290" s="0" t="n">
        <v>2033</v>
      </c>
      <c r="X2290" s="0" t="n">
        <v>155.499</v>
      </c>
    </row>
    <row r="2291" customFormat="false" ht="15" hidden="false" customHeight="false" outlineLevel="0" collapsed="false">
      <c r="A2291" s="0" t="n">
        <v>2033</v>
      </c>
      <c r="B2291" s="0" t="n">
        <v>27.33811558</v>
      </c>
      <c r="C2291" s="0" t="n">
        <v>574.1004271</v>
      </c>
      <c r="E2291" s="0" t="n">
        <v>2033</v>
      </c>
      <c r="F2291" s="0" t="n">
        <v>1428.264271</v>
      </c>
      <c r="G2291" s="0" t="n">
        <v>29984.81256</v>
      </c>
      <c r="I2291" s="0" t="n">
        <v>2028</v>
      </c>
      <c r="J2291" s="0" t="n">
        <v>1.44</v>
      </c>
      <c r="K2291" s="0" t="n">
        <v>30.44</v>
      </c>
      <c r="M2291" s="0" t="n">
        <v>2033</v>
      </c>
      <c r="N2291" s="0" t="n">
        <v>11.76</v>
      </c>
      <c r="O2291" s="0" t="n">
        <v>246.3</v>
      </c>
      <c r="W2291" s="0" t="n">
        <v>2033</v>
      </c>
      <c r="X2291" s="0" t="n">
        <v>56232.14</v>
      </c>
    </row>
    <row r="2292" customFormat="false" ht="15" hidden="false" customHeight="false" outlineLevel="0" collapsed="false">
      <c r="A2292" s="0" t="n">
        <v>2033</v>
      </c>
      <c r="B2292" s="0" t="n">
        <v>12.15027359</v>
      </c>
      <c r="C2292" s="0" t="n">
        <v>255.1557454</v>
      </c>
      <c r="E2292" s="0" t="n">
        <v>2033</v>
      </c>
      <c r="F2292" s="0" t="n">
        <v>383.504779</v>
      </c>
      <c r="G2292" s="0" t="n">
        <v>8051.254342</v>
      </c>
      <c r="I2292" s="0" t="n">
        <v>2028</v>
      </c>
      <c r="J2292" s="0" t="n">
        <v>2.88</v>
      </c>
      <c r="K2292" s="0" t="n">
        <v>60.88</v>
      </c>
      <c r="M2292" s="0" t="n">
        <v>2033</v>
      </c>
      <c r="N2292" s="0" t="n">
        <v>9.8</v>
      </c>
      <c r="O2292" s="0" t="n">
        <v>205.25</v>
      </c>
      <c r="W2292" s="0" t="n">
        <v>2033</v>
      </c>
      <c r="X2292" s="0" t="n">
        <v>14058.035</v>
      </c>
    </row>
    <row r="2293" customFormat="false" ht="15" hidden="false" customHeight="false" outlineLevel="0" collapsed="false">
      <c r="A2293" s="0" t="n">
        <v>2033</v>
      </c>
      <c r="B2293" s="0" t="n">
        <v>44.87799888</v>
      </c>
      <c r="C2293" s="0" t="n">
        <v>942.4379765</v>
      </c>
      <c r="E2293" s="0" t="n">
        <v>2033</v>
      </c>
      <c r="F2293" s="0" t="n">
        <v>153.503623</v>
      </c>
      <c r="G2293" s="0" t="n">
        <v>3222.637054</v>
      </c>
      <c r="I2293" s="0" t="n">
        <v>2028</v>
      </c>
      <c r="J2293" s="0" t="n">
        <v>5.04</v>
      </c>
      <c r="K2293" s="0" t="n">
        <v>106.54</v>
      </c>
      <c r="M2293" s="0" t="n">
        <v>2033</v>
      </c>
      <c r="N2293" s="0" t="n">
        <v>7.84</v>
      </c>
      <c r="O2293" s="0" t="n">
        <v>164.2</v>
      </c>
      <c r="W2293" s="0" t="n">
        <v>2033</v>
      </c>
      <c r="X2293" s="0" t="n">
        <v>4353.456</v>
      </c>
    </row>
    <row r="2294" customFormat="false" ht="15" hidden="false" customHeight="false" outlineLevel="0" collapsed="false">
      <c r="A2294" s="0" t="n">
        <v>2033</v>
      </c>
      <c r="B2294" s="0" t="n">
        <v>14.04838078</v>
      </c>
      <c r="C2294" s="0" t="n">
        <v>295.0159964</v>
      </c>
      <c r="E2294" s="0" t="n">
        <v>2033</v>
      </c>
      <c r="F2294" s="0" t="n">
        <v>21.562261</v>
      </c>
      <c r="G2294" s="0" t="n">
        <v>452.675578</v>
      </c>
      <c r="I2294" s="0" t="n">
        <v>2028</v>
      </c>
      <c r="J2294" s="0" t="n">
        <v>2.16</v>
      </c>
      <c r="K2294" s="0" t="n">
        <v>45.66</v>
      </c>
      <c r="M2294" s="0" t="n">
        <v>2033</v>
      </c>
      <c r="N2294" s="0" t="n">
        <v>3.92</v>
      </c>
      <c r="O2294" s="0" t="n">
        <v>82.1</v>
      </c>
      <c r="W2294" s="0" t="n">
        <v>2033</v>
      </c>
      <c r="X2294" s="0" t="n">
        <v>7709.245</v>
      </c>
    </row>
    <row r="2295" customFormat="false" ht="15" hidden="false" customHeight="false" outlineLevel="0" collapsed="false">
      <c r="A2295" s="0" t="n">
        <v>2033</v>
      </c>
      <c r="B2295" s="0" t="n">
        <v>31.41132092</v>
      </c>
      <c r="C2295" s="0" t="n">
        <v>659.6377393</v>
      </c>
      <c r="E2295" s="0" t="n">
        <v>2033</v>
      </c>
      <c r="F2295" s="0" t="n">
        <v>515.446141</v>
      </c>
      <c r="G2295" s="0" t="n">
        <v>10821.21582</v>
      </c>
      <c r="I2295" s="0" t="n">
        <v>2028</v>
      </c>
      <c r="J2295" s="0" t="n">
        <v>2.16</v>
      </c>
      <c r="K2295" s="0" t="n">
        <v>45.66</v>
      </c>
      <c r="M2295" s="0" t="n">
        <v>2033</v>
      </c>
      <c r="N2295" s="0" t="n">
        <v>46.74</v>
      </c>
      <c r="O2295" s="0" t="n">
        <v>977.36</v>
      </c>
      <c r="W2295" s="0" t="n">
        <v>2033</v>
      </c>
      <c r="X2295" s="0" t="n">
        <v>3446.486</v>
      </c>
    </row>
    <row r="2296" customFormat="false" ht="15" hidden="false" customHeight="false" outlineLevel="0" collapsed="false">
      <c r="A2296" s="0" t="n">
        <v>2033</v>
      </c>
      <c r="B2296" s="0" t="n">
        <v>236.7595355</v>
      </c>
      <c r="C2296" s="0" t="n">
        <v>4971.950245</v>
      </c>
      <c r="E2296" s="0" t="n">
        <v>2033</v>
      </c>
      <c r="F2296" s="0" t="n">
        <v>24.130057</v>
      </c>
      <c r="G2296" s="0" t="n">
        <v>506.583586</v>
      </c>
      <c r="I2296" s="0" t="n">
        <v>2028</v>
      </c>
      <c r="J2296" s="0" t="n">
        <v>16.64</v>
      </c>
      <c r="K2296" s="0" t="n">
        <v>353.6</v>
      </c>
      <c r="M2296" s="0" t="n">
        <v>2033</v>
      </c>
      <c r="N2296" s="0" t="n">
        <v>30.75</v>
      </c>
      <c r="O2296" s="0" t="n">
        <v>643</v>
      </c>
      <c r="W2296" s="0" t="n">
        <v>2033</v>
      </c>
      <c r="X2296" s="0" t="n">
        <v>1360.455</v>
      </c>
    </row>
    <row r="2297" customFormat="false" ht="15" hidden="false" customHeight="false" outlineLevel="0" collapsed="false">
      <c r="A2297" s="0" t="n">
        <v>2033</v>
      </c>
      <c r="B2297" s="0" t="n">
        <v>59.71775592</v>
      </c>
      <c r="C2297" s="0" t="n">
        <v>1254.072874</v>
      </c>
      <c r="E2297" s="0" t="n">
        <v>2033</v>
      </c>
      <c r="F2297" s="0" t="n">
        <v>131.941362</v>
      </c>
      <c r="G2297" s="0" t="n">
        <v>2769.961476</v>
      </c>
      <c r="I2297" s="0" t="n">
        <v>2028</v>
      </c>
      <c r="J2297" s="0" t="n">
        <v>2.56</v>
      </c>
      <c r="K2297" s="0" t="n">
        <v>54.4</v>
      </c>
      <c r="M2297" s="0" t="n">
        <v>2033</v>
      </c>
      <c r="N2297" s="0" t="n">
        <v>12.3</v>
      </c>
      <c r="O2297" s="0" t="n">
        <v>257.2</v>
      </c>
      <c r="W2297" s="0" t="n">
        <v>2033</v>
      </c>
      <c r="X2297" s="0" t="n">
        <v>1995.334</v>
      </c>
    </row>
    <row r="2298" customFormat="false" ht="15" hidden="false" customHeight="false" outlineLevel="0" collapsed="false">
      <c r="A2298" s="0" t="n">
        <v>2033</v>
      </c>
      <c r="B2298" s="0" t="n">
        <v>53.25364096</v>
      </c>
      <c r="C2298" s="0" t="n">
        <v>1118.32646</v>
      </c>
      <c r="E2298" s="0" t="n">
        <v>2033</v>
      </c>
      <c r="F2298" s="0" t="n">
        <v>120.647506</v>
      </c>
      <c r="G2298" s="0" t="n">
        <v>2532.859588</v>
      </c>
      <c r="I2298" s="0" t="n">
        <v>2028</v>
      </c>
      <c r="J2298" s="0" t="n">
        <v>1.92</v>
      </c>
      <c r="K2298" s="0" t="n">
        <v>40.8</v>
      </c>
      <c r="M2298" s="0" t="n">
        <v>2033</v>
      </c>
      <c r="N2298" s="0" t="n">
        <v>12.3</v>
      </c>
      <c r="O2298" s="0" t="n">
        <v>257.2</v>
      </c>
      <c r="W2298" s="0" t="n">
        <v>2033</v>
      </c>
      <c r="X2298" s="0" t="n">
        <v>1541.849</v>
      </c>
    </row>
    <row r="2299" customFormat="false" ht="15" hidden="false" customHeight="false" outlineLevel="0" collapsed="false">
      <c r="A2299" s="0" t="n">
        <v>2033</v>
      </c>
      <c r="B2299" s="0" t="n">
        <v>37.03475124</v>
      </c>
      <c r="C2299" s="0" t="n">
        <v>777.729776</v>
      </c>
      <c r="E2299" s="0" t="n">
        <v>2033</v>
      </c>
      <c r="F2299" s="0" t="n">
        <v>651.687332</v>
      </c>
      <c r="G2299" s="0" t="n">
        <v>13685.43397</v>
      </c>
      <c r="I2299" s="0" t="n">
        <v>2028</v>
      </c>
      <c r="J2299" s="0" t="n">
        <v>3.2</v>
      </c>
      <c r="K2299" s="0" t="n">
        <v>68</v>
      </c>
      <c r="M2299" s="0" t="n">
        <v>2033</v>
      </c>
      <c r="N2299" s="0" t="n">
        <v>7.38</v>
      </c>
      <c r="O2299" s="0" t="n">
        <v>154.32</v>
      </c>
      <c r="W2299" s="0" t="n">
        <v>2033</v>
      </c>
      <c r="X2299" s="0" t="n">
        <v>15307.8</v>
      </c>
    </row>
    <row r="2300" customFormat="false" ht="15" hidden="false" customHeight="false" outlineLevel="0" collapsed="false">
      <c r="A2300" s="0" t="n">
        <v>2033</v>
      </c>
      <c r="B2300" s="0" t="n">
        <v>27.54768612</v>
      </c>
      <c r="C2300" s="0" t="n">
        <v>578.5014084</v>
      </c>
      <c r="E2300" s="0" t="n">
        <v>2033</v>
      </c>
      <c r="F2300" s="0" t="n">
        <v>174.985268</v>
      </c>
      <c r="G2300" s="0" t="n">
        <v>3674.690628</v>
      </c>
      <c r="I2300" s="0" t="n">
        <v>2028</v>
      </c>
      <c r="J2300" s="0" t="n">
        <v>0.64</v>
      </c>
      <c r="K2300" s="0" t="n">
        <v>13.6</v>
      </c>
      <c r="M2300" s="0" t="n">
        <v>2033</v>
      </c>
      <c r="N2300" s="0" t="n">
        <v>6.15</v>
      </c>
      <c r="O2300" s="0" t="n">
        <v>128.6</v>
      </c>
      <c r="W2300" s="0" t="n">
        <v>2033</v>
      </c>
      <c r="X2300" s="0" t="n">
        <v>3826.95</v>
      </c>
    </row>
    <row r="2301" customFormat="false" ht="15" hidden="false" customHeight="false" outlineLevel="0" collapsed="false">
      <c r="A2301" s="0" t="n">
        <v>2033</v>
      </c>
      <c r="B2301" s="0" t="n">
        <v>12.24341605</v>
      </c>
      <c r="C2301" s="0" t="n">
        <v>257.1117371</v>
      </c>
      <c r="E2301" s="0" t="n">
        <v>2033</v>
      </c>
      <c r="F2301" s="0" t="n">
        <v>70.040516</v>
      </c>
      <c r="G2301" s="0" t="n">
        <v>1470.850836</v>
      </c>
      <c r="I2301" s="0" t="n">
        <v>2028</v>
      </c>
      <c r="J2301" s="0" t="n">
        <v>0.64</v>
      </c>
      <c r="K2301" s="0" t="n">
        <v>13.6</v>
      </c>
      <c r="M2301" s="0" t="n">
        <v>2033</v>
      </c>
      <c r="N2301" s="0" t="n">
        <v>4.92</v>
      </c>
      <c r="O2301" s="0" t="n">
        <v>102.88</v>
      </c>
      <c r="W2301" s="0" t="n">
        <v>2033</v>
      </c>
      <c r="X2301" s="0" t="n">
        <v>1185.12</v>
      </c>
    </row>
    <row r="2302" customFormat="false" ht="15" hidden="false" customHeight="false" outlineLevel="0" collapsed="false">
      <c r="A2302" s="0" t="n">
        <v>2033</v>
      </c>
      <c r="B2302" s="0" t="n">
        <v>45.22202795</v>
      </c>
      <c r="C2302" s="0" t="n">
        <v>949.6625869</v>
      </c>
      <c r="E2302" s="0" t="n">
        <v>2033</v>
      </c>
      <c r="F2302" s="0" t="n">
        <v>9.838412</v>
      </c>
      <c r="G2302" s="0" t="n">
        <v>206.606652</v>
      </c>
      <c r="I2302" s="0" t="n">
        <v>2028</v>
      </c>
      <c r="J2302" s="0" t="n">
        <v>0</v>
      </c>
      <c r="K2302" s="0" t="n">
        <v>0</v>
      </c>
      <c r="M2302" s="0" t="n">
        <v>2033</v>
      </c>
      <c r="N2302" s="0" t="n">
        <v>2.46</v>
      </c>
      <c r="O2302" s="0" t="n">
        <v>51.44</v>
      </c>
      <c r="W2302" s="0" t="n">
        <v>2033</v>
      </c>
      <c r="X2302" s="0" t="n">
        <v>2098.65</v>
      </c>
    </row>
    <row r="2303" customFormat="false" ht="15" hidden="false" customHeight="false" outlineLevel="0" collapsed="false">
      <c r="A2303" s="0" t="n">
        <v>2033</v>
      </c>
      <c r="B2303" s="0" t="n">
        <v>14.15607389</v>
      </c>
      <c r="C2303" s="0" t="n">
        <v>297.2775518</v>
      </c>
      <c r="E2303" s="0" t="n">
        <v>2033</v>
      </c>
      <c r="F2303" s="0" t="n">
        <v>235.187372</v>
      </c>
      <c r="G2303" s="0" t="n">
        <v>4938.934812</v>
      </c>
      <c r="I2303" s="0" t="n">
        <v>2028</v>
      </c>
      <c r="J2303" s="0" t="n">
        <v>1.28</v>
      </c>
      <c r="K2303" s="0" t="n">
        <v>27.2</v>
      </c>
      <c r="M2303" s="0" t="n">
        <v>2033</v>
      </c>
      <c r="N2303" s="0" t="n">
        <v>46.74</v>
      </c>
      <c r="O2303" s="0" t="n">
        <v>975.46</v>
      </c>
      <c r="W2303" s="0" t="n">
        <v>2033</v>
      </c>
      <c r="X2303" s="0" t="n">
        <v>938.22</v>
      </c>
    </row>
    <row r="2304" customFormat="false" ht="15" hidden="false" customHeight="false" outlineLevel="0" collapsed="false">
      <c r="A2304" s="0" t="n">
        <v>2033</v>
      </c>
      <c r="B2304" s="0" t="n">
        <v>31.65211614</v>
      </c>
      <c r="C2304" s="0" t="n">
        <v>664.6944388</v>
      </c>
      <c r="E2304" s="0" t="n">
        <v>2033</v>
      </c>
      <c r="F2304" s="0" t="n">
        <v>11.010044</v>
      </c>
      <c r="G2304" s="0" t="n">
        <v>231.210924</v>
      </c>
      <c r="I2304" s="0" t="n">
        <v>2028</v>
      </c>
      <c r="J2304" s="0" t="n">
        <v>2.24</v>
      </c>
      <c r="K2304" s="0" t="n">
        <v>47.6</v>
      </c>
      <c r="M2304" s="0" t="n">
        <v>2033</v>
      </c>
      <c r="N2304" s="0" t="n">
        <v>30.75</v>
      </c>
      <c r="O2304" s="0" t="n">
        <v>641.75</v>
      </c>
      <c r="W2304" s="0" t="n">
        <v>2033</v>
      </c>
      <c r="X2304" s="0" t="n">
        <v>370.35</v>
      </c>
    </row>
    <row r="2305" customFormat="false" ht="15" hidden="false" customHeight="false" outlineLevel="0" collapsed="false">
      <c r="A2305" s="0" t="n">
        <v>2033</v>
      </c>
      <c r="B2305" s="0" t="n">
        <v>192.7553039</v>
      </c>
      <c r="C2305" s="0" t="n">
        <v>4047.861381</v>
      </c>
      <c r="E2305" s="0" t="n">
        <v>2033</v>
      </c>
      <c r="F2305" s="0" t="n">
        <v>60.202104</v>
      </c>
      <c r="G2305" s="0" t="n">
        <v>1264.244184</v>
      </c>
      <c r="I2305" s="0" t="n">
        <v>2028</v>
      </c>
      <c r="J2305" s="0" t="n">
        <v>0.64</v>
      </c>
      <c r="K2305" s="0" t="n">
        <v>13.6</v>
      </c>
      <c r="M2305" s="0" t="n">
        <v>2033</v>
      </c>
      <c r="N2305" s="0" t="n">
        <v>12.3</v>
      </c>
      <c r="O2305" s="0" t="n">
        <v>256.7</v>
      </c>
      <c r="W2305" s="0" t="n">
        <v>2033</v>
      </c>
      <c r="X2305" s="0" t="n">
        <v>543.18</v>
      </c>
    </row>
    <row r="2306" customFormat="false" ht="15" hidden="false" customHeight="false" outlineLevel="0" collapsed="false">
      <c r="A2306" s="0" t="n">
        <v>2033</v>
      </c>
      <c r="B2306" s="0" t="n">
        <v>48.61858748</v>
      </c>
      <c r="C2306" s="0" t="n">
        <v>1020.990337</v>
      </c>
      <c r="E2306" s="0" t="n">
        <v>2033</v>
      </c>
      <c r="F2306" s="0" t="n">
        <v>55.048952</v>
      </c>
      <c r="G2306" s="0" t="n">
        <v>1156.027992</v>
      </c>
      <c r="I2306" s="0" t="n">
        <v>2028</v>
      </c>
      <c r="J2306" s="0" t="n">
        <v>2.24</v>
      </c>
      <c r="K2306" s="0" t="n">
        <v>47.6</v>
      </c>
      <c r="M2306" s="0" t="n">
        <v>2033</v>
      </c>
      <c r="N2306" s="0" t="n">
        <v>12.3</v>
      </c>
      <c r="O2306" s="0" t="n">
        <v>256.7</v>
      </c>
      <c r="W2306" s="0" t="n">
        <v>2033</v>
      </c>
      <c r="X2306" s="0" t="n">
        <v>419.73</v>
      </c>
    </row>
    <row r="2307" customFormat="false" ht="15" hidden="false" customHeight="false" outlineLevel="0" collapsed="false">
      <c r="A2307" s="0" t="n">
        <v>2033</v>
      </c>
      <c r="B2307" s="0" t="n">
        <v>43.35589578</v>
      </c>
      <c r="C2307" s="0" t="n">
        <v>910.4738114</v>
      </c>
      <c r="E2307" s="0" t="n">
        <v>2033</v>
      </c>
      <c r="F2307" s="0" t="n">
        <v>84.801585</v>
      </c>
      <c r="G2307" s="0" t="n">
        <v>1772.096152</v>
      </c>
      <c r="I2307" s="0" t="n">
        <v>2028</v>
      </c>
      <c r="J2307" s="0" t="n">
        <v>1124.16</v>
      </c>
      <c r="K2307" s="0" t="n">
        <v>23608.32</v>
      </c>
      <c r="M2307" s="0" t="n">
        <v>2033</v>
      </c>
      <c r="N2307" s="0" t="n">
        <v>7.38</v>
      </c>
      <c r="O2307" s="0" t="n">
        <v>154.02</v>
      </c>
      <c r="W2307" s="0" t="n">
        <v>2033</v>
      </c>
      <c r="X2307" s="0" t="n">
        <v>5136.7</v>
      </c>
    </row>
    <row r="2308" customFormat="false" ht="15" hidden="false" customHeight="false" outlineLevel="0" collapsed="false">
      <c r="A2308" s="0" t="n">
        <v>2033</v>
      </c>
      <c r="B2308" s="0" t="n">
        <v>30.15145605</v>
      </c>
      <c r="C2308" s="0" t="n">
        <v>633.1805771</v>
      </c>
      <c r="E2308" s="0" t="n">
        <v>2033</v>
      </c>
      <c r="F2308" s="0" t="n">
        <v>22.770165</v>
      </c>
      <c r="G2308" s="0" t="n">
        <v>475.827448</v>
      </c>
      <c r="I2308" s="0" t="n">
        <v>2028</v>
      </c>
      <c r="J2308" s="0" t="n">
        <v>374.72</v>
      </c>
      <c r="K2308" s="0" t="n">
        <v>7869.44</v>
      </c>
      <c r="M2308" s="0" t="n">
        <v>2033</v>
      </c>
      <c r="N2308" s="0" t="n">
        <v>6.15</v>
      </c>
      <c r="O2308" s="0" t="n">
        <v>128.35</v>
      </c>
      <c r="W2308" s="0" t="n">
        <v>2033</v>
      </c>
      <c r="X2308" s="0" t="n">
        <v>1284.175</v>
      </c>
    </row>
    <row r="2309" customFormat="false" ht="15" hidden="false" customHeight="false" outlineLevel="0" collapsed="false">
      <c r="A2309" s="0" t="n">
        <v>2033</v>
      </c>
      <c r="B2309" s="0" t="n">
        <v>22.42766103</v>
      </c>
      <c r="C2309" s="0" t="n">
        <v>470.9808817</v>
      </c>
      <c r="E2309" s="0" t="n">
        <v>2033</v>
      </c>
      <c r="F2309" s="0" t="n">
        <v>9.114105</v>
      </c>
      <c r="G2309" s="0" t="n">
        <v>190.457176</v>
      </c>
      <c r="I2309" s="0" t="n">
        <v>2028</v>
      </c>
      <c r="J2309" s="0" t="n">
        <v>163.94</v>
      </c>
      <c r="K2309" s="0" t="n">
        <v>3442.88</v>
      </c>
      <c r="M2309" s="0" t="n">
        <v>2033</v>
      </c>
      <c r="N2309" s="0" t="n">
        <v>4.92</v>
      </c>
      <c r="O2309" s="0" t="n">
        <v>102.68</v>
      </c>
      <c r="W2309" s="0" t="n">
        <v>2033</v>
      </c>
      <c r="X2309" s="0" t="n">
        <v>397.68</v>
      </c>
    </row>
    <row r="2310" customFormat="false" ht="15" hidden="false" customHeight="false" outlineLevel="0" collapsed="false">
      <c r="A2310" s="0" t="n">
        <v>2033</v>
      </c>
      <c r="B2310" s="0" t="n">
        <v>9.967849348</v>
      </c>
      <c r="C2310" s="0" t="n">
        <v>209.3248363</v>
      </c>
      <c r="E2310" s="0" t="n">
        <v>2033</v>
      </c>
      <c r="F2310" s="0" t="n">
        <v>1.280235</v>
      </c>
      <c r="G2310" s="0" t="n">
        <v>26.753032</v>
      </c>
      <c r="I2310" s="0" t="n">
        <v>2028</v>
      </c>
      <c r="J2310" s="0" t="n">
        <v>93.68</v>
      </c>
      <c r="K2310" s="0" t="n">
        <v>1967.36</v>
      </c>
      <c r="M2310" s="0" t="n">
        <v>2033</v>
      </c>
      <c r="N2310" s="0" t="n">
        <v>2.46</v>
      </c>
      <c r="O2310" s="0" t="n">
        <v>51.34</v>
      </c>
      <c r="W2310" s="0" t="n">
        <v>2033</v>
      </c>
      <c r="X2310" s="0" t="n">
        <v>704.225</v>
      </c>
    </row>
    <row r="2311" customFormat="false" ht="15" hidden="false" customHeight="false" outlineLevel="0" collapsed="false">
      <c r="A2311" s="0" t="n">
        <v>2033</v>
      </c>
      <c r="B2311" s="0" t="n">
        <v>36.8170419</v>
      </c>
      <c r="C2311" s="0" t="n">
        <v>773.15788</v>
      </c>
      <c r="E2311" s="0" t="n">
        <v>2033</v>
      </c>
      <c r="F2311" s="0" t="n">
        <v>30.604035</v>
      </c>
      <c r="G2311" s="0" t="n">
        <v>639.531592</v>
      </c>
      <c r="I2311" s="0" t="n">
        <v>2028</v>
      </c>
      <c r="J2311" s="0" t="n">
        <v>93.68</v>
      </c>
      <c r="K2311" s="0" t="n">
        <v>1967.36</v>
      </c>
      <c r="M2311" s="0" t="n">
        <v>2033</v>
      </c>
      <c r="N2311" s="0" t="n">
        <v>241.68</v>
      </c>
      <c r="O2311" s="0" t="n">
        <v>5072.24</v>
      </c>
      <c r="W2311" s="0" t="n">
        <v>2033</v>
      </c>
      <c r="X2311" s="0" t="n">
        <v>314.83</v>
      </c>
    </row>
    <row r="2312" customFormat="false" ht="15" hidden="false" customHeight="false" outlineLevel="0" collapsed="false">
      <c r="A2312" s="0" t="n">
        <v>2033</v>
      </c>
      <c r="B2312" s="0" t="n">
        <v>11.52501976</v>
      </c>
      <c r="C2312" s="0" t="n">
        <v>242.025415</v>
      </c>
      <c r="E2312" s="0" t="n">
        <v>2033</v>
      </c>
      <c r="F2312" s="0" t="n">
        <v>1.432695</v>
      </c>
      <c r="G2312" s="0" t="n">
        <v>29.938984</v>
      </c>
      <c r="I2312" s="0" t="n">
        <v>2028</v>
      </c>
      <c r="J2312" s="0" t="n">
        <v>46.84</v>
      </c>
      <c r="K2312" s="0" t="n">
        <v>983.68</v>
      </c>
      <c r="M2312" s="0" t="n">
        <v>2033</v>
      </c>
      <c r="N2312" s="0" t="n">
        <v>159</v>
      </c>
      <c r="O2312" s="0" t="n">
        <v>3337</v>
      </c>
      <c r="W2312" s="0" t="n">
        <v>2033</v>
      </c>
      <c r="X2312" s="0" t="n">
        <v>124.275</v>
      </c>
    </row>
    <row r="2313" customFormat="false" ht="15" hidden="false" customHeight="false" outlineLevel="0" collapsed="false">
      <c r="A2313" s="0" t="n">
        <v>2033</v>
      </c>
      <c r="B2313" s="0" t="n">
        <v>25.76923988</v>
      </c>
      <c r="C2313" s="0" t="n">
        <v>541.1540375</v>
      </c>
      <c r="E2313" s="0" t="n">
        <v>2033</v>
      </c>
      <c r="F2313" s="0" t="n">
        <v>7.83387</v>
      </c>
      <c r="G2313" s="0" t="n">
        <v>163.704144</v>
      </c>
      <c r="I2313" s="0" t="n">
        <v>2028</v>
      </c>
      <c r="J2313" s="0" t="n">
        <v>46.84</v>
      </c>
      <c r="K2313" s="0" t="n">
        <v>983.68</v>
      </c>
      <c r="M2313" s="0" t="n">
        <v>2033</v>
      </c>
      <c r="N2313" s="0" t="n">
        <v>63.6</v>
      </c>
      <c r="O2313" s="0" t="n">
        <v>1334.8</v>
      </c>
      <c r="W2313" s="0" t="n">
        <v>2033</v>
      </c>
      <c r="X2313" s="0" t="n">
        <v>182.27</v>
      </c>
    </row>
    <row r="2314" customFormat="false" ht="15" hidden="false" customHeight="false" outlineLevel="0" collapsed="false">
      <c r="A2314" s="0" t="n">
        <v>2033</v>
      </c>
      <c r="B2314" s="0" t="n">
        <v>351.9406893</v>
      </c>
      <c r="C2314" s="0" t="n">
        <v>7390.754476</v>
      </c>
      <c r="E2314" s="0" t="n">
        <v>2033</v>
      </c>
      <c r="F2314" s="0" t="n">
        <v>7.16331</v>
      </c>
      <c r="G2314" s="0" t="n">
        <v>149.691472</v>
      </c>
      <c r="I2314" s="0" t="n">
        <v>2028</v>
      </c>
      <c r="J2314" s="0" t="n">
        <v>93.68</v>
      </c>
      <c r="K2314" s="0" t="n">
        <v>1967.36</v>
      </c>
      <c r="M2314" s="0" t="n">
        <v>2033</v>
      </c>
      <c r="N2314" s="0" t="n">
        <v>63.6</v>
      </c>
      <c r="O2314" s="0" t="n">
        <v>1334.8</v>
      </c>
      <c r="W2314" s="0" t="n">
        <v>2033</v>
      </c>
      <c r="X2314" s="0" t="n">
        <v>140.845</v>
      </c>
    </row>
    <row r="2315" customFormat="false" ht="15" hidden="false" customHeight="false" outlineLevel="0" collapsed="false">
      <c r="A2315" s="0" t="n">
        <v>2033</v>
      </c>
      <c r="B2315" s="0" t="n">
        <v>88.76984887</v>
      </c>
      <c r="C2315" s="0" t="n">
        <v>1864.166826</v>
      </c>
      <c r="E2315" s="0" t="n">
        <v>2033</v>
      </c>
      <c r="F2315" s="0" t="n">
        <v>634.727015</v>
      </c>
      <c r="G2315" s="0" t="n">
        <v>13320.53018</v>
      </c>
      <c r="I2315" s="0" t="n">
        <v>2028</v>
      </c>
      <c r="J2315" s="0" t="n">
        <v>163.94</v>
      </c>
      <c r="K2315" s="0" t="n">
        <v>3442.88</v>
      </c>
      <c r="M2315" s="0" t="n">
        <v>2033</v>
      </c>
      <c r="N2315" s="0" t="n">
        <v>38.16</v>
      </c>
      <c r="O2315" s="0" t="n">
        <v>800.88</v>
      </c>
      <c r="W2315" s="0" t="n">
        <v>2033</v>
      </c>
      <c r="X2315" s="0" t="n">
        <v>48590.02</v>
      </c>
    </row>
    <row r="2316" customFormat="false" ht="15" hidden="false" customHeight="false" outlineLevel="0" collapsed="false">
      <c r="A2316" s="0" t="n">
        <v>2033</v>
      </c>
      <c r="B2316" s="0" t="n">
        <v>79.16100643</v>
      </c>
      <c r="C2316" s="0" t="n">
        <v>1662.381135</v>
      </c>
      <c r="E2316" s="0" t="n">
        <v>2033</v>
      </c>
      <c r="F2316" s="0" t="n">
        <v>170.431235</v>
      </c>
      <c r="G2316" s="0" t="n">
        <v>3576.709918</v>
      </c>
      <c r="I2316" s="0" t="n">
        <v>2028</v>
      </c>
      <c r="J2316" s="0" t="n">
        <v>70.26</v>
      </c>
      <c r="K2316" s="0" t="n">
        <v>1475.52</v>
      </c>
      <c r="M2316" s="0" t="n">
        <v>2033</v>
      </c>
      <c r="N2316" s="0" t="n">
        <v>31.8</v>
      </c>
      <c r="O2316" s="0" t="n">
        <v>667.4</v>
      </c>
      <c r="W2316" s="0" t="n">
        <v>2033</v>
      </c>
      <c r="X2316" s="0" t="n">
        <v>12147.505</v>
      </c>
    </row>
    <row r="2317" customFormat="false" ht="15" hidden="false" customHeight="false" outlineLevel="0" collapsed="false">
      <c r="A2317" s="0" t="n">
        <v>2033</v>
      </c>
      <c r="B2317" s="0" t="n">
        <v>55.05178854</v>
      </c>
      <c r="C2317" s="0" t="n">
        <v>1156.087559</v>
      </c>
      <c r="E2317" s="0" t="n">
        <v>2033</v>
      </c>
      <c r="F2317" s="0" t="n">
        <v>68.217695</v>
      </c>
      <c r="G2317" s="0" t="n">
        <v>1431.632566</v>
      </c>
      <c r="I2317" s="0" t="n">
        <v>2028</v>
      </c>
      <c r="J2317" s="0" t="n">
        <v>70.26</v>
      </c>
      <c r="K2317" s="0" t="n">
        <v>1475.52</v>
      </c>
      <c r="M2317" s="0" t="n">
        <v>2033</v>
      </c>
      <c r="N2317" s="0" t="n">
        <v>25.44</v>
      </c>
      <c r="O2317" s="0" t="n">
        <v>533.92</v>
      </c>
      <c r="W2317" s="0" t="n">
        <v>2033</v>
      </c>
      <c r="X2317" s="0" t="n">
        <v>3761.808</v>
      </c>
    </row>
    <row r="2318" customFormat="false" ht="15" hidden="false" customHeight="false" outlineLevel="0" collapsed="false">
      <c r="A2318" s="0" t="n">
        <v>2033</v>
      </c>
      <c r="B2318" s="0" t="n">
        <v>40.9493608</v>
      </c>
      <c r="C2318" s="0" t="n">
        <v>859.9365768</v>
      </c>
      <c r="E2318" s="0" t="n">
        <v>2033</v>
      </c>
      <c r="F2318" s="0" t="n">
        <v>9.582365</v>
      </c>
      <c r="G2318" s="0" t="n">
        <v>201.097762</v>
      </c>
      <c r="I2318" s="0" t="n">
        <v>2028</v>
      </c>
      <c r="J2318" s="0" t="n">
        <v>177.84</v>
      </c>
      <c r="K2318" s="0" t="n">
        <v>3739.32</v>
      </c>
      <c r="M2318" s="0" t="n">
        <v>2033</v>
      </c>
      <c r="N2318" s="0" t="n">
        <v>12.72</v>
      </c>
      <c r="O2318" s="0" t="n">
        <v>266.96</v>
      </c>
      <c r="W2318" s="0" t="n">
        <v>2033</v>
      </c>
      <c r="X2318" s="0" t="n">
        <v>6661.535</v>
      </c>
    </row>
    <row r="2319" customFormat="false" ht="15" hidden="false" customHeight="false" outlineLevel="0" collapsed="false">
      <c r="A2319" s="0" t="n">
        <v>2033</v>
      </c>
      <c r="B2319" s="0" t="n">
        <v>18.19971591</v>
      </c>
      <c r="C2319" s="0" t="n">
        <v>382.1940341</v>
      </c>
      <c r="E2319" s="0" t="n">
        <v>2033</v>
      </c>
      <c r="F2319" s="0" t="n">
        <v>229.066565</v>
      </c>
      <c r="G2319" s="0" t="n">
        <v>4807.244722</v>
      </c>
      <c r="I2319" s="0" t="n">
        <v>2028</v>
      </c>
      <c r="J2319" s="0" t="n">
        <v>27.36</v>
      </c>
      <c r="K2319" s="0" t="n">
        <v>575.28</v>
      </c>
      <c r="M2319" s="0" t="n">
        <v>2033</v>
      </c>
      <c r="N2319" s="0" t="n">
        <v>182.4</v>
      </c>
      <c r="O2319" s="0" t="n">
        <v>3825.84</v>
      </c>
      <c r="W2319" s="0" t="n">
        <v>2033</v>
      </c>
      <c r="X2319" s="0" t="n">
        <v>2978.098</v>
      </c>
    </row>
    <row r="2320" customFormat="false" ht="15" hidden="false" customHeight="false" outlineLevel="0" collapsed="false">
      <c r="A2320" s="0" t="n">
        <v>2033</v>
      </c>
      <c r="B2320" s="0" t="n">
        <v>67.22209375</v>
      </c>
      <c r="C2320" s="0" t="n">
        <v>1411.663969</v>
      </c>
      <c r="E2320" s="0" t="n">
        <v>2033</v>
      </c>
      <c r="F2320" s="0" t="n">
        <v>10.723505</v>
      </c>
      <c r="G2320" s="0" t="n">
        <v>225.045994</v>
      </c>
      <c r="I2320" s="0" t="n">
        <v>2028</v>
      </c>
      <c r="J2320" s="0" t="n">
        <v>20.52</v>
      </c>
      <c r="K2320" s="0" t="n">
        <v>431.46</v>
      </c>
      <c r="M2320" s="0" t="n">
        <v>2033</v>
      </c>
      <c r="N2320" s="0" t="n">
        <v>120</v>
      </c>
      <c r="O2320" s="0" t="n">
        <v>2517</v>
      </c>
      <c r="W2320" s="0" t="n">
        <v>2033</v>
      </c>
      <c r="X2320" s="0" t="n">
        <v>1175.565</v>
      </c>
    </row>
    <row r="2321" customFormat="false" ht="15" hidden="false" customHeight="false" outlineLevel="0" collapsed="false">
      <c r="A2321" s="0" t="n">
        <v>2033</v>
      </c>
      <c r="B2321" s="0" t="n">
        <v>21.04286273</v>
      </c>
      <c r="C2321" s="0" t="n">
        <v>441.9001173</v>
      </c>
      <c r="E2321" s="0" t="n">
        <v>2033</v>
      </c>
      <c r="F2321" s="0" t="n">
        <v>58.63533</v>
      </c>
      <c r="G2321" s="0" t="n">
        <v>1230.534804</v>
      </c>
      <c r="I2321" s="0" t="n">
        <v>2028</v>
      </c>
      <c r="J2321" s="0" t="n">
        <v>34.2</v>
      </c>
      <c r="K2321" s="0" t="n">
        <v>719.1</v>
      </c>
      <c r="M2321" s="0" t="n">
        <v>2033</v>
      </c>
      <c r="N2321" s="0" t="n">
        <v>48</v>
      </c>
      <c r="O2321" s="0" t="n">
        <v>1006.8</v>
      </c>
      <c r="W2321" s="0" t="n">
        <v>2033</v>
      </c>
      <c r="X2321" s="0" t="n">
        <v>1724.162</v>
      </c>
    </row>
    <row r="2322" customFormat="false" ht="15" hidden="false" customHeight="false" outlineLevel="0" collapsed="false">
      <c r="A2322" s="0" t="n">
        <v>2033</v>
      </c>
      <c r="B2322" s="0" t="n">
        <v>47.05055511</v>
      </c>
      <c r="C2322" s="0" t="n">
        <v>988.0616573</v>
      </c>
      <c r="E2322" s="0" t="n">
        <v>2033</v>
      </c>
      <c r="F2322" s="0" t="n">
        <v>53.61629</v>
      </c>
      <c r="G2322" s="0" t="n">
        <v>1125.204052</v>
      </c>
      <c r="I2322" s="0" t="n">
        <v>2028</v>
      </c>
      <c r="J2322" s="0" t="n">
        <v>6.84</v>
      </c>
      <c r="K2322" s="0" t="n">
        <v>143.82</v>
      </c>
      <c r="M2322" s="0" t="n">
        <v>2033</v>
      </c>
      <c r="N2322" s="0" t="n">
        <v>48</v>
      </c>
      <c r="O2322" s="0" t="n">
        <v>1006.8</v>
      </c>
      <c r="W2322" s="0" t="n">
        <v>2033</v>
      </c>
      <c r="X2322" s="0" t="n">
        <v>1332.307</v>
      </c>
    </row>
    <row r="2323" customFormat="false" ht="15" hidden="false" customHeight="false" outlineLevel="0" collapsed="false">
      <c r="A2323" s="0" t="n">
        <v>2033</v>
      </c>
      <c r="B2323" s="0" t="n">
        <v>168.9675541</v>
      </c>
      <c r="C2323" s="0" t="n">
        <v>3548.318636</v>
      </c>
      <c r="E2323" s="0" t="n">
        <v>2034</v>
      </c>
      <c r="F2323" s="0" t="n">
        <v>266.739531</v>
      </c>
      <c r="G2323" s="0" t="n">
        <v>5596.390661</v>
      </c>
      <c r="I2323" s="0" t="n">
        <v>2028</v>
      </c>
      <c r="J2323" s="0" t="n">
        <v>6.84</v>
      </c>
      <c r="K2323" s="0" t="n">
        <v>143.82</v>
      </c>
      <c r="M2323" s="0" t="n">
        <v>2033</v>
      </c>
      <c r="N2323" s="0" t="n">
        <v>28.8</v>
      </c>
      <c r="O2323" s="0" t="n">
        <v>604.08</v>
      </c>
      <c r="W2323" s="0" t="n">
        <v>2034</v>
      </c>
      <c r="X2323" s="0" t="n">
        <v>165653.46</v>
      </c>
    </row>
    <row r="2324" customFormat="false" ht="15" hidden="false" customHeight="false" outlineLevel="0" collapsed="false">
      <c r="A2324" s="0" t="n">
        <v>2033</v>
      </c>
      <c r="B2324" s="0" t="n">
        <v>42.61861358</v>
      </c>
      <c r="C2324" s="0" t="n">
        <v>894.9908852</v>
      </c>
      <c r="E2324" s="0" t="n">
        <v>2034</v>
      </c>
      <c r="F2324" s="0" t="n">
        <v>71.622519</v>
      </c>
      <c r="G2324" s="0" t="n">
        <v>1502.692889</v>
      </c>
      <c r="I2324" s="0" t="n">
        <v>2028</v>
      </c>
      <c r="J2324" s="0" t="n">
        <v>0</v>
      </c>
      <c r="K2324" s="0" t="n">
        <v>0</v>
      </c>
      <c r="M2324" s="0" t="n">
        <v>2033</v>
      </c>
      <c r="N2324" s="0" t="n">
        <v>24</v>
      </c>
      <c r="O2324" s="0" t="n">
        <v>503.4</v>
      </c>
      <c r="W2324" s="0" t="n">
        <v>2034</v>
      </c>
      <c r="X2324" s="0" t="n">
        <v>41413.365</v>
      </c>
    </row>
    <row r="2325" customFormat="false" ht="15" hidden="false" customHeight="false" outlineLevel="0" collapsed="false">
      <c r="A2325" s="0" t="n">
        <v>2033</v>
      </c>
      <c r="B2325" s="0" t="n">
        <v>38.00538569</v>
      </c>
      <c r="C2325" s="0" t="n">
        <v>798.1130994</v>
      </c>
      <c r="E2325" s="0" t="n">
        <v>2034</v>
      </c>
      <c r="F2325" s="0" t="n">
        <v>28.668003</v>
      </c>
      <c r="G2325" s="0" t="n">
        <v>601.475693</v>
      </c>
      <c r="I2325" s="0" t="n">
        <v>2028</v>
      </c>
      <c r="J2325" s="0" t="n">
        <v>13.68</v>
      </c>
      <c r="K2325" s="0" t="n">
        <v>287.64</v>
      </c>
      <c r="M2325" s="0" t="n">
        <v>2033</v>
      </c>
      <c r="N2325" s="0" t="n">
        <v>19.2</v>
      </c>
      <c r="O2325" s="0" t="n">
        <v>402.72</v>
      </c>
      <c r="W2325" s="0" t="n">
        <v>2034</v>
      </c>
      <c r="X2325" s="0" t="n">
        <v>12824.784</v>
      </c>
    </row>
    <row r="2326" customFormat="false" ht="15" hidden="false" customHeight="false" outlineLevel="0" collapsed="false">
      <c r="A2326" s="0" t="n">
        <v>2033</v>
      </c>
      <c r="B2326" s="0" t="n">
        <v>26.43049338</v>
      </c>
      <c r="C2326" s="0" t="n">
        <v>555.0403609</v>
      </c>
      <c r="E2326" s="0" t="n">
        <v>2034</v>
      </c>
      <c r="F2326" s="0" t="n">
        <v>4.026921</v>
      </c>
      <c r="G2326" s="0" t="n">
        <v>84.487751</v>
      </c>
      <c r="I2326" s="0" t="n">
        <v>2028</v>
      </c>
      <c r="J2326" s="0" t="n">
        <v>23.94</v>
      </c>
      <c r="K2326" s="0" t="n">
        <v>503.37</v>
      </c>
      <c r="M2326" s="0" t="n">
        <v>2033</v>
      </c>
      <c r="N2326" s="0" t="n">
        <v>9.6</v>
      </c>
      <c r="O2326" s="0" t="n">
        <v>201.36</v>
      </c>
      <c r="W2326" s="0" t="n">
        <v>2034</v>
      </c>
      <c r="X2326" s="0" t="n">
        <v>22710.555</v>
      </c>
    </row>
    <row r="2327" customFormat="false" ht="15" hidden="false" customHeight="false" outlineLevel="0" collapsed="false">
      <c r="A2327" s="0" t="n">
        <v>2033</v>
      </c>
      <c r="B2327" s="0" t="n">
        <v>19.6598846</v>
      </c>
      <c r="C2327" s="0" t="n">
        <v>412.8575765</v>
      </c>
      <c r="E2327" s="0" t="n">
        <v>2034</v>
      </c>
      <c r="F2327" s="0" t="n">
        <v>96.263601</v>
      </c>
      <c r="G2327" s="0" t="n">
        <v>2019.680831</v>
      </c>
      <c r="I2327" s="0" t="n">
        <v>2028</v>
      </c>
      <c r="J2327" s="0" t="n">
        <v>6.84</v>
      </c>
      <c r="K2327" s="0" t="n">
        <v>143.82</v>
      </c>
      <c r="M2327" s="0" t="n">
        <v>2033</v>
      </c>
      <c r="N2327" s="0" t="n">
        <v>164.92</v>
      </c>
      <c r="O2327" s="0" t="n">
        <v>3456.48</v>
      </c>
      <c r="W2327" s="0" t="n">
        <v>2034</v>
      </c>
      <c r="X2327" s="0" t="n">
        <v>10152.954</v>
      </c>
    </row>
    <row r="2328" customFormat="false" ht="15" hidden="false" customHeight="false" outlineLevel="0" collapsed="false">
      <c r="A2328" s="0" t="n">
        <v>2033</v>
      </c>
      <c r="B2328" s="0" t="n">
        <v>8.737726487</v>
      </c>
      <c r="C2328" s="0" t="n">
        <v>183.4922562</v>
      </c>
      <c r="E2328" s="0" t="n">
        <v>2034</v>
      </c>
      <c r="F2328" s="0" t="n">
        <v>4.506477</v>
      </c>
      <c r="G2328" s="0" t="n">
        <v>94.549187</v>
      </c>
      <c r="I2328" s="0" t="n">
        <v>2028</v>
      </c>
      <c r="J2328" s="0" t="n">
        <v>23.94</v>
      </c>
      <c r="K2328" s="0" t="n">
        <v>503.37</v>
      </c>
      <c r="M2328" s="0" t="n">
        <v>2033</v>
      </c>
      <c r="N2328" s="0" t="n">
        <v>108.5</v>
      </c>
      <c r="O2328" s="0" t="n">
        <v>2274</v>
      </c>
      <c r="W2328" s="0" t="n">
        <v>2034</v>
      </c>
      <c r="X2328" s="0" t="n">
        <v>4007.745</v>
      </c>
    </row>
    <row r="2329" customFormat="false" ht="15" hidden="false" customHeight="false" outlineLevel="0" collapsed="false">
      <c r="A2329" s="0" t="n">
        <v>2033</v>
      </c>
      <c r="B2329" s="0" t="n">
        <v>32.27348558</v>
      </c>
      <c r="C2329" s="0" t="n">
        <v>677.7431972</v>
      </c>
      <c r="E2329" s="0" t="n">
        <v>2034</v>
      </c>
      <c r="F2329" s="0" t="n">
        <v>24.641082</v>
      </c>
      <c r="G2329" s="0" t="n">
        <v>516.987942</v>
      </c>
      <c r="I2329" s="0" t="n">
        <v>2028</v>
      </c>
      <c r="J2329" s="0" t="n">
        <v>45.12</v>
      </c>
      <c r="K2329" s="0" t="n">
        <v>945.12</v>
      </c>
      <c r="M2329" s="0" t="n">
        <v>2033</v>
      </c>
      <c r="N2329" s="0" t="n">
        <v>43.4</v>
      </c>
      <c r="O2329" s="0" t="n">
        <v>909.6</v>
      </c>
      <c r="W2329" s="0" t="n">
        <v>2034</v>
      </c>
      <c r="X2329" s="0" t="n">
        <v>5878.026</v>
      </c>
    </row>
    <row r="2330" customFormat="false" ht="15" hidden="false" customHeight="false" outlineLevel="0" collapsed="false">
      <c r="A2330" s="0" t="n">
        <v>2033</v>
      </c>
      <c r="B2330" s="0" t="n">
        <v>10.10272797</v>
      </c>
      <c r="C2330" s="0" t="n">
        <v>212.1572874</v>
      </c>
      <c r="E2330" s="0" t="n">
        <v>2034</v>
      </c>
      <c r="F2330" s="0" t="n">
        <v>22.531866</v>
      </c>
      <c r="G2330" s="0" t="n">
        <v>472.735046</v>
      </c>
      <c r="I2330" s="0" t="n">
        <v>2028</v>
      </c>
      <c r="J2330" s="0" t="n">
        <v>15.04</v>
      </c>
      <c r="K2330" s="0" t="n">
        <v>315.04</v>
      </c>
      <c r="M2330" s="0" t="n">
        <v>2033</v>
      </c>
      <c r="N2330" s="0" t="n">
        <v>43.4</v>
      </c>
      <c r="O2330" s="0" t="n">
        <v>909.6</v>
      </c>
      <c r="W2330" s="0" t="n">
        <v>2034</v>
      </c>
      <c r="X2330" s="0" t="n">
        <v>4542.111</v>
      </c>
    </row>
    <row r="2331" customFormat="false" ht="15" hidden="false" customHeight="false" outlineLevel="0" collapsed="false">
      <c r="A2331" s="0" t="n">
        <v>2033</v>
      </c>
      <c r="B2331" s="0" t="n">
        <v>22.58908236</v>
      </c>
      <c r="C2331" s="0" t="n">
        <v>474.3707295</v>
      </c>
      <c r="E2331" s="0" t="n">
        <v>2034</v>
      </c>
      <c r="F2331" s="0" t="n">
        <v>358.736402</v>
      </c>
      <c r="G2331" s="0" t="n">
        <v>7526.269156</v>
      </c>
      <c r="I2331" s="0" t="n">
        <v>2028</v>
      </c>
      <c r="J2331" s="0" t="n">
        <v>6.58</v>
      </c>
      <c r="K2331" s="0" t="n">
        <v>137.83</v>
      </c>
      <c r="M2331" s="0" t="n">
        <v>2033</v>
      </c>
      <c r="N2331" s="0" t="n">
        <v>26.04</v>
      </c>
      <c r="O2331" s="0" t="n">
        <v>545.76</v>
      </c>
      <c r="W2331" s="0" t="n">
        <v>2034</v>
      </c>
      <c r="X2331" s="0" t="n">
        <v>62739.04</v>
      </c>
    </row>
    <row r="2332" customFormat="false" ht="15" hidden="false" customHeight="false" outlineLevel="0" collapsed="false">
      <c r="A2332" s="0" t="n">
        <v>2033</v>
      </c>
      <c r="B2332" s="0" t="n">
        <v>70.89743172</v>
      </c>
      <c r="C2332" s="0" t="n">
        <v>1488.846066</v>
      </c>
      <c r="E2332" s="0" t="n">
        <v>2034</v>
      </c>
      <c r="F2332" s="0" t="n">
        <v>96.324698</v>
      </c>
      <c r="G2332" s="0" t="n">
        <v>2020.886644</v>
      </c>
      <c r="I2332" s="0" t="n">
        <v>2028</v>
      </c>
      <c r="J2332" s="0" t="n">
        <v>3.76</v>
      </c>
      <c r="K2332" s="0" t="n">
        <v>78.76</v>
      </c>
      <c r="M2332" s="0" t="n">
        <v>2033</v>
      </c>
      <c r="N2332" s="0" t="n">
        <v>21.7</v>
      </c>
      <c r="O2332" s="0" t="n">
        <v>454.8</v>
      </c>
      <c r="W2332" s="0" t="n">
        <v>2034</v>
      </c>
      <c r="X2332" s="0" t="n">
        <v>15684.76</v>
      </c>
    </row>
    <row r="2333" customFormat="false" ht="15" hidden="false" customHeight="false" outlineLevel="0" collapsed="false">
      <c r="A2333" s="0" t="n">
        <v>2033</v>
      </c>
      <c r="B2333" s="0" t="n">
        <v>17.88242875</v>
      </c>
      <c r="C2333" s="0" t="n">
        <v>375.5310037</v>
      </c>
      <c r="E2333" s="0" t="n">
        <v>2034</v>
      </c>
      <c r="F2333" s="0" t="n">
        <v>38.555426</v>
      </c>
      <c r="G2333" s="0" t="n">
        <v>808.890628</v>
      </c>
      <c r="I2333" s="0" t="n">
        <v>2028</v>
      </c>
      <c r="J2333" s="0" t="n">
        <v>3.76</v>
      </c>
      <c r="K2333" s="0" t="n">
        <v>78.76</v>
      </c>
      <c r="M2333" s="0" t="n">
        <v>2033</v>
      </c>
      <c r="N2333" s="0" t="n">
        <v>17.36</v>
      </c>
      <c r="O2333" s="0" t="n">
        <v>363.84</v>
      </c>
      <c r="W2333" s="0" t="n">
        <v>2034</v>
      </c>
      <c r="X2333" s="0" t="n">
        <v>4857.216</v>
      </c>
    </row>
    <row r="2334" customFormat="false" ht="15" hidden="false" customHeight="false" outlineLevel="0" collapsed="false">
      <c r="A2334" s="0" t="n">
        <v>2033</v>
      </c>
      <c r="B2334" s="0" t="n">
        <v>15.94675529</v>
      </c>
      <c r="C2334" s="0" t="n">
        <v>334.881861</v>
      </c>
      <c r="E2334" s="0" t="n">
        <v>2034</v>
      </c>
      <c r="F2334" s="0" t="n">
        <v>5.415782</v>
      </c>
      <c r="G2334" s="0" t="n">
        <v>113.622796</v>
      </c>
      <c r="I2334" s="0" t="n">
        <v>2028</v>
      </c>
      <c r="J2334" s="0" t="n">
        <v>1.88</v>
      </c>
      <c r="K2334" s="0" t="n">
        <v>39.38</v>
      </c>
      <c r="M2334" s="0" t="n">
        <v>2033</v>
      </c>
      <c r="N2334" s="0" t="n">
        <v>8.68</v>
      </c>
      <c r="O2334" s="0" t="n">
        <v>181.92</v>
      </c>
      <c r="W2334" s="0" t="n">
        <v>2034</v>
      </c>
      <c r="X2334" s="0" t="n">
        <v>8601.32</v>
      </c>
    </row>
    <row r="2335" customFormat="false" ht="15" hidden="false" customHeight="false" outlineLevel="0" collapsed="false">
      <c r="A2335" s="0" t="n">
        <v>2033</v>
      </c>
      <c r="B2335" s="0" t="n">
        <v>11.09002323</v>
      </c>
      <c r="C2335" s="0" t="n">
        <v>232.8904878</v>
      </c>
      <c r="E2335" s="0" t="n">
        <v>2034</v>
      </c>
      <c r="F2335" s="0" t="n">
        <v>129.464342</v>
      </c>
      <c r="G2335" s="0" t="n">
        <v>2716.154476</v>
      </c>
      <c r="I2335" s="0" t="n">
        <v>2028</v>
      </c>
      <c r="J2335" s="0" t="n">
        <v>1.88</v>
      </c>
      <c r="K2335" s="0" t="n">
        <v>39.38</v>
      </c>
      <c r="M2335" s="0" t="n">
        <v>2033</v>
      </c>
      <c r="N2335" s="0" t="n">
        <v>264.48</v>
      </c>
      <c r="O2335" s="0" t="n">
        <v>5551.8</v>
      </c>
      <c r="W2335" s="0" t="n">
        <v>2034</v>
      </c>
      <c r="X2335" s="0" t="n">
        <v>3845.296</v>
      </c>
    </row>
    <row r="2336" customFormat="false" ht="15" hidden="false" customHeight="false" outlineLevel="0" collapsed="false">
      <c r="A2336" s="0" t="n">
        <v>2033</v>
      </c>
      <c r="B2336" s="0" t="n">
        <v>8.249130037</v>
      </c>
      <c r="C2336" s="0" t="n">
        <v>173.2317308</v>
      </c>
      <c r="E2336" s="0" t="n">
        <v>2034</v>
      </c>
      <c r="F2336" s="0" t="n">
        <v>6.060734</v>
      </c>
      <c r="G2336" s="0" t="n">
        <v>127.153852</v>
      </c>
      <c r="I2336" s="0" t="n">
        <v>2028</v>
      </c>
      <c r="J2336" s="0" t="n">
        <v>3.76</v>
      </c>
      <c r="K2336" s="0" t="n">
        <v>78.76</v>
      </c>
      <c r="M2336" s="0" t="n">
        <v>2033</v>
      </c>
      <c r="N2336" s="0" t="n">
        <v>174</v>
      </c>
      <c r="O2336" s="0" t="n">
        <v>3652.5</v>
      </c>
      <c r="W2336" s="0" t="n">
        <v>2034</v>
      </c>
      <c r="X2336" s="0" t="n">
        <v>1517.88</v>
      </c>
    </row>
    <row r="2337" customFormat="false" ht="15" hidden="false" customHeight="false" outlineLevel="0" collapsed="false">
      <c r="A2337" s="0" t="n">
        <v>2033</v>
      </c>
      <c r="B2337" s="0" t="n">
        <v>3.666280016</v>
      </c>
      <c r="C2337" s="0" t="n">
        <v>76.99188034</v>
      </c>
      <c r="E2337" s="0" t="n">
        <v>2034</v>
      </c>
      <c r="F2337" s="0" t="n">
        <v>33.139644</v>
      </c>
      <c r="G2337" s="0" t="n">
        <v>695.267832</v>
      </c>
      <c r="I2337" s="0" t="n">
        <v>2028</v>
      </c>
      <c r="J2337" s="0" t="n">
        <v>6.58</v>
      </c>
      <c r="K2337" s="0" t="n">
        <v>137.83</v>
      </c>
      <c r="M2337" s="0" t="n">
        <v>2033</v>
      </c>
      <c r="N2337" s="0" t="n">
        <v>69.6</v>
      </c>
      <c r="O2337" s="0" t="n">
        <v>1461</v>
      </c>
      <c r="W2337" s="0" t="n">
        <v>2034</v>
      </c>
      <c r="X2337" s="0" t="n">
        <v>2226.224</v>
      </c>
    </row>
    <row r="2338" customFormat="false" ht="15" hidden="false" customHeight="false" outlineLevel="0" collapsed="false">
      <c r="A2338" s="0" t="n">
        <v>2033</v>
      </c>
      <c r="B2338" s="0" t="n">
        <v>13.54169594</v>
      </c>
      <c r="C2338" s="0" t="n">
        <v>284.3756146</v>
      </c>
      <c r="E2338" s="0" t="n">
        <v>2034</v>
      </c>
      <c r="F2338" s="0" t="n">
        <v>30.302972</v>
      </c>
      <c r="G2338" s="0" t="n">
        <v>635.754616</v>
      </c>
      <c r="I2338" s="0" t="n">
        <v>2028</v>
      </c>
      <c r="J2338" s="0" t="n">
        <v>2.82</v>
      </c>
      <c r="K2338" s="0" t="n">
        <v>59.07</v>
      </c>
      <c r="M2338" s="0" t="n">
        <v>2033</v>
      </c>
      <c r="N2338" s="0" t="n">
        <v>69.6</v>
      </c>
      <c r="O2338" s="0" t="n">
        <v>1461</v>
      </c>
      <c r="W2338" s="0" t="n">
        <v>2034</v>
      </c>
      <c r="X2338" s="0" t="n">
        <v>1720.264</v>
      </c>
    </row>
    <row r="2339" customFormat="false" ht="15" hidden="false" customHeight="false" outlineLevel="0" collapsed="false">
      <c r="A2339" s="0" t="n">
        <v>2033</v>
      </c>
      <c r="B2339" s="0" t="n">
        <v>4.239023701</v>
      </c>
      <c r="C2339" s="0" t="n">
        <v>89.01949773</v>
      </c>
      <c r="E2339" s="0" t="n">
        <v>2034</v>
      </c>
      <c r="F2339" s="0" t="n">
        <v>272.906919</v>
      </c>
      <c r="G2339" s="0" t="n">
        <v>5730.53135</v>
      </c>
      <c r="I2339" s="0" t="n">
        <v>2028</v>
      </c>
      <c r="J2339" s="0" t="n">
        <v>2.82</v>
      </c>
      <c r="K2339" s="0" t="n">
        <v>59.07</v>
      </c>
      <c r="M2339" s="0" t="n">
        <v>2033</v>
      </c>
      <c r="N2339" s="0" t="n">
        <v>41.76</v>
      </c>
      <c r="O2339" s="0" t="n">
        <v>876.6</v>
      </c>
      <c r="W2339" s="0" t="n">
        <v>2034</v>
      </c>
      <c r="X2339" s="0" t="n">
        <v>122332.82</v>
      </c>
    </row>
    <row r="2340" customFormat="false" ht="15" hidden="false" customHeight="false" outlineLevel="0" collapsed="false">
      <c r="A2340" s="0" t="n">
        <v>2033</v>
      </c>
      <c r="B2340" s="0" t="n">
        <v>9.478197946</v>
      </c>
      <c r="C2340" s="0" t="n">
        <v>199.0421569</v>
      </c>
      <c r="E2340" s="0" t="n">
        <v>2034</v>
      </c>
      <c r="F2340" s="0" t="n">
        <v>73.278531</v>
      </c>
      <c r="G2340" s="0" t="n">
        <v>1538.71115</v>
      </c>
      <c r="I2340" s="0" t="n">
        <v>2028</v>
      </c>
      <c r="J2340" s="0" t="n">
        <v>8.84</v>
      </c>
      <c r="K2340" s="0" t="n">
        <v>182</v>
      </c>
      <c r="M2340" s="0" t="n">
        <v>2033</v>
      </c>
      <c r="N2340" s="0" t="n">
        <v>34.8</v>
      </c>
      <c r="O2340" s="0" t="n">
        <v>730.5</v>
      </c>
      <c r="W2340" s="0" t="n">
        <v>2034</v>
      </c>
      <c r="X2340" s="0" t="n">
        <v>30583.205</v>
      </c>
    </row>
    <row r="2341" customFormat="false" ht="15" hidden="false" customHeight="false" outlineLevel="0" collapsed="false">
      <c r="A2341" s="0" t="n">
        <v>2033</v>
      </c>
      <c r="B2341" s="0" t="n">
        <v>283.3723454</v>
      </c>
      <c r="C2341" s="0" t="n">
        <v>5950.819253</v>
      </c>
      <c r="E2341" s="0" t="n">
        <v>2034</v>
      </c>
      <c r="F2341" s="0" t="n">
        <v>29.330847</v>
      </c>
      <c r="G2341" s="0" t="n">
        <v>615.89255</v>
      </c>
      <c r="I2341" s="0" t="n">
        <v>2028</v>
      </c>
      <c r="J2341" s="0" t="n">
        <v>1.36</v>
      </c>
      <c r="K2341" s="0" t="n">
        <v>28</v>
      </c>
      <c r="M2341" s="0" t="n">
        <v>2033</v>
      </c>
      <c r="N2341" s="0" t="n">
        <v>27.84</v>
      </c>
      <c r="O2341" s="0" t="n">
        <v>584.4</v>
      </c>
      <c r="W2341" s="0" t="n">
        <v>2034</v>
      </c>
      <c r="X2341" s="0" t="n">
        <v>9470.928</v>
      </c>
    </row>
    <row r="2342" customFormat="false" ht="15" hidden="false" customHeight="false" outlineLevel="0" collapsed="false">
      <c r="A2342" s="0" t="n">
        <v>2033</v>
      </c>
      <c r="B2342" s="0" t="n">
        <v>71.47488493</v>
      </c>
      <c r="C2342" s="0" t="n">
        <v>1500.972584</v>
      </c>
      <c r="E2342" s="0" t="n">
        <v>2034</v>
      </c>
      <c r="F2342" s="0" t="n">
        <v>4.120029</v>
      </c>
      <c r="G2342" s="0" t="n">
        <v>86.51285</v>
      </c>
      <c r="I2342" s="0" t="n">
        <v>2028</v>
      </c>
      <c r="J2342" s="0" t="n">
        <v>1.02</v>
      </c>
      <c r="K2342" s="0" t="n">
        <v>21</v>
      </c>
      <c r="M2342" s="0" t="n">
        <v>2033</v>
      </c>
      <c r="N2342" s="0" t="n">
        <v>13.92</v>
      </c>
      <c r="O2342" s="0" t="n">
        <v>292.2</v>
      </c>
      <c r="W2342" s="0" t="n">
        <v>2034</v>
      </c>
      <c r="X2342" s="0" t="n">
        <v>16771.435</v>
      </c>
    </row>
    <row r="2343" customFormat="false" ht="15" hidden="false" customHeight="false" outlineLevel="0" collapsed="false">
      <c r="A2343" s="0" t="n">
        <v>2033</v>
      </c>
      <c r="B2343" s="0" t="n">
        <v>63.73812615</v>
      </c>
      <c r="C2343" s="0" t="n">
        <v>1338.500649</v>
      </c>
      <c r="E2343" s="0" t="n">
        <v>2034</v>
      </c>
      <c r="F2343" s="0" t="n">
        <v>98.489349</v>
      </c>
      <c r="G2343" s="0" t="n">
        <v>2068.09085</v>
      </c>
      <c r="I2343" s="0" t="n">
        <v>2028</v>
      </c>
      <c r="J2343" s="0" t="n">
        <v>1.7</v>
      </c>
      <c r="K2343" s="0" t="n">
        <v>35</v>
      </c>
      <c r="M2343" s="0" t="n">
        <v>2033</v>
      </c>
      <c r="N2343" s="0" t="n">
        <v>171.38</v>
      </c>
      <c r="O2343" s="0" t="n">
        <v>3595.94</v>
      </c>
      <c r="W2343" s="0" t="n">
        <v>2034</v>
      </c>
      <c r="X2343" s="0" t="n">
        <v>7497.818</v>
      </c>
    </row>
    <row r="2344" customFormat="false" ht="15" hidden="false" customHeight="false" outlineLevel="0" collapsed="false">
      <c r="A2344" s="0" t="n">
        <v>2033</v>
      </c>
      <c r="B2344" s="0" t="n">
        <v>44.32608933</v>
      </c>
      <c r="C2344" s="0" t="n">
        <v>930.847876</v>
      </c>
      <c r="E2344" s="0" t="n">
        <v>2034</v>
      </c>
      <c r="F2344" s="0" t="n">
        <v>4.610673</v>
      </c>
      <c r="G2344" s="0" t="n">
        <v>96.81545</v>
      </c>
      <c r="I2344" s="0" t="n">
        <v>2028</v>
      </c>
      <c r="J2344" s="0" t="n">
        <v>0.34</v>
      </c>
      <c r="K2344" s="0" t="n">
        <v>7</v>
      </c>
      <c r="M2344" s="0" t="n">
        <v>2033</v>
      </c>
      <c r="N2344" s="0" t="n">
        <v>112.75</v>
      </c>
      <c r="O2344" s="0" t="n">
        <v>2365.75</v>
      </c>
      <c r="W2344" s="0" t="n">
        <v>2034</v>
      </c>
      <c r="X2344" s="0" t="n">
        <v>2959.665</v>
      </c>
    </row>
    <row r="2345" customFormat="false" ht="15" hidden="false" customHeight="false" outlineLevel="0" collapsed="false">
      <c r="A2345" s="0" t="n">
        <v>2033</v>
      </c>
      <c r="B2345" s="0" t="n">
        <v>32.97122715</v>
      </c>
      <c r="C2345" s="0" t="n">
        <v>692.3957702</v>
      </c>
      <c r="E2345" s="0" t="n">
        <v>2034</v>
      </c>
      <c r="F2345" s="0" t="n">
        <v>25.210818</v>
      </c>
      <c r="G2345" s="0" t="n">
        <v>529.3797</v>
      </c>
      <c r="I2345" s="0" t="n">
        <v>2028</v>
      </c>
      <c r="J2345" s="0" t="n">
        <v>0.34</v>
      </c>
      <c r="K2345" s="0" t="n">
        <v>7</v>
      </c>
      <c r="M2345" s="0" t="n">
        <v>2033</v>
      </c>
      <c r="N2345" s="0" t="n">
        <v>45.1</v>
      </c>
      <c r="O2345" s="0" t="n">
        <v>946.3</v>
      </c>
      <c r="W2345" s="0" t="n">
        <v>2034</v>
      </c>
      <c r="X2345" s="0" t="n">
        <v>4340.842</v>
      </c>
    </row>
    <row r="2346" customFormat="false" ht="15" hidden="false" customHeight="false" outlineLevel="0" collapsed="false">
      <c r="A2346" s="0" t="n">
        <v>2033</v>
      </c>
      <c r="B2346" s="0" t="n">
        <v>14.65387873</v>
      </c>
      <c r="C2346" s="0" t="n">
        <v>307.7314534</v>
      </c>
      <c r="E2346" s="0" t="n">
        <v>2034</v>
      </c>
      <c r="F2346" s="0" t="n">
        <v>23.052834</v>
      </c>
      <c r="G2346" s="0" t="n">
        <v>484.0661</v>
      </c>
      <c r="I2346" s="0" t="n">
        <v>2028</v>
      </c>
      <c r="J2346" s="0" t="n">
        <v>0</v>
      </c>
      <c r="K2346" s="0" t="n">
        <v>0</v>
      </c>
      <c r="M2346" s="0" t="n">
        <v>2033</v>
      </c>
      <c r="N2346" s="0" t="n">
        <v>45.1</v>
      </c>
      <c r="O2346" s="0" t="n">
        <v>946.3</v>
      </c>
      <c r="W2346" s="0" t="n">
        <v>2034</v>
      </c>
      <c r="X2346" s="0" t="n">
        <v>3354.287</v>
      </c>
    </row>
    <row r="2347" customFormat="false" ht="15" hidden="false" customHeight="false" outlineLevel="0" collapsed="false">
      <c r="A2347" s="0" t="n">
        <v>2033</v>
      </c>
      <c r="B2347" s="0" t="n">
        <v>54.12526299</v>
      </c>
      <c r="C2347" s="0" t="n">
        <v>1136.630523</v>
      </c>
      <c r="E2347" s="0" t="n">
        <v>2034</v>
      </c>
      <c r="F2347" s="0" t="n">
        <v>599.264534</v>
      </c>
      <c r="G2347" s="0" t="n">
        <v>12580.44362</v>
      </c>
      <c r="I2347" s="0" t="n">
        <v>2028</v>
      </c>
      <c r="J2347" s="0" t="n">
        <v>0.68</v>
      </c>
      <c r="K2347" s="0" t="n">
        <v>14</v>
      </c>
      <c r="M2347" s="0" t="n">
        <v>2033</v>
      </c>
      <c r="N2347" s="0" t="n">
        <v>27.06</v>
      </c>
      <c r="O2347" s="0" t="n">
        <v>567.78</v>
      </c>
      <c r="W2347" s="0" t="n">
        <v>2034</v>
      </c>
      <c r="X2347" s="0" t="n">
        <v>115810.42</v>
      </c>
    </row>
    <row r="2348" customFormat="false" ht="15" hidden="false" customHeight="false" outlineLevel="0" collapsed="false">
      <c r="A2348" s="0" t="n">
        <v>2033</v>
      </c>
      <c r="B2348" s="0" t="n">
        <v>16.94309736</v>
      </c>
      <c r="C2348" s="0" t="n">
        <v>355.8050446</v>
      </c>
      <c r="E2348" s="0" t="n">
        <v>2034</v>
      </c>
      <c r="F2348" s="0" t="n">
        <v>160.909166</v>
      </c>
      <c r="G2348" s="0" t="n">
        <v>3377.988478</v>
      </c>
      <c r="I2348" s="0" t="n">
        <v>2028</v>
      </c>
      <c r="J2348" s="0" t="n">
        <v>1.19</v>
      </c>
      <c r="K2348" s="0" t="n">
        <v>24.5</v>
      </c>
      <c r="M2348" s="0" t="n">
        <v>2033</v>
      </c>
      <c r="N2348" s="0" t="n">
        <v>22.55</v>
      </c>
      <c r="O2348" s="0" t="n">
        <v>473.15</v>
      </c>
      <c r="W2348" s="0" t="n">
        <v>2034</v>
      </c>
      <c r="X2348" s="0" t="n">
        <v>28952.605</v>
      </c>
    </row>
    <row r="2349" customFormat="false" ht="15" hidden="false" customHeight="false" outlineLevel="0" collapsed="false">
      <c r="A2349" s="0" t="n">
        <v>2033</v>
      </c>
      <c r="B2349" s="0" t="n">
        <v>37.88373029</v>
      </c>
      <c r="C2349" s="0" t="n">
        <v>795.5583361</v>
      </c>
      <c r="E2349" s="0" t="n">
        <v>2034</v>
      </c>
      <c r="F2349" s="0" t="n">
        <v>64.406342</v>
      </c>
      <c r="G2349" s="0" t="n">
        <v>1352.091286</v>
      </c>
      <c r="I2349" s="0" t="n">
        <v>2028</v>
      </c>
      <c r="J2349" s="0" t="n">
        <v>0.34</v>
      </c>
      <c r="K2349" s="0" t="n">
        <v>7</v>
      </c>
      <c r="M2349" s="0" t="n">
        <v>2033</v>
      </c>
      <c r="N2349" s="0" t="n">
        <v>18.04</v>
      </c>
      <c r="O2349" s="0" t="n">
        <v>378.52</v>
      </c>
      <c r="W2349" s="0" t="n">
        <v>2034</v>
      </c>
      <c r="X2349" s="0" t="n">
        <v>8965.968</v>
      </c>
    </row>
    <row r="2350" customFormat="false" ht="15" hidden="false" customHeight="false" outlineLevel="0" collapsed="false">
      <c r="A2350" s="0" t="n">
        <v>2033</v>
      </c>
      <c r="B2350" s="0" t="n">
        <v>361.4744219</v>
      </c>
      <c r="C2350" s="0" t="n">
        <v>7590.962861</v>
      </c>
      <c r="E2350" s="0" t="n">
        <v>2034</v>
      </c>
      <c r="F2350" s="0" t="n">
        <v>9.046994</v>
      </c>
      <c r="G2350" s="0" t="n">
        <v>189.924802</v>
      </c>
      <c r="I2350" s="0" t="n">
        <v>2028</v>
      </c>
      <c r="J2350" s="0" t="n">
        <v>1.19</v>
      </c>
      <c r="K2350" s="0" t="n">
        <v>24.5</v>
      </c>
      <c r="M2350" s="0" t="n">
        <v>2033</v>
      </c>
      <c r="N2350" s="0" t="n">
        <v>9.02</v>
      </c>
      <c r="O2350" s="0" t="n">
        <v>189.26</v>
      </c>
      <c r="W2350" s="0" t="n">
        <v>2034</v>
      </c>
      <c r="X2350" s="0" t="n">
        <v>15877.235</v>
      </c>
    </row>
    <row r="2351" customFormat="false" ht="15" hidden="false" customHeight="false" outlineLevel="0" collapsed="false">
      <c r="A2351" s="0" t="n">
        <v>2033</v>
      </c>
      <c r="B2351" s="0" t="n">
        <v>91.17453815</v>
      </c>
      <c r="C2351" s="0" t="n">
        <v>1914.665301</v>
      </c>
      <c r="E2351" s="0" t="n">
        <v>2034</v>
      </c>
      <c r="F2351" s="0" t="n">
        <v>216.268514</v>
      </c>
      <c r="G2351" s="0" t="n">
        <v>4540.154962</v>
      </c>
      <c r="I2351" s="0" t="n">
        <v>2028</v>
      </c>
      <c r="J2351" s="0" t="n">
        <v>28.8</v>
      </c>
      <c r="K2351" s="0" t="n">
        <v>609.12</v>
      </c>
      <c r="M2351" s="0" t="n">
        <v>2033</v>
      </c>
      <c r="N2351" s="0" t="n">
        <v>44.46</v>
      </c>
      <c r="O2351" s="0" t="n">
        <v>932.14</v>
      </c>
      <c r="W2351" s="0" t="n">
        <v>2034</v>
      </c>
      <c r="X2351" s="0" t="n">
        <v>7098.058</v>
      </c>
    </row>
    <row r="2352" customFormat="false" ht="15" hidden="false" customHeight="false" outlineLevel="0" collapsed="false">
      <c r="A2352" s="0" t="n">
        <v>2033</v>
      </c>
      <c r="B2352" s="0" t="n">
        <v>81.30540147</v>
      </c>
      <c r="C2352" s="0" t="n">
        <v>1707.413431</v>
      </c>
      <c r="E2352" s="0" t="n">
        <v>2034</v>
      </c>
      <c r="F2352" s="0" t="n">
        <v>10.124378</v>
      </c>
      <c r="G2352" s="0" t="n">
        <v>212.542474</v>
      </c>
      <c r="I2352" s="0" t="n">
        <v>2028</v>
      </c>
      <c r="J2352" s="0" t="n">
        <v>9.6</v>
      </c>
      <c r="K2352" s="0" t="n">
        <v>203.04</v>
      </c>
      <c r="M2352" s="0" t="n">
        <v>2033</v>
      </c>
      <c r="N2352" s="0" t="n">
        <v>29.25</v>
      </c>
      <c r="O2352" s="0" t="n">
        <v>613.25</v>
      </c>
      <c r="W2352" s="0" t="n">
        <v>2034</v>
      </c>
      <c r="X2352" s="0" t="n">
        <v>2801.865</v>
      </c>
    </row>
    <row r="2353" customFormat="false" ht="15" hidden="false" customHeight="false" outlineLevel="0" collapsed="false">
      <c r="A2353" s="0" t="n">
        <v>2033</v>
      </c>
      <c r="B2353" s="0" t="n">
        <v>56.5430882</v>
      </c>
      <c r="C2353" s="0" t="n">
        <v>1187.404852</v>
      </c>
      <c r="E2353" s="0" t="n">
        <v>2034</v>
      </c>
      <c r="F2353" s="0" t="n">
        <v>55.359348</v>
      </c>
      <c r="G2353" s="0" t="n">
        <v>1162.166484</v>
      </c>
      <c r="I2353" s="0" t="n">
        <v>2028</v>
      </c>
      <c r="J2353" s="0" t="n">
        <v>4.2</v>
      </c>
      <c r="K2353" s="0" t="n">
        <v>88.83</v>
      </c>
      <c r="M2353" s="0" t="n">
        <v>2033</v>
      </c>
      <c r="N2353" s="0" t="n">
        <v>11.7</v>
      </c>
      <c r="O2353" s="0" t="n">
        <v>245.3</v>
      </c>
      <c r="W2353" s="0" t="n">
        <v>2034</v>
      </c>
      <c r="X2353" s="0" t="n">
        <v>4109.402</v>
      </c>
    </row>
    <row r="2354" customFormat="false" ht="15" hidden="false" customHeight="false" outlineLevel="0" collapsed="false">
      <c r="A2354" s="0" t="n">
        <v>2033</v>
      </c>
      <c r="B2354" s="0" t="n">
        <v>42.05863935</v>
      </c>
      <c r="C2354" s="0" t="n">
        <v>883.2314263</v>
      </c>
      <c r="E2354" s="0" t="n">
        <v>2034</v>
      </c>
      <c r="F2354" s="0" t="n">
        <v>50.620724</v>
      </c>
      <c r="G2354" s="0" t="n">
        <v>1062.687892</v>
      </c>
      <c r="I2354" s="0" t="n">
        <v>2028</v>
      </c>
      <c r="J2354" s="0" t="n">
        <v>2.4</v>
      </c>
      <c r="K2354" s="0" t="n">
        <v>50.76</v>
      </c>
      <c r="M2354" s="0" t="n">
        <v>2033</v>
      </c>
      <c r="N2354" s="0" t="n">
        <v>11.7</v>
      </c>
      <c r="O2354" s="0" t="n">
        <v>245.3</v>
      </c>
      <c r="W2354" s="0" t="n">
        <v>2034</v>
      </c>
      <c r="X2354" s="0" t="n">
        <v>3175.447</v>
      </c>
    </row>
    <row r="2355" customFormat="false" ht="15" hidden="false" customHeight="false" outlineLevel="0" collapsed="false">
      <c r="A2355" s="0" t="n">
        <v>2033</v>
      </c>
      <c r="B2355" s="0" t="n">
        <v>18.6927286</v>
      </c>
      <c r="C2355" s="0" t="n">
        <v>392.5473006</v>
      </c>
      <c r="E2355" s="0" t="n">
        <v>2034</v>
      </c>
      <c r="F2355" s="0" t="n">
        <v>329.441309</v>
      </c>
      <c r="G2355" s="0" t="n">
        <v>6916.211693</v>
      </c>
      <c r="I2355" s="0" t="n">
        <v>2028</v>
      </c>
      <c r="J2355" s="0" t="n">
        <v>2.4</v>
      </c>
      <c r="K2355" s="0" t="n">
        <v>50.76</v>
      </c>
      <c r="M2355" s="0" t="n">
        <v>2033</v>
      </c>
      <c r="N2355" s="0" t="n">
        <v>7.02</v>
      </c>
      <c r="O2355" s="0" t="n">
        <v>147.18</v>
      </c>
      <c r="W2355" s="0" t="n">
        <v>2034</v>
      </c>
      <c r="X2355" s="0" t="n">
        <v>48248.4</v>
      </c>
    </row>
    <row r="2356" customFormat="false" ht="15" hidden="false" customHeight="false" outlineLevel="0" collapsed="false">
      <c r="A2356" s="0" t="n">
        <v>2033</v>
      </c>
      <c r="B2356" s="0" t="n">
        <v>69.0430752</v>
      </c>
      <c r="C2356" s="0" t="n">
        <v>1449.904579</v>
      </c>
      <c r="E2356" s="0" t="n">
        <v>2034</v>
      </c>
      <c r="F2356" s="0" t="n">
        <v>88.458641</v>
      </c>
      <c r="G2356" s="0" t="n">
        <v>1857.079457</v>
      </c>
      <c r="I2356" s="0" t="n">
        <v>2028</v>
      </c>
      <c r="J2356" s="0" t="n">
        <v>1.2</v>
      </c>
      <c r="K2356" s="0" t="n">
        <v>25.38</v>
      </c>
      <c r="M2356" s="0" t="n">
        <v>2033</v>
      </c>
      <c r="N2356" s="0" t="n">
        <v>5.85</v>
      </c>
      <c r="O2356" s="0" t="n">
        <v>122.65</v>
      </c>
      <c r="W2356" s="0" t="n">
        <v>2034</v>
      </c>
      <c r="X2356" s="0" t="n">
        <v>12062.1</v>
      </c>
    </row>
    <row r="2357" customFormat="false" ht="15" hidden="false" customHeight="false" outlineLevel="0" collapsed="false">
      <c r="A2357" s="0" t="n">
        <v>2033</v>
      </c>
      <c r="B2357" s="0" t="n">
        <v>21.61289351</v>
      </c>
      <c r="C2357" s="0" t="n">
        <v>453.8707637</v>
      </c>
      <c r="E2357" s="0" t="n">
        <v>2034</v>
      </c>
      <c r="F2357" s="0" t="n">
        <v>35.406917</v>
      </c>
      <c r="G2357" s="0" t="n">
        <v>743.324309</v>
      </c>
      <c r="I2357" s="0" t="n">
        <v>2028</v>
      </c>
      <c r="J2357" s="0" t="n">
        <v>1.2</v>
      </c>
      <c r="K2357" s="0" t="n">
        <v>25.38</v>
      </c>
      <c r="M2357" s="0" t="n">
        <v>2033</v>
      </c>
      <c r="N2357" s="0" t="n">
        <v>4.68</v>
      </c>
      <c r="O2357" s="0" t="n">
        <v>98.12</v>
      </c>
      <c r="W2357" s="0" t="n">
        <v>2034</v>
      </c>
      <c r="X2357" s="0" t="n">
        <v>3735.36</v>
      </c>
    </row>
    <row r="2358" customFormat="false" ht="15" hidden="false" customHeight="false" outlineLevel="0" collapsed="false">
      <c r="A2358" s="0" t="n">
        <v>2033</v>
      </c>
      <c r="B2358" s="0" t="n">
        <v>48.3251091</v>
      </c>
      <c r="C2358" s="0" t="n">
        <v>1014.827291</v>
      </c>
      <c r="E2358" s="0" t="n">
        <v>2034</v>
      </c>
      <c r="F2358" s="0" t="n">
        <v>4.973519</v>
      </c>
      <c r="G2358" s="0" t="n">
        <v>104.412863</v>
      </c>
      <c r="I2358" s="0" t="n">
        <v>2028</v>
      </c>
      <c r="J2358" s="0" t="n">
        <v>2.4</v>
      </c>
      <c r="K2358" s="0" t="n">
        <v>50.76</v>
      </c>
      <c r="M2358" s="0" t="n">
        <v>2033</v>
      </c>
      <c r="N2358" s="0" t="n">
        <v>2.34</v>
      </c>
      <c r="O2358" s="0" t="n">
        <v>49.06</v>
      </c>
      <c r="W2358" s="0" t="n">
        <v>2034</v>
      </c>
      <c r="X2358" s="0" t="n">
        <v>6614.7</v>
      </c>
    </row>
    <row r="2359" customFormat="false" ht="15" hidden="false" customHeight="false" outlineLevel="0" collapsed="false">
      <c r="A2359" s="0" t="n">
        <v>2033</v>
      </c>
      <c r="B2359" s="0" t="n">
        <v>355.8535568</v>
      </c>
      <c r="C2359" s="0" t="n">
        <v>7472.924692</v>
      </c>
      <c r="E2359" s="0" t="n">
        <v>2034</v>
      </c>
      <c r="F2359" s="0" t="n">
        <v>118.892039</v>
      </c>
      <c r="G2359" s="0" t="n">
        <v>2495.990903</v>
      </c>
      <c r="I2359" s="0" t="n">
        <v>2028</v>
      </c>
      <c r="J2359" s="0" t="n">
        <v>4.2</v>
      </c>
      <c r="K2359" s="0" t="n">
        <v>88.83</v>
      </c>
      <c r="M2359" s="0" t="n">
        <v>2033</v>
      </c>
      <c r="N2359" s="0" t="n">
        <v>98.8</v>
      </c>
      <c r="O2359" s="0" t="n">
        <v>2073.28</v>
      </c>
      <c r="W2359" s="0" t="n">
        <v>2034</v>
      </c>
      <c r="X2359" s="0" t="n">
        <v>2957.16</v>
      </c>
    </row>
    <row r="2360" customFormat="false" ht="15" hidden="false" customHeight="false" outlineLevel="0" collapsed="false">
      <c r="A2360" s="0" t="n">
        <v>2033</v>
      </c>
      <c r="B2360" s="0" t="n">
        <v>89.75678975</v>
      </c>
      <c r="C2360" s="0" t="n">
        <v>1884.892585</v>
      </c>
      <c r="E2360" s="0" t="n">
        <v>2034</v>
      </c>
      <c r="F2360" s="0" t="n">
        <v>5.565803</v>
      </c>
      <c r="G2360" s="0" t="n">
        <v>116.847131</v>
      </c>
      <c r="I2360" s="0" t="n">
        <v>2028</v>
      </c>
      <c r="J2360" s="0" t="n">
        <v>1.8</v>
      </c>
      <c r="K2360" s="0" t="n">
        <v>38.07</v>
      </c>
      <c r="M2360" s="0" t="n">
        <v>2033</v>
      </c>
      <c r="N2360" s="0" t="n">
        <v>65</v>
      </c>
      <c r="O2360" s="0" t="n">
        <v>1364</v>
      </c>
      <c r="W2360" s="0" t="n">
        <v>2034</v>
      </c>
      <c r="X2360" s="0" t="n">
        <v>1167.3</v>
      </c>
    </row>
    <row r="2361" customFormat="false" ht="15" hidden="false" customHeight="false" outlineLevel="0" collapsed="false">
      <c r="A2361" s="0" t="n">
        <v>2033</v>
      </c>
      <c r="B2361" s="0" t="n">
        <v>80.04111644</v>
      </c>
      <c r="C2361" s="0" t="n">
        <v>1680.863445</v>
      </c>
      <c r="E2361" s="0" t="n">
        <v>2034</v>
      </c>
      <c r="F2361" s="0" t="n">
        <v>30.433398</v>
      </c>
      <c r="G2361" s="0" t="n">
        <v>638.911446</v>
      </c>
      <c r="I2361" s="0" t="n">
        <v>2028</v>
      </c>
      <c r="J2361" s="0" t="n">
        <v>1.8</v>
      </c>
      <c r="K2361" s="0" t="n">
        <v>38.07</v>
      </c>
      <c r="M2361" s="0" t="n">
        <v>2033</v>
      </c>
      <c r="N2361" s="0" t="n">
        <v>26</v>
      </c>
      <c r="O2361" s="0" t="n">
        <v>545.6</v>
      </c>
      <c r="W2361" s="0" t="n">
        <v>2034</v>
      </c>
      <c r="X2361" s="0" t="n">
        <v>1712.04</v>
      </c>
    </row>
    <row r="2362" customFormat="false" ht="15" hidden="false" customHeight="false" outlineLevel="0" collapsed="false">
      <c r="A2362" s="0" t="n">
        <v>2033</v>
      </c>
      <c r="B2362" s="0" t="n">
        <v>55.66385289</v>
      </c>
      <c r="C2362" s="0" t="n">
        <v>1168.940911</v>
      </c>
      <c r="E2362" s="0" t="n">
        <v>2034</v>
      </c>
      <c r="F2362" s="0" t="n">
        <v>27.828374</v>
      </c>
      <c r="G2362" s="0" t="n">
        <v>584.222198</v>
      </c>
      <c r="I2362" s="0" t="n">
        <v>2028</v>
      </c>
      <c r="J2362" s="0" t="n">
        <v>22.36</v>
      </c>
      <c r="K2362" s="0" t="n">
        <v>466.96</v>
      </c>
      <c r="M2362" s="0" t="n">
        <v>2033</v>
      </c>
      <c r="N2362" s="0" t="n">
        <v>26</v>
      </c>
      <c r="O2362" s="0" t="n">
        <v>545.6</v>
      </c>
      <c r="W2362" s="0" t="n">
        <v>2034</v>
      </c>
      <c r="X2362" s="0" t="n">
        <v>1322.94</v>
      </c>
    </row>
    <row r="2363" customFormat="false" ht="15" hidden="false" customHeight="false" outlineLevel="0" collapsed="false">
      <c r="A2363" s="0" t="n">
        <v>2033</v>
      </c>
      <c r="B2363" s="0" t="n">
        <v>41.40463473</v>
      </c>
      <c r="C2363" s="0" t="n">
        <v>869.4973294</v>
      </c>
      <c r="E2363" s="0" t="n">
        <v>2034</v>
      </c>
      <c r="F2363" s="0" t="n">
        <v>105.359545</v>
      </c>
      <c r="G2363" s="0" t="n">
        <v>2211.008598</v>
      </c>
      <c r="I2363" s="0" t="n">
        <v>2028</v>
      </c>
      <c r="J2363" s="0" t="n">
        <v>3.44</v>
      </c>
      <c r="K2363" s="0" t="n">
        <v>71.84</v>
      </c>
      <c r="M2363" s="0" t="n">
        <v>2033</v>
      </c>
      <c r="N2363" s="0" t="n">
        <v>15.6</v>
      </c>
      <c r="O2363" s="0" t="n">
        <v>327.36</v>
      </c>
      <c r="W2363" s="0" t="n">
        <v>2034</v>
      </c>
      <c r="X2363" s="0" t="n">
        <v>76114.3</v>
      </c>
    </row>
    <row r="2364" customFormat="false" ht="15" hidden="false" customHeight="false" outlineLevel="0" collapsed="false">
      <c r="A2364" s="0" t="n">
        <v>2033</v>
      </c>
      <c r="B2364" s="0" t="n">
        <v>18.40205988</v>
      </c>
      <c r="C2364" s="0" t="n">
        <v>386.4432575</v>
      </c>
      <c r="E2364" s="0" t="n">
        <v>2034</v>
      </c>
      <c r="F2364" s="0" t="n">
        <v>28.290205</v>
      </c>
      <c r="G2364" s="0" t="n">
        <v>593.680302</v>
      </c>
      <c r="I2364" s="0" t="n">
        <v>2028</v>
      </c>
      <c r="J2364" s="0" t="n">
        <v>2.58</v>
      </c>
      <c r="K2364" s="0" t="n">
        <v>53.88</v>
      </c>
      <c r="M2364" s="0" t="n">
        <v>2033</v>
      </c>
      <c r="N2364" s="0" t="n">
        <v>13</v>
      </c>
      <c r="O2364" s="0" t="n">
        <v>272.8</v>
      </c>
      <c r="W2364" s="0" t="n">
        <v>2034</v>
      </c>
      <c r="X2364" s="0" t="n">
        <v>19028.575</v>
      </c>
    </row>
    <row r="2365" customFormat="false" ht="15" hidden="false" customHeight="false" outlineLevel="0" collapsed="false">
      <c r="A2365" s="0" t="n">
        <v>2033</v>
      </c>
      <c r="B2365" s="0" t="n">
        <v>67.96946724</v>
      </c>
      <c r="C2365" s="0" t="n">
        <v>1427.358812</v>
      </c>
      <c r="E2365" s="0" t="n">
        <v>2034</v>
      </c>
      <c r="F2365" s="0" t="n">
        <v>11.323585</v>
      </c>
      <c r="G2365" s="0" t="n">
        <v>237.629574</v>
      </c>
      <c r="I2365" s="0" t="n">
        <v>2028</v>
      </c>
      <c r="J2365" s="0" t="n">
        <v>4.3</v>
      </c>
      <c r="K2365" s="0" t="n">
        <v>89.8</v>
      </c>
      <c r="M2365" s="0" t="n">
        <v>2033</v>
      </c>
      <c r="N2365" s="0" t="n">
        <v>10.4</v>
      </c>
      <c r="O2365" s="0" t="n">
        <v>218.24</v>
      </c>
      <c r="W2365" s="0" t="n">
        <v>2034</v>
      </c>
      <c r="X2365" s="0" t="n">
        <v>5892.72</v>
      </c>
    </row>
    <row r="2366" customFormat="false" ht="15" hidden="false" customHeight="false" outlineLevel="0" collapsed="false">
      <c r="A2366" s="0" t="n">
        <v>2033</v>
      </c>
      <c r="B2366" s="0" t="n">
        <v>21.27681673</v>
      </c>
      <c r="C2366" s="0" t="n">
        <v>446.8131513</v>
      </c>
      <c r="E2366" s="0" t="n">
        <v>2034</v>
      </c>
      <c r="F2366" s="0" t="n">
        <v>1.590595</v>
      </c>
      <c r="G2366" s="0" t="n">
        <v>33.379218</v>
      </c>
      <c r="I2366" s="0" t="n">
        <v>2028</v>
      </c>
      <c r="J2366" s="0" t="n">
        <v>0.86</v>
      </c>
      <c r="K2366" s="0" t="n">
        <v>17.96</v>
      </c>
      <c r="M2366" s="0" t="n">
        <v>2033</v>
      </c>
      <c r="N2366" s="0" t="n">
        <v>5.2</v>
      </c>
      <c r="O2366" s="0" t="n">
        <v>109.12</v>
      </c>
      <c r="W2366" s="0" t="n">
        <v>2034</v>
      </c>
      <c r="X2366" s="0" t="n">
        <v>10435.025</v>
      </c>
    </row>
    <row r="2367" customFormat="false" ht="15" hidden="false" customHeight="false" outlineLevel="0" collapsed="false">
      <c r="A2367" s="0" t="n">
        <v>2033</v>
      </c>
      <c r="B2367" s="0" t="n">
        <v>47.57366196</v>
      </c>
      <c r="C2367" s="0" t="n">
        <v>999.0469012</v>
      </c>
      <c r="E2367" s="0" t="n">
        <v>2034</v>
      </c>
      <c r="F2367" s="0" t="n">
        <v>38.023195</v>
      </c>
      <c r="G2367" s="0" t="n">
        <v>797.930658</v>
      </c>
      <c r="I2367" s="0" t="n">
        <v>2028</v>
      </c>
      <c r="J2367" s="0" t="n">
        <v>0.86</v>
      </c>
      <c r="K2367" s="0" t="n">
        <v>17.96</v>
      </c>
      <c r="M2367" s="0" t="n">
        <v>2033</v>
      </c>
      <c r="N2367" s="0" t="n">
        <v>144.4</v>
      </c>
      <c r="O2367" s="0" t="n">
        <v>3032.02</v>
      </c>
      <c r="W2367" s="0" t="n">
        <v>2034</v>
      </c>
      <c r="X2367" s="0" t="n">
        <v>4665.07</v>
      </c>
    </row>
    <row r="2368" customFormat="false" ht="15" hidden="false" customHeight="false" outlineLevel="0" collapsed="false">
      <c r="A2368" s="0" t="n">
        <v>2033</v>
      </c>
      <c r="B2368" s="0" t="n">
        <v>1336.834271</v>
      </c>
      <c r="C2368" s="0" t="n">
        <v>28073.51969</v>
      </c>
      <c r="E2368" s="0" t="n">
        <v>2034</v>
      </c>
      <c r="F2368" s="0" t="n">
        <v>1.780015</v>
      </c>
      <c r="G2368" s="0" t="n">
        <v>37.354266</v>
      </c>
      <c r="I2368" s="0" t="n">
        <v>2028</v>
      </c>
      <c r="J2368" s="0" t="n">
        <v>0</v>
      </c>
      <c r="K2368" s="0" t="n">
        <v>0</v>
      </c>
      <c r="M2368" s="0" t="n">
        <v>2033</v>
      </c>
      <c r="N2368" s="0" t="n">
        <v>95</v>
      </c>
      <c r="O2368" s="0" t="n">
        <v>1994.75</v>
      </c>
      <c r="W2368" s="0" t="n">
        <v>2034</v>
      </c>
      <c r="X2368" s="0" t="n">
        <v>1841.475</v>
      </c>
    </row>
    <row r="2369" customFormat="false" ht="15" hidden="false" customHeight="false" outlineLevel="0" collapsed="false">
      <c r="A2369" s="0" t="n">
        <v>2033</v>
      </c>
      <c r="B2369" s="0" t="n">
        <v>337.1891339</v>
      </c>
      <c r="C2369" s="0" t="n">
        <v>7080.971811</v>
      </c>
      <c r="E2369" s="0" t="n">
        <v>2034</v>
      </c>
      <c r="F2369" s="0" t="n">
        <v>9.73299</v>
      </c>
      <c r="G2369" s="0" t="n">
        <v>204.250356</v>
      </c>
      <c r="I2369" s="0" t="n">
        <v>2028</v>
      </c>
      <c r="J2369" s="0" t="n">
        <v>1.72</v>
      </c>
      <c r="K2369" s="0" t="n">
        <v>35.92</v>
      </c>
      <c r="M2369" s="0" t="n">
        <v>2033</v>
      </c>
      <c r="N2369" s="0" t="n">
        <v>38</v>
      </c>
      <c r="O2369" s="0" t="n">
        <v>797.9</v>
      </c>
      <c r="W2369" s="0" t="n">
        <v>2034</v>
      </c>
      <c r="X2369" s="0" t="n">
        <v>2700.83</v>
      </c>
    </row>
    <row r="2370" customFormat="false" ht="15" hidden="false" customHeight="false" outlineLevel="0" collapsed="false">
      <c r="A2370" s="0" t="n">
        <v>2033</v>
      </c>
      <c r="B2370" s="0" t="n">
        <v>300.6902854</v>
      </c>
      <c r="C2370" s="0" t="n">
        <v>6314.495994</v>
      </c>
      <c r="E2370" s="0" t="n">
        <v>2034</v>
      </c>
      <c r="F2370" s="0" t="n">
        <v>8.89987</v>
      </c>
      <c r="G2370" s="0" t="n">
        <v>186.767028</v>
      </c>
      <c r="I2370" s="0" t="n">
        <v>2028</v>
      </c>
      <c r="J2370" s="0" t="n">
        <v>3.01</v>
      </c>
      <c r="K2370" s="0" t="n">
        <v>62.86</v>
      </c>
      <c r="M2370" s="0" t="n">
        <v>2033</v>
      </c>
      <c r="N2370" s="0" t="n">
        <v>38</v>
      </c>
      <c r="O2370" s="0" t="n">
        <v>797.9</v>
      </c>
      <c r="W2370" s="0" t="n">
        <v>2034</v>
      </c>
      <c r="X2370" s="0" t="n">
        <v>2087.005</v>
      </c>
    </row>
    <row r="2371" customFormat="false" ht="15" hidden="false" customHeight="false" outlineLevel="0" collapsed="false">
      <c r="A2371" s="0" t="n">
        <v>2033</v>
      </c>
      <c r="B2371" s="0" t="n">
        <v>209.1122733</v>
      </c>
      <c r="C2371" s="0" t="n">
        <v>4391.357739</v>
      </c>
      <c r="E2371" s="0" t="n">
        <v>2034</v>
      </c>
      <c r="F2371" s="0" t="n">
        <v>391.115189</v>
      </c>
      <c r="G2371" s="0" t="n">
        <v>8204.681836</v>
      </c>
      <c r="I2371" s="0" t="n">
        <v>2028</v>
      </c>
      <c r="J2371" s="0" t="n">
        <v>0.86</v>
      </c>
      <c r="K2371" s="0" t="n">
        <v>17.96</v>
      </c>
      <c r="M2371" s="0" t="n">
        <v>2033</v>
      </c>
      <c r="N2371" s="0" t="n">
        <v>22.8</v>
      </c>
      <c r="O2371" s="0" t="n">
        <v>478.74</v>
      </c>
      <c r="W2371" s="0" t="n">
        <v>2034</v>
      </c>
      <c r="X2371" s="0" t="n">
        <v>43744.1</v>
      </c>
    </row>
    <row r="2372" customFormat="false" ht="15" hidden="false" customHeight="false" outlineLevel="0" collapsed="false">
      <c r="A2372" s="0" t="n">
        <v>2033</v>
      </c>
      <c r="B2372" s="0" t="n">
        <v>155.5446999</v>
      </c>
      <c r="C2372" s="0" t="n">
        <v>3266.438698</v>
      </c>
      <c r="E2372" s="0" t="n">
        <v>2034</v>
      </c>
      <c r="F2372" s="0" t="n">
        <v>105.018761</v>
      </c>
      <c r="G2372" s="0" t="n">
        <v>2203.047964</v>
      </c>
      <c r="I2372" s="0" t="n">
        <v>2028</v>
      </c>
      <c r="J2372" s="0" t="n">
        <v>3.01</v>
      </c>
      <c r="K2372" s="0" t="n">
        <v>62.86</v>
      </c>
      <c r="M2372" s="0" t="n">
        <v>2033</v>
      </c>
      <c r="N2372" s="0" t="n">
        <v>19</v>
      </c>
      <c r="O2372" s="0" t="n">
        <v>398.95</v>
      </c>
      <c r="W2372" s="0" t="n">
        <v>2034</v>
      </c>
      <c r="X2372" s="0" t="n">
        <v>10936.025</v>
      </c>
    </row>
    <row r="2373" customFormat="false" ht="15" hidden="false" customHeight="false" outlineLevel="0" collapsed="false">
      <c r="A2373" s="0" t="n">
        <v>2033</v>
      </c>
      <c r="B2373" s="0" t="n">
        <v>69.13097773</v>
      </c>
      <c r="C2373" s="0" t="n">
        <v>1451.750532</v>
      </c>
      <c r="E2373" s="0" t="n">
        <v>2034</v>
      </c>
      <c r="F2373" s="0" t="n">
        <v>42.035357</v>
      </c>
      <c r="G2373" s="0" t="n">
        <v>881.803468</v>
      </c>
      <c r="I2373" s="0" t="n">
        <v>2028</v>
      </c>
      <c r="J2373" s="0" t="n">
        <v>127.2</v>
      </c>
      <c r="K2373" s="0" t="n">
        <v>2674.56</v>
      </c>
      <c r="M2373" s="0" t="n">
        <v>2033</v>
      </c>
      <c r="N2373" s="0" t="n">
        <v>15.2</v>
      </c>
      <c r="O2373" s="0" t="n">
        <v>319.16</v>
      </c>
      <c r="W2373" s="0" t="n">
        <v>2034</v>
      </c>
      <c r="X2373" s="0" t="n">
        <v>3386.64</v>
      </c>
    </row>
    <row r="2374" customFormat="false" ht="15" hidden="false" customHeight="false" outlineLevel="0" collapsed="false">
      <c r="A2374" s="0" t="n">
        <v>2033</v>
      </c>
      <c r="B2374" s="0" t="n">
        <v>255.3407475</v>
      </c>
      <c r="C2374" s="0" t="n">
        <v>5362.155698</v>
      </c>
      <c r="E2374" s="0" t="n">
        <v>2034</v>
      </c>
      <c r="F2374" s="0" t="n">
        <v>5.904599</v>
      </c>
      <c r="G2374" s="0" t="n">
        <v>123.864676</v>
      </c>
      <c r="I2374" s="0" t="n">
        <v>2028</v>
      </c>
      <c r="J2374" s="0" t="n">
        <v>42.4</v>
      </c>
      <c r="K2374" s="0" t="n">
        <v>891.52</v>
      </c>
      <c r="M2374" s="0" t="n">
        <v>2033</v>
      </c>
      <c r="N2374" s="0" t="n">
        <v>7.6</v>
      </c>
      <c r="O2374" s="0" t="n">
        <v>159.58</v>
      </c>
      <c r="W2374" s="0" t="n">
        <v>2034</v>
      </c>
      <c r="X2374" s="0" t="n">
        <v>5997.175</v>
      </c>
    </row>
    <row r="2375" customFormat="false" ht="15" hidden="false" customHeight="false" outlineLevel="0" collapsed="false">
      <c r="A2375" s="0" t="n">
        <v>2033</v>
      </c>
      <c r="B2375" s="0" t="n">
        <v>79.93057043</v>
      </c>
      <c r="C2375" s="0" t="n">
        <v>1678.541979</v>
      </c>
      <c r="E2375" s="0" t="n">
        <v>2034</v>
      </c>
      <c r="F2375" s="0" t="n">
        <v>141.149519</v>
      </c>
      <c r="G2375" s="0" t="n">
        <v>2960.986756</v>
      </c>
      <c r="I2375" s="0" t="n">
        <v>2028</v>
      </c>
      <c r="J2375" s="0" t="n">
        <v>18.55</v>
      </c>
      <c r="K2375" s="0" t="n">
        <v>390.04</v>
      </c>
      <c r="M2375" s="0" t="n">
        <v>2033</v>
      </c>
      <c r="N2375" s="0" t="n">
        <v>227.24</v>
      </c>
      <c r="O2375" s="0" t="n">
        <v>4766.34</v>
      </c>
      <c r="W2375" s="0" t="n">
        <v>2034</v>
      </c>
      <c r="X2375" s="0" t="n">
        <v>2681.09</v>
      </c>
    </row>
    <row r="2376" customFormat="false" ht="15" hidden="false" customHeight="false" outlineLevel="0" collapsed="false">
      <c r="A2376" s="0" t="n">
        <v>2033</v>
      </c>
      <c r="B2376" s="0" t="n">
        <v>178.7198709</v>
      </c>
      <c r="C2376" s="0" t="n">
        <v>3753.117288</v>
      </c>
      <c r="E2376" s="0" t="n">
        <v>2034</v>
      </c>
      <c r="F2376" s="0" t="n">
        <v>6.607763</v>
      </c>
      <c r="G2376" s="0" t="n">
        <v>138.615412</v>
      </c>
      <c r="I2376" s="0" t="n">
        <v>2028</v>
      </c>
      <c r="J2376" s="0" t="n">
        <v>10.6</v>
      </c>
      <c r="K2376" s="0" t="n">
        <v>222.88</v>
      </c>
      <c r="M2376" s="0" t="n">
        <v>2033</v>
      </c>
      <c r="N2376" s="0" t="n">
        <v>149.5</v>
      </c>
      <c r="O2376" s="0" t="n">
        <v>3135.75</v>
      </c>
      <c r="W2376" s="0" t="n">
        <v>2034</v>
      </c>
      <c r="X2376" s="0" t="n">
        <v>1058.325</v>
      </c>
    </row>
    <row r="2377" customFormat="false" ht="15" hidden="false" customHeight="false" outlineLevel="0" collapsed="false">
      <c r="A2377" s="0" t="n">
        <v>2033</v>
      </c>
      <c r="B2377" s="0" t="n">
        <v>371.0702635</v>
      </c>
      <c r="C2377" s="0" t="n">
        <v>7792.475534</v>
      </c>
      <c r="E2377" s="0" t="n">
        <v>2034</v>
      </c>
      <c r="F2377" s="0" t="n">
        <v>36.130758</v>
      </c>
      <c r="G2377" s="0" t="n">
        <v>757.938792</v>
      </c>
      <c r="I2377" s="0" t="n">
        <v>2028</v>
      </c>
      <c r="J2377" s="0" t="n">
        <v>10.6</v>
      </c>
      <c r="K2377" s="0" t="n">
        <v>222.88</v>
      </c>
      <c r="M2377" s="0" t="n">
        <v>2033</v>
      </c>
      <c r="N2377" s="0" t="n">
        <v>59.8</v>
      </c>
      <c r="O2377" s="0" t="n">
        <v>1254.3</v>
      </c>
      <c r="W2377" s="0" t="n">
        <v>2034</v>
      </c>
      <c r="X2377" s="0" t="n">
        <v>1552.21</v>
      </c>
    </row>
    <row r="2378" customFormat="false" ht="15" hidden="false" customHeight="false" outlineLevel="0" collapsed="false">
      <c r="A2378" s="0" t="n">
        <v>2033</v>
      </c>
      <c r="B2378" s="0" t="n">
        <v>93.59489316</v>
      </c>
      <c r="C2378" s="0" t="n">
        <v>1965.492756</v>
      </c>
      <c r="E2378" s="0" t="n">
        <v>2034</v>
      </c>
      <c r="F2378" s="0" t="n">
        <v>33.038054</v>
      </c>
      <c r="G2378" s="0" t="n">
        <v>693.061096</v>
      </c>
      <c r="I2378" s="0" t="n">
        <v>2028</v>
      </c>
      <c r="J2378" s="0" t="n">
        <v>5.3</v>
      </c>
      <c r="K2378" s="0" t="n">
        <v>111.44</v>
      </c>
      <c r="M2378" s="0" t="n">
        <v>2033</v>
      </c>
      <c r="N2378" s="0" t="n">
        <v>59.8</v>
      </c>
      <c r="O2378" s="0" t="n">
        <v>1254.3</v>
      </c>
      <c r="W2378" s="0" t="n">
        <v>2034</v>
      </c>
      <c r="X2378" s="0" t="n">
        <v>1199.435</v>
      </c>
    </row>
    <row r="2379" customFormat="false" ht="15" hidden="false" customHeight="false" outlineLevel="0" collapsed="false">
      <c r="A2379" s="0" t="n">
        <v>2033</v>
      </c>
      <c r="B2379" s="0" t="n">
        <v>83.4637665</v>
      </c>
      <c r="C2379" s="0" t="n">
        <v>1752.739097</v>
      </c>
      <c r="E2379" s="0" t="n">
        <v>2034</v>
      </c>
      <c r="F2379" s="0" t="n">
        <v>566.885747</v>
      </c>
      <c r="G2379" s="0" t="n">
        <v>11898.94725</v>
      </c>
      <c r="I2379" s="0" t="n">
        <v>2028</v>
      </c>
      <c r="J2379" s="0" t="n">
        <v>5.3</v>
      </c>
      <c r="K2379" s="0" t="n">
        <v>111.44</v>
      </c>
      <c r="M2379" s="0" t="n">
        <v>2033</v>
      </c>
      <c r="N2379" s="0" t="n">
        <v>35.88</v>
      </c>
      <c r="O2379" s="0" t="n">
        <v>752.58</v>
      </c>
      <c r="W2379" s="0" t="n">
        <v>2034</v>
      </c>
      <c r="X2379" s="0" t="n">
        <v>135939.34</v>
      </c>
    </row>
    <row r="2380" customFormat="false" ht="15" hidden="false" customHeight="false" outlineLevel="0" collapsed="false">
      <c r="A2380" s="0" t="n">
        <v>2033</v>
      </c>
      <c r="B2380" s="0" t="n">
        <v>58.04410317</v>
      </c>
      <c r="C2380" s="0" t="n">
        <v>1218.926167</v>
      </c>
      <c r="E2380" s="0" t="n">
        <v>2034</v>
      </c>
      <c r="F2380" s="0" t="n">
        <v>152.215103</v>
      </c>
      <c r="G2380" s="0" t="n">
        <v>3194.999152</v>
      </c>
      <c r="I2380" s="0" t="n">
        <v>2028</v>
      </c>
      <c r="J2380" s="0" t="n">
        <v>10.6</v>
      </c>
      <c r="K2380" s="0" t="n">
        <v>222.88</v>
      </c>
      <c r="M2380" s="0" t="n">
        <v>2033</v>
      </c>
      <c r="N2380" s="0" t="n">
        <v>29.9</v>
      </c>
      <c r="O2380" s="0" t="n">
        <v>627.15</v>
      </c>
      <c r="W2380" s="0" t="n">
        <v>2034</v>
      </c>
      <c r="X2380" s="0" t="n">
        <v>33984.835</v>
      </c>
    </row>
    <row r="2381" customFormat="false" ht="15" hidden="false" customHeight="false" outlineLevel="0" collapsed="false">
      <c r="A2381" s="0" t="n">
        <v>2033</v>
      </c>
      <c r="B2381" s="0" t="n">
        <v>43.17514446</v>
      </c>
      <c r="C2381" s="0" t="n">
        <v>906.6780337</v>
      </c>
      <c r="E2381" s="0" t="n">
        <v>2034</v>
      </c>
      <c r="F2381" s="0" t="n">
        <v>60.926411</v>
      </c>
      <c r="G2381" s="0" t="n">
        <v>1278.847024</v>
      </c>
      <c r="I2381" s="0" t="n">
        <v>2028</v>
      </c>
      <c r="J2381" s="0" t="n">
        <v>18.55</v>
      </c>
      <c r="K2381" s="0" t="n">
        <v>390.04</v>
      </c>
      <c r="M2381" s="0" t="n">
        <v>2033</v>
      </c>
      <c r="N2381" s="0" t="n">
        <v>23.92</v>
      </c>
      <c r="O2381" s="0" t="n">
        <v>501.72</v>
      </c>
      <c r="W2381" s="0" t="n">
        <v>2034</v>
      </c>
      <c r="X2381" s="0" t="n">
        <v>10524.336</v>
      </c>
    </row>
    <row r="2382" customFormat="false" ht="15" hidden="false" customHeight="false" outlineLevel="0" collapsed="false">
      <c r="A2382" s="0" t="n">
        <v>2033</v>
      </c>
      <c r="B2382" s="0" t="n">
        <v>19.1889531</v>
      </c>
      <c r="C2382" s="0" t="n">
        <v>402.968015</v>
      </c>
      <c r="E2382" s="0" t="n">
        <v>2034</v>
      </c>
      <c r="F2382" s="0" t="n">
        <v>8.558177</v>
      </c>
      <c r="G2382" s="0" t="n">
        <v>179.636368</v>
      </c>
      <c r="I2382" s="0" t="n">
        <v>2028</v>
      </c>
      <c r="J2382" s="0" t="n">
        <v>7.95</v>
      </c>
      <c r="K2382" s="0" t="n">
        <v>167.16</v>
      </c>
      <c r="M2382" s="0" t="n">
        <v>2033</v>
      </c>
      <c r="N2382" s="0" t="n">
        <v>11.96</v>
      </c>
      <c r="O2382" s="0" t="n">
        <v>250.86</v>
      </c>
      <c r="W2382" s="0" t="n">
        <v>2034</v>
      </c>
      <c r="X2382" s="0" t="n">
        <v>18636.845</v>
      </c>
    </row>
    <row r="2383" customFormat="false" ht="15" hidden="false" customHeight="false" outlineLevel="0" collapsed="false">
      <c r="A2383" s="0" t="n">
        <v>2033</v>
      </c>
      <c r="B2383" s="0" t="n">
        <v>70.87591972</v>
      </c>
      <c r="C2383" s="0" t="n">
        <v>1488.394314</v>
      </c>
      <c r="E2383" s="0" t="n">
        <v>2034</v>
      </c>
      <c r="F2383" s="0" t="n">
        <v>204.583337</v>
      </c>
      <c r="G2383" s="0" t="n">
        <v>4294.209808</v>
      </c>
      <c r="I2383" s="0" t="n">
        <v>2028</v>
      </c>
      <c r="J2383" s="0" t="n">
        <v>7.95</v>
      </c>
      <c r="K2383" s="0" t="n">
        <v>167.16</v>
      </c>
      <c r="M2383" s="0" t="n">
        <v>2033</v>
      </c>
      <c r="N2383" s="0" t="n">
        <v>172.9</v>
      </c>
      <c r="O2383" s="0" t="n">
        <v>3626.72</v>
      </c>
      <c r="W2383" s="0" t="n">
        <v>2034</v>
      </c>
      <c r="X2383" s="0" t="n">
        <v>8331.766</v>
      </c>
    </row>
    <row r="2384" customFormat="false" ht="15" hidden="false" customHeight="false" outlineLevel="0" collapsed="false">
      <c r="A2384" s="0" t="n">
        <v>2033</v>
      </c>
      <c r="B2384" s="0" t="n">
        <v>22.18663785</v>
      </c>
      <c r="C2384" s="0" t="n">
        <v>465.9193948</v>
      </c>
      <c r="E2384" s="0" t="n">
        <v>2034</v>
      </c>
      <c r="F2384" s="0" t="n">
        <v>9.577349</v>
      </c>
      <c r="G2384" s="0" t="n">
        <v>201.028816</v>
      </c>
      <c r="I2384" s="0" t="n">
        <v>2028</v>
      </c>
      <c r="J2384" s="0" t="n">
        <v>46.8</v>
      </c>
      <c r="K2384" s="0" t="n">
        <v>982.8</v>
      </c>
      <c r="M2384" s="0" t="n">
        <v>2033</v>
      </c>
      <c r="N2384" s="0" t="n">
        <v>113.75</v>
      </c>
      <c r="O2384" s="0" t="n">
        <v>2386</v>
      </c>
      <c r="W2384" s="0" t="n">
        <v>2034</v>
      </c>
      <c r="X2384" s="0" t="n">
        <v>3288.855</v>
      </c>
    </row>
    <row r="2385" customFormat="false" ht="15" hidden="false" customHeight="false" outlineLevel="0" collapsed="false">
      <c r="A2385" s="0" t="n">
        <v>2033</v>
      </c>
      <c r="B2385" s="0" t="n">
        <v>49.60796638</v>
      </c>
      <c r="C2385" s="0" t="n">
        <v>1041.767294</v>
      </c>
      <c r="E2385" s="0" t="n">
        <v>2034</v>
      </c>
      <c r="F2385" s="0" t="n">
        <v>52.368234</v>
      </c>
      <c r="G2385" s="0" t="n">
        <v>1099.210656</v>
      </c>
      <c r="I2385" s="0" t="n">
        <v>2028</v>
      </c>
      <c r="J2385" s="0" t="n">
        <v>7.2</v>
      </c>
      <c r="K2385" s="0" t="n">
        <v>151.2</v>
      </c>
      <c r="M2385" s="0" t="n">
        <v>2033</v>
      </c>
      <c r="N2385" s="0" t="n">
        <v>45.5</v>
      </c>
      <c r="O2385" s="0" t="n">
        <v>954.4</v>
      </c>
      <c r="W2385" s="0" t="n">
        <v>2034</v>
      </c>
      <c r="X2385" s="0" t="n">
        <v>4823.654</v>
      </c>
    </row>
    <row r="2386" customFormat="false" ht="15" hidden="false" customHeight="false" outlineLevel="0" collapsed="false">
      <c r="A2386" s="0" t="n">
        <v>2033</v>
      </c>
      <c r="B2386" s="0" t="n">
        <v>206.3261219</v>
      </c>
      <c r="C2386" s="0" t="n">
        <v>4332.848561</v>
      </c>
      <c r="E2386" s="0" t="n">
        <v>2034</v>
      </c>
      <c r="F2386" s="0" t="n">
        <v>47.885642</v>
      </c>
      <c r="G2386" s="0" t="n">
        <v>1005.120928</v>
      </c>
      <c r="I2386" s="0" t="n">
        <v>2028</v>
      </c>
      <c r="J2386" s="0" t="n">
        <v>5.4</v>
      </c>
      <c r="K2386" s="0" t="n">
        <v>113.4</v>
      </c>
      <c r="M2386" s="0" t="n">
        <v>2033</v>
      </c>
      <c r="N2386" s="0" t="n">
        <v>45.5</v>
      </c>
      <c r="O2386" s="0" t="n">
        <v>954.4</v>
      </c>
      <c r="W2386" s="0" t="n">
        <v>2034</v>
      </c>
      <c r="X2386" s="0" t="n">
        <v>3727.369</v>
      </c>
    </row>
    <row r="2387" customFormat="false" ht="15" hidden="false" customHeight="false" outlineLevel="0" collapsed="false">
      <c r="A2387" s="0" t="n">
        <v>2033</v>
      </c>
      <c r="B2387" s="0" t="n">
        <v>52.0415491</v>
      </c>
      <c r="C2387" s="0" t="n">
        <v>1092.872531</v>
      </c>
      <c r="E2387" s="0" t="n">
        <v>2034</v>
      </c>
      <c r="F2387" s="0" t="n">
        <v>362.847994</v>
      </c>
      <c r="G2387" s="0" t="n">
        <v>7613.126537</v>
      </c>
      <c r="I2387" s="0" t="n">
        <v>2028</v>
      </c>
      <c r="J2387" s="0" t="n">
        <v>9</v>
      </c>
      <c r="K2387" s="0" t="n">
        <v>189</v>
      </c>
      <c r="M2387" s="0" t="n">
        <v>2033</v>
      </c>
      <c r="N2387" s="0" t="n">
        <v>27.3</v>
      </c>
      <c r="O2387" s="0" t="n">
        <v>572.64</v>
      </c>
      <c r="W2387" s="0" t="n">
        <v>2034</v>
      </c>
      <c r="X2387" s="0" t="n">
        <v>69325.92</v>
      </c>
    </row>
    <row r="2388" customFormat="false" ht="15" hidden="false" customHeight="false" outlineLevel="0" collapsed="false">
      <c r="A2388" s="0" t="n">
        <v>2033</v>
      </c>
      <c r="B2388" s="0" t="n">
        <v>46.40834084</v>
      </c>
      <c r="C2388" s="0" t="n">
        <v>974.5751576</v>
      </c>
      <c r="E2388" s="0" t="n">
        <v>2034</v>
      </c>
      <c r="F2388" s="0" t="n">
        <v>97.428706</v>
      </c>
      <c r="G2388" s="0" t="n">
        <v>2044.208813</v>
      </c>
      <c r="I2388" s="0" t="n">
        <v>2028</v>
      </c>
      <c r="J2388" s="0" t="n">
        <v>1.8</v>
      </c>
      <c r="K2388" s="0" t="n">
        <v>37.8</v>
      </c>
      <c r="M2388" s="0" t="n">
        <v>2033</v>
      </c>
      <c r="N2388" s="0" t="n">
        <v>22.75</v>
      </c>
      <c r="O2388" s="0" t="n">
        <v>477.2</v>
      </c>
      <c r="W2388" s="0" t="n">
        <v>2034</v>
      </c>
      <c r="X2388" s="0" t="n">
        <v>17331.48</v>
      </c>
    </row>
    <row r="2389" customFormat="false" ht="15" hidden="false" customHeight="false" outlineLevel="0" collapsed="false">
      <c r="A2389" s="0" t="n">
        <v>2033</v>
      </c>
      <c r="B2389" s="0" t="n">
        <v>32.27425069</v>
      </c>
      <c r="C2389" s="0" t="n">
        <v>677.7592644</v>
      </c>
      <c r="E2389" s="0" t="n">
        <v>2034</v>
      </c>
      <c r="F2389" s="0" t="n">
        <v>38.997322</v>
      </c>
      <c r="G2389" s="0" t="n">
        <v>818.225681</v>
      </c>
      <c r="I2389" s="0" t="n">
        <v>2028</v>
      </c>
      <c r="J2389" s="0" t="n">
        <v>1.8</v>
      </c>
      <c r="K2389" s="0" t="n">
        <v>37.8</v>
      </c>
      <c r="M2389" s="0" t="n">
        <v>2033</v>
      </c>
      <c r="N2389" s="0" t="n">
        <v>18.2</v>
      </c>
      <c r="O2389" s="0" t="n">
        <v>381.76</v>
      </c>
      <c r="W2389" s="0" t="n">
        <v>2034</v>
      </c>
      <c r="X2389" s="0" t="n">
        <v>5367.168</v>
      </c>
    </row>
    <row r="2390" customFormat="false" ht="15" hidden="false" customHeight="false" outlineLevel="0" collapsed="false">
      <c r="A2390" s="0" t="n">
        <v>2033</v>
      </c>
      <c r="B2390" s="0" t="n">
        <v>24.00666665</v>
      </c>
      <c r="C2390" s="0" t="n">
        <v>504.1399997</v>
      </c>
      <c r="E2390" s="0" t="n">
        <v>2034</v>
      </c>
      <c r="F2390" s="0" t="n">
        <v>5.477854</v>
      </c>
      <c r="G2390" s="0" t="n">
        <v>114.934067</v>
      </c>
      <c r="I2390" s="0" t="n">
        <v>2028</v>
      </c>
      <c r="J2390" s="0" t="n">
        <v>0</v>
      </c>
      <c r="K2390" s="0" t="n">
        <v>0</v>
      </c>
      <c r="M2390" s="0" t="n">
        <v>2033</v>
      </c>
      <c r="N2390" s="0" t="n">
        <v>9.1</v>
      </c>
      <c r="O2390" s="0" t="n">
        <v>190.88</v>
      </c>
      <c r="W2390" s="0" t="n">
        <v>2034</v>
      </c>
      <c r="X2390" s="0" t="n">
        <v>9504.36</v>
      </c>
    </row>
    <row r="2391" customFormat="false" ht="15" hidden="false" customHeight="false" outlineLevel="0" collapsed="false">
      <c r="A2391" s="0" t="n">
        <v>2033</v>
      </c>
      <c r="B2391" s="0" t="n">
        <v>10.66962962</v>
      </c>
      <c r="C2391" s="0" t="n">
        <v>224.0622221</v>
      </c>
      <c r="E2391" s="0" t="n">
        <v>2034</v>
      </c>
      <c r="F2391" s="0" t="n">
        <v>130.948174</v>
      </c>
      <c r="G2391" s="0" t="n">
        <v>2747.500427</v>
      </c>
      <c r="I2391" s="0" t="n">
        <v>2028</v>
      </c>
      <c r="J2391" s="0" t="n">
        <v>3.6</v>
      </c>
      <c r="K2391" s="0" t="n">
        <v>75.6</v>
      </c>
      <c r="M2391" s="0" t="n">
        <v>2033</v>
      </c>
      <c r="N2391" s="0" t="n">
        <v>67.64</v>
      </c>
      <c r="O2391" s="0" t="n">
        <v>1418.16</v>
      </c>
      <c r="W2391" s="0" t="n">
        <v>2034</v>
      </c>
      <c r="X2391" s="0" t="n">
        <v>4249.008</v>
      </c>
    </row>
    <row r="2392" customFormat="false" ht="15" hidden="false" customHeight="false" outlineLevel="0" collapsed="false">
      <c r="A2392" s="0" t="n">
        <v>2033</v>
      </c>
      <c r="B2392" s="0" t="n">
        <v>39.40912299</v>
      </c>
      <c r="C2392" s="0" t="n">
        <v>827.5915828</v>
      </c>
      <c r="E2392" s="0" t="n">
        <v>2034</v>
      </c>
      <c r="F2392" s="0" t="n">
        <v>6.130198</v>
      </c>
      <c r="G2392" s="0" t="n">
        <v>128.621279</v>
      </c>
      <c r="I2392" s="0" t="n">
        <v>2028</v>
      </c>
      <c r="J2392" s="0" t="n">
        <v>6.3</v>
      </c>
      <c r="K2392" s="0" t="n">
        <v>132.3</v>
      </c>
      <c r="M2392" s="0" t="n">
        <v>2033</v>
      </c>
      <c r="N2392" s="0" t="n">
        <v>44.5</v>
      </c>
      <c r="O2392" s="0" t="n">
        <v>933</v>
      </c>
      <c r="W2392" s="0" t="n">
        <v>2034</v>
      </c>
      <c r="X2392" s="0" t="n">
        <v>1677.24</v>
      </c>
    </row>
    <row r="2393" customFormat="false" ht="15" hidden="false" customHeight="false" outlineLevel="0" collapsed="false">
      <c r="A2393" s="0" t="n">
        <v>2033</v>
      </c>
      <c r="B2393" s="0" t="n">
        <v>12.33643166</v>
      </c>
      <c r="C2393" s="0" t="n">
        <v>259.0650648</v>
      </c>
      <c r="E2393" s="0" t="n">
        <v>2034</v>
      </c>
      <c r="F2393" s="0" t="n">
        <v>33.519468</v>
      </c>
      <c r="G2393" s="0" t="n">
        <v>703.291614</v>
      </c>
      <c r="I2393" s="0" t="n">
        <v>2028</v>
      </c>
      <c r="J2393" s="0" t="n">
        <v>1.8</v>
      </c>
      <c r="K2393" s="0" t="n">
        <v>37.8</v>
      </c>
      <c r="M2393" s="0" t="n">
        <v>2033</v>
      </c>
      <c r="N2393" s="0" t="n">
        <v>17.8</v>
      </c>
      <c r="O2393" s="0" t="n">
        <v>373.2</v>
      </c>
      <c r="W2393" s="0" t="n">
        <v>2034</v>
      </c>
      <c r="X2393" s="0" t="n">
        <v>2459.952</v>
      </c>
    </row>
    <row r="2394" customFormat="false" ht="15" hidden="false" customHeight="false" outlineLevel="0" collapsed="false">
      <c r="A2394" s="0" t="n">
        <v>2033</v>
      </c>
      <c r="B2394" s="0" t="n">
        <v>27.58350729</v>
      </c>
      <c r="C2394" s="0" t="n">
        <v>579.2536532</v>
      </c>
      <c r="E2394" s="0" t="n">
        <v>2034</v>
      </c>
      <c r="F2394" s="0" t="n">
        <v>30.650284</v>
      </c>
      <c r="G2394" s="0" t="n">
        <v>643.091582</v>
      </c>
      <c r="I2394" s="0" t="n">
        <v>2028</v>
      </c>
      <c r="J2394" s="0" t="n">
        <v>6.3</v>
      </c>
      <c r="K2394" s="0" t="n">
        <v>132.3</v>
      </c>
      <c r="M2394" s="0" t="n">
        <v>2033</v>
      </c>
      <c r="N2394" s="0" t="n">
        <v>17.8</v>
      </c>
      <c r="O2394" s="0" t="n">
        <v>373.2</v>
      </c>
      <c r="W2394" s="0" t="n">
        <v>2034</v>
      </c>
      <c r="X2394" s="0" t="n">
        <v>1900.872</v>
      </c>
    </row>
    <row r="2395" customFormat="false" ht="15" hidden="false" customHeight="false" outlineLevel="0" collapsed="false">
      <c r="A2395" s="0" t="n">
        <v>2033</v>
      </c>
      <c r="B2395" s="0" t="n">
        <v>176.2653624</v>
      </c>
      <c r="C2395" s="0" t="n">
        <v>3701.572611</v>
      </c>
      <c r="E2395" s="0" t="n">
        <v>2034</v>
      </c>
      <c r="F2395" s="0" t="n">
        <v>2012.110335</v>
      </c>
      <c r="G2395" s="0" t="n">
        <v>42248.6636</v>
      </c>
      <c r="I2395" s="0" t="n">
        <v>2029</v>
      </c>
      <c r="J2395" s="0" t="n">
        <v>804.48</v>
      </c>
      <c r="K2395" s="0" t="n">
        <v>16897.92</v>
      </c>
      <c r="M2395" s="0" t="n">
        <v>2033</v>
      </c>
      <c r="N2395" s="0" t="n">
        <v>10.68</v>
      </c>
      <c r="O2395" s="0" t="n">
        <v>223.92</v>
      </c>
      <c r="W2395" s="0" t="n">
        <v>2034</v>
      </c>
      <c r="X2395" s="0" t="n">
        <v>9123.92</v>
      </c>
    </row>
    <row r="2396" customFormat="false" ht="15" hidden="false" customHeight="false" outlineLevel="0" collapsed="false">
      <c r="A2396" s="0" t="n">
        <v>2033</v>
      </c>
      <c r="B2396" s="0" t="n">
        <v>44.45933665</v>
      </c>
      <c r="C2396" s="0" t="n">
        <v>933.6460695</v>
      </c>
      <c r="E2396" s="0" t="n">
        <v>2034</v>
      </c>
      <c r="F2396" s="0" t="n">
        <v>540.273915</v>
      </c>
      <c r="G2396" s="0" t="n">
        <v>11344.2342</v>
      </c>
      <c r="I2396" s="0" t="n">
        <v>2029</v>
      </c>
      <c r="J2396" s="0" t="n">
        <v>268.16</v>
      </c>
      <c r="K2396" s="0" t="n">
        <v>5632.64</v>
      </c>
      <c r="M2396" s="0" t="n">
        <v>2033</v>
      </c>
      <c r="N2396" s="0" t="n">
        <v>8.9</v>
      </c>
      <c r="O2396" s="0" t="n">
        <v>186.6</v>
      </c>
      <c r="W2396" s="0" t="n">
        <v>2034</v>
      </c>
      <c r="X2396" s="0" t="n">
        <v>2280.98</v>
      </c>
    </row>
    <row r="2397" customFormat="false" ht="15" hidden="false" customHeight="false" outlineLevel="0" collapsed="false">
      <c r="A2397" s="0" t="n">
        <v>2033</v>
      </c>
      <c r="B2397" s="0" t="n">
        <v>39.64686071</v>
      </c>
      <c r="C2397" s="0" t="n">
        <v>832.584075</v>
      </c>
      <c r="E2397" s="0" t="n">
        <v>2034</v>
      </c>
      <c r="F2397" s="0" t="n">
        <v>216.252855</v>
      </c>
      <c r="G2397" s="0" t="n">
        <v>4540.702348</v>
      </c>
      <c r="I2397" s="0" t="n">
        <v>2029</v>
      </c>
      <c r="J2397" s="0" t="n">
        <v>117.32</v>
      </c>
      <c r="K2397" s="0" t="n">
        <v>2464.28</v>
      </c>
      <c r="M2397" s="0" t="n">
        <v>2033</v>
      </c>
      <c r="N2397" s="0" t="n">
        <v>7.12</v>
      </c>
      <c r="O2397" s="0" t="n">
        <v>149.28</v>
      </c>
      <c r="W2397" s="0" t="n">
        <v>2034</v>
      </c>
      <c r="X2397" s="0" t="n">
        <v>706.368</v>
      </c>
    </row>
    <row r="2398" customFormat="false" ht="15" hidden="false" customHeight="false" outlineLevel="0" collapsed="false">
      <c r="A2398" s="0" t="n">
        <v>2033</v>
      </c>
      <c r="B2398" s="0" t="n">
        <v>27.57204198</v>
      </c>
      <c r="C2398" s="0" t="n">
        <v>579.0128815</v>
      </c>
      <c r="E2398" s="0" t="n">
        <v>2034</v>
      </c>
      <c r="F2398" s="0" t="n">
        <v>30.376485</v>
      </c>
      <c r="G2398" s="0" t="n">
        <v>637.820836</v>
      </c>
      <c r="I2398" s="0" t="n">
        <v>2029</v>
      </c>
      <c r="J2398" s="0" t="n">
        <v>67.04</v>
      </c>
      <c r="K2398" s="0" t="n">
        <v>1408.16</v>
      </c>
      <c r="M2398" s="0" t="n">
        <v>2033</v>
      </c>
      <c r="N2398" s="0" t="n">
        <v>3.56</v>
      </c>
      <c r="O2398" s="0" t="n">
        <v>74.64</v>
      </c>
      <c r="W2398" s="0" t="n">
        <v>2034</v>
      </c>
      <c r="X2398" s="0" t="n">
        <v>1250.86</v>
      </c>
    </row>
    <row r="2399" customFormat="false" ht="15" hidden="false" customHeight="false" outlineLevel="0" collapsed="false">
      <c r="A2399" s="0" t="n">
        <v>2033</v>
      </c>
      <c r="B2399" s="0" t="n">
        <v>20.50900661</v>
      </c>
      <c r="C2399" s="0" t="n">
        <v>430.6891388</v>
      </c>
      <c r="E2399" s="0" t="n">
        <v>2034</v>
      </c>
      <c r="F2399" s="0" t="n">
        <v>726.150285</v>
      </c>
      <c r="G2399" s="0" t="n">
        <v>15247.11572</v>
      </c>
      <c r="I2399" s="0" t="n">
        <v>2029</v>
      </c>
      <c r="J2399" s="0" t="n">
        <v>67.04</v>
      </c>
      <c r="K2399" s="0" t="n">
        <v>1408.16</v>
      </c>
      <c r="M2399" s="0" t="n">
        <v>2033</v>
      </c>
      <c r="N2399" s="0" t="n">
        <v>97.66</v>
      </c>
      <c r="O2399" s="0" t="n">
        <v>2046.3</v>
      </c>
      <c r="W2399" s="0" t="n">
        <v>2034</v>
      </c>
      <c r="X2399" s="0" t="n">
        <v>559.208</v>
      </c>
    </row>
    <row r="2400" customFormat="false" ht="15" hidden="false" customHeight="false" outlineLevel="0" collapsed="false">
      <c r="A2400" s="0" t="n">
        <v>2033</v>
      </c>
      <c r="B2400" s="0" t="n">
        <v>9.115114049</v>
      </c>
      <c r="C2400" s="0" t="n">
        <v>191.417395</v>
      </c>
      <c r="E2400" s="0" t="n">
        <v>2034</v>
      </c>
      <c r="F2400" s="0" t="n">
        <v>33.993945</v>
      </c>
      <c r="G2400" s="0" t="n">
        <v>713.777332</v>
      </c>
      <c r="I2400" s="0" t="n">
        <v>2029</v>
      </c>
      <c r="J2400" s="0" t="n">
        <v>33.52</v>
      </c>
      <c r="K2400" s="0" t="n">
        <v>704.08</v>
      </c>
      <c r="M2400" s="0" t="n">
        <v>2033</v>
      </c>
      <c r="N2400" s="0" t="n">
        <v>64.25</v>
      </c>
      <c r="O2400" s="0" t="n">
        <v>1346.25</v>
      </c>
      <c r="W2400" s="0" t="n">
        <v>2034</v>
      </c>
      <c r="X2400" s="0" t="n">
        <v>220.74</v>
      </c>
    </row>
    <row r="2401" customFormat="false" ht="15" hidden="false" customHeight="false" outlineLevel="0" collapsed="false">
      <c r="A2401" s="0" t="n">
        <v>2033</v>
      </c>
      <c r="B2401" s="0" t="n">
        <v>33.66739646</v>
      </c>
      <c r="C2401" s="0" t="n">
        <v>707.0153257</v>
      </c>
      <c r="E2401" s="0" t="n">
        <v>2034</v>
      </c>
      <c r="F2401" s="0" t="n">
        <v>185.87637</v>
      </c>
      <c r="G2401" s="0" t="n">
        <v>3902.881512</v>
      </c>
      <c r="I2401" s="0" t="n">
        <v>2029</v>
      </c>
      <c r="J2401" s="0" t="n">
        <v>33.52</v>
      </c>
      <c r="K2401" s="0" t="n">
        <v>704.08</v>
      </c>
      <c r="M2401" s="0" t="n">
        <v>2033</v>
      </c>
      <c r="N2401" s="0" t="n">
        <v>25.7</v>
      </c>
      <c r="O2401" s="0" t="n">
        <v>538.5</v>
      </c>
      <c r="W2401" s="0" t="n">
        <v>2034</v>
      </c>
      <c r="X2401" s="0" t="n">
        <v>323.752</v>
      </c>
    </row>
    <row r="2402" customFormat="false" ht="15" hidden="false" customHeight="false" outlineLevel="0" collapsed="false">
      <c r="A2402" s="0" t="n">
        <v>2033</v>
      </c>
      <c r="B2402" s="0" t="n">
        <v>10.53907075</v>
      </c>
      <c r="C2402" s="0" t="n">
        <v>221.3204858</v>
      </c>
      <c r="E2402" s="0" t="n">
        <v>2034</v>
      </c>
      <c r="F2402" s="0" t="n">
        <v>169.96581</v>
      </c>
      <c r="G2402" s="0" t="n">
        <v>3568.804456</v>
      </c>
      <c r="I2402" s="0" t="n">
        <v>2029</v>
      </c>
      <c r="J2402" s="0" t="n">
        <v>67.04</v>
      </c>
      <c r="K2402" s="0" t="n">
        <v>1408.16</v>
      </c>
      <c r="M2402" s="0" t="n">
        <v>2033</v>
      </c>
      <c r="N2402" s="0" t="n">
        <v>25.7</v>
      </c>
      <c r="O2402" s="0" t="n">
        <v>538.5</v>
      </c>
      <c r="W2402" s="0" t="n">
        <v>2034</v>
      </c>
      <c r="X2402" s="0" t="n">
        <v>250.172</v>
      </c>
    </row>
    <row r="2403" customFormat="false" ht="15" hidden="false" customHeight="false" outlineLevel="0" collapsed="false">
      <c r="A2403" s="0" t="n">
        <v>2033</v>
      </c>
      <c r="B2403" s="0" t="n">
        <v>23.56471815</v>
      </c>
      <c r="C2403" s="0" t="n">
        <v>494.8590812</v>
      </c>
      <c r="E2403" s="0" t="n">
        <v>2034</v>
      </c>
      <c r="F2403" s="0" t="n">
        <v>242.583928</v>
      </c>
      <c r="G2403" s="0" t="n">
        <v>5089.636947</v>
      </c>
      <c r="I2403" s="0" t="n">
        <v>2029</v>
      </c>
      <c r="J2403" s="0" t="n">
        <v>117.32</v>
      </c>
      <c r="K2403" s="0" t="n">
        <v>2464.28</v>
      </c>
      <c r="M2403" s="0" t="n">
        <v>2033</v>
      </c>
      <c r="N2403" s="0" t="n">
        <v>15.42</v>
      </c>
      <c r="O2403" s="0" t="n">
        <v>323.1</v>
      </c>
      <c r="W2403" s="0" t="n">
        <v>2034</v>
      </c>
      <c r="X2403" s="0" t="n">
        <v>71158.64</v>
      </c>
    </row>
    <row r="2404" customFormat="false" ht="15" hidden="false" customHeight="false" outlineLevel="0" collapsed="false">
      <c r="A2404" s="0" t="n">
        <v>2033</v>
      </c>
      <c r="B2404" s="0" t="n">
        <v>235.4241918</v>
      </c>
      <c r="C2404" s="0" t="n">
        <v>4943.908028</v>
      </c>
      <c r="E2404" s="0" t="n">
        <v>2034</v>
      </c>
      <c r="F2404" s="0" t="n">
        <v>65.136472</v>
      </c>
      <c r="G2404" s="0" t="n">
        <v>1366.623903</v>
      </c>
      <c r="I2404" s="0" t="n">
        <v>2029</v>
      </c>
      <c r="J2404" s="0" t="n">
        <v>50.28</v>
      </c>
      <c r="K2404" s="0" t="n">
        <v>1056.12</v>
      </c>
      <c r="M2404" s="0" t="n">
        <v>2033</v>
      </c>
      <c r="N2404" s="0" t="n">
        <v>12.85</v>
      </c>
      <c r="O2404" s="0" t="n">
        <v>269.25</v>
      </c>
      <c r="W2404" s="0" t="n">
        <v>2034</v>
      </c>
      <c r="X2404" s="0" t="n">
        <v>17789.66</v>
      </c>
    </row>
    <row r="2405" customFormat="false" ht="15" hidden="false" customHeight="false" outlineLevel="0" collapsed="false">
      <c r="A2405" s="0" t="n">
        <v>2033</v>
      </c>
      <c r="B2405" s="0" t="n">
        <v>59.38094276</v>
      </c>
      <c r="C2405" s="0" t="n">
        <v>1246.999798</v>
      </c>
      <c r="E2405" s="0" t="n">
        <v>2034</v>
      </c>
      <c r="F2405" s="0" t="n">
        <v>26.071864</v>
      </c>
      <c r="G2405" s="0" t="n">
        <v>547.012011</v>
      </c>
      <c r="I2405" s="0" t="n">
        <v>2029</v>
      </c>
      <c r="J2405" s="0" t="n">
        <v>50.28</v>
      </c>
      <c r="K2405" s="0" t="n">
        <v>1056.12</v>
      </c>
      <c r="M2405" s="0" t="n">
        <v>2033</v>
      </c>
      <c r="N2405" s="0" t="n">
        <v>10.28</v>
      </c>
      <c r="O2405" s="0" t="n">
        <v>215.4</v>
      </c>
      <c r="W2405" s="0" t="n">
        <v>2034</v>
      </c>
      <c r="X2405" s="0" t="n">
        <v>5509.056</v>
      </c>
    </row>
    <row r="2406" customFormat="false" ht="15" hidden="false" customHeight="false" outlineLevel="0" collapsed="false">
      <c r="A2406" s="0" t="n">
        <v>2033</v>
      </c>
      <c r="B2406" s="0" t="n">
        <v>52.95328595</v>
      </c>
      <c r="C2406" s="0" t="n">
        <v>1112.019005</v>
      </c>
      <c r="E2406" s="0" t="n">
        <v>2034</v>
      </c>
      <c r="F2406" s="0" t="n">
        <v>3.662248</v>
      </c>
      <c r="G2406" s="0" t="n">
        <v>76.837377</v>
      </c>
      <c r="I2406" s="0" t="n">
        <v>2029</v>
      </c>
      <c r="J2406" s="0" t="n">
        <v>52.52</v>
      </c>
      <c r="K2406" s="0" t="n">
        <v>1098.24</v>
      </c>
      <c r="M2406" s="0" t="n">
        <v>2033</v>
      </c>
      <c r="N2406" s="0" t="n">
        <v>5.14</v>
      </c>
      <c r="O2406" s="0" t="n">
        <v>107.7</v>
      </c>
      <c r="W2406" s="0" t="n">
        <v>2034</v>
      </c>
      <c r="X2406" s="0" t="n">
        <v>9755.62</v>
      </c>
    </row>
    <row r="2407" customFormat="false" ht="15" hidden="false" customHeight="false" outlineLevel="0" collapsed="false">
      <c r="A2407" s="0" t="n">
        <v>2033</v>
      </c>
      <c r="B2407" s="0" t="n">
        <v>36.82587213</v>
      </c>
      <c r="C2407" s="0" t="n">
        <v>773.3433148</v>
      </c>
      <c r="E2407" s="0" t="n">
        <v>2034</v>
      </c>
      <c r="F2407" s="0" t="n">
        <v>87.546088</v>
      </c>
      <c r="G2407" s="0" t="n">
        <v>1836.798537</v>
      </c>
      <c r="I2407" s="0" t="n">
        <v>2029</v>
      </c>
      <c r="J2407" s="0" t="n">
        <v>8.08</v>
      </c>
      <c r="K2407" s="0" t="n">
        <v>168.96</v>
      </c>
      <c r="M2407" s="0" t="n">
        <v>2033</v>
      </c>
      <c r="N2407" s="0" t="n">
        <v>380.7</v>
      </c>
      <c r="O2407" s="0" t="n">
        <v>7989.3</v>
      </c>
      <c r="W2407" s="0" t="n">
        <v>2034</v>
      </c>
      <c r="X2407" s="0" t="n">
        <v>4361.336</v>
      </c>
    </row>
    <row r="2408" customFormat="false" ht="15" hidden="false" customHeight="false" outlineLevel="0" collapsed="false">
      <c r="A2408" s="0" t="n">
        <v>2033</v>
      </c>
      <c r="B2408" s="0" t="n">
        <v>27.39231485</v>
      </c>
      <c r="C2408" s="0" t="n">
        <v>575.2386119</v>
      </c>
      <c r="E2408" s="0" t="n">
        <v>2034</v>
      </c>
      <c r="F2408" s="0" t="n">
        <v>4.098376</v>
      </c>
      <c r="G2408" s="0" t="n">
        <v>85.987749</v>
      </c>
      <c r="I2408" s="0" t="n">
        <v>2029</v>
      </c>
      <c r="J2408" s="0" t="n">
        <v>6.06</v>
      </c>
      <c r="K2408" s="0" t="n">
        <v>126.72</v>
      </c>
      <c r="M2408" s="0" t="n">
        <v>2033</v>
      </c>
      <c r="N2408" s="0" t="n">
        <v>42.3</v>
      </c>
      <c r="O2408" s="0" t="n">
        <v>887.7</v>
      </c>
      <c r="W2408" s="0" t="n">
        <v>2034</v>
      </c>
      <c r="X2408" s="0" t="n">
        <v>1721.58</v>
      </c>
    </row>
    <row r="2409" customFormat="false" ht="15" hidden="false" customHeight="false" outlineLevel="0" collapsed="false">
      <c r="A2409" s="0" t="n">
        <v>2033</v>
      </c>
      <c r="B2409" s="0" t="n">
        <v>12.17436216</v>
      </c>
      <c r="C2409" s="0" t="n">
        <v>255.6616053</v>
      </c>
      <c r="E2409" s="0" t="n">
        <v>2034</v>
      </c>
      <c r="F2409" s="0" t="n">
        <v>22.409616</v>
      </c>
      <c r="G2409" s="0" t="n">
        <v>470.174634</v>
      </c>
      <c r="I2409" s="0" t="n">
        <v>2029</v>
      </c>
      <c r="J2409" s="0" t="n">
        <v>10.1</v>
      </c>
      <c r="K2409" s="0" t="n">
        <v>211.2</v>
      </c>
      <c r="M2409" s="0" t="n">
        <v>2033</v>
      </c>
      <c r="N2409" s="0" t="n">
        <v>532.8</v>
      </c>
      <c r="O2409" s="0" t="n">
        <v>11183.4</v>
      </c>
      <c r="W2409" s="0" t="n">
        <v>2034</v>
      </c>
      <c r="X2409" s="0" t="n">
        <v>2524.984</v>
      </c>
    </row>
    <row r="2410" customFormat="false" ht="15" hidden="false" customHeight="false" outlineLevel="0" collapsed="false">
      <c r="A2410" s="0" t="n">
        <v>2033</v>
      </c>
      <c r="B2410" s="0" t="n">
        <v>44.96697192</v>
      </c>
      <c r="C2410" s="0" t="n">
        <v>944.3064102</v>
      </c>
      <c r="E2410" s="0" t="n">
        <v>2034</v>
      </c>
      <c r="F2410" s="0" t="n">
        <v>20.491408</v>
      </c>
      <c r="G2410" s="0" t="n">
        <v>429.928842</v>
      </c>
      <c r="I2410" s="0" t="n">
        <v>2029</v>
      </c>
      <c r="J2410" s="0" t="n">
        <v>2.02</v>
      </c>
      <c r="K2410" s="0" t="n">
        <v>42.24</v>
      </c>
      <c r="M2410" s="0" t="n">
        <v>2033</v>
      </c>
      <c r="N2410" s="0" t="n">
        <v>59.2</v>
      </c>
      <c r="O2410" s="0" t="n">
        <v>1242.6</v>
      </c>
      <c r="W2410" s="0" t="n">
        <v>2034</v>
      </c>
      <c r="X2410" s="0" t="n">
        <v>1951.124</v>
      </c>
    </row>
    <row r="2411" customFormat="false" ht="15" hidden="false" customHeight="false" outlineLevel="0" collapsed="false">
      <c r="A2411" s="0" t="n">
        <v>2033</v>
      </c>
      <c r="B2411" s="0" t="n">
        <v>14.07623245</v>
      </c>
      <c r="C2411" s="0" t="n">
        <v>295.6008814</v>
      </c>
      <c r="E2411" s="0" t="n">
        <v>2034</v>
      </c>
      <c r="F2411" s="0" t="n">
        <v>159.838139</v>
      </c>
      <c r="G2411" s="0" t="n">
        <v>3351.461429</v>
      </c>
      <c r="I2411" s="0" t="n">
        <v>2029</v>
      </c>
      <c r="J2411" s="0" t="n">
        <v>2.02</v>
      </c>
      <c r="K2411" s="0" t="n">
        <v>42.24</v>
      </c>
      <c r="M2411" s="0" t="n">
        <v>2033</v>
      </c>
      <c r="N2411" s="0" t="n">
        <v>457.2</v>
      </c>
      <c r="O2411" s="0" t="n">
        <v>9586.8</v>
      </c>
      <c r="W2411" s="0" t="n">
        <v>2034</v>
      </c>
      <c r="X2411" s="0" t="n">
        <v>122401.02</v>
      </c>
    </row>
    <row r="2412" customFormat="false" ht="15" hidden="false" customHeight="false" outlineLevel="0" collapsed="false">
      <c r="A2412" s="0" t="n">
        <v>2033</v>
      </c>
      <c r="B2412" s="0" t="n">
        <v>31.47359554</v>
      </c>
      <c r="C2412" s="0" t="n">
        <v>660.9455064</v>
      </c>
      <c r="E2412" s="0" t="n">
        <v>2034</v>
      </c>
      <c r="F2412" s="0" t="n">
        <v>42.918311</v>
      </c>
      <c r="G2412" s="0" t="n">
        <v>899.904521</v>
      </c>
      <c r="I2412" s="0" t="n">
        <v>2029</v>
      </c>
      <c r="J2412" s="0" t="n">
        <v>0</v>
      </c>
      <c r="K2412" s="0" t="n">
        <v>0</v>
      </c>
      <c r="M2412" s="0" t="n">
        <v>2033</v>
      </c>
      <c r="N2412" s="0" t="n">
        <v>50.8</v>
      </c>
      <c r="O2412" s="0" t="n">
        <v>1065.2</v>
      </c>
      <c r="W2412" s="0" t="n">
        <v>2034</v>
      </c>
      <c r="X2412" s="0" t="n">
        <v>30600.255</v>
      </c>
    </row>
    <row r="2413" customFormat="false" ht="15" hidden="false" customHeight="false" outlineLevel="0" collapsed="false">
      <c r="A2413" s="0" t="n">
        <v>2033</v>
      </c>
      <c r="B2413" s="0" t="n">
        <v>187.1033842</v>
      </c>
      <c r="C2413" s="0" t="n">
        <v>3929.171068</v>
      </c>
      <c r="E2413" s="0" t="n">
        <v>2034</v>
      </c>
      <c r="F2413" s="0" t="n">
        <v>17.178707</v>
      </c>
      <c r="G2413" s="0" t="n">
        <v>360.200477</v>
      </c>
      <c r="I2413" s="0" t="n">
        <v>2029</v>
      </c>
      <c r="J2413" s="0" t="n">
        <v>4.04</v>
      </c>
      <c r="K2413" s="0" t="n">
        <v>84.48</v>
      </c>
      <c r="M2413" s="0" t="n">
        <v>2033</v>
      </c>
      <c r="N2413" s="0" t="n">
        <v>152.1</v>
      </c>
      <c r="O2413" s="0" t="n">
        <v>3194.1</v>
      </c>
      <c r="W2413" s="0" t="n">
        <v>2034</v>
      </c>
      <c r="X2413" s="0" t="n">
        <v>9476.208</v>
      </c>
    </row>
    <row r="2414" customFormat="false" ht="15" hidden="false" customHeight="false" outlineLevel="0" collapsed="false">
      <c r="A2414" s="0" t="n">
        <v>2033</v>
      </c>
      <c r="B2414" s="0" t="n">
        <v>47.19300622</v>
      </c>
      <c r="C2414" s="0" t="n">
        <v>991.0531306</v>
      </c>
      <c r="E2414" s="0" t="n">
        <v>2034</v>
      </c>
      <c r="F2414" s="0" t="n">
        <v>2.413049</v>
      </c>
      <c r="G2414" s="0" t="n">
        <v>50.596439</v>
      </c>
      <c r="I2414" s="0" t="n">
        <v>2029</v>
      </c>
      <c r="J2414" s="0" t="n">
        <v>7.07</v>
      </c>
      <c r="K2414" s="0" t="n">
        <v>147.84</v>
      </c>
      <c r="M2414" s="0" t="n">
        <v>2033</v>
      </c>
      <c r="N2414" s="0" t="n">
        <v>16.9</v>
      </c>
      <c r="O2414" s="0" t="n">
        <v>354.9</v>
      </c>
      <c r="W2414" s="0" t="n">
        <v>2034</v>
      </c>
      <c r="X2414" s="0" t="n">
        <v>16780.785</v>
      </c>
    </row>
    <row r="2415" customFormat="false" ht="15" hidden="false" customHeight="false" outlineLevel="0" collapsed="false">
      <c r="A2415" s="0" t="n">
        <v>2033</v>
      </c>
      <c r="B2415" s="0" t="n">
        <v>42.08462576</v>
      </c>
      <c r="C2415" s="0" t="n">
        <v>883.7771409</v>
      </c>
      <c r="E2415" s="0" t="n">
        <v>2034</v>
      </c>
      <c r="F2415" s="0" t="n">
        <v>57.683969</v>
      </c>
      <c r="G2415" s="0" t="n">
        <v>1209.508559</v>
      </c>
      <c r="I2415" s="0" t="n">
        <v>2029</v>
      </c>
      <c r="J2415" s="0" t="n">
        <v>2.02</v>
      </c>
      <c r="K2415" s="0" t="n">
        <v>42.24</v>
      </c>
      <c r="M2415" s="0" t="n">
        <v>2033</v>
      </c>
      <c r="N2415" s="0" t="n">
        <v>1231.2</v>
      </c>
      <c r="O2415" s="0" t="n">
        <v>25855.2</v>
      </c>
      <c r="W2415" s="0" t="n">
        <v>2034</v>
      </c>
      <c r="X2415" s="0" t="n">
        <v>7501.998</v>
      </c>
    </row>
    <row r="2416" customFormat="false" ht="15" hidden="false" customHeight="false" outlineLevel="0" collapsed="false">
      <c r="A2416" s="0" t="n">
        <v>2033</v>
      </c>
      <c r="B2416" s="0" t="n">
        <v>29.26736309</v>
      </c>
      <c r="C2416" s="0" t="n">
        <v>614.614625</v>
      </c>
      <c r="E2416" s="0" t="n">
        <v>2034</v>
      </c>
      <c r="F2416" s="0" t="n">
        <v>2.700413</v>
      </c>
      <c r="G2416" s="0" t="n">
        <v>56.621843</v>
      </c>
      <c r="I2416" s="0" t="n">
        <v>2029</v>
      </c>
      <c r="J2416" s="0" t="n">
        <v>7.07</v>
      </c>
      <c r="K2416" s="0" t="n">
        <v>147.84</v>
      </c>
      <c r="M2416" s="0" t="n">
        <v>2033</v>
      </c>
      <c r="N2416" s="0" t="n">
        <v>136.8</v>
      </c>
      <c r="O2416" s="0" t="n">
        <v>2872.8</v>
      </c>
      <c r="W2416" s="0" t="n">
        <v>2034</v>
      </c>
      <c r="X2416" s="0" t="n">
        <v>2961.315</v>
      </c>
    </row>
    <row r="2417" customFormat="false" ht="15" hidden="false" customHeight="false" outlineLevel="0" collapsed="false">
      <c r="A2417" s="0" t="n">
        <v>2033</v>
      </c>
      <c r="B2417" s="0" t="n">
        <v>21.77004313</v>
      </c>
      <c r="C2417" s="0" t="n">
        <v>457.1709058</v>
      </c>
      <c r="E2417" s="0" t="n">
        <v>2034</v>
      </c>
      <c r="F2417" s="0" t="n">
        <v>14.765658</v>
      </c>
      <c r="G2417" s="0" t="n">
        <v>309.604038</v>
      </c>
      <c r="I2417" s="0" t="n">
        <v>2029</v>
      </c>
      <c r="J2417" s="0" t="n">
        <v>340.8</v>
      </c>
      <c r="K2417" s="0" t="n">
        <v>7160.64</v>
      </c>
      <c r="M2417" s="0" t="n">
        <v>2033</v>
      </c>
      <c r="N2417" s="0" t="n">
        <v>115.2</v>
      </c>
      <c r="O2417" s="0" t="n">
        <v>2411.1</v>
      </c>
      <c r="W2417" s="0" t="n">
        <v>2034</v>
      </c>
      <c r="X2417" s="0" t="n">
        <v>4343.262</v>
      </c>
    </row>
    <row r="2418" customFormat="false" ht="15" hidden="false" customHeight="false" outlineLevel="0" collapsed="false">
      <c r="A2418" s="0" t="n">
        <v>2033</v>
      </c>
      <c r="B2418" s="0" t="n">
        <v>9.675574726</v>
      </c>
      <c r="C2418" s="0" t="n">
        <v>203.1870692</v>
      </c>
      <c r="E2418" s="0" t="n">
        <v>2034</v>
      </c>
      <c r="F2418" s="0" t="n">
        <v>13.501754</v>
      </c>
      <c r="G2418" s="0" t="n">
        <v>283.102694</v>
      </c>
      <c r="I2418" s="0" t="n">
        <v>2029</v>
      </c>
      <c r="J2418" s="0" t="n">
        <v>113.6</v>
      </c>
      <c r="K2418" s="0" t="n">
        <v>2386.88</v>
      </c>
      <c r="M2418" s="0" t="n">
        <v>2033</v>
      </c>
      <c r="N2418" s="0" t="n">
        <v>12.8</v>
      </c>
      <c r="O2418" s="0" t="n">
        <v>267.9</v>
      </c>
      <c r="W2418" s="0" t="n">
        <v>2034</v>
      </c>
      <c r="X2418" s="0" t="n">
        <v>3356.157</v>
      </c>
    </row>
    <row r="2419" customFormat="false" ht="15" hidden="false" customHeight="false" outlineLevel="0" collapsed="false">
      <c r="A2419" s="0" t="n">
        <v>2033</v>
      </c>
      <c r="B2419" s="0" t="n">
        <v>35.73750241</v>
      </c>
      <c r="C2419" s="0" t="n">
        <v>750.4875507</v>
      </c>
      <c r="E2419" s="0" t="n">
        <v>2034</v>
      </c>
      <c r="F2419" s="0" t="n">
        <v>224.081764</v>
      </c>
      <c r="G2419" s="0" t="n">
        <v>4703.147299</v>
      </c>
      <c r="I2419" s="0" t="n">
        <v>2029</v>
      </c>
      <c r="J2419" s="0" t="n">
        <v>49.7</v>
      </c>
      <c r="K2419" s="0" t="n">
        <v>1044.26</v>
      </c>
      <c r="M2419" s="0" t="n">
        <v>2034</v>
      </c>
      <c r="N2419" s="0" t="n">
        <v>6.84</v>
      </c>
      <c r="O2419" s="0" t="n">
        <v>142.12</v>
      </c>
      <c r="W2419" s="0" t="n">
        <v>2034</v>
      </c>
      <c r="X2419" s="0" t="n">
        <v>54625.72</v>
      </c>
    </row>
    <row r="2420" customFormat="false" ht="15" hidden="false" customHeight="false" outlineLevel="0" collapsed="false">
      <c r="A2420" s="0" t="n">
        <v>2033</v>
      </c>
      <c r="B2420" s="0" t="n">
        <v>11.1870862</v>
      </c>
      <c r="C2420" s="0" t="n">
        <v>234.9288103</v>
      </c>
      <c r="E2420" s="0" t="n">
        <v>2034</v>
      </c>
      <c r="F2420" s="0" t="n">
        <v>60.168436</v>
      </c>
      <c r="G2420" s="0" t="n">
        <v>1262.847151</v>
      </c>
      <c r="I2420" s="0" t="n">
        <v>2029</v>
      </c>
      <c r="J2420" s="0" t="n">
        <v>28.4</v>
      </c>
      <c r="K2420" s="0" t="n">
        <v>596.72</v>
      </c>
      <c r="M2420" s="0" t="n">
        <v>2034</v>
      </c>
      <c r="N2420" s="0" t="n">
        <v>4.5</v>
      </c>
      <c r="O2420" s="0" t="n">
        <v>93.5</v>
      </c>
      <c r="W2420" s="0" t="n">
        <v>2034</v>
      </c>
      <c r="X2420" s="0" t="n">
        <v>13656.43</v>
      </c>
    </row>
    <row r="2421" customFormat="false" ht="15" hidden="false" customHeight="false" outlineLevel="0" collapsed="false">
      <c r="A2421" s="0" t="n">
        <v>2033</v>
      </c>
      <c r="B2421" s="0" t="n">
        <v>25.0136411</v>
      </c>
      <c r="C2421" s="0" t="n">
        <v>525.286463</v>
      </c>
      <c r="E2421" s="0" t="n">
        <v>2034</v>
      </c>
      <c r="F2421" s="0" t="n">
        <v>24.083332</v>
      </c>
      <c r="G2421" s="0" t="n">
        <v>505.473787</v>
      </c>
      <c r="I2421" s="0" t="n">
        <v>2029</v>
      </c>
      <c r="J2421" s="0" t="n">
        <v>28.4</v>
      </c>
      <c r="K2421" s="0" t="n">
        <v>596.72</v>
      </c>
      <c r="M2421" s="0" t="n">
        <v>2034</v>
      </c>
      <c r="N2421" s="0" t="n">
        <v>1.8</v>
      </c>
      <c r="O2421" s="0" t="n">
        <v>37.4</v>
      </c>
      <c r="W2421" s="0" t="n">
        <v>2034</v>
      </c>
      <c r="X2421" s="0" t="n">
        <v>4229.088</v>
      </c>
    </row>
    <row r="2422" customFormat="false" ht="15" hidden="false" customHeight="false" outlineLevel="0" collapsed="false">
      <c r="A2422" s="0" t="n">
        <v>2033</v>
      </c>
      <c r="B2422" s="0" t="n">
        <v>264.4290982</v>
      </c>
      <c r="C2422" s="0" t="n">
        <v>5553.011062</v>
      </c>
      <c r="E2422" s="0" t="n">
        <v>2034</v>
      </c>
      <c r="F2422" s="0" t="n">
        <v>3.382924</v>
      </c>
      <c r="G2422" s="0" t="n">
        <v>71.002609</v>
      </c>
      <c r="I2422" s="0" t="n">
        <v>2029</v>
      </c>
      <c r="J2422" s="0" t="n">
        <v>14.2</v>
      </c>
      <c r="K2422" s="0" t="n">
        <v>298.36</v>
      </c>
      <c r="M2422" s="0" t="n">
        <v>2034</v>
      </c>
      <c r="N2422" s="0" t="n">
        <v>1.8</v>
      </c>
      <c r="O2422" s="0" t="n">
        <v>37.4</v>
      </c>
      <c r="W2422" s="0" t="n">
        <v>2034</v>
      </c>
      <c r="X2422" s="0" t="n">
        <v>7489.01</v>
      </c>
    </row>
    <row r="2423" customFormat="false" ht="15" hidden="false" customHeight="false" outlineLevel="0" collapsed="false">
      <c r="A2423" s="0" t="n">
        <v>2033</v>
      </c>
      <c r="B2423" s="0" t="n">
        <v>66.69683783</v>
      </c>
      <c r="C2423" s="0" t="n">
        <v>1400.633594</v>
      </c>
      <c r="E2423" s="0" t="n">
        <v>2034</v>
      </c>
      <c r="F2423" s="0" t="n">
        <v>80.868844</v>
      </c>
      <c r="G2423" s="0" t="n">
        <v>1697.318329</v>
      </c>
      <c r="I2423" s="0" t="n">
        <v>2029</v>
      </c>
      <c r="J2423" s="0" t="n">
        <v>14.2</v>
      </c>
      <c r="K2423" s="0" t="n">
        <v>298.36</v>
      </c>
      <c r="M2423" s="0" t="n">
        <v>2034</v>
      </c>
      <c r="N2423" s="0" t="n">
        <v>1.08</v>
      </c>
      <c r="O2423" s="0" t="n">
        <v>22.44</v>
      </c>
      <c r="W2423" s="0" t="n">
        <v>2034</v>
      </c>
      <c r="X2423" s="0" t="n">
        <v>3348.028</v>
      </c>
    </row>
    <row r="2424" customFormat="false" ht="15" hidden="false" customHeight="false" outlineLevel="0" collapsed="false">
      <c r="A2424" s="0" t="n">
        <v>2033</v>
      </c>
      <c r="B2424" s="0" t="n">
        <v>59.47727607</v>
      </c>
      <c r="C2424" s="0" t="n">
        <v>1249.022798</v>
      </c>
      <c r="E2424" s="0" t="n">
        <v>2034</v>
      </c>
      <c r="F2424" s="0" t="n">
        <v>3.785788</v>
      </c>
      <c r="G2424" s="0" t="n">
        <v>79.458133</v>
      </c>
      <c r="I2424" s="0" t="n">
        <v>2029</v>
      </c>
      <c r="J2424" s="0" t="n">
        <v>28.4</v>
      </c>
      <c r="K2424" s="0" t="n">
        <v>596.72</v>
      </c>
      <c r="M2424" s="0" t="n">
        <v>2034</v>
      </c>
      <c r="N2424" s="0" t="n">
        <v>0.9</v>
      </c>
      <c r="O2424" s="0" t="n">
        <v>18.7</v>
      </c>
      <c r="W2424" s="0" t="n">
        <v>2034</v>
      </c>
      <c r="X2424" s="0" t="n">
        <v>1321.59</v>
      </c>
    </row>
    <row r="2425" customFormat="false" ht="15" hidden="false" customHeight="false" outlineLevel="0" collapsed="false">
      <c r="A2425" s="0" t="n">
        <v>2033</v>
      </c>
      <c r="B2425" s="0" t="n">
        <v>41.36292062</v>
      </c>
      <c r="C2425" s="0" t="n">
        <v>868.621333</v>
      </c>
      <c r="E2425" s="0" t="n">
        <v>2034</v>
      </c>
      <c r="F2425" s="0" t="n">
        <v>20.700408</v>
      </c>
      <c r="G2425" s="0" t="n">
        <v>434.471178</v>
      </c>
      <c r="I2425" s="0" t="n">
        <v>2029</v>
      </c>
      <c r="J2425" s="0" t="n">
        <v>49.7</v>
      </c>
      <c r="K2425" s="0" t="n">
        <v>1044.26</v>
      </c>
      <c r="M2425" s="0" t="n">
        <v>2034</v>
      </c>
      <c r="N2425" s="0" t="n">
        <v>0.72</v>
      </c>
      <c r="O2425" s="0" t="n">
        <v>14.96</v>
      </c>
      <c r="W2425" s="0" t="n">
        <v>2034</v>
      </c>
      <c r="X2425" s="0" t="n">
        <v>1938.332</v>
      </c>
    </row>
    <row r="2426" customFormat="false" ht="15" hidden="false" customHeight="false" outlineLevel="0" collapsed="false">
      <c r="A2426" s="0" t="n">
        <v>2033</v>
      </c>
      <c r="B2426" s="0" t="n">
        <v>30.7671232</v>
      </c>
      <c r="C2426" s="0" t="n">
        <v>646.1095872</v>
      </c>
      <c r="E2426" s="0" t="n">
        <v>2034</v>
      </c>
      <c r="F2426" s="0" t="n">
        <v>18.928504</v>
      </c>
      <c r="G2426" s="0" t="n">
        <v>397.281514</v>
      </c>
      <c r="I2426" s="0" t="n">
        <v>2029</v>
      </c>
      <c r="J2426" s="0" t="n">
        <v>21.3</v>
      </c>
      <c r="K2426" s="0" t="n">
        <v>447.54</v>
      </c>
      <c r="M2426" s="0" t="n">
        <v>2034</v>
      </c>
      <c r="N2426" s="0" t="n">
        <v>0.36</v>
      </c>
      <c r="O2426" s="0" t="n">
        <v>7.48</v>
      </c>
      <c r="W2426" s="0" t="n">
        <v>2034</v>
      </c>
      <c r="X2426" s="0" t="n">
        <v>1497.802</v>
      </c>
    </row>
    <row r="2427" customFormat="false" ht="15" hidden="false" customHeight="false" outlineLevel="0" collapsed="false">
      <c r="A2427" s="0" t="n">
        <v>2033</v>
      </c>
      <c r="B2427" s="0" t="n">
        <v>13.67427698</v>
      </c>
      <c r="C2427" s="0" t="n">
        <v>287.1598165</v>
      </c>
      <c r="E2427" s="0" t="n">
        <v>2034</v>
      </c>
      <c r="F2427" s="0" t="n">
        <v>177.826354</v>
      </c>
      <c r="G2427" s="0" t="n">
        <v>3726.13025</v>
      </c>
      <c r="I2427" s="0" t="n">
        <v>2029</v>
      </c>
      <c r="J2427" s="0" t="n">
        <v>21.3</v>
      </c>
      <c r="K2427" s="0" t="n">
        <v>447.54</v>
      </c>
      <c r="M2427" s="0" t="n">
        <v>2034</v>
      </c>
      <c r="N2427" s="0" t="n">
        <v>17.86</v>
      </c>
      <c r="O2427" s="0" t="n">
        <v>371.26</v>
      </c>
      <c r="W2427" s="0" t="n">
        <v>2034</v>
      </c>
      <c r="X2427" s="0" t="n">
        <v>190092</v>
      </c>
    </row>
    <row r="2428" customFormat="false" ht="15" hidden="false" customHeight="false" outlineLevel="0" collapsed="false">
      <c r="A2428" s="0" t="n">
        <v>2033</v>
      </c>
      <c r="B2428" s="0" t="n">
        <v>50.50702623</v>
      </c>
      <c r="C2428" s="0" t="n">
        <v>1060.647551</v>
      </c>
      <c r="E2428" s="0" t="n">
        <v>2034</v>
      </c>
      <c r="F2428" s="0" t="n">
        <v>47.748346</v>
      </c>
      <c r="G2428" s="0" t="n">
        <v>1000.50725</v>
      </c>
      <c r="I2428" s="0" t="n">
        <v>2029</v>
      </c>
      <c r="J2428" s="0" t="n">
        <v>62.92</v>
      </c>
      <c r="K2428" s="0" t="n">
        <v>1317.16</v>
      </c>
      <c r="M2428" s="0" t="n">
        <v>2034</v>
      </c>
      <c r="N2428" s="0" t="n">
        <v>11.75</v>
      </c>
      <c r="O2428" s="0" t="n">
        <v>244.25</v>
      </c>
      <c r="W2428" s="0" t="n">
        <v>2034</v>
      </c>
      <c r="X2428" s="0" t="n">
        <v>47523</v>
      </c>
    </row>
    <row r="2429" customFormat="false" ht="15" hidden="false" customHeight="false" outlineLevel="0" collapsed="false">
      <c r="A2429" s="0" t="n">
        <v>2033</v>
      </c>
      <c r="B2429" s="0" t="n">
        <v>15.81046291</v>
      </c>
      <c r="C2429" s="0" t="n">
        <v>332.0197211</v>
      </c>
      <c r="E2429" s="0" t="n">
        <v>2034</v>
      </c>
      <c r="F2429" s="0" t="n">
        <v>19.112002</v>
      </c>
      <c r="G2429" s="0" t="n">
        <v>400.46825</v>
      </c>
      <c r="I2429" s="0" t="n">
        <v>2029</v>
      </c>
      <c r="J2429" s="0" t="n">
        <v>9.68</v>
      </c>
      <c r="K2429" s="0" t="n">
        <v>202.64</v>
      </c>
      <c r="M2429" s="0" t="n">
        <v>2034</v>
      </c>
      <c r="N2429" s="0" t="n">
        <v>4.7</v>
      </c>
      <c r="O2429" s="0" t="n">
        <v>97.7</v>
      </c>
      <c r="W2429" s="0" t="n">
        <v>2034</v>
      </c>
      <c r="X2429" s="0" t="n">
        <v>14716.8</v>
      </c>
    </row>
    <row r="2430" customFormat="false" ht="15" hidden="false" customHeight="false" outlineLevel="0" collapsed="false">
      <c r="A2430" s="0" t="n">
        <v>2033</v>
      </c>
      <c r="B2430" s="0" t="n">
        <v>35.35122887</v>
      </c>
      <c r="C2430" s="0" t="n">
        <v>742.3758062</v>
      </c>
      <c r="E2430" s="0" t="n">
        <v>2034</v>
      </c>
      <c r="F2430" s="0" t="n">
        <v>2.684614</v>
      </c>
      <c r="G2430" s="0" t="n">
        <v>56.25275</v>
      </c>
      <c r="I2430" s="0" t="n">
        <v>2029</v>
      </c>
      <c r="J2430" s="0" t="n">
        <v>7.26</v>
      </c>
      <c r="K2430" s="0" t="n">
        <v>151.98</v>
      </c>
      <c r="M2430" s="0" t="n">
        <v>2034</v>
      </c>
      <c r="N2430" s="0" t="n">
        <v>4.7</v>
      </c>
      <c r="O2430" s="0" t="n">
        <v>97.7</v>
      </c>
      <c r="W2430" s="0" t="n">
        <v>2034</v>
      </c>
      <c r="X2430" s="0" t="n">
        <v>26061</v>
      </c>
    </row>
    <row r="2431" customFormat="false" ht="15" hidden="false" customHeight="false" outlineLevel="0" collapsed="false">
      <c r="A2431" s="0" t="n">
        <v>2033</v>
      </c>
      <c r="B2431" s="0" t="n">
        <v>332.4074066</v>
      </c>
      <c r="C2431" s="0" t="n">
        <v>6980.555538</v>
      </c>
      <c r="E2431" s="0" t="n">
        <v>2034</v>
      </c>
      <c r="F2431" s="0" t="n">
        <v>64.175734</v>
      </c>
      <c r="G2431" s="0" t="n">
        <v>1344.72275</v>
      </c>
      <c r="I2431" s="0" t="n">
        <v>2029</v>
      </c>
      <c r="J2431" s="0" t="n">
        <v>12.1</v>
      </c>
      <c r="K2431" s="0" t="n">
        <v>253.3</v>
      </c>
      <c r="M2431" s="0" t="n">
        <v>2034</v>
      </c>
      <c r="N2431" s="0" t="n">
        <v>2.82</v>
      </c>
      <c r="O2431" s="0" t="n">
        <v>58.62</v>
      </c>
      <c r="W2431" s="0" t="n">
        <v>2034</v>
      </c>
      <c r="X2431" s="0" t="n">
        <v>11650.8</v>
      </c>
    </row>
    <row r="2432" customFormat="false" ht="15" hidden="false" customHeight="false" outlineLevel="0" collapsed="false">
      <c r="A2432" s="0" t="n">
        <v>2033</v>
      </c>
      <c r="B2432" s="0" t="n">
        <v>83.84297735</v>
      </c>
      <c r="C2432" s="0" t="n">
        <v>1760.702524</v>
      </c>
      <c r="E2432" s="0" t="n">
        <v>2034</v>
      </c>
      <c r="F2432" s="0" t="n">
        <v>3.004318</v>
      </c>
      <c r="G2432" s="0" t="n">
        <v>62.95175</v>
      </c>
      <c r="I2432" s="0" t="n">
        <v>2029</v>
      </c>
      <c r="J2432" s="0" t="n">
        <v>2.42</v>
      </c>
      <c r="K2432" s="0" t="n">
        <v>50.66</v>
      </c>
      <c r="M2432" s="0" t="n">
        <v>2034</v>
      </c>
      <c r="N2432" s="0" t="n">
        <v>2.35</v>
      </c>
      <c r="O2432" s="0" t="n">
        <v>48.85</v>
      </c>
      <c r="W2432" s="0" t="n">
        <v>2034</v>
      </c>
      <c r="X2432" s="0" t="n">
        <v>4599</v>
      </c>
    </row>
    <row r="2433" customFormat="false" ht="15" hidden="false" customHeight="false" outlineLevel="0" collapsed="false">
      <c r="A2433" s="0" t="n">
        <v>2033</v>
      </c>
      <c r="B2433" s="0" t="n">
        <v>74.76744135</v>
      </c>
      <c r="C2433" s="0" t="n">
        <v>1570.116268</v>
      </c>
      <c r="E2433" s="0" t="n">
        <v>2034</v>
      </c>
      <c r="F2433" s="0" t="n">
        <v>16.427388</v>
      </c>
      <c r="G2433" s="0" t="n">
        <v>344.2155</v>
      </c>
      <c r="I2433" s="0" t="n">
        <v>2029</v>
      </c>
      <c r="J2433" s="0" t="n">
        <v>2.42</v>
      </c>
      <c r="K2433" s="0" t="n">
        <v>50.66</v>
      </c>
      <c r="M2433" s="0" t="n">
        <v>2034</v>
      </c>
      <c r="N2433" s="0" t="n">
        <v>1.88</v>
      </c>
      <c r="O2433" s="0" t="n">
        <v>39.08</v>
      </c>
      <c r="W2433" s="0" t="n">
        <v>2034</v>
      </c>
      <c r="X2433" s="0" t="n">
        <v>6745.2</v>
      </c>
    </row>
    <row r="2434" customFormat="false" ht="15" hidden="false" customHeight="false" outlineLevel="0" collapsed="false">
      <c r="A2434" s="0" t="n">
        <v>2033</v>
      </c>
      <c r="B2434" s="0" t="n">
        <v>51.99632441</v>
      </c>
      <c r="C2434" s="0" t="n">
        <v>1091.922813</v>
      </c>
      <c r="E2434" s="0" t="n">
        <v>2034</v>
      </c>
      <c r="F2434" s="0" t="n">
        <v>15.021244</v>
      </c>
      <c r="G2434" s="0" t="n">
        <v>314.7515</v>
      </c>
      <c r="I2434" s="0" t="n">
        <v>2029</v>
      </c>
      <c r="J2434" s="0" t="n">
        <v>0</v>
      </c>
      <c r="K2434" s="0" t="n">
        <v>0</v>
      </c>
      <c r="M2434" s="0" t="n">
        <v>2034</v>
      </c>
      <c r="N2434" s="0" t="n">
        <v>0.94</v>
      </c>
      <c r="O2434" s="0" t="n">
        <v>19.54</v>
      </c>
      <c r="W2434" s="0" t="n">
        <v>2034</v>
      </c>
      <c r="X2434" s="0" t="n">
        <v>5212.2</v>
      </c>
    </row>
    <row r="2435" customFormat="false" ht="15" hidden="false" customHeight="false" outlineLevel="0" collapsed="false">
      <c r="A2435" s="0" t="n">
        <v>2033</v>
      </c>
      <c r="B2435" s="0" t="n">
        <v>38.67660443</v>
      </c>
      <c r="C2435" s="0" t="n">
        <v>812.208693</v>
      </c>
      <c r="E2435" s="0" t="n">
        <v>2034</v>
      </c>
      <c r="F2435" s="0" t="n">
        <v>261.600041</v>
      </c>
      <c r="G2435" s="0" t="n">
        <v>5493.600861</v>
      </c>
      <c r="I2435" s="0" t="n">
        <v>2029</v>
      </c>
      <c r="J2435" s="0" t="n">
        <v>4.84</v>
      </c>
      <c r="K2435" s="0" t="n">
        <v>101.32</v>
      </c>
      <c r="M2435" s="0" t="n">
        <v>2034</v>
      </c>
      <c r="N2435" s="0" t="n">
        <v>67.26</v>
      </c>
      <c r="O2435" s="0" t="n">
        <v>1410.18</v>
      </c>
      <c r="W2435" s="0" t="n">
        <v>2034</v>
      </c>
      <c r="X2435" s="0" t="n">
        <v>5498.78</v>
      </c>
    </row>
    <row r="2436" customFormat="false" ht="15" hidden="false" customHeight="false" outlineLevel="0" collapsed="false">
      <c r="A2436" s="0" t="n">
        <v>2033</v>
      </c>
      <c r="B2436" s="0" t="n">
        <v>17.18960197</v>
      </c>
      <c r="C2436" s="0" t="n">
        <v>360.9816414</v>
      </c>
      <c r="E2436" s="0" t="n">
        <v>2034</v>
      </c>
      <c r="F2436" s="0" t="n">
        <v>70.242509</v>
      </c>
      <c r="G2436" s="0" t="n">
        <v>1475.092689</v>
      </c>
      <c r="I2436" s="0" t="n">
        <v>2029</v>
      </c>
      <c r="J2436" s="0" t="n">
        <v>8.47</v>
      </c>
      <c r="K2436" s="0" t="n">
        <v>177.31</v>
      </c>
      <c r="M2436" s="0" t="n">
        <v>2034</v>
      </c>
      <c r="N2436" s="0" t="n">
        <v>44.25</v>
      </c>
      <c r="O2436" s="0" t="n">
        <v>927.75</v>
      </c>
      <c r="W2436" s="0" t="n">
        <v>2034</v>
      </c>
      <c r="X2436" s="0" t="n">
        <v>1374.695</v>
      </c>
    </row>
    <row r="2437" customFormat="false" ht="15" hidden="false" customHeight="false" outlineLevel="0" collapsed="false">
      <c r="A2437" s="0" t="n">
        <v>2033</v>
      </c>
      <c r="B2437" s="0" t="n">
        <v>63.49115781</v>
      </c>
      <c r="C2437" s="0" t="n">
        <v>1333.314314</v>
      </c>
      <c r="E2437" s="0" t="n">
        <v>2034</v>
      </c>
      <c r="F2437" s="0" t="n">
        <v>28.115633</v>
      </c>
      <c r="G2437" s="0" t="n">
        <v>590.428293</v>
      </c>
      <c r="I2437" s="0" t="n">
        <v>2029</v>
      </c>
      <c r="J2437" s="0" t="n">
        <v>2.42</v>
      </c>
      <c r="K2437" s="0" t="n">
        <v>50.66</v>
      </c>
      <c r="M2437" s="0" t="n">
        <v>2034</v>
      </c>
      <c r="N2437" s="0" t="n">
        <v>17.7</v>
      </c>
      <c r="O2437" s="0" t="n">
        <v>371.1</v>
      </c>
      <c r="W2437" s="0" t="n">
        <v>2034</v>
      </c>
      <c r="X2437" s="0" t="n">
        <v>425.712</v>
      </c>
    </row>
    <row r="2438" customFormat="false" ht="15" hidden="false" customHeight="false" outlineLevel="0" collapsed="false">
      <c r="A2438" s="0" t="n">
        <v>2033</v>
      </c>
      <c r="B2438" s="0" t="n">
        <v>19.8749495</v>
      </c>
      <c r="C2438" s="0" t="n">
        <v>417.3739394</v>
      </c>
      <c r="E2438" s="0" t="n">
        <v>2034</v>
      </c>
      <c r="F2438" s="0" t="n">
        <v>3.949331</v>
      </c>
      <c r="G2438" s="0" t="n">
        <v>82.935951</v>
      </c>
      <c r="I2438" s="0" t="n">
        <v>2029</v>
      </c>
      <c r="J2438" s="0" t="n">
        <v>8.47</v>
      </c>
      <c r="K2438" s="0" t="n">
        <v>177.31</v>
      </c>
      <c r="M2438" s="0" t="n">
        <v>2034</v>
      </c>
      <c r="N2438" s="0" t="n">
        <v>17.7</v>
      </c>
      <c r="O2438" s="0" t="n">
        <v>371.1</v>
      </c>
      <c r="W2438" s="0" t="n">
        <v>2034</v>
      </c>
      <c r="X2438" s="0" t="n">
        <v>753.865</v>
      </c>
    </row>
    <row r="2439" customFormat="false" ht="15" hidden="false" customHeight="false" outlineLevel="0" collapsed="false">
      <c r="A2439" s="0" t="n">
        <v>2033</v>
      </c>
      <c r="B2439" s="0" t="n">
        <v>44.4391725</v>
      </c>
      <c r="C2439" s="0" t="n">
        <v>933.2226224</v>
      </c>
      <c r="E2439" s="0" t="n">
        <v>2034</v>
      </c>
      <c r="F2439" s="0" t="n">
        <v>94.408811</v>
      </c>
      <c r="G2439" s="0" t="n">
        <v>1982.585031</v>
      </c>
      <c r="I2439" s="0" t="n">
        <v>2029</v>
      </c>
      <c r="J2439" s="0" t="n">
        <v>217.44</v>
      </c>
      <c r="K2439" s="0" t="n">
        <v>4566.72</v>
      </c>
      <c r="M2439" s="0" t="n">
        <v>2034</v>
      </c>
      <c r="N2439" s="0" t="n">
        <v>10.62</v>
      </c>
      <c r="O2439" s="0" t="n">
        <v>222.66</v>
      </c>
      <c r="W2439" s="0" t="n">
        <v>2034</v>
      </c>
      <c r="X2439" s="0" t="n">
        <v>337.022</v>
      </c>
    </row>
    <row r="2440" customFormat="false" ht="15" hidden="false" customHeight="false" outlineLevel="0" collapsed="false">
      <c r="A2440" s="0" t="n">
        <v>2033</v>
      </c>
      <c r="B2440" s="0" t="n">
        <v>1085.106465</v>
      </c>
      <c r="C2440" s="0" t="n">
        <v>22787.23576</v>
      </c>
      <c r="E2440" s="0" t="n">
        <v>2034</v>
      </c>
      <c r="F2440" s="0" t="n">
        <v>4.419647</v>
      </c>
      <c r="G2440" s="0" t="n">
        <v>92.812587</v>
      </c>
      <c r="I2440" s="0" t="n">
        <v>2029</v>
      </c>
      <c r="J2440" s="0" t="n">
        <v>72.48</v>
      </c>
      <c r="K2440" s="0" t="n">
        <v>1522.24</v>
      </c>
      <c r="M2440" s="0" t="n">
        <v>2034</v>
      </c>
      <c r="N2440" s="0" t="n">
        <v>8.85</v>
      </c>
      <c r="O2440" s="0" t="n">
        <v>185.55</v>
      </c>
      <c r="W2440" s="0" t="n">
        <v>2034</v>
      </c>
      <c r="X2440" s="0" t="n">
        <v>133.035</v>
      </c>
    </row>
    <row r="2441" customFormat="false" ht="15" hidden="false" customHeight="false" outlineLevel="0" collapsed="false">
      <c r="A2441" s="0" t="n">
        <v>2033</v>
      </c>
      <c r="B2441" s="0" t="n">
        <v>273.6959375</v>
      </c>
      <c r="C2441" s="0" t="n">
        <v>5747.614687</v>
      </c>
      <c r="E2441" s="0" t="n">
        <v>2034</v>
      </c>
      <c r="F2441" s="0" t="n">
        <v>24.166302</v>
      </c>
      <c r="G2441" s="0" t="n">
        <v>507.492342</v>
      </c>
      <c r="I2441" s="0" t="n">
        <v>2029</v>
      </c>
      <c r="J2441" s="0" t="n">
        <v>31.71</v>
      </c>
      <c r="K2441" s="0" t="n">
        <v>665.98</v>
      </c>
      <c r="M2441" s="0" t="n">
        <v>2034</v>
      </c>
      <c r="N2441" s="0" t="n">
        <v>7.08</v>
      </c>
      <c r="O2441" s="0" t="n">
        <v>148.44</v>
      </c>
      <c r="W2441" s="0" t="n">
        <v>2034</v>
      </c>
      <c r="X2441" s="0" t="n">
        <v>195.118</v>
      </c>
    </row>
    <row r="2442" customFormat="false" ht="15" hidden="false" customHeight="false" outlineLevel="0" collapsed="false">
      <c r="A2442" s="0" t="n">
        <v>2033</v>
      </c>
      <c r="B2442" s="0" t="n">
        <v>244.0698744</v>
      </c>
      <c r="C2442" s="0" t="n">
        <v>5125.467362</v>
      </c>
      <c r="E2442" s="0" t="n">
        <v>2034</v>
      </c>
      <c r="F2442" s="0" t="n">
        <v>22.097726</v>
      </c>
      <c r="G2442" s="0" t="n">
        <v>464.052246</v>
      </c>
      <c r="I2442" s="0" t="n">
        <v>2029</v>
      </c>
      <c r="J2442" s="0" t="n">
        <v>18.12</v>
      </c>
      <c r="K2442" s="0" t="n">
        <v>380.56</v>
      </c>
      <c r="M2442" s="0" t="n">
        <v>2034</v>
      </c>
      <c r="N2442" s="0" t="n">
        <v>3.54</v>
      </c>
      <c r="O2442" s="0" t="n">
        <v>74.22</v>
      </c>
      <c r="W2442" s="0" t="n">
        <v>2034</v>
      </c>
      <c r="X2442" s="0" t="n">
        <v>150.773</v>
      </c>
    </row>
    <row r="2443" customFormat="false" ht="15" hidden="false" customHeight="false" outlineLevel="0" collapsed="false">
      <c r="A2443" s="0" t="n">
        <v>2033</v>
      </c>
      <c r="B2443" s="0" t="n">
        <v>169.736133</v>
      </c>
      <c r="C2443" s="0" t="n">
        <v>3564.458793</v>
      </c>
      <c r="E2443" s="0" t="n">
        <v>2034</v>
      </c>
      <c r="F2443" s="0" t="n">
        <v>752.421336</v>
      </c>
      <c r="G2443" s="0" t="n">
        <v>15796.73646</v>
      </c>
      <c r="I2443" s="0" t="n">
        <v>2029</v>
      </c>
      <c r="J2443" s="0" t="n">
        <v>18.12</v>
      </c>
      <c r="K2443" s="0" t="n">
        <v>380.56</v>
      </c>
      <c r="M2443" s="0" t="n">
        <v>2034</v>
      </c>
      <c r="N2443" s="0" t="n">
        <v>7.6</v>
      </c>
      <c r="O2443" s="0" t="n">
        <v>155.04</v>
      </c>
      <c r="W2443" s="0" t="n">
        <v>2034</v>
      </c>
      <c r="X2443" s="0" t="n">
        <v>7848.58</v>
      </c>
    </row>
    <row r="2444" customFormat="false" ht="15" hidden="false" customHeight="false" outlineLevel="0" collapsed="false">
      <c r="A2444" s="0" t="n">
        <v>2033</v>
      </c>
      <c r="B2444" s="0" t="n">
        <v>126.2554103</v>
      </c>
      <c r="C2444" s="0" t="n">
        <v>2651.363617</v>
      </c>
      <c r="E2444" s="0" t="n">
        <v>2034</v>
      </c>
      <c r="F2444" s="0" t="n">
        <v>202.033464</v>
      </c>
      <c r="G2444" s="0" t="n">
        <v>4241.598736</v>
      </c>
      <c r="I2444" s="0" t="n">
        <v>2029</v>
      </c>
      <c r="J2444" s="0" t="n">
        <v>9.06</v>
      </c>
      <c r="K2444" s="0" t="n">
        <v>190.28</v>
      </c>
      <c r="M2444" s="0" t="n">
        <v>2034</v>
      </c>
      <c r="N2444" s="0" t="n">
        <v>5</v>
      </c>
      <c r="O2444" s="0" t="n">
        <v>102</v>
      </c>
      <c r="W2444" s="0" t="n">
        <v>2034</v>
      </c>
      <c r="X2444" s="0" t="n">
        <v>1962.145</v>
      </c>
    </row>
    <row r="2445" customFormat="false" ht="15" hidden="false" customHeight="false" outlineLevel="0" collapsed="false">
      <c r="A2445" s="0" t="n">
        <v>2033</v>
      </c>
      <c r="B2445" s="0" t="n">
        <v>56.1135157</v>
      </c>
      <c r="C2445" s="0" t="n">
        <v>1178.38383</v>
      </c>
      <c r="E2445" s="0" t="n">
        <v>2034</v>
      </c>
      <c r="F2445" s="0" t="n">
        <v>80.866968</v>
      </c>
      <c r="G2445" s="0" t="n">
        <v>1697.764432</v>
      </c>
      <c r="I2445" s="0" t="n">
        <v>2029</v>
      </c>
      <c r="J2445" s="0" t="n">
        <v>9.06</v>
      </c>
      <c r="K2445" s="0" t="n">
        <v>190.28</v>
      </c>
      <c r="M2445" s="0" t="n">
        <v>2034</v>
      </c>
      <c r="N2445" s="0" t="n">
        <v>2</v>
      </c>
      <c r="O2445" s="0" t="n">
        <v>40.8</v>
      </c>
      <c r="W2445" s="0" t="n">
        <v>2034</v>
      </c>
      <c r="X2445" s="0" t="n">
        <v>607.632</v>
      </c>
    </row>
    <row r="2446" customFormat="false" ht="15" hidden="false" customHeight="false" outlineLevel="0" collapsed="false">
      <c r="A2446" s="0" t="n">
        <v>2033</v>
      </c>
      <c r="B2446" s="0" t="n">
        <v>207.2597194</v>
      </c>
      <c r="C2446" s="0" t="n">
        <v>4352.454107</v>
      </c>
      <c r="E2446" s="0" t="n">
        <v>2034</v>
      </c>
      <c r="F2446" s="0" t="n">
        <v>11.359176</v>
      </c>
      <c r="G2446" s="0" t="n">
        <v>238.480624</v>
      </c>
      <c r="I2446" s="0" t="n">
        <v>2029</v>
      </c>
      <c r="J2446" s="0" t="n">
        <v>18.12</v>
      </c>
      <c r="K2446" s="0" t="n">
        <v>380.56</v>
      </c>
      <c r="M2446" s="0" t="n">
        <v>2034</v>
      </c>
      <c r="N2446" s="0" t="n">
        <v>2</v>
      </c>
      <c r="O2446" s="0" t="n">
        <v>40.8</v>
      </c>
      <c r="W2446" s="0" t="n">
        <v>2034</v>
      </c>
      <c r="X2446" s="0" t="n">
        <v>1076.015</v>
      </c>
    </row>
    <row r="2447" customFormat="false" ht="15" hidden="false" customHeight="false" outlineLevel="0" collapsed="false">
      <c r="A2447" s="0" t="n">
        <v>2033</v>
      </c>
      <c r="B2447" s="0" t="n">
        <v>64.87952964</v>
      </c>
      <c r="C2447" s="0" t="n">
        <v>1362.470123</v>
      </c>
      <c r="E2447" s="0" t="n">
        <v>2034</v>
      </c>
      <c r="F2447" s="0" t="n">
        <v>271.541256</v>
      </c>
      <c r="G2447" s="0" t="n">
        <v>5700.882544</v>
      </c>
      <c r="I2447" s="0" t="n">
        <v>2029</v>
      </c>
      <c r="J2447" s="0" t="n">
        <v>31.71</v>
      </c>
      <c r="K2447" s="0" t="n">
        <v>665.98</v>
      </c>
      <c r="M2447" s="0" t="n">
        <v>2034</v>
      </c>
      <c r="N2447" s="0" t="n">
        <v>1.2</v>
      </c>
      <c r="O2447" s="0" t="n">
        <v>24.48</v>
      </c>
      <c r="W2447" s="0" t="n">
        <v>2034</v>
      </c>
      <c r="X2447" s="0" t="n">
        <v>481.042</v>
      </c>
    </row>
    <row r="2448" customFormat="false" ht="15" hidden="false" customHeight="false" outlineLevel="0" collapsed="false">
      <c r="A2448" s="0" t="n">
        <v>2033</v>
      </c>
      <c r="B2448" s="0" t="n">
        <v>145.0666634</v>
      </c>
      <c r="C2448" s="0" t="n">
        <v>3046.399932</v>
      </c>
      <c r="E2448" s="0" t="n">
        <v>2034</v>
      </c>
      <c r="F2448" s="0" t="n">
        <v>12.711912</v>
      </c>
      <c r="G2448" s="0" t="n">
        <v>266.880688</v>
      </c>
      <c r="I2448" s="0" t="n">
        <v>2029</v>
      </c>
      <c r="J2448" s="0" t="n">
        <v>13.59</v>
      </c>
      <c r="K2448" s="0" t="n">
        <v>285.42</v>
      </c>
      <c r="M2448" s="0" t="n">
        <v>2034</v>
      </c>
      <c r="N2448" s="0" t="n">
        <v>1</v>
      </c>
      <c r="O2448" s="0" t="n">
        <v>20.4</v>
      </c>
      <c r="W2448" s="0" t="n">
        <v>2034</v>
      </c>
      <c r="X2448" s="0" t="n">
        <v>189.885</v>
      </c>
    </row>
    <row r="2449" customFormat="false" ht="15" hidden="false" customHeight="false" outlineLevel="0" collapsed="false">
      <c r="A2449" s="0" t="n">
        <v>2033</v>
      </c>
      <c r="B2449" s="0" t="n">
        <v>192.6310858</v>
      </c>
      <c r="C2449" s="0" t="n">
        <v>4045.252803</v>
      </c>
      <c r="E2449" s="0" t="n">
        <v>2034</v>
      </c>
      <c r="F2449" s="0" t="n">
        <v>69.507792</v>
      </c>
      <c r="G2449" s="0" t="n">
        <v>1459.283808</v>
      </c>
      <c r="I2449" s="0" t="n">
        <v>2029</v>
      </c>
      <c r="J2449" s="0" t="n">
        <v>13.59</v>
      </c>
      <c r="K2449" s="0" t="n">
        <v>285.42</v>
      </c>
      <c r="M2449" s="0" t="n">
        <v>2034</v>
      </c>
      <c r="N2449" s="0" t="n">
        <v>0.8</v>
      </c>
      <c r="O2449" s="0" t="n">
        <v>16.32</v>
      </c>
      <c r="W2449" s="0" t="n">
        <v>2034</v>
      </c>
      <c r="X2449" s="0" t="n">
        <v>278.498</v>
      </c>
    </row>
    <row r="2450" customFormat="false" ht="15" hidden="false" customHeight="false" outlineLevel="0" collapsed="false">
      <c r="A2450" s="0" t="n">
        <v>2033</v>
      </c>
      <c r="B2450" s="0" t="n">
        <v>48.58725603</v>
      </c>
      <c r="C2450" s="0" t="n">
        <v>1020.332377</v>
      </c>
      <c r="E2450" s="0" t="n">
        <v>2034</v>
      </c>
      <c r="F2450" s="0" t="n">
        <v>63.558096</v>
      </c>
      <c r="G2450" s="0" t="n">
        <v>1334.372704</v>
      </c>
      <c r="I2450" s="0" t="n">
        <v>2029</v>
      </c>
      <c r="J2450" s="0" t="n">
        <v>52</v>
      </c>
      <c r="K2450" s="0" t="n">
        <v>1093.04</v>
      </c>
      <c r="M2450" s="0" t="n">
        <v>2034</v>
      </c>
      <c r="N2450" s="0" t="n">
        <v>0.4</v>
      </c>
      <c r="O2450" s="0" t="n">
        <v>8.16</v>
      </c>
      <c r="W2450" s="0" t="n">
        <v>2034</v>
      </c>
      <c r="X2450" s="0" t="n">
        <v>215.203</v>
      </c>
    </row>
    <row r="2451" customFormat="false" ht="15" hidden="false" customHeight="false" outlineLevel="0" collapsed="false">
      <c r="A2451" s="0" t="n">
        <v>2033</v>
      </c>
      <c r="B2451" s="0" t="n">
        <v>43.32795578</v>
      </c>
      <c r="C2451" s="0" t="n">
        <v>909.8870714</v>
      </c>
      <c r="E2451" s="0" t="n">
        <v>2034</v>
      </c>
      <c r="F2451" s="0" t="n">
        <v>238.472336</v>
      </c>
      <c r="G2451" s="0" t="n">
        <v>4999.181923</v>
      </c>
      <c r="I2451" s="0" t="n">
        <v>2029</v>
      </c>
      <c r="J2451" s="0" t="n">
        <v>8</v>
      </c>
      <c r="K2451" s="0" t="n">
        <v>168.16</v>
      </c>
      <c r="M2451" s="0" t="n">
        <v>2034</v>
      </c>
      <c r="N2451" s="0" t="n">
        <v>20.9</v>
      </c>
      <c r="O2451" s="0" t="n">
        <v>432.44</v>
      </c>
      <c r="W2451" s="0" t="n">
        <v>2034</v>
      </c>
      <c r="X2451" s="0" t="n">
        <v>7958.94</v>
      </c>
    </row>
    <row r="2452" customFormat="false" ht="15" hidden="false" customHeight="false" outlineLevel="0" collapsed="false">
      <c r="A2452" s="0" t="n">
        <v>2033</v>
      </c>
      <c r="B2452" s="0" t="n">
        <v>30.13202544</v>
      </c>
      <c r="C2452" s="0" t="n">
        <v>632.7725342</v>
      </c>
      <c r="E2452" s="0" t="n">
        <v>2034</v>
      </c>
      <c r="F2452" s="0" t="n">
        <v>64.032464</v>
      </c>
      <c r="G2452" s="0" t="n">
        <v>1342.335727</v>
      </c>
      <c r="I2452" s="0" t="n">
        <v>2029</v>
      </c>
      <c r="J2452" s="0" t="n">
        <v>6</v>
      </c>
      <c r="K2452" s="0" t="n">
        <v>126.12</v>
      </c>
      <c r="M2452" s="0" t="n">
        <v>2034</v>
      </c>
      <c r="N2452" s="0" t="n">
        <v>13.75</v>
      </c>
      <c r="O2452" s="0" t="n">
        <v>284.5</v>
      </c>
      <c r="W2452" s="0" t="n">
        <v>2034</v>
      </c>
      <c r="X2452" s="0" t="n">
        <v>1989.735</v>
      </c>
    </row>
    <row r="2453" customFormat="false" ht="15" hidden="false" customHeight="false" outlineLevel="0" collapsed="false">
      <c r="A2453" s="0" t="n">
        <v>2033</v>
      </c>
      <c r="B2453" s="0" t="n">
        <v>22.41320789</v>
      </c>
      <c r="C2453" s="0" t="n">
        <v>470.6773657</v>
      </c>
      <c r="E2453" s="0" t="n">
        <v>2034</v>
      </c>
      <c r="F2453" s="0" t="n">
        <v>25.629968</v>
      </c>
      <c r="G2453" s="0" t="n">
        <v>537.290299</v>
      </c>
      <c r="I2453" s="0" t="n">
        <v>2029</v>
      </c>
      <c r="J2453" s="0" t="n">
        <v>10</v>
      </c>
      <c r="K2453" s="0" t="n">
        <v>210.2</v>
      </c>
      <c r="M2453" s="0" t="n">
        <v>2034</v>
      </c>
      <c r="N2453" s="0" t="n">
        <v>5.5</v>
      </c>
      <c r="O2453" s="0" t="n">
        <v>113.8</v>
      </c>
      <c r="W2453" s="0" t="n">
        <v>2034</v>
      </c>
      <c r="X2453" s="0" t="n">
        <v>616.176</v>
      </c>
    </row>
    <row r="2454" customFormat="false" ht="15" hidden="false" customHeight="false" outlineLevel="0" collapsed="false">
      <c r="A2454" s="0" t="n">
        <v>2033</v>
      </c>
      <c r="B2454" s="0" t="n">
        <v>9.96142573</v>
      </c>
      <c r="C2454" s="0" t="n">
        <v>209.1899403</v>
      </c>
      <c r="E2454" s="0" t="n">
        <v>2034</v>
      </c>
      <c r="F2454" s="0" t="n">
        <v>3.600176</v>
      </c>
      <c r="G2454" s="0" t="n">
        <v>75.471793</v>
      </c>
      <c r="I2454" s="0" t="n">
        <v>2029</v>
      </c>
      <c r="J2454" s="0" t="n">
        <v>2</v>
      </c>
      <c r="K2454" s="0" t="n">
        <v>42.04</v>
      </c>
      <c r="M2454" s="0" t="n">
        <v>2034</v>
      </c>
      <c r="N2454" s="0" t="n">
        <v>5.5</v>
      </c>
      <c r="O2454" s="0" t="n">
        <v>113.8</v>
      </c>
      <c r="W2454" s="0" t="n">
        <v>2034</v>
      </c>
      <c r="X2454" s="0" t="n">
        <v>1091.145</v>
      </c>
    </row>
    <row r="2455" customFormat="false" ht="15" hidden="false" customHeight="false" outlineLevel="0" collapsed="false">
      <c r="A2455" s="0" t="n">
        <v>2033</v>
      </c>
      <c r="B2455" s="0" t="n">
        <v>36.79331576</v>
      </c>
      <c r="C2455" s="0" t="n">
        <v>772.659631</v>
      </c>
      <c r="E2455" s="0" t="n">
        <v>2034</v>
      </c>
      <c r="F2455" s="0" t="n">
        <v>86.062256</v>
      </c>
      <c r="G2455" s="0" t="n">
        <v>1804.154233</v>
      </c>
      <c r="I2455" s="0" t="n">
        <v>2029</v>
      </c>
      <c r="J2455" s="0" t="n">
        <v>2</v>
      </c>
      <c r="K2455" s="0" t="n">
        <v>42.04</v>
      </c>
      <c r="M2455" s="0" t="n">
        <v>2034</v>
      </c>
      <c r="N2455" s="0" t="n">
        <v>3.3</v>
      </c>
      <c r="O2455" s="0" t="n">
        <v>68.28</v>
      </c>
      <c r="W2455" s="0" t="n">
        <v>2034</v>
      </c>
      <c r="X2455" s="0" t="n">
        <v>487.806</v>
      </c>
    </row>
    <row r="2456" customFormat="false" ht="15" hidden="false" customHeight="false" outlineLevel="0" collapsed="false">
      <c r="A2456" s="0" t="n">
        <v>2033</v>
      </c>
      <c r="B2456" s="0" t="n">
        <v>11.51759265</v>
      </c>
      <c r="C2456" s="0" t="n">
        <v>241.8694456</v>
      </c>
      <c r="E2456" s="0" t="n">
        <v>2034</v>
      </c>
      <c r="F2456" s="0" t="n">
        <v>4.028912</v>
      </c>
      <c r="G2456" s="0" t="n">
        <v>84.459541</v>
      </c>
      <c r="I2456" s="0" t="n">
        <v>2029</v>
      </c>
      <c r="J2456" s="0" t="n">
        <v>0</v>
      </c>
      <c r="K2456" s="0" t="n">
        <v>0</v>
      </c>
      <c r="M2456" s="0" t="n">
        <v>2034</v>
      </c>
      <c r="N2456" s="0" t="n">
        <v>2.75</v>
      </c>
      <c r="O2456" s="0" t="n">
        <v>56.9</v>
      </c>
      <c r="W2456" s="0" t="n">
        <v>2034</v>
      </c>
      <c r="X2456" s="0" t="n">
        <v>192.555</v>
      </c>
    </row>
    <row r="2457" customFormat="false" ht="15" hidden="false" customHeight="false" outlineLevel="0" collapsed="false">
      <c r="A2457" s="0" t="n">
        <v>2033</v>
      </c>
      <c r="B2457" s="0" t="n">
        <v>25.75263331</v>
      </c>
      <c r="C2457" s="0" t="n">
        <v>540.8052996</v>
      </c>
      <c r="E2457" s="0" t="n">
        <v>2034</v>
      </c>
      <c r="F2457" s="0" t="n">
        <v>22.029792</v>
      </c>
      <c r="G2457" s="0" t="n">
        <v>461.818506</v>
      </c>
      <c r="I2457" s="0" t="n">
        <v>2029</v>
      </c>
      <c r="J2457" s="0" t="n">
        <v>4</v>
      </c>
      <c r="K2457" s="0" t="n">
        <v>84.08</v>
      </c>
      <c r="M2457" s="0" t="n">
        <v>2034</v>
      </c>
      <c r="N2457" s="0" t="n">
        <v>2.2</v>
      </c>
      <c r="O2457" s="0" t="n">
        <v>45.52</v>
      </c>
      <c r="W2457" s="0" t="n">
        <v>2034</v>
      </c>
      <c r="X2457" s="0" t="n">
        <v>282.414</v>
      </c>
    </row>
    <row r="2458" customFormat="false" ht="15" hidden="false" customHeight="false" outlineLevel="0" collapsed="false">
      <c r="A2458" s="0" t="n">
        <v>2033</v>
      </c>
      <c r="B2458" s="0" t="n">
        <v>326.5691599</v>
      </c>
      <c r="C2458" s="0" t="n">
        <v>6857.952358</v>
      </c>
      <c r="E2458" s="0" t="n">
        <v>2034</v>
      </c>
      <c r="F2458" s="0" t="n">
        <v>20.144096</v>
      </c>
      <c r="G2458" s="0" t="n">
        <v>422.287978</v>
      </c>
      <c r="I2458" s="0" t="n">
        <v>2029</v>
      </c>
      <c r="J2458" s="0" t="n">
        <v>7</v>
      </c>
      <c r="K2458" s="0" t="n">
        <v>147.14</v>
      </c>
      <c r="M2458" s="0" t="n">
        <v>2034</v>
      </c>
      <c r="N2458" s="0" t="n">
        <v>1.1</v>
      </c>
      <c r="O2458" s="0" t="n">
        <v>22.76</v>
      </c>
      <c r="W2458" s="0" t="n">
        <v>2034</v>
      </c>
      <c r="X2458" s="0" t="n">
        <v>218.229</v>
      </c>
    </row>
    <row r="2459" customFormat="false" ht="15" hidden="false" customHeight="false" outlineLevel="0" collapsed="false">
      <c r="A2459" s="0" t="n">
        <v>2033</v>
      </c>
      <c r="B2459" s="0" t="n">
        <v>82.3703989</v>
      </c>
      <c r="C2459" s="0" t="n">
        <v>1729.778377</v>
      </c>
      <c r="E2459" s="0" t="n">
        <v>2034</v>
      </c>
      <c r="F2459" s="0" t="n">
        <v>572.539186</v>
      </c>
      <c r="G2459" s="0" t="n">
        <v>12020.23921</v>
      </c>
      <c r="I2459" s="0" t="n">
        <v>2029</v>
      </c>
      <c r="J2459" s="0" t="n">
        <v>2</v>
      </c>
      <c r="K2459" s="0" t="n">
        <v>42.04</v>
      </c>
      <c r="M2459" s="0" t="n">
        <v>2034</v>
      </c>
      <c r="N2459" s="0" t="n">
        <v>12.92</v>
      </c>
      <c r="O2459" s="0" t="n">
        <v>269.42</v>
      </c>
      <c r="W2459" s="0" t="n">
        <v>2034</v>
      </c>
      <c r="X2459" s="0" t="n">
        <v>73015.54</v>
      </c>
    </row>
    <row r="2460" customFormat="false" ht="15" hidden="false" customHeight="false" outlineLevel="0" collapsed="false">
      <c r="A2460" s="0" t="n">
        <v>2033</v>
      </c>
      <c r="B2460" s="0" t="n">
        <v>73.45426132</v>
      </c>
      <c r="C2460" s="0" t="n">
        <v>1542.539488</v>
      </c>
      <c r="E2460" s="0" t="n">
        <v>2034</v>
      </c>
      <c r="F2460" s="0" t="n">
        <v>153.733114</v>
      </c>
      <c r="G2460" s="0" t="n">
        <v>3227.567388</v>
      </c>
      <c r="I2460" s="0" t="n">
        <v>2029</v>
      </c>
      <c r="J2460" s="0" t="n">
        <v>7</v>
      </c>
      <c r="K2460" s="0" t="n">
        <v>147.14</v>
      </c>
      <c r="M2460" s="0" t="n">
        <v>2034</v>
      </c>
      <c r="N2460" s="0" t="n">
        <v>8.5</v>
      </c>
      <c r="O2460" s="0" t="n">
        <v>177.25</v>
      </c>
      <c r="W2460" s="0" t="n">
        <v>2034</v>
      </c>
      <c r="X2460" s="0" t="n">
        <v>18253.885</v>
      </c>
    </row>
    <row r="2461" customFormat="false" ht="15" hidden="false" customHeight="false" outlineLevel="0" collapsed="false">
      <c r="A2461" s="0" t="n">
        <v>2033</v>
      </c>
      <c r="B2461" s="0" t="n">
        <v>51.08308552</v>
      </c>
      <c r="C2461" s="0" t="n">
        <v>1072.744796</v>
      </c>
      <c r="E2461" s="0" t="n">
        <v>2034</v>
      </c>
      <c r="F2461" s="0" t="n">
        <v>61.534018</v>
      </c>
      <c r="G2461" s="0" t="n">
        <v>1291.882956</v>
      </c>
      <c r="I2461" s="0" t="n">
        <v>2029</v>
      </c>
      <c r="J2461" s="0" t="n">
        <v>972.48</v>
      </c>
      <c r="K2461" s="0" t="n">
        <v>20418.72</v>
      </c>
      <c r="M2461" s="0" t="n">
        <v>2034</v>
      </c>
      <c r="N2461" s="0" t="n">
        <v>3.4</v>
      </c>
      <c r="O2461" s="0" t="n">
        <v>70.9</v>
      </c>
      <c r="W2461" s="0" t="n">
        <v>2034</v>
      </c>
      <c r="X2461" s="0" t="n">
        <v>5652.816</v>
      </c>
    </row>
    <row r="2462" customFormat="false" ht="15" hidden="false" customHeight="false" outlineLevel="0" collapsed="false">
      <c r="A2462" s="0" t="n">
        <v>2033</v>
      </c>
      <c r="B2462" s="0" t="n">
        <v>37.99730682</v>
      </c>
      <c r="C2462" s="0" t="n">
        <v>797.9434432</v>
      </c>
      <c r="E2462" s="0" t="n">
        <v>2034</v>
      </c>
      <c r="F2462" s="0" t="n">
        <v>8.643526</v>
      </c>
      <c r="G2462" s="0" t="n">
        <v>181.467492</v>
      </c>
      <c r="I2462" s="0" t="n">
        <v>2029</v>
      </c>
      <c r="J2462" s="0" t="n">
        <v>324.16</v>
      </c>
      <c r="K2462" s="0" t="n">
        <v>6806.24</v>
      </c>
      <c r="M2462" s="0" t="n">
        <v>2034</v>
      </c>
      <c r="N2462" s="0" t="n">
        <v>3.4</v>
      </c>
      <c r="O2462" s="0" t="n">
        <v>70.9</v>
      </c>
      <c r="W2462" s="0" t="n">
        <v>2034</v>
      </c>
      <c r="X2462" s="0" t="n">
        <v>10010.195</v>
      </c>
    </row>
    <row r="2463" customFormat="false" ht="15" hidden="false" customHeight="false" outlineLevel="0" collapsed="false">
      <c r="A2463" s="0" t="n">
        <v>2033</v>
      </c>
      <c r="B2463" s="0" t="n">
        <v>16.88769192</v>
      </c>
      <c r="C2463" s="0" t="n">
        <v>354.6415303</v>
      </c>
      <c r="E2463" s="0" t="n">
        <v>2034</v>
      </c>
      <c r="F2463" s="0" t="n">
        <v>206.623606</v>
      </c>
      <c r="G2463" s="0" t="n">
        <v>4337.982852</v>
      </c>
      <c r="I2463" s="0" t="n">
        <v>2029</v>
      </c>
      <c r="J2463" s="0" t="n">
        <v>141.82</v>
      </c>
      <c r="K2463" s="0" t="n">
        <v>2977.73</v>
      </c>
      <c r="M2463" s="0" t="n">
        <v>2034</v>
      </c>
      <c r="N2463" s="0" t="n">
        <v>2.04</v>
      </c>
      <c r="O2463" s="0" t="n">
        <v>42.54</v>
      </c>
      <c r="W2463" s="0" t="n">
        <v>2034</v>
      </c>
      <c r="X2463" s="0" t="n">
        <v>4475.146</v>
      </c>
    </row>
    <row r="2464" customFormat="false" ht="15" hidden="false" customHeight="false" outlineLevel="0" collapsed="false">
      <c r="A2464" s="0" t="n">
        <v>2033</v>
      </c>
      <c r="B2464" s="0" t="n">
        <v>62.37602911</v>
      </c>
      <c r="C2464" s="0" t="n">
        <v>1309.896611</v>
      </c>
      <c r="E2464" s="0" t="n">
        <v>2034</v>
      </c>
      <c r="F2464" s="0" t="n">
        <v>9.672862</v>
      </c>
      <c r="G2464" s="0" t="n">
        <v>203.078004</v>
      </c>
      <c r="I2464" s="0" t="n">
        <v>2029</v>
      </c>
      <c r="J2464" s="0" t="n">
        <v>81.04</v>
      </c>
      <c r="K2464" s="0" t="n">
        <v>1701.56</v>
      </c>
      <c r="M2464" s="0" t="n">
        <v>2034</v>
      </c>
      <c r="N2464" s="0" t="n">
        <v>1.7</v>
      </c>
      <c r="O2464" s="0" t="n">
        <v>35.45</v>
      </c>
      <c r="W2464" s="0" t="n">
        <v>2034</v>
      </c>
      <c r="X2464" s="0" t="n">
        <v>1766.505</v>
      </c>
    </row>
    <row r="2465" customFormat="false" ht="15" hidden="false" customHeight="false" outlineLevel="0" collapsed="false">
      <c r="A2465" s="0" t="n">
        <v>2033</v>
      </c>
      <c r="B2465" s="0" t="n">
        <v>19.52587527</v>
      </c>
      <c r="C2465" s="0" t="n">
        <v>410.0433807</v>
      </c>
      <c r="E2465" s="0" t="n">
        <v>2034</v>
      </c>
      <c r="F2465" s="0" t="n">
        <v>52.890492</v>
      </c>
      <c r="G2465" s="0" t="n">
        <v>1110.415464</v>
      </c>
      <c r="I2465" s="0" t="n">
        <v>2029</v>
      </c>
      <c r="J2465" s="0" t="n">
        <v>81.04</v>
      </c>
      <c r="K2465" s="0" t="n">
        <v>1701.56</v>
      </c>
      <c r="M2465" s="0" t="n">
        <v>2034</v>
      </c>
      <c r="N2465" s="0" t="n">
        <v>1.36</v>
      </c>
      <c r="O2465" s="0" t="n">
        <v>28.36</v>
      </c>
      <c r="W2465" s="0" t="n">
        <v>2034</v>
      </c>
      <c r="X2465" s="0" t="n">
        <v>2590.874</v>
      </c>
    </row>
    <row r="2466" customFormat="false" ht="15" hidden="false" customHeight="false" outlineLevel="0" collapsed="false">
      <c r="A2466" s="0" t="n">
        <v>2033</v>
      </c>
      <c r="B2466" s="0" t="n">
        <v>43.65866386</v>
      </c>
      <c r="C2466" s="0" t="n">
        <v>916.8319411</v>
      </c>
      <c r="E2466" s="0" t="n">
        <v>2034</v>
      </c>
      <c r="F2466" s="0" t="n">
        <v>48.363196</v>
      </c>
      <c r="G2466" s="0" t="n">
        <v>1015.366632</v>
      </c>
      <c r="I2466" s="0" t="n">
        <v>2029</v>
      </c>
      <c r="J2466" s="0" t="n">
        <v>40.52</v>
      </c>
      <c r="K2466" s="0" t="n">
        <v>850.78</v>
      </c>
      <c r="M2466" s="0" t="n">
        <v>2034</v>
      </c>
      <c r="N2466" s="0" t="n">
        <v>0.68</v>
      </c>
      <c r="O2466" s="0" t="n">
        <v>14.18</v>
      </c>
      <c r="W2466" s="0" t="n">
        <v>2034</v>
      </c>
      <c r="X2466" s="0" t="n">
        <v>2002.039</v>
      </c>
    </row>
    <row r="2467" customFormat="false" ht="15" hidden="false" customHeight="false" outlineLevel="0" collapsed="false">
      <c r="A2467" s="0" t="n">
        <v>2033</v>
      </c>
      <c r="B2467" s="0" t="n">
        <v>117.3549691</v>
      </c>
      <c r="C2467" s="0" t="n">
        <v>2464.454351</v>
      </c>
      <c r="E2467" s="0" t="n">
        <v>2034</v>
      </c>
      <c r="F2467" s="0" t="n">
        <v>1606.604574</v>
      </c>
      <c r="G2467" s="0" t="n">
        <v>33730.47287</v>
      </c>
      <c r="I2467" s="0" t="n">
        <v>2029</v>
      </c>
      <c r="J2467" s="0" t="n">
        <v>40.52</v>
      </c>
      <c r="K2467" s="0" t="n">
        <v>850.78</v>
      </c>
      <c r="M2467" s="0" t="n">
        <v>2034</v>
      </c>
      <c r="N2467" s="0" t="n">
        <v>2.28</v>
      </c>
      <c r="O2467" s="0" t="n">
        <v>45.98</v>
      </c>
      <c r="W2467" s="0" t="n">
        <v>2034</v>
      </c>
      <c r="X2467" s="0" t="n">
        <v>10576.58</v>
      </c>
    </row>
    <row r="2468" customFormat="false" ht="15" hidden="false" customHeight="false" outlineLevel="0" collapsed="false">
      <c r="A2468" s="0" t="n">
        <v>2033</v>
      </c>
      <c r="B2468" s="0" t="n">
        <v>29.60039344</v>
      </c>
      <c r="C2468" s="0" t="n">
        <v>621.6082623</v>
      </c>
      <c r="E2468" s="0" t="n">
        <v>2034</v>
      </c>
      <c r="F2468" s="0" t="n">
        <v>431.391126</v>
      </c>
      <c r="G2468" s="0" t="n">
        <v>9057.00563</v>
      </c>
      <c r="I2468" s="0" t="n">
        <v>2029</v>
      </c>
      <c r="J2468" s="0" t="n">
        <v>81.04</v>
      </c>
      <c r="K2468" s="0" t="n">
        <v>1701.56</v>
      </c>
      <c r="M2468" s="0" t="n">
        <v>2034</v>
      </c>
      <c r="N2468" s="0" t="n">
        <v>1.5</v>
      </c>
      <c r="O2468" s="0" t="n">
        <v>30.25</v>
      </c>
      <c r="W2468" s="0" t="n">
        <v>2034</v>
      </c>
      <c r="X2468" s="0" t="n">
        <v>2644.145</v>
      </c>
    </row>
    <row r="2469" customFormat="false" ht="15" hidden="false" customHeight="false" outlineLevel="0" collapsed="false">
      <c r="A2469" s="0" t="n">
        <v>2033</v>
      </c>
      <c r="B2469" s="0" t="n">
        <v>26.39631548</v>
      </c>
      <c r="C2469" s="0" t="n">
        <v>554.322625</v>
      </c>
      <c r="E2469" s="0" t="n">
        <v>2034</v>
      </c>
      <c r="F2469" s="0" t="n">
        <v>172.670862</v>
      </c>
      <c r="G2469" s="0" t="n">
        <v>3625.20431</v>
      </c>
      <c r="I2469" s="0" t="n">
        <v>2029</v>
      </c>
      <c r="J2469" s="0" t="n">
        <v>141.82</v>
      </c>
      <c r="K2469" s="0" t="n">
        <v>2977.73</v>
      </c>
      <c r="M2469" s="0" t="n">
        <v>2034</v>
      </c>
      <c r="N2469" s="0" t="n">
        <v>0.6</v>
      </c>
      <c r="O2469" s="0" t="n">
        <v>12.1</v>
      </c>
      <c r="W2469" s="0" t="n">
        <v>2034</v>
      </c>
      <c r="X2469" s="0" t="n">
        <v>818.832</v>
      </c>
    </row>
    <row r="2470" customFormat="false" ht="15" hidden="false" customHeight="false" outlineLevel="0" collapsed="false">
      <c r="A2470" s="0" t="n">
        <v>2033</v>
      </c>
      <c r="B2470" s="0" t="n">
        <v>18.35707305</v>
      </c>
      <c r="C2470" s="0" t="n">
        <v>385.4985341</v>
      </c>
      <c r="E2470" s="0" t="n">
        <v>2034</v>
      </c>
      <c r="F2470" s="0" t="n">
        <v>24.254634</v>
      </c>
      <c r="G2470" s="0" t="n">
        <v>509.22317</v>
      </c>
      <c r="I2470" s="0" t="n">
        <v>2029</v>
      </c>
      <c r="J2470" s="0" t="n">
        <v>60.78</v>
      </c>
      <c r="K2470" s="0" t="n">
        <v>1276.17</v>
      </c>
      <c r="M2470" s="0" t="n">
        <v>2034</v>
      </c>
      <c r="N2470" s="0" t="n">
        <v>0.6</v>
      </c>
      <c r="O2470" s="0" t="n">
        <v>12.1</v>
      </c>
      <c r="W2470" s="0" t="n">
        <v>2034</v>
      </c>
      <c r="X2470" s="0" t="n">
        <v>1450.015</v>
      </c>
    </row>
    <row r="2471" customFormat="false" ht="15" hidden="false" customHeight="false" outlineLevel="0" collapsed="false">
      <c r="A2471" s="0" t="n">
        <v>2033</v>
      </c>
      <c r="B2471" s="0" t="n">
        <v>13.65460465</v>
      </c>
      <c r="C2471" s="0" t="n">
        <v>286.7466976</v>
      </c>
      <c r="E2471" s="0" t="n">
        <v>2034</v>
      </c>
      <c r="F2471" s="0" t="n">
        <v>579.807354</v>
      </c>
      <c r="G2471" s="0" t="n">
        <v>12172.98677</v>
      </c>
      <c r="I2471" s="0" t="n">
        <v>2029</v>
      </c>
      <c r="J2471" s="0" t="n">
        <v>60.78</v>
      </c>
      <c r="K2471" s="0" t="n">
        <v>1276.17</v>
      </c>
      <c r="M2471" s="0" t="n">
        <v>2034</v>
      </c>
      <c r="N2471" s="0" t="n">
        <v>0.36</v>
      </c>
      <c r="O2471" s="0" t="n">
        <v>7.26</v>
      </c>
      <c r="W2471" s="0" t="n">
        <v>2034</v>
      </c>
      <c r="X2471" s="0" t="n">
        <v>648.242</v>
      </c>
    </row>
    <row r="2472" customFormat="false" ht="15" hidden="false" customHeight="false" outlineLevel="0" collapsed="false">
      <c r="A2472" s="0" t="n">
        <v>2033</v>
      </c>
      <c r="B2472" s="0" t="n">
        <v>6.068713177</v>
      </c>
      <c r="C2472" s="0" t="n">
        <v>127.4429767</v>
      </c>
      <c r="E2472" s="0" t="n">
        <v>2034</v>
      </c>
      <c r="F2472" s="0" t="n">
        <v>27.143058</v>
      </c>
      <c r="G2472" s="0" t="n">
        <v>569.86529</v>
      </c>
      <c r="I2472" s="0" t="n">
        <v>2029</v>
      </c>
      <c r="J2472" s="0" t="n">
        <v>65.52</v>
      </c>
      <c r="K2472" s="0" t="n">
        <v>1377.48</v>
      </c>
      <c r="M2472" s="0" t="n">
        <v>2034</v>
      </c>
      <c r="N2472" s="0" t="n">
        <v>0.3</v>
      </c>
      <c r="O2472" s="0" t="n">
        <v>6.05</v>
      </c>
      <c r="W2472" s="0" t="n">
        <v>2034</v>
      </c>
      <c r="X2472" s="0" t="n">
        <v>255.885</v>
      </c>
    </row>
    <row r="2473" customFormat="false" ht="15" hidden="false" customHeight="false" outlineLevel="0" collapsed="false">
      <c r="A2473" s="0" t="n">
        <v>2033</v>
      </c>
      <c r="B2473" s="0" t="n">
        <v>22.4152733</v>
      </c>
      <c r="C2473" s="0" t="n">
        <v>470.7207393</v>
      </c>
      <c r="E2473" s="0" t="n">
        <v>2034</v>
      </c>
      <c r="F2473" s="0" t="n">
        <v>148.416228</v>
      </c>
      <c r="G2473" s="0" t="n">
        <v>3115.98114</v>
      </c>
      <c r="I2473" s="0" t="n">
        <v>2029</v>
      </c>
      <c r="J2473" s="0" t="n">
        <v>10.08</v>
      </c>
      <c r="K2473" s="0" t="n">
        <v>211.92</v>
      </c>
      <c r="M2473" s="0" t="n">
        <v>2034</v>
      </c>
      <c r="N2473" s="0" t="n">
        <v>0.24</v>
      </c>
      <c r="O2473" s="0" t="n">
        <v>4.84</v>
      </c>
      <c r="W2473" s="0" t="n">
        <v>2034</v>
      </c>
      <c r="X2473" s="0" t="n">
        <v>375.298</v>
      </c>
    </row>
    <row r="2474" customFormat="false" ht="15" hidden="false" customHeight="false" outlineLevel="0" collapsed="false">
      <c r="A2474" s="0" t="n">
        <v>2033</v>
      </c>
      <c r="B2474" s="0" t="n">
        <v>7.01676328</v>
      </c>
      <c r="C2474" s="0" t="n">
        <v>147.3520289</v>
      </c>
      <c r="E2474" s="0" t="n">
        <v>2034</v>
      </c>
      <c r="F2474" s="0" t="n">
        <v>135.712164</v>
      </c>
      <c r="G2474" s="0" t="n">
        <v>2849.26082</v>
      </c>
      <c r="I2474" s="0" t="n">
        <v>2029</v>
      </c>
      <c r="J2474" s="0" t="n">
        <v>7.56</v>
      </c>
      <c r="K2474" s="0" t="n">
        <v>158.94</v>
      </c>
      <c r="M2474" s="0" t="n">
        <v>2034</v>
      </c>
      <c r="N2474" s="0" t="n">
        <v>0.12</v>
      </c>
      <c r="O2474" s="0" t="n">
        <v>2.42</v>
      </c>
      <c r="W2474" s="0" t="n">
        <v>2034</v>
      </c>
      <c r="X2474" s="0" t="n">
        <v>290.003</v>
      </c>
    </row>
    <row r="2475" customFormat="false" ht="15" hidden="false" customHeight="false" outlineLevel="0" collapsed="false">
      <c r="A2475" s="0" t="n">
        <v>2033</v>
      </c>
      <c r="B2475" s="0" t="n">
        <v>15.68905389</v>
      </c>
      <c r="C2475" s="0" t="n">
        <v>329.4701317</v>
      </c>
      <c r="E2475" s="0" t="n">
        <v>2034</v>
      </c>
      <c r="F2475" s="0" t="n">
        <v>856.752983</v>
      </c>
      <c r="G2475" s="0" t="n">
        <v>17985.13131</v>
      </c>
      <c r="I2475" s="0" t="n">
        <v>2029</v>
      </c>
      <c r="J2475" s="0" t="n">
        <v>12.6</v>
      </c>
      <c r="K2475" s="0" t="n">
        <v>264.9</v>
      </c>
      <c r="M2475" s="0" t="n">
        <v>2034</v>
      </c>
      <c r="N2475" s="0" t="n">
        <v>10.26</v>
      </c>
      <c r="O2475" s="0" t="n">
        <v>208.62</v>
      </c>
      <c r="W2475" s="0" t="n">
        <v>2034</v>
      </c>
      <c r="X2475" s="0" t="n">
        <v>11434.04</v>
      </c>
    </row>
    <row r="2476" customFormat="false" ht="15" hidden="false" customHeight="false" outlineLevel="0" collapsed="false">
      <c r="A2476" s="0" t="n">
        <v>2033</v>
      </c>
      <c r="B2476" s="0" t="n">
        <v>187.0102207</v>
      </c>
      <c r="C2476" s="0" t="n">
        <v>3927.214635</v>
      </c>
      <c r="E2476" s="0" t="n">
        <v>2034</v>
      </c>
      <c r="F2476" s="0" t="n">
        <v>230.047667</v>
      </c>
      <c r="G2476" s="0" t="n">
        <v>4829.206994</v>
      </c>
      <c r="I2476" s="0" t="n">
        <v>2029</v>
      </c>
      <c r="J2476" s="0" t="n">
        <v>2.52</v>
      </c>
      <c r="K2476" s="0" t="n">
        <v>52.98</v>
      </c>
      <c r="M2476" s="0" t="n">
        <v>2034</v>
      </c>
      <c r="N2476" s="0" t="n">
        <v>6.75</v>
      </c>
      <c r="O2476" s="0" t="n">
        <v>137.25</v>
      </c>
      <c r="W2476" s="0" t="n">
        <v>2034</v>
      </c>
      <c r="X2476" s="0" t="n">
        <v>2858.51</v>
      </c>
    </row>
    <row r="2477" customFormat="false" ht="15" hidden="false" customHeight="false" outlineLevel="0" collapsed="false">
      <c r="A2477" s="0" t="n">
        <v>2033</v>
      </c>
      <c r="B2477" s="0" t="n">
        <v>47.16950762</v>
      </c>
      <c r="C2477" s="0" t="n">
        <v>990.5596601</v>
      </c>
      <c r="E2477" s="0" t="n">
        <v>2034</v>
      </c>
      <c r="F2477" s="0" t="n">
        <v>92.080079</v>
      </c>
      <c r="G2477" s="0" t="n">
        <v>1932.963578</v>
      </c>
      <c r="I2477" s="0" t="n">
        <v>2029</v>
      </c>
      <c r="J2477" s="0" t="n">
        <v>2.52</v>
      </c>
      <c r="K2477" s="0" t="n">
        <v>52.98</v>
      </c>
      <c r="M2477" s="0" t="n">
        <v>2034</v>
      </c>
      <c r="N2477" s="0" t="n">
        <v>2.7</v>
      </c>
      <c r="O2477" s="0" t="n">
        <v>54.9</v>
      </c>
      <c r="W2477" s="0" t="n">
        <v>2034</v>
      </c>
      <c r="X2477" s="0" t="n">
        <v>885.216</v>
      </c>
    </row>
    <row r="2478" customFormat="false" ht="15" hidden="false" customHeight="false" outlineLevel="0" collapsed="false">
      <c r="A2478" s="0" t="n">
        <v>2033</v>
      </c>
      <c r="B2478" s="0" t="n">
        <v>42.06367076</v>
      </c>
      <c r="C2478" s="0" t="n">
        <v>883.3370859</v>
      </c>
      <c r="E2478" s="0" t="n">
        <v>2034</v>
      </c>
      <c r="F2478" s="0" t="n">
        <v>12.934253</v>
      </c>
      <c r="G2478" s="0" t="n">
        <v>271.518446</v>
      </c>
      <c r="I2478" s="0" t="n">
        <v>2029</v>
      </c>
      <c r="J2478" s="0" t="n">
        <v>0</v>
      </c>
      <c r="K2478" s="0" t="n">
        <v>0</v>
      </c>
      <c r="M2478" s="0" t="n">
        <v>2034</v>
      </c>
      <c r="N2478" s="0" t="n">
        <v>2.7</v>
      </c>
      <c r="O2478" s="0" t="n">
        <v>54.9</v>
      </c>
      <c r="W2478" s="0" t="n">
        <v>2034</v>
      </c>
      <c r="X2478" s="0" t="n">
        <v>1567.57</v>
      </c>
    </row>
    <row r="2479" customFormat="false" ht="15" hidden="false" customHeight="false" outlineLevel="0" collapsed="false">
      <c r="A2479" s="0" t="n">
        <v>2033</v>
      </c>
      <c r="B2479" s="0" t="n">
        <v>29.25279013</v>
      </c>
      <c r="C2479" s="0" t="n">
        <v>614.3085928</v>
      </c>
      <c r="E2479" s="0" t="n">
        <v>2034</v>
      </c>
      <c r="F2479" s="0" t="n">
        <v>309.193493</v>
      </c>
      <c r="G2479" s="0" t="n">
        <v>6490.652126</v>
      </c>
      <c r="I2479" s="0" t="n">
        <v>2029</v>
      </c>
      <c r="J2479" s="0" t="n">
        <v>5.04</v>
      </c>
      <c r="K2479" s="0" t="n">
        <v>105.96</v>
      </c>
      <c r="M2479" s="0" t="n">
        <v>2034</v>
      </c>
      <c r="N2479" s="0" t="n">
        <v>1.62</v>
      </c>
      <c r="O2479" s="0" t="n">
        <v>32.94</v>
      </c>
      <c r="W2479" s="0" t="n">
        <v>2034</v>
      </c>
      <c r="X2479" s="0" t="n">
        <v>700.796</v>
      </c>
    </row>
    <row r="2480" customFormat="false" ht="15" hidden="false" customHeight="false" outlineLevel="0" collapsed="false">
      <c r="A2480" s="0" t="n">
        <v>2033</v>
      </c>
      <c r="B2480" s="0" t="n">
        <v>21.75920328</v>
      </c>
      <c r="C2480" s="0" t="n">
        <v>456.9432688</v>
      </c>
      <c r="E2480" s="0" t="n">
        <v>2034</v>
      </c>
      <c r="F2480" s="0" t="n">
        <v>14.474561</v>
      </c>
      <c r="G2480" s="0" t="n">
        <v>303.852902</v>
      </c>
      <c r="I2480" s="0" t="n">
        <v>2029</v>
      </c>
      <c r="J2480" s="0" t="n">
        <v>8.82</v>
      </c>
      <c r="K2480" s="0" t="n">
        <v>185.43</v>
      </c>
      <c r="M2480" s="0" t="n">
        <v>2034</v>
      </c>
      <c r="N2480" s="0" t="n">
        <v>1.35</v>
      </c>
      <c r="O2480" s="0" t="n">
        <v>27.45</v>
      </c>
      <c r="W2480" s="0" t="n">
        <v>2034</v>
      </c>
      <c r="X2480" s="0" t="n">
        <v>276.63</v>
      </c>
    </row>
    <row r="2481" customFormat="false" ht="15" hidden="false" customHeight="false" outlineLevel="0" collapsed="false">
      <c r="A2481" s="0" t="n">
        <v>2033</v>
      </c>
      <c r="B2481" s="0" t="n">
        <v>9.670757012</v>
      </c>
      <c r="C2481" s="0" t="n">
        <v>203.0858973</v>
      </c>
      <c r="E2481" s="0" t="n">
        <v>2034</v>
      </c>
      <c r="F2481" s="0" t="n">
        <v>79.145826</v>
      </c>
      <c r="G2481" s="0" t="n">
        <v>1661.445132</v>
      </c>
      <c r="I2481" s="0" t="n">
        <v>2029</v>
      </c>
      <c r="J2481" s="0" t="n">
        <v>2.52</v>
      </c>
      <c r="K2481" s="0" t="n">
        <v>52.98</v>
      </c>
      <c r="M2481" s="0" t="n">
        <v>2034</v>
      </c>
      <c r="N2481" s="0" t="n">
        <v>1.08</v>
      </c>
      <c r="O2481" s="0" t="n">
        <v>21.96</v>
      </c>
      <c r="W2481" s="0" t="n">
        <v>2034</v>
      </c>
      <c r="X2481" s="0" t="n">
        <v>405.724</v>
      </c>
    </row>
    <row r="2482" customFormat="false" ht="15" hidden="false" customHeight="false" outlineLevel="0" collapsed="false">
      <c r="A2482" s="0" t="n">
        <v>2033</v>
      </c>
      <c r="B2482" s="0" t="n">
        <v>35.71970781</v>
      </c>
      <c r="C2482" s="0" t="n">
        <v>750.1138639</v>
      </c>
      <c r="E2482" s="0" t="n">
        <v>2034</v>
      </c>
      <c r="F2482" s="0" t="n">
        <v>72.371138</v>
      </c>
      <c r="G2482" s="0" t="n">
        <v>1519.229516</v>
      </c>
      <c r="I2482" s="0" t="n">
        <v>2029</v>
      </c>
      <c r="J2482" s="0" t="n">
        <v>8.82</v>
      </c>
      <c r="K2482" s="0" t="n">
        <v>185.43</v>
      </c>
      <c r="M2482" s="0" t="n">
        <v>2034</v>
      </c>
      <c r="N2482" s="0" t="n">
        <v>0.54</v>
      </c>
      <c r="O2482" s="0" t="n">
        <v>10.98</v>
      </c>
      <c r="W2482" s="0" t="n">
        <v>2034</v>
      </c>
      <c r="X2482" s="0" t="n">
        <v>313.514</v>
      </c>
    </row>
    <row r="2483" customFormat="false" ht="15" hidden="false" customHeight="false" outlineLevel="0" collapsed="false">
      <c r="A2483" s="0" t="n">
        <v>2033</v>
      </c>
      <c r="B2483" s="0" t="n">
        <v>11.18151587</v>
      </c>
      <c r="C2483" s="0" t="n">
        <v>234.8118333</v>
      </c>
      <c r="E2483" s="0" t="n">
        <v>2034</v>
      </c>
      <c r="F2483" s="0" t="n">
        <v>418.868435</v>
      </c>
      <c r="G2483" s="0" t="n">
        <v>8789.555798</v>
      </c>
      <c r="I2483" s="0" t="n">
        <v>2029</v>
      </c>
      <c r="J2483" s="0" t="n">
        <v>162.24</v>
      </c>
      <c r="K2483" s="0" t="n">
        <v>3404.64</v>
      </c>
      <c r="M2483" s="0" t="n">
        <v>2034</v>
      </c>
      <c r="N2483" s="0" t="n">
        <v>34.58</v>
      </c>
      <c r="O2483" s="0" t="n">
        <v>725.8</v>
      </c>
      <c r="W2483" s="0" t="n">
        <v>2034</v>
      </c>
      <c r="X2483" s="0" t="n">
        <v>3077.68</v>
      </c>
    </row>
    <row r="2484" customFormat="false" ht="15" hidden="false" customHeight="false" outlineLevel="0" collapsed="false">
      <c r="A2484" s="0" t="n">
        <v>2033</v>
      </c>
      <c r="B2484" s="0" t="n">
        <v>25.00118617</v>
      </c>
      <c r="C2484" s="0" t="n">
        <v>525.0249096</v>
      </c>
      <c r="E2484" s="0" t="n">
        <v>2034</v>
      </c>
      <c r="F2484" s="0" t="n">
        <v>112.470815</v>
      </c>
      <c r="G2484" s="0" t="n">
        <v>2360.093102</v>
      </c>
      <c r="I2484" s="0" t="n">
        <v>2029</v>
      </c>
      <c r="J2484" s="0" t="n">
        <v>54.08</v>
      </c>
      <c r="K2484" s="0" t="n">
        <v>1134.88</v>
      </c>
      <c r="M2484" s="0" t="n">
        <v>2034</v>
      </c>
      <c r="N2484" s="0" t="n">
        <v>22.75</v>
      </c>
      <c r="O2484" s="0" t="n">
        <v>477.5</v>
      </c>
      <c r="W2484" s="0" t="n">
        <v>2034</v>
      </c>
      <c r="X2484" s="0" t="n">
        <v>769.42</v>
      </c>
    </row>
    <row r="2485" customFormat="false" ht="15" hidden="false" customHeight="false" outlineLevel="0" collapsed="false">
      <c r="A2485" s="0" t="n">
        <v>2033</v>
      </c>
      <c r="B2485" s="0" t="n">
        <v>209.4005178</v>
      </c>
      <c r="C2485" s="0" t="n">
        <v>4397.410874</v>
      </c>
      <c r="E2485" s="0" t="n">
        <v>2034</v>
      </c>
      <c r="F2485" s="0" t="n">
        <v>45.018155</v>
      </c>
      <c r="G2485" s="0" t="n">
        <v>944.663174</v>
      </c>
      <c r="I2485" s="0" t="n">
        <v>2029</v>
      </c>
      <c r="J2485" s="0" t="n">
        <v>23.66</v>
      </c>
      <c r="K2485" s="0" t="n">
        <v>496.51</v>
      </c>
      <c r="M2485" s="0" t="n">
        <v>2034</v>
      </c>
      <c r="N2485" s="0" t="n">
        <v>9.1</v>
      </c>
      <c r="O2485" s="0" t="n">
        <v>191</v>
      </c>
      <c r="W2485" s="0" t="n">
        <v>2034</v>
      </c>
      <c r="X2485" s="0" t="n">
        <v>238.272</v>
      </c>
    </row>
    <row r="2486" customFormat="false" ht="15" hidden="false" customHeight="false" outlineLevel="0" collapsed="false">
      <c r="A2486" s="0" t="n">
        <v>2033</v>
      </c>
      <c r="B2486" s="0" t="n">
        <v>52.81700264</v>
      </c>
      <c r="C2486" s="0" t="n">
        <v>1109.157055</v>
      </c>
      <c r="E2486" s="0" t="n">
        <v>2034</v>
      </c>
      <c r="F2486" s="0" t="n">
        <v>6.323585</v>
      </c>
      <c r="G2486" s="0" t="n">
        <v>132.694418</v>
      </c>
      <c r="I2486" s="0" t="n">
        <v>2029</v>
      </c>
      <c r="J2486" s="0" t="n">
        <v>13.52</v>
      </c>
      <c r="K2486" s="0" t="n">
        <v>283.72</v>
      </c>
      <c r="M2486" s="0" t="n">
        <v>2034</v>
      </c>
      <c r="N2486" s="0" t="n">
        <v>9.1</v>
      </c>
      <c r="O2486" s="0" t="n">
        <v>191</v>
      </c>
      <c r="W2486" s="0" t="n">
        <v>2034</v>
      </c>
      <c r="X2486" s="0" t="n">
        <v>421.94</v>
      </c>
    </row>
    <row r="2487" customFormat="false" ht="15" hidden="false" customHeight="false" outlineLevel="0" collapsed="false">
      <c r="A2487" s="0" t="n">
        <v>2033</v>
      </c>
      <c r="B2487" s="0" t="n">
        <v>47.09985585</v>
      </c>
      <c r="C2487" s="0" t="n">
        <v>989.0969728</v>
      </c>
      <c r="E2487" s="0" t="n">
        <v>2034</v>
      </c>
      <c r="F2487" s="0" t="n">
        <v>151.165385</v>
      </c>
      <c r="G2487" s="0" t="n">
        <v>3172.061858</v>
      </c>
      <c r="I2487" s="0" t="n">
        <v>2029</v>
      </c>
      <c r="J2487" s="0" t="n">
        <v>13.52</v>
      </c>
      <c r="K2487" s="0" t="n">
        <v>283.72</v>
      </c>
      <c r="M2487" s="0" t="n">
        <v>2034</v>
      </c>
      <c r="N2487" s="0" t="n">
        <v>5.46</v>
      </c>
      <c r="O2487" s="0" t="n">
        <v>114.6</v>
      </c>
      <c r="W2487" s="0" t="n">
        <v>2034</v>
      </c>
      <c r="X2487" s="0" t="n">
        <v>188.632</v>
      </c>
    </row>
    <row r="2488" customFormat="false" ht="15" hidden="false" customHeight="false" outlineLevel="0" collapsed="false">
      <c r="A2488" s="0" t="n">
        <v>2033</v>
      </c>
      <c r="B2488" s="0" t="n">
        <v>32.7551584</v>
      </c>
      <c r="C2488" s="0" t="n">
        <v>687.8583263</v>
      </c>
      <c r="E2488" s="0" t="n">
        <v>2034</v>
      </c>
      <c r="F2488" s="0" t="n">
        <v>7.076645</v>
      </c>
      <c r="G2488" s="0" t="n">
        <v>148.496666</v>
      </c>
      <c r="I2488" s="0" t="n">
        <v>2029</v>
      </c>
      <c r="J2488" s="0" t="n">
        <v>6.76</v>
      </c>
      <c r="K2488" s="0" t="n">
        <v>141.86</v>
      </c>
      <c r="M2488" s="0" t="n">
        <v>2034</v>
      </c>
      <c r="N2488" s="0" t="n">
        <v>4.55</v>
      </c>
      <c r="O2488" s="0" t="n">
        <v>95.5</v>
      </c>
      <c r="W2488" s="0" t="n">
        <v>2034</v>
      </c>
      <c r="X2488" s="0" t="n">
        <v>74.46</v>
      </c>
    </row>
    <row r="2489" customFormat="false" ht="15" hidden="false" customHeight="false" outlineLevel="0" collapsed="false">
      <c r="A2489" s="0" t="n">
        <v>2033</v>
      </c>
      <c r="B2489" s="0" t="n">
        <v>24.36438188</v>
      </c>
      <c r="C2489" s="0" t="n">
        <v>511.6520195</v>
      </c>
      <c r="E2489" s="0" t="n">
        <v>2034</v>
      </c>
      <c r="F2489" s="0" t="n">
        <v>38.69457</v>
      </c>
      <c r="G2489" s="0" t="n">
        <v>811.968756</v>
      </c>
      <c r="I2489" s="0" t="n">
        <v>2029</v>
      </c>
      <c r="J2489" s="0" t="n">
        <v>6.76</v>
      </c>
      <c r="K2489" s="0" t="n">
        <v>141.86</v>
      </c>
      <c r="M2489" s="0" t="n">
        <v>2034</v>
      </c>
      <c r="N2489" s="0" t="n">
        <v>3.64</v>
      </c>
      <c r="O2489" s="0" t="n">
        <v>76.4</v>
      </c>
      <c r="W2489" s="0" t="n">
        <v>2034</v>
      </c>
      <c r="X2489" s="0" t="n">
        <v>109.208</v>
      </c>
    </row>
    <row r="2490" customFormat="false" ht="15" hidden="false" customHeight="false" outlineLevel="0" collapsed="false">
      <c r="A2490" s="0" t="n">
        <v>2033</v>
      </c>
      <c r="B2490" s="0" t="n">
        <v>10.82861417</v>
      </c>
      <c r="C2490" s="0" t="n">
        <v>227.4008976</v>
      </c>
      <c r="E2490" s="0" t="n">
        <v>2034</v>
      </c>
      <c r="F2490" s="0" t="n">
        <v>35.38241</v>
      </c>
      <c r="G2490" s="0" t="n">
        <v>742.466228</v>
      </c>
      <c r="I2490" s="0" t="n">
        <v>2029</v>
      </c>
      <c r="J2490" s="0" t="n">
        <v>13.52</v>
      </c>
      <c r="K2490" s="0" t="n">
        <v>283.72</v>
      </c>
      <c r="M2490" s="0" t="n">
        <v>2034</v>
      </c>
      <c r="N2490" s="0" t="n">
        <v>1.82</v>
      </c>
      <c r="O2490" s="0" t="n">
        <v>38.2</v>
      </c>
      <c r="W2490" s="0" t="n">
        <v>2034</v>
      </c>
      <c r="X2490" s="0" t="n">
        <v>84.388</v>
      </c>
    </row>
    <row r="2491" customFormat="false" ht="15" hidden="false" customHeight="false" outlineLevel="0" collapsed="false">
      <c r="A2491" s="0" t="n">
        <v>2033</v>
      </c>
      <c r="B2491" s="0" t="n">
        <v>39.99634502</v>
      </c>
      <c r="C2491" s="0" t="n">
        <v>839.9232455</v>
      </c>
      <c r="E2491" s="0" t="n">
        <v>2034</v>
      </c>
      <c r="F2491" s="0" t="n">
        <v>337.664493</v>
      </c>
      <c r="G2491" s="0" t="n">
        <v>7081.189322</v>
      </c>
      <c r="I2491" s="0" t="n">
        <v>2029</v>
      </c>
      <c r="J2491" s="0" t="n">
        <v>23.66</v>
      </c>
      <c r="K2491" s="0" t="n">
        <v>496.51</v>
      </c>
      <c r="M2491" s="0" t="n">
        <v>2034</v>
      </c>
      <c r="N2491" s="0" t="n">
        <v>1480.48</v>
      </c>
      <c r="O2491" s="0" t="n">
        <v>31088.56</v>
      </c>
      <c r="W2491" s="0" t="n">
        <v>2034</v>
      </c>
      <c r="X2491" s="0" t="n">
        <v>7133.1</v>
      </c>
    </row>
    <row r="2492" customFormat="false" ht="15" hidden="false" customHeight="false" outlineLevel="0" collapsed="false">
      <c r="A2492" s="0" t="n">
        <v>2033</v>
      </c>
      <c r="B2492" s="0" t="n">
        <v>12.52025266</v>
      </c>
      <c r="C2492" s="0" t="n">
        <v>262.9253058</v>
      </c>
      <c r="E2492" s="0" t="n">
        <v>2034</v>
      </c>
      <c r="F2492" s="0" t="n">
        <v>90.666657</v>
      </c>
      <c r="G2492" s="0" t="n">
        <v>1901.377778</v>
      </c>
      <c r="I2492" s="0" t="n">
        <v>2029</v>
      </c>
      <c r="J2492" s="0" t="n">
        <v>10.14</v>
      </c>
      <c r="K2492" s="0" t="n">
        <v>212.79</v>
      </c>
      <c r="M2492" s="0" t="n">
        <v>2034</v>
      </c>
      <c r="N2492" s="0" t="n">
        <v>974</v>
      </c>
      <c r="O2492" s="0" t="n">
        <v>20453</v>
      </c>
      <c r="W2492" s="0" t="n">
        <v>2034</v>
      </c>
      <c r="X2492" s="0" t="n">
        <v>1783.275</v>
      </c>
    </row>
    <row r="2493" customFormat="false" ht="15" hidden="false" customHeight="false" outlineLevel="0" collapsed="false">
      <c r="A2493" s="0" t="n">
        <v>2033</v>
      </c>
      <c r="B2493" s="0" t="n">
        <v>27.99451982</v>
      </c>
      <c r="C2493" s="0" t="n">
        <v>587.8849162</v>
      </c>
      <c r="E2493" s="0" t="n">
        <v>2034</v>
      </c>
      <c r="F2493" s="0" t="n">
        <v>36.290709</v>
      </c>
      <c r="G2493" s="0" t="n">
        <v>761.055386</v>
      </c>
      <c r="I2493" s="0" t="n">
        <v>2029</v>
      </c>
      <c r="J2493" s="0" t="n">
        <v>10.14</v>
      </c>
      <c r="K2493" s="0" t="n">
        <v>212.79</v>
      </c>
      <c r="M2493" s="0" t="n">
        <v>2034</v>
      </c>
      <c r="N2493" s="0" t="n">
        <v>389.6</v>
      </c>
      <c r="O2493" s="0" t="n">
        <v>8181.2</v>
      </c>
      <c r="W2493" s="0" t="n">
        <v>2034</v>
      </c>
      <c r="X2493" s="0" t="n">
        <v>552.24</v>
      </c>
    </row>
    <row r="2494" customFormat="false" ht="15" hidden="false" customHeight="false" outlineLevel="0" collapsed="false">
      <c r="A2494" s="0" t="n">
        <v>2033</v>
      </c>
      <c r="B2494" s="0" t="n">
        <v>127.0439742</v>
      </c>
      <c r="C2494" s="0" t="n">
        <v>2667.923459</v>
      </c>
      <c r="E2494" s="0" t="n">
        <v>2034</v>
      </c>
      <c r="F2494" s="0" t="n">
        <v>5.097663</v>
      </c>
      <c r="G2494" s="0" t="n">
        <v>106.903502</v>
      </c>
      <c r="I2494" s="0" t="n">
        <v>2029</v>
      </c>
      <c r="J2494" s="0" t="n">
        <v>20.8</v>
      </c>
      <c r="K2494" s="0" t="n">
        <v>432.64</v>
      </c>
      <c r="M2494" s="0" t="n">
        <v>2034</v>
      </c>
      <c r="N2494" s="0" t="n">
        <v>389.6</v>
      </c>
      <c r="O2494" s="0" t="n">
        <v>8181.2</v>
      </c>
      <c r="W2494" s="0" t="n">
        <v>2034</v>
      </c>
      <c r="X2494" s="0" t="n">
        <v>977.925</v>
      </c>
    </row>
    <row r="2495" customFormat="false" ht="15" hidden="false" customHeight="false" outlineLevel="0" collapsed="false">
      <c r="A2495" s="0" t="n">
        <v>2033</v>
      </c>
      <c r="B2495" s="0" t="n">
        <v>32.04424704</v>
      </c>
      <c r="C2495" s="0" t="n">
        <v>672.9291879</v>
      </c>
      <c r="E2495" s="0" t="n">
        <v>2034</v>
      </c>
      <c r="F2495" s="0" t="n">
        <v>121.859703</v>
      </c>
      <c r="G2495" s="0" t="n">
        <v>2555.529662</v>
      </c>
      <c r="I2495" s="0" t="n">
        <v>2029</v>
      </c>
      <c r="J2495" s="0" t="n">
        <v>3.2</v>
      </c>
      <c r="K2495" s="0" t="n">
        <v>66.56</v>
      </c>
      <c r="M2495" s="0" t="n">
        <v>2034</v>
      </c>
      <c r="N2495" s="0" t="n">
        <v>233.76</v>
      </c>
      <c r="O2495" s="0" t="n">
        <v>4908.72</v>
      </c>
      <c r="W2495" s="0" t="n">
        <v>2034</v>
      </c>
      <c r="X2495" s="0" t="n">
        <v>437.19</v>
      </c>
    </row>
    <row r="2496" customFormat="false" ht="15" hidden="false" customHeight="false" outlineLevel="0" collapsed="false">
      <c r="A2496" s="0" t="n">
        <v>2033</v>
      </c>
      <c r="B2496" s="0" t="n">
        <v>28.57563552</v>
      </c>
      <c r="C2496" s="0" t="n">
        <v>600.0883458</v>
      </c>
      <c r="E2496" s="0" t="n">
        <v>2034</v>
      </c>
      <c r="F2496" s="0" t="n">
        <v>5.704731</v>
      </c>
      <c r="G2496" s="0" t="n">
        <v>119.634374</v>
      </c>
      <c r="I2496" s="0" t="n">
        <v>2029</v>
      </c>
      <c r="J2496" s="0" t="n">
        <v>2.4</v>
      </c>
      <c r="K2496" s="0" t="n">
        <v>49.92</v>
      </c>
      <c r="M2496" s="0" t="n">
        <v>2034</v>
      </c>
      <c r="N2496" s="0" t="n">
        <v>194.8</v>
      </c>
      <c r="O2496" s="0" t="n">
        <v>4090.6</v>
      </c>
      <c r="W2496" s="0" t="n">
        <v>2034</v>
      </c>
      <c r="X2496" s="0" t="n">
        <v>172.575</v>
      </c>
    </row>
    <row r="2497" customFormat="false" ht="15" hidden="false" customHeight="false" outlineLevel="0" collapsed="false">
      <c r="A2497" s="0" t="n">
        <v>2033</v>
      </c>
      <c r="B2497" s="0" t="n">
        <v>19.87266098</v>
      </c>
      <c r="C2497" s="0" t="n">
        <v>417.3258806</v>
      </c>
      <c r="E2497" s="0" t="n">
        <v>2034</v>
      </c>
      <c r="F2497" s="0" t="n">
        <v>31.193046</v>
      </c>
      <c r="G2497" s="0" t="n">
        <v>654.151884</v>
      </c>
      <c r="I2497" s="0" t="n">
        <v>2029</v>
      </c>
      <c r="J2497" s="0" t="n">
        <v>4</v>
      </c>
      <c r="K2497" s="0" t="n">
        <v>83.2</v>
      </c>
      <c r="M2497" s="0" t="n">
        <v>2034</v>
      </c>
      <c r="N2497" s="0" t="n">
        <v>155.84</v>
      </c>
      <c r="O2497" s="0" t="n">
        <v>3272.48</v>
      </c>
      <c r="W2497" s="0" t="n">
        <v>2034</v>
      </c>
      <c r="X2497" s="0" t="n">
        <v>253.11</v>
      </c>
    </row>
    <row r="2498" customFormat="false" ht="15" hidden="false" customHeight="false" outlineLevel="0" collapsed="false">
      <c r="A2498" s="0" t="n">
        <v>2033</v>
      </c>
      <c r="B2498" s="0" t="n">
        <v>14.78194962</v>
      </c>
      <c r="C2498" s="0" t="n">
        <v>310.420942</v>
      </c>
      <c r="E2498" s="0" t="n">
        <v>2034</v>
      </c>
      <c r="F2498" s="0" t="n">
        <v>28.522998</v>
      </c>
      <c r="G2498" s="0" t="n">
        <v>598.158092</v>
      </c>
      <c r="I2498" s="0" t="n">
        <v>2029</v>
      </c>
      <c r="J2498" s="0" t="n">
        <v>0.8</v>
      </c>
      <c r="K2498" s="0" t="n">
        <v>16.64</v>
      </c>
      <c r="M2498" s="0" t="n">
        <v>2034</v>
      </c>
      <c r="N2498" s="0" t="n">
        <v>77.92</v>
      </c>
      <c r="O2498" s="0" t="n">
        <v>1636.24</v>
      </c>
      <c r="W2498" s="0" t="n">
        <v>2034</v>
      </c>
      <c r="X2498" s="0" t="n">
        <v>195.585</v>
      </c>
    </row>
    <row r="2499" customFormat="false" ht="15" hidden="false" customHeight="false" outlineLevel="0" collapsed="false">
      <c r="A2499" s="0" t="n">
        <v>2033</v>
      </c>
      <c r="B2499" s="0" t="n">
        <v>6.569755386</v>
      </c>
      <c r="C2499" s="0" t="n">
        <v>137.9648631</v>
      </c>
      <c r="E2499" s="0" t="n">
        <v>2034</v>
      </c>
      <c r="F2499" s="0" t="n">
        <v>216.886478</v>
      </c>
      <c r="G2499" s="0" t="n">
        <v>4545.878905</v>
      </c>
      <c r="I2499" s="0" t="n">
        <v>2029</v>
      </c>
      <c r="J2499" s="0" t="n">
        <v>0.8</v>
      </c>
      <c r="K2499" s="0" t="n">
        <v>16.64</v>
      </c>
      <c r="M2499" s="0" t="n">
        <v>2034</v>
      </c>
      <c r="N2499" s="0" t="n">
        <v>215.08</v>
      </c>
      <c r="O2499" s="0" t="n">
        <v>4511.36</v>
      </c>
      <c r="W2499" s="0" t="n">
        <v>2034</v>
      </c>
      <c r="X2499" s="0" t="n">
        <v>1793.04</v>
      </c>
    </row>
    <row r="2500" customFormat="false" ht="15" hidden="false" customHeight="false" outlineLevel="0" collapsed="false">
      <c r="A2500" s="0" t="n">
        <v>2033</v>
      </c>
      <c r="B2500" s="0" t="n">
        <v>24.26591243</v>
      </c>
      <c r="C2500" s="0" t="n">
        <v>509.584161</v>
      </c>
      <c r="E2500" s="0" t="n">
        <v>2034</v>
      </c>
      <c r="F2500" s="0" t="n">
        <v>58.236422</v>
      </c>
      <c r="G2500" s="0" t="n">
        <v>1220.618845</v>
      </c>
      <c r="I2500" s="0" t="n">
        <v>2029</v>
      </c>
      <c r="J2500" s="0" t="n">
        <v>0</v>
      </c>
      <c r="K2500" s="0" t="n">
        <v>0</v>
      </c>
      <c r="M2500" s="0" t="n">
        <v>2034</v>
      </c>
      <c r="N2500" s="0" t="n">
        <v>141.5</v>
      </c>
      <c r="O2500" s="0" t="n">
        <v>2968</v>
      </c>
      <c r="W2500" s="0" t="n">
        <v>2034</v>
      </c>
      <c r="X2500" s="0" t="n">
        <v>448.26</v>
      </c>
    </row>
    <row r="2501" customFormat="false" ht="15" hidden="false" customHeight="false" outlineLevel="0" collapsed="false">
      <c r="A2501" s="0" t="n">
        <v>2033</v>
      </c>
      <c r="B2501" s="0" t="n">
        <v>7.596077951</v>
      </c>
      <c r="C2501" s="0" t="n">
        <v>159.517637</v>
      </c>
      <c r="E2501" s="0" t="n">
        <v>2034</v>
      </c>
      <c r="F2501" s="0" t="n">
        <v>23.310014</v>
      </c>
      <c r="G2501" s="0" t="n">
        <v>488.571265</v>
      </c>
      <c r="I2501" s="0" t="n">
        <v>2029</v>
      </c>
      <c r="J2501" s="0" t="n">
        <v>1.6</v>
      </c>
      <c r="K2501" s="0" t="n">
        <v>33.28</v>
      </c>
      <c r="M2501" s="0" t="n">
        <v>2034</v>
      </c>
      <c r="N2501" s="0" t="n">
        <v>56.6</v>
      </c>
      <c r="O2501" s="0" t="n">
        <v>1187.2</v>
      </c>
      <c r="W2501" s="0" t="n">
        <v>2034</v>
      </c>
      <c r="X2501" s="0" t="n">
        <v>138.816</v>
      </c>
    </row>
    <row r="2502" customFormat="false" ht="15" hidden="false" customHeight="false" outlineLevel="0" collapsed="false">
      <c r="A2502" s="0" t="n">
        <v>2033</v>
      </c>
      <c r="B2502" s="0" t="n">
        <v>16.9843661</v>
      </c>
      <c r="C2502" s="0" t="n">
        <v>356.671688</v>
      </c>
      <c r="E2502" s="0" t="n">
        <v>2034</v>
      </c>
      <c r="F2502" s="0" t="n">
        <v>3.274298</v>
      </c>
      <c r="G2502" s="0" t="n">
        <v>68.628355</v>
      </c>
      <c r="I2502" s="0" t="n">
        <v>2029</v>
      </c>
      <c r="J2502" s="0" t="n">
        <v>2.8</v>
      </c>
      <c r="K2502" s="0" t="n">
        <v>58.24</v>
      </c>
      <c r="M2502" s="0" t="n">
        <v>2034</v>
      </c>
      <c r="N2502" s="0" t="n">
        <v>56.6</v>
      </c>
      <c r="O2502" s="0" t="n">
        <v>1187.2</v>
      </c>
      <c r="W2502" s="0" t="n">
        <v>2034</v>
      </c>
      <c r="X2502" s="0" t="n">
        <v>245.82</v>
      </c>
    </row>
    <row r="2503" customFormat="false" ht="15" hidden="false" customHeight="false" outlineLevel="0" collapsed="false">
      <c r="A2503" s="0" t="n">
        <v>2033</v>
      </c>
      <c r="B2503" s="0" t="n">
        <v>633.605037</v>
      </c>
      <c r="C2503" s="0" t="n">
        <v>13305.70578</v>
      </c>
      <c r="E2503" s="0" t="n">
        <v>2034</v>
      </c>
      <c r="F2503" s="0" t="n">
        <v>78.272138</v>
      </c>
      <c r="G2503" s="0" t="n">
        <v>1640.561755</v>
      </c>
      <c r="I2503" s="0" t="n">
        <v>2029</v>
      </c>
      <c r="J2503" s="0" t="n">
        <v>0.8</v>
      </c>
      <c r="K2503" s="0" t="n">
        <v>16.64</v>
      </c>
      <c r="M2503" s="0" t="n">
        <v>2034</v>
      </c>
      <c r="N2503" s="0" t="n">
        <v>33.96</v>
      </c>
      <c r="O2503" s="0" t="n">
        <v>712.32</v>
      </c>
      <c r="W2503" s="0" t="n">
        <v>2034</v>
      </c>
      <c r="X2503" s="0" t="n">
        <v>109.896</v>
      </c>
    </row>
    <row r="2504" customFormat="false" ht="15" hidden="false" customHeight="false" outlineLevel="0" collapsed="false">
      <c r="A2504" s="0" t="n">
        <v>2033</v>
      </c>
      <c r="B2504" s="0" t="n">
        <v>159.8139263</v>
      </c>
      <c r="C2504" s="0" t="n">
        <v>3356.092452</v>
      </c>
      <c r="E2504" s="0" t="n">
        <v>2034</v>
      </c>
      <c r="F2504" s="0" t="n">
        <v>3.664226</v>
      </c>
      <c r="G2504" s="0" t="n">
        <v>76.801135</v>
      </c>
      <c r="I2504" s="0" t="n">
        <v>2029</v>
      </c>
      <c r="J2504" s="0" t="n">
        <v>2.8</v>
      </c>
      <c r="K2504" s="0" t="n">
        <v>58.24</v>
      </c>
      <c r="M2504" s="0" t="n">
        <v>2034</v>
      </c>
      <c r="N2504" s="0" t="n">
        <v>28.3</v>
      </c>
      <c r="O2504" s="0" t="n">
        <v>593.6</v>
      </c>
      <c r="W2504" s="0" t="n">
        <v>2034</v>
      </c>
      <c r="X2504" s="0" t="n">
        <v>43.38</v>
      </c>
    </row>
    <row r="2505" customFormat="false" ht="15" hidden="false" customHeight="false" outlineLevel="0" collapsed="false">
      <c r="A2505" s="0" t="n">
        <v>2033</v>
      </c>
      <c r="B2505" s="0" t="n">
        <v>142.5149576</v>
      </c>
      <c r="C2505" s="0" t="n">
        <v>2992.814109</v>
      </c>
      <c r="E2505" s="0" t="n">
        <v>2034</v>
      </c>
      <c r="F2505" s="0" t="n">
        <v>20.035716</v>
      </c>
      <c r="G2505" s="0" t="n">
        <v>419.94291</v>
      </c>
      <c r="I2505" s="0" t="n">
        <v>2029</v>
      </c>
      <c r="J2505" s="0" t="n">
        <v>48.48</v>
      </c>
      <c r="K2505" s="0" t="n">
        <v>1020.48</v>
      </c>
      <c r="M2505" s="0" t="n">
        <v>2034</v>
      </c>
      <c r="N2505" s="0" t="n">
        <v>22.64</v>
      </c>
      <c r="O2505" s="0" t="n">
        <v>474.88</v>
      </c>
      <c r="W2505" s="0" t="n">
        <v>2034</v>
      </c>
      <c r="X2505" s="0" t="n">
        <v>63.624</v>
      </c>
    </row>
    <row r="2506" customFormat="false" ht="15" hidden="false" customHeight="false" outlineLevel="0" collapsed="false">
      <c r="A2506" s="0" t="n">
        <v>2033</v>
      </c>
      <c r="B2506" s="0" t="n">
        <v>99.11070692</v>
      </c>
      <c r="C2506" s="0" t="n">
        <v>2081.324845</v>
      </c>
      <c r="E2506" s="0" t="n">
        <v>2034</v>
      </c>
      <c r="F2506" s="0" t="n">
        <v>18.320708</v>
      </c>
      <c r="G2506" s="0" t="n">
        <v>383.99683</v>
      </c>
      <c r="I2506" s="0" t="n">
        <v>2029</v>
      </c>
      <c r="J2506" s="0" t="n">
        <v>16.16</v>
      </c>
      <c r="K2506" s="0" t="n">
        <v>340.16</v>
      </c>
      <c r="M2506" s="0" t="n">
        <v>2034</v>
      </c>
      <c r="N2506" s="0" t="n">
        <v>11.32</v>
      </c>
      <c r="O2506" s="0" t="n">
        <v>237.44</v>
      </c>
      <c r="W2506" s="0" t="n">
        <v>2034</v>
      </c>
      <c r="X2506" s="0" t="n">
        <v>49.164</v>
      </c>
    </row>
    <row r="2507" customFormat="false" ht="15" hidden="false" customHeight="false" outlineLevel="0" collapsed="false">
      <c r="A2507" s="0" t="n">
        <v>2033</v>
      </c>
      <c r="B2507" s="0" t="n">
        <v>73.72185727</v>
      </c>
      <c r="C2507" s="0" t="n">
        <v>1548.159003</v>
      </c>
      <c r="E2507" s="0" t="n">
        <v>2034</v>
      </c>
      <c r="F2507" s="0" t="n">
        <v>219.970172</v>
      </c>
      <c r="G2507" s="0" t="n">
        <v>4614.234122</v>
      </c>
      <c r="I2507" s="0" t="n">
        <v>2029</v>
      </c>
      <c r="J2507" s="0" t="n">
        <v>7.07</v>
      </c>
      <c r="K2507" s="0" t="n">
        <v>148.82</v>
      </c>
      <c r="M2507" s="0" t="n">
        <v>2034</v>
      </c>
      <c r="N2507" s="0" t="n">
        <v>264.86</v>
      </c>
      <c r="O2507" s="0" t="n">
        <v>5559.02</v>
      </c>
      <c r="W2507" s="0" t="n">
        <v>2034</v>
      </c>
      <c r="X2507" s="0" t="n">
        <v>3165.1</v>
      </c>
    </row>
    <row r="2508" customFormat="false" ht="15" hidden="false" customHeight="false" outlineLevel="0" collapsed="false">
      <c r="A2508" s="0" t="n">
        <v>2033</v>
      </c>
      <c r="B2508" s="0" t="n">
        <v>32.7652699</v>
      </c>
      <c r="C2508" s="0" t="n">
        <v>688.0706678</v>
      </c>
      <c r="E2508" s="0" t="n">
        <v>2034</v>
      </c>
      <c r="F2508" s="0" t="n">
        <v>59.064428</v>
      </c>
      <c r="G2508" s="0" t="n">
        <v>1238.972978</v>
      </c>
      <c r="I2508" s="0" t="n">
        <v>2029</v>
      </c>
      <c r="J2508" s="0" t="n">
        <v>4.04</v>
      </c>
      <c r="K2508" s="0" t="n">
        <v>85.04</v>
      </c>
      <c r="M2508" s="0" t="n">
        <v>2034</v>
      </c>
      <c r="N2508" s="0" t="n">
        <v>174.25</v>
      </c>
      <c r="O2508" s="0" t="n">
        <v>3657.25</v>
      </c>
      <c r="W2508" s="0" t="n">
        <v>2034</v>
      </c>
      <c r="X2508" s="0" t="n">
        <v>791.275</v>
      </c>
    </row>
    <row r="2509" customFormat="false" ht="15" hidden="false" customHeight="false" outlineLevel="0" collapsed="false">
      <c r="A2509" s="0" t="n">
        <v>2033</v>
      </c>
      <c r="B2509" s="0" t="n">
        <v>121.0211223</v>
      </c>
      <c r="C2509" s="0" t="n">
        <v>2541.443568</v>
      </c>
      <c r="E2509" s="0" t="n">
        <v>2034</v>
      </c>
      <c r="F2509" s="0" t="n">
        <v>23.641436</v>
      </c>
      <c r="G2509" s="0" t="n">
        <v>495.917786</v>
      </c>
      <c r="I2509" s="0" t="n">
        <v>2029</v>
      </c>
      <c r="J2509" s="0" t="n">
        <v>4.04</v>
      </c>
      <c r="K2509" s="0" t="n">
        <v>85.04</v>
      </c>
      <c r="M2509" s="0" t="n">
        <v>2034</v>
      </c>
      <c r="N2509" s="0" t="n">
        <v>69.7</v>
      </c>
      <c r="O2509" s="0" t="n">
        <v>1462.9</v>
      </c>
      <c r="W2509" s="0" t="n">
        <v>2034</v>
      </c>
      <c r="X2509" s="0" t="n">
        <v>245.04</v>
      </c>
    </row>
    <row r="2510" customFormat="false" ht="15" hidden="false" customHeight="false" outlineLevel="0" collapsed="false">
      <c r="A2510" s="0" t="n">
        <v>2033</v>
      </c>
      <c r="B2510" s="0" t="n">
        <v>37.88383731</v>
      </c>
      <c r="C2510" s="0" t="n">
        <v>795.5605835</v>
      </c>
      <c r="E2510" s="0" t="n">
        <v>2034</v>
      </c>
      <c r="F2510" s="0" t="n">
        <v>3.320852</v>
      </c>
      <c r="G2510" s="0" t="n">
        <v>69.660302</v>
      </c>
      <c r="I2510" s="0" t="n">
        <v>2029</v>
      </c>
      <c r="J2510" s="0" t="n">
        <v>2.02</v>
      </c>
      <c r="K2510" s="0" t="n">
        <v>42.52</v>
      </c>
      <c r="M2510" s="0" t="n">
        <v>2034</v>
      </c>
      <c r="N2510" s="0" t="n">
        <v>69.7</v>
      </c>
      <c r="O2510" s="0" t="n">
        <v>1462.9</v>
      </c>
      <c r="W2510" s="0" t="n">
        <v>2034</v>
      </c>
      <c r="X2510" s="0" t="n">
        <v>433.925</v>
      </c>
    </row>
    <row r="2511" customFormat="false" ht="15" hidden="false" customHeight="false" outlineLevel="0" collapsed="false">
      <c r="A2511" s="0" t="n">
        <v>2033</v>
      </c>
      <c r="B2511" s="0" t="n">
        <v>84.70594511</v>
      </c>
      <c r="C2511" s="0" t="n">
        <v>1778.824847</v>
      </c>
      <c r="E2511" s="0" t="n">
        <v>2034</v>
      </c>
      <c r="F2511" s="0" t="n">
        <v>79.385012</v>
      </c>
      <c r="G2511" s="0" t="n">
        <v>1665.230462</v>
      </c>
      <c r="I2511" s="0" t="n">
        <v>2029</v>
      </c>
      <c r="J2511" s="0" t="n">
        <v>2.02</v>
      </c>
      <c r="K2511" s="0" t="n">
        <v>42.52</v>
      </c>
      <c r="M2511" s="0" t="n">
        <v>2034</v>
      </c>
      <c r="N2511" s="0" t="n">
        <v>41.82</v>
      </c>
      <c r="O2511" s="0" t="n">
        <v>877.74</v>
      </c>
      <c r="W2511" s="0" t="n">
        <v>2034</v>
      </c>
      <c r="X2511" s="0" t="n">
        <v>193.99</v>
      </c>
    </row>
    <row r="2512" customFormat="false" ht="15" hidden="false" customHeight="false" outlineLevel="0" collapsed="false">
      <c r="A2512" s="0" t="n">
        <v>2033</v>
      </c>
      <c r="B2512" s="0" t="n">
        <v>238.6228057</v>
      </c>
      <c r="C2512" s="0" t="n">
        <v>5011.078919</v>
      </c>
      <c r="E2512" s="0" t="n">
        <v>2034</v>
      </c>
      <c r="F2512" s="0" t="n">
        <v>3.716324</v>
      </c>
      <c r="G2512" s="0" t="n">
        <v>77.955974</v>
      </c>
      <c r="I2512" s="0" t="n">
        <v>2029</v>
      </c>
      <c r="J2512" s="0" t="n">
        <v>4.04</v>
      </c>
      <c r="K2512" s="0" t="n">
        <v>85.04</v>
      </c>
      <c r="M2512" s="0" t="n">
        <v>2034</v>
      </c>
      <c r="N2512" s="0" t="n">
        <v>34.85</v>
      </c>
      <c r="O2512" s="0" t="n">
        <v>731.45</v>
      </c>
      <c r="W2512" s="0" t="n">
        <v>2034</v>
      </c>
      <c r="X2512" s="0" t="n">
        <v>76.575</v>
      </c>
    </row>
    <row r="2513" customFormat="false" ht="15" hidden="false" customHeight="false" outlineLevel="0" collapsed="false">
      <c r="A2513" s="0" t="n">
        <v>2033</v>
      </c>
      <c r="B2513" s="0" t="n">
        <v>60.18772776</v>
      </c>
      <c r="C2513" s="0" t="n">
        <v>1263.942283</v>
      </c>
      <c r="E2513" s="0" t="n">
        <v>2034</v>
      </c>
      <c r="F2513" s="0" t="n">
        <v>20.320584</v>
      </c>
      <c r="G2513" s="0" t="n">
        <v>426.257484</v>
      </c>
      <c r="I2513" s="0" t="n">
        <v>2029</v>
      </c>
      <c r="J2513" s="0" t="n">
        <v>7.07</v>
      </c>
      <c r="K2513" s="0" t="n">
        <v>148.82</v>
      </c>
      <c r="M2513" s="0" t="n">
        <v>2034</v>
      </c>
      <c r="N2513" s="0" t="n">
        <v>27.88</v>
      </c>
      <c r="O2513" s="0" t="n">
        <v>585.16</v>
      </c>
      <c r="W2513" s="0" t="n">
        <v>2034</v>
      </c>
      <c r="X2513" s="0" t="n">
        <v>112.31</v>
      </c>
    </row>
    <row r="2514" customFormat="false" ht="15" hidden="false" customHeight="false" outlineLevel="0" collapsed="false">
      <c r="A2514" s="0" t="n">
        <v>2033</v>
      </c>
      <c r="B2514" s="0" t="n">
        <v>53.67274097</v>
      </c>
      <c r="C2514" s="0" t="n">
        <v>1127.12756</v>
      </c>
      <c r="E2514" s="0" t="n">
        <v>2034</v>
      </c>
      <c r="F2514" s="0" t="n">
        <v>18.581192</v>
      </c>
      <c r="G2514" s="0" t="n">
        <v>389.770892</v>
      </c>
      <c r="I2514" s="0" t="n">
        <v>2029</v>
      </c>
      <c r="J2514" s="0" t="n">
        <v>3.03</v>
      </c>
      <c r="K2514" s="0" t="n">
        <v>63.78</v>
      </c>
      <c r="M2514" s="0" t="n">
        <v>2034</v>
      </c>
      <c r="N2514" s="0" t="n">
        <v>13.94</v>
      </c>
      <c r="O2514" s="0" t="n">
        <v>292.58</v>
      </c>
      <c r="W2514" s="0" t="n">
        <v>2034</v>
      </c>
      <c r="X2514" s="0" t="n">
        <v>86.785</v>
      </c>
    </row>
    <row r="2515" customFormat="false" ht="15" hidden="false" customHeight="false" outlineLevel="0" collapsed="false">
      <c r="A2515" s="0" t="n">
        <v>2033</v>
      </c>
      <c r="B2515" s="0" t="n">
        <v>37.32621046</v>
      </c>
      <c r="C2515" s="0" t="n">
        <v>783.8504196</v>
      </c>
      <c r="E2515" s="0" t="n">
        <v>2034</v>
      </c>
      <c r="F2515" s="0" t="n">
        <v>836.195023</v>
      </c>
      <c r="G2515" s="0" t="n">
        <v>17555.46994</v>
      </c>
      <c r="I2515" s="0" t="n">
        <v>2029</v>
      </c>
      <c r="J2515" s="0" t="n">
        <v>3.03</v>
      </c>
      <c r="K2515" s="0" t="n">
        <v>63.78</v>
      </c>
      <c r="M2515" s="0" t="n">
        <v>2034</v>
      </c>
      <c r="N2515" s="0" t="n">
        <v>427.88</v>
      </c>
      <c r="O2515" s="0" t="n">
        <v>8979.78</v>
      </c>
      <c r="W2515" s="0" t="n">
        <v>2034</v>
      </c>
      <c r="X2515" s="0" t="n">
        <v>30032.18</v>
      </c>
    </row>
    <row r="2516" customFormat="false" ht="15" hidden="false" customHeight="false" outlineLevel="0" collapsed="false">
      <c r="A2516" s="0" t="n">
        <v>2033</v>
      </c>
      <c r="B2516" s="0" t="n">
        <v>27.76448323</v>
      </c>
      <c r="C2516" s="0" t="n">
        <v>583.0541477</v>
      </c>
      <c r="E2516" s="0" t="n">
        <v>2034</v>
      </c>
      <c r="F2516" s="0" t="n">
        <v>224.527627</v>
      </c>
      <c r="G2516" s="0" t="n">
        <v>4713.838158</v>
      </c>
      <c r="I2516" s="0" t="n">
        <v>2029</v>
      </c>
      <c r="J2516" s="0" t="n">
        <v>4.16</v>
      </c>
      <c r="K2516" s="0" t="n">
        <v>91.52</v>
      </c>
      <c r="M2516" s="0" t="n">
        <v>2034</v>
      </c>
      <c r="N2516" s="0" t="n">
        <v>281.5</v>
      </c>
      <c r="O2516" s="0" t="n">
        <v>5907.75</v>
      </c>
      <c r="W2516" s="0" t="n">
        <v>2034</v>
      </c>
      <c r="X2516" s="0" t="n">
        <v>7508.045</v>
      </c>
    </row>
    <row r="2517" customFormat="false" ht="15" hidden="false" customHeight="false" outlineLevel="0" collapsed="false">
      <c r="A2517" s="0" t="n">
        <v>2033</v>
      </c>
      <c r="B2517" s="0" t="n">
        <v>12.33977032</v>
      </c>
      <c r="C2517" s="0" t="n">
        <v>259.1351768</v>
      </c>
      <c r="E2517" s="0" t="n">
        <v>2034</v>
      </c>
      <c r="F2517" s="0" t="n">
        <v>89.870599</v>
      </c>
      <c r="G2517" s="0" t="n">
        <v>1886.785446</v>
      </c>
      <c r="I2517" s="0" t="n">
        <v>2029</v>
      </c>
      <c r="J2517" s="0" t="n">
        <v>0.64</v>
      </c>
      <c r="K2517" s="0" t="n">
        <v>14.08</v>
      </c>
      <c r="M2517" s="0" t="n">
        <v>2034</v>
      </c>
      <c r="N2517" s="0" t="n">
        <v>112.6</v>
      </c>
      <c r="O2517" s="0" t="n">
        <v>2363.1</v>
      </c>
      <c r="W2517" s="0" t="n">
        <v>2034</v>
      </c>
      <c r="X2517" s="0" t="n">
        <v>2325.072</v>
      </c>
    </row>
    <row r="2518" customFormat="false" ht="15" hidden="false" customHeight="false" outlineLevel="0" collapsed="false">
      <c r="A2518" s="0" t="n">
        <v>2033</v>
      </c>
      <c r="B2518" s="0" t="n">
        <v>45.57792009</v>
      </c>
      <c r="C2518" s="0" t="n">
        <v>957.1363219</v>
      </c>
      <c r="E2518" s="0" t="n">
        <v>2034</v>
      </c>
      <c r="F2518" s="0" t="n">
        <v>12.623893</v>
      </c>
      <c r="G2518" s="0" t="n">
        <v>265.031922</v>
      </c>
      <c r="I2518" s="0" t="n">
        <v>2029</v>
      </c>
      <c r="J2518" s="0" t="n">
        <v>0.48</v>
      </c>
      <c r="K2518" s="0" t="n">
        <v>10.56</v>
      </c>
      <c r="M2518" s="0" t="n">
        <v>2034</v>
      </c>
      <c r="N2518" s="0" t="n">
        <v>112.6</v>
      </c>
      <c r="O2518" s="0" t="n">
        <v>2363.1</v>
      </c>
      <c r="W2518" s="0" t="n">
        <v>2034</v>
      </c>
      <c r="X2518" s="0" t="n">
        <v>4117.315</v>
      </c>
    </row>
    <row r="2519" customFormat="false" ht="15" hidden="false" customHeight="false" outlineLevel="0" collapsed="false">
      <c r="A2519" s="0" t="n">
        <v>2033</v>
      </c>
      <c r="B2519" s="0" t="n">
        <v>14.26748056</v>
      </c>
      <c r="C2519" s="0" t="n">
        <v>299.6170918</v>
      </c>
      <c r="E2519" s="0" t="n">
        <v>2034</v>
      </c>
      <c r="F2519" s="0" t="n">
        <v>301.774333</v>
      </c>
      <c r="G2519" s="0" t="n">
        <v>6335.591682</v>
      </c>
      <c r="I2519" s="0" t="n">
        <v>2029</v>
      </c>
      <c r="J2519" s="0" t="n">
        <v>0.8</v>
      </c>
      <c r="K2519" s="0" t="n">
        <v>17.6</v>
      </c>
      <c r="M2519" s="0" t="n">
        <v>2034</v>
      </c>
      <c r="N2519" s="0" t="n">
        <v>67.56</v>
      </c>
      <c r="O2519" s="0" t="n">
        <v>1417.86</v>
      </c>
      <c r="W2519" s="0" t="n">
        <v>2034</v>
      </c>
      <c r="X2519" s="0" t="n">
        <v>1840.682</v>
      </c>
    </row>
    <row r="2520" customFormat="false" ht="15" hidden="false" customHeight="false" outlineLevel="0" collapsed="false">
      <c r="A2520" s="0" t="n">
        <v>2033</v>
      </c>
      <c r="B2520" s="0" t="n">
        <v>31.90121464</v>
      </c>
      <c r="C2520" s="0" t="n">
        <v>669.9255074</v>
      </c>
      <c r="E2520" s="0" t="n">
        <v>2034</v>
      </c>
      <c r="F2520" s="0" t="n">
        <v>14.127241</v>
      </c>
      <c r="G2520" s="0" t="n">
        <v>296.593914</v>
      </c>
      <c r="I2520" s="0" t="n">
        <v>2029</v>
      </c>
      <c r="J2520" s="0" t="n">
        <v>0.16</v>
      </c>
      <c r="K2520" s="0" t="n">
        <v>3.52</v>
      </c>
      <c r="M2520" s="0" t="n">
        <v>2034</v>
      </c>
      <c r="N2520" s="0" t="n">
        <v>56.3</v>
      </c>
      <c r="O2520" s="0" t="n">
        <v>1181.55</v>
      </c>
      <c r="W2520" s="0" t="n">
        <v>2034</v>
      </c>
      <c r="X2520" s="0" t="n">
        <v>726.585</v>
      </c>
    </row>
    <row r="2521" customFormat="false" ht="15" hidden="false" customHeight="false" outlineLevel="0" collapsed="false">
      <c r="A2521" s="0" t="n">
        <v>2033</v>
      </c>
      <c r="B2521" s="0" t="n">
        <v>405.0438905</v>
      </c>
      <c r="C2521" s="0" t="n">
        <v>8505.9217</v>
      </c>
      <c r="E2521" s="0" t="n">
        <v>2034</v>
      </c>
      <c r="F2521" s="0" t="n">
        <v>77.246706</v>
      </c>
      <c r="G2521" s="0" t="n">
        <v>1621.753524</v>
      </c>
      <c r="I2521" s="0" t="n">
        <v>2029</v>
      </c>
      <c r="J2521" s="0" t="n">
        <v>0.16</v>
      </c>
      <c r="K2521" s="0" t="n">
        <v>3.52</v>
      </c>
      <c r="M2521" s="0" t="n">
        <v>2034</v>
      </c>
      <c r="N2521" s="0" t="n">
        <v>45.04</v>
      </c>
      <c r="O2521" s="0" t="n">
        <v>945.24</v>
      </c>
      <c r="W2521" s="0" t="n">
        <v>2034</v>
      </c>
      <c r="X2521" s="0" t="n">
        <v>1065.658</v>
      </c>
    </row>
    <row r="2522" customFormat="false" ht="15" hidden="false" customHeight="false" outlineLevel="0" collapsed="false">
      <c r="A2522" s="0" t="n">
        <v>2033</v>
      </c>
      <c r="B2522" s="0" t="n">
        <v>102.1640465</v>
      </c>
      <c r="C2522" s="0" t="n">
        <v>2145.444976</v>
      </c>
      <c r="E2522" s="0" t="n">
        <v>2034</v>
      </c>
      <c r="F2522" s="0" t="n">
        <v>70.634578</v>
      </c>
      <c r="G2522" s="0" t="n">
        <v>1482.935412</v>
      </c>
      <c r="I2522" s="0" t="n">
        <v>2029</v>
      </c>
      <c r="J2522" s="0" t="n">
        <v>0</v>
      </c>
      <c r="K2522" s="0" t="n">
        <v>0</v>
      </c>
      <c r="M2522" s="0" t="n">
        <v>2034</v>
      </c>
      <c r="N2522" s="0" t="n">
        <v>22.52</v>
      </c>
      <c r="O2522" s="0" t="n">
        <v>472.62</v>
      </c>
      <c r="W2522" s="0" t="n">
        <v>2034</v>
      </c>
      <c r="X2522" s="0" t="n">
        <v>823.463</v>
      </c>
    </row>
    <row r="2523" customFormat="false" ht="15" hidden="false" customHeight="false" outlineLevel="0" collapsed="false">
      <c r="A2523" s="0" t="n">
        <v>2033</v>
      </c>
      <c r="B2523" s="0" t="n">
        <v>91.10535664</v>
      </c>
      <c r="C2523" s="0" t="n">
        <v>1913.212489</v>
      </c>
      <c r="E2523" s="0" t="n">
        <v>2034</v>
      </c>
      <c r="F2523" s="0" t="n">
        <v>896.841005</v>
      </c>
      <c r="G2523" s="0" t="n">
        <v>18826.97977</v>
      </c>
      <c r="I2523" s="0" t="n">
        <v>2029</v>
      </c>
      <c r="J2523" s="0" t="n">
        <v>0.32</v>
      </c>
      <c r="K2523" s="0" t="n">
        <v>7.04</v>
      </c>
      <c r="M2523" s="0" t="n">
        <v>2034</v>
      </c>
      <c r="N2523" s="0" t="n">
        <v>27.74</v>
      </c>
      <c r="O2523" s="0" t="n">
        <v>578.74</v>
      </c>
      <c r="W2523" s="0" t="n">
        <v>2034</v>
      </c>
      <c r="X2523" s="0" t="n">
        <v>11923.84</v>
      </c>
    </row>
    <row r="2524" customFormat="false" ht="15" hidden="false" customHeight="false" outlineLevel="0" collapsed="false">
      <c r="A2524" s="0" t="n">
        <v>2033</v>
      </c>
      <c r="B2524" s="0" t="n">
        <v>63.35837624</v>
      </c>
      <c r="C2524" s="0" t="n">
        <v>1330.525901</v>
      </c>
      <c r="E2524" s="0" t="n">
        <v>2034</v>
      </c>
      <c r="F2524" s="0" t="n">
        <v>240.811745</v>
      </c>
      <c r="G2524" s="0" t="n">
        <v>5055.252632</v>
      </c>
      <c r="I2524" s="0" t="n">
        <v>2029</v>
      </c>
      <c r="J2524" s="0" t="n">
        <v>0.56</v>
      </c>
      <c r="K2524" s="0" t="n">
        <v>12.32</v>
      </c>
      <c r="M2524" s="0" t="n">
        <v>2034</v>
      </c>
      <c r="N2524" s="0" t="n">
        <v>18.25</v>
      </c>
      <c r="O2524" s="0" t="n">
        <v>380.75</v>
      </c>
      <c r="W2524" s="0" t="n">
        <v>2034</v>
      </c>
      <c r="X2524" s="0" t="n">
        <v>2980.96</v>
      </c>
    </row>
    <row r="2525" customFormat="false" ht="15" hidden="false" customHeight="false" outlineLevel="0" collapsed="false">
      <c r="A2525" s="0" t="n">
        <v>2033</v>
      </c>
      <c r="B2525" s="0" t="n">
        <v>47.12807844</v>
      </c>
      <c r="C2525" s="0" t="n">
        <v>989.6896472</v>
      </c>
      <c r="E2525" s="0" t="n">
        <v>2034</v>
      </c>
      <c r="F2525" s="0" t="n">
        <v>96.388565</v>
      </c>
      <c r="G2525" s="0" t="n">
        <v>2023.441784</v>
      </c>
      <c r="I2525" s="0" t="n">
        <v>2029</v>
      </c>
      <c r="J2525" s="0" t="n">
        <v>0.16</v>
      </c>
      <c r="K2525" s="0" t="n">
        <v>3.52</v>
      </c>
      <c r="M2525" s="0" t="n">
        <v>2034</v>
      </c>
      <c r="N2525" s="0" t="n">
        <v>7.3</v>
      </c>
      <c r="O2525" s="0" t="n">
        <v>152.3</v>
      </c>
      <c r="W2525" s="0" t="n">
        <v>2034</v>
      </c>
      <c r="X2525" s="0" t="n">
        <v>923.136</v>
      </c>
    </row>
    <row r="2526" customFormat="false" ht="15" hidden="false" customHeight="false" outlineLevel="0" collapsed="false">
      <c r="A2526" s="0" t="n">
        <v>2033</v>
      </c>
      <c r="B2526" s="0" t="n">
        <v>20.94581264</v>
      </c>
      <c r="C2526" s="0" t="n">
        <v>439.8620654</v>
      </c>
      <c r="E2526" s="0" t="n">
        <v>2034</v>
      </c>
      <c r="F2526" s="0" t="n">
        <v>13.539455</v>
      </c>
      <c r="G2526" s="0" t="n">
        <v>284.227688</v>
      </c>
      <c r="I2526" s="0" t="n">
        <v>2029</v>
      </c>
      <c r="J2526" s="0" t="n">
        <v>0.56</v>
      </c>
      <c r="K2526" s="0" t="n">
        <v>12.32</v>
      </c>
      <c r="M2526" s="0" t="n">
        <v>2034</v>
      </c>
      <c r="N2526" s="0" t="n">
        <v>7.3</v>
      </c>
      <c r="O2526" s="0" t="n">
        <v>152.3</v>
      </c>
      <c r="W2526" s="0" t="n">
        <v>2034</v>
      </c>
      <c r="X2526" s="0" t="n">
        <v>1634.72</v>
      </c>
    </row>
    <row r="2527" customFormat="false" ht="15" hidden="false" customHeight="false" outlineLevel="0" collapsed="false">
      <c r="A2527" s="0" t="n">
        <v>2033</v>
      </c>
      <c r="B2527" s="0" t="n">
        <v>77.36501975</v>
      </c>
      <c r="C2527" s="0" t="n">
        <v>1624.665415</v>
      </c>
      <c r="E2527" s="0" t="n">
        <v>2034</v>
      </c>
      <c r="F2527" s="0" t="n">
        <v>323.660855</v>
      </c>
      <c r="G2527" s="0" t="n">
        <v>6794.466728</v>
      </c>
      <c r="I2527" s="0" t="n">
        <v>2029</v>
      </c>
      <c r="J2527" s="0" t="n">
        <v>585.12</v>
      </c>
      <c r="K2527" s="0" t="n">
        <v>12284.64</v>
      </c>
      <c r="M2527" s="0" t="n">
        <v>2034</v>
      </c>
      <c r="N2527" s="0" t="n">
        <v>4.38</v>
      </c>
      <c r="O2527" s="0" t="n">
        <v>91.38</v>
      </c>
      <c r="W2527" s="0" t="n">
        <v>2034</v>
      </c>
      <c r="X2527" s="0" t="n">
        <v>730.816</v>
      </c>
    </row>
    <row r="2528" customFormat="false" ht="15" hidden="false" customHeight="false" outlineLevel="0" collapsed="false">
      <c r="A2528" s="0" t="n">
        <v>2033</v>
      </c>
      <c r="B2528" s="0" t="n">
        <v>24.21795275</v>
      </c>
      <c r="C2528" s="0" t="n">
        <v>508.5770078</v>
      </c>
      <c r="E2528" s="0" t="n">
        <v>2034</v>
      </c>
      <c r="F2528" s="0" t="n">
        <v>15.151835</v>
      </c>
      <c r="G2528" s="0" t="n">
        <v>318.075656</v>
      </c>
      <c r="I2528" s="0" t="n">
        <v>2029</v>
      </c>
      <c r="J2528" s="0" t="n">
        <v>195.04</v>
      </c>
      <c r="K2528" s="0" t="n">
        <v>4094.88</v>
      </c>
      <c r="M2528" s="0" t="n">
        <v>2034</v>
      </c>
      <c r="N2528" s="0" t="n">
        <v>3.65</v>
      </c>
      <c r="O2528" s="0" t="n">
        <v>76.15</v>
      </c>
      <c r="W2528" s="0" t="n">
        <v>2034</v>
      </c>
      <c r="X2528" s="0" t="n">
        <v>288.48</v>
      </c>
    </row>
    <row r="2529" customFormat="false" ht="15" hidden="false" customHeight="false" outlineLevel="0" collapsed="false">
      <c r="A2529" s="0" t="n">
        <v>2033</v>
      </c>
      <c r="B2529" s="0" t="n">
        <v>54.14986238</v>
      </c>
      <c r="C2529" s="0" t="n">
        <v>1137.14711</v>
      </c>
      <c r="E2529" s="0" t="n">
        <v>2034</v>
      </c>
      <c r="F2529" s="0" t="n">
        <v>82.84911</v>
      </c>
      <c r="G2529" s="0" t="n">
        <v>1739.214096</v>
      </c>
      <c r="I2529" s="0" t="n">
        <v>2029</v>
      </c>
      <c r="J2529" s="0" t="n">
        <v>85.33</v>
      </c>
      <c r="K2529" s="0" t="n">
        <v>1791.51</v>
      </c>
      <c r="M2529" s="0" t="n">
        <v>2034</v>
      </c>
      <c r="N2529" s="0" t="n">
        <v>2.92</v>
      </c>
      <c r="O2529" s="0" t="n">
        <v>60.92</v>
      </c>
      <c r="W2529" s="0" t="n">
        <v>2034</v>
      </c>
      <c r="X2529" s="0" t="n">
        <v>423.104</v>
      </c>
    </row>
    <row r="2530" customFormat="false" ht="15" hidden="false" customHeight="false" outlineLevel="0" collapsed="false">
      <c r="A2530" s="0" t="n">
        <v>2033</v>
      </c>
      <c r="B2530" s="0" t="n">
        <v>159.6822575</v>
      </c>
      <c r="C2530" s="0" t="n">
        <v>3353.327408</v>
      </c>
      <c r="E2530" s="0" t="n">
        <v>2034</v>
      </c>
      <c r="F2530" s="0" t="n">
        <v>75.75743</v>
      </c>
      <c r="G2530" s="0" t="n">
        <v>1590.341648</v>
      </c>
      <c r="I2530" s="0" t="n">
        <v>2029</v>
      </c>
      <c r="J2530" s="0" t="n">
        <v>48.76</v>
      </c>
      <c r="K2530" s="0" t="n">
        <v>1023.72</v>
      </c>
      <c r="M2530" s="0" t="n">
        <v>2034</v>
      </c>
      <c r="N2530" s="0" t="n">
        <v>1.46</v>
      </c>
      <c r="O2530" s="0" t="n">
        <v>30.46</v>
      </c>
      <c r="W2530" s="0" t="n">
        <v>2034</v>
      </c>
      <c r="X2530" s="0" t="n">
        <v>326.944</v>
      </c>
    </row>
    <row r="2531" customFormat="false" ht="15" hidden="false" customHeight="false" outlineLevel="0" collapsed="false">
      <c r="A2531" s="0" t="n">
        <v>2033</v>
      </c>
      <c r="B2531" s="0" t="n">
        <v>40.27658721</v>
      </c>
      <c r="C2531" s="0" t="n">
        <v>845.8083315</v>
      </c>
      <c r="E2531" s="0" t="n">
        <v>2034</v>
      </c>
      <c r="F2531" s="0" t="n">
        <v>300.660165</v>
      </c>
      <c r="G2531" s="0" t="n">
        <v>6312.321618</v>
      </c>
      <c r="I2531" s="0" t="n">
        <v>2029</v>
      </c>
      <c r="J2531" s="0" t="n">
        <v>48.76</v>
      </c>
      <c r="K2531" s="0" t="n">
        <v>1023.72</v>
      </c>
      <c r="M2531" s="0" t="n">
        <v>2034</v>
      </c>
      <c r="N2531" s="0" t="n">
        <v>49.02</v>
      </c>
      <c r="O2531" s="0" t="n">
        <v>1022.96</v>
      </c>
      <c r="W2531" s="0" t="n">
        <v>2034</v>
      </c>
      <c r="X2531" s="0" t="n">
        <v>16085.9</v>
      </c>
    </row>
    <row r="2532" customFormat="false" ht="15" hidden="false" customHeight="false" outlineLevel="0" collapsed="false">
      <c r="A2532" s="0" t="n">
        <v>2033</v>
      </c>
      <c r="B2532" s="0" t="n">
        <v>35.91687065</v>
      </c>
      <c r="C2532" s="0" t="n">
        <v>754.2542836</v>
      </c>
      <c r="E2532" s="0" t="n">
        <v>2034</v>
      </c>
      <c r="F2532" s="0" t="n">
        <v>80.730585</v>
      </c>
      <c r="G2532" s="0" t="n">
        <v>1694.928282</v>
      </c>
      <c r="I2532" s="0" t="n">
        <v>2029</v>
      </c>
      <c r="J2532" s="0" t="n">
        <v>24.38</v>
      </c>
      <c r="K2532" s="0" t="n">
        <v>511.86</v>
      </c>
      <c r="M2532" s="0" t="n">
        <v>2034</v>
      </c>
      <c r="N2532" s="0" t="n">
        <v>32.25</v>
      </c>
      <c r="O2532" s="0" t="n">
        <v>673</v>
      </c>
      <c r="W2532" s="0" t="n">
        <v>2034</v>
      </c>
      <c r="X2532" s="0" t="n">
        <v>4021.475</v>
      </c>
    </row>
    <row r="2533" customFormat="false" ht="15" hidden="false" customHeight="false" outlineLevel="0" collapsed="false">
      <c r="A2533" s="0" t="n">
        <v>2033</v>
      </c>
      <c r="B2533" s="0" t="n">
        <v>24.97805494</v>
      </c>
      <c r="C2533" s="0" t="n">
        <v>524.5391538</v>
      </c>
      <c r="E2533" s="0" t="n">
        <v>2034</v>
      </c>
      <c r="F2533" s="0" t="n">
        <v>32.313645</v>
      </c>
      <c r="G2533" s="0" t="n">
        <v>678.420834</v>
      </c>
      <c r="I2533" s="0" t="n">
        <v>2029</v>
      </c>
      <c r="J2533" s="0" t="n">
        <v>24.38</v>
      </c>
      <c r="K2533" s="0" t="n">
        <v>511.86</v>
      </c>
      <c r="M2533" s="0" t="n">
        <v>2034</v>
      </c>
      <c r="N2533" s="0" t="n">
        <v>12.9</v>
      </c>
      <c r="O2533" s="0" t="n">
        <v>269.2</v>
      </c>
      <c r="W2533" s="0" t="n">
        <v>2034</v>
      </c>
      <c r="X2533" s="0" t="n">
        <v>1245.36</v>
      </c>
    </row>
    <row r="2534" customFormat="false" ht="15" hidden="false" customHeight="false" outlineLevel="0" collapsed="false">
      <c r="A2534" s="0" t="n">
        <v>2033</v>
      </c>
      <c r="B2534" s="0" t="n">
        <v>18.57951233</v>
      </c>
      <c r="C2534" s="0" t="n">
        <v>390.1697589</v>
      </c>
      <c r="E2534" s="0" t="n">
        <v>2034</v>
      </c>
      <c r="F2534" s="0" t="n">
        <v>4.539015</v>
      </c>
      <c r="G2534" s="0" t="n">
        <v>95.296038</v>
      </c>
      <c r="I2534" s="0" t="n">
        <v>2029</v>
      </c>
      <c r="J2534" s="0" t="n">
        <v>48.76</v>
      </c>
      <c r="K2534" s="0" t="n">
        <v>1023.72</v>
      </c>
      <c r="M2534" s="0" t="n">
        <v>2034</v>
      </c>
      <c r="N2534" s="0" t="n">
        <v>12.9</v>
      </c>
      <c r="O2534" s="0" t="n">
        <v>269.2</v>
      </c>
      <c r="W2534" s="0" t="n">
        <v>2034</v>
      </c>
      <c r="X2534" s="0" t="n">
        <v>2205.325</v>
      </c>
    </row>
    <row r="2535" customFormat="false" ht="15" hidden="false" customHeight="false" outlineLevel="0" collapsed="false">
      <c r="A2535" s="0" t="n">
        <v>2033</v>
      </c>
      <c r="B2535" s="0" t="n">
        <v>8.257561036</v>
      </c>
      <c r="C2535" s="0" t="n">
        <v>173.4087817</v>
      </c>
      <c r="E2535" s="0" t="n">
        <v>2034</v>
      </c>
      <c r="F2535" s="0" t="n">
        <v>108.505215</v>
      </c>
      <c r="G2535" s="0" t="n">
        <v>2278.053078</v>
      </c>
      <c r="I2535" s="0" t="n">
        <v>2029</v>
      </c>
      <c r="J2535" s="0" t="n">
        <v>85.33</v>
      </c>
      <c r="K2535" s="0" t="n">
        <v>1791.51</v>
      </c>
      <c r="M2535" s="0" t="n">
        <v>2034</v>
      </c>
      <c r="N2535" s="0" t="n">
        <v>7.74</v>
      </c>
      <c r="O2535" s="0" t="n">
        <v>161.52</v>
      </c>
      <c r="W2535" s="0" t="n">
        <v>2034</v>
      </c>
      <c r="X2535" s="0" t="n">
        <v>985.91</v>
      </c>
    </row>
    <row r="2536" customFormat="false" ht="15" hidden="false" customHeight="false" outlineLevel="0" collapsed="false">
      <c r="A2536" s="0" t="n">
        <v>2033</v>
      </c>
      <c r="B2536" s="0" t="n">
        <v>30.49995642</v>
      </c>
      <c r="C2536" s="0" t="n">
        <v>640.4990847</v>
      </c>
      <c r="E2536" s="0" t="n">
        <v>2034</v>
      </c>
      <c r="F2536" s="0" t="n">
        <v>5.079555</v>
      </c>
      <c r="G2536" s="0" t="n">
        <v>106.644606</v>
      </c>
      <c r="I2536" s="0" t="n">
        <v>2029</v>
      </c>
      <c r="J2536" s="0" t="n">
        <v>36.57</v>
      </c>
      <c r="K2536" s="0" t="n">
        <v>767.79</v>
      </c>
      <c r="M2536" s="0" t="n">
        <v>2034</v>
      </c>
      <c r="N2536" s="0" t="n">
        <v>6.45</v>
      </c>
      <c r="O2536" s="0" t="n">
        <v>134.6</v>
      </c>
      <c r="W2536" s="0" t="n">
        <v>2034</v>
      </c>
      <c r="X2536" s="0" t="n">
        <v>389.175</v>
      </c>
    </row>
    <row r="2537" customFormat="false" ht="15" hidden="false" customHeight="false" outlineLevel="0" collapsed="false">
      <c r="A2537" s="0" t="n">
        <v>2033</v>
      </c>
      <c r="B2537" s="0" t="n">
        <v>9.547551412</v>
      </c>
      <c r="C2537" s="0" t="n">
        <v>200.4985796</v>
      </c>
      <c r="E2537" s="0" t="n">
        <v>2034</v>
      </c>
      <c r="F2537" s="0" t="n">
        <v>27.77463</v>
      </c>
      <c r="G2537" s="0" t="n">
        <v>583.124796</v>
      </c>
      <c r="I2537" s="0" t="n">
        <v>2029</v>
      </c>
      <c r="J2537" s="0" t="n">
        <v>36.57</v>
      </c>
      <c r="K2537" s="0" t="n">
        <v>767.79</v>
      </c>
      <c r="M2537" s="0" t="n">
        <v>2034</v>
      </c>
      <c r="N2537" s="0" t="n">
        <v>5.16</v>
      </c>
      <c r="O2537" s="0" t="n">
        <v>107.68</v>
      </c>
      <c r="W2537" s="0" t="n">
        <v>2034</v>
      </c>
      <c r="X2537" s="0" t="n">
        <v>570.79</v>
      </c>
    </row>
    <row r="2538" customFormat="false" ht="15" hidden="false" customHeight="false" outlineLevel="0" collapsed="false">
      <c r="A2538" s="0" t="n">
        <v>2033</v>
      </c>
      <c r="B2538" s="0" t="n">
        <v>21.3477415</v>
      </c>
      <c r="C2538" s="0" t="n">
        <v>448.3025714</v>
      </c>
      <c r="E2538" s="0" t="n">
        <v>2034</v>
      </c>
      <c r="F2538" s="0" t="n">
        <v>25.39719</v>
      </c>
      <c r="G2538" s="0" t="n">
        <v>533.210748</v>
      </c>
      <c r="I2538" s="0" t="n">
        <v>2029</v>
      </c>
      <c r="J2538" s="0" t="n">
        <v>56.16</v>
      </c>
      <c r="K2538" s="0" t="n">
        <v>1174.68</v>
      </c>
      <c r="M2538" s="0" t="n">
        <v>2034</v>
      </c>
      <c r="N2538" s="0" t="n">
        <v>2.58</v>
      </c>
      <c r="O2538" s="0" t="n">
        <v>53.84</v>
      </c>
      <c r="W2538" s="0" t="n">
        <v>2034</v>
      </c>
      <c r="X2538" s="0" t="n">
        <v>441.065</v>
      </c>
    </row>
    <row r="2539" customFormat="false" ht="15" hidden="false" customHeight="false" outlineLevel="0" collapsed="false">
      <c r="A2539" s="0" t="n">
        <v>2033</v>
      </c>
      <c r="B2539" s="0" t="n">
        <v>312.5635788</v>
      </c>
      <c r="C2539" s="0" t="n">
        <v>6563.835154</v>
      </c>
      <c r="E2539" s="0" t="n">
        <v>2034</v>
      </c>
      <c r="F2539" s="0" t="n">
        <v>412.187098</v>
      </c>
      <c r="G2539" s="0" t="n">
        <v>8654.387211</v>
      </c>
      <c r="I2539" s="0" t="n">
        <v>2029</v>
      </c>
      <c r="J2539" s="0" t="n">
        <v>8.64</v>
      </c>
      <c r="K2539" s="0" t="n">
        <v>180.72</v>
      </c>
      <c r="M2539" s="0" t="n">
        <v>2034</v>
      </c>
      <c r="N2539" s="0" t="n">
        <v>57.76</v>
      </c>
      <c r="O2539" s="0" t="n">
        <v>1207.26</v>
      </c>
      <c r="W2539" s="0" t="n">
        <v>2034</v>
      </c>
      <c r="X2539" s="0" t="n">
        <v>9822.66</v>
      </c>
    </row>
    <row r="2540" customFormat="false" ht="15" hidden="false" customHeight="false" outlineLevel="0" collapsed="false">
      <c r="A2540" s="0" t="n">
        <v>2033</v>
      </c>
      <c r="B2540" s="0" t="n">
        <v>78.83777719</v>
      </c>
      <c r="C2540" s="0" t="n">
        <v>1655.593321</v>
      </c>
      <c r="E2540" s="0" t="n">
        <v>2034</v>
      </c>
      <c r="F2540" s="0" t="n">
        <v>110.676802</v>
      </c>
      <c r="G2540" s="0" t="n">
        <v>2323.798839</v>
      </c>
      <c r="I2540" s="0" t="n">
        <v>2029</v>
      </c>
      <c r="J2540" s="0" t="n">
        <v>6.48</v>
      </c>
      <c r="K2540" s="0" t="n">
        <v>135.54</v>
      </c>
      <c r="M2540" s="0" t="n">
        <v>2034</v>
      </c>
      <c r="N2540" s="0" t="n">
        <v>38</v>
      </c>
      <c r="O2540" s="0" t="n">
        <v>794.25</v>
      </c>
      <c r="W2540" s="0" t="n">
        <v>2034</v>
      </c>
      <c r="X2540" s="0" t="n">
        <v>2455.665</v>
      </c>
    </row>
    <row r="2541" customFormat="false" ht="15" hidden="false" customHeight="false" outlineLevel="0" collapsed="false">
      <c r="A2541" s="0" t="n">
        <v>2033</v>
      </c>
      <c r="B2541" s="0" t="n">
        <v>70.30402627</v>
      </c>
      <c r="C2541" s="0" t="n">
        <v>1476.384552</v>
      </c>
      <c r="E2541" s="0" t="n">
        <v>2034</v>
      </c>
      <c r="F2541" s="0" t="n">
        <v>44.300074</v>
      </c>
      <c r="G2541" s="0" t="n">
        <v>930.135843</v>
      </c>
      <c r="I2541" s="0" t="n">
        <v>2029</v>
      </c>
      <c r="J2541" s="0" t="n">
        <v>10.8</v>
      </c>
      <c r="K2541" s="0" t="n">
        <v>225.9</v>
      </c>
      <c r="M2541" s="0" t="n">
        <v>2034</v>
      </c>
      <c r="N2541" s="0" t="n">
        <v>15.2</v>
      </c>
      <c r="O2541" s="0" t="n">
        <v>317.7</v>
      </c>
      <c r="W2541" s="0" t="n">
        <v>2034</v>
      </c>
      <c r="X2541" s="0" t="n">
        <v>760.464</v>
      </c>
    </row>
    <row r="2542" customFormat="false" ht="15" hidden="false" customHeight="false" outlineLevel="0" collapsed="false">
      <c r="A2542" s="0" t="n">
        <v>2033</v>
      </c>
      <c r="B2542" s="0" t="n">
        <v>48.89228374</v>
      </c>
      <c r="C2542" s="0" t="n">
        <v>1026.737959</v>
      </c>
      <c r="E2542" s="0" t="n">
        <v>2034</v>
      </c>
      <c r="F2542" s="0" t="n">
        <v>6.222718</v>
      </c>
      <c r="G2542" s="0" t="n">
        <v>130.653801</v>
      </c>
      <c r="I2542" s="0" t="n">
        <v>2029</v>
      </c>
      <c r="J2542" s="0" t="n">
        <v>2.16</v>
      </c>
      <c r="K2542" s="0" t="n">
        <v>45.18</v>
      </c>
      <c r="M2542" s="0" t="n">
        <v>2034</v>
      </c>
      <c r="N2542" s="0" t="n">
        <v>15.2</v>
      </c>
      <c r="O2542" s="0" t="n">
        <v>317.7</v>
      </c>
      <c r="W2542" s="0" t="n">
        <v>2034</v>
      </c>
      <c r="X2542" s="0" t="n">
        <v>1346.655</v>
      </c>
    </row>
    <row r="2543" customFormat="false" ht="15" hidden="false" customHeight="false" outlineLevel="0" collapsed="false">
      <c r="A2543" s="0" t="n">
        <v>2033</v>
      </c>
      <c r="B2543" s="0" t="n">
        <v>36.36771521</v>
      </c>
      <c r="C2543" s="0" t="n">
        <v>763.7220194</v>
      </c>
      <c r="E2543" s="0" t="n">
        <v>2034</v>
      </c>
      <c r="F2543" s="0" t="n">
        <v>148.754158</v>
      </c>
      <c r="G2543" s="0" t="n">
        <v>3123.280881</v>
      </c>
      <c r="I2543" s="0" t="n">
        <v>2029</v>
      </c>
      <c r="J2543" s="0" t="n">
        <v>2.16</v>
      </c>
      <c r="K2543" s="0" t="n">
        <v>45.18</v>
      </c>
      <c r="M2543" s="0" t="n">
        <v>2034</v>
      </c>
      <c r="N2543" s="0" t="n">
        <v>9.12</v>
      </c>
      <c r="O2543" s="0" t="n">
        <v>190.62</v>
      </c>
      <c r="W2543" s="0" t="n">
        <v>2034</v>
      </c>
      <c r="X2543" s="0" t="n">
        <v>602.034</v>
      </c>
    </row>
    <row r="2544" customFormat="false" ht="15" hidden="false" customHeight="false" outlineLevel="0" collapsed="false">
      <c r="A2544" s="0" t="n">
        <v>2033</v>
      </c>
      <c r="B2544" s="0" t="n">
        <v>16.16342898</v>
      </c>
      <c r="C2544" s="0" t="n">
        <v>339.4320086</v>
      </c>
      <c r="E2544" s="0" t="n">
        <v>2034</v>
      </c>
      <c r="F2544" s="0" t="n">
        <v>6.963766</v>
      </c>
      <c r="G2544" s="0" t="n">
        <v>146.213037</v>
      </c>
      <c r="I2544" s="0" t="n">
        <v>2029</v>
      </c>
      <c r="J2544" s="0" t="n">
        <v>0</v>
      </c>
      <c r="K2544" s="0" t="n">
        <v>0</v>
      </c>
      <c r="M2544" s="0" t="n">
        <v>2034</v>
      </c>
      <c r="N2544" s="0" t="n">
        <v>7.6</v>
      </c>
      <c r="O2544" s="0" t="n">
        <v>158.85</v>
      </c>
      <c r="W2544" s="0" t="n">
        <v>2034</v>
      </c>
      <c r="X2544" s="0" t="n">
        <v>237.645</v>
      </c>
    </row>
    <row r="2545" customFormat="false" ht="15" hidden="false" customHeight="false" outlineLevel="0" collapsed="false">
      <c r="A2545" s="0" t="n">
        <v>2033</v>
      </c>
      <c r="B2545" s="0" t="n">
        <v>59.70090652</v>
      </c>
      <c r="C2545" s="0" t="n">
        <v>1253.719037</v>
      </c>
      <c r="E2545" s="0" t="n">
        <v>2034</v>
      </c>
      <c r="F2545" s="0" t="n">
        <v>38.077356</v>
      </c>
      <c r="G2545" s="0" t="n">
        <v>799.482042</v>
      </c>
      <c r="I2545" s="0" t="n">
        <v>2029</v>
      </c>
      <c r="J2545" s="0" t="n">
        <v>4.32</v>
      </c>
      <c r="K2545" s="0" t="n">
        <v>90.36</v>
      </c>
      <c r="M2545" s="0" t="n">
        <v>2034</v>
      </c>
      <c r="N2545" s="0" t="n">
        <v>6.08</v>
      </c>
      <c r="O2545" s="0" t="n">
        <v>127.08</v>
      </c>
      <c r="W2545" s="0" t="n">
        <v>2034</v>
      </c>
      <c r="X2545" s="0" t="n">
        <v>348.546</v>
      </c>
    </row>
    <row r="2546" customFormat="false" ht="15" hidden="false" customHeight="false" outlineLevel="0" collapsed="false">
      <c r="A2546" s="0" t="n">
        <v>2033</v>
      </c>
      <c r="B2546" s="0" t="n">
        <v>18.68846849</v>
      </c>
      <c r="C2546" s="0" t="n">
        <v>392.4578382</v>
      </c>
      <c r="E2546" s="0" t="n">
        <v>2034</v>
      </c>
      <c r="F2546" s="0" t="n">
        <v>34.818028</v>
      </c>
      <c r="G2546" s="0" t="n">
        <v>731.048346</v>
      </c>
      <c r="I2546" s="0" t="n">
        <v>2029</v>
      </c>
      <c r="J2546" s="0" t="n">
        <v>7.56</v>
      </c>
      <c r="K2546" s="0" t="n">
        <v>158.13</v>
      </c>
      <c r="M2546" s="0" t="n">
        <v>2034</v>
      </c>
      <c r="N2546" s="0" t="n">
        <v>3.04</v>
      </c>
      <c r="O2546" s="0" t="n">
        <v>63.54</v>
      </c>
      <c r="W2546" s="0" t="n">
        <v>2034</v>
      </c>
      <c r="X2546" s="0" t="n">
        <v>269.331</v>
      </c>
    </row>
    <row r="2547" customFormat="false" ht="15" hidden="false" customHeight="false" outlineLevel="0" collapsed="false">
      <c r="A2547" s="0" t="n">
        <v>2033</v>
      </c>
      <c r="B2547" s="0" t="n">
        <v>41.78627347</v>
      </c>
      <c r="C2547" s="0" t="n">
        <v>877.5117428</v>
      </c>
      <c r="E2547" s="0" t="n">
        <v>2034</v>
      </c>
      <c r="F2547" s="0" t="n">
        <v>541.702246</v>
      </c>
      <c r="G2547" s="0" t="n">
        <v>11372.14952</v>
      </c>
      <c r="I2547" s="0" t="n">
        <v>2029</v>
      </c>
      <c r="J2547" s="0" t="n">
        <v>2.16</v>
      </c>
      <c r="K2547" s="0" t="n">
        <v>45.18</v>
      </c>
      <c r="M2547" s="0" t="n">
        <v>2034</v>
      </c>
      <c r="N2547" s="0" t="n">
        <v>110.96</v>
      </c>
      <c r="O2547" s="0" t="n">
        <v>2324.84</v>
      </c>
      <c r="W2547" s="0" t="n">
        <v>2034</v>
      </c>
      <c r="X2547" s="0" t="n">
        <v>26764.16</v>
      </c>
    </row>
    <row r="2548" customFormat="false" ht="15" hidden="false" customHeight="false" outlineLevel="0" collapsed="false">
      <c r="A2548" s="0" t="n">
        <v>2033</v>
      </c>
      <c r="B2548" s="0" t="n">
        <v>205.6429229</v>
      </c>
      <c r="C2548" s="0" t="n">
        <v>4318.50138</v>
      </c>
      <c r="E2548" s="0" t="n">
        <v>2034</v>
      </c>
      <c r="F2548" s="0" t="n">
        <v>145.453054</v>
      </c>
      <c r="G2548" s="0" t="n">
        <v>3053.548127</v>
      </c>
      <c r="I2548" s="0" t="n">
        <v>2029</v>
      </c>
      <c r="J2548" s="0" t="n">
        <v>7.56</v>
      </c>
      <c r="K2548" s="0" t="n">
        <v>158.13</v>
      </c>
      <c r="M2548" s="0" t="n">
        <v>2034</v>
      </c>
      <c r="N2548" s="0" t="n">
        <v>73</v>
      </c>
      <c r="O2548" s="0" t="n">
        <v>1529.5</v>
      </c>
      <c r="W2548" s="0" t="n">
        <v>2034</v>
      </c>
      <c r="X2548" s="0" t="n">
        <v>6691.04</v>
      </c>
    </row>
    <row r="2549" customFormat="false" ht="15" hidden="false" customHeight="false" outlineLevel="0" collapsed="false">
      <c r="A2549" s="0" t="n">
        <v>2033</v>
      </c>
      <c r="B2549" s="0" t="n">
        <v>51.86922609</v>
      </c>
      <c r="C2549" s="0" t="n">
        <v>1089.253748</v>
      </c>
      <c r="E2549" s="0" t="n">
        <v>2034</v>
      </c>
      <c r="F2549" s="0" t="n">
        <v>58.219798</v>
      </c>
      <c r="G2549" s="0" t="n">
        <v>1222.229099</v>
      </c>
      <c r="I2549" s="0" t="n">
        <v>2029</v>
      </c>
      <c r="J2549" s="0" t="n">
        <v>430.08</v>
      </c>
      <c r="K2549" s="0" t="n">
        <v>9034.56</v>
      </c>
      <c r="M2549" s="0" t="n">
        <v>2034</v>
      </c>
      <c r="N2549" s="0" t="n">
        <v>29.2</v>
      </c>
      <c r="O2549" s="0" t="n">
        <v>611.8</v>
      </c>
      <c r="W2549" s="0" t="n">
        <v>2034</v>
      </c>
      <c r="X2549" s="0" t="n">
        <v>2072.064</v>
      </c>
    </row>
    <row r="2550" customFormat="false" ht="15" hidden="false" customHeight="false" outlineLevel="0" collapsed="false">
      <c r="A2550" s="0" t="n">
        <v>2033</v>
      </c>
      <c r="B2550" s="0" t="n">
        <v>46.25467083</v>
      </c>
      <c r="C2550" s="0" t="n">
        <v>971.3480875</v>
      </c>
      <c r="E2550" s="0" t="n">
        <v>2034</v>
      </c>
      <c r="F2550" s="0" t="n">
        <v>8.177986</v>
      </c>
      <c r="G2550" s="0" t="n">
        <v>171.683393</v>
      </c>
      <c r="I2550" s="0" t="n">
        <v>2029</v>
      </c>
      <c r="J2550" s="0" t="n">
        <v>143.36</v>
      </c>
      <c r="K2550" s="0" t="n">
        <v>3011.52</v>
      </c>
      <c r="M2550" s="0" t="n">
        <v>2034</v>
      </c>
      <c r="N2550" s="0" t="n">
        <v>29.2</v>
      </c>
      <c r="O2550" s="0" t="n">
        <v>611.8</v>
      </c>
      <c r="W2550" s="0" t="n">
        <v>2034</v>
      </c>
      <c r="X2550" s="0" t="n">
        <v>3669.28</v>
      </c>
    </row>
    <row r="2551" customFormat="false" ht="15" hidden="false" customHeight="false" outlineLevel="0" collapsed="false">
      <c r="A2551" s="0" t="n">
        <v>2033</v>
      </c>
      <c r="B2551" s="0" t="n">
        <v>32.16738231</v>
      </c>
      <c r="C2551" s="0" t="n">
        <v>675.5150285</v>
      </c>
      <c r="E2551" s="0" t="n">
        <v>2034</v>
      </c>
      <c r="F2551" s="0" t="n">
        <v>195.494866</v>
      </c>
      <c r="G2551" s="0" t="n">
        <v>4104.093833</v>
      </c>
      <c r="I2551" s="0" t="n">
        <v>2029</v>
      </c>
      <c r="J2551" s="0" t="n">
        <v>62.72</v>
      </c>
      <c r="K2551" s="0" t="n">
        <v>1317.54</v>
      </c>
      <c r="M2551" s="0" t="n">
        <v>2034</v>
      </c>
      <c r="N2551" s="0" t="n">
        <v>17.52</v>
      </c>
      <c r="O2551" s="0" t="n">
        <v>367.08</v>
      </c>
      <c r="W2551" s="0" t="n">
        <v>2034</v>
      </c>
      <c r="X2551" s="0" t="n">
        <v>1640.384</v>
      </c>
    </row>
    <row r="2552" customFormat="false" ht="15" hidden="false" customHeight="false" outlineLevel="0" collapsed="false">
      <c r="A2552" s="0" t="n">
        <v>2033</v>
      </c>
      <c r="B2552" s="0" t="n">
        <v>23.92717438</v>
      </c>
      <c r="C2552" s="0" t="n">
        <v>502.4706619</v>
      </c>
      <c r="E2552" s="0" t="n">
        <v>2034</v>
      </c>
      <c r="F2552" s="0" t="n">
        <v>9.151882</v>
      </c>
      <c r="G2552" s="0" t="n">
        <v>192.128741</v>
      </c>
      <c r="I2552" s="0" t="n">
        <v>2029</v>
      </c>
      <c r="J2552" s="0" t="n">
        <v>35.84</v>
      </c>
      <c r="K2552" s="0" t="n">
        <v>752.88</v>
      </c>
      <c r="M2552" s="0" t="n">
        <v>2034</v>
      </c>
      <c r="N2552" s="0" t="n">
        <v>14.6</v>
      </c>
      <c r="O2552" s="0" t="n">
        <v>305.9</v>
      </c>
      <c r="W2552" s="0" t="n">
        <v>2034</v>
      </c>
      <c r="X2552" s="0" t="n">
        <v>647.52</v>
      </c>
    </row>
    <row r="2553" customFormat="false" ht="15" hidden="false" customHeight="false" outlineLevel="0" collapsed="false">
      <c r="A2553" s="0" t="n">
        <v>2033</v>
      </c>
      <c r="B2553" s="0" t="n">
        <v>10.63429972</v>
      </c>
      <c r="C2553" s="0" t="n">
        <v>223.3202942</v>
      </c>
      <c r="E2553" s="0" t="n">
        <v>2034</v>
      </c>
      <c r="F2553" s="0" t="n">
        <v>50.041812</v>
      </c>
      <c r="G2553" s="0" t="n">
        <v>1050.545706</v>
      </c>
      <c r="I2553" s="0" t="n">
        <v>2029</v>
      </c>
      <c r="J2553" s="0" t="n">
        <v>35.84</v>
      </c>
      <c r="K2553" s="0" t="n">
        <v>752.88</v>
      </c>
      <c r="M2553" s="0" t="n">
        <v>2034</v>
      </c>
      <c r="N2553" s="0" t="n">
        <v>11.68</v>
      </c>
      <c r="O2553" s="0" t="n">
        <v>244.72</v>
      </c>
      <c r="W2553" s="0" t="n">
        <v>2034</v>
      </c>
      <c r="X2553" s="0" t="n">
        <v>949.696</v>
      </c>
    </row>
    <row r="2554" customFormat="false" ht="15" hidden="false" customHeight="false" outlineLevel="0" collapsed="false">
      <c r="A2554" s="0" t="n">
        <v>2033</v>
      </c>
      <c r="B2554" s="0" t="n">
        <v>39.27862921</v>
      </c>
      <c r="C2554" s="0" t="n">
        <v>824.8512134</v>
      </c>
      <c r="E2554" s="0" t="n">
        <v>2034</v>
      </c>
      <c r="F2554" s="0" t="n">
        <v>45.758356</v>
      </c>
      <c r="G2554" s="0" t="n">
        <v>960.621578</v>
      </c>
      <c r="I2554" s="0" t="n">
        <v>2029</v>
      </c>
      <c r="J2554" s="0" t="n">
        <v>17.92</v>
      </c>
      <c r="K2554" s="0" t="n">
        <v>376.44</v>
      </c>
      <c r="M2554" s="0" t="n">
        <v>2034</v>
      </c>
      <c r="N2554" s="0" t="n">
        <v>5.84</v>
      </c>
      <c r="O2554" s="0" t="n">
        <v>122.36</v>
      </c>
      <c r="W2554" s="0" t="n">
        <v>2034</v>
      </c>
      <c r="X2554" s="0" t="n">
        <v>733.856</v>
      </c>
    </row>
    <row r="2555" customFormat="false" ht="15" hidden="false" customHeight="false" outlineLevel="0" collapsed="false">
      <c r="A2555" s="0" t="n">
        <v>2033</v>
      </c>
      <c r="B2555" s="0" t="n">
        <v>12.29558255</v>
      </c>
      <c r="C2555" s="0" t="n">
        <v>258.2072335</v>
      </c>
      <c r="E2555" s="0" t="n">
        <v>2034</v>
      </c>
      <c r="F2555" s="0" t="n">
        <v>389.059393</v>
      </c>
      <c r="G2555" s="0" t="n">
        <v>8168.705406</v>
      </c>
      <c r="I2555" s="0" t="n">
        <v>2029</v>
      </c>
      <c r="J2555" s="0" t="n">
        <v>17.92</v>
      </c>
      <c r="K2555" s="0" t="n">
        <v>376.44</v>
      </c>
      <c r="M2555" s="0" t="n">
        <v>2034</v>
      </c>
      <c r="N2555" s="0" t="n">
        <v>111.34</v>
      </c>
      <c r="O2555" s="0" t="n">
        <v>2330.92</v>
      </c>
      <c r="W2555" s="0" t="n">
        <v>2034</v>
      </c>
      <c r="X2555" s="0" t="n">
        <v>14326.96</v>
      </c>
    </row>
    <row r="2556" customFormat="false" ht="15" hidden="false" customHeight="false" outlineLevel="0" collapsed="false">
      <c r="A2556" s="0" t="n">
        <v>2033</v>
      </c>
      <c r="B2556" s="0" t="n">
        <v>27.49217118</v>
      </c>
      <c r="C2556" s="0" t="n">
        <v>577.3355947</v>
      </c>
      <c r="E2556" s="0" t="n">
        <v>2034</v>
      </c>
      <c r="F2556" s="0" t="n">
        <v>104.466757</v>
      </c>
      <c r="G2556" s="0" t="n">
        <v>2193.387894</v>
      </c>
      <c r="I2556" s="0" t="n">
        <v>2029</v>
      </c>
      <c r="J2556" s="0" t="n">
        <v>35.84</v>
      </c>
      <c r="K2556" s="0" t="n">
        <v>752.88</v>
      </c>
      <c r="M2556" s="0" t="n">
        <v>2034</v>
      </c>
      <c r="N2556" s="0" t="n">
        <v>73.25</v>
      </c>
      <c r="O2556" s="0" t="n">
        <v>1533.5</v>
      </c>
      <c r="W2556" s="0" t="n">
        <v>2034</v>
      </c>
      <c r="X2556" s="0" t="n">
        <v>3581.74</v>
      </c>
    </row>
    <row r="2557" customFormat="false" ht="15" hidden="false" customHeight="false" outlineLevel="0" collapsed="false">
      <c r="A2557" s="0" t="n">
        <v>2033</v>
      </c>
      <c r="B2557" s="0" t="n">
        <v>140.0247567</v>
      </c>
      <c r="C2557" s="0" t="n">
        <v>2940.519892</v>
      </c>
      <c r="E2557" s="0" t="n">
        <v>2034</v>
      </c>
      <c r="F2557" s="0" t="n">
        <v>41.814409</v>
      </c>
      <c r="G2557" s="0" t="n">
        <v>877.936878</v>
      </c>
      <c r="I2557" s="0" t="n">
        <v>2029</v>
      </c>
      <c r="J2557" s="0" t="n">
        <v>62.72</v>
      </c>
      <c r="K2557" s="0" t="n">
        <v>1317.54</v>
      </c>
      <c r="M2557" s="0" t="n">
        <v>2034</v>
      </c>
      <c r="N2557" s="0" t="n">
        <v>29.3</v>
      </c>
      <c r="O2557" s="0" t="n">
        <v>613.4</v>
      </c>
      <c r="W2557" s="0" t="n">
        <v>2034</v>
      </c>
      <c r="X2557" s="0" t="n">
        <v>1109.184</v>
      </c>
    </row>
    <row r="2558" customFormat="false" ht="15" hidden="false" customHeight="false" outlineLevel="0" collapsed="false">
      <c r="A2558" s="0" t="n">
        <v>2033</v>
      </c>
      <c r="B2558" s="0" t="n">
        <v>35.31838424</v>
      </c>
      <c r="C2558" s="0" t="n">
        <v>741.686069</v>
      </c>
      <c r="E2558" s="0" t="n">
        <v>2034</v>
      </c>
      <c r="F2558" s="0" t="n">
        <v>5.873563</v>
      </c>
      <c r="G2558" s="0" t="n">
        <v>123.321546</v>
      </c>
      <c r="I2558" s="0" t="n">
        <v>2029</v>
      </c>
      <c r="J2558" s="0" t="n">
        <v>26.88</v>
      </c>
      <c r="K2558" s="0" t="n">
        <v>564.66</v>
      </c>
      <c r="M2558" s="0" t="n">
        <v>2034</v>
      </c>
      <c r="N2558" s="0" t="n">
        <v>29.3</v>
      </c>
      <c r="O2558" s="0" t="n">
        <v>613.4</v>
      </c>
      <c r="W2558" s="0" t="n">
        <v>2034</v>
      </c>
      <c r="X2558" s="0" t="n">
        <v>1964.18</v>
      </c>
    </row>
    <row r="2559" customFormat="false" ht="15" hidden="false" customHeight="false" outlineLevel="0" collapsed="false">
      <c r="A2559" s="0" t="n">
        <v>2033</v>
      </c>
      <c r="B2559" s="0" t="n">
        <v>31.49536557</v>
      </c>
      <c r="C2559" s="0" t="n">
        <v>661.4026769</v>
      </c>
      <c r="E2559" s="0" t="n">
        <v>2034</v>
      </c>
      <c r="F2559" s="0" t="n">
        <v>140.407603</v>
      </c>
      <c r="G2559" s="0" t="n">
        <v>2948.003226</v>
      </c>
      <c r="I2559" s="0" t="n">
        <v>2029</v>
      </c>
      <c r="J2559" s="0" t="n">
        <v>26.88</v>
      </c>
      <c r="K2559" s="0" t="n">
        <v>564.66</v>
      </c>
      <c r="M2559" s="0" t="n">
        <v>2034</v>
      </c>
      <c r="N2559" s="0" t="n">
        <v>17.58</v>
      </c>
      <c r="O2559" s="0" t="n">
        <v>368.04</v>
      </c>
      <c r="W2559" s="0" t="n">
        <v>2034</v>
      </c>
      <c r="X2559" s="0" t="n">
        <v>878.104</v>
      </c>
    </row>
    <row r="2560" customFormat="false" ht="15" hidden="false" customHeight="false" outlineLevel="0" collapsed="false">
      <c r="A2560" s="0" t="n">
        <v>2033</v>
      </c>
      <c r="B2560" s="0" t="n">
        <v>21.9031602</v>
      </c>
      <c r="C2560" s="0" t="n">
        <v>459.9663641</v>
      </c>
      <c r="E2560" s="0" t="n">
        <v>2034</v>
      </c>
      <c r="F2560" s="0" t="n">
        <v>6.573031</v>
      </c>
      <c r="G2560" s="0" t="n">
        <v>138.007602</v>
      </c>
      <c r="I2560" s="0" t="n">
        <v>2029</v>
      </c>
      <c r="J2560" s="0" t="n">
        <v>54.6</v>
      </c>
      <c r="K2560" s="0" t="n">
        <v>1144.52</v>
      </c>
      <c r="M2560" s="0" t="n">
        <v>2034</v>
      </c>
      <c r="N2560" s="0" t="n">
        <v>14.65</v>
      </c>
      <c r="O2560" s="0" t="n">
        <v>306.7</v>
      </c>
      <c r="W2560" s="0" t="n">
        <v>2034</v>
      </c>
      <c r="X2560" s="0" t="n">
        <v>346.62</v>
      </c>
    </row>
    <row r="2561" customFormat="false" ht="15" hidden="false" customHeight="false" outlineLevel="0" collapsed="false">
      <c r="A2561" s="0" t="n">
        <v>2033</v>
      </c>
      <c r="B2561" s="0" t="n">
        <v>16.29230282</v>
      </c>
      <c r="C2561" s="0" t="n">
        <v>342.1383592</v>
      </c>
      <c r="E2561" s="0" t="n">
        <v>2034</v>
      </c>
      <c r="F2561" s="0" t="n">
        <v>35.940846</v>
      </c>
      <c r="G2561" s="0" t="n">
        <v>754.615332</v>
      </c>
      <c r="I2561" s="0" t="n">
        <v>2029</v>
      </c>
      <c r="J2561" s="0" t="n">
        <v>8.4</v>
      </c>
      <c r="K2561" s="0" t="n">
        <v>176.08</v>
      </c>
      <c r="M2561" s="0" t="n">
        <v>2034</v>
      </c>
      <c r="N2561" s="0" t="n">
        <v>11.72</v>
      </c>
      <c r="O2561" s="0" t="n">
        <v>245.36</v>
      </c>
      <c r="W2561" s="0" t="n">
        <v>2034</v>
      </c>
      <c r="X2561" s="0" t="n">
        <v>508.376</v>
      </c>
    </row>
    <row r="2562" customFormat="false" ht="15" hidden="false" customHeight="false" outlineLevel="0" collapsed="false">
      <c r="A2562" s="0" t="n">
        <v>2033</v>
      </c>
      <c r="B2562" s="0" t="n">
        <v>7.241023475</v>
      </c>
      <c r="C2562" s="0" t="n">
        <v>152.061493</v>
      </c>
      <c r="E2562" s="0" t="n">
        <v>2034</v>
      </c>
      <c r="F2562" s="0" t="n">
        <v>32.864398</v>
      </c>
      <c r="G2562" s="0" t="n">
        <v>690.022116</v>
      </c>
      <c r="I2562" s="0" t="n">
        <v>2029</v>
      </c>
      <c r="J2562" s="0" t="n">
        <v>6.3</v>
      </c>
      <c r="K2562" s="0" t="n">
        <v>132.06</v>
      </c>
      <c r="M2562" s="0" t="n">
        <v>2034</v>
      </c>
      <c r="N2562" s="0" t="n">
        <v>5.86</v>
      </c>
      <c r="O2562" s="0" t="n">
        <v>122.68</v>
      </c>
      <c r="W2562" s="0" t="n">
        <v>2034</v>
      </c>
      <c r="X2562" s="0" t="n">
        <v>392.836</v>
      </c>
    </row>
    <row r="2563" customFormat="false" ht="15" hidden="false" customHeight="false" outlineLevel="0" collapsed="false">
      <c r="A2563" s="0" t="n">
        <v>2033</v>
      </c>
      <c r="B2563" s="0" t="n">
        <v>26.74529434</v>
      </c>
      <c r="C2563" s="0" t="n">
        <v>561.6511811</v>
      </c>
      <c r="E2563" s="0" t="n">
        <v>2034</v>
      </c>
      <c r="F2563" s="0" t="n">
        <v>353.082963</v>
      </c>
      <c r="G2563" s="0" t="n">
        <v>7407.032988</v>
      </c>
      <c r="I2563" s="0" t="n">
        <v>2029</v>
      </c>
      <c r="J2563" s="0" t="n">
        <v>10.5</v>
      </c>
      <c r="K2563" s="0" t="n">
        <v>220.1</v>
      </c>
      <c r="M2563" s="0" t="n">
        <v>2034</v>
      </c>
      <c r="N2563" s="0" t="n">
        <v>619.78</v>
      </c>
      <c r="O2563" s="0" t="n">
        <v>13011.96</v>
      </c>
      <c r="W2563" s="0" t="n">
        <v>2034</v>
      </c>
      <c r="X2563" s="0" t="n">
        <v>5994.16</v>
      </c>
    </row>
    <row r="2564" customFormat="false" ht="15" hidden="false" customHeight="false" outlineLevel="0" collapsed="false">
      <c r="A2564" s="0" t="n">
        <v>2033</v>
      </c>
      <c r="B2564" s="0" t="n">
        <v>8.372211069</v>
      </c>
      <c r="C2564" s="0" t="n">
        <v>175.8164324</v>
      </c>
      <c r="E2564" s="0" t="n">
        <v>2034</v>
      </c>
      <c r="F2564" s="0" t="n">
        <v>94.806687</v>
      </c>
      <c r="G2564" s="0" t="n">
        <v>1988.870412</v>
      </c>
      <c r="I2564" s="0" t="n">
        <v>2029</v>
      </c>
      <c r="J2564" s="0" t="n">
        <v>2.1</v>
      </c>
      <c r="K2564" s="0" t="n">
        <v>44.02</v>
      </c>
      <c r="M2564" s="0" t="n">
        <v>2034</v>
      </c>
      <c r="N2564" s="0" t="n">
        <v>407.75</v>
      </c>
      <c r="O2564" s="0" t="n">
        <v>8560.5</v>
      </c>
      <c r="W2564" s="0" t="n">
        <v>2034</v>
      </c>
      <c r="X2564" s="0" t="n">
        <v>1498.54</v>
      </c>
    </row>
    <row r="2565" customFormat="false" ht="15" hidden="false" customHeight="false" outlineLevel="0" collapsed="false">
      <c r="A2565" s="0" t="n">
        <v>2033</v>
      </c>
      <c r="B2565" s="0" t="n">
        <v>18.71975232</v>
      </c>
      <c r="C2565" s="0" t="n">
        <v>393.1147986</v>
      </c>
      <c r="E2565" s="0" t="n">
        <v>2034</v>
      </c>
      <c r="F2565" s="0" t="n">
        <v>37.947819</v>
      </c>
      <c r="G2565" s="0" t="n">
        <v>796.075644</v>
      </c>
      <c r="I2565" s="0" t="n">
        <v>2029</v>
      </c>
      <c r="J2565" s="0" t="n">
        <v>2.1</v>
      </c>
      <c r="K2565" s="0" t="n">
        <v>44.02</v>
      </c>
      <c r="M2565" s="0" t="n">
        <v>2034</v>
      </c>
      <c r="N2565" s="0" t="n">
        <v>163.1</v>
      </c>
      <c r="O2565" s="0" t="n">
        <v>3424.2</v>
      </c>
      <c r="W2565" s="0" t="n">
        <v>2034</v>
      </c>
      <c r="X2565" s="0" t="n">
        <v>464.064</v>
      </c>
    </row>
    <row r="2566" customFormat="false" ht="15" hidden="false" customHeight="false" outlineLevel="0" collapsed="false">
      <c r="A2566" s="0" t="n">
        <v>2033</v>
      </c>
      <c r="B2566" s="0" t="n">
        <v>94.77834499</v>
      </c>
      <c r="C2566" s="0" t="n">
        <v>1990.345245</v>
      </c>
      <c r="E2566" s="0" t="n">
        <v>2034</v>
      </c>
      <c r="F2566" s="0" t="n">
        <v>5.330433</v>
      </c>
      <c r="G2566" s="0" t="n">
        <v>111.822708</v>
      </c>
      <c r="I2566" s="0" t="n">
        <v>2029</v>
      </c>
      <c r="J2566" s="0" t="n">
        <v>0</v>
      </c>
      <c r="K2566" s="0" t="n">
        <v>0</v>
      </c>
      <c r="M2566" s="0" t="n">
        <v>2034</v>
      </c>
      <c r="N2566" s="0" t="n">
        <v>163.1</v>
      </c>
      <c r="O2566" s="0" t="n">
        <v>3424.2</v>
      </c>
      <c r="W2566" s="0" t="n">
        <v>2034</v>
      </c>
      <c r="X2566" s="0" t="n">
        <v>821.78</v>
      </c>
    </row>
    <row r="2567" customFormat="false" ht="15" hidden="false" customHeight="false" outlineLevel="0" collapsed="false">
      <c r="A2567" s="0" t="n">
        <v>2033</v>
      </c>
      <c r="B2567" s="0" t="n">
        <v>23.90590124</v>
      </c>
      <c r="C2567" s="0" t="n">
        <v>502.023926</v>
      </c>
      <c r="E2567" s="0" t="n">
        <v>2034</v>
      </c>
      <c r="F2567" s="0" t="n">
        <v>127.424073</v>
      </c>
      <c r="G2567" s="0" t="n">
        <v>2673.123348</v>
      </c>
      <c r="I2567" s="0" t="n">
        <v>2029</v>
      </c>
      <c r="J2567" s="0" t="n">
        <v>4.2</v>
      </c>
      <c r="K2567" s="0" t="n">
        <v>88.04</v>
      </c>
      <c r="M2567" s="0" t="n">
        <v>2034</v>
      </c>
      <c r="N2567" s="0" t="n">
        <v>97.86</v>
      </c>
      <c r="O2567" s="0" t="n">
        <v>2054.52</v>
      </c>
      <c r="W2567" s="0" t="n">
        <v>2034</v>
      </c>
      <c r="X2567" s="0" t="n">
        <v>367.384</v>
      </c>
    </row>
    <row r="2568" customFormat="false" ht="15" hidden="false" customHeight="false" outlineLevel="0" collapsed="false">
      <c r="A2568" s="0" t="n">
        <v>2033</v>
      </c>
      <c r="B2568" s="0" t="n">
        <v>21.31822038</v>
      </c>
      <c r="C2568" s="0" t="n">
        <v>447.6826281</v>
      </c>
      <c r="E2568" s="0" t="n">
        <v>2034</v>
      </c>
      <c r="F2568" s="0" t="n">
        <v>5.965221</v>
      </c>
      <c r="G2568" s="0" t="n">
        <v>125.139396</v>
      </c>
      <c r="I2568" s="0" t="n">
        <v>2029</v>
      </c>
      <c r="J2568" s="0" t="n">
        <v>7.35</v>
      </c>
      <c r="K2568" s="0" t="n">
        <v>154.07</v>
      </c>
      <c r="M2568" s="0" t="n">
        <v>2034</v>
      </c>
      <c r="N2568" s="0" t="n">
        <v>81.55</v>
      </c>
      <c r="O2568" s="0" t="n">
        <v>1712.1</v>
      </c>
      <c r="W2568" s="0" t="n">
        <v>2034</v>
      </c>
      <c r="X2568" s="0" t="n">
        <v>145.02</v>
      </c>
    </row>
    <row r="2569" customFormat="false" ht="15" hidden="false" customHeight="false" outlineLevel="0" collapsed="false">
      <c r="A2569" s="0" t="n">
        <v>2033</v>
      </c>
      <c r="B2569" s="0" t="n">
        <v>14.82555886</v>
      </c>
      <c r="C2569" s="0" t="n">
        <v>311.3367362</v>
      </c>
      <c r="E2569" s="0" t="n">
        <v>2034</v>
      </c>
      <c r="F2569" s="0" t="n">
        <v>32.617386</v>
      </c>
      <c r="G2569" s="0" t="n">
        <v>684.252936</v>
      </c>
      <c r="I2569" s="0" t="n">
        <v>2029</v>
      </c>
      <c r="J2569" s="0" t="n">
        <v>2.1</v>
      </c>
      <c r="K2569" s="0" t="n">
        <v>44.02</v>
      </c>
      <c r="M2569" s="0" t="n">
        <v>2034</v>
      </c>
      <c r="N2569" s="0" t="n">
        <v>65.24</v>
      </c>
      <c r="O2569" s="0" t="n">
        <v>1369.68</v>
      </c>
      <c r="W2569" s="0" t="n">
        <v>2034</v>
      </c>
      <c r="X2569" s="0" t="n">
        <v>212.696</v>
      </c>
    </row>
    <row r="2570" customFormat="false" ht="15" hidden="false" customHeight="false" outlineLevel="0" collapsed="false">
      <c r="A2570" s="0" t="n">
        <v>2033</v>
      </c>
      <c r="B2570" s="0" t="n">
        <v>11.02774633</v>
      </c>
      <c r="C2570" s="0" t="n">
        <v>231.5826729</v>
      </c>
      <c r="E2570" s="0" t="n">
        <v>2034</v>
      </c>
      <c r="F2570" s="0" t="n">
        <v>29.825418</v>
      </c>
      <c r="G2570" s="0" t="n">
        <v>625.682568</v>
      </c>
      <c r="I2570" s="0" t="n">
        <v>2029</v>
      </c>
      <c r="J2570" s="0" t="n">
        <v>7.35</v>
      </c>
      <c r="K2570" s="0" t="n">
        <v>154.07</v>
      </c>
      <c r="M2570" s="0" t="n">
        <v>2034</v>
      </c>
      <c r="N2570" s="0" t="n">
        <v>32.62</v>
      </c>
      <c r="O2570" s="0" t="n">
        <v>684.84</v>
      </c>
      <c r="W2570" s="0" t="n">
        <v>2034</v>
      </c>
      <c r="X2570" s="0" t="n">
        <v>164.356</v>
      </c>
    </row>
    <row r="2571" customFormat="false" ht="15" hidden="false" customHeight="false" outlineLevel="0" collapsed="false">
      <c r="A2571" s="0" t="n">
        <v>2033</v>
      </c>
      <c r="B2571" s="0" t="n">
        <v>4.901220591</v>
      </c>
      <c r="C2571" s="0" t="n">
        <v>102.9256324</v>
      </c>
      <c r="E2571" s="0" t="n">
        <v>2034</v>
      </c>
      <c r="F2571" s="0" t="n">
        <v>121.291964</v>
      </c>
      <c r="G2571" s="0" t="n">
        <v>2538.90806</v>
      </c>
      <c r="I2571" s="0" t="n">
        <v>2029</v>
      </c>
      <c r="J2571" s="0" t="n">
        <v>114.72</v>
      </c>
      <c r="K2571" s="0" t="n">
        <v>2405.76</v>
      </c>
      <c r="M2571" s="0" t="n">
        <v>2034</v>
      </c>
      <c r="N2571" s="0" t="n">
        <v>210.9</v>
      </c>
      <c r="O2571" s="0" t="n">
        <v>4423.2</v>
      </c>
      <c r="W2571" s="0" t="n">
        <v>2034</v>
      </c>
      <c r="X2571" s="0" t="n">
        <v>5770.34</v>
      </c>
    </row>
    <row r="2572" customFormat="false" ht="15" hidden="false" customHeight="false" outlineLevel="0" collapsed="false">
      <c r="A2572" s="0" t="n">
        <v>2033</v>
      </c>
      <c r="B2572" s="0" t="n">
        <v>18.10304687</v>
      </c>
      <c r="C2572" s="0" t="n">
        <v>380.1639842</v>
      </c>
      <c r="E2572" s="0" t="n">
        <v>2034</v>
      </c>
      <c r="F2572" s="0" t="n">
        <v>32.568236</v>
      </c>
      <c r="G2572" s="0" t="n">
        <v>681.72494</v>
      </c>
      <c r="I2572" s="0" t="n">
        <v>2029</v>
      </c>
      <c r="J2572" s="0" t="n">
        <v>38.24</v>
      </c>
      <c r="K2572" s="0" t="n">
        <v>801.92</v>
      </c>
      <c r="M2572" s="0" t="n">
        <v>2034</v>
      </c>
      <c r="N2572" s="0" t="n">
        <v>138.75</v>
      </c>
      <c r="O2572" s="0" t="n">
        <v>2910</v>
      </c>
      <c r="W2572" s="0" t="n">
        <v>2034</v>
      </c>
      <c r="X2572" s="0" t="n">
        <v>1442.585</v>
      </c>
    </row>
    <row r="2573" customFormat="false" ht="15" hidden="false" customHeight="false" outlineLevel="0" collapsed="false">
      <c r="A2573" s="0" t="n">
        <v>2033</v>
      </c>
      <c r="B2573" s="0" t="n">
        <v>5.666885824</v>
      </c>
      <c r="C2573" s="0" t="n">
        <v>119.0046023</v>
      </c>
      <c r="E2573" s="0" t="n">
        <v>2034</v>
      </c>
      <c r="F2573" s="0" t="n">
        <v>13.035932</v>
      </c>
      <c r="G2573" s="0" t="n">
        <v>272.87078</v>
      </c>
      <c r="I2573" s="0" t="n">
        <v>2029</v>
      </c>
      <c r="J2573" s="0" t="n">
        <v>16.73</v>
      </c>
      <c r="K2573" s="0" t="n">
        <v>350.84</v>
      </c>
      <c r="M2573" s="0" t="n">
        <v>2034</v>
      </c>
      <c r="N2573" s="0" t="n">
        <v>55.5</v>
      </c>
      <c r="O2573" s="0" t="n">
        <v>1164</v>
      </c>
      <c r="W2573" s="0" t="n">
        <v>2034</v>
      </c>
      <c r="X2573" s="0" t="n">
        <v>446.736</v>
      </c>
    </row>
    <row r="2574" customFormat="false" ht="15" hidden="false" customHeight="false" outlineLevel="0" collapsed="false">
      <c r="A2574" s="0" t="n">
        <v>2033</v>
      </c>
      <c r="B2574" s="0" t="n">
        <v>12.67081039</v>
      </c>
      <c r="C2574" s="0" t="n">
        <v>266.0870183</v>
      </c>
      <c r="E2574" s="0" t="n">
        <v>2034</v>
      </c>
      <c r="F2574" s="0" t="n">
        <v>1.831124</v>
      </c>
      <c r="G2574" s="0" t="n">
        <v>38.32946</v>
      </c>
      <c r="I2574" s="0" t="n">
        <v>2029</v>
      </c>
      <c r="J2574" s="0" t="n">
        <v>9.56</v>
      </c>
      <c r="K2574" s="0" t="n">
        <v>200.48</v>
      </c>
      <c r="M2574" s="0" t="n">
        <v>2034</v>
      </c>
      <c r="N2574" s="0" t="n">
        <v>55.5</v>
      </c>
      <c r="O2574" s="0" t="n">
        <v>1164</v>
      </c>
      <c r="W2574" s="0" t="n">
        <v>2034</v>
      </c>
      <c r="X2574" s="0" t="n">
        <v>791.095</v>
      </c>
    </row>
    <row r="2575" customFormat="false" ht="15" hidden="false" customHeight="false" outlineLevel="0" collapsed="false">
      <c r="A2575" s="0" t="n">
        <v>2033</v>
      </c>
      <c r="B2575" s="0" t="n">
        <v>580.6571084</v>
      </c>
      <c r="C2575" s="0" t="n">
        <v>12193.79928</v>
      </c>
      <c r="E2575" s="0" t="n">
        <v>2034</v>
      </c>
      <c r="F2575" s="0" t="n">
        <v>43.773044</v>
      </c>
      <c r="G2575" s="0" t="n">
        <v>916.26626</v>
      </c>
      <c r="I2575" s="0" t="n">
        <v>2029</v>
      </c>
      <c r="J2575" s="0" t="n">
        <v>9.56</v>
      </c>
      <c r="K2575" s="0" t="n">
        <v>200.48</v>
      </c>
      <c r="M2575" s="0" t="n">
        <v>2034</v>
      </c>
      <c r="N2575" s="0" t="n">
        <v>33.3</v>
      </c>
      <c r="O2575" s="0" t="n">
        <v>698.4</v>
      </c>
      <c r="W2575" s="0" t="n">
        <v>2034</v>
      </c>
      <c r="X2575" s="0" t="n">
        <v>353.666</v>
      </c>
    </row>
    <row r="2576" customFormat="false" ht="15" hidden="false" customHeight="false" outlineLevel="0" collapsed="false">
      <c r="A2576" s="0" t="n">
        <v>2033</v>
      </c>
      <c r="B2576" s="0" t="n">
        <v>146.458893</v>
      </c>
      <c r="C2576" s="0" t="n">
        <v>3075.636753</v>
      </c>
      <c r="E2576" s="0" t="n">
        <v>2034</v>
      </c>
      <c r="F2576" s="0" t="n">
        <v>2.049188</v>
      </c>
      <c r="G2576" s="0" t="n">
        <v>42.89402</v>
      </c>
      <c r="I2576" s="0" t="n">
        <v>2029</v>
      </c>
      <c r="J2576" s="0" t="n">
        <v>4.78</v>
      </c>
      <c r="K2576" s="0" t="n">
        <v>100.24</v>
      </c>
      <c r="M2576" s="0" t="n">
        <v>2034</v>
      </c>
      <c r="N2576" s="0" t="n">
        <v>27.75</v>
      </c>
      <c r="O2576" s="0" t="n">
        <v>582</v>
      </c>
      <c r="W2576" s="0" t="n">
        <v>2034</v>
      </c>
      <c r="X2576" s="0" t="n">
        <v>139.605</v>
      </c>
    </row>
    <row r="2577" customFormat="false" ht="15" hidden="false" customHeight="false" outlineLevel="0" collapsed="false">
      <c r="A2577" s="0" t="n">
        <v>2033</v>
      </c>
      <c r="B2577" s="0" t="n">
        <v>130.6055324</v>
      </c>
      <c r="C2577" s="0" t="n">
        <v>2742.716179</v>
      </c>
      <c r="E2577" s="0" t="n">
        <v>2034</v>
      </c>
      <c r="F2577" s="0" t="n">
        <v>11.204808</v>
      </c>
      <c r="G2577" s="0" t="n">
        <v>234.54132</v>
      </c>
      <c r="I2577" s="0" t="n">
        <v>2029</v>
      </c>
      <c r="J2577" s="0" t="n">
        <v>4.78</v>
      </c>
      <c r="K2577" s="0" t="n">
        <v>100.24</v>
      </c>
      <c r="M2577" s="0" t="n">
        <v>2034</v>
      </c>
      <c r="N2577" s="0" t="n">
        <v>22.2</v>
      </c>
      <c r="O2577" s="0" t="n">
        <v>465.6</v>
      </c>
      <c r="W2577" s="0" t="n">
        <v>2034</v>
      </c>
      <c r="X2577" s="0" t="n">
        <v>204.754</v>
      </c>
    </row>
    <row r="2578" customFormat="false" ht="15" hidden="false" customHeight="false" outlineLevel="0" collapsed="false">
      <c r="A2578" s="0" t="n">
        <v>2033</v>
      </c>
      <c r="B2578" s="0" t="n">
        <v>90.82840749</v>
      </c>
      <c r="C2578" s="0" t="n">
        <v>1907.396557</v>
      </c>
      <c r="E2578" s="0" t="n">
        <v>2034</v>
      </c>
      <c r="F2578" s="0" t="n">
        <v>10.245704</v>
      </c>
      <c r="G2578" s="0" t="n">
        <v>214.46516</v>
      </c>
      <c r="I2578" s="0" t="n">
        <v>2029</v>
      </c>
      <c r="J2578" s="0" t="n">
        <v>9.56</v>
      </c>
      <c r="K2578" s="0" t="n">
        <v>200.48</v>
      </c>
      <c r="M2578" s="0" t="n">
        <v>2034</v>
      </c>
      <c r="N2578" s="0" t="n">
        <v>11.1</v>
      </c>
      <c r="O2578" s="0" t="n">
        <v>232.8</v>
      </c>
      <c r="W2578" s="0" t="n">
        <v>2034</v>
      </c>
      <c r="X2578" s="0" t="n">
        <v>158.219</v>
      </c>
    </row>
    <row r="2579" customFormat="false" ht="15" hidden="false" customHeight="false" outlineLevel="0" collapsed="false">
      <c r="A2579" s="0" t="n">
        <v>2033</v>
      </c>
      <c r="B2579" s="0" t="n">
        <v>67.56120606</v>
      </c>
      <c r="C2579" s="0" t="n">
        <v>1418.785327</v>
      </c>
      <c r="E2579" s="0" t="n">
        <v>2034</v>
      </c>
      <c r="F2579" s="0" t="n">
        <v>1428.77822</v>
      </c>
      <c r="G2579" s="0" t="n">
        <v>30003.31472</v>
      </c>
      <c r="I2579" s="0" t="n">
        <v>2029</v>
      </c>
      <c r="J2579" s="0" t="n">
        <v>16.73</v>
      </c>
      <c r="K2579" s="0" t="n">
        <v>350.84</v>
      </c>
      <c r="M2579" s="0" t="n">
        <v>2034</v>
      </c>
      <c r="N2579" s="0" t="n">
        <v>28.5</v>
      </c>
      <c r="O2579" s="0" t="n">
        <v>594.32</v>
      </c>
      <c r="W2579" s="0" t="n">
        <v>2034</v>
      </c>
      <c r="X2579" s="0" t="n">
        <v>56722.56</v>
      </c>
    </row>
    <row r="2580" customFormat="false" ht="15" hidden="false" customHeight="false" outlineLevel="0" collapsed="false">
      <c r="A2580" s="0" t="n">
        <v>2033</v>
      </c>
      <c r="B2580" s="0" t="n">
        <v>30.02720269</v>
      </c>
      <c r="C2580" s="0" t="n">
        <v>630.5712565</v>
      </c>
      <c r="E2580" s="0" t="n">
        <v>2034</v>
      </c>
      <c r="F2580" s="0" t="n">
        <v>383.64278</v>
      </c>
      <c r="G2580" s="0" t="n">
        <v>8056.222378</v>
      </c>
      <c r="I2580" s="0" t="n">
        <v>2029</v>
      </c>
      <c r="J2580" s="0" t="n">
        <v>7.17</v>
      </c>
      <c r="K2580" s="0" t="n">
        <v>150.36</v>
      </c>
      <c r="M2580" s="0" t="n">
        <v>2034</v>
      </c>
      <c r="N2580" s="0" t="n">
        <v>18.75</v>
      </c>
      <c r="O2580" s="0" t="n">
        <v>391</v>
      </c>
      <c r="W2580" s="0" t="n">
        <v>2034</v>
      </c>
      <c r="X2580" s="0" t="n">
        <v>14180.64</v>
      </c>
    </row>
    <row r="2581" customFormat="false" ht="15" hidden="false" customHeight="false" outlineLevel="0" collapsed="false">
      <c r="A2581" s="0" t="n">
        <v>2033</v>
      </c>
      <c r="B2581" s="0" t="n">
        <v>110.907854</v>
      </c>
      <c r="C2581" s="0" t="n">
        <v>2329.064933</v>
      </c>
      <c r="E2581" s="0" t="n">
        <v>2034</v>
      </c>
      <c r="F2581" s="0" t="n">
        <v>153.55886</v>
      </c>
      <c r="G2581" s="0" t="n">
        <v>3224.625586</v>
      </c>
      <c r="I2581" s="0" t="n">
        <v>2029</v>
      </c>
      <c r="J2581" s="0" t="n">
        <v>7.17</v>
      </c>
      <c r="K2581" s="0" t="n">
        <v>150.36</v>
      </c>
      <c r="M2581" s="0" t="n">
        <v>2034</v>
      </c>
      <c r="N2581" s="0" t="n">
        <v>7.5</v>
      </c>
      <c r="O2581" s="0" t="n">
        <v>156.4</v>
      </c>
      <c r="W2581" s="0" t="n">
        <v>2034</v>
      </c>
      <c r="X2581" s="0" t="n">
        <v>4391.424</v>
      </c>
    </row>
    <row r="2582" customFormat="false" ht="15" hidden="false" customHeight="false" outlineLevel="0" collapsed="false">
      <c r="A2582" s="0" t="n">
        <v>2033</v>
      </c>
      <c r="B2582" s="0" t="n">
        <v>34.71803117</v>
      </c>
      <c r="C2582" s="0" t="n">
        <v>729.0786546</v>
      </c>
      <c r="E2582" s="0" t="n">
        <v>2034</v>
      </c>
      <c r="F2582" s="0" t="n">
        <v>21.57002</v>
      </c>
      <c r="G2582" s="0" t="n">
        <v>452.954902</v>
      </c>
      <c r="I2582" s="0" t="n">
        <v>2029</v>
      </c>
      <c r="J2582" s="0" t="n">
        <v>31.2</v>
      </c>
      <c r="K2582" s="0" t="n">
        <v>651.04</v>
      </c>
      <c r="M2582" s="0" t="n">
        <v>2034</v>
      </c>
      <c r="N2582" s="0" t="n">
        <v>7.5</v>
      </c>
      <c r="O2582" s="0" t="n">
        <v>156.4</v>
      </c>
      <c r="W2582" s="0" t="n">
        <v>2034</v>
      </c>
      <c r="X2582" s="0" t="n">
        <v>7776.48</v>
      </c>
    </row>
    <row r="2583" customFormat="false" ht="15" hidden="false" customHeight="false" outlineLevel="0" collapsed="false">
      <c r="A2583" s="0" t="n">
        <v>2033</v>
      </c>
      <c r="B2583" s="0" t="n">
        <v>77.62739605</v>
      </c>
      <c r="C2583" s="0" t="n">
        <v>1630.175317</v>
      </c>
      <c r="E2583" s="0" t="n">
        <v>2034</v>
      </c>
      <c r="F2583" s="0" t="n">
        <v>515.63162</v>
      </c>
      <c r="G2583" s="0" t="n">
        <v>10827.89306</v>
      </c>
      <c r="I2583" s="0" t="n">
        <v>2029</v>
      </c>
      <c r="J2583" s="0" t="n">
        <v>4.8</v>
      </c>
      <c r="K2583" s="0" t="n">
        <v>100.16</v>
      </c>
      <c r="M2583" s="0" t="n">
        <v>2034</v>
      </c>
      <c r="N2583" s="0" t="n">
        <v>4.5</v>
      </c>
      <c r="O2583" s="0" t="n">
        <v>93.84</v>
      </c>
      <c r="W2583" s="0" t="n">
        <v>2034</v>
      </c>
      <c r="X2583" s="0" t="n">
        <v>3476.544</v>
      </c>
    </row>
    <row r="2584" customFormat="false" ht="15" hidden="false" customHeight="false" outlineLevel="0" collapsed="false">
      <c r="A2584" s="0" t="n">
        <v>2033</v>
      </c>
      <c r="B2584" s="0" t="n">
        <v>256.2928182</v>
      </c>
      <c r="C2584" s="0" t="n">
        <v>5382.149183</v>
      </c>
      <c r="E2584" s="0" t="n">
        <v>2034</v>
      </c>
      <c r="F2584" s="0" t="n">
        <v>24.13874</v>
      </c>
      <c r="G2584" s="0" t="n">
        <v>506.896174</v>
      </c>
      <c r="I2584" s="0" t="n">
        <v>2029</v>
      </c>
      <c r="J2584" s="0" t="n">
        <v>3.6</v>
      </c>
      <c r="K2584" s="0" t="n">
        <v>75.12</v>
      </c>
      <c r="M2584" s="0" t="n">
        <v>2034</v>
      </c>
      <c r="N2584" s="0" t="n">
        <v>3.75</v>
      </c>
      <c r="O2584" s="0" t="n">
        <v>78.2</v>
      </c>
      <c r="W2584" s="0" t="n">
        <v>2034</v>
      </c>
      <c r="X2584" s="0" t="n">
        <v>1372.32</v>
      </c>
    </row>
    <row r="2585" customFormat="false" ht="15" hidden="false" customHeight="false" outlineLevel="0" collapsed="false">
      <c r="A2585" s="0" t="n">
        <v>2033</v>
      </c>
      <c r="B2585" s="0" t="n">
        <v>64.64462744</v>
      </c>
      <c r="C2585" s="0" t="n">
        <v>1357.537176</v>
      </c>
      <c r="E2585" s="0" t="n">
        <v>2034</v>
      </c>
      <c r="F2585" s="0" t="n">
        <v>131.98884</v>
      </c>
      <c r="G2585" s="0" t="n">
        <v>2771.670684</v>
      </c>
      <c r="I2585" s="0" t="n">
        <v>2029</v>
      </c>
      <c r="J2585" s="0" t="n">
        <v>6</v>
      </c>
      <c r="K2585" s="0" t="n">
        <v>125.2</v>
      </c>
      <c r="M2585" s="0" t="n">
        <v>2034</v>
      </c>
      <c r="N2585" s="0" t="n">
        <v>3</v>
      </c>
      <c r="O2585" s="0" t="n">
        <v>62.56</v>
      </c>
      <c r="W2585" s="0" t="n">
        <v>2034</v>
      </c>
      <c r="X2585" s="0" t="n">
        <v>2012.736</v>
      </c>
    </row>
    <row r="2586" customFormat="false" ht="15" hidden="false" customHeight="false" outlineLevel="0" collapsed="false">
      <c r="A2586" s="0" t="n">
        <v>2033</v>
      </c>
      <c r="B2586" s="0" t="n">
        <v>57.64720604</v>
      </c>
      <c r="C2586" s="0" t="n">
        <v>1210.591327</v>
      </c>
      <c r="E2586" s="0" t="n">
        <v>2034</v>
      </c>
      <c r="F2586" s="0" t="n">
        <v>120.69092</v>
      </c>
      <c r="G2586" s="0" t="n">
        <v>2534.422492</v>
      </c>
      <c r="I2586" s="0" t="n">
        <v>2029</v>
      </c>
      <c r="J2586" s="0" t="n">
        <v>1.2</v>
      </c>
      <c r="K2586" s="0" t="n">
        <v>25.04</v>
      </c>
      <c r="M2586" s="0" t="n">
        <v>2034</v>
      </c>
      <c r="N2586" s="0" t="n">
        <v>1.5</v>
      </c>
      <c r="O2586" s="0" t="n">
        <v>31.28</v>
      </c>
      <c r="W2586" s="0" t="n">
        <v>2034</v>
      </c>
      <c r="X2586" s="0" t="n">
        <v>1555.296</v>
      </c>
    </row>
    <row r="2587" customFormat="false" ht="15" hidden="false" customHeight="false" outlineLevel="0" collapsed="false">
      <c r="A2587" s="0" t="n">
        <v>2033</v>
      </c>
      <c r="B2587" s="0" t="n">
        <v>40.09021537</v>
      </c>
      <c r="C2587" s="0" t="n">
        <v>841.8945228</v>
      </c>
      <c r="E2587" s="0" t="n">
        <v>2034</v>
      </c>
      <c r="F2587" s="0" t="n">
        <v>645.005995</v>
      </c>
      <c r="G2587" s="0" t="n">
        <v>13537.93061</v>
      </c>
      <c r="I2587" s="0" t="n">
        <v>2029</v>
      </c>
      <c r="J2587" s="0" t="n">
        <v>1.2</v>
      </c>
      <c r="K2587" s="0" t="n">
        <v>25.04</v>
      </c>
      <c r="M2587" s="0" t="n">
        <v>2034</v>
      </c>
      <c r="N2587" s="0" t="n">
        <v>74.48</v>
      </c>
      <c r="O2587" s="0" t="n">
        <v>1559.9</v>
      </c>
      <c r="W2587" s="0" t="n">
        <v>2034</v>
      </c>
      <c r="X2587" s="0" t="n">
        <v>15557.04</v>
      </c>
    </row>
    <row r="2588" customFormat="false" ht="15" hidden="false" customHeight="false" outlineLevel="0" collapsed="false">
      <c r="A2588" s="0" t="n">
        <v>2033</v>
      </c>
      <c r="B2588" s="0" t="n">
        <v>29.82044249</v>
      </c>
      <c r="C2588" s="0" t="n">
        <v>626.2292922</v>
      </c>
      <c r="E2588" s="0" t="n">
        <v>2034</v>
      </c>
      <c r="F2588" s="0" t="n">
        <v>173.191255</v>
      </c>
      <c r="G2588" s="0" t="n">
        <v>3635.084341</v>
      </c>
      <c r="I2588" s="0" t="n">
        <v>2029</v>
      </c>
      <c r="J2588" s="0" t="n">
        <v>0</v>
      </c>
      <c r="K2588" s="0" t="n">
        <v>0</v>
      </c>
      <c r="M2588" s="0" t="n">
        <v>2034</v>
      </c>
      <c r="N2588" s="0" t="n">
        <v>49</v>
      </c>
      <c r="O2588" s="0" t="n">
        <v>1026.25</v>
      </c>
      <c r="W2588" s="0" t="n">
        <v>2034</v>
      </c>
      <c r="X2588" s="0" t="n">
        <v>3889.26</v>
      </c>
    </row>
    <row r="2589" customFormat="false" ht="15" hidden="false" customHeight="false" outlineLevel="0" collapsed="false">
      <c r="A2589" s="0" t="n">
        <v>2033</v>
      </c>
      <c r="B2589" s="0" t="n">
        <v>13.25352999</v>
      </c>
      <c r="C2589" s="0" t="n">
        <v>278.3241299</v>
      </c>
      <c r="E2589" s="0" t="n">
        <v>2034</v>
      </c>
      <c r="F2589" s="0" t="n">
        <v>69.322435</v>
      </c>
      <c r="G2589" s="0" t="n">
        <v>1454.997817</v>
      </c>
      <c r="I2589" s="0" t="n">
        <v>2029</v>
      </c>
      <c r="J2589" s="0" t="n">
        <v>2.4</v>
      </c>
      <c r="K2589" s="0" t="n">
        <v>50.08</v>
      </c>
      <c r="M2589" s="0" t="n">
        <v>2034</v>
      </c>
      <c r="N2589" s="0" t="n">
        <v>19.6</v>
      </c>
      <c r="O2589" s="0" t="n">
        <v>410.5</v>
      </c>
      <c r="W2589" s="0" t="n">
        <v>2034</v>
      </c>
      <c r="X2589" s="0" t="n">
        <v>1204.416</v>
      </c>
    </row>
    <row r="2590" customFormat="false" ht="15" hidden="false" customHeight="false" outlineLevel="0" collapsed="false">
      <c r="A2590" s="0" t="n">
        <v>2033</v>
      </c>
      <c r="B2590" s="0" t="n">
        <v>48.95296389</v>
      </c>
      <c r="C2590" s="0" t="n">
        <v>1028.012242</v>
      </c>
      <c r="E2590" s="0" t="n">
        <v>2034</v>
      </c>
      <c r="F2590" s="0" t="n">
        <v>9.737545</v>
      </c>
      <c r="G2590" s="0" t="n">
        <v>204.379819</v>
      </c>
      <c r="I2590" s="0" t="n">
        <v>2029</v>
      </c>
      <c r="J2590" s="0" t="n">
        <v>4.2</v>
      </c>
      <c r="K2590" s="0" t="n">
        <v>87.64</v>
      </c>
      <c r="M2590" s="0" t="n">
        <v>2034</v>
      </c>
      <c r="N2590" s="0" t="n">
        <v>19.6</v>
      </c>
      <c r="O2590" s="0" t="n">
        <v>410.5</v>
      </c>
      <c r="W2590" s="0" t="n">
        <v>2034</v>
      </c>
      <c r="X2590" s="0" t="n">
        <v>2132.82</v>
      </c>
    </row>
    <row r="2591" customFormat="false" ht="15" hidden="false" customHeight="false" outlineLevel="0" collapsed="false">
      <c r="A2591" s="0" t="n">
        <v>2033</v>
      </c>
      <c r="B2591" s="0" t="n">
        <v>15.32398713</v>
      </c>
      <c r="C2591" s="0" t="n">
        <v>321.8037296</v>
      </c>
      <c r="E2591" s="0" t="n">
        <v>2034</v>
      </c>
      <c r="F2591" s="0" t="n">
        <v>232.776145</v>
      </c>
      <c r="G2591" s="0" t="n">
        <v>4885.702339</v>
      </c>
      <c r="I2591" s="0" t="n">
        <v>2029</v>
      </c>
      <c r="J2591" s="0" t="n">
        <v>1.2</v>
      </c>
      <c r="K2591" s="0" t="n">
        <v>25.04</v>
      </c>
      <c r="M2591" s="0" t="n">
        <v>2034</v>
      </c>
      <c r="N2591" s="0" t="n">
        <v>11.76</v>
      </c>
      <c r="O2591" s="0" t="n">
        <v>246.3</v>
      </c>
      <c r="W2591" s="0" t="n">
        <v>2034</v>
      </c>
      <c r="X2591" s="0" t="n">
        <v>953.496</v>
      </c>
    </row>
    <row r="2592" customFormat="false" ht="15" hidden="false" customHeight="false" outlineLevel="0" collapsed="false">
      <c r="A2592" s="0" t="n">
        <v>2033</v>
      </c>
      <c r="B2592" s="0" t="n">
        <v>34.26349875</v>
      </c>
      <c r="C2592" s="0" t="n">
        <v>719.5334737</v>
      </c>
      <c r="E2592" s="0" t="n">
        <v>2034</v>
      </c>
      <c r="F2592" s="0" t="n">
        <v>10.897165</v>
      </c>
      <c r="G2592" s="0" t="n">
        <v>228.718903</v>
      </c>
      <c r="I2592" s="0" t="n">
        <v>2029</v>
      </c>
      <c r="J2592" s="0" t="n">
        <v>4.2</v>
      </c>
      <c r="K2592" s="0" t="n">
        <v>87.64</v>
      </c>
      <c r="M2592" s="0" t="n">
        <v>2034</v>
      </c>
      <c r="N2592" s="0" t="n">
        <v>9.8</v>
      </c>
      <c r="O2592" s="0" t="n">
        <v>205.25</v>
      </c>
      <c r="W2592" s="0" t="n">
        <v>2034</v>
      </c>
      <c r="X2592" s="0" t="n">
        <v>376.38</v>
      </c>
    </row>
    <row r="2593" customFormat="false" ht="15" hidden="false" customHeight="false" outlineLevel="0" collapsed="false">
      <c r="A2593" s="0" t="n">
        <v>2033</v>
      </c>
      <c r="B2593" s="0" t="n">
        <v>113.9389737</v>
      </c>
      <c r="C2593" s="0" t="n">
        <v>2392.718448</v>
      </c>
      <c r="E2593" s="0" t="n">
        <v>2034</v>
      </c>
      <c r="F2593" s="0" t="n">
        <v>59.58489</v>
      </c>
      <c r="G2593" s="0" t="n">
        <v>1250.617998</v>
      </c>
      <c r="I2593" s="0" t="n">
        <v>2029</v>
      </c>
      <c r="J2593" s="0" t="n">
        <v>810.24</v>
      </c>
      <c r="K2593" s="0" t="n">
        <v>17014.08</v>
      </c>
      <c r="M2593" s="0" t="n">
        <v>2034</v>
      </c>
      <c r="N2593" s="0" t="n">
        <v>7.84</v>
      </c>
      <c r="O2593" s="0" t="n">
        <v>164.2</v>
      </c>
      <c r="W2593" s="0" t="n">
        <v>2034</v>
      </c>
      <c r="X2593" s="0" t="n">
        <v>552.024</v>
      </c>
    </row>
    <row r="2594" customFormat="false" ht="15" hidden="false" customHeight="false" outlineLevel="0" collapsed="false">
      <c r="A2594" s="0" t="n">
        <v>2033</v>
      </c>
      <c r="B2594" s="0" t="n">
        <v>28.73877839</v>
      </c>
      <c r="C2594" s="0" t="n">
        <v>603.5143462</v>
      </c>
      <c r="E2594" s="0" t="n">
        <v>2034</v>
      </c>
      <c r="F2594" s="0" t="n">
        <v>54.48457</v>
      </c>
      <c r="G2594" s="0" t="n">
        <v>1143.568174</v>
      </c>
      <c r="I2594" s="0" t="n">
        <v>2029</v>
      </c>
      <c r="J2594" s="0" t="n">
        <v>270.08</v>
      </c>
      <c r="K2594" s="0" t="n">
        <v>5671.36</v>
      </c>
      <c r="M2594" s="0" t="n">
        <v>2034</v>
      </c>
      <c r="N2594" s="0" t="n">
        <v>3.92</v>
      </c>
      <c r="O2594" s="0" t="n">
        <v>82.1</v>
      </c>
      <c r="W2594" s="0" t="n">
        <v>2034</v>
      </c>
      <c r="X2594" s="0" t="n">
        <v>426.564</v>
      </c>
    </row>
    <row r="2595" customFormat="false" ht="15" hidden="false" customHeight="false" outlineLevel="0" collapsed="false">
      <c r="A2595" s="0" t="n">
        <v>2033</v>
      </c>
      <c r="B2595" s="0" t="n">
        <v>25.62796546</v>
      </c>
      <c r="C2595" s="0" t="n">
        <v>538.1872747</v>
      </c>
      <c r="E2595" s="0" t="n">
        <v>2034</v>
      </c>
      <c r="F2595" s="0" t="n">
        <v>86.343432</v>
      </c>
      <c r="G2595" s="0" t="n">
        <v>1808.072582</v>
      </c>
      <c r="I2595" s="0" t="n">
        <v>2029</v>
      </c>
      <c r="J2595" s="0" t="n">
        <v>118.16</v>
      </c>
      <c r="K2595" s="0" t="n">
        <v>2481.22</v>
      </c>
      <c r="M2595" s="0" t="n">
        <v>2034</v>
      </c>
      <c r="N2595" s="0" t="n">
        <v>46.74</v>
      </c>
      <c r="O2595" s="0" t="n">
        <v>977.36</v>
      </c>
      <c r="W2595" s="0" t="n">
        <v>2034</v>
      </c>
      <c r="X2595" s="0" t="n">
        <v>5301.62</v>
      </c>
    </row>
    <row r="2596" customFormat="false" ht="15" hidden="false" customHeight="false" outlineLevel="0" collapsed="false">
      <c r="A2596" s="0" t="n">
        <v>2033</v>
      </c>
      <c r="B2596" s="0" t="n">
        <v>17.82273115</v>
      </c>
      <c r="C2596" s="0" t="n">
        <v>374.2773542</v>
      </c>
      <c r="E2596" s="0" t="n">
        <v>2034</v>
      </c>
      <c r="F2596" s="0" t="n">
        <v>23.184168</v>
      </c>
      <c r="G2596" s="0" t="n">
        <v>485.487518</v>
      </c>
      <c r="I2596" s="0" t="n">
        <v>2029</v>
      </c>
      <c r="J2596" s="0" t="n">
        <v>67.52</v>
      </c>
      <c r="K2596" s="0" t="n">
        <v>1417.84</v>
      </c>
      <c r="M2596" s="0" t="n">
        <v>2034</v>
      </c>
      <c r="N2596" s="0" t="n">
        <v>30.75</v>
      </c>
      <c r="O2596" s="0" t="n">
        <v>643</v>
      </c>
      <c r="W2596" s="0" t="n">
        <v>2034</v>
      </c>
      <c r="X2596" s="0" t="n">
        <v>1325.405</v>
      </c>
    </row>
    <row r="2597" customFormat="false" ht="15" hidden="false" customHeight="false" outlineLevel="0" collapsed="false">
      <c r="A2597" s="0" t="n">
        <v>2033</v>
      </c>
      <c r="B2597" s="0" t="n">
        <v>13.25714328</v>
      </c>
      <c r="C2597" s="0" t="n">
        <v>278.4000089</v>
      </c>
      <c r="E2597" s="0" t="n">
        <v>2034</v>
      </c>
      <c r="F2597" s="0" t="n">
        <v>9.279816</v>
      </c>
      <c r="G2597" s="0" t="n">
        <v>194.323766</v>
      </c>
      <c r="I2597" s="0" t="n">
        <v>2029</v>
      </c>
      <c r="J2597" s="0" t="n">
        <v>67.52</v>
      </c>
      <c r="K2597" s="0" t="n">
        <v>1417.84</v>
      </c>
      <c r="M2597" s="0" t="n">
        <v>2034</v>
      </c>
      <c r="N2597" s="0" t="n">
        <v>12.3</v>
      </c>
      <c r="O2597" s="0" t="n">
        <v>257.2</v>
      </c>
      <c r="W2597" s="0" t="n">
        <v>2034</v>
      </c>
      <c r="X2597" s="0" t="n">
        <v>410.448</v>
      </c>
    </row>
    <row r="2598" customFormat="false" ht="15" hidden="false" customHeight="false" outlineLevel="0" collapsed="false">
      <c r="A2598" s="0" t="n">
        <v>2033</v>
      </c>
      <c r="B2598" s="0" t="n">
        <v>5.892063679</v>
      </c>
      <c r="C2598" s="0" t="n">
        <v>123.7333373</v>
      </c>
      <c r="E2598" s="0" t="n">
        <v>2034</v>
      </c>
      <c r="F2598" s="0" t="n">
        <v>1.303512</v>
      </c>
      <c r="G2598" s="0" t="n">
        <v>27.296162</v>
      </c>
      <c r="I2598" s="0" t="n">
        <v>2029</v>
      </c>
      <c r="J2598" s="0" t="n">
        <v>33.76</v>
      </c>
      <c r="K2598" s="0" t="n">
        <v>708.92</v>
      </c>
      <c r="M2598" s="0" t="n">
        <v>2034</v>
      </c>
      <c r="N2598" s="0" t="n">
        <v>12.3</v>
      </c>
      <c r="O2598" s="0" t="n">
        <v>257.2</v>
      </c>
      <c r="W2598" s="0" t="n">
        <v>2034</v>
      </c>
      <c r="X2598" s="0" t="n">
        <v>726.835</v>
      </c>
    </row>
    <row r="2599" customFormat="false" ht="15" hidden="false" customHeight="false" outlineLevel="0" collapsed="false">
      <c r="A2599" s="0" t="n">
        <v>2033</v>
      </c>
      <c r="B2599" s="0" t="n">
        <v>21.76280437</v>
      </c>
      <c r="C2599" s="0" t="n">
        <v>457.0188919</v>
      </c>
      <c r="E2599" s="0" t="n">
        <v>2034</v>
      </c>
      <c r="F2599" s="0" t="n">
        <v>31.160472</v>
      </c>
      <c r="G2599" s="0" t="n">
        <v>652.515122</v>
      </c>
      <c r="I2599" s="0" t="n">
        <v>2029</v>
      </c>
      <c r="J2599" s="0" t="n">
        <v>33.76</v>
      </c>
      <c r="K2599" s="0" t="n">
        <v>708.92</v>
      </c>
      <c r="M2599" s="0" t="n">
        <v>2034</v>
      </c>
      <c r="N2599" s="0" t="n">
        <v>7.38</v>
      </c>
      <c r="O2599" s="0" t="n">
        <v>154.32</v>
      </c>
      <c r="W2599" s="0" t="n">
        <v>2034</v>
      </c>
      <c r="X2599" s="0" t="n">
        <v>324.938</v>
      </c>
    </row>
    <row r="2600" customFormat="false" ht="15" hidden="false" customHeight="false" outlineLevel="0" collapsed="false">
      <c r="A2600" s="0" t="n">
        <v>2033</v>
      </c>
      <c r="B2600" s="0" t="n">
        <v>6.812517723</v>
      </c>
      <c r="C2600" s="0" t="n">
        <v>143.0628722</v>
      </c>
      <c r="E2600" s="0" t="n">
        <v>2034</v>
      </c>
      <c r="F2600" s="0" t="n">
        <v>1.458744</v>
      </c>
      <c r="G2600" s="0" t="n">
        <v>30.546794</v>
      </c>
      <c r="I2600" s="0" t="n">
        <v>2029</v>
      </c>
      <c r="J2600" s="0" t="n">
        <v>67.52</v>
      </c>
      <c r="K2600" s="0" t="n">
        <v>1417.84</v>
      </c>
      <c r="M2600" s="0" t="n">
        <v>2034</v>
      </c>
      <c r="N2600" s="0" t="n">
        <v>6.15</v>
      </c>
      <c r="O2600" s="0" t="n">
        <v>128.6</v>
      </c>
      <c r="W2600" s="0" t="n">
        <v>2034</v>
      </c>
      <c r="X2600" s="0" t="n">
        <v>128.265</v>
      </c>
    </row>
    <row r="2601" customFormat="false" ht="15" hidden="false" customHeight="false" outlineLevel="0" collapsed="false">
      <c r="A2601" s="0" t="n">
        <v>2033</v>
      </c>
      <c r="B2601" s="0" t="n">
        <v>15.23237331</v>
      </c>
      <c r="C2601" s="0" t="n">
        <v>319.8798395</v>
      </c>
      <c r="E2601" s="0" t="n">
        <v>2034</v>
      </c>
      <c r="F2601" s="0" t="n">
        <v>7.976304</v>
      </c>
      <c r="G2601" s="0" t="n">
        <v>167.027604</v>
      </c>
      <c r="I2601" s="0" t="n">
        <v>2029</v>
      </c>
      <c r="J2601" s="0" t="n">
        <v>118.16</v>
      </c>
      <c r="K2601" s="0" t="n">
        <v>2481.22</v>
      </c>
      <c r="M2601" s="0" t="n">
        <v>2034</v>
      </c>
      <c r="N2601" s="0" t="n">
        <v>4.92</v>
      </c>
      <c r="O2601" s="0" t="n">
        <v>102.88</v>
      </c>
      <c r="W2601" s="0" t="n">
        <v>2034</v>
      </c>
      <c r="X2601" s="0" t="n">
        <v>188.122</v>
      </c>
    </row>
    <row r="2602" customFormat="false" ht="15" hidden="false" customHeight="false" outlineLevel="0" collapsed="false">
      <c r="A2602" s="0" t="n">
        <v>2033</v>
      </c>
      <c r="B2602" s="0" t="n">
        <v>516.995376</v>
      </c>
      <c r="C2602" s="0" t="n">
        <v>10856.9029</v>
      </c>
      <c r="E2602" s="0" t="n">
        <v>2034</v>
      </c>
      <c r="F2602" s="0" t="n">
        <v>7.293552</v>
      </c>
      <c r="G2602" s="0" t="n">
        <v>152.730452</v>
      </c>
      <c r="I2602" s="0" t="n">
        <v>2029</v>
      </c>
      <c r="J2602" s="0" t="n">
        <v>50.64</v>
      </c>
      <c r="K2602" s="0" t="n">
        <v>1063.38</v>
      </c>
      <c r="M2602" s="0" t="n">
        <v>2034</v>
      </c>
      <c r="N2602" s="0" t="n">
        <v>2.46</v>
      </c>
      <c r="O2602" s="0" t="n">
        <v>51.44</v>
      </c>
      <c r="W2602" s="0" t="n">
        <v>2034</v>
      </c>
      <c r="X2602" s="0" t="n">
        <v>145.367</v>
      </c>
    </row>
    <row r="2603" customFormat="false" ht="15" hidden="false" customHeight="false" outlineLevel="0" collapsed="false">
      <c r="A2603" s="0" t="n">
        <v>2033</v>
      </c>
      <c r="B2603" s="0" t="n">
        <v>130.4015216</v>
      </c>
      <c r="C2603" s="0" t="n">
        <v>2738.431953</v>
      </c>
      <c r="E2603" s="0" t="n">
        <v>2034</v>
      </c>
      <c r="F2603" s="0" t="n">
        <v>633.699117</v>
      </c>
      <c r="G2603" s="0" t="n">
        <v>13303.56987</v>
      </c>
      <c r="I2603" s="0" t="n">
        <v>2029</v>
      </c>
      <c r="J2603" s="0" t="n">
        <v>50.64</v>
      </c>
      <c r="K2603" s="0" t="n">
        <v>1063.38</v>
      </c>
      <c r="M2603" s="0" t="n">
        <v>2034</v>
      </c>
      <c r="N2603" s="0" t="n">
        <v>46.74</v>
      </c>
      <c r="O2603" s="0" t="n">
        <v>975.46</v>
      </c>
      <c r="W2603" s="0" t="n">
        <v>2034</v>
      </c>
      <c r="X2603" s="0" t="n">
        <v>49319.76</v>
      </c>
    </row>
    <row r="2604" customFormat="false" ht="15" hidden="false" customHeight="false" outlineLevel="0" collapsed="false">
      <c r="A2604" s="0" t="n">
        <v>2033</v>
      </c>
      <c r="B2604" s="0" t="n">
        <v>116.2862821</v>
      </c>
      <c r="C2604" s="0" t="n">
        <v>2442.011924</v>
      </c>
      <c r="E2604" s="0" t="n">
        <v>2034</v>
      </c>
      <c r="F2604" s="0" t="n">
        <v>170.155233</v>
      </c>
      <c r="G2604" s="0" t="n">
        <v>3572.155885</v>
      </c>
      <c r="I2604" s="0" t="n">
        <v>2029</v>
      </c>
      <c r="J2604" s="0" t="n">
        <v>191.88</v>
      </c>
      <c r="K2604" s="0" t="n">
        <v>4026.36</v>
      </c>
      <c r="M2604" s="0" t="n">
        <v>2034</v>
      </c>
      <c r="N2604" s="0" t="n">
        <v>30.75</v>
      </c>
      <c r="O2604" s="0" t="n">
        <v>641.75</v>
      </c>
      <c r="W2604" s="0" t="n">
        <v>2034</v>
      </c>
      <c r="X2604" s="0" t="n">
        <v>12329.94</v>
      </c>
    </row>
    <row r="2605" customFormat="false" ht="15" hidden="false" customHeight="false" outlineLevel="0" collapsed="false">
      <c r="A2605" s="0" t="n">
        <v>2033</v>
      </c>
      <c r="B2605" s="0" t="n">
        <v>80.87021756</v>
      </c>
      <c r="C2605" s="0" t="n">
        <v>1698.274569</v>
      </c>
      <c r="E2605" s="0" t="n">
        <v>2034</v>
      </c>
      <c r="F2605" s="0" t="n">
        <v>68.107221</v>
      </c>
      <c r="G2605" s="0" t="n">
        <v>1429.809745</v>
      </c>
      <c r="I2605" s="0" t="n">
        <v>2029</v>
      </c>
      <c r="J2605" s="0" t="n">
        <v>29.52</v>
      </c>
      <c r="K2605" s="0" t="n">
        <v>619.44</v>
      </c>
      <c r="M2605" s="0" t="n">
        <v>2034</v>
      </c>
      <c r="N2605" s="0" t="n">
        <v>12.3</v>
      </c>
      <c r="O2605" s="0" t="n">
        <v>256.7</v>
      </c>
      <c r="W2605" s="0" t="n">
        <v>2034</v>
      </c>
      <c r="X2605" s="0" t="n">
        <v>3818.304</v>
      </c>
    </row>
    <row r="2606" customFormat="false" ht="15" hidden="false" customHeight="false" outlineLevel="0" collapsed="false">
      <c r="A2606" s="0" t="n">
        <v>2033</v>
      </c>
      <c r="B2606" s="0" t="n">
        <v>60.15397146</v>
      </c>
      <c r="C2606" s="0" t="n">
        <v>1263.233401</v>
      </c>
      <c r="E2606" s="0" t="n">
        <v>2034</v>
      </c>
      <c r="F2606" s="0" t="n">
        <v>9.566847</v>
      </c>
      <c r="G2606" s="0" t="n">
        <v>200.841715</v>
      </c>
      <c r="I2606" s="0" t="n">
        <v>2029</v>
      </c>
      <c r="J2606" s="0" t="n">
        <v>22.14</v>
      </c>
      <c r="K2606" s="0" t="n">
        <v>464.58</v>
      </c>
      <c r="M2606" s="0" t="n">
        <v>2034</v>
      </c>
      <c r="N2606" s="0" t="n">
        <v>12.3</v>
      </c>
      <c r="O2606" s="0" t="n">
        <v>256.7</v>
      </c>
      <c r="W2606" s="0" t="n">
        <v>2034</v>
      </c>
      <c r="X2606" s="0" t="n">
        <v>6761.58</v>
      </c>
    </row>
    <row r="2607" customFormat="false" ht="15" hidden="false" customHeight="false" outlineLevel="0" collapsed="false">
      <c r="A2607" s="0" t="n">
        <v>2033</v>
      </c>
      <c r="B2607" s="0" t="n">
        <v>26.73509843</v>
      </c>
      <c r="C2607" s="0" t="n">
        <v>561.437067</v>
      </c>
      <c r="E2607" s="0" t="n">
        <v>2034</v>
      </c>
      <c r="F2607" s="0" t="n">
        <v>228.695607</v>
      </c>
      <c r="G2607" s="0" t="n">
        <v>4801.123915</v>
      </c>
      <c r="I2607" s="0" t="n">
        <v>2029</v>
      </c>
      <c r="J2607" s="0" t="n">
        <v>36.9</v>
      </c>
      <c r="K2607" s="0" t="n">
        <v>774.3</v>
      </c>
      <c r="M2607" s="0" t="n">
        <v>2034</v>
      </c>
      <c r="N2607" s="0" t="n">
        <v>7.38</v>
      </c>
      <c r="O2607" s="0" t="n">
        <v>154.02</v>
      </c>
      <c r="W2607" s="0" t="n">
        <v>2034</v>
      </c>
      <c r="X2607" s="0" t="n">
        <v>3022.824</v>
      </c>
    </row>
    <row r="2608" customFormat="false" ht="15" hidden="false" customHeight="false" outlineLevel="0" collapsed="false">
      <c r="A2608" s="0" t="n">
        <v>2033</v>
      </c>
      <c r="B2608" s="0" t="n">
        <v>98.74820584</v>
      </c>
      <c r="C2608" s="0" t="n">
        <v>2073.712323</v>
      </c>
      <c r="E2608" s="0" t="n">
        <v>2034</v>
      </c>
      <c r="F2608" s="0" t="n">
        <v>10.706139</v>
      </c>
      <c r="G2608" s="0" t="n">
        <v>224.759455</v>
      </c>
      <c r="I2608" s="0" t="n">
        <v>2029</v>
      </c>
      <c r="J2608" s="0" t="n">
        <v>7.38</v>
      </c>
      <c r="K2608" s="0" t="n">
        <v>154.86</v>
      </c>
      <c r="M2608" s="0" t="n">
        <v>2034</v>
      </c>
      <c r="N2608" s="0" t="n">
        <v>6.15</v>
      </c>
      <c r="O2608" s="0" t="n">
        <v>128.35</v>
      </c>
      <c r="W2608" s="0" t="n">
        <v>2034</v>
      </c>
      <c r="X2608" s="0" t="n">
        <v>1193.22</v>
      </c>
    </row>
    <row r="2609" customFormat="false" ht="15" hidden="false" customHeight="false" outlineLevel="0" collapsed="false">
      <c r="A2609" s="0" t="n">
        <v>2033</v>
      </c>
      <c r="B2609" s="0" t="n">
        <v>30.9116367</v>
      </c>
      <c r="C2609" s="0" t="n">
        <v>649.1443707</v>
      </c>
      <c r="E2609" s="0" t="n">
        <v>2034</v>
      </c>
      <c r="F2609" s="0" t="n">
        <v>58.540374</v>
      </c>
      <c r="G2609" s="0" t="n">
        <v>1228.96803</v>
      </c>
      <c r="I2609" s="0" t="n">
        <v>2029</v>
      </c>
      <c r="J2609" s="0" t="n">
        <v>7.38</v>
      </c>
      <c r="K2609" s="0" t="n">
        <v>154.86</v>
      </c>
      <c r="M2609" s="0" t="n">
        <v>2034</v>
      </c>
      <c r="N2609" s="0" t="n">
        <v>4.92</v>
      </c>
      <c r="O2609" s="0" t="n">
        <v>102.68</v>
      </c>
      <c r="W2609" s="0" t="n">
        <v>2034</v>
      </c>
      <c r="X2609" s="0" t="n">
        <v>1750.056</v>
      </c>
    </row>
    <row r="2610" customFormat="false" ht="15" hidden="false" customHeight="false" outlineLevel="0" collapsed="false">
      <c r="A2610" s="0" t="n">
        <v>2033</v>
      </c>
      <c r="B2610" s="0" t="n">
        <v>69.11653062</v>
      </c>
      <c r="C2610" s="0" t="n">
        <v>1451.447143</v>
      </c>
      <c r="E2610" s="0" t="n">
        <v>2034</v>
      </c>
      <c r="F2610" s="0" t="n">
        <v>53.529462</v>
      </c>
      <c r="G2610" s="0" t="n">
        <v>1123.77139</v>
      </c>
      <c r="I2610" s="0" t="n">
        <v>2029</v>
      </c>
      <c r="J2610" s="0" t="n">
        <v>0</v>
      </c>
      <c r="K2610" s="0" t="n">
        <v>0</v>
      </c>
      <c r="M2610" s="0" t="n">
        <v>2034</v>
      </c>
      <c r="N2610" s="0" t="n">
        <v>2.46</v>
      </c>
      <c r="O2610" s="0" t="n">
        <v>51.34</v>
      </c>
      <c r="W2610" s="0" t="n">
        <v>2034</v>
      </c>
      <c r="X2610" s="0" t="n">
        <v>1352.316</v>
      </c>
    </row>
    <row r="2611" customFormat="false" ht="15" hidden="false" customHeight="false" outlineLevel="0" collapsed="false">
      <c r="A2611" s="0" t="n">
        <v>2034</v>
      </c>
      <c r="B2611" s="0" t="n">
        <v>244.1150489</v>
      </c>
      <c r="C2611" s="0" t="n">
        <v>5126.416027</v>
      </c>
      <c r="E2611" s="0" t="n">
        <v>2035</v>
      </c>
      <c r="F2611" s="0" t="n">
        <v>267.25348</v>
      </c>
      <c r="G2611" s="0" t="n">
        <v>5609.753335</v>
      </c>
      <c r="I2611" s="0" t="n">
        <v>2029</v>
      </c>
      <c r="J2611" s="0" t="n">
        <v>14.76</v>
      </c>
      <c r="K2611" s="0" t="n">
        <v>309.72</v>
      </c>
      <c r="M2611" s="0" t="n">
        <v>2034</v>
      </c>
      <c r="N2611" s="0" t="n">
        <v>241.68</v>
      </c>
      <c r="O2611" s="0" t="n">
        <v>5072.24</v>
      </c>
      <c r="W2611" s="0" t="n">
        <v>2035</v>
      </c>
      <c r="X2611" s="0" t="n">
        <v>166721.1</v>
      </c>
    </row>
    <row r="2612" customFormat="false" ht="15" hidden="false" customHeight="false" outlineLevel="0" collapsed="false">
      <c r="A2612" s="0" t="n">
        <v>2034</v>
      </c>
      <c r="B2612" s="0" t="n">
        <v>61.57303392</v>
      </c>
      <c r="C2612" s="0" t="n">
        <v>1293.033712</v>
      </c>
      <c r="E2612" s="0" t="n">
        <v>2035</v>
      </c>
      <c r="F2612" s="0" t="n">
        <v>71.76052</v>
      </c>
      <c r="G2612" s="0" t="n">
        <v>1506.280915</v>
      </c>
      <c r="I2612" s="0" t="n">
        <v>2029</v>
      </c>
      <c r="J2612" s="0" t="n">
        <v>25.83</v>
      </c>
      <c r="K2612" s="0" t="n">
        <v>542.01</v>
      </c>
      <c r="M2612" s="0" t="n">
        <v>2034</v>
      </c>
      <c r="N2612" s="0" t="n">
        <v>159</v>
      </c>
      <c r="O2612" s="0" t="n">
        <v>3337</v>
      </c>
      <c r="W2612" s="0" t="n">
        <v>2035</v>
      </c>
      <c r="X2612" s="0" t="n">
        <v>41680.275</v>
      </c>
    </row>
    <row r="2613" customFormat="false" ht="15" hidden="false" customHeight="false" outlineLevel="0" collapsed="false">
      <c r="A2613" s="0" t="n">
        <v>2034</v>
      </c>
      <c r="B2613" s="0" t="n">
        <v>54.90809544</v>
      </c>
      <c r="C2613" s="0" t="n">
        <v>1153.070004</v>
      </c>
      <c r="E2613" s="0" t="n">
        <v>2035</v>
      </c>
      <c r="F2613" s="0" t="n">
        <v>28.72324</v>
      </c>
      <c r="G2613" s="0" t="n">
        <v>602.911855</v>
      </c>
      <c r="I2613" s="0" t="n">
        <v>2029</v>
      </c>
      <c r="J2613" s="0" t="n">
        <v>7.38</v>
      </c>
      <c r="K2613" s="0" t="n">
        <v>154.86</v>
      </c>
      <c r="M2613" s="0" t="n">
        <v>2034</v>
      </c>
      <c r="N2613" s="0" t="n">
        <v>63.6</v>
      </c>
      <c r="O2613" s="0" t="n">
        <v>1334.8</v>
      </c>
      <c r="W2613" s="0" t="n">
        <v>2035</v>
      </c>
      <c r="X2613" s="0" t="n">
        <v>12907.44</v>
      </c>
    </row>
    <row r="2614" customFormat="false" ht="15" hidden="false" customHeight="false" outlineLevel="0" collapsed="false">
      <c r="A2614" s="0" t="n">
        <v>2034</v>
      </c>
      <c r="B2614" s="0" t="n">
        <v>38.18532628</v>
      </c>
      <c r="C2614" s="0" t="n">
        <v>801.8918518</v>
      </c>
      <c r="E2614" s="0" t="n">
        <v>2035</v>
      </c>
      <c r="F2614" s="0" t="n">
        <v>4.03468</v>
      </c>
      <c r="G2614" s="0" t="n">
        <v>84.689485</v>
      </c>
      <c r="I2614" s="0" t="n">
        <v>2029</v>
      </c>
      <c r="J2614" s="0" t="n">
        <v>25.83</v>
      </c>
      <c r="K2614" s="0" t="n">
        <v>542.01</v>
      </c>
      <c r="M2614" s="0" t="n">
        <v>2034</v>
      </c>
      <c r="N2614" s="0" t="n">
        <v>63.6</v>
      </c>
      <c r="O2614" s="0" t="n">
        <v>1334.8</v>
      </c>
      <c r="W2614" s="0" t="n">
        <v>2035</v>
      </c>
      <c r="X2614" s="0" t="n">
        <v>22856.925</v>
      </c>
    </row>
    <row r="2615" customFormat="false" ht="15" hidden="false" customHeight="false" outlineLevel="0" collapsed="false">
      <c r="A2615" s="0" t="n">
        <v>2034</v>
      </c>
      <c r="B2615" s="0" t="n">
        <v>28.40352229</v>
      </c>
      <c r="C2615" s="0" t="n">
        <v>596.4739682</v>
      </c>
      <c r="E2615" s="0" t="n">
        <v>2035</v>
      </c>
      <c r="F2615" s="0" t="n">
        <v>96.44908</v>
      </c>
      <c r="G2615" s="0" t="n">
        <v>2024.503285</v>
      </c>
      <c r="I2615" s="0" t="n">
        <v>2029</v>
      </c>
      <c r="J2615" s="0" t="n">
        <v>416.64</v>
      </c>
      <c r="K2615" s="0" t="n">
        <v>8747.52</v>
      </c>
      <c r="M2615" s="0" t="n">
        <v>2034</v>
      </c>
      <c r="N2615" s="0" t="n">
        <v>38.16</v>
      </c>
      <c r="O2615" s="0" t="n">
        <v>800.88</v>
      </c>
      <c r="W2615" s="0" t="n">
        <v>2035</v>
      </c>
      <c r="X2615" s="0" t="n">
        <v>10218.39</v>
      </c>
    </row>
    <row r="2616" customFormat="false" ht="15" hidden="false" customHeight="false" outlineLevel="0" collapsed="false">
      <c r="A2616" s="0" t="n">
        <v>2034</v>
      </c>
      <c r="B2616" s="0" t="n">
        <v>12.62378769</v>
      </c>
      <c r="C2616" s="0" t="n">
        <v>265.0995414</v>
      </c>
      <c r="E2616" s="0" t="n">
        <v>2035</v>
      </c>
      <c r="F2616" s="0" t="n">
        <v>4.51516</v>
      </c>
      <c r="G2616" s="0" t="n">
        <v>94.774945</v>
      </c>
      <c r="I2616" s="0" t="n">
        <v>2029</v>
      </c>
      <c r="J2616" s="0" t="n">
        <v>138.88</v>
      </c>
      <c r="K2616" s="0" t="n">
        <v>2915.84</v>
      </c>
      <c r="M2616" s="0" t="n">
        <v>2034</v>
      </c>
      <c r="N2616" s="0" t="n">
        <v>31.8</v>
      </c>
      <c r="O2616" s="0" t="n">
        <v>667.4</v>
      </c>
      <c r="W2616" s="0" t="n">
        <v>2035</v>
      </c>
      <c r="X2616" s="0" t="n">
        <v>4033.575</v>
      </c>
    </row>
    <row r="2617" customFormat="false" ht="15" hidden="false" customHeight="false" outlineLevel="0" collapsed="false">
      <c r="A2617" s="0" t="n">
        <v>2034</v>
      </c>
      <c r="B2617" s="0" t="n">
        <v>46.62696074</v>
      </c>
      <c r="C2617" s="0" t="n">
        <v>979.1661756</v>
      </c>
      <c r="E2617" s="0" t="n">
        <v>2035</v>
      </c>
      <c r="F2617" s="0" t="n">
        <v>24.68856</v>
      </c>
      <c r="G2617" s="0" t="n">
        <v>518.22237</v>
      </c>
      <c r="I2617" s="0" t="n">
        <v>2029</v>
      </c>
      <c r="J2617" s="0" t="n">
        <v>60.76</v>
      </c>
      <c r="K2617" s="0" t="n">
        <v>1275.68</v>
      </c>
      <c r="M2617" s="0" t="n">
        <v>2034</v>
      </c>
      <c r="N2617" s="0" t="n">
        <v>25.44</v>
      </c>
      <c r="O2617" s="0" t="n">
        <v>533.92</v>
      </c>
      <c r="W2617" s="0" t="n">
        <v>2035</v>
      </c>
      <c r="X2617" s="0" t="n">
        <v>5915.91</v>
      </c>
    </row>
    <row r="2618" customFormat="false" ht="15" hidden="false" customHeight="false" outlineLevel="0" collapsed="false">
      <c r="A2618" s="0" t="n">
        <v>2034</v>
      </c>
      <c r="B2618" s="0" t="n">
        <v>14.59586692</v>
      </c>
      <c r="C2618" s="0" t="n">
        <v>306.5132053</v>
      </c>
      <c r="E2618" s="0" t="n">
        <v>2035</v>
      </c>
      <c r="F2618" s="0" t="n">
        <v>22.57528</v>
      </c>
      <c r="G2618" s="0" t="n">
        <v>473.86381</v>
      </c>
      <c r="I2618" s="0" t="n">
        <v>2029</v>
      </c>
      <c r="J2618" s="0" t="n">
        <v>34.72</v>
      </c>
      <c r="K2618" s="0" t="n">
        <v>728.96</v>
      </c>
      <c r="M2618" s="0" t="n">
        <v>2034</v>
      </c>
      <c r="N2618" s="0" t="n">
        <v>12.72</v>
      </c>
      <c r="O2618" s="0" t="n">
        <v>266.96</v>
      </c>
      <c r="W2618" s="0" t="n">
        <v>2035</v>
      </c>
      <c r="X2618" s="0" t="n">
        <v>4571.385</v>
      </c>
    </row>
    <row r="2619" customFormat="false" ht="15" hidden="false" customHeight="false" outlineLevel="0" collapsed="false">
      <c r="A2619" s="0" t="n">
        <v>2034</v>
      </c>
      <c r="B2619" s="0" t="n">
        <v>32.63546646</v>
      </c>
      <c r="C2619" s="0" t="n">
        <v>685.3447957</v>
      </c>
      <c r="E2619" s="0" t="n">
        <v>2035</v>
      </c>
      <c r="F2619" s="0" t="n">
        <v>359.250351</v>
      </c>
      <c r="G2619" s="0" t="n">
        <v>7544.257371</v>
      </c>
      <c r="I2619" s="0" t="n">
        <v>2029</v>
      </c>
      <c r="J2619" s="0" t="n">
        <v>34.72</v>
      </c>
      <c r="K2619" s="0" t="n">
        <v>728.96</v>
      </c>
      <c r="M2619" s="0" t="n">
        <v>2034</v>
      </c>
      <c r="N2619" s="0" t="n">
        <v>182.4</v>
      </c>
      <c r="O2619" s="0" t="n">
        <v>3825.84</v>
      </c>
      <c r="W2619" s="0" t="n">
        <v>2035</v>
      </c>
      <c r="X2619" s="0" t="n">
        <v>63143.28</v>
      </c>
    </row>
    <row r="2620" customFormat="false" ht="15" hidden="false" customHeight="false" outlineLevel="0" collapsed="false">
      <c r="A2620" s="0" t="n">
        <v>2034</v>
      </c>
      <c r="B2620" s="0" t="n">
        <v>245.986404</v>
      </c>
      <c r="C2620" s="0" t="n">
        <v>5165.714485</v>
      </c>
      <c r="E2620" s="0" t="n">
        <v>2035</v>
      </c>
      <c r="F2620" s="0" t="n">
        <v>96.462699</v>
      </c>
      <c r="G2620" s="0" t="n">
        <v>2025.716679</v>
      </c>
      <c r="I2620" s="0" t="n">
        <v>2029</v>
      </c>
      <c r="J2620" s="0" t="n">
        <v>17.36</v>
      </c>
      <c r="K2620" s="0" t="n">
        <v>364.48</v>
      </c>
      <c r="M2620" s="0" t="n">
        <v>2034</v>
      </c>
      <c r="N2620" s="0" t="n">
        <v>120</v>
      </c>
      <c r="O2620" s="0" t="n">
        <v>2517</v>
      </c>
      <c r="W2620" s="0" t="n">
        <v>2035</v>
      </c>
      <c r="X2620" s="0" t="n">
        <v>15785.82</v>
      </c>
    </row>
    <row r="2621" customFormat="false" ht="15" hidden="false" customHeight="false" outlineLevel="0" collapsed="false">
      <c r="A2621" s="0" t="n">
        <v>2034</v>
      </c>
      <c r="B2621" s="0" t="n">
        <v>62.04504502</v>
      </c>
      <c r="C2621" s="0" t="n">
        <v>1302.945945</v>
      </c>
      <c r="E2621" s="0" t="n">
        <v>2035</v>
      </c>
      <c r="F2621" s="0" t="n">
        <v>38.610663</v>
      </c>
      <c r="G2621" s="0" t="n">
        <v>810.823923</v>
      </c>
      <c r="I2621" s="0" t="n">
        <v>2029</v>
      </c>
      <c r="J2621" s="0" t="n">
        <v>17.36</v>
      </c>
      <c r="K2621" s="0" t="n">
        <v>364.48</v>
      </c>
      <c r="M2621" s="0" t="n">
        <v>2034</v>
      </c>
      <c r="N2621" s="0" t="n">
        <v>48</v>
      </c>
      <c r="O2621" s="0" t="n">
        <v>1006.8</v>
      </c>
      <c r="W2621" s="0" t="n">
        <v>2035</v>
      </c>
      <c r="X2621" s="0" t="n">
        <v>4888.512</v>
      </c>
    </row>
    <row r="2622" customFormat="false" ht="15" hidden="false" customHeight="false" outlineLevel="0" collapsed="false">
      <c r="A2622" s="0" t="n">
        <v>2034</v>
      </c>
      <c r="B2622" s="0" t="n">
        <v>55.32901396</v>
      </c>
      <c r="C2622" s="0" t="n">
        <v>1161.909293</v>
      </c>
      <c r="E2622" s="0" t="n">
        <v>2035</v>
      </c>
      <c r="F2622" s="0" t="n">
        <v>5.423541</v>
      </c>
      <c r="G2622" s="0" t="n">
        <v>113.894361</v>
      </c>
      <c r="I2622" s="0" t="n">
        <v>2029</v>
      </c>
      <c r="J2622" s="0" t="n">
        <v>34.72</v>
      </c>
      <c r="K2622" s="0" t="n">
        <v>728.96</v>
      </c>
      <c r="M2622" s="0" t="n">
        <v>2034</v>
      </c>
      <c r="N2622" s="0" t="n">
        <v>48</v>
      </c>
      <c r="O2622" s="0" t="n">
        <v>1006.8</v>
      </c>
      <c r="W2622" s="0" t="n">
        <v>2035</v>
      </c>
      <c r="X2622" s="0" t="n">
        <v>8656.74</v>
      </c>
    </row>
    <row r="2623" customFormat="false" ht="15" hidden="false" customHeight="false" outlineLevel="0" collapsed="false">
      <c r="A2623" s="0" t="n">
        <v>2034</v>
      </c>
      <c r="B2623" s="0" t="n">
        <v>38.47805016</v>
      </c>
      <c r="C2623" s="0" t="n">
        <v>808.0390534</v>
      </c>
      <c r="E2623" s="0" t="n">
        <v>2035</v>
      </c>
      <c r="F2623" s="0" t="n">
        <v>129.649821</v>
      </c>
      <c r="G2623" s="0" t="n">
        <v>2722.646241</v>
      </c>
      <c r="I2623" s="0" t="n">
        <v>2029</v>
      </c>
      <c r="J2623" s="0" t="n">
        <v>60.76</v>
      </c>
      <c r="K2623" s="0" t="n">
        <v>1275.68</v>
      </c>
      <c r="M2623" s="0" t="n">
        <v>2034</v>
      </c>
      <c r="N2623" s="0" t="n">
        <v>28.8</v>
      </c>
      <c r="O2623" s="0" t="n">
        <v>604.08</v>
      </c>
      <c r="W2623" s="0" t="n">
        <v>2035</v>
      </c>
      <c r="X2623" s="0" t="n">
        <v>3870.072</v>
      </c>
    </row>
    <row r="2624" customFormat="false" ht="15" hidden="false" customHeight="false" outlineLevel="0" collapsed="false">
      <c r="A2624" s="0" t="n">
        <v>2034</v>
      </c>
      <c r="B2624" s="0" t="n">
        <v>28.62126011</v>
      </c>
      <c r="C2624" s="0" t="n">
        <v>601.0464622</v>
      </c>
      <c r="E2624" s="0" t="n">
        <v>2035</v>
      </c>
      <c r="F2624" s="0" t="n">
        <v>6.069417</v>
      </c>
      <c r="G2624" s="0" t="n">
        <v>127.457757</v>
      </c>
      <c r="I2624" s="0" t="n">
        <v>2029</v>
      </c>
      <c r="J2624" s="0" t="n">
        <v>26.04</v>
      </c>
      <c r="K2624" s="0" t="n">
        <v>546.72</v>
      </c>
      <c r="M2624" s="0" t="n">
        <v>2034</v>
      </c>
      <c r="N2624" s="0" t="n">
        <v>24</v>
      </c>
      <c r="O2624" s="0" t="n">
        <v>503.4</v>
      </c>
      <c r="W2624" s="0" t="n">
        <v>2035</v>
      </c>
      <c r="X2624" s="0" t="n">
        <v>1527.66</v>
      </c>
    </row>
    <row r="2625" customFormat="false" ht="15" hidden="false" customHeight="false" outlineLevel="0" collapsed="false">
      <c r="A2625" s="0" t="n">
        <v>2034</v>
      </c>
      <c r="B2625" s="0" t="n">
        <v>12.72056005</v>
      </c>
      <c r="C2625" s="0" t="n">
        <v>267.131761</v>
      </c>
      <c r="E2625" s="0" t="n">
        <v>2035</v>
      </c>
      <c r="F2625" s="0" t="n">
        <v>33.187122</v>
      </c>
      <c r="G2625" s="0" t="n">
        <v>696.929562</v>
      </c>
      <c r="I2625" s="0" t="n">
        <v>2029</v>
      </c>
      <c r="J2625" s="0" t="n">
        <v>26.04</v>
      </c>
      <c r="K2625" s="0" t="n">
        <v>546.72</v>
      </c>
      <c r="M2625" s="0" t="n">
        <v>2034</v>
      </c>
      <c r="N2625" s="0" t="n">
        <v>19.2</v>
      </c>
      <c r="O2625" s="0" t="n">
        <v>402.72</v>
      </c>
      <c r="W2625" s="0" t="n">
        <v>2035</v>
      </c>
      <c r="X2625" s="0" t="n">
        <v>2240.568</v>
      </c>
    </row>
    <row r="2626" customFormat="false" ht="15" hidden="false" customHeight="false" outlineLevel="0" collapsed="false">
      <c r="A2626" s="0" t="n">
        <v>2034</v>
      </c>
      <c r="B2626" s="0" t="n">
        <v>46.98439713</v>
      </c>
      <c r="C2626" s="0" t="n">
        <v>986.6723398</v>
      </c>
      <c r="E2626" s="0" t="n">
        <v>2035</v>
      </c>
      <c r="F2626" s="0" t="n">
        <v>30.346386</v>
      </c>
      <c r="G2626" s="0" t="n">
        <v>637.274106</v>
      </c>
      <c r="I2626" s="0" t="n">
        <v>2029</v>
      </c>
      <c r="J2626" s="0" t="n">
        <v>196.56</v>
      </c>
      <c r="K2626" s="0" t="n">
        <v>4132.96</v>
      </c>
      <c r="M2626" s="0" t="n">
        <v>2034</v>
      </c>
      <c r="N2626" s="0" t="n">
        <v>9.6</v>
      </c>
      <c r="O2626" s="0" t="n">
        <v>201.36</v>
      </c>
      <c r="W2626" s="0" t="n">
        <v>2035</v>
      </c>
      <c r="X2626" s="0" t="n">
        <v>1731.348</v>
      </c>
    </row>
    <row r="2627" customFormat="false" ht="15" hidden="false" customHeight="false" outlineLevel="0" collapsed="false">
      <c r="A2627" s="0" t="n">
        <v>2034</v>
      </c>
      <c r="B2627" s="0" t="n">
        <v>14.70775699</v>
      </c>
      <c r="C2627" s="0" t="n">
        <v>308.8628968</v>
      </c>
      <c r="E2627" s="0" t="n">
        <v>2035</v>
      </c>
      <c r="F2627" s="0" t="n">
        <v>273.934817</v>
      </c>
      <c r="G2627" s="0" t="n">
        <v>5744.921922</v>
      </c>
      <c r="I2627" s="0" t="n">
        <v>2029</v>
      </c>
      <c r="J2627" s="0" t="n">
        <v>30.24</v>
      </c>
      <c r="K2627" s="0" t="n">
        <v>635.84</v>
      </c>
      <c r="M2627" s="0" t="n">
        <v>2034</v>
      </c>
      <c r="N2627" s="0" t="n">
        <v>164.92</v>
      </c>
      <c r="O2627" s="0" t="n">
        <v>3456.48</v>
      </c>
      <c r="W2627" s="0" t="n">
        <v>2035</v>
      </c>
      <c r="X2627" s="0" t="n">
        <v>123120.84</v>
      </c>
    </row>
    <row r="2628" customFormat="false" ht="15" hidden="false" customHeight="false" outlineLevel="0" collapsed="false">
      <c r="A2628" s="0" t="n">
        <v>2034</v>
      </c>
      <c r="B2628" s="0" t="n">
        <v>32.88564582</v>
      </c>
      <c r="C2628" s="0" t="n">
        <v>690.5985623</v>
      </c>
      <c r="E2628" s="0" t="n">
        <v>2035</v>
      </c>
      <c r="F2628" s="0" t="n">
        <v>73.554533</v>
      </c>
      <c r="G2628" s="0" t="n">
        <v>1542.575178</v>
      </c>
      <c r="I2628" s="0" t="n">
        <v>2029</v>
      </c>
      <c r="J2628" s="0" t="n">
        <v>22.68</v>
      </c>
      <c r="K2628" s="0" t="n">
        <v>476.88</v>
      </c>
      <c r="M2628" s="0" t="n">
        <v>2034</v>
      </c>
      <c r="N2628" s="0" t="n">
        <v>108.5</v>
      </c>
      <c r="O2628" s="0" t="n">
        <v>2274</v>
      </c>
      <c r="W2628" s="0" t="n">
        <v>2035</v>
      </c>
      <c r="X2628" s="0" t="n">
        <v>30780.21</v>
      </c>
    </row>
    <row r="2629" customFormat="false" ht="15" hidden="false" customHeight="false" outlineLevel="0" collapsed="false">
      <c r="A2629" s="0" t="n">
        <v>2034</v>
      </c>
      <c r="B2629" s="0" t="n">
        <v>200.2672626</v>
      </c>
      <c r="C2629" s="0" t="n">
        <v>4205.612514</v>
      </c>
      <c r="E2629" s="0" t="n">
        <v>2035</v>
      </c>
      <c r="F2629" s="0" t="n">
        <v>29.441321</v>
      </c>
      <c r="G2629" s="0" t="n">
        <v>617.439186</v>
      </c>
      <c r="I2629" s="0" t="n">
        <v>2029</v>
      </c>
      <c r="J2629" s="0" t="n">
        <v>37.8</v>
      </c>
      <c r="K2629" s="0" t="n">
        <v>794.8</v>
      </c>
      <c r="M2629" s="0" t="n">
        <v>2034</v>
      </c>
      <c r="N2629" s="0" t="n">
        <v>43.4</v>
      </c>
      <c r="O2629" s="0" t="n">
        <v>909.6</v>
      </c>
      <c r="W2629" s="0" t="n">
        <v>2035</v>
      </c>
      <c r="X2629" s="0" t="n">
        <v>9531.936</v>
      </c>
    </row>
    <row r="2630" customFormat="false" ht="15" hidden="false" customHeight="false" outlineLevel="0" collapsed="false">
      <c r="A2630" s="0" t="n">
        <v>2034</v>
      </c>
      <c r="B2630" s="0" t="n">
        <v>50.5133256</v>
      </c>
      <c r="C2630" s="0" t="n">
        <v>1060.779838</v>
      </c>
      <c r="E2630" s="0" t="n">
        <v>2035</v>
      </c>
      <c r="F2630" s="0" t="n">
        <v>4.135547</v>
      </c>
      <c r="G2630" s="0" t="n">
        <v>86.730102</v>
      </c>
      <c r="I2630" s="0" t="n">
        <v>2029</v>
      </c>
      <c r="J2630" s="0" t="n">
        <v>7.56</v>
      </c>
      <c r="K2630" s="0" t="n">
        <v>158.96</v>
      </c>
      <c r="M2630" s="0" t="n">
        <v>2034</v>
      </c>
      <c r="N2630" s="0" t="n">
        <v>43.4</v>
      </c>
      <c r="O2630" s="0" t="n">
        <v>909.6</v>
      </c>
      <c r="W2630" s="0" t="n">
        <v>2035</v>
      </c>
      <c r="X2630" s="0" t="n">
        <v>16879.47</v>
      </c>
    </row>
    <row r="2631" customFormat="false" ht="15" hidden="false" customHeight="false" outlineLevel="0" collapsed="false">
      <c r="A2631" s="0" t="n">
        <v>2034</v>
      </c>
      <c r="B2631" s="0" t="n">
        <v>45.04553904</v>
      </c>
      <c r="C2631" s="0" t="n">
        <v>945.9563198</v>
      </c>
      <c r="E2631" s="0" t="n">
        <v>2035</v>
      </c>
      <c r="F2631" s="0" t="n">
        <v>98.860307</v>
      </c>
      <c r="G2631" s="0" t="n">
        <v>2073.284262</v>
      </c>
      <c r="I2631" s="0" t="n">
        <v>2029</v>
      </c>
      <c r="J2631" s="0" t="n">
        <v>7.56</v>
      </c>
      <c r="K2631" s="0" t="n">
        <v>158.96</v>
      </c>
      <c r="M2631" s="0" t="n">
        <v>2034</v>
      </c>
      <c r="N2631" s="0" t="n">
        <v>26.04</v>
      </c>
      <c r="O2631" s="0" t="n">
        <v>545.76</v>
      </c>
      <c r="W2631" s="0" t="n">
        <v>2035</v>
      </c>
      <c r="X2631" s="0" t="n">
        <v>7546.116</v>
      </c>
    </row>
    <row r="2632" customFormat="false" ht="15" hidden="false" customHeight="false" outlineLevel="0" collapsed="false">
      <c r="A2632" s="0" t="n">
        <v>2034</v>
      </c>
      <c r="B2632" s="0" t="n">
        <v>31.3265028</v>
      </c>
      <c r="C2632" s="0" t="n">
        <v>657.8565589</v>
      </c>
      <c r="E2632" s="0" t="n">
        <v>2035</v>
      </c>
      <c r="F2632" s="0" t="n">
        <v>4.628039</v>
      </c>
      <c r="G2632" s="0" t="n">
        <v>97.058574</v>
      </c>
      <c r="I2632" s="0" t="n">
        <v>2029</v>
      </c>
      <c r="J2632" s="0" t="n">
        <v>0</v>
      </c>
      <c r="K2632" s="0" t="n">
        <v>0</v>
      </c>
      <c r="M2632" s="0" t="n">
        <v>2034</v>
      </c>
      <c r="N2632" s="0" t="n">
        <v>21.7</v>
      </c>
      <c r="O2632" s="0" t="n">
        <v>454.8</v>
      </c>
      <c r="W2632" s="0" t="n">
        <v>2035</v>
      </c>
      <c r="X2632" s="0" t="n">
        <v>2978.73</v>
      </c>
    </row>
    <row r="2633" customFormat="false" ht="15" hidden="false" customHeight="false" outlineLevel="0" collapsed="false">
      <c r="A2633" s="0" t="n">
        <v>2034</v>
      </c>
      <c r="B2633" s="0" t="n">
        <v>23.30170009</v>
      </c>
      <c r="C2633" s="0" t="n">
        <v>489.3357019</v>
      </c>
      <c r="E2633" s="0" t="n">
        <v>2035</v>
      </c>
      <c r="F2633" s="0" t="n">
        <v>25.305774</v>
      </c>
      <c r="G2633" s="0" t="n">
        <v>530.709084</v>
      </c>
      <c r="I2633" s="0" t="n">
        <v>2029</v>
      </c>
      <c r="J2633" s="0" t="n">
        <v>15.12</v>
      </c>
      <c r="K2633" s="0" t="n">
        <v>317.92</v>
      </c>
      <c r="M2633" s="0" t="n">
        <v>2034</v>
      </c>
      <c r="N2633" s="0" t="n">
        <v>17.36</v>
      </c>
      <c r="O2633" s="0" t="n">
        <v>363.84</v>
      </c>
      <c r="W2633" s="0" t="n">
        <v>2035</v>
      </c>
      <c r="X2633" s="0" t="n">
        <v>4368.804</v>
      </c>
    </row>
    <row r="2634" customFormat="false" ht="15" hidden="false" customHeight="false" outlineLevel="0" collapsed="false">
      <c r="A2634" s="0" t="n">
        <v>2034</v>
      </c>
      <c r="B2634" s="0" t="n">
        <v>10.35631115</v>
      </c>
      <c r="C2634" s="0" t="n">
        <v>217.4825342</v>
      </c>
      <c r="E2634" s="0" t="n">
        <v>2035</v>
      </c>
      <c r="F2634" s="0" t="n">
        <v>23.139662</v>
      </c>
      <c r="G2634" s="0" t="n">
        <v>485.281692</v>
      </c>
      <c r="I2634" s="0" t="n">
        <v>2029</v>
      </c>
      <c r="J2634" s="0" t="n">
        <v>26.46</v>
      </c>
      <c r="K2634" s="0" t="n">
        <v>556.36</v>
      </c>
      <c r="M2634" s="0" t="n">
        <v>2034</v>
      </c>
      <c r="N2634" s="0" t="n">
        <v>8.68</v>
      </c>
      <c r="O2634" s="0" t="n">
        <v>181.92</v>
      </c>
      <c r="W2634" s="0" t="n">
        <v>2035</v>
      </c>
      <c r="X2634" s="0" t="n">
        <v>3375.894</v>
      </c>
    </row>
    <row r="2635" customFormat="false" ht="15" hidden="false" customHeight="false" outlineLevel="0" collapsed="false">
      <c r="A2635" s="0" t="n">
        <v>2034</v>
      </c>
      <c r="B2635" s="0" t="n">
        <v>38.25185637</v>
      </c>
      <c r="C2635" s="0" t="n">
        <v>803.2889839</v>
      </c>
      <c r="E2635" s="0" t="n">
        <v>2035</v>
      </c>
      <c r="F2635" s="0" t="n">
        <v>600.806381</v>
      </c>
      <c r="G2635" s="0" t="n">
        <v>12611.28056</v>
      </c>
      <c r="I2635" s="0" t="n">
        <v>2029</v>
      </c>
      <c r="J2635" s="0" t="n">
        <v>7.56</v>
      </c>
      <c r="K2635" s="0" t="n">
        <v>158.96</v>
      </c>
      <c r="M2635" s="0" t="n">
        <v>2034</v>
      </c>
      <c r="N2635" s="0" t="n">
        <v>264.48</v>
      </c>
      <c r="O2635" s="0" t="n">
        <v>5551.8</v>
      </c>
      <c r="W2635" s="0" t="n">
        <v>2035</v>
      </c>
      <c r="X2635" s="0" t="n">
        <v>116556.9</v>
      </c>
    </row>
    <row r="2636" customFormat="false" ht="15" hidden="false" customHeight="false" outlineLevel="0" collapsed="false">
      <c r="A2636" s="0" t="n">
        <v>2034</v>
      </c>
      <c r="B2636" s="0" t="n">
        <v>11.97416679</v>
      </c>
      <c r="C2636" s="0" t="n">
        <v>251.4575027</v>
      </c>
      <c r="E2636" s="0" t="n">
        <v>2035</v>
      </c>
      <c r="F2636" s="0" t="n">
        <v>161.323169</v>
      </c>
      <c r="G2636" s="0" t="n">
        <v>3386.268538</v>
      </c>
      <c r="I2636" s="0" t="n">
        <v>2029</v>
      </c>
      <c r="J2636" s="0" t="n">
        <v>26.46</v>
      </c>
      <c r="K2636" s="0" t="n">
        <v>556.36</v>
      </c>
      <c r="M2636" s="0" t="n">
        <v>2034</v>
      </c>
      <c r="N2636" s="0" t="n">
        <v>174</v>
      </c>
      <c r="O2636" s="0" t="n">
        <v>3652.5</v>
      </c>
      <c r="W2636" s="0" t="n">
        <v>2035</v>
      </c>
      <c r="X2636" s="0" t="n">
        <v>29139.225</v>
      </c>
    </row>
    <row r="2637" customFormat="false" ht="15" hidden="false" customHeight="false" outlineLevel="0" collapsed="false">
      <c r="A2637" s="0" t="n">
        <v>2034</v>
      </c>
      <c r="B2637" s="0" t="n">
        <v>26.7735052</v>
      </c>
      <c r="C2637" s="0" t="n">
        <v>562.2436091</v>
      </c>
      <c r="E2637" s="0" t="n">
        <v>2035</v>
      </c>
      <c r="F2637" s="0" t="n">
        <v>64.572053</v>
      </c>
      <c r="G2637" s="0" t="n">
        <v>1355.405506</v>
      </c>
      <c r="I2637" s="0" t="n">
        <v>2029</v>
      </c>
      <c r="J2637" s="0" t="n">
        <v>329.76</v>
      </c>
      <c r="K2637" s="0" t="n">
        <v>6921.12</v>
      </c>
      <c r="M2637" s="0" t="n">
        <v>2034</v>
      </c>
      <c r="N2637" s="0" t="n">
        <v>69.6</v>
      </c>
      <c r="O2637" s="0" t="n">
        <v>1461</v>
      </c>
      <c r="W2637" s="0" t="n">
        <v>2035</v>
      </c>
      <c r="X2637" s="0" t="n">
        <v>9023.76</v>
      </c>
    </row>
    <row r="2638" customFormat="false" ht="15" hidden="false" customHeight="false" outlineLevel="0" collapsed="false">
      <c r="A2638" s="0" t="n">
        <v>2034</v>
      </c>
      <c r="B2638" s="0" t="n">
        <v>365.6563375</v>
      </c>
      <c r="C2638" s="0" t="n">
        <v>7678.783087</v>
      </c>
      <c r="E2638" s="0" t="n">
        <v>2035</v>
      </c>
      <c r="F2638" s="0" t="n">
        <v>9.070271</v>
      </c>
      <c r="G2638" s="0" t="n">
        <v>190.390342</v>
      </c>
      <c r="I2638" s="0" t="n">
        <v>2029</v>
      </c>
      <c r="J2638" s="0" t="n">
        <v>109.92</v>
      </c>
      <c r="K2638" s="0" t="n">
        <v>2307.04</v>
      </c>
      <c r="M2638" s="0" t="n">
        <v>2034</v>
      </c>
      <c r="N2638" s="0" t="n">
        <v>69.6</v>
      </c>
      <c r="O2638" s="0" t="n">
        <v>1461</v>
      </c>
      <c r="W2638" s="0" t="n">
        <v>2035</v>
      </c>
      <c r="X2638" s="0" t="n">
        <v>15979.575</v>
      </c>
    </row>
    <row r="2639" customFormat="false" ht="15" hidden="false" customHeight="false" outlineLevel="0" collapsed="false">
      <c r="A2639" s="0" t="n">
        <v>2034</v>
      </c>
      <c r="B2639" s="0" t="n">
        <v>92.22934092</v>
      </c>
      <c r="C2639" s="0" t="n">
        <v>1936.816159</v>
      </c>
      <c r="E2639" s="0" t="n">
        <v>2035</v>
      </c>
      <c r="F2639" s="0" t="n">
        <v>216.824951</v>
      </c>
      <c r="G2639" s="0" t="n">
        <v>4551.283702</v>
      </c>
      <c r="I2639" s="0" t="n">
        <v>2029</v>
      </c>
      <c r="J2639" s="0" t="n">
        <v>48.09</v>
      </c>
      <c r="K2639" s="0" t="n">
        <v>1009.33</v>
      </c>
      <c r="M2639" s="0" t="n">
        <v>2034</v>
      </c>
      <c r="N2639" s="0" t="n">
        <v>41.76</v>
      </c>
      <c r="O2639" s="0" t="n">
        <v>876.6</v>
      </c>
      <c r="W2639" s="0" t="n">
        <v>2035</v>
      </c>
      <c r="X2639" s="0" t="n">
        <v>7143.81</v>
      </c>
    </row>
    <row r="2640" customFormat="false" ht="15" hidden="false" customHeight="false" outlineLevel="0" collapsed="false">
      <c r="A2640" s="0" t="n">
        <v>2034</v>
      </c>
      <c r="B2640" s="0" t="n">
        <v>82.2460277</v>
      </c>
      <c r="C2640" s="0" t="n">
        <v>1727.166582</v>
      </c>
      <c r="E2640" s="0" t="n">
        <v>2035</v>
      </c>
      <c r="F2640" s="0" t="n">
        <v>10.150427</v>
      </c>
      <c r="G2640" s="0" t="n">
        <v>213.063454</v>
      </c>
      <c r="I2640" s="0" t="n">
        <v>2029</v>
      </c>
      <c r="J2640" s="0" t="n">
        <v>27.48</v>
      </c>
      <c r="K2640" s="0" t="n">
        <v>576.76</v>
      </c>
      <c r="M2640" s="0" t="n">
        <v>2034</v>
      </c>
      <c r="N2640" s="0" t="n">
        <v>34.8</v>
      </c>
      <c r="O2640" s="0" t="n">
        <v>730.5</v>
      </c>
      <c r="W2640" s="0" t="n">
        <v>2035</v>
      </c>
      <c r="X2640" s="0" t="n">
        <v>2819.925</v>
      </c>
    </row>
    <row r="2641" customFormat="false" ht="15" hidden="false" customHeight="false" outlineLevel="0" collapsed="false">
      <c r="A2641" s="0" t="n">
        <v>2034</v>
      </c>
      <c r="B2641" s="0" t="n">
        <v>57.197238</v>
      </c>
      <c r="C2641" s="0" t="n">
        <v>1201.141998</v>
      </c>
      <c r="E2641" s="0" t="n">
        <v>2035</v>
      </c>
      <c r="F2641" s="0" t="n">
        <v>55.501782</v>
      </c>
      <c r="G2641" s="0" t="n">
        <v>1165.015164</v>
      </c>
      <c r="I2641" s="0" t="n">
        <v>2029</v>
      </c>
      <c r="J2641" s="0" t="n">
        <v>27.48</v>
      </c>
      <c r="K2641" s="0" t="n">
        <v>576.76</v>
      </c>
      <c r="M2641" s="0" t="n">
        <v>2034</v>
      </c>
      <c r="N2641" s="0" t="n">
        <v>27.84</v>
      </c>
      <c r="O2641" s="0" t="n">
        <v>584.4</v>
      </c>
      <c r="W2641" s="0" t="n">
        <v>2035</v>
      </c>
      <c r="X2641" s="0" t="n">
        <v>4135.89</v>
      </c>
    </row>
    <row r="2642" customFormat="false" ht="15" hidden="false" customHeight="false" outlineLevel="0" collapsed="false">
      <c r="A2642" s="0" t="n">
        <v>2034</v>
      </c>
      <c r="B2642" s="0" t="n">
        <v>42.54521784</v>
      </c>
      <c r="C2642" s="0" t="n">
        <v>893.4495746</v>
      </c>
      <c r="E2642" s="0" t="n">
        <v>2035</v>
      </c>
      <c r="F2642" s="0" t="n">
        <v>50.750966</v>
      </c>
      <c r="G2642" s="0" t="n">
        <v>1065.292732</v>
      </c>
      <c r="I2642" s="0" t="n">
        <v>2029</v>
      </c>
      <c r="J2642" s="0" t="n">
        <v>13.74</v>
      </c>
      <c r="K2642" s="0" t="n">
        <v>288.38</v>
      </c>
      <c r="M2642" s="0" t="n">
        <v>2034</v>
      </c>
      <c r="N2642" s="0" t="n">
        <v>13.92</v>
      </c>
      <c r="O2642" s="0" t="n">
        <v>292.2</v>
      </c>
      <c r="W2642" s="0" t="n">
        <v>2035</v>
      </c>
      <c r="X2642" s="0" t="n">
        <v>3195.915</v>
      </c>
    </row>
    <row r="2643" customFormat="false" ht="15" hidden="false" customHeight="false" outlineLevel="0" collapsed="false">
      <c r="A2643" s="0" t="n">
        <v>2034</v>
      </c>
      <c r="B2643" s="0" t="n">
        <v>18.90898571</v>
      </c>
      <c r="C2643" s="0" t="n">
        <v>397.0886998</v>
      </c>
      <c r="E2643" s="0" t="n">
        <v>2035</v>
      </c>
      <c r="F2643" s="0" t="n">
        <v>330.469207</v>
      </c>
      <c r="G2643" s="0" t="n">
        <v>6933.685959</v>
      </c>
      <c r="I2643" s="0" t="n">
        <v>2029</v>
      </c>
      <c r="J2643" s="0" t="n">
        <v>13.74</v>
      </c>
      <c r="K2643" s="0" t="n">
        <v>288.38</v>
      </c>
      <c r="M2643" s="0" t="n">
        <v>2034</v>
      </c>
      <c r="N2643" s="0" t="n">
        <v>171.38</v>
      </c>
      <c r="O2643" s="0" t="n">
        <v>3595.94</v>
      </c>
      <c r="W2643" s="0" t="n">
        <v>2035</v>
      </c>
      <c r="X2643" s="0" t="n">
        <v>48712.16</v>
      </c>
    </row>
    <row r="2644" customFormat="false" ht="15" hidden="false" customHeight="false" outlineLevel="0" collapsed="false">
      <c r="A2644" s="0" t="n">
        <v>2034</v>
      </c>
      <c r="B2644" s="0" t="n">
        <v>69.84183797</v>
      </c>
      <c r="C2644" s="0" t="n">
        <v>1466.678597</v>
      </c>
      <c r="E2644" s="0" t="n">
        <v>2035</v>
      </c>
      <c r="F2644" s="0" t="n">
        <v>88.734643</v>
      </c>
      <c r="G2644" s="0" t="n">
        <v>1861.771491</v>
      </c>
      <c r="I2644" s="0" t="n">
        <v>2029</v>
      </c>
      <c r="J2644" s="0" t="n">
        <v>27.48</v>
      </c>
      <c r="K2644" s="0" t="n">
        <v>576.76</v>
      </c>
      <c r="M2644" s="0" t="n">
        <v>2034</v>
      </c>
      <c r="N2644" s="0" t="n">
        <v>112.75</v>
      </c>
      <c r="O2644" s="0" t="n">
        <v>2365.75</v>
      </c>
      <c r="W2644" s="0" t="n">
        <v>2035</v>
      </c>
      <c r="X2644" s="0" t="n">
        <v>12178.04</v>
      </c>
    </row>
    <row r="2645" customFormat="false" ht="15" hidden="false" customHeight="false" outlineLevel="0" collapsed="false">
      <c r="A2645" s="0" t="n">
        <v>2034</v>
      </c>
      <c r="B2645" s="0" t="n">
        <v>21.86293415</v>
      </c>
      <c r="C2645" s="0" t="n">
        <v>459.1216172</v>
      </c>
      <c r="E2645" s="0" t="n">
        <v>2035</v>
      </c>
      <c r="F2645" s="0" t="n">
        <v>35.517391</v>
      </c>
      <c r="G2645" s="0" t="n">
        <v>745.202367</v>
      </c>
      <c r="I2645" s="0" t="n">
        <v>2029</v>
      </c>
      <c r="J2645" s="0" t="n">
        <v>48.09</v>
      </c>
      <c r="K2645" s="0" t="n">
        <v>1009.33</v>
      </c>
      <c r="M2645" s="0" t="n">
        <v>2034</v>
      </c>
      <c r="N2645" s="0" t="n">
        <v>45.1</v>
      </c>
      <c r="O2645" s="0" t="n">
        <v>946.3</v>
      </c>
      <c r="W2645" s="0" t="n">
        <v>2035</v>
      </c>
      <c r="X2645" s="0" t="n">
        <v>3771.264</v>
      </c>
    </row>
    <row r="2646" customFormat="false" ht="15" hidden="false" customHeight="false" outlineLevel="0" collapsed="false">
      <c r="A2646" s="0" t="n">
        <v>2034</v>
      </c>
      <c r="B2646" s="0" t="n">
        <v>48.8841847</v>
      </c>
      <c r="C2646" s="0" t="n">
        <v>1026.567879</v>
      </c>
      <c r="E2646" s="0" t="n">
        <v>2035</v>
      </c>
      <c r="F2646" s="0" t="n">
        <v>4.989037</v>
      </c>
      <c r="G2646" s="0" t="n">
        <v>104.676669</v>
      </c>
      <c r="I2646" s="0" t="n">
        <v>2029</v>
      </c>
      <c r="J2646" s="0" t="n">
        <v>20.61</v>
      </c>
      <c r="K2646" s="0" t="n">
        <v>432.57</v>
      </c>
      <c r="M2646" s="0" t="n">
        <v>2034</v>
      </c>
      <c r="N2646" s="0" t="n">
        <v>45.1</v>
      </c>
      <c r="O2646" s="0" t="n">
        <v>946.3</v>
      </c>
      <c r="W2646" s="0" t="n">
        <v>2035</v>
      </c>
      <c r="X2646" s="0" t="n">
        <v>6678.28</v>
      </c>
    </row>
    <row r="2647" customFormat="false" ht="15" hidden="false" customHeight="false" outlineLevel="0" collapsed="false">
      <c r="A2647" s="0" t="n">
        <v>2034</v>
      </c>
      <c r="B2647" s="0" t="n">
        <v>175.5524691</v>
      </c>
      <c r="C2647" s="0" t="n">
        <v>3686.601851</v>
      </c>
      <c r="E2647" s="0" t="n">
        <v>2035</v>
      </c>
      <c r="F2647" s="0" t="n">
        <v>119.262997</v>
      </c>
      <c r="G2647" s="0" t="n">
        <v>2502.297189</v>
      </c>
      <c r="I2647" s="0" t="n">
        <v>2029</v>
      </c>
      <c r="J2647" s="0" t="n">
        <v>20.61</v>
      </c>
      <c r="K2647" s="0" t="n">
        <v>432.57</v>
      </c>
      <c r="M2647" s="0" t="n">
        <v>2034</v>
      </c>
      <c r="N2647" s="0" t="n">
        <v>27.06</v>
      </c>
      <c r="O2647" s="0" t="n">
        <v>567.78</v>
      </c>
      <c r="W2647" s="0" t="n">
        <v>2035</v>
      </c>
      <c r="X2647" s="0" t="n">
        <v>2985.584</v>
      </c>
    </row>
    <row r="2648" customFormat="false" ht="15" hidden="false" customHeight="false" outlineLevel="0" collapsed="false">
      <c r="A2648" s="0" t="n">
        <v>2034</v>
      </c>
      <c r="B2648" s="0" t="n">
        <v>44.27952386</v>
      </c>
      <c r="C2648" s="0" t="n">
        <v>929.8700011</v>
      </c>
      <c r="E2648" s="0" t="n">
        <v>2035</v>
      </c>
      <c r="F2648" s="0" t="n">
        <v>5.583169</v>
      </c>
      <c r="G2648" s="0" t="n">
        <v>117.142353</v>
      </c>
      <c r="I2648" s="0" t="n">
        <v>2029</v>
      </c>
      <c r="J2648" s="0" t="n">
        <v>546.52</v>
      </c>
      <c r="K2648" s="0" t="n">
        <v>11473.8</v>
      </c>
      <c r="M2648" s="0" t="n">
        <v>2034</v>
      </c>
      <c r="N2648" s="0" t="n">
        <v>22.55</v>
      </c>
      <c r="O2648" s="0" t="n">
        <v>473.15</v>
      </c>
      <c r="W2648" s="0" t="n">
        <v>2035</v>
      </c>
      <c r="X2648" s="0" t="n">
        <v>1178.52</v>
      </c>
    </row>
    <row r="2649" customFormat="false" ht="15" hidden="false" customHeight="false" outlineLevel="0" collapsed="false">
      <c r="A2649" s="0" t="n">
        <v>2034</v>
      </c>
      <c r="B2649" s="0" t="n">
        <v>39.48651167</v>
      </c>
      <c r="C2649" s="0" t="n">
        <v>829.216745</v>
      </c>
      <c r="E2649" s="0" t="n">
        <v>2035</v>
      </c>
      <c r="F2649" s="0" t="n">
        <v>30.528354</v>
      </c>
      <c r="G2649" s="0" t="n">
        <v>640.525698</v>
      </c>
      <c r="I2649" s="0" t="n">
        <v>2029</v>
      </c>
      <c r="J2649" s="0" t="n">
        <v>84.08</v>
      </c>
      <c r="K2649" s="0" t="n">
        <v>1765.2</v>
      </c>
      <c r="M2649" s="0" t="n">
        <v>2034</v>
      </c>
      <c r="N2649" s="0" t="n">
        <v>18.04</v>
      </c>
      <c r="O2649" s="0" t="n">
        <v>378.52</v>
      </c>
      <c r="W2649" s="0" t="n">
        <v>2035</v>
      </c>
      <c r="X2649" s="0" t="n">
        <v>1728.496</v>
      </c>
    </row>
    <row r="2650" customFormat="false" ht="15" hidden="false" customHeight="false" outlineLevel="0" collapsed="false">
      <c r="A2650" s="0" t="n">
        <v>2034</v>
      </c>
      <c r="B2650" s="0" t="n">
        <v>27.46052872</v>
      </c>
      <c r="C2650" s="0" t="n">
        <v>576.6711031</v>
      </c>
      <c r="E2650" s="0" t="n">
        <v>2035</v>
      </c>
      <c r="F2650" s="0" t="n">
        <v>27.915202</v>
      </c>
      <c r="G2650" s="0" t="n">
        <v>585.698274</v>
      </c>
      <c r="I2650" s="0" t="n">
        <v>2029</v>
      </c>
      <c r="J2650" s="0" t="n">
        <v>63.06</v>
      </c>
      <c r="K2650" s="0" t="n">
        <v>1323.9</v>
      </c>
      <c r="M2650" s="0" t="n">
        <v>2034</v>
      </c>
      <c r="N2650" s="0" t="n">
        <v>9.02</v>
      </c>
      <c r="O2650" s="0" t="n">
        <v>189.26</v>
      </c>
      <c r="W2650" s="0" t="n">
        <v>2035</v>
      </c>
      <c r="X2650" s="0" t="n">
        <v>1335.656</v>
      </c>
    </row>
    <row r="2651" customFormat="false" ht="15" hidden="false" customHeight="false" outlineLevel="0" collapsed="false">
      <c r="A2651" s="0" t="n">
        <v>2034</v>
      </c>
      <c r="B2651" s="0" t="n">
        <v>20.42605932</v>
      </c>
      <c r="C2651" s="0" t="n">
        <v>428.9472457</v>
      </c>
      <c r="E2651" s="0" t="n">
        <v>2035</v>
      </c>
      <c r="F2651" s="0" t="n">
        <v>105.873494</v>
      </c>
      <c r="G2651" s="0" t="n">
        <v>2216.662037</v>
      </c>
      <c r="I2651" s="0" t="n">
        <v>2029</v>
      </c>
      <c r="J2651" s="0" t="n">
        <v>105.1</v>
      </c>
      <c r="K2651" s="0" t="n">
        <v>2206.5</v>
      </c>
      <c r="M2651" s="0" t="n">
        <v>2034</v>
      </c>
      <c r="N2651" s="0" t="n">
        <v>44.46</v>
      </c>
      <c r="O2651" s="0" t="n">
        <v>932.14</v>
      </c>
      <c r="W2651" s="0" t="n">
        <v>2035</v>
      </c>
      <c r="X2651" s="0" t="n">
        <v>76845.9</v>
      </c>
    </row>
    <row r="2652" customFormat="false" ht="15" hidden="false" customHeight="false" outlineLevel="0" collapsed="false">
      <c r="A2652" s="0" t="n">
        <v>2034</v>
      </c>
      <c r="B2652" s="0" t="n">
        <v>9.078248586</v>
      </c>
      <c r="C2652" s="0" t="n">
        <v>190.6432203</v>
      </c>
      <c r="E2652" s="0" t="n">
        <v>2035</v>
      </c>
      <c r="F2652" s="0" t="n">
        <v>28.428206</v>
      </c>
      <c r="G2652" s="0" t="n">
        <v>595.198313</v>
      </c>
      <c r="I2652" s="0" t="n">
        <v>2029</v>
      </c>
      <c r="J2652" s="0" t="n">
        <v>21.02</v>
      </c>
      <c r="K2652" s="0" t="n">
        <v>441.3</v>
      </c>
      <c r="M2652" s="0" t="n">
        <v>2034</v>
      </c>
      <c r="N2652" s="0" t="n">
        <v>29.25</v>
      </c>
      <c r="O2652" s="0" t="n">
        <v>613.25</v>
      </c>
      <c r="W2652" s="0" t="n">
        <v>2035</v>
      </c>
      <c r="X2652" s="0" t="n">
        <v>19211.475</v>
      </c>
    </row>
    <row r="2653" customFormat="false" ht="15" hidden="false" customHeight="false" outlineLevel="0" collapsed="false">
      <c r="A2653" s="0" t="n">
        <v>2034</v>
      </c>
      <c r="B2653" s="0" t="n">
        <v>33.53123095</v>
      </c>
      <c r="C2653" s="0" t="n">
        <v>704.15585</v>
      </c>
      <c r="E2653" s="0" t="n">
        <v>2035</v>
      </c>
      <c r="F2653" s="0" t="n">
        <v>11.378822</v>
      </c>
      <c r="G2653" s="0" t="n">
        <v>238.237181</v>
      </c>
      <c r="I2653" s="0" t="n">
        <v>2029</v>
      </c>
      <c r="J2653" s="0" t="n">
        <v>21.02</v>
      </c>
      <c r="K2653" s="0" t="n">
        <v>441.3</v>
      </c>
      <c r="M2653" s="0" t="n">
        <v>2034</v>
      </c>
      <c r="N2653" s="0" t="n">
        <v>11.7</v>
      </c>
      <c r="O2653" s="0" t="n">
        <v>245.3</v>
      </c>
      <c r="W2653" s="0" t="n">
        <v>2035</v>
      </c>
      <c r="X2653" s="0" t="n">
        <v>5949.36</v>
      </c>
    </row>
    <row r="2654" customFormat="false" ht="15" hidden="false" customHeight="false" outlineLevel="0" collapsed="false">
      <c r="A2654" s="0" t="n">
        <v>2034</v>
      </c>
      <c r="B2654" s="0" t="n">
        <v>10.49644619</v>
      </c>
      <c r="C2654" s="0" t="n">
        <v>220.4253701</v>
      </c>
      <c r="E2654" s="0" t="n">
        <v>2035</v>
      </c>
      <c r="F2654" s="0" t="n">
        <v>1.598354</v>
      </c>
      <c r="G2654" s="0" t="n">
        <v>33.464567</v>
      </c>
      <c r="I2654" s="0" t="n">
        <v>2029</v>
      </c>
      <c r="J2654" s="0" t="n">
        <v>0</v>
      </c>
      <c r="K2654" s="0" t="n">
        <v>0</v>
      </c>
      <c r="M2654" s="0" t="n">
        <v>2034</v>
      </c>
      <c r="N2654" s="0" t="n">
        <v>11.7</v>
      </c>
      <c r="O2654" s="0" t="n">
        <v>245.3</v>
      </c>
      <c r="W2654" s="0" t="n">
        <v>2035</v>
      </c>
      <c r="X2654" s="0" t="n">
        <v>10535.325</v>
      </c>
    </row>
    <row r="2655" customFormat="false" ht="15" hidden="false" customHeight="false" outlineLevel="0" collapsed="false">
      <c r="A2655" s="0" t="n">
        <v>2034</v>
      </c>
      <c r="B2655" s="0" t="n">
        <v>23.46941224</v>
      </c>
      <c r="C2655" s="0" t="n">
        <v>492.8576571</v>
      </c>
      <c r="E2655" s="0" t="n">
        <v>2035</v>
      </c>
      <c r="F2655" s="0" t="n">
        <v>38.208674</v>
      </c>
      <c r="G2655" s="0" t="n">
        <v>799.970927</v>
      </c>
      <c r="I2655" s="0" t="n">
        <v>2029</v>
      </c>
      <c r="J2655" s="0" t="n">
        <v>42.04</v>
      </c>
      <c r="K2655" s="0" t="n">
        <v>882.6</v>
      </c>
      <c r="M2655" s="0" t="n">
        <v>2034</v>
      </c>
      <c r="N2655" s="0" t="n">
        <v>7.02</v>
      </c>
      <c r="O2655" s="0" t="n">
        <v>147.18</v>
      </c>
      <c r="W2655" s="0" t="n">
        <v>2035</v>
      </c>
      <c r="X2655" s="0" t="n">
        <v>4709.91</v>
      </c>
    </row>
    <row r="2656" customFormat="false" ht="15" hidden="false" customHeight="false" outlineLevel="0" collapsed="false">
      <c r="A2656" s="0" t="n">
        <v>2034</v>
      </c>
      <c r="B2656" s="0" t="n">
        <v>73.66040929</v>
      </c>
      <c r="C2656" s="0" t="n">
        <v>1546.868595</v>
      </c>
      <c r="E2656" s="0" t="n">
        <v>2035</v>
      </c>
      <c r="F2656" s="0" t="n">
        <v>1.788698</v>
      </c>
      <c r="G2656" s="0" t="n">
        <v>37.449779</v>
      </c>
      <c r="I2656" s="0" t="n">
        <v>2029</v>
      </c>
      <c r="J2656" s="0" t="n">
        <v>73.57</v>
      </c>
      <c r="K2656" s="0" t="n">
        <v>1544.55</v>
      </c>
      <c r="M2656" s="0" t="n">
        <v>2034</v>
      </c>
      <c r="N2656" s="0" t="n">
        <v>5.85</v>
      </c>
      <c r="O2656" s="0" t="n">
        <v>122.65</v>
      </c>
      <c r="W2656" s="0" t="n">
        <v>2035</v>
      </c>
      <c r="X2656" s="0" t="n">
        <v>1859.175</v>
      </c>
    </row>
    <row r="2657" customFormat="false" ht="15" hidden="false" customHeight="false" outlineLevel="0" collapsed="false">
      <c r="A2657" s="0" t="n">
        <v>2034</v>
      </c>
      <c r="B2657" s="0" t="n">
        <v>18.57933339</v>
      </c>
      <c r="C2657" s="0" t="n">
        <v>390.1660012</v>
      </c>
      <c r="E2657" s="0" t="n">
        <v>2035</v>
      </c>
      <c r="F2657" s="0" t="n">
        <v>9.780468</v>
      </c>
      <c r="G2657" s="0" t="n">
        <v>204.772614</v>
      </c>
      <c r="I2657" s="0" t="n">
        <v>2029</v>
      </c>
      <c r="J2657" s="0" t="n">
        <v>21.02</v>
      </c>
      <c r="K2657" s="0" t="n">
        <v>441.3</v>
      </c>
      <c r="M2657" s="0" t="n">
        <v>2034</v>
      </c>
      <c r="N2657" s="0" t="n">
        <v>4.68</v>
      </c>
      <c r="O2657" s="0" t="n">
        <v>98.12</v>
      </c>
      <c r="W2657" s="0" t="n">
        <v>2035</v>
      </c>
      <c r="X2657" s="0" t="n">
        <v>2726.79</v>
      </c>
    </row>
    <row r="2658" customFormat="false" ht="15" hidden="false" customHeight="false" outlineLevel="0" collapsed="false">
      <c r="A2658" s="0" t="n">
        <v>2034</v>
      </c>
      <c r="B2658" s="0" t="n">
        <v>16.56822388</v>
      </c>
      <c r="C2658" s="0" t="n">
        <v>347.9327015</v>
      </c>
      <c r="E2658" s="0" t="n">
        <v>2035</v>
      </c>
      <c r="F2658" s="0" t="n">
        <v>8.943284</v>
      </c>
      <c r="G2658" s="0" t="n">
        <v>187.244582</v>
      </c>
      <c r="I2658" s="0" t="n">
        <v>2029</v>
      </c>
      <c r="J2658" s="0" t="n">
        <v>73.57</v>
      </c>
      <c r="K2658" s="0" t="n">
        <v>1544.55</v>
      </c>
      <c r="M2658" s="0" t="n">
        <v>2034</v>
      </c>
      <c r="N2658" s="0" t="n">
        <v>2.34</v>
      </c>
      <c r="O2658" s="0" t="n">
        <v>49.06</v>
      </c>
      <c r="W2658" s="0" t="n">
        <v>2035</v>
      </c>
      <c r="X2658" s="0" t="n">
        <v>2107.065</v>
      </c>
    </row>
    <row r="2659" customFormat="false" ht="15" hidden="false" customHeight="false" outlineLevel="0" collapsed="false">
      <c r="A2659" s="0" t="n">
        <v>2034</v>
      </c>
      <c r="B2659" s="0" t="n">
        <v>11.5222178</v>
      </c>
      <c r="C2659" s="0" t="n">
        <v>241.9665738</v>
      </c>
      <c r="E2659" s="0" t="n">
        <v>2035</v>
      </c>
      <c r="F2659" s="0" t="n">
        <v>391.629138</v>
      </c>
      <c r="G2659" s="0" t="n">
        <v>8224.211898</v>
      </c>
      <c r="I2659" s="0" t="n">
        <v>2029</v>
      </c>
      <c r="J2659" s="0" t="n">
        <v>449.76</v>
      </c>
      <c r="K2659" s="0" t="n">
        <v>9445.92</v>
      </c>
      <c r="M2659" s="0" t="n">
        <v>2034</v>
      </c>
      <c r="N2659" s="0" t="n">
        <v>98.8</v>
      </c>
      <c r="O2659" s="0" t="n">
        <v>2073.28</v>
      </c>
      <c r="W2659" s="0" t="n">
        <v>2035</v>
      </c>
      <c r="X2659" s="0" t="n">
        <v>44163.84</v>
      </c>
    </row>
    <row r="2660" customFormat="false" ht="15" hidden="false" customHeight="false" outlineLevel="0" collapsed="false">
      <c r="A2660" s="0" t="n">
        <v>2034</v>
      </c>
      <c r="B2660" s="0" t="n">
        <v>8.570610811</v>
      </c>
      <c r="C2660" s="0" t="n">
        <v>179.982827</v>
      </c>
      <c r="E2660" s="0" t="n">
        <v>2035</v>
      </c>
      <c r="F2660" s="0" t="n">
        <v>105.156762</v>
      </c>
      <c r="G2660" s="0" t="n">
        <v>2208.292002</v>
      </c>
      <c r="I2660" s="0" t="n">
        <v>2029</v>
      </c>
      <c r="J2660" s="0" t="n">
        <v>149.92</v>
      </c>
      <c r="K2660" s="0" t="n">
        <v>3148.64</v>
      </c>
      <c r="M2660" s="0" t="n">
        <v>2034</v>
      </c>
      <c r="N2660" s="0" t="n">
        <v>65</v>
      </c>
      <c r="O2660" s="0" t="n">
        <v>1364</v>
      </c>
      <c r="W2660" s="0" t="n">
        <v>2035</v>
      </c>
      <c r="X2660" s="0" t="n">
        <v>11040.96</v>
      </c>
    </row>
    <row r="2661" customFormat="false" ht="15" hidden="false" customHeight="false" outlineLevel="0" collapsed="false">
      <c r="A2661" s="0" t="n">
        <v>2034</v>
      </c>
      <c r="B2661" s="0" t="n">
        <v>3.809160361</v>
      </c>
      <c r="C2661" s="0" t="n">
        <v>79.99236757</v>
      </c>
      <c r="E2661" s="0" t="n">
        <v>2035</v>
      </c>
      <c r="F2661" s="0" t="n">
        <v>42.090594</v>
      </c>
      <c r="G2661" s="0" t="n">
        <v>883.902474</v>
      </c>
      <c r="I2661" s="0" t="n">
        <v>2029</v>
      </c>
      <c r="J2661" s="0" t="n">
        <v>65.59</v>
      </c>
      <c r="K2661" s="0" t="n">
        <v>1377.53</v>
      </c>
      <c r="M2661" s="0" t="n">
        <v>2034</v>
      </c>
      <c r="N2661" s="0" t="n">
        <v>26</v>
      </c>
      <c r="O2661" s="0" t="n">
        <v>545.6</v>
      </c>
      <c r="W2661" s="0" t="n">
        <v>2035</v>
      </c>
      <c r="X2661" s="0" t="n">
        <v>3419.136</v>
      </c>
    </row>
    <row r="2662" customFormat="false" ht="15" hidden="false" customHeight="false" outlineLevel="0" collapsed="false">
      <c r="A2662" s="0" t="n">
        <v>2034</v>
      </c>
      <c r="B2662" s="0" t="n">
        <v>14.06943581</v>
      </c>
      <c r="C2662" s="0" t="n">
        <v>295.4581521</v>
      </c>
      <c r="E2662" s="0" t="n">
        <v>2035</v>
      </c>
      <c r="F2662" s="0" t="n">
        <v>5.912358</v>
      </c>
      <c r="G2662" s="0" t="n">
        <v>124.159518</v>
      </c>
      <c r="I2662" s="0" t="n">
        <v>2029</v>
      </c>
      <c r="J2662" s="0" t="n">
        <v>37.48</v>
      </c>
      <c r="K2662" s="0" t="n">
        <v>787.16</v>
      </c>
      <c r="M2662" s="0" t="n">
        <v>2034</v>
      </c>
      <c r="N2662" s="0" t="n">
        <v>26</v>
      </c>
      <c r="O2662" s="0" t="n">
        <v>545.6</v>
      </c>
      <c r="W2662" s="0" t="n">
        <v>2035</v>
      </c>
      <c r="X2662" s="0" t="n">
        <v>6054.72</v>
      </c>
    </row>
    <row r="2663" customFormat="false" ht="15" hidden="false" customHeight="false" outlineLevel="0" collapsed="false">
      <c r="A2663" s="0" t="n">
        <v>2034</v>
      </c>
      <c r="B2663" s="0" t="n">
        <v>4.404224712</v>
      </c>
      <c r="C2663" s="0" t="n">
        <v>92.48871896</v>
      </c>
      <c r="E2663" s="0" t="n">
        <v>2035</v>
      </c>
      <c r="F2663" s="0" t="n">
        <v>141.334998</v>
      </c>
      <c r="G2663" s="0" t="n">
        <v>2968.034958</v>
      </c>
      <c r="I2663" s="0" t="n">
        <v>2029</v>
      </c>
      <c r="J2663" s="0" t="n">
        <v>37.48</v>
      </c>
      <c r="K2663" s="0" t="n">
        <v>787.16</v>
      </c>
      <c r="M2663" s="0" t="n">
        <v>2034</v>
      </c>
      <c r="N2663" s="0" t="n">
        <v>15.6</v>
      </c>
      <c r="O2663" s="0" t="n">
        <v>327.36</v>
      </c>
      <c r="W2663" s="0" t="n">
        <v>2035</v>
      </c>
      <c r="X2663" s="0" t="n">
        <v>2706.816</v>
      </c>
    </row>
    <row r="2664" customFormat="false" ht="15" hidden="false" customHeight="false" outlineLevel="0" collapsed="false">
      <c r="A2664" s="0" t="n">
        <v>2034</v>
      </c>
      <c r="B2664" s="0" t="n">
        <v>9.84757731</v>
      </c>
      <c r="C2664" s="0" t="n">
        <v>206.7991235</v>
      </c>
      <c r="E2664" s="0" t="n">
        <v>2035</v>
      </c>
      <c r="F2664" s="0" t="n">
        <v>6.616446</v>
      </c>
      <c r="G2664" s="0" t="n">
        <v>138.945366</v>
      </c>
      <c r="I2664" s="0" t="n">
        <v>2029</v>
      </c>
      <c r="J2664" s="0" t="n">
        <v>18.74</v>
      </c>
      <c r="K2664" s="0" t="n">
        <v>393.58</v>
      </c>
      <c r="M2664" s="0" t="n">
        <v>2034</v>
      </c>
      <c r="N2664" s="0" t="n">
        <v>13</v>
      </c>
      <c r="O2664" s="0" t="n">
        <v>272.8</v>
      </c>
      <c r="W2664" s="0" t="n">
        <v>2035</v>
      </c>
      <c r="X2664" s="0" t="n">
        <v>1068.48</v>
      </c>
    </row>
    <row r="2665" customFormat="false" ht="15" hidden="false" customHeight="false" outlineLevel="0" collapsed="false">
      <c r="A2665" s="0" t="n">
        <v>2034</v>
      </c>
      <c r="B2665" s="0" t="n">
        <v>294.415784</v>
      </c>
      <c r="C2665" s="0" t="n">
        <v>6182.731463</v>
      </c>
      <c r="E2665" s="0" t="n">
        <v>2035</v>
      </c>
      <c r="F2665" s="0" t="n">
        <v>36.178236</v>
      </c>
      <c r="G2665" s="0" t="n">
        <v>759.742956</v>
      </c>
      <c r="I2665" s="0" t="n">
        <v>2029</v>
      </c>
      <c r="J2665" s="0" t="n">
        <v>18.74</v>
      </c>
      <c r="K2665" s="0" t="n">
        <v>393.58</v>
      </c>
      <c r="M2665" s="0" t="n">
        <v>2034</v>
      </c>
      <c r="N2665" s="0" t="n">
        <v>10.4</v>
      </c>
      <c r="O2665" s="0" t="n">
        <v>218.24</v>
      </c>
      <c r="W2665" s="0" t="n">
        <v>2035</v>
      </c>
      <c r="X2665" s="0" t="n">
        <v>1567.104</v>
      </c>
    </row>
    <row r="2666" customFormat="false" ht="15" hidden="false" customHeight="false" outlineLevel="0" collapsed="false">
      <c r="A2666" s="0" t="n">
        <v>2034</v>
      </c>
      <c r="B2666" s="0" t="n">
        <v>74.26036671</v>
      </c>
      <c r="C2666" s="0" t="n">
        <v>1559.467701</v>
      </c>
      <c r="E2666" s="0" t="n">
        <v>2035</v>
      </c>
      <c r="F2666" s="0" t="n">
        <v>33.081468</v>
      </c>
      <c r="G2666" s="0" t="n">
        <v>694.710828</v>
      </c>
      <c r="I2666" s="0" t="n">
        <v>2029</v>
      </c>
      <c r="J2666" s="0" t="n">
        <v>37.48</v>
      </c>
      <c r="K2666" s="0" t="n">
        <v>787.16</v>
      </c>
      <c r="M2666" s="0" t="n">
        <v>2034</v>
      </c>
      <c r="N2666" s="0" t="n">
        <v>5.2</v>
      </c>
      <c r="O2666" s="0" t="n">
        <v>109.12</v>
      </c>
      <c r="W2666" s="0" t="n">
        <v>2035</v>
      </c>
      <c r="X2666" s="0" t="n">
        <v>1210.944</v>
      </c>
    </row>
    <row r="2667" customFormat="false" ht="15" hidden="false" customHeight="false" outlineLevel="0" collapsed="false">
      <c r="A2667" s="0" t="n">
        <v>2034</v>
      </c>
      <c r="B2667" s="0" t="n">
        <v>66.22209501</v>
      </c>
      <c r="C2667" s="0" t="n">
        <v>1390.663995</v>
      </c>
      <c r="E2667" s="0" t="n">
        <v>2035</v>
      </c>
      <c r="F2667" s="0" t="n">
        <v>568.427594</v>
      </c>
      <c r="G2667" s="0" t="n">
        <v>11928.24234</v>
      </c>
      <c r="I2667" s="0" t="n">
        <v>2029</v>
      </c>
      <c r="J2667" s="0" t="n">
        <v>65.59</v>
      </c>
      <c r="K2667" s="0" t="n">
        <v>1377.53</v>
      </c>
      <c r="M2667" s="0" t="n">
        <v>2034</v>
      </c>
      <c r="N2667" s="0" t="n">
        <v>144.4</v>
      </c>
      <c r="O2667" s="0" t="n">
        <v>3032.02</v>
      </c>
      <c r="W2667" s="0" t="n">
        <v>2035</v>
      </c>
      <c r="X2667" s="0" t="n">
        <v>137245.06</v>
      </c>
    </row>
    <row r="2668" customFormat="false" ht="15" hidden="false" customHeight="false" outlineLevel="0" collapsed="false">
      <c r="A2668" s="0" t="n">
        <v>2034</v>
      </c>
      <c r="B2668" s="0" t="n">
        <v>46.05354246</v>
      </c>
      <c r="C2668" s="0" t="n">
        <v>967.1243917</v>
      </c>
      <c r="E2668" s="0" t="n">
        <v>2035</v>
      </c>
      <c r="F2668" s="0" t="n">
        <v>152.629106</v>
      </c>
      <c r="G2668" s="0" t="n">
        <v>3202.865209</v>
      </c>
      <c r="I2668" s="0" t="n">
        <v>2029</v>
      </c>
      <c r="J2668" s="0" t="n">
        <v>28.11</v>
      </c>
      <c r="K2668" s="0" t="n">
        <v>590.37</v>
      </c>
      <c r="M2668" s="0" t="n">
        <v>2034</v>
      </c>
      <c r="N2668" s="0" t="n">
        <v>95</v>
      </c>
      <c r="O2668" s="0" t="n">
        <v>1994.75</v>
      </c>
      <c r="W2668" s="0" t="n">
        <v>2035</v>
      </c>
      <c r="X2668" s="0" t="n">
        <v>34311.265</v>
      </c>
    </row>
    <row r="2669" customFormat="false" ht="15" hidden="false" customHeight="false" outlineLevel="0" collapsed="false">
      <c r="A2669" s="0" t="n">
        <v>2034</v>
      </c>
      <c r="B2669" s="0" t="n">
        <v>34.25616454</v>
      </c>
      <c r="C2669" s="0" t="n">
        <v>719.3794554</v>
      </c>
      <c r="E2669" s="0" t="n">
        <v>2035</v>
      </c>
      <c r="F2669" s="0" t="n">
        <v>61.092122</v>
      </c>
      <c r="G2669" s="0" t="n">
        <v>1281.995533</v>
      </c>
      <c r="I2669" s="0" t="n">
        <v>2029</v>
      </c>
      <c r="J2669" s="0" t="n">
        <v>28.11</v>
      </c>
      <c r="K2669" s="0" t="n">
        <v>590.37</v>
      </c>
      <c r="M2669" s="0" t="n">
        <v>2034</v>
      </c>
      <c r="N2669" s="0" t="n">
        <v>38</v>
      </c>
      <c r="O2669" s="0" t="n">
        <v>797.9</v>
      </c>
      <c r="W2669" s="0" t="n">
        <v>2035</v>
      </c>
      <c r="X2669" s="0" t="n">
        <v>10625.424</v>
      </c>
    </row>
    <row r="2670" customFormat="false" ht="15" hidden="false" customHeight="false" outlineLevel="0" collapsed="false">
      <c r="A2670" s="0" t="n">
        <v>2034</v>
      </c>
      <c r="B2670" s="0" t="n">
        <v>15.22496202</v>
      </c>
      <c r="C2670" s="0" t="n">
        <v>319.7242024</v>
      </c>
      <c r="E2670" s="0" t="n">
        <v>2035</v>
      </c>
      <c r="F2670" s="0" t="n">
        <v>8.581454</v>
      </c>
      <c r="G2670" s="0" t="n">
        <v>180.078631</v>
      </c>
      <c r="I2670" s="0" t="n">
        <v>2029</v>
      </c>
      <c r="J2670" s="0" t="n">
        <v>109.2</v>
      </c>
      <c r="K2670" s="0" t="n">
        <v>2293.2</v>
      </c>
      <c r="M2670" s="0" t="n">
        <v>2034</v>
      </c>
      <c r="N2670" s="0" t="n">
        <v>38</v>
      </c>
      <c r="O2670" s="0" t="n">
        <v>797.9</v>
      </c>
      <c r="W2670" s="0" t="n">
        <v>2035</v>
      </c>
      <c r="X2670" s="0" t="n">
        <v>18815.855</v>
      </c>
    </row>
    <row r="2671" customFormat="false" ht="15" hidden="false" customHeight="false" outlineLevel="0" collapsed="false">
      <c r="A2671" s="0" t="n">
        <v>2034</v>
      </c>
      <c r="B2671" s="0" t="n">
        <v>56.23460438</v>
      </c>
      <c r="C2671" s="0" t="n">
        <v>1180.926692</v>
      </c>
      <c r="E2671" s="0" t="n">
        <v>2035</v>
      </c>
      <c r="F2671" s="0" t="n">
        <v>205.139774</v>
      </c>
      <c r="G2671" s="0" t="n">
        <v>4304.782111</v>
      </c>
      <c r="I2671" s="0" t="n">
        <v>2029</v>
      </c>
      <c r="J2671" s="0" t="n">
        <v>16.8</v>
      </c>
      <c r="K2671" s="0" t="n">
        <v>352.8</v>
      </c>
      <c r="M2671" s="0" t="n">
        <v>2034</v>
      </c>
      <c r="N2671" s="0" t="n">
        <v>22.8</v>
      </c>
      <c r="O2671" s="0" t="n">
        <v>478.74</v>
      </c>
      <c r="W2671" s="0" t="n">
        <v>2035</v>
      </c>
      <c r="X2671" s="0" t="n">
        <v>8411.794</v>
      </c>
    </row>
    <row r="2672" customFormat="false" ht="15" hidden="false" customHeight="false" outlineLevel="0" collapsed="false">
      <c r="A2672" s="0" t="n">
        <v>2034</v>
      </c>
      <c r="B2672" s="0" t="n">
        <v>17.60339488</v>
      </c>
      <c r="C2672" s="0" t="n">
        <v>369.6712924</v>
      </c>
      <c r="E2672" s="0" t="n">
        <v>2035</v>
      </c>
      <c r="F2672" s="0" t="n">
        <v>9.603398</v>
      </c>
      <c r="G2672" s="0" t="n">
        <v>201.523747</v>
      </c>
      <c r="I2672" s="0" t="n">
        <v>2029</v>
      </c>
      <c r="J2672" s="0" t="n">
        <v>12.6</v>
      </c>
      <c r="K2672" s="0" t="n">
        <v>264.6</v>
      </c>
      <c r="M2672" s="0" t="n">
        <v>2034</v>
      </c>
      <c r="N2672" s="0" t="n">
        <v>19</v>
      </c>
      <c r="O2672" s="0" t="n">
        <v>398.95</v>
      </c>
      <c r="W2672" s="0" t="n">
        <v>2035</v>
      </c>
      <c r="X2672" s="0" t="n">
        <v>3320.445</v>
      </c>
    </row>
    <row r="2673" customFormat="false" ht="15" hidden="false" customHeight="false" outlineLevel="0" collapsed="false">
      <c r="A2673" s="0" t="n">
        <v>2034</v>
      </c>
      <c r="B2673" s="0" t="n">
        <v>39.36011518</v>
      </c>
      <c r="C2673" s="0" t="n">
        <v>826.5624188</v>
      </c>
      <c r="E2673" s="0" t="n">
        <v>2035</v>
      </c>
      <c r="F2673" s="0" t="n">
        <v>52.510668</v>
      </c>
      <c r="G2673" s="0" t="n">
        <v>1101.916902</v>
      </c>
      <c r="I2673" s="0" t="n">
        <v>2029</v>
      </c>
      <c r="J2673" s="0" t="n">
        <v>21</v>
      </c>
      <c r="K2673" s="0" t="n">
        <v>441</v>
      </c>
      <c r="M2673" s="0" t="n">
        <v>2034</v>
      </c>
      <c r="N2673" s="0" t="n">
        <v>15.2</v>
      </c>
      <c r="O2673" s="0" t="n">
        <v>319.16</v>
      </c>
      <c r="W2673" s="0" t="n">
        <v>2035</v>
      </c>
      <c r="X2673" s="0" t="n">
        <v>4869.986</v>
      </c>
    </row>
    <row r="2674" customFormat="false" ht="15" hidden="false" customHeight="false" outlineLevel="0" collapsed="false">
      <c r="A2674" s="0" t="n">
        <v>2034</v>
      </c>
      <c r="B2674" s="0" t="n">
        <v>375.5616137</v>
      </c>
      <c r="C2674" s="0" t="n">
        <v>7886.793888</v>
      </c>
      <c r="E2674" s="0" t="n">
        <v>2035</v>
      </c>
      <c r="F2674" s="0" t="n">
        <v>48.015884</v>
      </c>
      <c r="G2674" s="0" t="n">
        <v>1007.595526</v>
      </c>
      <c r="I2674" s="0" t="n">
        <v>2029</v>
      </c>
      <c r="J2674" s="0" t="n">
        <v>4.2</v>
      </c>
      <c r="K2674" s="0" t="n">
        <v>88.2</v>
      </c>
      <c r="M2674" s="0" t="n">
        <v>2034</v>
      </c>
      <c r="N2674" s="0" t="n">
        <v>7.6</v>
      </c>
      <c r="O2674" s="0" t="n">
        <v>159.58</v>
      </c>
      <c r="W2674" s="0" t="n">
        <v>2035</v>
      </c>
      <c r="X2674" s="0" t="n">
        <v>3763.171</v>
      </c>
    </row>
    <row r="2675" customFormat="false" ht="15" hidden="false" customHeight="false" outlineLevel="0" collapsed="false">
      <c r="A2675" s="0" t="n">
        <v>2034</v>
      </c>
      <c r="B2675" s="0" t="n">
        <v>94.72774449</v>
      </c>
      <c r="C2675" s="0" t="n">
        <v>1989.282634</v>
      </c>
      <c r="E2675" s="0" t="n">
        <v>2035</v>
      </c>
      <c r="F2675" s="0" t="n">
        <v>363.875892</v>
      </c>
      <c r="G2675" s="0" t="n">
        <v>7632.14265</v>
      </c>
      <c r="I2675" s="0" t="n">
        <v>2029</v>
      </c>
      <c r="J2675" s="0" t="n">
        <v>4.2</v>
      </c>
      <c r="K2675" s="0" t="n">
        <v>88.2</v>
      </c>
      <c r="M2675" s="0" t="n">
        <v>2034</v>
      </c>
      <c r="N2675" s="0" t="n">
        <v>227.24</v>
      </c>
      <c r="O2675" s="0" t="n">
        <v>4766.34</v>
      </c>
      <c r="W2675" s="0" t="n">
        <v>2035</v>
      </c>
      <c r="X2675" s="0" t="n">
        <v>69991.8</v>
      </c>
    </row>
    <row r="2676" customFormat="false" ht="15" hidden="false" customHeight="false" outlineLevel="0" collapsed="false">
      <c r="A2676" s="0" t="n">
        <v>2034</v>
      </c>
      <c r="B2676" s="0" t="n">
        <v>84.47399298</v>
      </c>
      <c r="C2676" s="0" t="n">
        <v>1773.953853</v>
      </c>
      <c r="E2676" s="0" t="n">
        <v>2035</v>
      </c>
      <c r="F2676" s="0" t="n">
        <v>97.704708</v>
      </c>
      <c r="G2676" s="0" t="n">
        <v>2049.31485</v>
      </c>
      <c r="I2676" s="0" t="n">
        <v>2029</v>
      </c>
      <c r="J2676" s="0" t="n">
        <v>0</v>
      </c>
      <c r="K2676" s="0" t="n">
        <v>0</v>
      </c>
      <c r="M2676" s="0" t="n">
        <v>2034</v>
      </c>
      <c r="N2676" s="0" t="n">
        <v>149.5</v>
      </c>
      <c r="O2676" s="0" t="n">
        <v>3135.75</v>
      </c>
      <c r="W2676" s="0" t="n">
        <v>2035</v>
      </c>
      <c r="X2676" s="0" t="n">
        <v>17497.95</v>
      </c>
    </row>
    <row r="2677" customFormat="false" ht="15" hidden="false" customHeight="false" outlineLevel="0" collapsed="false">
      <c r="A2677" s="0" t="n">
        <v>2034</v>
      </c>
      <c r="B2677" s="0" t="n">
        <v>58.74665581</v>
      </c>
      <c r="C2677" s="0" t="n">
        <v>1233.679772</v>
      </c>
      <c r="E2677" s="0" t="n">
        <v>2035</v>
      </c>
      <c r="F2677" s="0" t="n">
        <v>39.107796</v>
      </c>
      <c r="G2677" s="0" t="n">
        <v>820.26945</v>
      </c>
      <c r="I2677" s="0" t="n">
        <v>2029</v>
      </c>
      <c r="J2677" s="0" t="n">
        <v>8.4</v>
      </c>
      <c r="K2677" s="0" t="n">
        <v>176.4</v>
      </c>
      <c r="M2677" s="0" t="n">
        <v>2034</v>
      </c>
      <c r="N2677" s="0" t="n">
        <v>59.8</v>
      </c>
      <c r="O2677" s="0" t="n">
        <v>1254.3</v>
      </c>
      <c r="W2677" s="0" t="n">
        <v>2035</v>
      </c>
      <c r="X2677" s="0" t="n">
        <v>5418.72</v>
      </c>
    </row>
    <row r="2678" customFormat="false" ht="15" hidden="false" customHeight="false" outlineLevel="0" collapsed="false">
      <c r="A2678" s="0" t="n">
        <v>2034</v>
      </c>
      <c r="B2678" s="0" t="n">
        <v>43.69772661</v>
      </c>
      <c r="C2678" s="0" t="n">
        <v>917.6522587</v>
      </c>
      <c r="E2678" s="0" t="n">
        <v>2035</v>
      </c>
      <c r="F2678" s="0" t="n">
        <v>5.493372</v>
      </c>
      <c r="G2678" s="0" t="n">
        <v>115.22115</v>
      </c>
      <c r="I2678" s="0" t="n">
        <v>2029</v>
      </c>
      <c r="J2678" s="0" t="n">
        <v>14.7</v>
      </c>
      <c r="K2678" s="0" t="n">
        <v>308.7</v>
      </c>
      <c r="M2678" s="0" t="n">
        <v>2034</v>
      </c>
      <c r="N2678" s="0" t="n">
        <v>59.8</v>
      </c>
      <c r="O2678" s="0" t="n">
        <v>1254.3</v>
      </c>
      <c r="W2678" s="0" t="n">
        <v>2035</v>
      </c>
      <c r="X2678" s="0" t="n">
        <v>9595.65</v>
      </c>
    </row>
    <row r="2679" customFormat="false" ht="15" hidden="false" customHeight="false" outlineLevel="0" collapsed="false">
      <c r="A2679" s="0" t="n">
        <v>2034</v>
      </c>
      <c r="B2679" s="0" t="n">
        <v>19.42121182</v>
      </c>
      <c r="C2679" s="0" t="n">
        <v>407.8454483</v>
      </c>
      <c r="E2679" s="0" t="n">
        <v>2035</v>
      </c>
      <c r="F2679" s="0" t="n">
        <v>131.319132</v>
      </c>
      <c r="G2679" s="0" t="n">
        <v>2754.36315</v>
      </c>
      <c r="I2679" s="0" t="n">
        <v>2029</v>
      </c>
      <c r="J2679" s="0" t="n">
        <v>4.2</v>
      </c>
      <c r="K2679" s="0" t="n">
        <v>88.2</v>
      </c>
      <c r="M2679" s="0" t="n">
        <v>2034</v>
      </c>
      <c r="N2679" s="0" t="n">
        <v>35.88</v>
      </c>
      <c r="O2679" s="0" t="n">
        <v>752.58</v>
      </c>
      <c r="W2679" s="0" t="n">
        <v>2035</v>
      </c>
      <c r="X2679" s="0" t="n">
        <v>4289.82</v>
      </c>
    </row>
    <row r="2680" customFormat="false" ht="15" hidden="false" customHeight="false" outlineLevel="0" collapsed="false">
      <c r="A2680" s="0" t="n">
        <v>2034</v>
      </c>
      <c r="B2680" s="0" t="n">
        <v>71.73378576</v>
      </c>
      <c r="C2680" s="0" t="n">
        <v>1506.409501</v>
      </c>
      <c r="E2680" s="0" t="n">
        <v>2035</v>
      </c>
      <c r="F2680" s="0" t="n">
        <v>6.147564</v>
      </c>
      <c r="G2680" s="0" t="n">
        <v>128.94255</v>
      </c>
      <c r="I2680" s="0" t="n">
        <v>2029</v>
      </c>
      <c r="J2680" s="0" t="n">
        <v>14.7</v>
      </c>
      <c r="K2680" s="0" t="n">
        <v>308.7</v>
      </c>
      <c r="M2680" s="0" t="n">
        <v>2034</v>
      </c>
      <c r="N2680" s="0" t="n">
        <v>29.9</v>
      </c>
      <c r="O2680" s="0" t="n">
        <v>627.15</v>
      </c>
      <c r="W2680" s="0" t="n">
        <v>2035</v>
      </c>
      <c r="X2680" s="0" t="n">
        <v>1693.35</v>
      </c>
    </row>
    <row r="2681" customFormat="false" ht="15" hidden="false" customHeight="false" outlineLevel="0" collapsed="false">
      <c r="A2681" s="0" t="n">
        <v>2034</v>
      </c>
      <c r="B2681" s="0" t="n">
        <v>22.45517987</v>
      </c>
      <c r="C2681" s="0" t="n">
        <v>471.5587774</v>
      </c>
      <c r="E2681" s="0" t="n">
        <v>2035</v>
      </c>
      <c r="F2681" s="0" t="n">
        <v>33.614424</v>
      </c>
      <c r="G2681" s="0" t="n">
        <v>705.0483</v>
      </c>
      <c r="I2681" s="0" t="n">
        <v>2029</v>
      </c>
      <c r="J2681" s="0" t="n">
        <v>268.8</v>
      </c>
      <c r="K2681" s="0" t="n">
        <v>5647.2</v>
      </c>
      <c r="M2681" s="0" t="n">
        <v>2034</v>
      </c>
      <c r="N2681" s="0" t="n">
        <v>23.92</v>
      </c>
      <c r="O2681" s="0" t="n">
        <v>501.72</v>
      </c>
      <c r="W2681" s="0" t="n">
        <v>2035</v>
      </c>
      <c r="X2681" s="0" t="n">
        <v>2483.58</v>
      </c>
    </row>
    <row r="2682" customFormat="false" ht="15" hidden="false" customHeight="false" outlineLevel="0" collapsed="false">
      <c r="A2682" s="0" t="n">
        <v>2034</v>
      </c>
      <c r="B2682" s="0" t="n">
        <v>50.20840994</v>
      </c>
      <c r="C2682" s="0" t="n">
        <v>1054.376609</v>
      </c>
      <c r="E2682" s="0" t="n">
        <v>2035</v>
      </c>
      <c r="F2682" s="0" t="n">
        <v>30.737112</v>
      </c>
      <c r="G2682" s="0" t="n">
        <v>644.6979</v>
      </c>
      <c r="I2682" s="0" t="n">
        <v>2029</v>
      </c>
      <c r="J2682" s="0" t="n">
        <v>89.6</v>
      </c>
      <c r="K2682" s="0" t="n">
        <v>1882.4</v>
      </c>
      <c r="M2682" s="0" t="n">
        <v>2034</v>
      </c>
      <c r="N2682" s="0" t="n">
        <v>11.96</v>
      </c>
      <c r="O2682" s="0" t="n">
        <v>250.86</v>
      </c>
      <c r="W2682" s="0" t="n">
        <v>2035</v>
      </c>
      <c r="X2682" s="0" t="n">
        <v>1919.13</v>
      </c>
    </row>
    <row r="2683" customFormat="false" ht="15" hidden="false" customHeight="false" outlineLevel="0" collapsed="false">
      <c r="A2683" s="0" t="n">
        <v>2034</v>
      </c>
      <c r="B2683" s="0" t="n">
        <v>369.7216952</v>
      </c>
      <c r="C2683" s="0" t="n">
        <v>7764.155599</v>
      </c>
      <c r="E2683" s="0" t="n">
        <v>2035</v>
      </c>
      <c r="F2683" s="0" t="n">
        <v>2016.735876</v>
      </c>
      <c r="G2683" s="0" t="n">
        <v>42351.4534</v>
      </c>
      <c r="I2683" s="0" t="n">
        <v>2029</v>
      </c>
      <c r="J2683" s="0" t="n">
        <v>39.2</v>
      </c>
      <c r="K2683" s="0" t="n">
        <v>823.55</v>
      </c>
      <c r="M2683" s="0" t="n">
        <v>2034</v>
      </c>
      <c r="N2683" s="0" t="n">
        <v>172.9</v>
      </c>
      <c r="O2683" s="0" t="n">
        <v>3626.72</v>
      </c>
      <c r="W2683" s="0" t="n">
        <v>2035</v>
      </c>
      <c r="X2683" s="0" t="n">
        <v>9211.34</v>
      </c>
    </row>
    <row r="2684" customFormat="false" ht="15" hidden="false" customHeight="false" outlineLevel="0" collapsed="false">
      <c r="A2684" s="0" t="n">
        <v>2034</v>
      </c>
      <c r="B2684" s="0" t="n">
        <v>93.25474434</v>
      </c>
      <c r="C2684" s="0" t="n">
        <v>1958.349631</v>
      </c>
      <c r="E2684" s="0" t="n">
        <v>2035</v>
      </c>
      <c r="F2684" s="0" t="n">
        <v>541.515924</v>
      </c>
      <c r="G2684" s="0" t="n">
        <v>11371.8344</v>
      </c>
      <c r="I2684" s="0" t="n">
        <v>2029</v>
      </c>
      <c r="J2684" s="0" t="n">
        <v>22.4</v>
      </c>
      <c r="K2684" s="0" t="n">
        <v>470.6</v>
      </c>
      <c r="M2684" s="0" t="n">
        <v>2034</v>
      </c>
      <c r="N2684" s="0" t="n">
        <v>113.75</v>
      </c>
      <c r="O2684" s="0" t="n">
        <v>2386</v>
      </c>
      <c r="W2684" s="0" t="n">
        <v>2035</v>
      </c>
      <c r="X2684" s="0" t="n">
        <v>2302.835</v>
      </c>
    </row>
    <row r="2685" customFormat="false" ht="15" hidden="false" customHeight="false" outlineLevel="0" collapsed="false">
      <c r="A2685" s="0" t="n">
        <v>2034</v>
      </c>
      <c r="B2685" s="0" t="n">
        <v>83.1604369</v>
      </c>
      <c r="C2685" s="0" t="n">
        <v>1746.369175</v>
      </c>
      <c r="E2685" s="0" t="n">
        <v>2035</v>
      </c>
      <c r="F2685" s="0" t="n">
        <v>216.749988</v>
      </c>
      <c r="G2685" s="0" t="n">
        <v>4551.749748</v>
      </c>
      <c r="I2685" s="0" t="n">
        <v>2029</v>
      </c>
      <c r="J2685" s="0" t="n">
        <v>22.4</v>
      </c>
      <c r="K2685" s="0" t="n">
        <v>470.6</v>
      </c>
      <c r="M2685" s="0" t="n">
        <v>2034</v>
      </c>
      <c r="N2685" s="0" t="n">
        <v>45.5</v>
      </c>
      <c r="O2685" s="0" t="n">
        <v>954.4</v>
      </c>
      <c r="W2685" s="0" t="n">
        <v>2035</v>
      </c>
      <c r="X2685" s="0" t="n">
        <v>713.136</v>
      </c>
    </row>
    <row r="2686" customFormat="false" ht="15" hidden="false" customHeight="false" outlineLevel="0" collapsed="false">
      <c r="A2686" s="0" t="n">
        <v>2034</v>
      </c>
      <c r="B2686" s="0" t="n">
        <v>57.83315541</v>
      </c>
      <c r="C2686" s="0" t="n">
        <v>1214.496264</v>
      </c>
      <c r="E2686" s="0" t="n">
        <v>2035</v>
      </c>
      <c r="F2686" s="0" t="n">
        <v>30.446316</v>
      </c>
      <c r="G2686" s="0" t="n">
        <v>639.372636</v>
      </c>
      <c r="I2686" s="0" t="n">
        <v>2029</v>
      </c>
      <c r="J2686" s="0" t="n">
        <v>11.2</v>
      </c>
      <c r="K2686" s="0" t="n">
        <v>235.3</v>
      </c>
      <c r="M2686" s="0" t="n">
        <v>2034</v>
      </c>
      <c r="N2686" s="0" t="n">
        <v>45.5</v>
      </c>
      <c r="O2686" s="0" t="n">
        <v>954.4</v>
      </c>
      <c r="W2686" s="0" t="n">
        <v>2035</v>
      </c>
      <c r="X2686" s="0" t="n">
        <v>1262.845</v>
      </c>
    </row>
    <row r="2687" customFormat="false" ht="15" hidden="false" customHeight="false" outlineLevel="0" collapsed="false">
      <c r="A2687" s="0" t="n">
        <v>2034</v>
      </c>
      <c r="B2687" s="0" t="n">
        <v>43.01823447</v>
      </c>
      <c r="C2687" s="0" t="n">
        <v>903.3829238</v>
      </c>
      <c r="E2687" s="0" t="n">
        <v>2035</v>
      </c>
      <c r="F2687" s="0" t="n">
        <v>727.819596</v>
      </c>
      <c r="G2687" s="0" t="n">
        <v>15284.21152</v>
      </c>
      <c r="I2687" s="0" t="n">
        <v>2029</v>
      </c>
      <c r="J2687" s="0" t="n">
        <v>11.2</v>
      </c>
      <c r="K2687" s="0" t="n">
        <v>235.3</v>
      </c>
      <c r="M2687" s="0" t="n">
        <v>2034</v>
      </c>
      <c r="N2687" s="0" t="n">
        <v>27.3</v>
      </c>
      <c r="O2687" s="0" t="n">
        <v>572.64</v>
      </c>
      <c r="W2687" s="0" t="n">
        <v>2035</v>
      </c>
      <c r="X2687" s="0" t="n">
        <v>564.566</v>
      </c>
    </row>
    <row r="2688" customFormat="false" ht="15" hidden="false" customHeight="false" outlineLevel="0" collapsed="false">
      <c r="A2688" s="0" t="n">
        <v>2034</v>
      </c>
      <c r="B2688" s="0" t="n">
        <v>19.11921532</v>
      </c>
      <c r="C2688" s="0" t="n">
        <v>401.5035217</v>
      </c>
      <c r="E2688" s="0" t="n">
        <v>2035</v>
      </c>
      <c r="F2688" s="0" t="n">
        <v>34.072092</v>
      </c>
      <c r="G2688" s="0" t="n">
        <v>715.513932</v>
      </c>
      <c r="I2688" s="0" t="n">
        <v>2029</v>
      </c>
      <c r="J2688" s="0" t="n">
        <v>22.4</v>
      </c>
      <c r="K2688" s="0" t="n">
        <v>470.6</v>
      </c>
      <c r="M2688" s="0" t="n">
        <v>2034</v>
      </c>
      <c r="N2688" s="0" t="n">
        <v>22.75</v>
      </c>
      <c r="O2688" s="0" t="n">
        <v>477.2</v>
      </c>
      <c r="W2688" s="0" t="n">
        <v>2035</v>
      </c>
      <c r="X2688" s="0" t="n">
        <v>222.855</v>
      </c>
    </row>
    <row r="2689" customFormat="false" ht="15" hidden="false" customHeight="false" outlineLevel="0" collapsed="false">
      <c r="A2689" s="0" t="n">
        <v>2034</v>
      </c>
      <c r="B2689" s="0" t="n">
        <v>70.61833771</v>
      </c>
      <c r="C2689" s="0" t="n">
        <v>1482.985092</v>
      </c>
      <c r="E2689" s="0" t="n">
        <v>2035</v>
      </c>
      <c r="F2689" s="0" t="n">
        <v>186.303672</v>
      </c>
      <c r="G2689" s="0" t="n">
        <v>3912.377112</v>
      </c>
      <c r="I2689" s="0" t="n">
        <v>2029</v>
      </c>
      <c r="J2689" s="0" t="n">
        <v>39.2</v>
      </c>
      <c r="K2689" s="0" t="n">
        <v>823.55</v>
      </c>
      <c r="M2689" s="0" t="n">
        <v>2034</v>
      </c>
      <c r="N2689" s="0" t="n">
        <v>18.2</v>
      </c>
      <c r="O2689" s="0" t="n">
        <v>381.76</v>
      </c>
      <c r="W2689" s="0" t="n">
        <v>2035</v>
      </c>
      <c r="X2689" s="0" t="n">
        <v>326.854</v>
      </c>
    </row>
    <row r="2690" customFormat="false" ht="15" hidden="false" customHeight="false" outlineLevel="0" collapsed="false">
      <c r="A2690" s="0" t="n">
        <v>2034</v>
      </c>
      <c r="B2690" s="0" t="n">
        <v>22.10600569</v>
      </c>
      <c r="C2690" s="0" t="n">
        <v>464.2261194</v>
      </c>
      <c r="E2690" s="0" t="n">
        <v>2035</v>
      </c>
      <c r="F2690" s="0" t="n">
        <v>170.356536</v>
      </c>
      <c r="G2690" s="0" t="n">
        <v>3577.487256</v>
      </c>
      <c r="I2690" s="0" t="n">
        <v>2029</v>
      </c>
      <c r="J2690" s="0" t="n">
        <v>16.8</v>
      </c>
      <c r="K2690" s="0" t="n">
        <v>352.95</v>
      </c>
      <c r="M2690" s="0" t="n">
        <v>2034</v>
      </c>
      <c r="N2690" s="0" t="n">
        <v>9.1</v>
      </c>
      <c r="O2690" s="0" t="n">
        <v>190.88</v>
      </c>
      <c r="W2690" s="0" t="n">
        <v>2035</v>
      </c>
      <c r="X2690" s="0" t="n">
        <v>252.569</v>
      </c>
    </row>
    <row r="2691" customFormat="false" ht="15" hidden="false" customHeight="false" outlineLevel="0" collapsed="false">
      <c r="A2691" s="0" t="n">
        <v>2034</v>
      </c>
      <c r="B2691" s="0" t="n">
        <v>49.42767779</v>
      </c>
      <c r="C2691" s="0" t="n">
        <v>1037.981234</v>
      </c>
      <c r="E2691" s="0" t="n">
        <v>2035</v>
      </c>
      <c r="F2691" s="0" t="n">
        <v>241.55603</v>
      </c>
      <c r="G2691" s="0" t="n">
        <v>5072.162681</v>
      </c>
      <c r="I2691" s="0" t="n">
        <v>2029</v>
      </c>
      <c r="J2691" s="0" t="n">
        <v>16.8</v>
      </c>
      <c r="K2691" s="0" t="n">
        <v>352.95</v>
      </c>
      <c r="M2691" s="0" t="n">
        <v>2034</v>
      </c>
      <c r="N2691" s="0" t="n">
        <v>67.64</v>
      </c>
      <c r="O2691" s="0" t="n">
        <v>1418.16</v>
      </c>
      <c r="W2691" s="0" t="n">
        <v>2035</v>
      </c>
      <c r="X2691" s="0" t="n">
        <v>71841.88</v>
      </c>
    </row>
    <row r="2692" customFormat="false" ht="15" hidden="false" customHeight="false" outlineLevel="0" collapsed="false">
      <c r="A2692" s="0" t="n">
        <v>2034</v>
      </c>
      <c r="B2692" s="0" t="n">
        <v>1388.932676</v>
      </c>
      <c r="C2692" s="0" t="n">
        <v>29167.58619</v>
      </c>
      <c r="E2692" s="0" t="n">
        <v>2035</v>
      </c>
      <c r="F2692" s="0" t="n">
        <v>64.86047</v>
      </c>
      <c r="G2692" s="0" t="n">
        <v>1361.931869</v>
      </c>
      <c r="I2692" s="0" t="n">
        <v>2029</v>
      </c>
      <c r="J2692" s="0" t="n">
        <v>109.2</v>
      </c>
      <c r="K2692" s="0" t="n">
        <v>2293.2</v>
      </c>
      <c r="M2692" s="0" t="n">
        <v>2034</v>
      </c>
      <c r="N2692" s="0" t="n">
        <v>44.5</v>
      </c>
      <c r="O2692" s="0" t="n">
        <v>933</v>
      </c>
      <c r="W2692" s="0" t="n">
        <v>2035</v>
      </c>
      <c r="X2692" s="0" t="n">
        <v>17960.47</v>
      </c>
    </row>
    <row r="2693" customFormat="false" ht="15" hidden="false" customHeight="false" outlineLevel="0" collapsed="false">
      <c r="A2693" s="0" t="n">
        <v>2034</v>
      </c>
      <c r="B2693" s="0" t="n">
        <v>350.3298922</v>
      </c>
      <c r="C2693" s="0" t="n">
        <v>7356.927735</v>
      </c>
      <c r="E2693" s="0" t="n">
        <v>2035</v>
      </c>
      <c r="F2693" s="0" t="n">
        <v>25.96139</v>
      </c>
      <c r="G2693" s="0" t="n">
        <v>545.133953</v>
      </c>
      <c r="I2693" s="0" t="n">
        <v>2029</v>
      </c>
      <c r="J2693" s="0" t="n">
        <v>16.8</v>
      </c>
      <c r="K2693" s="0" t="n">
        <v>352.8</v>
      </c>
      <c r="M2693" s="0" t="n">
        <v>2034</v>
      </c>
      <c r="N2693" s="0" t="n">
        <v>17.8</v>
      </c>
      <c r="O2693" s="0" t="n">
        <v>373.2</v>
      </c>
      <c r="W2693" s="0" t="n">
        <v>2035</v>
      </c>
      <c r="X2693" s="0" t="n">
        <v>5561.952</v>
      </c>
    </row>
    <row r="2694" customFormat="false" ht="15" hidden="false" customHeight="false" outlineLevel="0" collapsed="false">
      <c r="A2694" s="0" t="n">
        <v>2034</v>
      </c>
      <c r="B2694" s="0" t="n">
        <v>312.4086297</v>
      </c>
      <c r="C2694" s="0" t="n">
        <v>6560.581224</v>
      </c>
      <c r="E2694" s="0" t="n">
        <v>2035</v>
      </c>
      <c r="F2694" s="0" t="n">
        <v>3.64673</v>
      </c>
      <c r="G2694" s="0" t="n">
        <v>76.573571</v>
      </c>
      <c r="I2694" s="0" t="n">
        <v>2029</v>
      </c>
      <c r="J2694" s="0" t="n">
        <v>12.6</v>
      </c>
      <c r="K2694" s="0" t="n">
        <v>264.6</v>
      </c>
      <c r="M2694" s="0" t="n">
        <v>2034</v>
      </c>
      <c r="N2694" s="0" t="n">
        <v>17.8</v>
      </c>
      <c r="O2694" s="0" t="n">
        <v>373.2</v>
      </c>
      <c r="W2694" s="0" t="n">
        <v>2035</v>
      </c>
      <c r="X2694" s="0" t="n">
        <v>9849.29</v>
      </c>
    </row>
    <row r="2695" customFormat="false" ht="15" hidden="false" customHeight="false" outlineLevel="0" collapsed="false">
      <c r="A2695" s="0" t="n">
        <v>2034</v>
      </c>
      <c r="B2695" s="0" t="n">
        <v>217.2616872</v>
      </c>
      <c r="C2695" s="0" t="n">
        <v>4562.495432</v>
      </c>
      <c r="E2695" s="0" t="n">
        <v>2035</v>
      </c>
      <c r="F2695" s="0" t="n">
        <v>87.17513</v>
      </c>
      <c r="G2695" s="0" t="n">
        <v>1830.492251</v>
      </c>
      <c r="I2695" s="0" t="n">
        <v>2029</v>
      </c>
      <c r="J2695" s="0" t="n">
        <v>21</v>
      </c>
      <c r="K2695" s="0" t="n">
        <v>441</v>
      </c>
      <c r="M2695" s="0" t="n">
        <v>2034</v>
      </c>
      <c r="N2695" s="0" t="n">
        <v>10.68</v>
      </c>
      <c r="O2695" s="0" t="n">
        <v>223.92</v>
      </c>
      <c r="W2695" s="0" t="n">
        <v>2035</v>
      </c>
      <c r="X2695" s="0" t="n">
        <v>4403.212</v>
      </c>
    </row>
    <row r="2696" customFormat="false" ht="15" hidden="false" customHeight="false" outlineLevel="0" collapsed="false">
      <c r="A2696" s="0" t="n">
        <v>2034</v>
      </c>
      <c r="B2696" s="0" t="n">
        <v>161.6065064</v>
      </c>
      <c r="C2696" s="0" t="n">
        <v>3393.736635</v>
      </c>
      <c r="E2696" s="0" t="n">
        <v>2035</v>
      </c>
      <c r="F2696" s="0" t="n">
        <v>4.08101</v>
      </c>
      <c r="G2696" s="0" t="n">
        <v>85.692527</v>
      </c>
      <c r="I2696" s="0" t="n">
        <v>2029</v>
      </c>
      <c r="J2696" s="0" t="n">
        <v>4.2</v>
      </c>
      <c r="K2696" s="0" t="n">
        <v>88.2</v>
      </c>
      <c r="M2696" s="0" t="n">
        <v>2034</v>
      </c>
      <c r="N2696" s="0" t="n">
        <v>8.9</v>
      </c>
      <c r="O2696" s="0" t="n">
        <v>186.6</v>
      </c>
      <c r="W2696" s="0" t="n">
        <v>2035</v>
      </c>
      <c r="X2696" s="0" t="n">
        <v>1738.11</v>
      </c>
    </row>
    <row r="2697" customFormat="false" ht="15" hidden="false" customHeight="false" outlineLevel="0" collapsed="false">
      <c r="A2697" s="0" t="n">
        <v>2034</v>
      </c>
      <c r="B2697" s="0" t="n">
        <v>71.82511397</v>
      </c>
      <c r="C2697" s="0" t="n">
        <v>1508.327393</v>
      </c>
      <c r="E2697" s="0" t="n">
        <v>2035</v>
      </c>
      <c r="F2697" s="0" t="n">
        <v>22.31466</v>
      </c>
      <c r="G2697" s="0" t="n">
        <v>468.560382</v>
      </c>
      <c r="I2697" s="0" t="n">
        <v>2029</v>
      </c>
      <c r="J2697" s="0" t="n">
        <v>4.2</v>
      </c>
      <c r="K2697" s="0" t="n">
        <v>88.2</v>
      </c>
      <c r="M2697" s="0" t="n">
        <v>2034</v>
      </c>
      <c r="N2697" s="0" t="n">
        <v>7.12</v>
      </c>
      <c r="O2697" s="0" t="n">
        <v>149.28</v>
      </c>
      <c r="W2697" s="0" t="n">
        <v>2035</v>
      </c>
      <c r="X2697" s="0" t="n">
        <v>2549.228</v>
      </c>
    </row>
    <row r="2698" customFormat="false" ht="15" hidden="false" customHeight="false" outlineLevel="0" collapsed="false">
      <c r="A2698" s="0" t="n">
        <v>2034</v>
      </c>
      <c r="B2698" s="0" t="n">
        <v>265.2917534</v>
      </c>
      <c r="C2698" s="0" t="n">
        <v>5571.126821</v>
      </c>
      <c r="E2698" s="0" t="n">
        <v>2035</v>
      </c>
      <c r="F2698" s="0" t="n">
        <v>20.40458</v>
      </c>
      <c r="G2698" s="0" t="n">
        <v>428.452766</v>
      </c>
      <c r="I2698" s="0" t="n">
        <v>2029</v>
      </c>
      <c r="J2698" s="0" t="n">
        <v>0</v>
      </c>
      <c r="K2698" s="0" t="n">
        <v>0</v>
      </c>
      <c r="M2698" s="0" t="n">
        <v>2034</v>
      </c>
      <c r="N2698" s="0" t="n">
        <v>3.56</v>
      </c>
      <c r="O2698" s="0" t="n">
        <v>74.64</v>
      </c>
      <c r="W2698" s="0" t="n">
        <v>2035</v>
      </c>
      <c r="X2698" s="0" t="n">
        <v>1969.858</v>
      </c>
    </row>
    <row r="2699" customFormat="false" ht="15" hidden="false" customHeight="false" outlineLevel="0" collapsed="false">
      <c r="A2699" s="0" t="n">
        <v>2034</v>
      </c>
      <c r="B2699" s="0" t="n">
        <v>83.04558275</v>
      </c>
      <c r="C2699" s="0" t="n">
        <v>1743.957238</v>
      </c>
      <c r="E2699" s="0" t="n">
        <v>2035</v>
      </c>
      <c r="F2699" s="0" t="n">
        <v>159.32419</v>
      </c>
      <c r="G2699" s="0" t="n">
        <v>3340.154551</v>
      </c>
      <c r="I2699" s="0" t="n">
        <v>2029</v>
      </c>
      <c r="J2699" s="0" t="n">
        <v>8.4</v>
      </c>
      <c r="K2699" s="0" t="n">
        <v>176.4</v>
      </c>
      <c r="M2699" s="0" t="n">
        <v>2034</v>
      </c>
      <c r="N2699" s="0" t="n">
        <v>97.66</v>
      </c>
      <c r="O2699" s="0" t="n">
        <v>2046.3</v>
      </c>
      <c r="W2699" s="0" t="n">
        <v>2035</v>
      </c>
      <c r="X2699" s="0" t="n">
        <v>123577.16</v>
      </c>
    </row>
    <row r="2700" customFormat="false" ht="15" hidden="false" customHeight="false" outlineLevel="0" collapsed="false">
      <c r="A2700" s="0" t="n">
        <v>2034</v>
      </c>
      <c r="B2700" s="0" t="n">
        <v>185.684848</v>
      </c>
      <c r="C2700" s="0" t="n">
        <v>3899.381809</v>
      </c>
      <c r="E2700" s="0" t="n">
        <v>2035</v>
      </c>
      <c r="F2700" s="0" t="n">
        <v>42.78031</v>
      </c>
      <c r="G2700" s="0" t="n">
        <v>896.868499</v>
      </c>
      <c r="I2700" s="0" t="n">
        <v>2029</v>
      </c>
      <c r="J2700" s="0" t="n">
        <v>14.7</v>
      </c>
      <c r="K2700" s="0" t="n">
        <v>308.7</v>
      </c>
      <c r="M2700" s="0" t="n">
        <v>2034</v>
      </c>
      <c r="N2700" s="0" t="n">
        <v>64.25</v>
      </c>
      <c r="O2700" s="0" t="n">
        <v>1346.25</v>
      </c>
      <c r="W2700" s="0" t="n">
        <v>2035</v>
      </c>
      <c r="X2700" s="0" t="n">
        <v>30894.29</v>
      </c>
    </row>
    <row r="2701" customFormat="false" ht="15" hidden="false" customHeight="false" outlineLevel="0" collapsed="false">
      <c r="A2701" s="0" t="n">
        <v>2034</v>
      </c>
      <c r="B2701" s="0" t="n">
        <v>385.5314195</v>
      </c>
      <c r="C2701" s="0" t="n">
        <v>8096.159809</v>
      </c>
      <c r="E2701" s="0" t="n">
        <v>2035</v>
      </c>
      <c r="F2701" s="0" t="n">
        <v>17.12347</v>
      </c>
      <c r="G2701" s="0" t="n">
        <v>358.985263</v>
      </c>
      <c r="I2701" s="0" t="n">
        <v>2029</v>
      </c>
      <c r="J2701" s="0" t="n">
        <v>4.2</v>
      </c>
      <c r="K2701" s="0" t="n">
        <v>88.2</v>
      </c>
      <c r="M2701" s="0" t="n">
        <v>2034</v>
      </c>
      <c r="N2701" s="0" t="n">
        <v>25.7</v>
      </c>
      <c r="O2701" s="0" t="n">
        <v>538.5</v>
      </c>
      <c r="W2701" s="0" t="n">
        <v>2035</v>
      </c>
      <c r="X2701" s="0" t="n">
        <v>9567.264</v>
      </c>
    </row>
    <row r="2702" customFormat="false" ht="15" hidden="false" customHeight="false" outlineLevel="0" collapsed="false">
      <c r="A2702" s="0" t="n">
        <v>2034</v>
      </c>
      <c r="B2702" s="0" t="n">
        <v>97.2424243</v>
      </c>
      <c r="C2702" s="0" t="n">
        <v>2042.09091</v>
      </c>
      <c r="E2702" s="0" t="n">
        <v>2035</v>
      </c>
      <c r="F2702" s="0" t="n">
        <v>2.40529</v>
      </c>
      <c r="G2702" s="0" t="n">
        <v>50.425741</v>
      </c>
      <c r="I2702" s="0" t="n">
        <v>2029</v>
      </c>
      <c r="J2702" s="0" t="n">
        <v>14.7</v>
      </c>
      <c r="K2702" s="0" t="n">
        <v>308.7</v>
      </c>
      <c r="M2702" s="0" t="n">
        <v>2034</v>
      </c>
      <c r="N2702" s="0" t="n">
        <v>25.7</v>
      </c>
      <c r="O2702" s="0" t="n">
        <v>538.5</v>
      </c>
      <c r="W2702" s="0" t="n">
        <v>2035</v>
      </c>
      <c r="X2702" s="0" t="n">
        <v>16942.03</v>
      </c>
    </row>
    <row r="2703" customFormat="false" ht="15" hidden="false" customHeight="false" outlineLevel="0" collapsed="false">
      <c r="A2703" s="0" t="n">
        <v>2034</v>
      </c>
      <c r="B2703" s="0" t="n">
        <v>86.71647269</v>
      </c>
      <c r="C2703" s="0" t="n">
        <v>1821.045926</v>
      </c>
      <c r="E2703" s="0" t="n">
        <v>2035</v>
      </c>
      <c r="F2703" s="0" t="n">
        <v>57.49849</v>
      </c>
      <c r="G2703" s="0" t="n">
        <v>1205.428021</v>
      </c>
      <c r="I2703" s="0" t="n">
        <v>2029</v>
      </c>
      <c r="J2703" s="0" t="n">
        <v>28.32</v>
      </c>
      <c r="K2703" s="0" t="n">
        <v>596.16</v>
      </c>
      <c r="M2703" s="0" t="n">
        <v>2034</v>
      </c>
      <c r="N2703" s="0" t="n">
        <v>15.42</v>
      </c>
      <c r="O2703" s="0" t="n">
        <v>323.1</v>
      </c>
      <c r="W2703" s="0" t="n">
        <v>2035</v>
      </c>
      <c r="X2703" s="0" t="n">
        <v>7574.084</v>
      </c>
    </row>
    <row r="2704" customFormat="false" ht="15" hidden="false" customHeight="false" outlineLevel="0" collapsed="false">
      <c r="A2704" s="0" t="n">
        <v>2034</v>
      </c>
      <c r="B2704" s="0" t="n">
        <v>60.30616755</v>
      </c>
      <c r="C2704" s="0" t="n">
        <v>1266.429519</v>
      </c>
      <c r="E2704" s="0" t="n">
        <v>2035</v>
      </c>
      <c r="F2704" s="0" t="n">
        <v>2.69173</v>
      </c>
      <c r="G2704" s="0" t="n">
        <v>56.430817</v>
      </c>
      <c r="I2704" s="0" t="n">
        <v>2029</v>
      </c>
      <c r="J2704" s="0" t="n">
        <v>9.44</v>
      </c>
      <c r="K2704" s="0" t="n">
        <v>198.72</v>
      </c>
      <c r="M2704" s="0" t="n">
        <v>2034</v>
      </c>
      <c r="N2704" s="0" t="n">
        <v>12.85</v>
      </c>
      <c r="O2704" s="0" t="n">
        <v>269.25</v>
      </c>
      <c r="W2704" s="0" t="n">
        <v>2035</v>
      </c>
      <c r="X2704" s="0" t="n">
        <v>2989.77</v>
      </c>
    </row>
    <row r="2705" customFormat="false" ht="15" hidden="false" customHeight="false" outlineLevel="0" collapsed="false">
      <c r="A2705" s="0" t="n">
        <v>2034</v>
      </c>
      <c r="B2705" s="0" t="n">
        <v>44.85774358</v>
      </c>
      <c r="C2705" s="0" t="n">
        <v>942.0126151</v>
      </c>
      <c r="E2705" s="0" t="n">
        <v>2035</v>
      </c>
      <c r="F2705" s="0" t="n">
        <v>14.71818</v>
      </c>
      <c r="G2705" s="0" t="n">
        <v>308.559522</v>
      </c>
      <c r="I2705" s="0" t="n">
        <v>2029</v>
      </c>
      <c r="J2705" s="0" t="n">
        <v>4.13</v>
      </c>
      <c r="K2705" s="0" t="n">
        <v>86.94</v>
      </c>
      <c r="M2705" s="0" t="n">
        <v>2034</v>
      </c>
      <c r="N2705" s="0" t="n">
        <v>10.28</v>
      </c>
      <c r="O2705" s="0" t="n">
        <v>215.4</v>
      </c>
      <c r="W2705" s="0" t="n">
        <v>2035</v>
      </c>
      <c r="X2705" s="0" t="n">
        <v>4384.996</v>
      </c>
    </row>
    <row r="2706" customFormat="false" ht="15" hidden="false" customHeight="false" outlineLevel="0" collapsed="false">
      <c r="A2706" s="0" t="n">
        <v>2034</v>
      </c>
      <c r="B2706" s="0" t="n">
        <v>19.93677492</v>
      </c>
      <c r="C2706" s="0" t="n">
        <v>418.6722734</v>
      </c>
      <c r="E2706" s="0" t="n">
        <v>2035</v>
      </c>
      <c r="F2706" s="0" t="n">
        <v>13.45834</v>
      </c>
      <c r="G2706" s="0" t="n">
        <v>282.147586</v>
      </c>
      <c r="I2706" s="0" t="n">
        <v>2029</v>
      </c>
      <c r="J2706" s="0" t="n">
        <v>2.36</v>
      </c>
      <c r="K2706" s="0" t="n">
        <v>49.68</v>
      </c>
      <c r="M2706" s="0" t="n">
        <v>2034</v>
      </c>
      <c r="N2706" s="0" t="n">
        <v>5.14</v>
      </c>
      <c r="O2706" s="0" t="n">
        <v>107.7</v>
      </c>
      <c r="W2706" s="0" t="n">
        <v>2035</v>
      </c>
      <c r="X2706" s="0" t="n">
        <v>3388.406</v>
      </c>
    </row>
    <row r="2707" customFormat="false" ht="15" hidden="false" customHeight="false" outlineLevel="0" collapsed="false">
      <c r="A2707" s="0" t="n">
        <v>2034</v>
      </c>
      <c r="B2707" s="0" t="n">
        <v>73.63805894</v>
      </c>
      <c r="C2707" s="0" t="n">
        <v>1546.399238</v>
      </c>
      <c r="E2707" s="0" t="n">
        <v>2035</v>
      </c>
      <c r="F2707" s="0" t="n">
        <v>223.567815</v>
      </c>
      <c r="G2707" s="0" t="n">
        <v>4687.728829</v>
      </c>
      <c r="I2707" s="0" t="n">
        <v>2029</v>
      </c>
      <c r="J2707" s="0" t="n">
        <v>2.36</v>
      </c>
      <c r="K2707" s="0" t="n">
        <v>49.68</v>
      </c>
      <c r="M2707" s="0" t="n">
        <v>2034</v>
      </c>
      <c r="N2707" s="0" t="n">
        <v>457.2</v>
      </c>
      <c r="O2707" s="0" t="n">
        <v>9587.7</v>
      </c>
      <c r="W2707" s="0" t="n">
        <v>2035</v>
      </c>
      <c r="X2707" s="0" t="n">
        <v>55149.62</v>
      </c>
    </row>
    <row r="2708" customFormat="false" ht="15" hidden="false" customHeight="false" outlineLevel="0" collapsed="false">
      <c r="A2708" s="0" t="n">
        <v>2034</v>
      </c>
      <c r="B2708" s="0" t="n">
        <v>23.05128388</v>
      </c>
      <c r="C2708" s="0" t="n">
        <v>484.0769614</v>
      </c>
      <c r="E2708" s="0" t="n">
        <v>2035</v>
      </c>
      <c r="F2708" s="0" t="n">
        <v>60.030435</v>
      </c>
      <c r="G2708" s="0" t="n">
        <v>1258.707121</v>
      </c>
      <c r="I2708" s="0" t="n">
        <v>2029</v>
      </c>
      <c r="J2708" s="0" t="n">
        <v>1.18</v>
      </c>
      <c r="K2708" s="0" t="n">
        <v>24.84</v>
      </c>
      <c r="M2708" s="0" t="n">
        <v>2034</v>
      </c>
      <c r="N2708" s="0" t="n">
        <v>50.8</v>
      </c>
      <c r="O2708" s="0" t="n">
        <v>1065.3</v>
      </c>
      <c r="W2708" s="0" t="n">
        <v>2035</v>
      </c>
      <c r="X2708" s="0" t="n">
        <v>13787.405</v>
      </c>
    </row>
    <row r="2709" customFormat="false" ht="15" hidden="false" customHeight="false" outlineLevel="0" collapsed="false">
      <c r="A2709" s="0" t="n">
        <v>2034</v>
      </c>
      <c r="B2709" s="0" t="n">
        <v>51.54126206</v>
      </c>
      <c r="C2709" s="0" t="n">
        <v>1082.366503</v>
      </c>
      <c r="E2709" s="0" t="n">
        <v>2035</v>
      </c>
      <c r="F2709" s="0" t="n">
        <v>24.028095</v>
      </c>
      <c r="G2709" s="0" t="n">
        <v>503.816677</v>
      </c>
      <c r="I2709" s="0" t="n">
        <v>2029</v>
      </c>
      <c r="J2709" s="0" t="n">
        <v>1.18</v>
      </c>
      <c r="K2709" s="0" t="n">
        <v>24.84</v>
      </c>
      <c r="M2709" s="0" t="n">
        <v>2034</v>
      </c>
      <c r="N2709" s="0" t="n">
        <v>639</v>
      </c>
      <c r="O2709" s="0" t="n">
        <v>13419</v>
      </c>
      <c r="W2709" s="0" t="n">
        <v>2035</v>
      </c>
      <c r="X2709" s="0" t="n">
        <v>4269.648</v>
      </c>
    </row>
    <row r="2710" customFormat="false" ht="15" hidden="false" customHeight="false" outlineLevel="0" collapsed="false">
      <c r="A2710" s="0" t="n">
        <v>2034</v>
      </c>
      <c r="B2710" s="0" t="n">
        <v>214.3669555</v>
      </c>
      <c r="C2710" s="0" t="n">
        <v>4501.706065</v>
      </c>
      <c r="E2710" s="0" t="n">
        <v>2035</v>
      </c>
      <c r="F2710" s="0" t="n">
        <v>3.375165</v>
      </c>
      <c r="G2710" s="0" t="n">
        <v>70.769839</v>
      </c>
      <c r="I2710" s="0" t="n">
        <v>2029</v>
      </c>
      <c r="J2710" s="0" t="n">
        <v>2.36</v>
      </c>
      <c r="K2710" s="0" t="n">
        <v>49.68</v>
      </c>
      <c r="M2710" s="0" t="n">
        <v>2034</v>
      </c>
      <c r="N2710" s="0" t="n">
        <v>71</v>
      </c>
      <c r="O2710" s="0" t="n">
        <v>1491</v>
      </c>
      <c r="W2710" s="0" t="n">
        <v>2035</v>
      </c>
      <c r="X2710" s="0" t="n">
        <v>7560.835</v>
      </c>
    </row>
    <row r="2711" customFormat="false" ht="15" hidden="false" customHeight="false" outlineLevel="0" collapsed="false">
      <c r="A2711" s="0" t="n">
        <v>2034</v>
      </c>
      <c r="B2711" s="0" t="n">
        <v>54.06968508</v>
      </c>
      <c r="C2711" s="0" t="n">
        <v>1135.463387</v>
      </c>
      <c r="E2711" s="0" t="n">
        <v>2035</v>
      </c>
      <c r="F2711" s="0" t="n">
        <v>80.683365</v>
      </c>
      <c r="G2711" s="0" t="n">
        <v>1691.753959</v>
      </c>
      <c r="I2711" s="0" t="n">
        <v>2029</v>
      </c>
      <c r="J2711" s="0" t="n">
        <v>4.13</v>
      </c>
      <c r="K2711" s="0" t="n">
        <v>86.94</v>
      </c>
      <c r="M2711" s="0" t="n">
        <v>2034</v>
      </c>
      <c r="N2711" s="0" t="n">
        <v>548.1</v>
      </c>
      <c r="O2711" s="0" t="n">
        <v>11502.9</v>
      </c>
      <c r="W2711" s="0" t="n">
        <v>2035</v>
      </c>
      <c r="X2711" s="0" t="n">
        <v>3380.138</v>
      </c>
    </row>
    <row r="2712" customFormat="false" ht="15" hidden="false" customHeight="false" outlineLevel="0" collapsed="false">
      <c r="A2712" s="0" t="n">
        <v>2034</v>
      </c>
      <c r="B2712" s="0" t="n">
        <v>48.21694238</v>
      </c>
      <c r="C2712" s="0" t="n">
        <v>1012.55579</v>
      </c>
      <c r="E2712" s="0" t="n">
        <v>2035</v>
      </c>
      <c r="F2712" s="0" t="n">
        <v>3.777105</v>
      </c>
      <c r="G2712" s="0" t="n">
        <v>79.197643</v>
      </c>
      <c r="I2712" s="0" t="n">
        <v>2029</v>
      </c>
      <c r="J2712" s="0" t="n">
        <v>1.77</v>
      </c>
      <c r="K2712" s="0" t="n">
        <v>37.26</v>
      </c>
      <c r="M2712" s="0" t="n">
        <v>2034</v>
      </c>
      <c r="N2712" s="0" t="n">
        <v>60.9</v>
      </c>
      <c r="O2712" s="0" t="n">
        <v>1278.1</v>
      </c>
      <c r="W2712" s="0" t="n">
        <v>2035</v>
      </c>
      <c r="X2712" s="0" t="n">
        <v>1334.265</v>
      </c>
    </row>
    <row r="2713" customFormat="false" ht="15" hidden="false" customHeight="false" outlineLevel="0" collapsed="false">
      <c r="A2713" s="0" t="n">
        <v>2034</v>
      </c>
      <c r="B2713" s="0" t="n">
        <v>33.53202588</v>
      </c>
      <c r="C2713" s="0" t="n">
        <v>704.1725434</v>
      </c>
      <c r="E2713" s="0" t="n">
        <v>2035</v>
      </c>
      <c r="F2713" s="0" t="n">
        <v>20.65293</v>
      </c>
      <c r="G2713" s="0" t="n">
        <v>433.046838</v>
      </c>
      <c r="I2713" s="0" t="n">
        <v>2029</v>
      </c>
      <c r="J2713" s="0" t="n">
        <v>1.77</v>
      </c>
      <c r="K2713" s="0" t="n">
        <v>37.26</v>
      </c>
      <c r="M2713" s="0" t="n">
        <v>2034</v>
      </c>
      <c r="N2713" s="0" t="n">
        <v>182.7</v>
      </c>
      <c r="O2713" s="0" t="n">
        <v>3833.1</v>
      </c>
      <c r="W2713" s="0" t="n">
        <v>2035</v>
      </c>
      <c r="X2713" s="0" t="n">
        <v>1956.922</v>
      </c>
    </row>
    <row r="2714" customFormat="false" ht="15" hidden="false" customHeight="false" outlineLevel="0" collapsed="false">
      <c r="A2714" s="0" t="n">
        <v>2034</v>
      </c>
      <c r="B2714" s="0" t="n">
        <v>24.94224189</v>
      </c>
      <c r="C2714" s="0" t="n">
        <v>523.7870796</v>
      </c>
      <c r="E2714" s="0" t="n">
        <v>2035</v>
      </c>
      <c r="F2714" s="0" t="n">
        <v>18.88509</v>
      </c>
      <c r="G2714" s="0" t="n">
        <v>395.979094</v>
      </c>
      <c r="I2714" s="0" t="n">
        <v>2029</v>
      </c>
      <c r="J2714" s="0" t="n">
        <v>9.88</v>
      </c>
      <c r="K2714" s="0" t="n">
        <v>209.04</v>
      </c>
      <c r="M2714" s="0" t="n">
        <v>2034</v>
      </c>
      <c r="N2714" s="0" t="n">
        <v>20.3</v>
      </c>
      <c r="O2714" s="0" t="n">
        <v>425.9</v>
      </c>
      <c r="W2714" s="0" t="n">
        <v>2035</v>
      </c>
      <c r="X2714" s="0" t="n">
        <v>1512.167</v>
      </c>
    </row>
    <row r="2715" customFormat="false" ht="15" hidden="false" customHeight="false" outlineLevel="0" collapsed="false">
      <c r="A2715" s="0" t="n">
        <v>2034</v>
      </c>
      <c r="B2715" s="0" t="n">
        <v>11.08544084</v>
      </c>
      <c r="C2715" s="0" t="n">
        <v>232.7942576</v>
      </c>
      <c r="E2715" s="0" t="n">
        <v>2035</v>
      </c>
      <c r="F2715" s="0" t="n">
        <v>177.312405</v>
      </c>
      <c r="G2715" s="0" t="n">
        <v>3713.795474</v>
      </c>
      <c r="I2715" s="0" t="n">
        <v>2029</v>
      </c>
      <c r="J2715" s="0" t="n">
        <v>1.52</v>
      </c>
      <c r="K2715" s="0" t="n">
        <v>32.16</v>
      </c>
      <c r="M2715" s="0" t="n">
        <v>2034</v>
      </c>
      <c r="N2715" s="0" t="n">
        <v>1416.6</v>
      </c>
      <c r="O2715" s="0" t="n">
        <v>29734.2</v>
      </c>
      <c r="W2715" s="0" t="n">
        <v>2035</v>
      </c>
      <c r="X2715" s="0" t="n">
        <v>191918.52</v>
      </c>
    </row>
    <row r="2716" customFormat="false" ht="15" hidden="false" customHeight="false" outlineLevel="0" collapsed="false">
      <c r="A2716" s="0" t="n">
        <v>2034</v>
      </c>
      <c r="B2716" s="0" t="n">
        <v>40.94495469</v>
      </c>
      <c r="C2716" s="0" t="n">
        <v>859.8440485</v>
      </c>
      <c r="E2716" s="0" t="n">
        <v>2035</v>
      </c>
      <c r="F2716" s="0" t="n">
        <v>47.610345</v>
      </c>
      <c r="G2716" s="0" t="n">
        <v>997.195226</v>
      </c>
      <c r="I2716" s="0" t="n">
        <v>2029</v>
      </c>
      <c r="J2716" s="0" t="n">
        <v>1.14</v>
      </c>
      <c r="K2716" s="0" t="n">
        <v>24.12</v>
      </c>
      <c r="M2716" s="0" t="n">
        <v>2034</v>
      </c>
      <c r="N2716" s="0" t="n">
        <v>157.4</v>
      </c>
      <c r="O2716" s="0" t="n">
        <v>3303.8</v>
      </c>
      <c r="W2716" s="0" t="n">
        <v>2035</v>
      </c>
      <c r="X2716" s="0" t="n">
        <v>47979.63</v>
      </c>
    </row>
    <row r="2717" customFormat="false" ht="15" hidden="false" customHeight="false" outlineLevel="0" collapsed="false">
      <c r="A2717" s="0" t="n">
        <v>2034</v>
      </c>
      <c r="B2717" s="0" t="n">
        <v>12.81720061</v>
      </c>
      <c r="C2717" s="0" t="n">
        <v>269.1612128</v>
      </c>
      <c r="E2717" s="0" t="n">
        <v>2035</v>
      </c>
      <c r="F2717" s="0" t="n">
        <v>19.056765</v>
      </c>
      <c r="G2717" s="0" t="n">
        <v>399.142562</v>
      </c>
      <c r="I2717" s="0" t="n">
        <v>2029</v>
      </c>
      <c r="J2717" s="0" t="n">
        <v>1.9</v>
      </c>
      <c r="K2717" s="0" t="n">
        <v>40.2</v>
      </c>
      <c r="M2717" s="0" t="n">
        <v>2034</v>
      </c>
      <c r="N2717" s="0" t="n">
        <v>128.7</v>
      </c>
      <c r="O2717" s="0" t="n">
        <v>2700</v>
      </c>
      <c r="W2717" s="0" t="n">
        <v>2035</v>
      </c>
      <c r="X2717" s="0" t="n">
        <v>14858.208</v>
      </c>
    </row>
    <row r="2718" customFormat="false" ht="15" hidden="false" customHeight="false" outlineLevel="0" collapsed="false">
      <c r="A2718" s="0" t="n">
        <v>2034</v>
      </c>
      <c r="B2718" s="0" t="n">
        <v>28.65847729</v>
      </c>
      <c r="C2718" s="0" t="n">
        <v>601.8280231</v>
      </c>
      <c r="E2718" s="0" t="n">
        <v>2035</v>
      </c>
      <c r="F2718" s="0" t="n">
        <v>2.676855</v>
      </c>
      <c r="G2718" s="0" t="n">
        <v>56.066534</v>
      </c>
      <c r="I2718" s="0" t="n">
        <v>2029</v>
      </c>
      <c r="J2718" s="0" t="n">
        <v>0.38</v>
      </c>
      <c r="K2718" s="0" t="n">
        <v>8.04</v>
      </c>
      <c r="M2718" s="0" t="n">
        <v>2034</v>
      </c>
      <c r="N2718" s="0" t="n">
        <v>14.3</v>
      </c>
      <c r="O2718" s="0" t="n">
        <v>300</v>
      </c>
      <c r="W2718" s="0" t="n">
        <v>2035</v>
      </c>
      <c r="X2718" s="0" t="n">
        <v>26311.41</v>
      </c>
    </row>
    <row r="2719" customFormat="false" ht="15" hidden="false" customHeight="false" outlineLevel="0" collapsed="false">
      <c r="A2719" s="0" t="n">
        <v>2034</v>
      </c>
      <c r="B2719" s="0" t="n">
        <v>183.1346838</v>
      </c>
      <c r="C2719" s="0" t="n">
        <v>3845.82836</v>
      </c>
      <c r="E2719" s="0" t="n">
        <v>2035</v>
      </c>
      <c r="F2719" s="0" t="n">
        <v>63.990255</v>
      </c>
      <c r="G2719" s="0" t="n">
        <v>1340.271254</v>
      </c>
      <c r="I2719" s="0" t="n">
        <v>2029</v>
      </c>
      <c r="J2719" s="0" t="n">
        <v>0.38</v>
      </c>
      <c r="K2719" s="0" t="n">
        <v>8.04</v>
      </c>
      <c r="M2719" s="0" t="n">
        <v>2035</v>
      </c>
      <c r="N2719" s="0" t="n">
        <v>6.84</v>
      </c>
      <c r="O2719" s="0" t="n">
        <v>142.12</v>
      </c>
      <c r="W2719" s="0" t="n">
        <v>2035</v>
      </c>
      <c r="X2719" s="0" t="n">
        <v>11762.748</v>
      </c>
    </row>
    <row r="2720" customFormat="false" ht="15" hidden="false" customHeight="false" outlineLevel="0" collapsed="false">
      <c r="A2720" s="0" t="n">
        <v>2034</v>
      </c>
      <c r="B2720" s="0" t="n">
        <v>46.19198262</v>
      </c>
      <c r="C2720" s="0" t="n">
        <v>970.031635</v>
      </c>
      <c r="E2720" s="0" t="n">
        <v>2035</v>
      </c>
      <c r="F2720" s="0" t="n">
        <v>2.995635</v>
      </c>
      <c r="G2720" s="0" t="n">
        <v>62.743358</v>
      </c>
      <c r="I2720" s="0" t="n">
        <v>2029</v>
      </c>
      <c r="J2720" s="0" t="n">
        <v>0</v>
      </c>
      <c r="K2720" s="0" t="n">
        <v>0</v>
      </c>
      <c r="M2720" s="0" t="n">
        <v>2035</v>
      </c>
      <c r="N2720" s="0" t="n">
        <v>4.5</v>
      </c>
      <c r="O2720" s="0" t="n">
        <v>93.5</v>
      </c>
      <c r="W2720" s="0" t="n">
        <v>2035</v>
      </c>
      <c r="X2720" s="0" t="n">
        <v>4643.19</v>
      </c>
    </row>
    <row r="2721" customFormat="false" ht="15" hidden="false" customHeight="false" outlineLevel="0" collapsed="false">
      <c r="A2721" s="0" t="n">
        <v>2034</v>
      </c>
      <c r="B2721" s="0" t="n">
        <v>41.1919574</v>
      </c>
      <c r="C2721" s="0" t="n">
        <v>865.0311054</v>
      </c>
      <c r="E2721" s="0" t="n">
        <v>2035</v>
      </c>
      <c r="F2721" s="0" t="n">
        <v>16.37991</v>
      </c>
      <c r="G2721" s="0" t="n">
        <v>343.076028</v>
      </c>
      <c r="I2721" s="0" t="n">
        <v>2029</v>
      </c>
      <c r="J2721" s="0" t="n">
        <v>0.76</v>
      </c>
      <c r="K2721" s="0" t="n">
        <v>16.08</v>
      </c>
      <c r="M2721" s="0" t="n">
        <v>2035</v>
      </c>
      <c r="N2721" s="0" t="n">
        <v>1.8</v>
      </c>
      <c r="O2721" s="0" t="n">
        <v>37.4</v>
      </c>
      <c r="W2721" s="0" t="n">
        <v>2035</v>
      </c>
      <c r="X2721" s="0" t="n">
        <v>6810.012</v>
      </c>
    </row>
    <row r="2722" customFormat="false" ht="15" hidden="false" customHeight="false" outlineLevel="0" collapsed="false">
      <c r="A2722" s="0" t="n">
        <v>2034</v>
      </c>
      <c r="B2722" s="0" t="n">
        <v>28.64656515</v>
      </c>
      <c r="C2722" s="0" t="n">
        <v>601.5778682</v>
      </c>
      <c r="E2722" s="0" t="n">
        <v>2035</v>
      </c>
      <c r="F2722" s="0" t="n">
        <v>14.97783</v>
      </c>
      <c r="G2722" s="0" t="n">
        <v>313.709564</v>
      </c>
      <c r="I2722" s="0" t="n">
        <v>2029</v>
      </c>
      <c r="J2722" s="0" t="n">
        <v>1.33</v>
      </c>
      <c r="K2722" s="0" t="n">
        <v>28.14</v>
      </c>
      <c r="M2722" s="0" t="n">
        <v>2035</v>
      </c>
      <c r="N2722" s="0" t="n">
        <v>1.8</v>
      </c>
      <c r="O2722" s="0" t="n">
        <v>37.4</v>
      </c>
      <c r="W2722" s="0" t="n">
        <v>2035</v>
      </c>
      <c r="X2722" s="0" t="n">
        <v>5262.282</v>
      </c>
    </row>
    <row r="2723" customFormat="false" ht="15" hidden="false" customHeight="false" outlineLevel="0" collapsed="false">
      <c r="A2723" s="0" t="n">
        <v>2034</v>
      </c>
      <c r="B2723" s="0" t="n">
        <v>21.30827287</v>
      </c>
      <c r="C2723" s="0" t="n">
        <v>447.4737303</v>
      </c>
      <c r="E2723" s="0" t="n">
        <v>2035</v>
      </c>
      <c r="F2723" s="0" t="n">
        <v>261.086092</v>
      </c>
      <c r="G2723" s="0" t="n">
        <v>5481.266085</v>
      </c>
      <c r="I2723" s="0" t="n">
        <v>2029</v>
      </c>
      <c r="J2723" s="0" t="n">
        <v>0.38</v>
      </c>
      <c r="K2723" s="0" t="n">
        <v>8.04</v>
      </c>
      <c r="M2723" s="0" t="n">
        <v>2035</v>
      </c>
      <c r="N2723" s="0" t="n">
        <v>1.08</v>
      </c>
      <c r="O2723" s="0" t="n">
        <v>22.44</v>
      </c>
      <c r="W2723" s="0" t="n">
        <v>2035</v>
      </c>
      <c r="X2723" s="0" t="n">
        <v>5570.08</v>
      </c>
    </row>
    <row r="2724" customFormat="false" ht="15" hidden="false" customHeight="false" outlineLevel="0" collapsed="false">
      <c r="A2724" s="0" t="n">
        <v>2034</v>
      </c>
      <c r="B2724" s="0" t="n">
        <v>9.470343498</v>
      </c>
      <c r="C2724" s="0" t="n">
        <v>198.8772135</v>
      </c>
      <c r="E2724" s="0" t="n">
        <v>2035</v>
      </c>
      <c r="F2724" s="0" t="n">
        <v>70.104508</v>
      </c>
      <c r="G2724" s="0" t="n">
        <v>1471.780665</v>
      </c>
      <c r="I2724" s="0" t="n">
        <v>2029</v>
      </c>
      <c r="J2724" s="0" t="n">
        <v>1.33</v>
      </c>
      <c r="K2724" s="0" t="n">
        <v>28.14</v>
      </c>
      <c r="M2724" s="0" t="n">
        <v>2035</v>
      </c>
      <c r="N2724" s="0" t="n">
        <v>0.9</v>
      </c>
      <c r="O2724" s="0" t="n">
        <v>18.7</v>
      </c>
      <c r="W2724" s="0" t="n">
        <v>2035</v>
      </c>
      <c r="X2724" s="0" t="n">
        <v>1392.52</v>
      </c>
    </row>
    <row r="2725" customFormat="false" ht="15" hidden="false" customHeight="false" outlineLevel="0" collapsed="false">
      <c r="A2725" s="0" t="n">
        <v>2034</v>
      </c>
      <c r="B2725" s="0" t="n">
        <v>34.9794646</v>
      </c>
      <c r="C2725" s="0" t="n">
        <v>734.5687566</v>
      </c>
      <c r="E2725" s="0" t="n">
        <v>2035</v>
      </c>
      <c r="F2725" s="0" t="n">
        <v>28.060396</v>
      </c>
      <c r="G2725" s="0" t="n">
        <v>589.102605</v>
      </c>
      <c r="I2725" s="0" t="n">
        <v>2029</v>
      </c>
      <c r="J2725" s="0" t="n">
        <v>128.64</v>
      </c>
      <c r="K2725" s="0" t="n">
        <v>2701.44</v>
      </c>
      <c r="M2725" s="0" t="n">
        <v>2035</v>
      </c>
      <c r="N2725" s="0" t="n">
        <v>0.72</v>
      </c>
      <c r="O2725" s="0" t="n">
        <v>14.96</v>
      </c>
      <c r="W2725" s="0" t="n">
        <v>2035</v>
      </c>
      <c r="X2725" s="0" t="n">
        <v>431.232</v>
      </c>
    </row>
    <row r="2726" customFormat="false" ht="15" hidden="false" customHeight="false" outlineLevel="0" collapsed="false">
      <c r="A2726" s="0" t="n">
        <v>2034</v>
      </c>
      <c r="B2726" s="0" t="n">
        <v>10.9497939</v>
      </c>
      <c r="C2726" s="0" t="n">
        <v>229.9456718</v>
      </c>
      <c r="E2726" s="0" t="n">
        <v>2035</v>
      </c>
      <c r="F2726" s="0" t="n">
        <v>3.941572</v>
      </c>
      <c r="G2726" s="0" t="n">
        <v>82.749735</v>
      </c>
      <c r="I2726" s="0" t="n">
        <v>2029</v>
      </c>
      <c r="J2726" s="0" t="n">
        <v>42.88</v>
      </c>
      <c r="K2726" s="0" t="n">
        <v>900.48</v>
      </c>
      <c r="M2726" s="0" t="n">
        <v>2035</v>
      </c>
      <c r="N2726" s="0" t="n">
        <v>0.36</v>
      </c>
      <c r="O2726" s="0" t="n">
        <v>7.48</v>
      </c>
      <c r="W2726" s="0" t="n">
        <v>2035</v>
      </c>
      <c r="X2726" s="0" t="n">
        <v>763.64</v>
      </c>
    </row>
    <row r="2727" customFormat="false" ht="15" hidden="false" customHeight="false" outlineLevel="0" collapsed="false">
      <c r="A2727" s="0" t="n">
        <v>2034</v>
      </c>
      <c r="B2727" s="0" t="n">
        <v>24.48307</v>
      </c>
      <c r="C2727" s="0" t="n">
        <v>514.14447</v>
      </c>
      <c r="E2727" s="0" t="n">
        <v>2035</v>
      </c>
      <c r="F2727" s="0" t="n">
        <v>94.223332</v>
      </c>
      <c r="G2727" s="0" t="n">
        <v>1978.133535</v>
      </c>
      <c r="I2727" s="0" t="n">
        <v>2029</v>
      </c>
      <c r="J2727" s="0" t="n">
        <v>18.76</v>
      </c>
      <c r="K2727" s="0" t="n">
        <v>393.96</v>
      </c>
      <c r="M2727" s="0" t="n">
        <v>2035</v>
      </c>
      <c r="N2727" s="0" t="n">
        <v>17.86</v>
      </c>
      <c r="O2727" s="0" t="n">
        <v>371.26</v>
      </c>
      <c r="W2727" s="0" t="n">
        <v>2035</v>
      </c>
      <c r="X2727" s="0" t="n">
        <v>341.392</v>
      </c>
    </row>
    <row r="2728" customFormat="false" ht="15" hidden="false" customHeight="false" outlineLevel="0" collapsed="false">
      <c r="A2728" s="0" t="n">
        <v>2034</v>
      </c>
      <c r="B2728" s="0" t="n">
        <v>244.5990201</v>
      </c>
      <c r="C2728" s="0" t="n">
        <v>5136.579422</v>
      </c>
      <c r="E2728" s="0" t="n">
        <v>2035</v>
      </c>
      <c r="F2728" s="0" t="n">
        <v>4.410964</v>
      </c>
      <c r="G2728" s="0" t="n">
        <v>92.604195</v>
      </c>
      <c r="I2728" s="0" t="n">
        <v>2029</v>
      </c>
      <c r="J2728" s="0" t="n">
        <v>10.72</v>
      </c>
      <c r="K2728" s="0" t="n">
        <v>225.12</v>
      </c>
      <c r="M2728" s="0" t="n">
        <v>2035</v>
      </c>
      <c r="N2728" s="0" t="n">
        <v>11.75</v>
      </c>
      <c r="O2728" s="0" t="n">
        <v>244.25</v>
      </c>
      <c r="W2728" s="0" t="n">
        <v>2035</v>
      </c>
      <c r="X2728" s="0" t="n">
        <v>134.76</v>
      </c>
    </row>
    <row r="2729" customFormat="false" ht="15" hidden="false" customHeight="false" outlineLevel="0" collapsed="false">
      <c r="A2729" s="0" t="n">
        <v>2034</v>
      </c>
      <c r="B2729" s="0" t="n">
        <v>61.69510575</v>
      </c>
      <c r="C2729" s="0" t="n">
        <v>1295.597221</v>
      </c>
      <c r="E2729" s="0" t="n">
        <v>2035</v>
      </c>
      <c r="F2729" s="0" t="n">
        <v>24.118824</v>
      </c>
      <c r="G2729" s="0" t="n">
        <v>506.35287</v>
      </c>
      <c r="I2729" s="0" t="n">
        <v>2029</v>
      </c>
      <c r="J2729" s="0" t="n">
        <v>10.72</v>
      </c>
      <c r="K2729" s="0" t="n">
        <v>225.12</v>
      </c>
      <c r="M2729" s="0" t="n">
        <v>2035</v>
      </c>
      <c r="N2729" s="0" t="n">
        <v>4.7</v>
      </c>
      <c r="O2729" s="0" t="n">
        <v>97.7</v>
      </c>
      <c r="W2729" s="0" t="n">
        <v>2035</v>
      </c>
      <c r="X2729" s="0" t="n">
        <v>197.648</v>
      </c>
    </row>
    <row r="2730" customFormat="false" ht="15" hidden="false" customHeight="false" outlineLevel="0" collapsed="false">
      <c r="A2730" s="0" t="n">
        <v>2034</v>
      </c>
      <c r="B2730" s="0" t="n">
        <v>55.01695367</v>
      </c>
      <c r="C2730" s="0" t="n">
        <v>1155.356027</v>
      </c>
      <c r="E2730" s="0" t="n">
        <v>2035</v>
      </c>
      <c r="F2730" s="0" t="n">
        <v>22.054312</v>
      </c>
      <c r="G2730" s="0" t="n">
        <v>463.01031</v>
      </c>
      <c r="I2730" s="0" t="n">
        <v>2029</v>
      </c>
      <c r="J2730" s="0" t="n">
        <v>5.36</v>
      </c>
      <c r="K2730" s="0" t="n">
        <v>112.56</v>
      </c>
      <c r="M2730" s="0" t="n">
        <v>2035</v>
      </c>
      <c r="N2730" s="0" t="n">
        <v>4.7</v>
      </c>
      <c r="O2730" s="0" t="n">
        <v>97.7</v>
      </c>
      <c r="W2730" s="0" t="n">
        <v>2035</v>
      </c>
      <c r="X2730" s="0" t="n">
        <v>152.728</v>
      </c>
    </row>
    <row r="2731" customFormat="false" ht="15" hidden="false" customHeight="false" outlineLevel="0" collapsed="false">
      <c r="A2731" s="0" t="n">
        <v>2034</v>
      </c>
      <c r="B2731" s="0" t="n">
        <v>38.26103073</v>
      </c>
      <c r="C2731" s="0" t="n">
        <v>803.4816453</v>
      </c>
      <c r="E2731" s="0" t="n">
        <v>2035</v>
      </c>
      <c r="F2731" s="0" t="n">
        <v>753.963183</v>
      </c>
      <c r="G2731" s="0" t="n">
        <v>15826.03156</v>
      </c>
      <c r="I2731" s="0" t="n">
        <v>2029</v>
      </c>
      <c r="J2731" s="0" t="n">
        <v>5.36</v>
      </c>
      <c r="K2731" s="0" t="n">
        <v>112.56</v>
      </c>
      <c r="M2731" s="0" t="n">
        <v>2035</v>
      </c>
      <c r="N2731" s="0" t="n">
        <v>2.82</v>
      </c>
      <c r="O2731" s="0" t="n">
        <v>58.62</v>
      </c>
      <c r="W2731" s="0" t="n">
        <v>2035</v>
      </c>
      <c r="X2731" s="0" t="n">
        <v>7893.22</v>
      </c>
    </row>
    <row r="2732" customFormat="false" ht="15" hidden="false" customHeight="false" outlineLevel="0" collapsed="false">
      <c r="A2732" s="0" t="n">
        <v>2034</v>
      </c>
      <c r="B2732" s="0" t="n">
        <v>28.4598338</v>
      </c>
      <c r="C2732" s="0" t="n">
        <v>597.6565097</v>
      </c>
      <c r="E2732" s="0" t="n">
        <v>2035</v>
      </c>
      <c r="F2732" s="0" t="n">
        <v>202.447467</v>
      </c>
      <c r="G2732" s="0" t="n">
        <v>4249.464793</v>
      </c>
      <c r="I2732" s="0" t="n">
        <v>2029</v>
      </c>
      <c r="J2732" s="0" t="n">
        <v>10.72</v>
      </c>
      <c r="K2732" s="0" t="n">
        <v>225.12</v>
      </c>
      <c r="M2732" s="0" t="n">
        <v>2035</v>
      </c>
      <c r="N2732" s="0" t="n">
        <v>2.35</v>
      </c>
      <c r="O2732" s="0" t="n">
        <v>48.85</v>
      </c>
      <c r="W2732" s="0" t="n">
        <v>2035</v>
      </c>
      <c r="X2732" s="0" t="n">
        <v>1973.305</v>
      </c>
    </row>
    <row r="2733" customFormat="false" ht="15" hidden="false" customHeight="false" outlineLevel="0" collapsed="false">
      <c r="A2733" s="0" t="n">
        <v>2034</v>
      </c>
      <c r="B2733" s="0" t="n">
        <v>12.64881502</v>
      </c>
      <c r="C2733" s="0" t="n">
        <v>265.6251154</v>
      </c>
      <c r="E2733" s="0" t="n">
        <v>2035</v>
      </c>
      <c r="F2733" s="0" t="n">
        <v>81.032679</v>
      </c>
      <c r="G2733" s="0" t="n">
        <v>1700.912941</v>
      </c>
      <c r="I2733" s="0" t="n">
        <v>2029</v>
      </c>
      <c r="J2733" s="0" t="n">
        <v>18.76</v>
      </c>
      <c r="K2733" s="0" t="n">
        <v>393.96</v>
      </c>
      <c r="M2733" s="0" t="n">
        <v>2035</v>
      </c>
      <c r="N2733" s="0" t="n">
        <v>1.88</v>
      </c>
      <c r="O2733" s="0" t="n">
        <v>39.08</v>
      </c>
      <c r="W2733" s="0" t="n">
        <v>2035</v>
      </c>
      <c r="X2733" s="0" t="n">
        <v>611.088</v>
      </c>
    </row>
    <row r="2734" customFormat="false" ht="15" hidden="false" customHeight="false" outlineLevel="0" collapsed="false">
      <c r="A2734" s="0" t="n">
        <v>2034</v>
      </c>
      <c r="B2734" s="0" t="n">
        <v>46.71940119</v>
      </c>
      <c r="C2734" s="0" t="n">
        <v>981.1074249</v>
      </c>
      <c r="E2734" s="0" t="n">
        <v>2035</v>
      </c>
      <c r="F2734" s="0" t="n">
        <v>11.382453</v>
      </c>
      <c r="G2734" s="0" t="n">
        <v>238.922887</v>
      </c>
      <c r="I2734" s="0" t="n">
        <v>2029</v>
      </c>
      <c r="J2734" s="0" t="n">
        <v>8.04</v>
      </c>
      <c r="K2734" s="0" t="n">
        <v>168.84</v>
      </c>
      <c r="M2734" s="0" t="n">
        <v>2035</v>
      </c>
      <c r="N2734" s="0" t="n">
        <v>0.94</v>
      </c>
      <c r="O2734" s="0" t="n">
        <v>19.54</v>
      </c>
      <c r="W2734" s="0" t="n">
        <v>2035</v>
      </c>
      <c r="X2734" s="0" t="n">
        <v>1082.135</v>
      </c>
    </row>
    <row r="2735" customFormat="false" ht="15" hidden="false" customHeight="false" outlineLevel="0" collapsed="false">
      <c r="A2735" s="0" t="n">
        <v>2034</v>
      </c>
      <c r="B2735" s="0" t="n">
        <v>14.62480401</v>
      </c>
      <c r="C2735" s="0" t="n">
        <v>307.1208841</v>
      </c>
      <c r="E2735" s="0" t="n">
        <v>2035</v>
      </c>
      <c r="F2735" s="0" t="n">
        <v>272.097693</v>
      </c>
      <c r="G2735" s="0" t="n">
        <v>5711.454847</v>
      </c>
      <c r="I2735" s="0" t="n">
        <v>2029</v>
      </c>
      <c r="J2735" s="0" t="n">
        <v>8.04</v>
      </c>
      <c r="K2735" s="0" t="n">
        <v>168.84</v>
      </c>
      <c r="M2735" s="0" t="n">
        <v>2035</v>
      </c>
      <c r="N2735" s="0" t="n">
        <v>67.26</v>
      </c>
      <c r="O2735" s="0" t="n">
        <v>1410.18</v>
      </c>
      <c r="W2735" s="0" t="n">
        <v>2035</v>
      </c>
      <c r="X2735" s="0" t="n">
        <v>483.778</v>
      </c>
    </row>
    <row r="2736" customFormat="false" ht="15" hidden="false" customHeight="false" outlineLevel="0" collapsed="false">
      <c r="A2736" s="0" t="n">
        <v>2034</v>
      </c>
      <c r="B2736" s="0" t="n">
        <v>32.70016802</v>
      </c>
      <c r="C2736" s="0" t="n">
        <v>686.7035284</v>
      </c>
      <c r="E2736" s="0" t="n">
        <v>2035</v>
      </c>
      <c r="F2736" s="0" t="n">
        <v>12.737961</v>
      </c>
      <c r="G2736" s="0" t="n">
        <v>267.375619</v>
      </c>
      <c r="I2736" s="0" t="n">
        <v>2029</v>
      </c>
      <c r="J2736" s="0" t="n">
        <v>16.64</v>
      </c>
      <c r="K2736" s="0" t="n">
        <v>351</v>
      </c>
      <c r="M2736" s="0" t="n">
        <v>2035</v>
      </c>
      <c r="N2736" s="0" t="n">
        <v>44.25</v>
      </c>
      <c r="O2736" s="0" t="n">
        <v>927.75</v>
      </c>
      <c r="W2736" s="0" t="n">
        <v>2035</v>
      </c>
      <c r="X2736" s="0" t="n">
        <v>190.965</v>
      </c>
    </row>
    <row r="2737" customFormat="false" ht="15" hidden="false" customHeight="false" outlineLevel="0" collapsed="false">
      <c r="A2737" s="0" t="n">
        <v>2034</v>
      </c>
      <c r="B2737" s="0" t="n">
        <v>194.3950793</v>
      </c>
      <c r="C2737" s="0" t="n">
        <v>4082.296665</v>
      </c>
      <c r="E2737" s="0" t="n">
        <v>2035</v>
      </c>
      <c r="F2737" s="0" t="n">
        <v>69.650226</v>
      </c>
      <c r="G2737" s="0" t="n">
        <v>1461.990054</v>
      </c>
      <c r="I2737" s="0" t="n">
        <v>2029</v>
      </c>
      <c r="J2737" s="0" t="n">
        <v>2.56</v>
      </c>
      <c r="K2737" s="0" t="n">
        <v>54</v>
      </c>
      <c r="M2737" s="0" t="n">
        <v>2035</v>
      </c>
      <c r="N2737" s="0" t="n">
        <v>17.7</v>
      </c>
      <c r="O2737" s="0" t="n">
        <v>371.1</v>
      </c>
      <c r="W2737" s="0" t="n">
        <v>2035</v>
      </c>
      <c r="X2737" s="0" t="n">
        <v>280.082</v>
      </c>
    </row>
    <row r="2738" customFormat="false" ht="15" hidden="false" customHeight="false" outlineLevel="0" collapsed="false">
      <c r="A2738" s="0" t="n">
        <v>2034</v>
      </c>
      <c r="B2738" s="0" t="n">
        <v>49.03218733</v>
      </c>
      <c r="C2738" s="0" t="n">
        <v>1029.675934</v>
      </c>
      <c r="E2738" s="0" t="n">
        <v>2035</v>
      </c>
      <c r="F2738" s="0" t="n">
        <v>63.688338</v>
      </c>
      <c r="G2738" s="0" t="n">
        <v>1336.847302</v>
      </c>
      <c r="I2738" s="0" t="n">
        <v>2029</v>
      </c>
      <c r="J2738" s="0" t="n">
        <v>1.92</v>
      </c>
      <c r="K2738" s="0" t="n">
        <v>40.5</v>
      </c>
      <c r="M2738" s="0" t="n">
        <v>2035</v>
      </c>
      <c r="N2738" s="0" t="n">
        <v>17.7</v>
      </c>
      <c r="O2738" s="0" t="n">
        <v>371.1</v>
      </c>
      <c r="W2738" s="0" t="n">
        <v>2035</v>
      </c>
      <c r="X2738" s="0" t="n">
        <v>216.427</v>
      </c>
    </row>
    <row r="2739" customFormat="false" ht="15" hidden="false" customHeight="false" outlineLevel="0" collapsed="false">
      <c r="A2739" s="0" t="n">
        <v>2034</v>
      </c>
      <c r="B2739" s="0" t="n">
        <v>43.72472575</v>
      </c>
      <c r="C2739" s="0" t="n">
        <v>918.2192407</v>
      </c>
      <c r="E2739" s="0" t="n">
        <v>2035</v>
      </c>
      <c r="F2739" s="0" t="n">
        <v>238.986285</v>
      </c>
      <c r="G2739" s="0" t="n">
        <v>5009.460903</v>
      </c>
      <c r="I2739" s="0" t="n">
        <v>2029</v>
      </c>
      <c r="J2739" s="0" t="n">
        <v>3.2</v>
      </c>
      <c r="K2739" s="0" t="n">
        <v>67.5</v>
      </c>
      <c r="M2739" s="0" t="n">
        <v>2035</v>
      </c>
      <c r="N2739" s="0" t="n">
        <v>10.62</v>
      </c>
      <c r="O2739" s="0" t="n">
        <v>222.66</v>
      </c>
      <c r="W2739" s="0" t="n">
        <v>2035</v>
      </c>
      <c r="X2739" s="0" t="n">
        <v>8059.38</v>
      </c>
    </row>
    <row r="2740" customFormat="false" ht="15" hidden="false" customHeight="false" outlineLevel="0" collapsed="false">
      <c r="A2740" s="0" t="n">
        <v>2034</v>
      </c>
      <c r="B2740" s="0" t="n">
        <v>30.40795544</v>
      </c>
      <c r="C2740" s="0" t="n">
        <v>638.5670641</v>
      </c>
      <c r="E2740" s="0" t="n">
        <v>2035</v>
      </c>
      <c r="F2740" s="0" t="n">
        <v>64.170465</v>
      </c>
      <c r="G2740" s="0" t="n">
        <v>1345.095747</v>
      </c>
      <c r="I2740" s="0" t="n">
        <v>2029</v>
      </c>
      <c r="J2740" s="0" t="n">
        <v>0.64</v>
      </c>
      <c r="K2740" s="0" t="n">
        <v>13.5</v>
      </c>
      <c r="M2740" s="0" t="n">
        <v>2035</v>
      </c>
      <c r="N2740" s="0" t="n">
        <v>8.85</v>
      </c>
      <c r="O2740" s="0" t="n">
        <v>185.55</v>
      </c>
      <c r="W2740" s="0" t="n">
        <v>2035</v>
      </c>
      <c r="X2740" s="0" t="n">
        <v>2014.845</v>
      </c>
    </row>
    <row r="2741" customFormat="false" ht="15" hidden="false" customHeight="false" outlineLevel="0" collapsed="false">
      <c r="A2741" s="0" t="n">
        <v>2034</v>
      </c>
      <c r="B2741" s="0" t="n">
        <v>22.61845385</v>
      </c>
      <c r="C2741" s="0" t="n">
        <v>474.9875308</v>
      </c>
      <c r="E2741" s="0" t="n">
        <v>2035</v>
      </c>
      <c r="F2741" s="0" t="n">
        <v>25.685205</v>
      </c>
      <c r="G2741" s="0" t="n">
        <v>538.395039</v>
      </c>
      <c r="I2741" s="0" t="n">
        <v>2029</v>
      </c>
      <c r="J2741" s="0" t="n">
        <v>0.64</v>
      </c>
      <c r="K2741" s="0" t="n">
        <v>13.5</v>
      </c>
      <c r="M2741" s="0" t="n">
        <v>2035</v>
      </c>
      <c r="N2741" s="0" t="n">
        <v>7.08</v>
      </c>
      <c r="O2741" s="0" t="n">
        <v>148.44</v>
      </c>
      <c r="W2741" s="0" t="n">
        <v>2035</v>
      </c>
      <c r="X2741" s="0" t="n">
        <v>623.952</v>
      </c>
    </row>
    <row r="2742" customFormat="false" ht="15" hidden="false" customHeight="false" outlineLevel="0" collapsed="false">
      <c r="A2742" s="0" t="n">
        <v>2034</v>
      </c>
      <c r="B2742" s="0" t="n">
        <v>10.05264616</v>
      </c>
      <c r="C2742" s="0" t="n">
        <v>211.1055693</v>
      </c>
      <c r="E2742" s="0" t="n">
        <v>2035</v>
      </c>
      <c r="F2742" s="0" t="n">
        <v>3.607935</v>
      </c>
      <c r="G2742" s="0" t="n">
        <v>75.626973</v>
      </c>
      <c r="I2742" s="0" t="n">
        <v>2029</v>
      </c>
      <c r="J2742" s="0" t="n">
        <v>0</v>
      </c>
      <c r="K2742" s="0" t="n">
        <v>0</v>
      </c>
      <c r="M2742" s="0" t="n">
        <v>2035</v>
      </c>
      <c r="N2742" s="0" t="n">
        <v>3.54</v>
      </c>
      <c r="O2742" s="0" t="n">
        <v>74.22</v>
      </c>
      <c r="W2742" s="0" t="n">
        <v>2035</v>
      </c>
      <c r="X2742" s="0" t="n">
        <v>1104.915</v>
      </c>
    </row>
    <row r="2743" customFormat="false" ht="15" hidden="false" customHeight="false" outlineLevel="0" collapsed="false">
      <c r="A2743" s="0" t="n">
        <v>2034</v>
      </c>
      <c r="B2743" s="0" t="n">
        <v>37.13024563</v>
      </c>
      <c r="C2743" s="0" t="n">
        <v>779.7351583</v>
      </c>
      <c r="E2743" s="0" t="n">
        <v>2035</v>
      </c>
      <c r="F2743" s="0" t="n">
        <v>86.247735</v>
      </c>
      <c r="G2743" s="0" t="n">
        <v>1807.863813</v>
      </c>
      <c r="I2743" s="0" t="n">
        <v>2029</v>
      </c>
      <c r="J2743" s="0" t="n">
        <v>1.28</v>
      </c>
      <c r="K2743" s="0" t="n">
        <v>27</v>
      </c>
      <c r="M2743" s="0" t="n">
        <v>2035</v>
      </c>
      <c r="N2743" s="0" t="n">
        <v>7.6</v>
      </c>
      <c r="O2743" s="0" t="n">
        <v>155.04</v>
      </c>
      <c r="W2743" s="0" t="n">
        <v>2035</v>
      </c>
      <c r="X2743" s="0" t="n">
        <v>493.962</v>
      </c>
    </row>
    <row r="2744" customFormat="false" ht="15" hidden="false" customHeight="false" outlineLevel="0" collapsed="false">
      <c r="A2744" s="0" t="n">
        <v>2034</v>
      </c>
      <c r="B2744" s="0" t="n">
        <v>11.62306347</v>
      </c>
      <c r="C2744" s="0" t="n">
        <v>244.0843328</v>
      </c>
      <c r="E2744" s="0" t="n">
        <v>2035</v>
      </c>
      <c r="F2744" s="0" t="n">
        <v>4.037595</v>
      </c>
      <c r="G2744" s="0" t="n">
        <v>84.633201</v>
      </c>
      <c r="I2744" s="0" t="n">
        <v>2029</v>
      </c>
      <c r="J2744" s="0" t="n">
        <v>2.24</v>
      </c>
      <c r="K2744" s="0" t="n">
        <v>47.25</v>
      </c>
      <c r="M2744" s="0" t="n">
        <v>2035</v>
      </c>
      <c r="N2744" s="0" t="n">
        <v>5</v>
      </c>
      <c r="O2744" s="0" t="n">
        <v>102</v>
      </c>
      <c r="W2744" s="0" t="n">
        <v>2035</v>
      </c>
      <c r="X2744" s="0" t="n">
        <v>194.985</v>
      </c>
    </row>
    <row r="2745" customFormat="false" ht="15" hidden="false" customHeight="false" outlineLevel="0" collapsed="false">
      <c r="A2745" s="0" t="n">
        <v>2034</v>
      </c>
      <c r="B2745" s="0" t="n">
        <v>25.98845961</v>
      </c>
      <c r="C2745" s="0" t="n">
        <v>545.7576519</v>
      </c>
      <c r="E2745" s="0" t="n">
        <v>2035</v>
      </c>
      <c r="F2745" s="0" t="n">
        <v>22.07727</v>
      </c>
      <c r="G2745" s="0" t="n">
        <v>462.768066</v>
      </c>
      <c r="I2745" s="0" t="n">
        <v>2029</v>
      </c>
      <c r="J2745" s="0" t="n">
        <v>0.64</v>
      </c>
      <c r="K2745" s="0" t="n">
        <v>13.5</v>
      </c>
      <c r="M2745" s="0" t="n">
        <v>2035</v>
      </c>
      <c r="N2745" s="0" t="n">
        <v>2</v>
      </c>
      <c r="O2745" s="0" t="n">
        <v>40.8</v>
      </c>
      <c r="W2745" s="0" t="n">
        <v>2035</v>
      </c>
      <c r="X2745" s="0" t="n">
        <v>285.978</v>
      </c>
    </row>
    <row r="2746" customFormat="false" ht="15" hidden="false" customHeight="false" outlineLevel="0" collapsed="false">
      <c r="A2746" s="0" t="n">
        <v>2034</v>
      </c>
      <c r="B2746" s="0" t="n">
        <v>274.7342905</v>
      </c>
      <c r="C2746" s="0" t="n">
        <v>5769.4201</v>
      </c>
      <c r="E2746" s="0" t="n">
        <v>2035</v>
      </c>
      <c r="F2746" s="0" t="n">
        <v>20.18751</v>
      </c>
      <c r="G2746" s="0" t="n">
        <v>423.156258</v>
      </c>
      <c r="I2746" s="0" t="n">
        <v>2029</v>
      </c>
      <c r="J2746" s="0" t="n">
        <v>2.24</v>
      </c>
      <c r="K2746" s="0" t="n">
        <v>47.25</v>
      </c>
      <c r="M2746" s="0" t="n">
        <v>2035</v>
      </c>
      <c r="N2746" s="0" t="n">
        <v>2</v>
      </c>
      <c r="O2746" s="0" t="n">
        <v>40.8</v>
      </c>
      <c r="W2746" s="0" t="n">
        <v>2035</v>
      </c>
      <c r="X2746" s="0" t="n">
        <v>220.983</v>
      </c>
    </row>
    <row r="2747" customFormat="false" ht="15" hidden="false" customHeight="false" outlineLevel="0" collapsed="false">
      <c r="A2747" s="0" t="n">
        <v>2034</v>
      </c>
      <c r="B2747" s="0" t="n">
        <v>69.29611205</v>
      </c>
      <c r="C2747" s="0" t="n">
        <v>1455.218353</v>
      </c>
      <c r="E2747" s="0" t="n">
        <v>2035</v>
      </c>
      <c r="F2747" s="0" t="n">
        <v>570.997339</v>
      </c>
      <c r="G2747" s="0" t="n">
        <v>11982.20699</v>
      </c>
      <c r="I2747" s="0" t="n">
        <v>2029</v>
      </c>
      <c r="J2747" s="0" t="n">
        <v>103.2</v>
      </c>
      <c r="K2747" s="0" t="n">
        <v>2165.76</v>
      </c>
      <c r="M2747" s="0" t="n">
        <v>2035</v>
      </c>
      <c r="N2747" s="0" t="n">
        <v>1.2</v>
      </c>
      <c r="O2747" s="0" t="n">
        <v>24.48</v>
      </c>
      <c r="W2747" s="0" t="n">
        <v>2035</v>
      </c>
      <c r="X2747" s="0" t="n">
        <v>73928.8</v>
      </c>
    </row>
    <row r="2748" customFormat="false" ht="15" hidden="false" customHeight="false" outlineLevel="0" collapsed="false">
      <c r="A2748" s="0" t="n">
        <v>2034</v>
      </c>
      <c r="B2748" s="0" t="n">
        <v>61.79519332</v>
      </c>
      <c r="C2748" s="0" t="n">
        <v>1297.69906</v>
      </c>
      <c r="E2748" s="0" t="n">
        <v>2035</v>
      </c>
      <c r="F2748" s="0" t="n">
        <v>153.319111</v>
      </c>
      <c r="G2748" s="0" t="n">
        <v>3217.355314</v>
      </c>
      <c r="I2748" s="0" t="n">
        <v>2029</v>
      </c>
      <c r="J2748" s="0" t="n">
        <v>34.4</v>
      </c>
      <c r="K2748" s="0" t="n">
        <v>721.92</v>
      </c>
      <c r="M2748" s="0" t="n">
        <v>2035</v>
      </c>
      <c r="N2748" s="0" t="n">
        <v>1</v>
      </c>
      <c r="O2748" s="0" t="n">
        <v>20.4</v>
      </c>
      <c r="W2748" s="0" t="n">
        <v>2035</v>
      </c>
      <c r="X2748" s="0" t="n">
        <v>18482.2</v>
      </c>
    </row>
    <row r="2749" customFormat="false" ht="15" hidden="false" customHeight="false" outlineLevel="0" collapsed="false">
      <c r="A2749" s="0" t="n">
        <v>2034</v>
      </c>
      <c r="B2749" s="0" t="n">
        <v>42.97489469</v>
      </c>
      <c r="C2749" s="0" t="n">
        <v>902.4727886</v>
      </c>
      <c r="E2749" s="0" t="n">
        <v>2035</v>
      </c>
      <c r="F2749" s="0" t="n">
        <v>61.368307</v>
      </c>
      <c r="G2749" s="0" t="n">
        <v>1287.795418</v>
      </c>
      <c r="I2749" s="0" t="n">
        <v>2029</v>
      </c>
      <c r="J2749" s="0" t="n">
        <v>15.05</v>
      </c>
      <c r="K2749" s="0" t="n">
        <v>315.84</v>
      </c>
      <c r="M2749" s="0" t="n">
        <v>2035</v>
      </c>
      <c r="N2749" s="0" t="n">
        <v>0.8</v>
      </c>
      <c r="O2749" s="0" t="n">
        <v>16.32</v>
      </c>
      <c r="W2749" s="0" t="n">
        <v>2035</v>
      </c>
      <c r="X2749" s="0" t="n">
        <v>5723.52</v>
      </c>
    </row>
    <row r="2750" customFormat="false" ht="15" hidden="false" customHeight="false" outlineLevel="0" collapsed="false">
      <c r="A2750" s="0" t="n">
        <v>2034</v>
      </c>
      <c r="B2750" s="0" t="n">
        <v>31.96616341</v>
      </c>
      <c r="C2750" s="0" t="n">
        <v>671.2894315</v>
      </c>
      <c r="E2750" s="0" t="n">
        <v>2035</v>
      </c>
      <c r="F2750" s="0" t="n">
        <v>8.620249</v>
      </c>
      <c r="G2750" s="0" t="n">
        <v>180.893326</v>
      </c>
      <c r="I2750" s="0" t="n">
        <v>2029</v>
      </c>
      <c r="J2750" s="0" t="n">
        <v>8.6</v>
      </c>
      <c r="K2750" s="0" t="n">
        <v>180.48</v>
      </c>
      <c r="M2750" s="0" t="n">
        <v>2035</v>
      </c>
      <c r="N2750" s="0" t="n">
        <v>0.4</v>
      </c>
      <c r="O2750" s="0" t="n">
        <v>8.16</v>
      </c>
      <c r="W2750" s="0" t="n">
        <v>2035</v>
      </c>
      <c r="X2750" s="0" t="n">
        <v>10135.4</v>
      </c>
    </row>
    <row r="2751" customFormat="false" ht="15" hidden="false" customHeight="false" outlineLevel="0" collapsed="false">
      <c r="A2751" s="0" t="n">
        <v>2034</v>
      </c>
      <c r="B2751" s="0" t="n">
        <v>14.20718374</v>
      </c>
      <c r="C2751" s="0" t="n">
        <v>298.3508585</v>
      </c>
      <c r="E2751" s="0" t="n">
        <v>2035</v>
      </c>
      <c r="F2751" s="0" t="n">
        <v>206.067169</v>
      </c>
      <c r="G2751" s="0" t="n">
        <v>4324.257406</v>
      </c>
      <c r="I2751" s="0" t="n">
        <v>2029</v>
      </c>
      <c r="J2751" s="0" t="n">
        <v>8.6</v>
      </c>
      <c r="K2751" s="0" t="n">
        <v>180.48</v>
      </c>
      <c r="M2751" s="0" t="n">
        <v>2035</v>
      </c>
      <c r="N2751" s="0" t="n">
        <v>20.9</v>
      </c>
      <c r="O2751" s="0" t="n">
        <v>432.44</v>
      </c>
      <c r="W2751" s="0" t="n">
        <v>2035</v>
      </c>
      <c r="X2751" s="0" t="n">
        <v>4531.12</v>
      </c>
    </row>
    <row r="2752" customFormat="false" ht="15" hidden="false" customHeight="false" outlineLevel="0" collapsed="false">
      <c r="A2752" s="0" t="n">
        <v>2034</v>
      </c>
      <c r="B2752" s="0" t="n">
        <v>52.4753596</v>
      </c>
      <c r="C2752" s="0" t="n">
        <v>1101.982552</v>
      </c>
      <c r="E2752" s="0" t="n">
        <v>2035</v>
      </c>
      <c r="F2752" s="0" t="n">
        <v>9.646813</v>
      </c>
      <c r="G2752" s="0" t="n">
        <v>202.435462</v>
      </c>
      <c r="I2752" s="0" t="n">
        <v>2029</v>
      </c>
      <c r="J2752" s="0" t="n">
        <v>4.3</v>
      </c>
      <c r="K2752" s="0" t="n">
        <v>90.24</v>
      </c>
      <c r="M2752" s="0" t="n">
        <v>2035</v>
      </c>
      <c r="N2752" s="0" t="n">
        <v>13.75</v>
      </c>
      <c r="O2752" s="0" t="n">
        <v>284.5</v>
      </c>
      <c r="W2752" s="0" t="n">
        <v>2035</v>
      </c>
      <c r="X2752" s="0" t="n">
        <v>1788.6</v>
      </c>
    </row>
    <row r="2753" customFormat="false" ht="15" hidden="false" customHeight="false" outlineLevel="0" collapsed="false">
      <c r="A2753" s="0" t="n">
        <v>2034</v>
      </c>
      <c r="B2753" s="0" t="n">
        <v>16.42661999</v>
      </c>
      <c r="C2753" s="0" t="n">
        <v>344.9590197</v>
      </c>
      <c r="E2753" s="0" t="n">
        <v>2035</v>
      </c>
      <c r="F2753" s="0" t="n">
        <v>52.748058</v>
      </c>
      <c r="G2753" s="0" t="n">
        <v>1106.902092</v>
      </c>
      <c r="I2753" s="0" t="n">
        <v>2029</v>
      </c>
      <c r="J2753" s="0" t="n">
        <v>4.3</v>
      </c>
      <c r="K2753" s="0" t="n">
        <v>90.24</v>
      </c>
      <c r="M2753" s="0" t="n">
        <v>2035</v>
      </c>
      <c r="N2753" s="0" t="n">
        <v>5.5</v>
      </c>
      <c r="O2753" s="0" t="n">
        <v>113.8</v>
      </c>
      <c r="W2753" s="0" t="n">
        <v>2035</v>
      </c>
      <c r="X2753" s="0" t="n">
        <v>2623.28</v>
      </c>
    </row>
    <row r="2754" customFormat="false" ht="15" hidden="false" customHeight="false" outlineLevel="0" collapsed="false">
      <c r="A2754" s="0" t="n">
        <v>2034</v>
      </c>
      <c r="B2754" s="0" t="n">
        <v>36.72891844</v>
      </c>
      <c r="C2754" s="0" t="n">
        <v>771.3072872</v>
      </c>
      <c r="E2754" s="0" t="n">
        <v>2035</v>
      </c>
      <c r="F2754" s="0" t="n">
        <v>48.232954</v>
      </c>
      <c r="G2754" s="0" t="n">
        <v>1012.153996</v>
      </c>
      <c r="I2754" s="0" t="n">
        <v>2029</v>
      </c>
      <c r="J2754" s="0" t="n">
        <v>8.6</v>
      </c>
      <c r="K2754" s="0" t="n">
        <v>180.48</v>
      </c>
      <c r="M2754" s="0" t="n">
        <v>2035</v>
      </c>
      <c r="N2754" s="0" t="n">
        <v>5.5</v>
      </c>
      <c r="O2754" s="0" t="n">
        <v>113.8</v>
      </c>
      <c r="W2754" s="0" t="n">
        <v>2035</v>
      </c>
      <c r="X2754" s="0" t="n">
        <v>2027.08</v>
      </c>
    </row>
    <row r="2755" customFormat="false" ht="15" hidden="false" customHeight="false" outlineLevel="0" collapsed="false">
      <c r="A2755" s="0" t="n">
        <v>2034</v>
      </c>
      <c r="B2755" s="0" t="n">
        <v>345.3618139</v>
      </c>
      <c r="C2755" s="0" t="n">
        <v>7252.598091</v>
      </c>
      <c r="E2755" s="0" t="n">
        <v>2035</v>
      </c>
      <c r="F2755" s="0" t="n">
        <v>1605.062727</v>
      </c>
      <c r="G2755" s="0" t="n">
        <v>33705.80332</v>
      </c>
      <c r="I2755" s="0" t="n">
        <v>2029</v>
      </c>
      <c r="J2755" s="0" t="n">
        <v>15.05</v>
      </c>
      <c r="K2755" s="0" t="n">
        <v>315.84</v>
      </c>
      <c r="M2755" s="0" t="n">
        <v>2035</v>
      </c>
      <c r="N2755" s="0" t="n">
        <v>3.3</v>
      </c>
      <c r="O2755" s="0" t="n">
        <v>68.28</v>
      </c>
      <c r="W2755" s="0" t="n">
        <v>2035</v>
      </c>
      <c r="X2755" s="0" t="n">
        <v>10754.52</v>
      </c>
    </row>
    <row r="2756" customFormat="false" ht="15" hidden="false" customHeight="false" outlineLevel="0" collapsed="false">
      <c r="A2756" s="0" t="n">
        <v>2034</v>
      </c>
      <c r="B2756" s="0" t="n">
        <v>87.11046194</v>
      </c>
      <c r="C2756" s="0" t="n">
        <v>1829.319701</v>
      </c>
      <c r="E2756" s="0" t="n">
        <v>2035</v>
      </c>
      <c r="F2756" s="0" t="n">
        <v>430.977123</v>
      </c>
      <c r="G2756" s="0" t="n">
        <v>9050.381582</v>
      </c>
      <c r="I2756" s="0" t="n">
        <v>2029</v>
      </c>
      <c r="J2756" s="0" t="n">
        <v>6.45</v>
      </c>
      <c r="K2756" s="0" t="n">
        <v>135.36</v>
      </c>
      <c r="M2756" s="0" t="n">
        <v>2035</v>
      </c>
      <c r="N2756" s="0" t="n">
        <v>2.75</v>
      </c>
      <c r="O2756" s="0" t="n">
        <v>56.9</v>
      </c>
      <c r="W2756" s="0" t="n">
        <v>2035</v>
      </c>
      <c r="X2756" s="0" t="n">
        <v>2688.63</v>
      </c>
    </row>
    <row r="2757" customFormat="false" ht="15" hidden="false" customHeight="false" outlineLevel="0" collapsed="false">
      <c r="A2757" s="0" t="n">
        <v>2034</v>
      </c>
      <c r="B2757" s="0" t="n">
        <v>77.6812389</v>
      </c>
      <c r="C2757" s="0" t="n">
        <v>1631.306017</v>
      </c>
      <c r="E2757" s="0" t="n">
        <v>2035</v>
      </c>
      <c r="F2757" s="0" t="n">
        <v>172.505151</v>
      </c>
      <c r="G2757" s="0" t="n">
        <v>3622.552934</v>
      </c>
      <c r="I2757" s="0" t="n">
        <v>2029</v>
      </c>
      <c r="J2757" s="0" t="n">
        <v>6.45</v>
      </c>
      <c r="K2757" s="0" t="n">
        <v>135.36</v>
      </c>
      <c r="M2757" s="0" t="n">
        <v>2035</v>
      </c>
      <c r="N2757" s="0" t="n">
        <v>2.2</v>
      </c>
      <c r="O2757" s="0" t="n">
        <v>45.52</v>
      </c>
      <c r="W2757" s="0" t="n">
        <v>2035</v>
      </c>
      <c r="X2757" s="0" t="n">
        <v>832.608</v>
      </c>
    </row>
    <row r="2758" customFormat="false" ht="15" hidden="false" customHeight="false" outlineLevel="0" collapsed="false">
      <c r="A2758" s="0" t="n">
        <v>2034</v>
      </c>
      <c r="B2758" s="0" t="n">
        <v>54.02269792</v>
      </c>
      <c r="C2758" s="0" t="n">
        <v>1134.476656</v>
      </c>
      <c r="E2758" s="0" t="n">
        <v>2035</v>
      </c>
      <c r="F2758" s="0" t="n">
        <v>24.231357</v>
      </c>
      <c r="G2758" s="0" t="n">
        <v>508.850738</v>
      </c>
      <c r="I2758" s="0" t="n">
        <v>2029</v>
      </c>
      <c r="J2758" s="0" t="n">
        <v>40.56</v>
      </c>
      <c r="K2758" s="0" t="n">
        <v>853.84</v>
      </c>
      <c r="M2758" s="0" t="n">
        <v>2035</v>
      </c>
      <c r="N2758" s="0" t="n">
        <v>1.1</v>
      </c>
      <c r="O2758" s="0" t="n">
        <v>22.76</v>
      </c>
      <c r="W2758" s="0" t="n">
        <v>2035</v>
      </c>
      <c r="X2758" s="0" t="n">
        <v>1474.41</v>
      </c>
    </row>
    <row r="2759" customFormat="false" ht="15" hidden="false" customHeight="false" outlineLevel="0" collapsed="false">
      <c r="A2759" s="0" t="n">
        <v>2034</v>
      </c>
      <c r="B2759" s="0" t="n">
        <v>40.1838888</v>
      </c>
      <c r="C2759" s="0" t="n">
        <v>843.8616647</v>
      </c>
      <c r="E2759" s="0" t="n">
        <v>2035</v>
      </c>
      <c r="F2759" s="0" t="n">
        <v>579.250917</v>
      </c>
      <c r="G2759" s="0" t="n">
        <v>12164.08378</v>
      </c>
      <c r="I2759" s="0" t="n">
        <v>2029</v>
      </c>
      <c r="J2759" s="0" t="n">
        <v>6.24</v>
      </c>
      <c r="K2759" s="0" t="n">
        <v>131.36</v>
      </c>
      <c r="M2759" s="0" t="n">
        <v>2035</v>
      </c>
      <c r="N2759" s="0" t="n">
        <v>12.92</v>
      </c>
      <c r="O2759" s="0" t="n">
        <v>269.42</v>
      </c>
      <c r="W2759" s="0" t="n">
        <v>2035</v>
      </c>
      <c r="X2759" s="0" t="n">
        <v>659.148</v>
      </c>
    </row>
    <row r="2760" customFormat="false" ht="15" hidden="false" customHeight="false" outlineLevel="0" collapsed="false">
      <c r="A2760" s="0" t="n">
        <v>2034</v>
      </c>
      <c r="B2760" s="0" t="n">
        <v>17.85950613</v>
      </c>
      <c r="C2760" s="0" t="n">
        <v>375.0496288</v>
      </c>
      <c r="E2760" s="0" t="n">
        <v>2035</v>
      </c>
      <c r="F2760" s="0" t="n">
        <v>27.117009</v>
      </c>
      <c r="G2760" s="0" t="n">
        <v>569.448506</v>
      </c>
      <c r="I2760" s="0" t="n">
        <v>2029</v>
      </c>
      <c r="J2760" s="0" t="n">
        <v>4.68</v>
      </c>
      <c r="K2760" s="0" t="n">
        <v>98.52</v>
      </c>
      <c r="M2760" s="0" t="n">
        <v>2035</v>
      </c>
      <c r="N2760" s="0" t="n">
        <v>8.5</v>
      </c>
      <c r="O2760" s="0" t="n">
        <v>177.25</v>
      </c>
      <c r="W2760" s="0" t="n">
        <v>2035</v>
      </c>
      <c r="X2760" s="0" t="n">
        <v>260.19</v>
      </c>
    </row>
    <row r="2761" customFormat="false" ht="15" hidden="false" customHeight="false" outlineLevel="0" collapsed="false">
      <c r="A2761" s="0" t="n">
        <v>2034</v>
      </c>
      <c r="B2761" s="0" t="n">
        <v>65.96550195</v>
      </c>
      <c r="C2761" s="0" t="n">
        <v>1385.275541</v>
      </c>
      <c r="E2761" s="0" t="n">
        <v>2035</v>
      </c>
      <c r="F2761" s="0" t="n">
        <v>148.273794</v>
      </c>
      <c r="G2761" s="0" t="n">
        <v>3113.702196</v>
      </c>
      <c r="I2761" s="0" t="n">
        <v>2029</v>
      </c>
      <c r="J2761" s="0" t="n">
        <v>7.8</v>
      </c>
      <c r="K2761" s="0" t="n">
        <v>164.2</v>
      </c>
      <c r="M2761" s="0" t="n">
        <v>2035</v>
      </c>
      <c r="N2761" s="0" t="n">
        <v>3.4</v>
      </c>
      <c r="O2761" s="0" t="n">
        <v>70.9</v>
      </c>
      <c r="W2761" s="0" t="n">
        <v>2035</v>
      </c>
      <c r="X2761" s="0" t="n">
        <v>381.612</v>
      </c>
    </row>
    <row r="2762" customFormat="false" ht="15" hidden="false" customHeight="false" outlineLevel="0" collapsed="false">
      <c r="A2762" s="0" t="n">
        <v>2034</v>
      </c>
      <c r="B2762" s="0" t="n">
        <v>20.64950562</v>
      </c>
      <c r="C2762" s="0" t="n">
        <v>433.6396179</v>
      </c>
      <c r="E2762" s="0" t="n">
        <v>2035</v>
      </c>
      <c r="F2762" s="0" t="n">
        <v>135.581922</v>
      </c>
      <c r="G2762" s="0" t="n">
        <v>2847.176948</v>
      </c>
      <c r="I2762" s="0" t="n">
        <v>2029</v>
      </c>
      <c r="J2762" s="0" t="n">
        <v>1.56</v>
      </c>
      <c r="K2762" s="0" t="n">
        <v>32.84</v>
      </c>
      <c r="M2762" s="0" t="n">
        <v>2035</v>
      </c>
      <c r="N2762" s="0" t="n">
        <v>3.4</v>
      </c>
      <c r="O2762" s="0" t="n">
        <v>70.9</v>
      </c>
      <c r="W2762" s="0" t="n">
        <v>2035</v>
      </c>
      <c r="X2762" s="0" t="n">
        <v>294.882</v>
      </c>
    </row>
    <row r="2763" customFormat="false" ht="15" hidden="false" customHeight="false" outlineLevel="0" collapsed="false">
      <c r="A2763" s="0" t="n">
        <v>2034</v>
      </c>
      <c r="B2763" s="0" t="n">
        <v>46.17103265</v>
      </c>
      <c r="C2763" s="0" t="n">
        <v>969.5916856</v>
      </c>
      <c r="E2763" s="0" t="n">
        <v>2035</v>
      </c>
      <c r="F2763" s="0" t="n">
        <v>856.239034</v>
      </c>
      <c r="G2763" s="0" t="n">
        <v>17973.82443</v>
      </c>
      <c r="I2763" s="0" t="n">
        <v>2029</v>
      </c>
      <c r="J2763" s="0" t="n">
        <v>1.56</v>
      </c>
      <c r="K2763" s="0" t="n">
        <v>32.84</v>
      </c>
      <c r="M2763" s="0" t="n">
        <v>2035</v>
      </c>
      <c r="N2763" s="0" t="n">
        <v>2.04</v>
      </c>
      <c r="O2763" s="0" t="n">
        <v>42.54</v>
      </c>
      <c r="W2763" s="0" t="n">
        <v>2035</v>
      </c>
      <c r="X2763" s="0" t="n">
        <v>11570.44</v>
      </c>
    </row>
    <row r="2764" customFormat="false" ht="15" hidden="false" customHeight="false" outlineLevel="0" collapsed="false">
      <c r="A2764" s="0" t="n">
        <v>2034</v>
      </c>
      <c r="B2764" s="0" t="n">
        <v>1127.394666</v>
      </c>
      <c r="C2764" s="0" t="n">
        <v>23675.28798</v>
      </c>
      <c r="E2764" s="0" t="n">
        <v>2035</v>
      </c>
      <c r="F2764" s="0" t="n">
        <v>229.909666</v>
      </c>
      <c r="G2764" s="0" t="n">
        <v>4826.170972</v>
      </c>
      <c r="I2764" s="0" t="n">
        <v>2029</v>
      </c>
      <c r="J2764" s="0" t="n">
        <v>0</v>
      </c>
      <c r="K2764" s="0" t="n">
        <v>0</v>
      </c>
      <c r="M2764" s="0" t="n">
        <v>2035</v>
      </c>
      <c r="N2764" s="0" t="n">
        <v>1.7</v>
      </c>
      <c r="O2764" s="0" t="n">
        <v>35.45</v>
      </c>
      <c r="W2764" s="0" t="n">
        <v>2035</v>
      </c>
      <c r="X2764" s="0" t="n">
        <v>2892.61</v>
      </c>
    </row>
    <row r="2765" customFormat="false" ht="15" hidden="false" customHeight="false" outlineLevel="0" collapsed="false">
      <c r="A2765" s="0" t="n">
        <v>2034</v>
      </c>
      <c r="B2765" s="0" t="n">
        <v>284.3622722</v>
      </c>
      <c r="C2765" s="0" t="n">
        <v>5971.607715</v>
      </c>
      <c r="E2765" s="0" t="n">
        <v>2035</v>
      </c>
      <c r="F2765" s="0" t="n">
        <v>92.024842</v>
      </c>
      <c r="G2765" s="0" t="n">
        <v>1931.748364</v>
      </c>
      <c r="I2765" s="0" t="n">
        <v>2029</v>
      </c>
      <c r="J2765" s="0" t="n">
        <v>3.12</v>
      </c>
      <c r="K2765" s="0" t="n">
        <v>65.68</v>
      </c>
      <c r="M2765" s="0" t="n">
        <v>2035</v>
      </c>
      <c r="N2765" s="0" t="n">
        <v>1.36</v>
      </c>
      <c r="O2765" s="0" t="n">
        <v>28.36</v>
      </c>
      <c r="W2765" s="0" t="n">
        <v>2035</v>
      </c>
      <c r="X2765" s="0" t="n">
        <v>895.776</v>
      </c>
    </row>
    <row r="2766" customFormat="false" ht="15" hidden="false" customHeight="false" outlineLevel="0" collapsed="false">
      <c r="A2766" s="0" t="n">
        <v>2034</v>
      </c>
      <c r="B2766" s="0" t="n">
        <v>253.5816377</v>
      </c>
      <c r="C2766" s="0" t="n">
        <v>5325.214391</v>
      </c>
      <c r="E2766" s="0" t="n">
        <v>2035</v>
      </c>
      <c r="F2766" s="0" t="n">
        <v>12.926494</v>
      </c>
      <c r="G2766" s="0" t="n">
        <v>271.347748</v>
      </c>
      <c r="I2766" s="0" t="n">
        <v>2029</v>
      </c>
      <c r="J2766" s="0" t="n">
        <v>5.46</v>
      </c>
      <c r="K2766" s="0" t="n">
        <v>114.94</v>
      </c>
      <c r="M2766" s="0" t="n">
        <v>2035</v>
      </c>
      <c r="N2766" s="0" t="n">
        <v>0.68</v>
      </c>
      <c r="O2766" s="0" t="n">
        <v>14.18</v>
      </c>
      <c r="W2766" s="0" t="n">
        <v>2035</v>
      </c>
      <c r="X2766" s="0" t="n">
        <v>1586.27</v>
      </c>
    </row>
    <row r="2767" customFormat="false" ht="15" hidden="false" customHeight="false" outlineLevel="0" collapsed="false">
      <c r="A2767" s="0" t="n">
        <v>2034</v>
      </c>
      <c r="B2767" s="0" t="n">
        <v>176.3510006</v>
      </c>
      <c r="C2767" s="0" t="n">
        <v>3703.371013</v>
      </c>
      <c r="E2767" s="0" t="n">
        <v>2035</v>
      </c>
      <c r="F2767" s="0" t="n">
        <v>309.008014</v>
      </c>
      <c r="G2767" s="0" t="n">
        <v>6486.571588</v>
      </c>
      <c r="I2767" s="0" t="n">
        <v>2029</v>
      </c>
      <c r="J2767" s="0" t="n">
        <v>1.56</v>
      </c>
      <c r="K2767" s="0" t="n">
        <v>32.84</v>
      </c>
      <c r="M2767" s="0" t="n">
        <v>2035</v>
      </c>
      <c r="N2767" s="0" t="n">
        <v>2.28</v>
      </c>
      <c r="O2767" s="0" t="n">
        <v>45.98</v>
      </c>
      <c r="W2767" s="0" t="n">
        <v>2035</v>
      </c>
      <c r="X2767" s="0" t="n">
        <v>709.156</v>
      </c>
    </row>
    <row r="2768" customFormat="false" ht="15" hidden="false" customHeight="false" outlineLevel="0" collapsed="false">
      <c r="A2768" s="0" t="n">
        <v>2034</v>
      </c>
      <c r="B2768" s="0" t="n">
        <v>131.17577</v>
      </c>
      <c r="C2768" s="0" t="n">
        <v>2754.69117</v>
      </c>
      <c r="E2768" s="0" t="n">
        <v>2035</v>
      </c>
      <c r="F2768" s="0" t="n">
        <v>14.465878</v>
      </c>
      <c r="G2768" s="0" t="n">
        <v>303.661876</v>
      </c>
      <c r="I2768" s="0" t="n">
        <v>2029</v>
      </c>
      <c r="J2768" s="0" t="n">
        <v>5.46</v>
      </c>
      <c r="K2768" s="0" t="n">
        <v>114.94</v>
      </c>
      <c r="M2768" s="0" t="n">
        <v>2035</v>
      </c>
      <c r="N2768" s="0" t="n">
        <v>1.5</v>
      </c>
      <c r="O2768" s="0" t="n">
        <v>30.25</v>
      </c>
      <c r="W2768" s="0" t="n">
        <v>2035</v>
      </c>
      <c r="X2768" s="0" t="n">
        <v>279.93</v>
      </c>
    </row>
    <row r="2769" customFormat="false" ht="15" hidden="false" customHeight="false" outlineLevel="0" collapsed="false">
      <c r="A2769" s="0" t="n">
        <v>2034</v>
      </c>
      <c r="B2769" s="0" t="n">
        <v>58.30034223</v>
      </c>
      <c r="C2769" s="0" t="n">
        <v>1224.307187</v>
      </c>
      <c r="E2769" s="0" t="n">
        <v>2035</v>
      </c>
      <c r="F2769" s="0" t="n">
        <v>79.098348</v>
      </c>
      <c r="G2769" s="0" t="n">
        <v>1660.400616</v>
      </c>
      <c r="I2769" s="0" t="n">
        <v>2029</v>
      </c>
      <c r="J2769" s="0" t="n">
        <v>1009.92</v>
      </c>
      <c r="K2769" s="0" t="n">
        <v>21211.68</v>
      </c>
      <c r="M2769" s="0" t="n">
        <v>2035</v>
      </c>
      <c r="N2769" s="0" t="n">
        <v>0.6</v>
      </c>
      <c r="O2769" s="0" t="n">
        <v>12.1</v>
      </c>
      <c r="W2769" s="0" t="n">
        <v>2035</v>
      </c>
      <c r="X2769" s="0" t="n">
        <v>410.564</v>
      </c>
    </row>
    <row r="2770" customFormat="false" ht="15" hidden="false" customHeight="false" outlineLevel="0" collapsed="false">
      <c r="A2770" s="0" t="n">
        <v>2034</v>
      </c>
      <c r="B2770" s="0" t="n">
        <v>215.3369366</v>
      </c>
      <c r="C2770" s="0" t="n">
        <v>4522.075668</v>
      </c>
      <c r="E2770" s="0" t="n">
        <v>2035</v>
      </c>
      <c r="F2770" s="0" t="n">
        <v>72.327724</v>
      </c>
      <c r="G2770" s="0" t="n">
        <v>1518.274408</v>
      </c>
      <c r="I2770" s="0" t="n">
        <v>2029</v>
      </c>
      <c r="J2770" s="0" t="n">
        <v>336.64</v>
      </c>
      <c r="K2770" s="0" t="n">
        <v>7070.56</v>
      </c>
      <c r="M2770" s="0" t="n">
        <v>2035</v>
      </c>
      <c r="N2770" s="0" t="n">
        <v>0.6</v>
      </c>
      <c r="O2770" s="0" t="n">
        <v>12.1</v>
      </c>
      <c r="W2770" s="0" t="n">
        <v>2035</v>
      </c>
      <c r="X2770" s="0" t="n">
        <v>317.254</v>
      </c>
    </row>
    <row r="2771" customFormat="false" ht="15" hidden="false" customHeight="false" outlineLevel="0" collapsed="false">
      <c r="A2771" s="0" t="n">
        <v>2034</v>
      </c>
      <c r="B2771" s="0" t="n">
        <v>67.40798068</v>
      </c>
      <c r="C2771" s="0" t="n">
        <v>1415.567594</v>
      </c>
      <c r="E2771" s="0" t="n">
        <v>2035</v>
      </c>
      <c r="F2771" s="0" t="n">
        <v>418.868435</v>
      </c>
      <c r="G2771" s="0" t="n">
        <v>8790.583696</v>
      </c>
      <c r="I2771" s="0" t="n">
        <v>2029</v>
      </c>
      <c r="J2771" s="0" t="n">
        <v>147.28</v>
      </c>
      <c r="K2771" s="0" t="n">
        <v>3093.37</v>
      </c>
      <c r="M2771" s="0" t="n">
        <v>2035</v>
      </c>
      <c r="N2771" s="0" t="n">
        <v>0.36</v>
      </c>
      <c r="O2771" s="0" t="n">
        <v>7.26</v>
      </c>
      <c r="W2771" s="0" t="n">
        <v>2035</v>
      </c>
      <c r="X2771" s="0" t="n">
        <v>3113.02</v>
      </c>
    </row>
    <row r="2772" customFormat="false" ht="15" hidden="false" customHeight="false" outlineLevel="0" collapsed="false">
      <c r="A2772" s="0" t="n">
        <v>2034</v>
      </c>
      <c r="B2772" s="0" t="n">
        <v>150.7201254</v>
      </c>
      <c r="C2772" s="0" t="n">
        <v>3165.122634</v>
      </c>
      <c r="E2772" s="0" t="n">
        <v>2035</v>
      </c>
      <c r="F2772" s="0" t="n">
        <v>112.470815</v>
      </c>
      <c r="G2772" s="0" t="n">
        <v>2360.369104</v>
      </c>
      <c r="I2772" s="0" t="n">
        <v>2029</v>
      </c>
      <c r="J2772" s="0" t="n">
        <v>84.16</v>
      </c>
      <c r="K2772" s="0" t="n">
        <v>1767.64</v>
      </c>
      <c r="M2772" s="0" t="n">
        <v>2035</v>
      </c>
      <c r="N2772" s="0" t="n">
        <v>0.3</v>
      </c>
      <c r="O2772" s="0" t="n">
        <v>6.05</v>
      </c>
      <c r="W2772" s="0" t="n">
        <v>2035</v>
      </c>
      <c r="X2772" s="0" t="n">
        <v>778.255</v>
      </c>
    </row>
    <row r="2773" customFormat="false" ht="15" hidden="false" customHeight="false" outlineLevel="0" collapsed="false">
      <c r="A2773" s="0" t="n">
        <v>2034</v>
      </c>
      <c r="B2773" s="0" t="n">
        <v>200.1382036</v>
      </c>
      <c r="C2773" s="0" t="n">
        <v>4202.902276</v>
      </c>
      <c r="E2773" s="0" t="n">
        <v>2035</v>
      </c>
      <c r="F2773" s="0" t="n">
        <v>45.018155</v>
      </c>
      <c r="G2773" s="0" t="n">
        <v>944.773648</v>
      </c>
      <c r="I2773" s="0" t="n">
        <v>2029</v>
      </c>
      <c r="J2773" s="0" t="n">
        <v>84.16</v>
      </c>
      <c r="K2773" s="0" t="n">
        <v>1767.64</v>
      </c>
      <c r="M2773" s="0" t="n">
        <v>2035</v>
      </c>
      <c r="N2773" s="0" t="n">
        <v>0.24</v>
      </c>
      <c r="O2773" s="0" t="n">
        <v>4.84</v>
      </c>
      <c r="W2773" s="0" t="n">
        <v>2035</v>
      </c>
      <c r="X2773" s="0" t="n">
        <v>241.008</v>
      </c>
    </row>
    <row r="2774" customFormat="false" ht="15" hidden="false" customHeight="false" outlineLevel="0" collapsed="false">
      <c r="A2774" s="0" t="n">
        <v>2034</v>
      </c>
      <c r="B2774" s="0" t="n">
        <v>50.48077311</v>
      </c>
      <c r="C2774" s="0" t="n">
        <v>1060.096235</v>
      </c>
      <c r="E2774" s="0" t="n">
        <v>2035</v>
      </c>
      <c r="F2774" s="0" t="n">
        <v>6.323585</v>
      </c>
      <c r="G2774" s="0" t="n">
        <v>132.709936</v>
      </c>
      <c r="I2774" s="0" t="n">
        <v>2029</v>
      </c>
      <c r="J2774" s="0" t="n">
        <v>42.08</v>
      </c>
      <c r="K2774" s="0" t="n">
        <v>883.82</v>
      </c>
      <c r="M2774" s="0" t="n">
        <v>2035</v>
      </c>
      <c r="N2774" s="0" t="n">
        <v>0.12</v>
      </c>
      <c r="O2774" s="0" t="n">
        <v>2.42</v>
      </c>
      <c r="W2774" s="0" t="n">
        <v>2035</v>
      </c>
      <c r="X2774" s="0" t="n">
        <v>426.785</v>
      </c>
    </row>
    <row r="2775" customFormat="false" ht="15" hidden="false" customHeight="false" outlineLevel="0" collapsed="false">
      <c r="A2775" s="0" t="n">
        <v>2034</v>
      </c>
      <c r="B2775" s="0" t="n">
        <v>45.01651017</v>
      </c>
      <c r="C2775" s="0" t="n">
        <v>945.3467137</v>
      </c>
      <c r="E2775" s="0" t="n">
        <v>2035</v>
      </c>
      <c r="F2775" s="0" t="n">
        <v>151.165385</v>
      </c>
      <c r="G2775" s="0" t="n">
        <v>3172.432816</v>
      </c>
      <c r="I2775" s="0" t="n">
        <v>2029</v>
      </c>
      <c r="J2775" s="0" t="n">
        <v>42.08</v>
      </c>
      <c r="K2775" s="0" t="n">
        <v>883.82</v>
      </c>
      <c r="M2775" s="0" t="n">
        <v>2035</v>
      </c>
      <c r="N2775" s="0" t="n">
        <v>10.26</v>
      </c>
      <c r="O2775" s="0" t="n">
        <v>208.62</v>
      </c>
      <c r="W2775" s="0" t="n">
        <v>2035</v>
      </c>
      <c r="X2775" s="0" t="n">
        <v>190.798</v>
      </c>
    </row>
    <row r="2776" customFormat="false" ht="15" hidden="false" customHeight="false" outlineLevel="0" collapsed="false">
      <c r="A2776" s="0" t="n">
        <v>2034</v>
      </c>
      <c r="B2776" s="0" t="n">
        <v>31.30631495</v>
      </c>
      <c r="C2776" s="0" t="n">
        <v>657.4326139</v>
      </c>
      <c r="E2776" s="0" t="n">
        <v>2035</v>
      </c>
      <c r="F2776" s="0" t="n">
        <v>7.076645</v>
      </c>
      <c r="G2776" s="0" t="n">
        <v>148.514032</v>
      </c>
      <c r="I2776" s="0" t="n">
        <v>2029</v>
      </c>
      <c r="J2776" s="0" t="n">
        <v>84.16</v>
      </c>
      <c r="K2776" s="0" t="n">
        <v>1767.64</v>
      </c>
      <c r="M2776" s="0" t="n">
        <v>2035</v>
      </c>
      <c r="N2776" s="0" t="n">
        <v>6.75</v>
      </c>
      <c r="O2776" s="0" t="n">
        <v>137.25</v>
      </c>
      <c r="W2776" s="0" t="n">
        <v>2035</v>
      </c>
      <c r="X2776" s="0" t="n">
        <v>75.315</v>
      </c>
    </row>
    <row r="2777" customFormat="false" ht="15" hidden="false" customHeight="false" outlineLevel="0" collapsed="false">
      <c r="A2777" s="0" t="n">
        <v>2034</v>
      </c>
      <c r="B2777" s="0" t="n">
        <v>23.28668369</v>
      </c>
      <c r="C2777" s="0" t="n">
        <v>489.0203575</v>
      </c>
      <c r="E2777" s="0" t="n">
        <v>2035</v>
      </c>
      <c r="F2777" s="0" t="n">
        <v>38.69457</v>
      </c>
      <c r="G2777" s="0" t="n">
        <v>812.063712</v>
      </c>
      <c r="I2777" s="0" t="n">
        <v>2029</v>
      </c>
      <c r="J2777" s="0" t="n">
        <v>147.28</v>
      </c>
      <c r="K2777" s="0" t="n">
        <v>3093.37</v>
      </c>
      <c r="M2777" s="0" t="n">
        <v>2035</v>
      </c>
      <c r="N2777" s="0" t="n">
        <v>2.7</v>
      </c>
      <c r="O2777" s="0" t="n">
        <v>54.9</v>
      </c>
      <c r="W2777" s="0" t="n">
        <v>2035</v>
      </c>
      <c r="X2777" s="0" t="n">
        <v>110.462</v>
      </c>
    </row>
    <row r="2778" customFormat="false" ht="15" hidden="false" customHeight="false" outlineLevel="0" collapsed="false">
      <c r="A2778" s="0" t="n">
        <v>2034</v>
      </c>
      <c r="B2778" s="0" t="n">
        <v>10.3496372</v>
      </c>
      <c r="C2778" s="0" t="n">
        <v>217.3423811</v>
      </c>
      <c r="E2778" s="0" t="n">
        <v>2035</v>
      </c>
      <c r="F2778" s="0" t="n">
        <v>35.38241</v>
      </c>
      <c r="G2778" s="0" t="n">
        <v>742.553056</v>
      </c>
      <c r="I2778" s="0" t="n">
        <v>2029</v>
      </c>
      <c r="J2778" s="0" t="n">
        <v>63.12</v>
      </c>
      <c r="K2778" s="0" t="n">
        <v>1325.73</v>
      </c>
      <c r="M2778" s="0" t="n">
        <v>2035</v>
      </c>
      <c r="N2778" s="0" t="n">
        <v>2.7</v>
      </c>
      <c r="O2778" s="0" t="n">
        <v>54.9</v>
      </c>
      <c r="W2778" s="0" t="n">
        <v>2035</v>
      </c>
      <c r="X2778" s="0" t="n">
        <v>85.357</v>
      </c>
    </row>
    <row r="2779" customFormat="false" ht="15" hidden="false" customHeight="false" outlineLevel="0" collapsed="false">
      <c r="A2779" s="0" t="n">
        <v>2034</v>
      </c>
      <c r="B2779" s="0" t="n">
        <v>38.22720559</v>
      </c>
      <c r="C2779" s="0" t="n">
        <v>802.7713174</v>
      </c>
      <c r="E2779" s="0" t="n">
        <v>2035</v>
      </c>
      <c r="F2779" s="0" t="n">
        <v>338.692391</v>
      </c>
      <c r="G2779" s="0" t="n">
        <v>7104.317027</v>
      </c>
      <c r="I2779" s="0" t="n">
        <v>2029</v>
      </c>
      <c r="J2779" s="0" t="n">
        <v>63.12</v>
      </c>
      <c r="K2779" s="0" t="n">
        <v>1325.73</v>
      </c>
      <c r="M2779" s="0" t="n">
        <v>2035</v>
      </c>
      <c r="N2779" s="0" t="n">
        <v>1.62</v>
      </c>
      <c r="O2779" s="0" t="n">
        <v>32.94</v>
      </c>
      <c r="W2779" s="0" t="n">
        <v>2035</v>
      </c>
      <c r="X2779" s="0" t="n">
        <v>7245.32</v>
      </c>
    </row>
    <row r="2780" customFormat="false" ht="15" hidden="false" customHeight="false" outlineLevel="0" collapsed="false">
      <c r="A2780" s="0" t="n">
        <v>2034</v>
      </c>
      <c r="B2780" s="0" t="n">
        <v>11.96645024</v>
      </c>
      <c r="C2780" s="0" t="n">
        <v>251.295455</v>
      </c>
      <c r="E2780" s="0" t="n">
        <v>2035</v>
      </c>
      <c r="F2780" s="0" t="n">
        <v>90.942659</v>
      </c>
      <c r="G2780" s="0" t="n">
        <v>1907.587823</v>
      </c>
      <c r="I2780" s="0" t="n">
        <v>2029</v>
      </c>
      <c r="J2780" s="0" t="n">
        <v>119.08</v>
      </c>
      <c r="K2780" s="0" t="n">
        <v>2496.52</v>
      </c>
      <c r="M2780" s="0" t="n">
        <v>2035</v>
      </c>
      <c r="N2780" s="0" t="n">
        <v>1.35</v>
      </c>
      <c r="O2780" s="0" t="n">
        <v>27.45</v>
      </c>
      <c r="W2780" s="0" t="n">
        <v>2035</v>
      </c>
      <c r="X2780" s="0" t="n">
        <v>1811.33</v>
      </c>
    </row>
    <row r="2781" customFormat="false" ht="15" hidden="false" customHeight="false" outlineLevel="0" collapsed="false">
      <c r="A2781" s="0" t="n">
        <v>2034</v>
      </c>
      <c r="B2781" s="0" t="n">
        <v>26.75625145</v>
      </c>
      <c r="C2781" s="0" t="n">
        <v>561.8812804</v>
      </c>
      <c r="E2781" s="0" t="n">
        <v>2035</v>
      </c>
      <c r="F2781" s="0" t="n">
        <v>36.401183</v>
      </c>
      <c r="G2781" s="0" t="n">
        <v>763.541051</v>
      </c>
      <c r="I2781" s="0" t="n">
        <v>2029</v>
      </c>
      <c r="J2781" s="0" t="n">
        <v>18.32</v>
      </c>
      <c r="K2781" s="0" t="n">
        <v>384.08</v>
      </c>
      <c r="M2781" s="0" t="n">
        <v>2035</v>
      </c>
      <c r="N2781" s="0" t="n">
        <v>1.08</v>
      </c>
      <c r="O2781" s="0" t="n">
        <v>21.96</v>
      </c>
      <c r="W2781" s="0" t="n">
        <v>2035</v>
      </c>
      <c r="X2781" s="0" t="n">
        <v>560.928</v>
      </c>
    </row>
    <row r="2782" customFormat="false" ht="15" hidden="false" customHeight="false" outlineLevel="0" collapsed="false">
      <c r="A2782" s="0" t="n">
        <v>2034</v>
      </c>
      <c r="B2782" s="0" t="n">
        <v>339.2960421</v>
      </c>
      <c r="C2782" s="0" t="n">
        <v>7125.216884</v>
      </c>
      <c r="E2782" s="0" t="n">
        <v>2035</v>
      </c>
      <c r="F2782" s="0" t="n">
        <v>5.113181</v>
      </c>
      <c r="G2782" s="0" t="n">
        <v>107.252657</v>
      </c>
      <c r="I2782" s="0" t="n">
        <v>2029</v>
      </c>
      <c r="J2782" s="0" t="n">
        <v>13.74</v>
      </c>
      <c r="K2782" s="0" t="n">
        <v>288.06</v>
      </c>
      <c r="M2782" s="0" t="n">
        <v>2035</v>
      </c>
      <c r="N2782" s="0" t="n">
        <v>0.54</v>
      </c>
      <c r="O2782" s="0" t="n">
        <v>10.98</v>
      </c>
      <c r="W2782" s="0" t="n">
        <v>2035</v>
      </c>
      <c r="X2782" s="0" t="n">
        <v>993.31</v>
      </c>
    </row>
    <row r="2783" customFormat="false" ht="15" hidden="false" customHeight="false" outlineLevel="0" collapsed="false">
      <c r="A2783" s="0" t="n">
        <v>2034</v>
      </c>
      <c r="B2783" s="0" t="n">
        <v>85.58049493</v>
      </c>
      <c r="C2783" s="0" t="n">
        <v>1797.190394</v>
      </c>
      <c r="E2783" s="0" t="n">
        <v>2035</v>
      </c>
      <c r="F2783" s="0" t="n">
        <v>122.230661</v>
      </c>
      <c r="G2783" s="0" t="n">
        <v>2563.876217</v>
      </c>
      <c r="I2783" s="0" t="n">
        <v>2029</v>
      </c>
      <c r="J2783" s="0" t="n">
        <v>22.9</v>
      </c>
      <c r="K2783" s="0" t="n">
        <v>480.1</v>
      </c>
      <c r="M2783" s="0" t="n">
        <v>2035</v>
      </c>
      <c r="N2783" s="0" t="n">
        <v>34.58</v>
      </c>
      <c r="O2783" s="0" t="n">
        <v>725.8</v>
      </c>
      <c r="W2783" s="0" t="n">
        <v>2035</v>
      </c>
      <c r="X2783" s="0" t="n">
        <v>444.068</v>
      </c>
    </row>
    <row r="2784" customFormat="false" ht="15" hidden="false" customHeight="false" outlineLevel="0" collapsed="false">
      <c r="A2784" s="0" t="n">
        <v>2034</v>
      </c>
      <c r="B2784" s="0" t="n">
        <v>76.31688231</v>
      </c>
      <c r="C2784" s="0" t="n">
        <v>1602.654529</v>
      </c>
      <c r="E2784" s="0" t="n">
        <v>2035</v>
      </c>
      <c r="F2784" s="0" t="n">
        <v>5.722097</v>
      </c>
      <c r="G2784" s="0" t="n">
        <v>120.025109</v>
      </c>
      <c r="I2784" s="0" t="n">
        <v>2029</v>
      </c>
      <c r="J2784" s="0" t="n">
        <v>4.58</v>
      </c>
      <c r="K2784" s="0" t="n">
        <v>96.02</v>
      </c>
      <c r="M2784" s="0" t="n">
        <v>2035</v>
      </c>
      <c r="N2784" s="0" t="n">
        <v>22.75</v>
      </c>
      <c r="O2784" s="0" t="n">
        <v>477.5</v>
      </c>
      <c r="W2784" s="0" t="n">
        <v>2035</v>
      </c>
      <c r="X2784" s="0" t="n">
        <v>175.29</v>
      </c>
    </row>
    <row r="2785" customFormat="false" ht="15" hidden="false" customHeight="false" outlineLevel="0" collapsed="false">
      <c r="A2785" s="0" t="n">
        <v>2034</v>
      </c>
      <c r="B2785" s="0" t="n">
        <v>53.07386877</v>
      </c>
      <c r="C2785" s="0" t="n">
        <v>1114.551244</v>
      </c>
      <c r="E2785" s="0" t="n">
        <v>2035</v>
      </c>
      <c r="F2785" s="0" t="n">
        <v>31.288002</v>
      </c>
      <c r="G2785" s="0" t="n">
        <v>656.288394</v>
      </c>
      <c r="I2785" s="0" t="n">
        <v>2029</v>
      </c>
      <c r="J2785" s="0" t="n">
        <v>4.58</v>
      </c>
      <c r="K2785" s="0" t="n">
        <v>96.02</v>
      </c>
      <c r="M2785" s="0" t="n">
        <v>2035</v>
      </c>
      <c r="N2785" s="0" t="n">
        <v>9.1</v>
      </c>
      <c r="O2785" s="0" t="n">
        <v>191</v>
      </c>
      <c r="W2785" s="0" t="n">
        <v>2035</v>
      </c>
      <c r="X2785" s="0" t="n">
        <v>257.092</v>
      </c>
    </row>
    <row r="2786" customFormat="false" ht="15" hidden="false" customHeight="false" outlineLevel="0" collapsed="false">
      <c r="A2786" s="0" t="n">
        <v>2034</v>
      </c>
      <c r="B2786" s="0" t="n">
        <v>39.47811795</v>
      </c>
      <c r="C2786" s="0" t="n">
        <v>829.040477</v>
      </c>
      <c r="E2786" s="0" t="n">
        <v>2035</v>
      </c>
      <c r="F2786" s="0" t="n">
        <v>28.609826</v>
      </c>
      <c r="G2786" s="0" t="n">
        <v>600.111722</v>
      </c>
      <c r="I2786" s="0" t="n">
        <v>2029</v>
      </c>
      <c r="J2786" s="0" t="n">
        <v>0</v>
      </c>
      <c r="K2786" s="0" t="n">
        <v>0</v>
      </c>
      <c r="M2786" s="0" t="n">
        <v>2035</v>
      </c>
      <c r="N2786" s="0" t="n">
        <v>9.1</v>
      </c>
      <c r="O2786" s="0" t="n">
        <v>191</v>
      </c>
      <c r="W2786" s="0" t="n">
        <v>2035</v>
      </c>
      <c r="X2786" s="0" t="n">
        <v>198.662</v>
      </c>
    </row>
    <row r="2787" customFormat="false" ht="15" hidden="false" customHeight="false" outlineLevel="0" collapsed="false">
      <c r="A2787" s="0" t="n">
        <v>2034</v>
      </c>
      <c r="B2787" s="0" t="n">
        <v>17.5458302</v>
      </c>
      <c r="C2787" s="0" t="n">
        <v>368.4624342</v>
      </c>
      <c r="E2787" s="0" t="n">
        <v>2035</v>
      </c>
      <c r="F2787" s="0" t="n">
        <v>216.886478</v>
      </c>
      <c r="G2787" s="0" t="n">
        <v>4554.102089</v>
      </c>
      <c r="I2787" s="0" t="n">
        <v>2029</v>
      </c>
      <c r="J2787" s="0" t="n">
        <v>9.16</v>
      </c>
      <c r="K2787" s="0" t="n">
        <v>192.04</v>
      </c>
      <c r="M2787" s="0" t="n">
        <v>2035</v>
      </c>
      <c r="N2787" s="0" t="n">
        <v>5.46</v>
      </c>
      <c r="O2787" s="0" t="n">
        <v>114.6</v>
      </c>
      <c r="W2787" s="0" t="n">
        <v>2035</v>
      </c>
      <c r="X2787" s="0" t="n">
        <v>1812.26</v>
      </c>
    </row>
    <row r="2788" customFormat="false" ht="15" hidden="false" customHeight="false" outlineLevel="0" collapsed="false">
      <c r="A2788" s="0" t="n">
        <v>2034</v>
      </c>
      <c r="B2788" s="0" t="n">
        <v>64.80691504</v>
      </c>
      <c r="C2788" s="0" t="n">
        <v>1360.945216</v>
      </c>
      <c r="E2788" s="0" t="n">
        <v>2035</v>
      </c>
      <c r="F2788" s="0" t="n">
        <v>58.236422</v>
      </c>
      <c r="G2788" s="0" t="n">
        <v>1222.826861</v>
      </c>
      <c r="I2788" s="0" t="n">
        <v>2029</v>
      </c>
      <c r="J2788" s="0" t="n">
        <v>16.03</v>
      </c>
      <c r="K2788" s="0" t="n">
        <v>336.07</v>
      </c>
      <c r="M2788" s="0" t="n">
        <v>2035</v>
      </c>
      <c r="N2788" s="0" t="n">
        <v>4.55</v>
      </c>
      <c r="O2788" s="0" t="n">
        <v>95.5</v>
      </c>
      <c r="W2788" s="0" t="n">
        <v>2035</v>
      </c>
      <c r="X2788" s="0" t="n">
        <v>453.065</v>
      </c>
    </row>
    <row r="2789" customFormat="false" ht="15" hidden="false" customHeight="false" outlineLevel="0" collapsed="false">
      <c r="A2789" s="0" t="n">
        <v>2034</v>
      </c>
      <c r="B2789" s="0" t="n">
        <v>20.28682745</v>
      </c>
      <c r="C2789" s="0" t="n">
        <v>426.0233765</v>
      </c>
      <c r="E2789" s="0" t="n">
        <v>2035</v>
      </c>
      <c r="F2789" s="0" t="n">
        <v>23.310014</v>
      </c>
      <c r="G2789" s="0" t="n">
        <v>489.455057</v>
      </c>
      <c r="I2789" s="0" t="n">
        <v>2029</v>
      </c>
      <c r="J2789" s="0" t="n">
        <v>4.58</v>
      </c>
      <c r="K2789" s="0" t="n">
        <v>96.02</v>
      </c>
      <c r="M2789" s="0" t="n">
        <v>2035</v>
      </c>
      <c r="N2789" s="0" t="n">
        <v>3.64</v>
      </c>
      <c r="O2789" s="0" t="n">
        <v>76.4</v>
      </c>
      <c r="W2789" s="0" t="n">
        <v>2035</v>
      </c>
      <c r="X2789" s="0" t="n">
        <v>140.304</v>
      </c>
    </row>
    <row r="2790" customFormat="false" ht="15" hidden="false" customHeight="false" outlineLevel="0" collapsed="false">
      <c r="A2790" s="0" t="n">
        <v>2034</v>
      </c>
      <c r="B2790" s="0" t="n">
        <v>45.36010644</v>
      </c>
      <c r="C2790" s="0" t="n">
        <v>952.5622352</v>
      </c>
      <c r="E2790" s="0" t="n">
        <v>2035</v>
      </c>
      <c r="F2790" s="0" t="n">
        <v>3.274298</v>
      </c>
      <c r="G2790" s="0" t="n">
        <v>68.752499</v>
      </c>
      <c r="I2790" s="0" t="n">
        <v>2029</v>
      </c>
      <c r="J2790" s="0" t="n">
        <v>16.03</v>
      </c>
      <c r="K2790" s="0" t="n">
        <v>336.07</v>
      </c>
      <c r="M2790" s="0" t="n">
        <v>2035</v>
      </c>
      <c r="N2790" s="0" t="n">
        <v>1.82</v>
      </c>
      <c r="O2790" s="0" t="n">
        <v>38.2</v>
      </c>
      <c r="W2790" s="0" t="n">
        <v>2035</v>
      </c>
      <c r="X2790" s="0" t="n">
        <v>248.455</v>
      </c>
    </row>
    <row r="2791" customFormat="false" ht="15" hidden="false" customHeight="false" outlineLevel="0" collapsed="false">
      <c r="A2791" s="0" t="n">
        <v>2034</v>
      </c>
      <c r="B2791" s="0" t="n">
        <v>121.9284655</v>
      </c>
      <c r="C2791" s="0" t="n">
        <v>2560.497775</v>
      </c>
      <c r="E2791" s="0" t="n">
        <v>2035</v>
      </c>
      <c r="F2791" s="0" t="n">
        <v>78.272138</v>
      </c>
      <c r="G2791" s="0" t="n">
        <v>1643.529419</v>
      </c>
      <c r="I2791" s="0" t="n">
        <v>2029</v>
      </c>
      <c r="J2791" s="0" t="n">
        <v>99.84</v>
      </c>
      <c r="K2791" s="0" t="n">
        <v>2092.8</v>
      </c>
      <c r="M2791" s="0" t="n">
        <v>2035</v>
      </c>
      <c r="N2791" s="0" t="n">
        <v>1480.48</v>
      </c>
      <c r="O2791" s="0" t="n">
        <v>31088.56</v>
      </c>
      <c r="W2791" s="0" t="n">
        <v>2035</v>
      </c>
      <c r="X2791" s="0" t="n">
        <v>111.074</v>
      </c>
    </row>
    <row r="2792" customFormat="false" ht="15" hidden="false" customHeight="false" outlineLevel="0" collapsed="false">
      <c r="A2792" s="0" t="n">
        <v>2034</v>
      </c>
      <c r="B2792" s="0" t="n">
        <v>30.75396447</v>
      </c>
      <c r="C2792" s="0" t="n">
        <v>645.8332538</v>
      </c>
      <c r="E2792" s="0" t="n">
        <v>2035</v>
      </c>
      <c r="F2792" s="0" t="n">
        <v>3.664226</v>
      </c>
      <c r="G2792" s="0" t="n">
        <v>76.940063</v>
      </c>
      <c r="I2792" s="0" t="n">
        <v>2029</v>
      </c>
      <c r="J2792" s="0" t="n">
        <v>33.28</v>
      </c>
      <c r="K2792" s="0" t="n">
        <v>697.6</v>
      </c>
      <c r="M2792" s="0" t="n">
        <v>2035</v>
      </c>
      <c r="N2792" s="0" t="n">
        <v>974</v>
      </c>
      <c r="O2792" s="0" t="n">
        <v>20453</v>
      </c>
      <c r="W2792" s="0" t="n">
        <v>2035</v>
      </c>
      <c r="X2792" s="0" t="n">
        <v>43.845</v>
      </c>
    </row>
    <row r="2793" customFormat="false" ht="15" hidden="false" customHeight="false" outlineLevel="0" collapsed="false">
      <c r="A2793" s="0" t="n">
        <v>2034</v>
      </c>
      <c r="B2793" s="0" t="n">
        <v>27.42501885</v>
      </c>
      <c r="C2793" s="0" t="n">
        <v>575.9253959</v>
      </c>
      <c r="E2793" s="0" t="n">
        <v>2035</v>
      </c>
      <c r="F2793" s="0" t="n">
        <v>20.035716</v>
      </c>
      <c r="G2793" s="0" t="n">
        <v>420.702558</v>
      </c>
      <c r="I2793" s="0" t="n">
        <v>2029</v>
      </c>
      <c r="J2793" s="0" t="n">
        <v>14.56</v>
      </c>
      <c r="K2793" s="0" t="n">
        <v>305.2</v>
      </c>
      <c r="M2793" s="0" t="n">
        <v>2035</v>
      </c>
      <c r="N2793" s="0" t="n">
        <v>389.6</v>
      </c>
      <c r="O2793" s="0" t="n">
        <v>8181.2</v>
      </c>
      <c r="W2793" s="0" t="n">
        <v>2035</v>
      </c>
      <c r="X2793" s="0" t="n">
        <v>64.306</v>
      </c>
    </row>
    <row r="2794" customFormat="false" ht="15" hidden="false" customHeight="false" outlineLevel="0" collapsed="false">
      <c r="A2794" s="0" t="n">
        <v>2034</v>
      </c>
      <c r="B2794" s="0" t="n">
        <v>19.07247528</v>
      </c>
      <c r="C2794" s="0" t="n">
        <v>400.521981</v>
      </c>
      <c r="E2794" s="0" t="n">
        <v>2035</v>
      </c>
      <c r="F2794" s="0" t="n">
        <v>18.320708</v>
      </c>
      <c r="G2794" s="0" t="n">
        <v>384.691454</v>
      </c>
      <c r="I2794" s="0" t="n">
        <v>2029</v>
      </c>
      <c r="J2794" s="0" t="n">
        <v>8.32</v>
      </c>
      <c r="K2794" s="0" t="n">
        <v>174.4</v>
      </c>
      <c r="M2794" s="0" t="n">
        <v>2035</v>
      </c>
      <c r="N2794" s="0" t="n">
        <v>389.6</v>
      </c>
      <c r="O2794" s="0" t="n">
        <v>8181.2</v>
      </c>
      <c r="W2794" s="0" t="n">
        <v>2035</v>
      </c>
      <c r="X2794" s="0" t="n">
        <v>49.691</v>
      </c>
    </row>
    <row r="2795" customFormat="false" ht="15" hidden="false" customHeight="false" outlineLevel="0" collapsed="false">
      <c r="A2795" s="0" t="n">
        <v>2034</v>
      </c>
      <c r="B2795" s="0" t="n">
        <v>14.18674475</v>
      </c>
      <c r="C2795" s="0" t="n">
        <v>297.9216397</v>
      </c>
      <c r="E2795" s="0" t="n">
        <v>2035</v>
      </c>
      <c r="F2795" s="0" t="n">
        <v>217.914376</v>
      </c>
      <c r="G2795" s="0" t="n">
        <v>4575.687947</v>
      </c>
      <c r="I2795" s="0" t="n">
        <v>2029</v>
      </c>
      <c r="J2795" s="0" t="n">
        <v>8.32</v>
      </c>
      <c r="K2795" s="0" t="n">
        <v>174.4</v>
      </c>
      <c r="M2795" s="0" t="n">
        <v>2035</v>
      </c>
      <c r="N2795" s="0" t="n">
        <v>233.76</v>
      </c>
      <c r="O2795" s="0" t="n">
        <v>4908.72</v>
      </c>
      <c r="W2795" s="0" t="n">
        <v>2035</v>
      </c>
      <c r="X2795" s="0" t="n">
        <v>3201.68</v>
      </c>
    </row>
    <row r="2796" customFormat="false" ht="15" hidden="false" customHeight="false" outlineLevel="0" collapsed="false">
      <c r="A2796" s="0" t="n">
        <v>2034</v>
      </c>
      <c r="B2796" s="0" t="n">
        <v>6.305219887</v>
      </c>
      <c r="C2796" s="0" t="n">
        <v>132.4096176</v>
      </c>
      <c r="E2796" s="0" t="n">
        <v>2035</v>
      </c>
      <c r="F2796" s="0" t="n">
        <v>58.512424</v>
      </c>
      <c r="G2796" s="0" t="n">
        <v>1228.622903</v>
      </c>
      <c r="I2796" s="0" t="n">
        <v>2029</v>
      </c>
      <c r="J2796" s="0" t="n">
        <v>4.16</v>
      </c>
      <c r="K2796" s="0" t="n">
        <v>87.2</v>
      </c>
      <c r="M2796" s="0" t="n">
        <v>2035</v>
      </c>
      <c r="N2796" s="0" t="n">
        <v>194.8</v>
      </c>
      <c r="O2796" s="0" t="n">
        <v>4090.6</v>
      </c>
      <c r="W2796" s="0" t="n">
        <v>2035</v>
      </c>
      <c r="X2796" s="0" t="n">
        <v>800.42</v>
      </c>
    </row>
    <row r="2797" customFormat="false" ht="15" hidden="false" customHeight="false" outlineLevel="0" collapsed="false">
      <c r="A2797" s="0" t="n">
        <v>2034</v>
      </c>
      <c r="B2797" s="0" t="n">
        <v>23.28882959</v>
      </c>
      <c r="C2797" s="0" t="n">
        <v>489.0654213</v>
      </c>
      <c r="E2797" s="0" t="n">
        <v>2035</v>
      </c>
      <c r="F2797" s="0" t="n">
        <v>23.420488</v>
      </c>
      <c r="G2797" s="0" t="n">
        <v>491.775011</v>
      </c>
      <c r="I2797" s="0" t="n">
        <v>2029</v>
      </c>
      <c r="J2797" s="0" t="n">
        <v>4.16</v>
      </c>
      <c r="K2797" s="0" t="n">
        <v>87.2</v>
      </c>
      <c r="M2797" s="0" t="n">
        <v>2035</v>
      </c>
      <c r="N2797" s="0" t="n">
        <v>155.84</v>
      </c>
      <c r="O2797" s="0" t="n">
        <v>3272.48</v>
      </c>
      <c r="W2797" s="0" t="n">
        <v>2035</v>
      </c>
      <c r="X2797" s="0" t="n">
        <v>247.872</v>
      </c>
    </row>
    <row r="2798" customFormat="false" ht="15" hidden="false" customHeight="false" outlineLevel="0" collapsed="false">
      <c r="A2798" s="0" t="n">
        <v>2034</v>
      </c>
      <c r="B2798" s="0" t="n">
        <v>7.290216902</v>
      </c>
      <c r="C2798" s="0" t="n">
        <v>153.0945549</v>
      </c>
      <c r="E2798" s="0" t="n">
        <v>2035</v>
      </c>
      <c r="F2798" s="0" t="n">
        <v>3.289816</v>
      </c>
      <c r="G2798" s="0" t="n">
        <v>69.078377</v>
      </c>
      <c r="I2798" s="0" t="n">
        <v>2029</v>
      </c>
      <c r="J2798" s="0" t="n">
        <v>8.32</v>
      </c>
      <c r="K2798" s="0" t="n">
        <v>174.4</v>
      </c>
      <c r="M2798" s="0" t="n">
        <v>2035</v>
      </c>
      <c r="N2798" s="0" t="n">
        <v>77.92</v>
      </c>
      <c r="O2798" s="0" t="n">
        <v>1636.24</v>
      </c>
      <c r="W2798" s="0" t="n">
        <v>2035</v>
      </c>
      <c r="X2798" s="0" t="n">
        <v>438.94</v>
      </c>
    </row>
    <row r="2799" customFormat="false" ht="15" hidden="false" customHeight="false" outlineLevel="0" collapsed="false">
      <c r="A2799" s="0" t="n">
        <v>2034</v>
      </c>
      <c r="B2799" s="0" t="n">
        <v>16.30047948</v>
      </c>
      <c r="C2799" s="0" t="n">
        <v>342.3100691</v>
      </c>
      <c r="E2799" s="0" t="n">
        <v>2035</v>
      </c>
      <c r="F2799" s="0" t="n">
        <v>78.643096</v>
      </c>
      <c r="G2799" s="0" t="n">
        <v>1651.319537</v>
      </c>
      <c r="I2799" s="0" t="n">
        <v>2029</v>
      </c>
      <c r="J2799" s="0" t="n">
        <v>14.56</v>
      </c>
      <c r="K2799" s="0" t="n">
        <v>305.2</v>
      </c>
      <c r="M2799" s="0" t="n">
        <v>2035</v>
      </c>
      <c r="N2799" s="0" t="n">
        <v>215.08</v>
      </c>
      <c r="O2799" s="0" t="n">
        <v>4511.36</v>
      </c>
      <c r="W2799" s="0" t="n">
        <v>2035</v>
      </c>
      <c r="X2799" s="0" t="n">
        <v>196.232</v>
      </c>
    </row>
    <row r="2800" customFormat="false" ht="15" hidden="false" customHeight="false" outlineLevel="0" collapsed="false">
      <c r="A2800" s="0" t="n">
        <v>2034</v>
      </c>
      <c r="B2800" s="0" t="n">
        <v>194.298285</v>
      </c>
      <c r="C2800" s="0" t="n">
        <v>4080.263986</v>
      </c>
      <c r="E2800" s="0" t="n">
        <v>2035</v>
      </c>
      <c r="F2800" s="0" t="n">
        <v>3.681592</v>
      </c>
      <c r="G2800" s="0" t="n">
        <v>77.304749</v>
      </c>
      <c r="I2800" s="0" t="n">
        <v>2029</v>
      </c>
      <c r="J2800" s="0" t="n">
        <v>6.24</v>
      </c>
      <c r="K2800" s="0" t="n">
        <v>130.8</v>
      </c>
      <c r="M2800" s="0" t="n">
        <v>2035</v>
      </c>
      <c r="N2800" s="0" t="n">
        <v>141.5</v>
      </c>
      <c r="O2800" s="0" t="n">
        <v>2968</v>
      </c>
      <c r="W2800" s="0" t="n">
        <v>2035</v>
      </c>
      <c r="X2800" s="0" t="n">
        <v>77.46</v>
      </c>
    </row>
    <row r="2801" customFormat="false" ht="15" hidden="false" customHeight="false" outlineLevel="0" collapsed="false">
      <c r="A2801" s="0" t="n">
        <v>2034</v>
      </c>
      <c r="B2801" s="0" t="n">
        <v>49.00777296</v>
      </c>
      <c r="C2801" s="0" t="n">
        <v>1029.163232</v>
      </c>
      <c r="E2801" s="0" t="n">
        <v>2035</v>
      </c>
      <c r="F2801" s="0" t="n">
        <v>20.130672</v>
      </c>
      <c r="G2801" s="0" t="n">
        <v>422.696634</v>
      </c>
      <c r="I2801" s="0" t="n">
        <v>2029</v>
      </c>
      <c r="J2801" s="0" t="n">
        <v>6.24</v>
      </c>
      <c r="K2801" s="0" t="n">
        <v>130.8</v>
      </c>
      <c r="M2801" s="0" t="n">
        <v>2035</v>
      </c>
      <c r="N2801" s="0" t="n">
        <v>56.6</v>
      </c>
      <c r="O2801" s="0" t="n">
        <v>1187.2</v>
      </c>
      <c r="W2801" s="0" t="n">
        <v>2035</v>
      </c>
      <c r="X2801" s="0" t="n">
        <v>113.608</v>
      </c>
    </row>
    <row r="2802" customFormat="false" ht="15" hidden="false" customHeight="false" outlineLevel="0" collapsed="false">
      <c r="A2802" s="0" t="n">
        <v>2034</v>
      </c>
      <c r="B2802" s="0" t="n">
        <v>43.7029541</v>
      </c>
      <c r="C2802" s="0" t="n">
        <v>917.7620361</v>
      </c>
      <c r="E2802" s="0" t="n">
        <v>2035</v>
      </c>
      <c r="F2802" s="0" t="n">
        <v>18.407536</v>
      </c>
      <c r="G2802" s="0" t="n">
        <v>386.514842</v>
      </c>
      <c r="I2802" s="0" t="n">
        <v>2029</v>
      </c>
      <c r="J2802" s="0" t="n">
        <v>29.12</v>
      </c>
      <c r="K2802" s="0" t="n">
        <v>609.96</v>
      </c>
      <c r="M2802" s="0" t="n">
        <v>2035</v>
      </c>
      <c r="N2802" s="0" t="n">
        <v>56.6</v>
      </c>
      <c r="O2802" s="0" t="n">
        <v>1187.2</v>
      </c>
      <c r="W2802" s="0" t="n">
        <v>2035</v>
      </c>
      <c r="X2802" s="0" t="n">
        <v>87.788</v>
      </c>
    </row>
    <row r="2803" customFormat="false" ht="15" hidden="false" customHeight="false" outlineLevel="0" collapsed="false">
      <c r="A2803" s="0" t="n">
        <v>2034</v>
      </c>
      <c r="B2803" s="0" t="n">
        <v>30.39281454</v>
      </c>
      <c r="C2803" s="0" t="n">
        <v>638.2491054</v>
      </c>
      <c r="E2803" s="0" t="n">
        <v>2035</v>
      </c>
      <c r="F2803" s="0" t="n">
        <v>834.139227</v>
      </c>
      <c r="G2803" s="0" t="n">
        <v>17515.38192</v>
      </c>
      <c r="I2803" s="0" t="n">
        <v>2029</v>
      </c>
      <c r="J2803" s="0" t="n">
        <v>4.48</v>
      </c>
      <c r="K2803" s="0" t="n">
        <v>93.84</v>
      </c>
      <c r="M2803" s="0" t="n">
        <v>2035</v>
      </c>
      <c r="N2803" s="0" t="n">
        <v>33.96</v>
      </c>
      <c r="O2803" s="0" t="n">
        <v>712.32</v>
      </c>
      <c r="W2803" s="0" t="n">
        <v>2035</v>
      </c>
      <c r="X2803" s="0" t="n">
        <v>30438.9</v>
      </c>
    </row>
    <row r="2804" customFormat="false" ht="15" hidden="false" customHeight="false" outlineLevel="0" collapsed="false">
      <c r="A2804" s="0" t="n">
        <v>2034</v>
      </c>
      <c r="B2804" s="0" t="n">
        <v>22.60719155</v>
      </c>
      <c r="C2804" s="0" t="n">
        <v>474.7510225</v>
      </c>
      <c r="E2804" s="0" t="n">
        <v>2035</v>
      </c>
      <c r="F2804" s="0" t="n">
        <v>223.975623</v>
      </c>
      <c r="G2804" s="0" t="n">
        <v>4703.07408</v>
      </c>
      <c r="I2804" s="0" t="n">
        <v>2029</v>
      </c>
      <c r="J2804" s="0" t="n">
        <v>3.36</v>
      </c>
      <c r="K2804" s="0" t="n">
        <v>70.38</v>
      </c>
      <c r="M2804" s="0" t="n">
        <v>2035</v>
      </c>
      <c r="N2804" s="0" t="n">
        <v>28.3</v>
      </c>
      <c r="O2804" s="0" t="n">
        <v>593.6</v>
      </c>
      <c r="W2804" s="0" t="n">
        <v>2035</v>
      </c>
      <c r="X2804" s="0" t="n">
        <v>7609.725</v>
      </c>
    </row>
    <row r="2805" customFormat="false" ht="15" hidden="false" customHeight="false" outlineLevel="0" collapsed="false">
      <c r="A2805" s="0" t="n">
        <v>2034</v>
      </c>
      <c r="B2805" s="0" t="n">
        <v>10.04764069</v>
      </c>
      <c r="C2805" s="0" t="n">
        <v>211.0004545</v>
      </c>
      <c r="E2805" s="0" t="n">
        <v>2035</v>
      </c>
      <c r="F2805" s="0" t="n">
        <v>89.649651</v>
      </c>
      <c r="G2805" s="0" t="n">
        <v>1882.47696</v>
      </c>
      <c r="I2805" s="0" t="n">
        <v>2029</v>
      </c>
      <c r="J2805" s="0" t="n">
        <v>5.6</v>
      </c>
      <c r="K2805" s="0" t="n">
        <v>117.3</v>
      </c>
      <c r="M2805" s="0" t="n">
        <v>2035</v>
      </c>
      <c r="N2805" s="0" t="n">
        <v>22.64</v>
      </c>
      <c r="O2805" s="0" t="n">
        <v>474.88</v>
      </c>
      <c r="W2805" s="0" t="n">
        <v>2035</v>
      </c>
      <c r="X2805" s="0" t="n">
        <v>2356.56</v>
      </c>
    </row>
    <row r="2806" customFormat="false" ht="15" hidden="false" customHeight="false" outlineLevel="0" collapsed="false">
      <c r="A2806" s="0" t="n">
        <v>2034</v>
      </c>
      <c r="B2806" s="0" t="n">
        <v>37.11175755</v>
      </c>
      <c r="C2806" s="0" t="n">
        <v>779.3469085</v>
      </c>
      <c r="E2806" s="0" t="n">
        <v>2035</v>
      </c>
      <c r="F2806" s="0" t="n">
        <v>12.592857</v>
      </c>
      <c r="G2806" s="0" t="n">
        <v>264.42672</v>
      </c>
      <c r="I2806" s="0" t="n">
        <v>2029</v>
      </c>
      <c r="J2806" s="0" t="n">
        <v>1.12</v>
      </c>
      <c r="K2806" s="0" t="n">
        <v>23.46</v>
      </c>
      <c r="M2806" s="0" t="n">
        <v>2035</v>
      </c>
      <c r="N2806" s="0" t="n">
        <v>11.32</v>
      </c>
      <c r="O2806" s="0" t="n">
        <v>237.44</v>
      </c>
      <c r="W2806" s="0" t="n">
        <v>2035</v>
      </c>
      <c r="X2806" s="0" t="n">
        <v>4173.075</v>
      </c>
    </row>
    <row r="2807" customFormat="false" ht="15" hidden="false" customHeight="false" outlineLevel="0" collapsed="false">
      <c r="A2807" s="0" t="n">
        <v>2034</v>
      </c>
      <c r="B2807" s="0" t="n">
        <v>11.61727605</v>
      </c>
      <c r="C2807" s="0" t="n">
        <v>243.962797</v>
      </c>
      <c r="E2807" s="0" t="n">
        <v>2035</v>
      </c>
      <c r="F2807" s="0" t="n">
        <v>301.032417</v>
      </c>
      <c r="G2807" s="0" t="n">
        <v>6321.12432</v>
      </c>
      <c r="I2807" s="0" t="n">
        <v>2029</v>
      </c>
      <c r="J2807" s="0" t="n">
        <v>1.12</v>
      </c>
      <c r="K2807" s="0" t="n">
        <v>23.46</v>
      </c>
      <c r="M2807" s="0" t="n">
        <v>2035</v>
      </c>
      <c r="N2807" s="0" t="n">
        <v>265.62</v>
      </c>
      <c r="O2807" s="0" t="n">
        <v>5578.02</v>
      </c>
      <c r="W2807" s="0" t="n">
        <v>2035</v>
      </c>
      <c r="X2807" s="0" t="n">
        <v>1865.61</v>
      </c>
    </row>
    <row r="2808" customFormat="false" ht="15" hidden="false" customHeight="false" outlineLevel="0" collapsed="false">
      <c r="A2808" s="0" t="n">
        <v>2034</v>
      </c>
      <c r="B2808" s="0" t="n">
        <v>25.9755193</v>
      </c>
      <c r="C2808" s="0" t="n">
        <v>545.4859053</v>
      </c>
      <c r="E2808" s="0" t="n">
        <v>2035</v>
      </c>
      <c r="F2808" s="0" t="n">
        <v>14.092509</v>
      </c>
      <c r="G2808" s="0" t="n">
        <v>295.91664</v>
      </c>
      <c r="I2808" s="0" t="n">
        <v>2029</v>
      </c>
      <c r="J2808" s="0" t="n">
        <v>0</v>
      </c>
      <c r="K2808" s="0" t="n">
        <v>0</v>
      </c>
      <c r="M2808" s="0" t="n">
        <v>2035</v>
      </c>
      <c r="N2808" s="0" t="n">
        <v>174.75</v>
      </c>
      <c r="O2808" s="0" t="n">
        <v>3669.75</v>
      </c>
      <c r="W2808" s="0" t="n">
        <v>2035</v>
      </c>
      <c r="X2808" s="0" t="n">
        <v>736.425</v>
      </c>
    </row>
    <row r="2809" customFormat="false" ht="15" hidden="false" customHeight="false" outlineLevel="0" collapsed="false">
      <c r="A2809" s="0" t="n">
        <v>2034</v>
      </c>
      <c r="B2809" s="0" t="n">
        <v>217.5611651</v>
      </c>
      <c r="C2809" s="0" t="n">
        <v>4568.784466</v>
      </c>
      <c r="E2809" s="0" t="n">
        <v>2035</v>
      </c>
      <c r="F2809" s="0" t="n">
        <v>77.056794</v>
      </c>
      <c r="G2809" s="0" t="n">
        <v>1618.05024</v>
      </c>
      <c r="I2809" s="0" t="n">
        <v>2029</v>
      </c>
      <c r="J2809" s="0" t="n">
        <v>2.24</v>
      </c>
      <c r="K2809" s="0" t="n">
        <v>46.92</v>
      </c>
      <c r="M2809" s="0" t="n">
        <v>2035</v>
      </c>
      <c r="N2809" s="0" t="n">
        <v>69.9</v>
      </c>
      <c r="O2809" s="0" t="n">
        <v>1467.9</v>
      </c>
      <c r="W2809" s="0" t="n">
        <v>2035</v>
      </c>
      <c r="X2809" s="0" t="n">
        <v>1080.09</v>
      </c>
    </row>
    <row r="2810" customFormat="false" ht="15" hidden="false" customHeight="false" outlineLevel="0" collapsed="false">
      <c r="A2810" s="0" t="n">
        <v>2034</v>
      </c>
      <c r="B2810" s="0" t="n">
        <v>54.8753592</v>
      </c>
      <c r="C2810" s="0" t="n">
        <v>1152.382543</v>
      </c>
      <c r="E2810" s="0" t="n">
        <v>2035</v>
      </c>
      <c r="F2810" s="0" t="n">
        <v>70.460922</v>
      </c>
      <c r="G2810" s="0" t="n">
        <v>1479.54912</v>
      </c>
      <c r="I2810" s="0" t="n">
        <v>2029</v>
      </c>
      <c r="J2810" s="0" t="n">
        <v>3.92</v>
      </c>
      <c r="K2810" s="0" t="n">
        <v>82.11</v>
      </c>
      <c r="M2810" s="0" t="n">
        <v>2035</v>
      </c>
      <c r="N2810" s="0" t="n">
        <v>69.9</v>
      </c>
      <c r="O2810" s="0" t="n">
        <v>1467.9</v>
      </c>
      <c r="W2810" s="0" t="n">
        <v>2035</v>
      </c>
      <c r="X2810" s="0" t="n">
        <v>834.615</v>
      </c>
    </row>
    <row r="2811" customFormat="false" ht="15" hidden="false" customHeight="false" outlineLevel="0" collapsed="false">
      <c r="A2811" s="0" t="n">
        <v>2034</v>
      </c>
      <c r="B2811" s="0" t="n">
        <v>48.93540676</v>
      </c>
      <c r="C2811" s="0" t="n">
        <v>1027.643542</v>
      </c>
      <c r="E2811" s="0" t="n">
        <v>2035</v>
      </c>
      <c r="F2811" s="0" t="n">
        <v>901.980495</v>
      </c>
      <c r="G2811" s="0" t="n">
        <v>18941.07645</v>
      </c>
      <c r="I2811" s="0" t="n">
        <v>2029</v>
      </c>
      <c r="J2811" s="0" t="n">
        <v>1.12</v>
      </c>
      <c r="K2811" s="0" t="n">
        <v>23.46</v>
      </c>
      <c r="M2811" s="0" t="n">
        <v>2035</v>
      </c>
      <c r="N2811" s="0" t="n">
        <v>41.94</v>
      </c>
      <c r="O2811" s="0" t="n">
        <v>880.74</v>
      </c>
      <c r="W2811" s="0" t="n">
        <v>2035</v>
      </c>
      <c r="X2811" s="0" t="n">
        <v>12073.26</v>
      </c>
    </row>
    <row r="2812" customFormat="false" ht="15" hidden="false" customHeight="false" outlineLevel="0" collapsed="false">
      <c r="A2812" s="0" t="n">
        <v>2034</v>
      </c>
      <c r="B2812" s="0" t="n">
        <v>34.03167527</v>
      </c>
      <c r="C2812" s="0" t="n">
        <v>714.6651807</v>
      </c>
      <c r="E2812" s="0" t="n">
        <v>2035</v>
      </c>
      <c r="F2812" s="0" t="n">
        <v>242.191755</v>
      </c>
      <c r="G2812" s="0" t="n">
        <v>5085.888854</v>
      </c>
      <c r="I2812" s="0" t="n">
        <v>2029</v>
      </c>
      <c r="J2812" s="0" t="n">
        <v>3.92</v>
      </c>
      <c r="K2812" s="0" t="n">
        <v>82.11</v>
      </c>
      <c r="M2812" s="0" t="n">
        <v>2035</v>
      </c>
      <c r="N2812" s="0" t="n">
        <v>34.95</v>
      </c>
      <c r="O2812" s="0" t="n">
        <v>733.95</v>
      </c>
      <c r="W2812" s="0" t="n">
        <v>2035</v>
      </c>
      <c r="X2812" s="0" t="n">
        <v>3018.315</v>
      </c>
    </row>
    <row r="2813" customFormat="false" ht="15" hidden="false" customHeight="false" outlineLevel="0" collapsed="false">
      <c r="A2813" s="0" t="n">
        <v>2034</v>
      </c>
      <c r="B2813" s="0" t="n">
        <v>25.31389781</v>
      </c>
      <c r="C2813" s="0" t="n">
        <v>531.591854</v>
      </c>
      <c r="E2813" s="0" t="n">
        <v>2035</v>
      </c>
      <c r="F2813" s="0" t="n">
        <v>96.940935</v>
      </c>
      <c r="G2813" s="0" t="n">
        <v>2035.704398</v>
      </c>
      <c r="I2813" s="0" t="n">
        <v>2029</v>
      </c>
      <c r="J2813" s="0" t="n">
        <v>242.88</v>
      </c>
      <c r="K2813" s="0" t="n">
        <v>5098.56</v>
      </c>
      <c r="M2813" s="0" t="n">
        <v>2035</v>
      </c>
      <c r="N2813" s="0" t="n">
        <v>27.96</v>
      </c>
      <c r="O2813" s="0" t="n">
        <v>587.16</v>
      </c>
      <c r="W2813" s="0" t="n">
        <v>2035</v>
      </c>
      <c r="X2813" s="0" t="n">
        <v>934.704</v>
      </c>
    </row>
    <row r="2814" customFormat="false" ht="15" hidden="false" customHeight="false" outlineLevel="0" collapsed="false">
      <c r="A2814" s="0" t="n">
        <v>2034</v>
      </c>
      <c r="B2814" s="0" t="n">
        <v>11.25062125</v>
      </c>
      <c r="C2814" s="0" t="n">
        <v>236.2630462</v>
      </c>
      <c r="E2814" s="0" t="n">
        <v>2035</v>
      </c>
      <c r="F2814" s="0" t="n">
        <v>13.617045</v>
      </c>
      <c r="G2814" s="0" t="n">
        <v>285.950186</v>
      </c>
      <c r="I2814" s="0" t="n">
        <v>2029</v>
      </c>
      <c r="J2814" s="0" t="n">
        <v>80.96</v>
      </c>
      <c r="K2814" s="0" t="n">
        <v>1699.52</v>
      </c>
      <c r="M2814" s="0" t="n">
        <v>2035</v>
      </c>
      <c r="N2814" s="0" t="n">
        <v>13.98</v>
      </c>
      <c r="O2814" s="0" t="n">
        <v>293.58</v>
      </c>
      <c r="W2814" s="0" t="n">
        <v>2035</v>
      </c>
      <c r="X2814" s="0" t="n">
        <v>1655.205</v>
      </c>
    </row>
    <row r="2815" customFormat="false" ht="15" hidden="false" customHeight="false" outlineLevel="0" collapsed="false">
      <c r="A2815" s="0" t="n">
        <v>2034</v>
      </c>
      <c r="B2815" s="0" t="n">
        <v>41.55506163</v>
      </c>
      <c r="C2815" s="0" t="n">
        <v>872.6562942</v>
      </c>
      <c r="E2815" s="0" t="n">
        <v>2035</v>
      </c>
      <c r="F2815" s="0" t="n">
        <v>325.515645</v>
      </c>
      <c r="G2815" s="0" t="n">
        <v>6835.643066</v>
      </c>
      <c r="I2815" s="0" t="n">
        <v>2029</v>
      </c>
      <c r="J2815" s="0" t="n">
        <v>35.42</v>
      </c>
      <c r="K2815" s="0" t="n">
        <v>743.54</v>
      </c>
      <c r="M2815" s="0" t="n">
        <v>2035</v>
      </c>
      <c r="N2815" s="0" t="n">
        <v>427.88</v>
      </c>
      <c r="O2815" s="0" t="n">
        <v>8979.78</v>
      </c>
      <c r="W2815" s="0" t="n">
        <v>2035</v>
      </c>
      <c r="X2815" s="0" t="n">
        <v>739.974</v>
      </c>
    </row>
    <row r="2816" customFormat="false" ht="15" hidden="false" customHeight="false" outlineLevel="0" collapsed="false">
      <c r="A2816" s="0" t="n">
        <v>2034</v>
      </c>
      <c r="B2816" s="0" t="n">
        <v>13.00818539</v>
      </c>
      <c r="C2816" s="0" t="n">
        <v>273.1718931</v>
      </c>
      <c r="E2816" s="0" t="n">
        <v>2035</v>
      </c>
      <c r="F2816" s="0" t="n">
        <v>15.238665</v>
      </c>
      <c r="G2816" s="0" t="n">
        <v>320.003282</v>
      </c>
      <c r="I2816" s="0" t="n">
        <v>2029</v>
      </c>
      <c r="J2816" s="0" t="n">
        <v>20.24</v>
      </c>
      <c r="K2816" s="0" t="n">
        <v>424.88</v>
      </c>
      <c r="M2816" s="0" t="n">
        <v>2035</v>
      </c>
      <c r="N2816" s="0" t="n">
        <v>281.5</v>
      </c>
      <c r="O2816" s="0" t="n">
        <v>5907.75</v>
      </c>
      <c r="W2816" s="0" t="n">
        <v>2035</v>
      </c>
      <c r="X2816" s="0" t="n">
        <v>292.095</v>
      </c>
    </row>
    <row r="2817" customFormat="false" ht="15" hidden="false" customHeight="false" outlineLevel="0" collapsed="false">
      <c r="A2817" s="0" t="n">
        <v>2034</v>
      </c>
      <c r="B2817" s="0" t="n">
        <v>29.08550758</v>
      </c>
      <c r="C2817" s="0" t="n">
        <v>610.7956592</v>
      </c>
      <c r="E2817" s="0" t="n">
        <v>2035</v>
      </c>
      <c r="F2817" s="0" t="n">
        <v>83.32389</v>
      </c>
      <c r="G2817" s="0" t="n">
        <v>1749.754212</v>
      </c>
      <c r="I2817" s="0" t="n">
        <v>2029</v>
      </c>
      <c r="J2817" s="0" t="n">
        <v>20.24</v>
      </c>
      <c r="K2817" s="0" t="n">
        <v>424.88</v>
      </c>
      <c r="M2817" s="0" t="n">
        <v>2035</v>
      </c>
      <c r="N2817" s="0" t="n">
        <v>112.6</v>
      </c>
      <c r="O2817" s="0" t="n">
        <v>2363.1</v>
      </c>
      <c r="W2817" s="0" t="n">
        <v>2035</v>
      </c>
      <c r="X2817" s="0" t="n">
        <v>428.406</v>
      </c>
    </row>
    <row r="2818" customFormat="false" ht="15" hidden="false" customHeight="false" outlineLevel="0" collapsed="false">
      <c r="A2818" s="0" t="n">
        <v>2034</v>
      </c>
      <c r="B2818" s="0" t="n">
        <v>131.9950654</v>
      </c>
      <c r="C2818" s="0" t="n">
        <v>2771.896374</v>
      </c>
      <c r="E2818" s="0" t="n">
        <v>2035</v>
      </c>
      <c r="F2818" s="0" t="n">
        <v>76.19157</v>
      </c>
      <c r="G2818" s="0" t="n">
        <v>1599.979556</v>
      </c>
      <c r="I2818" s="0" t="n">
        <v>2029</v>
      </c>
      <c r="J2818" s="0" t="n">
        <v>10.12</v>
      </c>
      <c r="K2818" s="0" t="n">
        <v>212.44</v>
      </c>
      <c r="M2818" s="0" t="n">
        <v>2035</v>
      </c>
      <c r="N2818" s="0" t="n">
        <v>112.6</v>
      </c>
      <c r="O2818" s="0" t="n">
        <v>2363.1</v>
      </c>
      <c r="W2818" s="0" t="n">
        <v>2035</v>
      </c>
      <c r="X2818" s="0" t="n">
        <v>331.041</v>
      </c>
    </row>
    <row r="2819" customFormat="false" ht="15" hidden="false" customHeight="false" outlineLevel="0" collapsed="false">
      <c r="A2819" s="0" t="n">
        <v>2034</v>
      </c>
      <c r="B2819" s="0" t="n">
        <v>33.29305865</v>
      </c>
      <c r="C2819" s="0" t="n">
        <v>699.1542317</v>
      </c>
      <c r="E2819" s="0" t="n">
        <v>2035</v>
      </c>
      <c r="F2819" s="0" t="n">
        <v>301.688063</v>
      </c>
      <c r="G2819" s="0" t="n">
        <v>6328.767986</v>
      </c>
      <c r="I2819" s="0" t="n">
        <v>2029</v>
      </c>
      <c r="J2819" s="0" t="n">
        <v>10.12</v>
      </c>
      <c r="K2819" s="0" t="n">
        <v>212.44</v>
      </c>
      <c r="M2819" s="0" t="n">
        <v>2035</v>
      </c>
      <c r="N2819" s="0" t="n">
        <v>67.56</v>
      </c>
      <c r="O2819" s="0" t="n">
        <v>1417.86</v>
      </c>
      <c r="W2819" s="0" t="n">
        <v>2035</v>
      </c>
      <c r="X2819" s="0" t="n">
        <v>16430</v>
      </c>
    </row>
    <row r="2820" customFormat="false" ht="15" hidden="false" customHeight="false" outlineLevel="0" collapsed="false">
      <c r="A2820" s="0" t="n">
        <v>2034</v>
      </c>
      <c r="B2820" s="0" t="n">
        <v>29.68927021</v>
      </c>
      <c r="C2820" s="0" t="n">
        <v>623.4746745</v>
      </c>
      <c r="E2820" s="0" t="n">
        <v>2035</v>
      </c>
      <c r="F2820" s="0" t="n">
        <v>81.006587</v>
      </c>
      <c r="G2820" s="0" t="n">
        <v>1699.344314</v>
      </c>
      <c r="I2820" s="0" t="n">
        <v>2029</v>
      </c>
      <c r="J2820" s="0" t="n">
        <v>20.24</v>
      </c>
      <c r="K2820" s="0" t="n">
        <v>424.88</v>
      </c>
      <c r="M2820" s="0" t="n">
        <v>2035</v>
      </c>
      <c r="N2820" s="0" t="n">
        <v>56.3</v>
      </c>
      <c r="O2820" s="0" t="n">
        <v>1181.55</v>
      </c>
      <c r="W2820" s="0" t="n">
        <v>2035</v>
      </c>
      <c r="X2820" s="0" t="n">
        <v>4107.5</v>
      </c>
    </row>
    <row r="2821" customFormat="false" ht="15" hidden="false" customHeight="false" outlineLevel="0" collapsed="false">
      <c r="A2821" s="0" t="n">
        <v>2034</v>
      </c>
      <c r="B2821" s="0" t="n">
        <v>20.64712791</v>
      </c>
      <c r="C2821" s="0" t="n">
        <v>433.5896862</v>
      </c>
      <c r="E2821" s="0" t="n">
        <v>2035</v>
      </c>
      <c r="F2821" s="0" t="n">
        <v>32.424119</v>
      </c>
      <c r="G2821" s="0" t="n">
        <v>680.188418</v>
      </c>
      <c r="I2821" s="0" t="n">
        <v>2029</v>
      </c>
      <c r="J2821" s="0" t="n">
        <v>35.42</v>
      </c>
      <c r="K2821" s="0" t="n">
        <v>743.54</v>
      </c>
      <c r="M2821" s="0" t="n">
        <v>2035</v>
      </c>
      <c r="N2821" s="0" t="n">
        <v>45.04</v>
      </c>
      <c r="O2821" s="0" t="n">
        <v>945.24</v>
      </c>
      <c r="W2821" s="0" t="n">
        <v>2035</v>
      </c>
      <c r="X2821" s="0" t="n">
        <v>1272</v>
      </c>
    </row>
    <row r="2822" customFormat="false" ht="15" hidden="false" customHeight="false" outlineLevel="0" collapsed="false">
      <c r="A2822" s="0" t="n">
        <v>2034</v>
      </c>
      <c r="B2822" s="0" t="n">
        <v>15.35802402</v>
      </c>
      <c r="C2822" s="0" t="n">
        <v>322.5185043</v>
      </c>
      <c r="E2822" s="0" t="n">
        <v>2035</v>
      </c>
      <c r="F2822" s="0" t="n">
        <v>4.554533</v>
      </c>
      <c r="G2822" s="0" t="n">
        <v>95.544326</v>
      </c>
      <c r="I2822" s="0" t="n">
        <v>2029</v>
      </c>
      <c r="J2822" s="0" t="n">
        <v>15.18</v>
      </c>
      <c r="K2822" s="0" t="n">
        <v>318.66</v>
      </c>
      <c r="M2822" s="0" t="n">
        <v>2035</v>
      </c>
      <c r="N2822" s="0" t="n">
        <v>22.52</v>
      </c>
      <c r="O2822" s="0" t="n">
        <v>472.62</v>
      </c>
      <c r="W2822" s="0" t="n">
        <v>2035</v>
      </c>
      <c r="X2822" s="0" t="n">
        <v>2252.5</v>
      </c>
    </row>
    <row r="2823" customFormat="false" ht="15" hidden="false" customHeight="false" outlineLevel="0" collapsed="false">
      <c r="A2823" s="0" t="n">
        <v>2034</v>
      </c>
      <c r="B2823" s="0" t="n">
        <v>6.825788452</v>
      </c>
      <c r="C2823" s="0" t="n">
        <v>143.3415575</v>
      </c>
      <c r="E2823" s="0" t="n">
        <v>2035</v>
      </c>
      <c r="F2823" s="0" t="n">
        <v>108.876173</v>
      </c>
      <c r="G2823" s="0" t="n">
        <v>2283.988406</v>
      </c>
      <c r="I2823" s="0" t="n">
        <v>2029</v>
      </c>
      <c r="J2823" s="0" t="n">
        <v>15.18</v>
      </c>
      <c r="K2823" s="0" t="n">
        <v>318.66</v>
      </c>
      <c r="M2823" s="0" t="n">
        <v>2035</v>
      </c>
      <c r="N2823" s="0" t="n">
        <v>27.74</v>
      </c>
      <c r="O2823" s="0" t="n">
        <v>578.74</v>
      </c>
      <c r="W2823" s="0" t="n">
        <v>2035</v>
      </c>
      <c r="X2823" s="0" t="n">
        <v>1007</v>
      </c>
    </row>
    <row r="2824" customFormat="false" ht="15" hidden="false" customHeight="false" outlineLevel="0" collapsed="false">
      <c r="A2824" s="0" t="n">
        <v>2034</v>
      </c>
      <c r="B2824" s="0" t="n">
        <v>25.21159085</v>
      </c>
      <c r="C2824" s="0" t="n">
        <v>529.4434079</v>
      </c>
      <c r="E2824" s="0" t="n">
        <v>2035</v>
      </c>
      <c r="F2824" s="0" t="n">
        <v>5.096921</v>
      </c>
      <c r="G2824" s="0" t="n">
        <v>106.922462</v>
      </c>
      <c r="I2824" s="0" t="n">
        <v>2029</v>
      </c>
      <c r="J2824" s="0" t="n">
        <v>27.04</v>
      </c>
      <c r="K2824" s="0" t="n">
        <v>569.4</v>
      </c>
      <c r="M2824" s="0" t="n">
        <v>2035</v>
      </c>
      <c r="N2824" s="0" t="n">
        <v>18.25</v>
      </c>
      <c r="O2824" s="0" t="n">
        <v>380.75</v>
      </c>
      <c r="W2824" s="0" t="n">
        <v>2035</v>
      </c>
      <c r="X2824" s="0" t="n">
        <v>397.5</v>
      </c>
    </row>
    <row r="2825" customFormat="false" ht="15" hidden="false" customHeight="false" outlineLevel="0" collapsed="false">
      <c r="A2825" s="0" t="n">
        <v>2034</v>
      </c>
      <c r="B2825" s="0" t="n">
        <v>7.892108322</v>
      </c>
      <c r="C2825" s="0" t="n">
        <v>165.7342748</v>
      </c>
      <c r="E2825" s="0" t="n">
        <v>2035</v>
      </c>
      <c r="F2825" s="0" t="n">
        <v>27.869586</v>
      </c>
      <c r="G2825" s="0" t="n">
        <v>584.644092</v>
      </c>
      <c r="I2825" s="0" t="n">
        <v>2029</v>
      </c>
      <c r="J2825" s="0" t="n">
        <v>4.16</v>
      </c>
      <c r="K2825" s="0" t="n">
        <v>87.6</v>
      </c>
      <c r="M2825" s="0" t="n">
        <v>2035</v>
      </c>
      <c r="N2825" s="0" t="n">
        <v>7.3</v>
      </c>
      <c r="O2825" s="0" t="n">
        <v>152.3</v>
      </c>
      <c r="W2825" s="0" t="n">
        <v>2035</v>
      </c>
      <c r="X2825" s="0" t="n">
        <v>583</v>
      </c>
    </row>
    <row r="2826" customFormat="false" ht="15" hidden="false" customHeight="false" outlineLevel="0" collapsed="false">
      <c r="A2826" s="0" t="n">
        <v>2034</v>
      </c>
      <c r="B2826" s="0" t="n">
        <v>17.64627191</v>
      </c>
      <c r="C2826" s="0" t="n">
        <v>370.5717102</v>
      </c>
      <c r="E2826" s="0" t="n">
        <v>2035</v>
      </c>
      <c r="F2826" s="0" t="n">
        <v>25.484018</v>
      </c>
      <c r="G2826" s="0" t="n">
        <v>534.599996</v>
      </c>
      <c r="I2826" s="0" t="n">
        <v>2029</v>
      </c>
      <c r="J2826" s="0" t="n">
        <v>3.12</v>
      </c>
      <c r="K2826" s="0" t="n">
        <v>65.7</v>
      </c>
      <c r="M2826" s="0" t="n">
        <v>2035</v>
      </c>
      <c r="N2826" s="0" t="n">
        <v>7.3</v>
      </c>
      <c r="O2826" s="0" t="n">
        <v>152.3</v>
      </c>
      <c r="W2826" s="0" t="n">
        <v>2035</v>
      </c>
      <c r="X2826" s="0" t="n">
        <v>450.5</v>
      </c>
    </row>
    <row r="2827" customFormat="false" ht="15" hidden="false" customHeight="false" outlineLevel="0" collapsed="false">
      <c r="A2827" s="0" t="n">
        <v>2034</v>
      </c>
      <c r="B2827" s="0" t="n">
        <v>658.2975606</v>
      </c>
      <c r="C2827" s="0" t="n">
        <v>13824.24877</v>
      </c>
      <c r="E2827" s="0" t="n">
        <v>2035</v>
      </c>
      <c r="F2827" s="0" t="n">
        <v>415.784741</v>
      </c>
      <c r="G2827" s="0" t="n">
        <v>8727.881918</v>
      </c>
      <c r="I2827" s="0" t="n">
        <v>2029</v>
      </c>
      <c r="J2827" s="0" t="n">
        <v>5.2</v>
      </c>
      <c r="K2827" s="0" t="n">
        <v>109.5</v>
      </c>
      <c r="M2827" s="0" t="n">
        <v>2035</v>
      </c>
      <c r="N2827" s="0" t="n">
        <v>4.38</v>
      </c>
      <c r="O2827" s="0" t="n">
        <v>91.38</v>
      </c>
      <c r="W2827" s="0" t="n">
        <v>2035</v>
      </c>
      <c r="X2827" s="0" t="n">
        <v>9955.96</v>
      </c>
    </row>
    <row r="2828" customFormat="false" ht="15" hidden="false" customHeight="false" outlineLevel="0" collapsed="false">
      <c r="A2828" s="0" t="n">
        <v>2034</v>
      </c>
      <c r="B2828" s="0" t="n">
        <v>166.0421109</v>
      </c>
      <c r="C2828" s="0" t="n">
        <v>3486.884329</v>
      </c>
      <c r="E2828" s="0" t="n">
        <v>2035</v>
      </c>
      <c r="F2828" s="0" t="n">
        <v>111.642809</v>
      </c>
      <c r="G2828" s="0" t="n">
        <v>2343.532982</v>
      </c>
      <c r="I2828" s="0" t="n">
        <v>2029</v>
      </c>
      <c r="J2828" s="0" t="n">
        <v>1.04</v>
      </c>
      <c r="K2828" s="0" t="n">
        <v>21.9</v>
      </c>
      <c r="M2828" s="0" t="n">
        <v>2035</v>
      </c>
      <c r="N2828" s="0" t="n">
        <v>3.65</v>
      </c>
      <c r="O2828" s="0" t="n">
        <v>76.15</v>
      </c>
      <c r="W2828" s="0" t="n">
        <v>2035</v>
      </c>
      <c r="X2828" s="0" t="n">
        <v>2488.99</v>
      </c>
    </row>
    <row r="2829" customFormat="false" ht="15" hidden="false" customHeight="false" outlineLevel="0" collapsed="false">
      <c r="A2829" s="0" t="n">
        <v>2034</v>
      </c>
      <c r="B2829" s="0" t="n">
        <v>148.0689758</v>
      </c>
      <c r="C2829" s="0" t="n">
        <v>3109.448493</v>
      </c>
      <c r="E2829" s="0" t="n">
        <v>2035</v>
      </c>
      <c r="F2829" s="0" t="n">
        <v>44.686733</v>
      </c>
      <c r="G2829" s="0" t="n">
        <v>938.034734</v>
      </c>
      <c r="I2829" s="0" t="n">
        <v>2029</v>
      </c>
      <c r="J2829" s="0" t="n">
        <v>1.04</v>
      </c>
      <c r="K2829" s="0" t="n">
        <v>21.9</v>
      </c>
      <c r="M2829" s="0" t="n">
        <v>2035</v>
      </c>
      <c r="N2829" s="0" t="n">
        <v>2.92</v>
      </c>
      <c r="O2829" s="0" t="n">
        <v>60.92</v>
      </c>
      <c r="W2829" s="0" t="n">
        <v>2035</v>
      </c>
      <c r="X2829" s="0" t="n">
        <v>770.784</v>
      </c>
    </row>
    <row r="2830" customFormat="false" ht="15" hidden="false" customHeight="false" outlineLevel="0" collapsed="false">
      <c r="A2830" s="0" t="n">
        <v>2034</v>
      </c>
      <c r="B2830" s="0" t="n">
        <v>102.9731975</v>
      </c>
      <c r="C2830" s="0" t="n">
        <v>2162.437147</v>
      </c>
      <c r="E2830" s="0" t="n">
        <v>2035</v>
      </c>
      <c r="F2830" s="0" t="n">
        <v>6.277031</v>
      </c>
      <c r="G2830" s="0" t="n">
        <v>131.763338</v>
      </c>
      <c r="I2830" s="0" t="n">
        <v>2029</v>
      </c>
      <c r="J2830" s="0" t="n">
        <v>0</v>
      </c>
      <c r="K2830" s="0" t="n">
        <v>0</v>
      </c>
      <c r="M2830" s="0" t="n">
        <v>2035</v>
      </c>
      <c r="N2830" s="0" t="n">
        <v>1.46</v>
      </c>
      <c r="O2830" s="0" t="n">
        <v>30.46</v>
      </c>
      <c r="W2830" s="0" t="n">
        <v>2035</v>
      </c>
      <c r="X2830" s="0" t="n">
        <v>1364.93</v>
      </c>
    </row>
    <row r="2831" customFormat="false" ht="15" hidden="false" customHeight="false" outlineLevel="0" collapsed="false">
      <c r="A2831" s="0" t="n">
        <v>2034</v>
      </c>
      <c r="B2831" s="0" t="n">
        <v>76.59490687</v>
      </c>
      <c r="C2831" s="0" t="n">
        <v>1608.493044</v>
      </c>
      <c r="E2831" s="0" t="n">
        <v>2035</v>
      </c>
      <c r="F2831" s="0" t="n">
        <v>150.052511</v>
      </c>
      <c r="G2831" s="0" t="n">
        <v>3149.804378</v>
      </c>
      <c r="I2831" s="0" t="n">
        <v>2029</v>
      </c>
      <c r="J2831" s="0" t="n">
        <v>2.08</v>
      </c>
      <c r="K2831" s="0" t="n">
        <v>43.8</v>
      </c>
      <c r="M2831" s="0" t="n">
        <v>2035</v>
      </c>
      <c r="N2831" s="0" t="n">
        <v>49.02</v>
      </c>
      <c r="O2831" s="0" t="n">
        <v>1022.96</v>
      </c>
      <c r="W2831" s="0" t="n">
        <v>2035</v>
      </c>
      <c r="X2831" s="0" t="n">
        <v>610.204</v>
      </c>
    </row>
    <row r="2832" customFormat="false" ht="15" hidden="false" customHeight="false" outlineLevel="0" collapsed="false">
      <c r="A2832" s="0" t="n">
        <v>2034</v>
      </c>
      <c r="B2832" s="0" t="n">
        <v>34.04218083</v>
      </c>
      <c r="C2832" s="0" t="n">
        <v>714.8857974</v>
      </c>
      <c r="E2832" s="0" t="n">
        <v>2035</v>
      </c>
      <c r="F2832" s="0" t="n">
        <v>7.024547</v>
      </c>
      <c r="G2832" s="0" t="n">
        <v>147.454706</v>
      </c>
      <c r="I2832" s="0" t="n">
        <v>2029</v>
      </c>
      <c r="J2832" s="0" t="n">
        <v>3.64</v>
      </c>
      <c r="K2832" s="0" t="n">
        <v>76.65</v>
      </c>
      <c r="M2832" s="0" t="n">
        <v>2035</v>
      </c>
      <c r="N2832" s="0" t="n">
        <v>32.25</v>
      </c>
      <c r="O2832" s="0" t="n">
        <v>673</v>
      </c>
      <c r="W2832" s="0" t="n">
        <v>2035</v>
      </c>
      <c r="X2832" s="0" t="n">
        <v>240.87</v>
      </c>
    </row>
    <row r="2833" customFormat="false" ht="15" hidden="false" customHeight="false" outlineLevel="0" collapsed="false">
      <c r="A2833" s="0" t="n">
        <v>2034</v>
      </c>
      <c r="B2833" s="0" t="n">
        <v>125.7374941</v>
      </c>
      <c r="C2833" s="0" t="n">
        <v>2640.487375</v>
      </c>
      <c r="E2833" s="0" t="n">
        <v>2035</v>
      </c>
      <c r="F2833" s="0" t="n">
        <v>38.409702</v>
      </c>
      <c r="G2833" s="0" t="n">
        <v>806.271396</v>
      </c>
      <c r="I2833" s="0" t="n">
        <v>2029</v>
      </c>
      <c r="J2833" s="0" t="n">
        <v>1.04</v>
      </c>
      <c r="K2833" s="0" t="n">
        <v>21.9</v>
      </c>
      <c r="M2833" s="0" t="n">
        <v>2035</v>
      </c>
      <c r="N2833" s="0" t="n">
        <v>12.9</v>
      </c>
      <c r="O2833" s="0" t="n">
        <v>269.2</v>
      </c>
      <c r="W2833" s="0" t="n">
        <v>2035</v>
      </c>
      <c r="X2833" s="0" t="n">
        <v>353.276</v>
      </c>
    </row>
    <row r="2834" customFormat="false" ht="15" hidden="false" customHeight="false" outlineLevel="0" collapsed="false">
      <c r="A2834" s="0" t="n">
        <v>2034</v>
      </c>
      <c r="B2834" s="0" t="n">
        <v>39.36022637</v>
      </c>
      <c r="C2834" s="0" t="n">
        <v>826.5647538</v>
      </c>
      <c r="E2834" s="0" t="n">
        <v>2035</v>
      </c>
      <c r="F2834" s="0" t="n">
        <v>35.121926</v>
      </c>
      <c r="G2834" s="0" t="n">
        <v>737.256548</v>
      </c>
      <c r="I2834" s="0" t="n">
        <v>2029</v>
      </c>
      <c r="J2834" s="0" t="n">
        <v>3.64</v>
      </c>
      <c r="K2834" s="0" t="n">
        <v>76.65</v>
      </c>
      <c r="M2834" s="0" t="n">
        <v>2035</v>
      </c>
      <c r="N2834" s="0" t="n">
        <v>12.9</v>
      </c>
      <c r="O2834" s="0" t="n">
        <v>269.2</v>
      </c>
      <c r="W2834" s="0" t="n">
        <v>2035</v>
      </c>
      <c r="X2834" s="0" t="n">
        <v>272.986</v>
      </c>
    </row>
    <row r="2835" customFormat="false" ht="15" hidden="false" customHeight="false" outlineLevel="0" collapsed="false">
      <c r="A2835" s="0" t="n">
        <v>2034</v>
      </c>
      <c r="B2835" s="0" t="n">
        <v>88.00706083</v>
      </c>
      <c r="C2835" s="0" t="n">
        <v>1848.148277</v>
      </c>
      <c r="E2835" s="0" t="n">
        <v>2035</v>
      </c>
      <c r="F2835" s="0" t="n">
        <v>539.64645</v>
      </c>
      <c r="G2835" s="0" t="n">
        <v>11332.0615</v>
      </c>
      <c r="I2835" s="0" t="n">
        <v>2029</v>
      </c>
      <c r="J2835" s="0" t="n">
        <v>21.12</v>
      </c>
      <c r="K2835" s="0" t="n">
        <v>445.92</v>
      </c>
      <c r="M2835" s="0" t="n">
        <v>2035</v>
      </c>
      <c r="N2835" s="0" t="n">
        <v>7.74</v>
      </c>
      <c r="O2835" s="0" t="n">
        <v>161.52</v>
      </c>
      <c r="W2835" s="0" t="n">
        <v>2035</v>
      </c>
      <c r="X2835" s="0" t="n">
        <v>27149.18</v>
      </c>
    </row>
    <row r="2836" customFormat="false" ht="15" hidden="false" customHeight="false" outlineLevel="0" collapsed="false">
      <c r="A2836" s="0" t="n">
        <v>2034</v>
      </c>
      <c r="B2836" s="0" t="n">
        <v>247.9222887</v>
      </c>
      <c r="C2836" s="0" t="n">
        <v>5206.368062</v>
      </c>
      <c r="E2836" s="0" t="n">
        <v>2035</v>
      </c>
      <c r="F2836" s="0" t="n">
        <v>144.90105</v>
      </c>
      <c r="G2836" s="0" t="n">
        <v>3042.784049</v>
      </c>
      <c r="I2836" s="0" t="n">
        <v>2029</v>
      </c>
      <c r="J2836" s="0" t="n">
        <v>7.04</v>
      </c>
      <c r="K2836" s="0" t="n">
        <v>148.64</v>
      </c>
      <c r="M2836" s="0" t="n">
        <v>2035</v>
      </c>
      <c r="N2836" s="0" t="n">
        <v>6.45</v>
      </c>
      <c r="O2836" s="0" t="n">
        <v>134.6</v>
      </c>
      <c r="W2836" s="0" t="n">
        <v>2035</v>
      </c>
      <c r="X2836" s="0" t="n">
        <v>6787.295</v>
      </c>
    </row>
    <row r="2837" customFormat="false" ht="15" hidden="false" customHeight="false" outlineLevel="0" collapsed="false">
      <c r="A2837" s="0" t="n">
        <v>2034</v>
      </c>
      <c r="B2837" s="0" t="n">
        <v>62.53333236</v>
      </c>
      <c r="C2837" s="0" t="n">
        <v>1313.19998</v>
      </c>
      <c r="E2837" s="0" t="n">
        <v>2035</v>
      </c>
      <c r="F2837" s="0" t="n">
        <v>57.99885</v>
      </c>
      <c r="G2837" s="0" t="n">
        <v>1217.920613</v>
      </c>
      <c r="I2837" s="0" t="n">
        <v>2029</v>
      </c>
      <c r="J2837" s="0" t="n">
        <v>3.08</v>
      </c>
      <c r="K2837" s="0" t="n">
        <v>65.03</v>
      </c>
      <c r="M2837" s="0" t="n">
        <v>2035</v>
      </c>
      <c r="N2837" s="0" t="n">
        <v>5.16</v>
      </c>
      <c r="O2837" s="0" t="n">
        <v>107.68</v>
      </c>
      <c r="W2837" s="0" t="n">
        <v>2035</v>
      </c>
      <c r="X2837" s="0" t="n">
        <v>2101.872</v>
      </c>
    </row>
    <row r="2838" customFormat="false" ht="15" hidden="false" customHeight="false" outlineLevel="0" collapsed="false">
      <c r="A2838" s="0" t="n">
        <v>2034</v>
      </c>
      <c r="B2838" s="0" t="n">
        <v>55.76444691</v>
      </c>
      <c r="C2838" s="0" t="n">
        <v>1171.053385</v>
      </c>
      <c r="E2838" s="0" t="n">
        <v>2035</v>
      </c>
      <c r="F2838" s="0" t="n">
        <v>8.14695</v>
      </c>
      <c r="G2838" s="0" t="n">
        <v>171.078191</v>
      </c>
      <c r="I2838" s="0" t="n">
        <v>2029</v>
      </c>
      <c r="J2838" s="0" t="n">
        <v>1.76</v>
      </c>
      <c r="K2838" s="0" t="n">
        <v>37.16</v>
      </c>
      <c r="M2838" s="0" t="n">
        <v>2035</v>
      </c>
      <c r="N2838" s="0" t="n">
        <v>2.58</v>
      </c>
      <c r="O2838" s="0" t="n">
        <v>53.84</v>
      </c>
      <c r="W2838" s="0" t="n">
        <v>2035</v>
      </c>
      <c r="X2838" s="0" t="n">
        <v>3722.065</v>
      </c>
    </row>
    <row r="2839" customFormat="false" ht="15" hidden="false" customHeight="false" outlineLevel="0" collapsed="false">
      <c r="A2839" s="0" t="n">
        <v>2034</v>
      </c>
      <c r="B2839" s="0" t="n">
        <v>38.78086798</v>
      </c>
      <c r="C2839" s="0" t="n">
        <v>814.3982275</v>
      </c>
      <c r="E2839" s="0" t="n">
        <v>2035</v>
      </c>
      <c r="F2839" s="0" t="n">
        <v>194.75295</v>
      </c>
      <c r="G2839" s="0" t="n">
        <v>4089.626471</v>
      </c>
      <c r="I2839" s="0" t="n">
        <v>2029</v>
      </c>
      <c r="J2839" s="0" t="n">
        <v>1.76</v>
      </c>
      <c r="K2839" s="0" t="n">
        <v>37.16</v>
      </c>
      <c r="M2839" s="0" t="n">
        <v>2035</v>
      </c>
      <c r="N2839" s="0" t="n">
        <v>57.76</v>
      </c>
      <c r="O2839" s="0" t="n">
        <v>1207.26</v>
      </c>
      <c r="W2839" s="0" t="n">
        <v>2035</v>
      </c>
      <c r="X2839" s="0" t="n">
        <v>1663.982</v>
      </c>
    </row>
    <row r="2840" customFormat="false" ht="15" hidden="false" customHeight="false" outlineLevel="0" collapsed="false">
      <c r="A2840" s="0" t="n">
        <v>2034</v>
      </c>
      <c r="B2840" s="0" t="n">
        <v>28.84650612</v>
      </c>
      <c r="C2840" s="0" t="n">
        <v>605.7766285</v>
      </c>
      <c r="E2840" s="0" t="n">
        <v>2035</v>
      </c>
      <c r="F2840" s="0" t="n">
        <v>9.11715</v>
      </c>
      <c r="G2840" s="0" t="n">
        <v>191.451467</v>
      </c>
      <c r="I2840" s="0" t="n">
        <v>2029</v>
      </c>
      <c r="J2840" s="0" t="n">
        <v>0.88</v>
      </c>
      <c r="K2840" s="0" t="n">
        <v>18.58</v>
      </c>
      <c r="M2840" s="0" t="n">
        <v>2035</v>
      </c>
      <c r="N2840" s="0" t="n">
        <v>38</v>
      </c>
      <c r="O2840" s="0" t="n">
        <v>794.25</v>
      </c>
      <c r="W2840" s="0" t="n">
        <v>2035</v>
      </c>
      <c r="X2840" s="0" t="n">
        <v>656.835</v>
      </c>
    </row>
    <row r="2841" customFormat="false" ht="15" hidden="false" customHeight="false" outlineLevel="0" collapsed="false">
      <c r="A2841" s="0" t="n">
        <v>2034</v>
      </c>
      <c r="B2841" s="0" t="n">
        <v>12.82066939</v>
      </c>
      <c r="C2841" s="0" t="n">
        <v>269.2340571</v>
      </c>
      <c r="E2841" s="0" t="n">
        <v>2035</v>
      </c>
      <c r="F2841" s="0" t="n">
        <v>49.8519</v>
      </c>
      <c r="G2841" s="0" t="n">
        <v>1046.842422</v>
      </c>
      <c r="I2841" s="0" t="n">
        <v>2029</v>
      </c>
      <c r="J2841" s="0" t="n">
        <v>0.88</v>
      </c>
      <c r="K2841" s="0" t="n">
        <v>18.58</v>
      </c>
      <c r="M2841" s="0" t="n">
        <v>2035</v>
      </c>
      <c r="N2841" s="0" t="n">
        <v>15.2</v>
      </c>
      <c r="O2841" s="0" t="n">
        <v>317.7</v>
      </c>
      <c r="W2841" s="0" t="n">
        <v>2035</v>
      </c>
      <c r="X2841" s="0" t="n">
        <v>963.358</v>
      </c>
    </row>
    <row r="2842" customFormat="false" ht="15" hidden="false" customHeight="false" outlineLevel="0" collapsed="false">
      <c r="A2842" s="0" t="n">
        <v>2034</v>
      </c>
      <c r="B2842" s="0" t="n">
        <v>47.35415891</v>
      </c>
      <c r="C2842" s="0" t="n">
        <v>994.4373372</v>
      </c>
      <c r="E2842" s="0" t="n">
        <v>2035</v>
      </c>
      <c r="F2842" s="0" t="n">
        <v>45.5847</v>
      </c>
      <c r="G2842" s="0" t="n">
        <v>957.235286</v>
      </c>
      <c r="I2842" s="0" t="n">
        <v>2029</v>
      </c>
      <c r="J2842" s="0" t="n">
        <v>1.76</v>
      </c>
      <c r="K2842" s="0" t="n">
        <v>37.16</v>
      </c>
      <c r="M2842" s="0" t="n">
        <v>2035</v>
      </c>
      <c r="N2842" s="0" t="n">
        <v>15.2</v>
      </c>
      <c r="O2842" s="0" t="n">
        <v>317.7</v>
      </c>
      <c r="W2842" s="0" t="n">
        <v>2035</v>
      </c>
      <c r="X2842" s="0" t="n">
        <v>744.413</v>
      </c>
    </row>
    <row r="2843" customFormat="false" ht="15" hidden="false" customHeight="false" outlineLevel="0" collapsed="false">
      <c r="A2843" s="0" t="n">
        <v>2034</v>
      </c>
      <c r="B2843" s="0" t="n">
        <v>14.82350534</v>
      </c>
      <c r="C2843" s="0" t="n">
        <v>311.2936121</v>
      </c>
      <c r="E2843" s="0" t="n">
        <v>2035</v>
      </c>
      <c r="F2843" s="0" t="n">
        <v>389.573342</v>
      </c>
      <c r="G2843" s="0" t="n">
        <v>8175.900692</v>
      </c>
      <c r="I2843" s="0" t="n">
        <v>2029</v>
      </c>
      <c r="J2843" s="0" t="n">
        <v>3.08</v>
      </c>
      <c r="K2843" s="0" t="n">
        <v>65.03</v>
      </c>
      <c r="M2843" s="0" t="n">
        <v>2035</v>
      </c>
      <c r="N2843" s="0" t="n">
        <v>9.12</v>
      </c>
      <c r="O2843" s="0" t="n">
        <v>190.62</v>
      </c>
      <c r="W2843" s="0" t="n">
        <v>2035</v>
      </c>
      <c r="X2843" s="0" t="n">
        <v>14553.88</v>
      </c>
    </row>
    <row r="2844" customFormat="false" ht="15" hidden="false" customHeight="false" outlineLevel="0" collapsed="false">
      <c r="A2844" s="0" t="n">
        <v>2034</v>
      </c>
      <c r="B2844" s="0" t="n">
        <v>33.14445206</v>
      </c>
      <c r="C2844" s="0" t="n">
        <v>696.0334933</v>
      </c>
      <c r="E2844" s="0" t="n">
        <v>2035</v>
      </c>
      <c r="F2844" s="0" t="n">
        <v>104.604758</v>
      </c>
      <c r="G2844" s="0" t="n">
        <v>2195.319908</v>
      </c>
      <c r="I2844" s="0" t="n">
        <v>2029</v>
      </c>
      <c r="J2844" s="0" t="n">
        <v>1.32</v>
      </c>
      <c r="K2844" s="0" t="n">
        <v>27.87</v>
      </c>
      <c r="M2844" s="0" t="n">
        <v>2035</v>
      </c>
      <c r="N2844" s="0" t="n">
        <v>7.6</v>
      </c>
      <c r="O2844" s="0" t="n">
        <v>158.85</v>
      </c>
      <c r="W2844" s="0" t="n">
        <v>2035</v>
      </c>
      <c r="X2844" s="0" t="n">
        <v>3638.47</v>
      </c>
    </row>
    <row r="2845" customFormat="false" ht="15" hidden="false" customHeight="false" outlineLevel="0" collapsed="false">
      <c r="A2845" s="0" t="n">
        <v>2034</v>
      </c>
      <c r="B2845" s="0" t="n">
        <v>420.8290488</v>
      </c>
      <c r="C2845" s="0" t="n">
        <v>8837.410025</v>
      </c>
      <c r="E2845" s="0" t="n">
        <v>2035</v>
      </c>
      <c r="F2845" s="0" t="n">
        <v>41.869646</v>
      </c>
      <c r="G2845" s="0" t="n">
        <v>878.710196</v>
      </c>
      <c r="I2845" s="0" t="n">
        <v>2029</v>
      </c>
      <c r="J2845" s="0" t="n">
        <v>1.32</v>
      </c>
      <c r="K2845" s="0" t="n">
        <v>27.87</v>
      </c>
      <c r="M2845" s="0" t="n">
        <v>2035</v>
      </c>
      <c r="N2845" s="0" t="n">
        <v>6.08</v>
      </c>
      <c r="O2845" s="0" t="n">
        <v>127.08</v>
      </c>
      <c r="W2845" s="0" t="n">
        <v>2035</v>
      </c>
      <c r="X2845" s="0" t="n">
        <v>1126.752</v>
      </c>
    </row>
    <row r="2846" customFormat="false" ht="15" hidden="false" customHeight="false" outlineLevel="0" collapsed="false">
      <c r="A2846" s="0" t="n">
        <v>2034</v>
      </c>
      <c r="B2846" s="0" t="n">
        <v>106.1455302</v>
      </c>
      <c r="C2846" s="0" t="n">
        <v>2229.056134</v>
      </c>
      <c r="E2846" s="0" t="n">
        <v>2035</v>
      </c>
      <c r="F2846" s="0" t="n">
        <v>5.881322</v>
      </c>
      <c r="G2846" s="0" t="n">
        <v>123.430172</v>
      </c>
      <c r="I2846" s="0" t="n">
        <v>2029</v>
      </c>
      <c r="J2846" s="0" t="n">
        <v>8.32</v>
      </c>
      <c r="K2846" s="0" t="n">
        <v>173.16</v>
      </c>
      <c r="M2846" s="0" t="n">
        <v>2035</v>
      </c>
      <c r="N2846" s="0" t="n">
        <v>3.04</v>
      </c>
      <c r="O2846" s="0" t="n">
        <v>63.54</v>
      </c>
      <c r="W2846" s="0" t="n">
        <v>2035</v>
      </c>
      <c r="X2846" s="0" t="n">
        <v>1995.29</v>
      </c>
    </row>
    <row r="2847" customFormat="false" ht="15" hidden="false" customHeight="false" outlineLevel="0" collapsed="false">
      <c r="A2847" s="0" t="n">
        <v>2034</v>
      </c>
      <c r="B2847" s="0" t="n">
        <v>94.65586687</v>
      </c>
      <c r="C2847" s="0" t="n">
        <v>1987.773204</v>
      </c>
      <c r="E2847" s="0" t="n">
        <v>2035</v>
      </c>
      <c r="F2847" s="0" t="n">
        <v>140.593082</v>
      </c>
      <c r="G2847" s="0" t="n">
        <v>2950.599932</v>
      </c>
      <c r="I2847" s="0" t="n">
        <v>2029</v>
      </c>
      <c r="J2847" s="0" t="n">
        <v>1.28</v>
      </c>
      <c r="K2847" s="0" t="n">
        <v>26.64</v>
      </c>
      <c r="M2847" s="0" t="n">
        <v>2035</v>
      </c>
      <c r="N2847" s="0" t="n">
        <v>110.96</v>
      </c>
      <c r="O2847" s="0" t="n">
        <v>2324.84</v>
      </c>
      <c r="W2847" s="0" t="n">
        <v>2035</v>
      </c>
      <c r="X2847" s="0" t="n">
        <v>892.012</v>
      </c>
    </row>
    <row r="2848" customFormat="false" ht="15" hidden="false" customHeight="false" outlineLevel="0" collapsed="false">
      <c r="A2848" s="0" t="n">
        <v>2034</v>
      </c>
      <c r="B2848" s="0" t="n">
        <v>65.82754568</v>
      </c>
      <c r="C2848" s="0" t="n">
        <v>1382.378459</v>
      </c>
      <c r="E2848" s="0" t="n">
        <v>2035</v>
      </c>
      <c r="F2848" s="0" t="n">
        <v>6.581714</v>
      </c>
      <c r="G2848" s="0" t="n">
        <v>138.129164</v>
      </c>
      <c r="I2848" s="0" t="n">
        <v>2029</v>
      </c>
      <c r="J2848" s="0" t="n">
        <v>0.96</v>
      </c>
      <c r="K2848" s="0" t="n">
        <v>19.98</v>
      </c>
      <c r="M2848" s="0" t="n">
        <v>2035</v>
      </c>
      <c r="N2848" s="0" t="n">
        <v>73</v>
      </c>
      <c r="O2848" s="0" t="n">
        <v>1529.5</v>
      </c>
      <c r="W2848" s="0" t="n">
        <v>2035</v>
      </c>
      <c r="X2848" s="0" t="n">
        <v>352.11</v>
      </c>
    </row>
    <row r="2849" customFormat="false" ht="15" hidden="false" customHeight="false" outlineLevel="0" collapsed="false">
      <c r="A2849" s="0" t="n">
        <v>2034</v>
      </c>
      <c r="B2849" s="0" t="n">
        <v>48.96472922</v>
      </c>
      <c r="C2849" s="0" t="n">
        <v>1028.259314</v>
      </c>
      <c r="E2849" s="0" t="n">
        <v>2035</v>
      </c>
      <c r="F2849" s="0" t="n">
        <v>35.988324</v>
      </c>
      <c r="G2849" s="0" t="n">
        <v>755.280024</v>
      </c>
      <c r="I2849" s="0" t="n">
        <v>2029</v>
      </c>
      <c r="J2849" s="0" t="n">
        <v>1.6</v>
      </c>
      <c r="K2849" s="0" t="n">
        <v>33.3</v>
      </c>
      <c r="M2849" s="0" t="n">
        <v>2035</v>
      </c>
      <c r="N2849" s="0" t="n">
        <v>29.2</v>
      </c>
      <c r="O2849" s="0" t="n">
        <v>611.8</v>
      </c>
      <c r="W2849" s="0" t="n">
        <v>2035</v>
      </c>
      <c r="X2849" s="0" t="n">
        <v>516.428</v>
      </c>
    </row>
    <row r="2850" customFormat="false" ht="15" hidden="false" customHeight="false" outlineLevel="0" collapsed="false">
      <c r="A2850" s="0" t="n">
        <v>2034</v>
      </c>
      <c r="B2850" s="0" t="n">
        <v>21.76210188</v>
      </c>
      <c r="C2850" s="0" t="n">
        <v>457.0041394</v>
      </c>
      <c r="E2850" s="0" t="n">
        <v>2035</v>
      </c>
      <c r="F2850" s="0" t="n">
        <v>32.907812</v>
      </c>
      <c r="G2850" s="0" t="n">
        <v>690.629912</v>
      </c>
      <c r="I2850" s="0" t="n">
        <v>2029</v>
      </c>
      <c r="J2850" s="0" t="n">
        <v>0.32</v>
      </c>
      <c r="K2850" s="0" t="n">
        <v>6.66</v>
      </c>
      <c r="M2850" s="0" t="n">
        <v>2035</v>
      </c>
      <c r="N2850" s="0" t="n">
        <v>29.2</v>
      </c>
      <c r="O2850" s="0" t="n">
        <v>611.8</v>
      </c>
      <c r="W2850" s="0" t="n">
        <v>2035</v>
      </c>
      <c r="X2850" s="0" t="n">
        <v>399.058</v>
      </c>
    </row>
    <row r="2851" customFormat="false" ht="15" hidden="false" customHeight="false" outlineLevel="0" collapsed="false">
      <c r="A2851" s="0" t="n">
        <v>2034</v>
      </c>
      <c r="B2851" s="0" t="n">
        <v>80.38004877</v>
      </c>
      <c r="C2851" s="0" t="n">
        <v>1687.981024</v>
      </c>
      <c r="E2851" s="0" t="n">
        <v>2035</v>
      </c>
      <c r="F2851" s="0" t="n">
        <v>358.736402</v>
      </c>
      <c r="G2851" s="0" t="n">
        <v>7524.21336</v>
      </c>
      <c r="I2851" s="0" t="n">
        <v>2029</v>
      </c>
      <c r="J2851" s="0" t="n">
        <v>0.32</v>
      </c>
      <c r="K2851" s="0" t="n">
        <v>6.66</v>
      </c>
      <c r="M2851" s="0" t="n">
        <v>2035</v>
      </c>
      <c r="N2851" s="0" t="n">
        <v>17.52</v>
      </c>
      <c r="O2851" s="0" t="n">
        <v>367.08</v>
      </c>
      <c r="W2851" s="0" t="n">
        <v>2035</v>
      </c>
      <c r="X2851" s="0" t="n">
        <v>6108.86</v>
      </c>
    </row>
    <row r="2852" customFormat="false" ht="15" hidden="false" customHeight="false" outlineLevel="0" collapsed="false">
      <c r="A2852" s="0" t="n">
        <v>2034</v>
      </c>
      <c r="B2852" s="0" t="n">
        <v>25.16176212</v>
      </c>
      <c r="C2852" s="0" t="n">
        <v>528.3970046</v>
      </c>
      <c r="E2852" s="0" t="n">
        <v>2035</v>
      </c>
      <c r="F2852" s="0" t="n">
        <v>96.324698</v>
      </c>
      <c r="G2852" s="0" t="n">
        <v>2020.33464</v>
      </c>
      <c r="I2852" s="0" t="n">
        <v>2029</v>
      </c>
      <c r="J2852" s="0" t="n">
        <v>0</v>
      </c>
      <c r="K2852" s="0" t="n">
        <v>0</v>
      </c>
      <c r="M2852" s="0" t="n">
        <v>2035</v>
      </c>
      <c r="N2852" s="0" t="n">
        <v>14.6</v>
      </c>
      <c r="O2852" s="0" t="n">
        <v>305.9</v>
      </c>
      <c r="W2852" s="0" t="n">
        <v>2035</v>
      </c>
      <c r="X2852" s="0" t="n">
        <v>1527.215</v>
      </c>
    </row>
    <row r="2853" customFormat="false" ht="15" hidden="false" customHeight="false" outlineLevel="0" collapsed="false">
      <c r="A2853" s="0" t="n">
        <v>2034</v>
      </c>
      <c r="B2853" s="0" t="n">
        <v>56.26016244</v>
      </c>
      <c r="C2853" s="0" t="n">
        <v>1181.463411</v>
      </c>
      <c r="E2853" s="0" t="n">
        <v>2035</v>
      </c>
      <c r="F2853" s="0" t="n">
        <v>38.555426</v>
      </c>
      <c r="G2853" s="0" t="n">
        <v>808.66968</v>
      </c>
      <c r="I2853" s="0" t="n">
        <v>2029</v>
      </c>
      <c r="J2853" s="0" t="n">
        <v>0.64</v>
      </c>
      <c r="K2853" s="0" t="n">
        <v>13.32</v>
      </c>
      <c r="M2853" s="0" t="n">
        <v>2035</v>
      </c>
      <c r="N2853" s="0" t="n">
        <v>11.68</v>
      </c>
      <c r="O2853" s="0" t="n">
        <v>244.72</v>
      </c>
      <c r="W2853" s="0" t="n">
        <v>2035</v>
      </c>
      <c r="X2853" s="0" t="n">
        <v>472.944</v>
      </c>
    </row>
    <row r="2854" customFormat="false" ht="15" hidden="false" customHeight="false" outlineLevel="0" collapsed="false">
      <c r="A2854" s="0" t="n">
        <v>2034</v>
      </c>
      <c r="B2854" s="0" t="n">
        <v>165.9053108</v>
      </c>
      <c r="C2854" s="0" t="n">
        <v>3484.011527</v>
      </c>
      <c r="E2854" s="0" t="n">
        <v>2035</v>
      </c>
      <c r="F2854" s="0" t="n">
        <v>5.415782</v>
      </c>
      <c r="G2854" s="0" t="n">
        <v>113.59176</v>
      </c>
      <c r="I2854" s="0" t="n">
        <v>2029</v>
      </c>
      <c r="J2854" s="0" t="n">
        <v>1.12</v>
      </c>
      <c r="K2854" s="0" t="n">
        <v>23.31</v>
      </c>
      <c r="M2854" s="0" t="n">
        <v>2035</v>
      </c>
      <c r="N2854" s="0" t="n">
        <v>5.84</v>
      </c>
      <c r="O2854" s="0" t="n">
        <v>122.36</v>
      </c>
      <c r="W2854" s="0" t="n">
        <v>2035</v>
      </c>
      <c r="X2854" s="0" t="n">
        <v>837.505</v>
      </c>
    </row>
    <row r="2855" customFormat="false" ht="15" hidden="false" customHeight="false" outlineLevel="0" collapsed="false">
      <c r="A2855" s="0" t="n">
        <v>2034</v>
      </c>
      <c r="B2855" s="0" t="n">
        <v>41.84622527</v>
      </c>
      <c r="C2855" s="0" t="n">
        <v>878.7707307</v>
      </c>
      <c r="E2855" s="0" t="n">
        <v>2035</v>
      </c>
      <c r="F2855" s="0" t="n">
        <v>129.464342</v>
      </c>
      <c r="G2855" s="0" t="n">
        <v>2715.41256</v>
      </c>
      <c r="I2855" s="0" t="n">
        <v>2029</v>
      </c>
      <c r="J2855" s="0" t="n">
        <v>0.32</v>
      </c>
      <c r="K2855" s="0" t="n">
        <v>6.66</v>
      </c>
      <c r="M2855" s="0" t="n">
        <v>2035</v>
      </c>
      <c r="N2855" s="0" t="n">
        <v>111.34</v>
      </c>
      <c r="O2855" s="0" t="n">
        <v>2330.92</v>
      </c>
      <c r="W2855" s="0" t="n">
        <v>2035</v>
      </c>
      <c r="X2855" s="0" t="n">
        <v>374.414</v>
      </c>
    </row>
    <row r="2856" customFormat="false" ht="15" hidden="false" customHeight="false" outlineLevel="0" collapsed="false">
      <c r="A2856" s="0" t="n">
        <v>2034</v>
      </c>
      <c r="B2856" s="0" t="n">
        <v>37.31660411</v>
      </c>
      <c r="C2856" s="0" t="n">
        <v>783.6486864</v>
      </c>
      <c r="E2856" s="0" t="n">
        <v>2035</v>
      </c>
      <c r="F2856" s="0" t="n">
        <v>6.060734</v>
      </c>
      <c r="G2856" s="0" t="n">
        <v>127.11912</v>
      </c>
      <c r="I2856" s="0" t="n">
        <v>2029</v>
      </c>
      <c r="J2856" s="0" t="n">
        <v>1.12</v>
      </c>
      <c r="K2856" s="0" t="n">
        <v>23.31</v>
      </c>
      <c r="M2856" s="0" t="n">
        <v>2035</v>
      </c>
      <c r="N2856" s="0" t="n">
        <v>73.25</v>
      </c>
      <c r="O2856" s="0" t="n">
        <v>1533.5</v>
      </c>
      <c r="W2856" s="0" t="n">
        <v>2035</v>
      </c>
      <c r="X2856" s="0" t="n">
        <v>147.795</v>
      </c>
    </row>
    <row r="2857" customFormat="false" ht="15" hidden="false" customHeight="false" outlineLevel="0" collapsed="false">
      <c r="A2857" s="0" t="n">
        <v>2034</v>
      </c>
      <c r="B2857" s="0" t="n">
        <v>25.95148661</v>
      </c>
      <c r="C2857" s="0" t="n">
        <v>544.9812189</v>
      </c>
      <c r="E2857" s="0" t="n">
        <v>2035</v>
      </c>
      <c r="F2857" s="0" t="n">
        <v>33.139644</v>
      </c>
      <c r="G2857" s="0" t="n">
        <v>695.07792</v>
      </c>
      <c r="I2857" s="0" t="n">
        <v>2029</v>
      </c>
      <c r="J2857" s="0" t="n">
        <v>54.72</v>
      </c>
      <c r="K2857" s="0" t="n">
        <v>1153.44</v>
      </c>
      <c r="M2857" s="0" t="n">
        <v>2035</v>
      </c>
      <c r="N2857" s="0" t="n">
        <v>29.3</v>
      </c>
      <c r="O2857" s="0" t="n">
        <v>613.4</v>
      </c>
      <c r="W2857" s="0" t="n">
        <v>2035</v>
      </c>
      <c r="X2857" s="0" t="n">
        <v>216.766</v>
      </c>
    </row>
    <row r="2858" customFormat="false" ht="15" hidden="false" customHeight="false" outlineLevel="0" collapsed="false">
      <c r="A2858" s="0" t="n">
        <v>2034</v>
      </c>
      <c r="B2858" s="0" t="n">
        <v>19.30358335</v>
      </c>
      <c r="C2858" s="0" t="n">
        <v>405.3752504</v>
      </c>
      <c r="E2858" s="0" t="n">
        <v>2035</v>
      </c>
      <c r="F2858" s="0" t="n">
        <v>30.302972</v>
      </c>
      <c r="G2858" s="0" t="n">
        <v>635.58096</v>
      </c>
      <c r="I2858" s="0" t="n">
        <v>2029</v>
      </c>
      <c r="J2858" s="0" t="n">
        <v>18.24</v>
      </c>
      <c r="K2858" s="0" t="n">
        <v>384.48</v>
      </c>
      <c r="M2858" s="0" t="n">
        <v>2035</v>
      </c>
      <c r="N2858" s="0" t="n">
        <v>29.3</v>
      </c>
      <c r="O2858" s="0" t="n">
        <v>613.4</v>
      </c>
      <c r="W2858" s="0" t="n">
        <v>2035</v>
      </c>
      <c r="X2858" s="0" t="n">
        <v>167.501</v>
      </c>
    </row>
    <row r="2859" customFormat="false" ht="15" hidden="false" customHeight="false" outlineLevel="0" collapsed="false">
      <c r="A2859" s="0" t="n">
        <v>2034</v>
      </c>
      <c r="B2859" s="0" t="n">
        <v>8.579370378</v>
      </c>
      <c r="C2859" s="0" t="n">
        <v>180.1667779</v>
      </c>
      <c r="E2859" s="0" t="n">
        <v>2035</v>
      </c>
      <c r="F2859" s="0" t="n">
        <v>121.291964</v>
      </c>
      <c r="G2859" s="0" t="n">
        <v>2545.589397</v>
      </c>
      <c r="I2859" s="0" t="n">
        <v>2029</v>
      </c>
      <c r="J2859" s="0" t="n">
        <v>7.98</v>
      </c>
      <c r="K2859" s="0" t="n">
        <v>168.21</v>
      </c>
      <c r="M2859" s="0" t="n">
        <v>2035</v>
      </c>
      <c r="N2859" s="0" t="n">
        <v>17.58</v>
      </c>
      <c r="O2859" s="0" t="n">
        <v>368.04</v>
      </c>
      <c r="W2859" s="0" t="n">
        <v>2035</v>
      </c>
      <c r="X2859" s="0" t="n">
        <v>5870.78</v>
      </c>
    </row>
    <row r="2860" customFormat="false" ht="15" hidden="false" customHeight="false" outlineLevel="0" collapsed="false">
      <c r="A2860" s="0" t="n">
        <v>2034</v>
      </c>
      <c r="B2860" s="0" t="n">
        <v>31.68858474</v>
      </c>
      <c r="C2860" s="0" t="n">
        <v>665.4602795</v>
      </c>
      <c r="E2860" s="0" t="n">
        <v>2035</v>
      </c>
      <c r="F2860" s="0" t="n">
        <v>32.568236</v>
      </c>
      <c r="G2860" s="0" t="n">
        <v>683.518953</v>
      </c>
      <c r="I2860" s="0" t="n">
        <v>2029</v>
      </c>
      <c r="J2860" s="0" t="n">
        <v>4.56</v>
      </c>
      <c r="K2860" s="0" t="n">
        <v>96.12</v>
      </c>
      <c r="M2860" s="0" t="n">
        <v>2035</v>
      </c>
      <c r="N2860" s="0" t="n">
        <v>14.65</v>
      </c>
      <c r="O2860" s="0" t="n">
        <v>306.7</v>
      </c>
      <c r="W2860" s="0" t="n">
        <v>2035</v>
      </c>
      <c r="X2860" s="0" t="n">
        <v>1467.695</v>
      </c>
    </row>
    <row r="2861" customFormat="false" ht="15" hidden="false" customHeight="false" outlineLevel="0" collapsed="false">
      <c r="A2861" s="0" t="n">
        <v>2034</v>
      </c>
      <c r="B2861" s="0" t="n">
        <v>9.919633583</v>
      </c>
      <c r="C2861" s="0" t="n">
        <v>208.3123053</v>
      </c>
      <c r="E2861" s="0" t="n">
        <v>2035</v>
      </c>
      <c r="F2861" s="0" t="n">
        <v>13.035932</v>
      </c>
      <c r="G2861" s="0" t="n">
        <v>273.588861</v>
      </c>
      <c r="I2861" s="0" t="n">
        <v>2029</v>
      </c>
      <c r="J2861" s="0" t="n">
        <v>4.56</v>
      </c>
      <c r="K2861" s="0" t="n">
        <v>96.12</v>
      </c>
      <c r="M2861" s="0" t="n">
        <v>2035</v>
      </c>
      <c r="N2861" s="0" t="n">
        <v>11.72</v>
      </c>
      <c r="O2861" s="0" t="n">
        <v>245.36</v>
      </c>
      <c r="W2861" s="0" t="n">
        <v>2035</v>
      </c>
      <c r="X2861" s="0" t="n">
        <v>454.512</v>
      </c>
    </row>
    <row r="2862" customFormat="false" ht="15" hidden="false" customHeight="false" outlineLevel="0" collapsed="false">
      <c r="A2862" s="0" t="n">
        <v>2034</v>
      </c>
      <c r="B2862" s="0" t="n">
        <v>22.17969449</v>
      </c>
      <c r="C2862" s="0" t="n">
        <v>465.7735844</v>
      </c>
      <c r="E2862" s="0" t="n">
        <v>2035</v>
      </c>
      <c r="F2862" s="0" t="n">
        <v>1.831124</v>
      </c>
      <c r="G2862" s="0" t="n">
        <v>38.430327</v>
      </c>
      <c r="I2862" s="0" t="n">
        <v>2029</v>
      </c>
      <c r="J2862" s="0" t="n">
        <v>2.28</v>
      </c>
      <c r="K2862" s="0" t="n">
        <v>48.06</v>
      </c>
      <c r="M2862" s="0" t="n">
        <v>2035</v>
      </c>
      <c r="N2862" s="0" t="n">
        <v>5.86</v>
      </c>
      <c r="O2862" s="0" t="n">
        <v>122.68</v>
      </c>
      <c r="W2862" s="0" t="n">
        <v>2035</v>
      </c>
      <c r="X2862" s="0" t="n">
        <v>804.865</v>
      </c>
    </row>
    <row r="2863" customFormat="false" ht="15" hidden="false" customHeight="false" outlineLevel="0" collapsed="false">
      <c r="A2863" s="0" t="n">
        <v>2034</v>
      </c>
      <c r="B2863" s="0" t="n">
        <v>324.7446428</v>
      </c>
      <c r="C2863" s="0" t="n">
        <v>6819.637499</v>
      </c>
      <c r="E2863" s="0" t="n">
        <v>2035</v>
      </c>
      <c r="F2863" s="0" t="n">
        <v>43.773044</v>
      </c>
      <c r="G2863" s="0" t="n">
        <v>918.677487</v>
      </c>
      <c r="I2863" s="0" t="n">
        <v>2029</v>
      </c>
      <c r="J2863" s="0" t="n">
        <v>2.28</v>
      </c>
      <c r="K2863" s="0" t="n">
        <v>48.06</v>
      </c>
      <c r="M2863" s="0" t="n">
        <v>2035</v>
      </c>
      <c r="N2863" s="0" t="n">
        <v>619.78</v>
      </c>
      <c r="O2863" s="0" t="n">
        <v>13011.96</v>
      </c>
      <c r="W2863" s="0" t="n">
        <v>2035</v>
      </c>
      <c r="X2863" s="0" t="n">
        <v>359.822</v>
      </c>
    </row>
    <row r="2864" customFormat="false" ht="15" hidden="false" customHeight="false" outlineLevel="0" collapsed="false">
      <c r="A2864" s="0" t="n">
        <v>2034</v>
      </c>
      <c r="B2864" s="0" t="n">
        <v>81.91020174</v>
      </c>
      <c r="C2864" s="0" t="n">
        <v>1720.114237</v>
      </c>
      <c r="E2864" s="0" t="n">
        <v>2035</v>
      </c>
      <c r="F2864" s="0" t="n">
        <v>2.049188</v>
      </c>
      <c r="G2864" s="0" t="n">
        <v>43.006899</v>
      </c>
      <c r="I2864" s="0" t="n">
        <v>2029</v>
      </c>
      <c r="J2864" s="0" t="n">
        <v>4.56</v>
      </c>
      <c r="K2864" s="0" t="n">
        <v>96.12</v>
      </c>
      <c r="M2864" s="0" t="n">
        <v>2035</v>
      </c>
      <c r="N2864" s="0" t="n">
        <v>407.75</v>
      </c>
      <c r="O2864" s="0" t="n">
        <v>8560.5</v>
      </c>
      <c r="W2864" s="0" t="n">
        <v>2035</v>
      </c>
      <c r="X2864" s="0" t="n">
        <v>142.035</v>
      </c>
    </row>
    <row r="2865" customFormat="false" ht="15" hidden="false" customHeight="false" outlineLevel="0" collapsed="false">
      <c r="A2865" s="0" t="n">
        <v>2034</v>
      </c>
      <c r="B2865" s="0" t="n">
        <v>73.04387795</v>
      </c>
      <c r="C2865" s="0" t="n">
        <v>1533.921437</v>
      </c>
      <c r="E2865" s="0" t="n">
        <v>2035</v>
      </c>
      <c r="F2865" s="0" t="n">
        <v>11.204808</v>
      </c>
      <c r="G2865" s="0" t="n">
        <v>235.158534</v>
      </c>
      <c r="I2865" s="0" t="n">
        <v>2029</v>
      </c>
      <c r="J2865" s="0" t="n">
        <v>7.98</v>
      </c>
      <c r="K2865" s="0" t="n">
        <v>168.21</v>
      </c>
      <c r="M2865" s="0" t="n">
        <v>2035</v>
      </c>
      <c r="N2865" s="0" t="n">
        <v>163.1</v>
      </c>
      <c r="O2865" s="0" t="n">
        <v>3424.2</v>
      </c>
      <c r="W2865" s="0" t="n">
        <v>2035</v>
      </c>
      <c r="X2865" s="0" t="n">
        <v>208.318</v>
      </c>
    </row>
    <row r="2866" customFormat="false" ht="15" hidden="false" customHeight="false" outlineLevel="0" collapsed="false">
      <c r="A2866" s="0" t="n">
        <v>2034</v>
      </c>
      <c r="B2866" s="0" t="n">
        <v>50.79768821</v>
      </c>
      <c r="C2866" s="0" t="n">
        <v>1066.751452</v>
      </c>
      <c r="E2866" s="0" t="n">
        <v>2035</v>
      </c>
      <c r="F2866" s="0" t="n">
        <v>10.245704</v>
      </c>
      <c r="G2866" s="0" t="n">
        <v>215.029542</v>
      </c>
      <c r="I2866" s="0" t="n">
        <v>2029</v>
      </c>
      <c r="J2866" s="0" t="n">
        <v>3.42</v>
      </c>
      <c r="K2866" s="0" t="n">
        <v>72.09</v>
      </c>
      <c r="M2866" s="0" t="n">
        <v>2035</v>
      </c>
      <c r="N2866" s="0" t="n">
        <v>163.1</v>
      </c>
      <c r="O2866" s="0" t="n">
        <v>3424.2</v>
      </c>
      <c r="W2866" s="0" t="n">
        <v>2035</v>
      </c>
      <c r="X2866" s="0" t="n">
        <v>160.973</v>
      </c>
    </row>
    <row r="2867" customFormat="false" ht="15" hidden="false" customHeight="false" outlineLevel="0" collapsed="false">
      <c r="A2867" s="0" t="n">
        <v>2034</v>
      </c>
      <c r="B2867" s="0" t="n">
        <v>37.78501875</v>
      </c>
      <c r="C2867" s="0" t="n">
        <v>793.4853938</v>
      </c>
      <c r="E2867" s="0" t="n">
        <v>2035</v>
      </c>
      <c r="F2867" s="0" t="n">
        <v>1429.806118</v>
      </c>
      <c r="G2867" s="0" t="n">
        <v>30022.33084</v>
      </c>
      <c r="I2867" s="0" t="n">
        <v>2029</v>
      </c>
      <c r="J2867" s="0" t="n">
        <v>3.42</v>
      </c>
      <c r="K2867" s="0" t="n">
        <v>72.09</v>
      </c>
      <c r="M2867" s="0" t="n">
        <v>2035</v>
      </c>
      <c r="N2867" s="0" t="n">
        <v>97.86</v>
      </c>
      <c r="O2867" s="0" t="n">
        <v>2054.52</v>
      </c>
      <c r="W2867" s="0" t="n">
        <v>2035</v>
      </c>
      <c r="X2867" s="0" t="n">
        <v>57216.7</v>
      </c>
    </row>
    <row r="2868" customFormat="false" ht="15" hidden="false" customHeight="false" outlineLevel="0" collapsed="false">
      <c r="A2868" s="0" t="n">
        <v>2034</v>
      </c>
      <c r="B2868" s="0" t="n">
        <v>16.79334167</v>
      </c>
      <c r="C2868" s="0" t="n">
        <v>352.660175</v>
      </c>
      <c r="E2868" s="0" t="n">
        <v>2035</v>
      </c>
      <c r="F2868" s="0" t="n">
        <v>383.918782</v>
      </c>
      <c r="G2868" s="0" t="n">
        <v>8061.328415</v>
      </c>
      <c r="I2868" s="0" t="n">
        <v>2029</v>
      </c>
      <c r="J2868" s="0" t="n">
        <v>13.52</v>
      </c>
      <c r="K2868" s="0" t="n">
        <v>284.44</v>
      </c>
      <c r="M2868" s="0" t="n">
        <v>2035</v>
      </c>
      <c r="N2868" s="0" t="n">
        <v>81.55</v>
      </c>
      <c r="O2868" s="0" t="n">
        <v>1712.1</v>
      </c>
      <c r="W2868" s="0" t="n">
        <v>2035</v>
      </c>
      <c r="X2868" s="0" t="n">
        <v>14304.175</v>
      </c>
    </row>
    <row r="2869" customFormat="false" ht="15" hidden="false" customHeight="false" outlineLevel="0" collapsed="false">
      <c r="A2869" s="0" t="n">
        <v>2034</v>
      </c>
      <c r="B2869" s="0" t="n">
        <v>62.02753897</v>
      </c>
      <c r="C2869" s="0" t="n">
        <v>1302.578318</v>
      </c>
      <c r="E2869" s="0" t="n">
        <v>2035</v>
      </c>
      <c r="F2869" s="0" t="n">
        <v>153.669334</v>
      </c>
      <c r="G2869" s="0" t="n">
        <v>3226.669355</v>
      </c>
      <c r="I2869" s="0" t="n">
        <v>2029</v>
      </c>
      <c r="J2869" s="0" t="n">
        <v>2.08</v>
      </c>
      <c r="K2869" s="0" t="n">
        <v>43.76</v>
      </c>
      <c r="M2869" s="0" t="n">
        <v>2035</v>
      </c>
      <c r="N2869" s="0" t="n">
        <v>65.24</v>
      </c>
      <c r="O2869" s="0" t="n">
        <v>1369.68</v>
      </c>
      <c r="W2869" s="0" t="n">
        <v>2035</v>
      </c>
      <c r="X2869" s="0" t="n">
        <v>4429.68</v>
      </c>
    </row>
    <row r="2870" customFormat="false" ht="15" hidden="false" customHeight="false" outlineLevel="0" collapsed="false">
      <c r="A2870" s="0" t="n">
        <v>2034</v>
      </c>
      <c r="B2870" s="0" t="n">
        <v>19.41678569</v>
      </c>
      <c r="C2870" s="0" t="n">
        <v>407.7524995</v>
      </c>
      <c r="E2870" s="0" t="n">
        <v>2035</v>
      </c>
      <c r="F2870" s="0" t="n">
        <v>21.585538</v>
      </c>
      <c r="G2870" s="0" t="n">
        <v>453.241985</v>
      </c>
      <c r="I2870" s="0" t="n">
        <v>2029</v>
      </c>
      <c r="J2870" s="0" t="n">
        <v>1.56</v>
      </c>
      <c r="K2870" s="0" t="n">
        <v>32.82</v>
      </c>
      <c r="M2870" s="0" t="n">
        <v>2035</v>
      </c>
      <c r="N2870" s="0" t="n">
        <v>32.62</v>
      </c>
      <c r="O2870" s="0" t="n">
        <v>684.84</v>
      </c>
      <c r="W2870" s="0" t="n">
        <v>2035</v>
      </c>
      <c r="X2870" s="0" t="n">
        <v>7844.225</v>
      </c>
    </row>
    <row r="2871" customFormat="false" ht="15" hidden="false" customHeight="false" outlineLevel="0" collapsed="false">
      <c r="A2871" s="0" t="n">
        <v>2034</v>
      </c>
      <c r="B2871" s="0" t="n">
        <v>43.41474622</v>
      </c>
      <c r="C2871" s="0" t="n">
        <v>911.7096707</v>
      </c>
      <c r="E2871" s="0" t="n">
        <v>2035</v>
      </c>
      <c r="F2871" s="0" t="n">
        <v>516.002578</v>
      </c>
      <c r="G2871" s="0" t="n">
        <v>10834.75579</v>
      </c>
      <c r="I2871" s="0" t="n">
        <v>2029</v>
      </c>
      <c r="J2871" s="0" t="n">
        <v>2.6</v>
      </c>
      <c r="K2871" s="0" t="n">
        <v>54.7</v>
      </c>
      <c r="M2871" s="0" t="n">
        <v>2035</v>
      </c>
      <c r="N2871" s="0" t="n">
        <v>210.9</v>
      </c>
      <c r="O2871" s="0" t="n">
        <v>4423.2</v>
      </c>
      <c r="W2871" s="0" t="n">
        <v>2035</v>
      </c>
      <c r="X2871" s="0" t="n">
        <v>3506.83</v>
      </c>
    </row>
    <row r="2872" customFormat="false" ht="15" hidden="false" customHeight="false" outlineLevel="0" collapsed="false">
      <c r="A2872" s="0" t="n">
        <v>2034</v>
      </c>
      <c r="B2872" s="0" t="n">
        <v>213.6571311</v>
      </c>
      <c r="C2872" s="0" t="n">
        <v>4486.799753</v>
      </c>
      <c r="E2872" s="0" t="n">
        <v>2035</v>
      </c>
      <c r="F2872" s="0" t="n">
        <v>24.156106</v>
      </c>
      <c r="G2872" s="0" t="n">
        <v>507.217445</v>
      </c>
      <c r="I2872" s="0" t="n">
        <v>2029</v>
      </c>
      <c r="J2872" s="0" t="n">
        <v>0.52</v>
      </c>
      <c r="K2872" s="0" t="n">
        <v>10.94</v>
      </c>
      <c r="M2872" s="0" t="n">
        <v>2035</v>
      </c>
      <c r="N2872" s="0" t="n">
        <v>138.75</v>
      </c>
      <c r="O2872" s="0" t="n">
        <v>2910</v>
      </c>
      <c r="W2872" s="0" t="n">
        <v>2035</v>
      </c>
      <c r="X2872" s="0" t="n">
        <v>1384.275</v>
      </c>
    </row>
    <row r="2873" customFormat="false" ht="15" hidden="false" customHeight="false" outlineLevel="0" collapsed="false">
      <c r="A2873" s="0" t="n">
        <v>2034</v>
      </c>
      <c r="B2873" s="0" t="n">
        <v>53.89064639</v>
      </c>
      <c r="C2873" s="0" t="n">
        <v>1131.703574</v>
      </c>
      <c r="E2873" s="0" t="n">
        <v>2035</v>
      </c>
      <c r="F2873" s="0" t="n">
        <v>132.083796</v>
      </c>
      <c r="G2873" s="0" t="n">
        <v>2773.42737</v>
      </c>
      <c r="I2873" s="0" t="n">
        <v>2029</v>
      </c>
      <c r="J2873" s="0" t="n">
        <v>0.52</v>
      </c>
      <c r="K2873" s="0" t="n">
        <v>10.94</v>
      </c>
      <c r="M2873" s="0" t="n">
        <v>2035</v>
      </c>
      <c r="N2873" s="0" t="n">
        <v>55.5</v>
      </c>
      <c r="O2873" s="0" t="n">
        <v>1164</v>
      </c>
      <c r="W2873" s="0" t="n">
        <v>2035</v>
      </c>
      <c r="X2873" s="0" t="n">
        <v>2030.27</v>
      </c>
    </row>
    <row r="2874" customFormat="false" ht="15" hidden="false" customHeight="false" outlineLevel="0" collapsed="false">
      <c r="A2874" s="0" t="n">
        <v>2034</v>
      </c>
      <c r="B2874" s="0" t="n">
        <v>48.05728363</v>
      </c>
      <c r="C2874" s="0" t="n">
        <v>1009.202956</v>
      </c>
      <c r="E2874" s="0" t="n">
        <v>2035</v>
      </c>
      <c r="F2874" s="0" t="n">
        <v>120.777748</v>
      </c>
      <c r="G2874" s="0" t="n">
        <v>2536.02881</v>
      </c>
      <c r="I2874" s="0" t="n">
        <v>2029</v>
      </c>
      <c r="J2874" s="0" t="n">
        <v>0</v>
      </c>
      <c r="K2874" s="0" t="n">
        <v>0</v>
      </c>
      <c r="M2874" s="0" t="n">
        <v>2035</v>
      </c>
      <c r="N2874" s="0" t="n">
        <v>55.5</v>
      </c>
      <c r="O2874" s="0" t="n">
        <v>1164</v>
      </c>
      <c r="W2874" s="0" t="n">
        <v>2035</v>
      </c>
      <c r="X2874" s="0" t="n">
        <v>1568.845</v>
      </c>
    </row>
    <row r="2875" customFormat="false" ht="15" hidden="false" customHeight="false" outlineLevel="0" collapsed="false">
      <c r="A2875" s="0" t="n">
        <v>2034</v>
      </c>
      <c r="B2875" s="0" t="n">
        <v>33.42099268</v>
      </c>
      <c r="C2875" s="0" t="n">
        <v>701.8408463</v>
      </c>
      <c r="E2875" s="0" t="n">
        <v>2035</v>
      </c>
      <c r="F2875" s="0" t="n">
        <v>637.810709</v>
      </c>
      <c r="G2875" s="0" t="n">
        <v>13391.96909</v>
      </c>
      <c r="I2875" s="0" t="n">
        <v>2029</v>
      </c>
      <c r="J2875" s="0" t="n">
        <v>1.04</v>
      </c>
      <c r="K2875" s="0" t="n">
        <v>21.88</v>
      </c>
      <c r="M2875" s="0" t="n">
        <v>2035</v>
      </c>
      <c r="N2875" s="0" t="n">
        <v>33.3</v>
      </c>
      <c r="O2875" s="0" t="n">
        <v>698.4</v>
      </c>
      <c r="W2875" s="0" t="n">
        <v>2035</v>
      </c>
      <c r="X2875" s="0" t="n">
        <v>15810.62</v>
      </c>
    </row>
    <row r="2876" customFormat="false" ht="15" hidden="false" customHeight="false" outlineLevel="0" collapsed="false">
      <c r="A2876" s="0" t="n">
        <v>2034</v>
      </c>
      <c r="B2876" s="0" t="n">
        <v>24.85965168</v>
      </c>
      <c r="C2876" s="0" t="n">
        <v>522.0526853</v>
      </c>
      <c r="E2876" s="0" t="n">
        <v>2035</v>
      </c>
      <c r="F2876" s="0" t="n">
        <v>171.259241</v>
      </c>
      <c r="G2876" s="0" t="n">
        <v>3595.892057</v>
      </c>
      <c r="I2876" s="0" t="n">
        <v>2029</v>
      </c>
      <c r="J2876" s="0" t="n">
        <v>1.82</v>
      </c>
      <c r="K2876" s="0" t="n">
        <v>38.29</v>
      </c>
      <c r="M2876" s="0" t="n">
        <v>2035</v>
      </c>
      <c r="N2876" s="0" t="n">
        <v>27.75</v>
      </c>
      <c r="O2876" s="0" t="n">
        <v>582</v>
      </c>
      <c r="W2876" s="0" t="n">
        <v>2035</v>
      </c>
      <c r="X2876" s="0" t="n">
        <v>3952.655</v>
      </c>
    </row>
    <row r="2877" customFormat="false" ht="15" hidden="false" customHeight="false" outlineLevel="0" collapsed="false">
      <c r="A2877" s="0" t="n">
        <v>2034</v>
      </c>
      <c r="B2877" s="0" t="n">
        <v>11.04873408</v>
      </c>
      <c r="C2877" s="0" t="n">
        <v>232.0234157</v>
      </c>
      <c r="E2877" s="0" t="n">
        <v>2035</v>
      </c>
      <c r="F2877" s="0" t="n">
        <v>68.549117</v>
      </c>
      <c r="G2877" s="0" t="n">
        <v>1439.310509</v>
      </c>
      <c r="I2877" s="0" t="n">
        <v>2029</v>
      </c>
      <c r="J2877" s="0" t="n">
        <v>0.52</v>
      </c>
      <c r="K2877" s="0" t="n">
        <v>10.94</v>
      </c>
      <c r="M2877" s="0" t="n">
        <v>2035</v>
      </c>
      <c r="N2877" s="0" t="n">
        <v>22.2</v>
      </c>
      <c r="O2877" s="0" t="n">
        <v>465.6</v>
      </c>
      <c r="W2877" s="0" t="n">
        <v>2035</v>
      </c>
      <c r="X2877" s="0" t="n">
        <v>1224.048</v>
      </c>
    </row>
    <row r="2878" customFormat="false" ht="15" hidden="false" customHeight="false" outlineLevel="0" collapsed="false">
      <c r="A2878" s="0" t="n">
        <v>2034</v>
      </c>
      <c r="B2878" s="0" t="n">
        <v>40.80937537</v>
      </c>
      <c r="C2878" s="0" t="n">
        <v>856.9968827</v>
      </c>
      <c r="E2878" s="0" t="n">
        <v>2035</v>
      </c>
      <c r="F2878" s="0" t="n">
        <v>9.628919</v>
      </c>
      <c r="G2878" s="0" t="n">
        <v>202.176263</v>
      </c>
      <c r="I2878" s="0" t="n">
        <v>2029</v>
      </c>
      <c r="J2878" s="0" t="n">
        <v>1.82</v>
      </c>
      <c r="K2878" s="0" t="n">
        <v>38.29</v>
      </c>
      <c r="M2878" s="0" t="n">
        <v>2035</v>
      </c>
      <c r="N2878" s="0" t="n">
        <v>11.1</v>
      </c>
      <c r="O2878" s="0" t="n">
        <v>232.8</v>
      </c>
      <c r="W2878" s="0" t="n">
        <v>2035</v>
      </c>
      <c r="X2878" s="0" t="n">
        <v>2167.585</v>
      </c>
    </row>
    <row r="2879" customFormat="false" ht="15" hidden="false" customHeight="false" outlineLevel="0" collapsed="false">
      <c r="A2879" s="0" t="n">
        <v>2034</v>
      </c>
      <c r="B2879" s="0" t="n">
        <v>12.77475955</v>
      </c>
      <c r="C2879" s="0" t="n">
        <v>268.2699505</v>
      </c>
      <c r="E2879" s="0" t="n">
        <v>2035</v>
      </c>
      <c r="F2879" s="0" t="n">
        <v>230.179439</v>
      </c>
      <c r="G2879" s="0" t="n">
        <v>4833.026303</v>
      </c>
      <c r="I2879" s="0" t="n">
        <v>2029</v>
      </c>
      <c r="J2879" s="0" t="n">
        <v>79.2</v>
      </c>
      <c r="K2879" s="0" t="n">
        <v>1659.84</v>
      </c>
      <c r="M2879" s="0" t="n">
        <v>2035</v>
      </c>
      <c r="N2879" s="0" t="n">
        <v>28.5</v>
      </c>
      <c r="O2879" s="0" t="n">
        <v>594.32</v>
      </c>
      <c r="W2879" s="0" t="n">
        <v>2035</v>
      </c>
      <c r="X2879" s="0" t="n">
        <v>969.038</v>
      </c>
    </row>
    <row r="2880" customFormat="false" ht="15" hidden="false" customHeight="false" outlineLevel="0" collapsed="false">
      <c r="A2880" s="0" t="n">
        <v>2034</v>
      </c>
      <c r="B2880" s="0" t="n">
        <v>28.56358167</v>
      </c>
      <c r="C2880" s="0" t="n">
        <v>599.835215</v>
      </c>
      <c r="E2880" s="0" t="n">
        <v>2035</v>
      </c>
      <c r="F2880" s="0" t="n">
        <v>10.775603</v>
      </c>
      <c r="G2880" s="0" t="n">
        <v>226.252931</v>
      </c>
      <c r="I2880" s="0" t="n">
        <v>2029</v>
      </c>
      <c r="J2880" s="0" t="n">
        <v>26.4</v>
      </c>
      <c r="K2880" s="0" t="n">
        <v>553.28</v>
      </c>
      <c r="M2880" s="0" t="n">
        <v>2035</v>
      </c>
      <c r="N2880" s="0" t="n">
        <v>18.75</v>
      </c>
      <c r="O2880" s="0" t="n">
        <v>391</v>
      </c>
      <c r="W2880" s="0" t="n">
        <v>2035</v>
      </c>
      <c r="X2880" s="0" t="n">
        <v>382.515</v>
      </c>
    </row>
    <row r="2881" customFormat="false" ht="15" hidden="false" customHeight="false" outlineLevel="0" collapsed="false">
      <c r="A2881" s="0" t="n">
        <v>2034</v>
      </c>
      <c r="B2881" s="0" t="n">
        <v>145.4817282</v>
      </c>
      <c r="C2881" s="0" t="n">
        <v>3055.116292</v>
      </c>
      <c r="E2881" s="0" t="n">
        <v>2035</v>
      </c>
      <c r="F2881" s="0" t="n">
        <v>58.920198</v>
      </c>
      <c r="G2881" s="0" t="n">
        <v>1237.134246</v>
      </c>
      <c r="I2881" s="0" t="n">
        <v>2029</v>
      </c>
      <c r="J2881" s="0" t="n">
        <v>11.55</v>
      </c>
      <c r="K2881" s="0" t="n">
        <v>242.06</v>
      </c>
      <c r="M2881" s="0" t="n">
        <v>2035</v>
      </c>
      <c r="N2881" s="0" t="n">
        <v>7.5</v>
      </c>
      <c r="O2881" s="0" t="n">
        <v>156.4</v>
      </c>
      <c r="W2881" s="0" t="n">
        <v>2035</v>
      </c>
      <c r="X2881" s="0" t="n">
        <v>561.022</v>
      </c>
    </row>
    <row r="2882" customFormat="false" ht="15" hidden="false" customHeight="false" outlineLevel="0" collapsed="false">
      <c r="A2882" s="0" t="n">
        <v>2034</v>
      </c>
      <c r="B2882" s="0" t="n">
        <v>36.69479381</v>
      </c>
      <c r="C2882" s="0" t="n">
        <v>770.5906699</v>
      </c>
      <c r="E2882" s="0" t="n">
        <v>2035</v>
      </c>
      <c r="F2882" s="0" t="n">
        <v>53.876774</v>
      </c>
      <c r="G2882" s="0" t="n">
        <v>1131.238598</v>
      </c>
      <c r="I2882" s="0" t="n">
        <v>2029</v>
      </c>
      <c r="J2882" s="0" t="n">
        <v>6.6</v>
      </c>
      <c r="K2882" s="0" t="n">
        <v>138.32</v>
      </c>
      <c r="M2882" s="0" t="n">
        <v>2035</v>
      </c>
      <c r="N2882" s="0" t="n">
        <v>7.5</v>
      </c>
      <c r="O2882" s="0" t="n">
        <v>156.4</v>
      </c>
      <c r="W2882" s="0" t="n">
        <v>2035</v>
      </c>
      <c r="X2882" s="0" t="n">
        <v>433.517</v>
      </c>
    </row>
    <row r="2883" customFormat="false" ht="15" hidden="false" customHeight="false" outlineLevel="0" collapsed="false">
      <c r="A2883" s="0" t="n">
        <v>2034</v>
      </c>
      <c r="B2883" s="0" t="n">
        <v>32.72278645</v>
      </c>
      <c r="C2883" s="0" t="n">
        <v>687.1785155</v>
      </c>
      <c r="E2883" s="0" t="n">
        <v>2035</v>
      </c>
      <c r="F2883" s="0" t="n">
        <v>87.885279</v>
      </c>
      <c r="G2883" s="0" t="n">
        <v>1845.590859</v>
      </c>
      <c r="I2883" s="0" t="n">
        <v>2029</v>
      </c>
      <c r="J2883" s="0" t="n">
        <v>6.6</v>
      </c>
      <c r="K2883" s="0" t="n">
        <v>138.32</v>
      </c>
      <c r="M2883" s="0" t="n">
        <v>2035</v>
      </c>
      <c r="N2883" s="0" t="n">
        <v>4.5</v>
      </c>
      <c r="O2883" s="0" t="n">
        <v>93.84</v>
      </c>
      <c r="W2883" s="0" t="n">
        <v>2035</v>
      </c>
      <c r="X2883" s="0" t="n">
        <v>5471.5</v>
      </c>
    </row>
    <row r="2884" customFormat="false" ht="15" hidden="false" customHeight="false" outlineLevel="0" collapsed="false">
      <c r="A2884" s="0" t="n">
        <v>2034</v>
      </c>
      <c r="B2884" s="0" t="n">
        <v>22.75675868</v>
      </c>
      <c r="C2884" s="0" t="n">
        <v>477.8919323</v>
      </c>
      <c r="E2884" s="0" t="n">
        <v>2035</v>
      </c>
      <c r="F2884" s="0" t="n">
        <v>23.598171</v>
      </c>
      <c r="G2884" s="0" t="n">
        <v>495.561591</v>
      </c>
      <c r="I2884" s="0" t="n">
        <v>2029</v>
      </c>
      <c r="J2884" s="0" t="n">
        <v>3.3</v>
      </c>
      <c r="K2884" s="0" t="n">
        <v>69.16</v>
      </c>
      <c r="M2884" s="0" t="n">
        <v>2035</v>
      </c>
      <c r="N2884" s="0" t="n">
        <v>3.75</v>
      </c>
      <c r="O2884" s="0" t="n">
        <v>78.2</v>
      </c>
      <c r="W2884" s="0" t="n">
        <v>2035</v>
      </c>
      <c r="X2884" s="0" t="n">
        <v>1367.875</v>
      </c>
    </row>
    <row r="2885" customFormat="false" ht="15" hidden="false" customHeight="false" outlineLevel="0" collapsed="false">
      <c r="A2885" s="0" t="n">
        <v>2034</v>
      </c>
      <c r="B2885" s="0" t="n">
        <v>16.92723791</v>
      </c>
      <c r="C2885" s="0" t="n">
        <v>355.4719961</v>
      </c>
      <c r="E2885" s="0" t="n">
        <v>2035</v>
      </c>
      <c r="F2885" s="0" t="n">
        <v>9.445527</v>
      </c>
      <c r="G2885" s="0" t="n">
        <v>198.356067</v>
      </c>
      <c r="I2885" s="0" t="n">
        <v>2029</v>
      </c>
      <c r="J2885" s="0" t="n">
        <v>3.3</v>
      </c>
      <c r="K2885" s="0" t="n">
        <v>69.16</v>
      </c>
      <c r="M2885" s="0" t="n">
        <v>2035</v>
      </c>
      <c r="N2885" s="0" t="n">
        <v>3</v>
      </c>
      <c r="O2885" s="0" t="n">
        <v>62.56</v>
      </c>
      <c r="W2885" s="0" t="n">
        <v>2035</v>
      </c>
      <c r="X2885" s="0" t="n">
        <v>423.6</v>
      </c>
    </row>
    <row r="2886" customFormat="false" ht="15" hidden="false" customHeight="false" outlineLevel="0" collapsed="false">
      <c r="A2886" s="0" t="n">
        <v>2034</v>
      </c>
      <c r="B2886" s="0" t="n">
        <v>7.523216849</v>
      </c>
      <c r="C2886" s="0" t="n">
        <v>157.9875538</v>
      </c>
      <c r="E2886" s="0" t="n">
        <v>2035</v>
      </c>
      <c r="F2886" s="0" t="n">
        <v>1.326789</v>
      </c>
      <c r="G2886" s="0" t="n">
        <v>27.862569</v>
      </c>
      <c r="I2886" s="0" t="n">
        <v>2029</v>
      </c>
      <c r="J2886" s="0" t="n">
        <v>6.6</v>
      </c>
      <c r="K2886" s="0" t="n">
        <v>138.32</v>
      </c>
      <c r="M2886" s="0" t="n">
        <v>2035</v>
      </c>
      <c r="N2886" s="0" t="n">
        <v>1.5</v>
      </c>
      <c r="O2886" s="0" t="n">
        <v>31.28</v>
      </c>
      <c r="W2886" s="0" t="n">
        <v>2035</v>
      </c>
      <c r="X2886" s="0" t="n">
        <v>750.125</v>
      </c>
    </row>
    <row r="2887" customFormat="false" ht="15" hidden="false" customHeight="false" outlineLevel="0" collapsed="false">
      <c r="A2887" s="0" t="n">
        <v>2034</v>
      </c>
      <c r="B2887" s="0" t="n">
        <v>27.78759794</v>
      </c>
      <c r="C2887" s="0" t="n">
        <v>583.5395567</v>
      </c>
      <c r="E2887" s="0" t="n">
        <v>2035</v>
      </c>
      <c r="F2887" s="0" t="n">
        <v>31.716909</v>
      </c>
      <c r="G2887" s="0" t="n">
        <v>666.055089</v>
      </c>
      <c r="I2887" s="0" t="n">
        <v>2029</v>
      </c>
      <c r="J2887" s="0" t="n">
        <v>11.55</v>
      </c>
      <c r="K2887" s="0" t="n">
        <v>242.06</v>
      </c>
      <c r="M2887" s="0" t="n">
        <v>2035</v>
      </c>
      <c r="N2887" s="0" t="n">
        <v>74.48</v>
      </c>
      <c r="O2887" s="0" t="n">
        <v>1559.9</v>
      </c>
      <c r="W2887" s="0" t="n">
        <v>2035</v>
      </c>
      <c r="X2887" s="0" t="n">
        <v>335.35</v>
      </c>
    </row>
    <row r="2888" customFormat="false" ht="15" hidden="false" customHeight="false" outlineLevel="0" collapsed="false">
      <c r="A2888" s="0" t="n">
        <v>2034</v>
      </c>
      <c r="B2888" s="0" t="n">
        <v>8.698488492</v>
      </c>
      <c r="C2888" s="0" t="n">
        <v>182.6682583</v>
      </c>
      <c r="E2888" s="0" t="n">
        <v>2035</v>
      </c>
      <c r="F2888" s="0" t="n">
        <v>1.484793</v>
      </c>
      <c r="G2888" s="0" t="n">
        <v>31.180653</v>
      </c>
      <c r="I2888" s="0" t="n">
        <v>2029</v>
      </c>
      <c r="J2888" s="0" t="n">
        <v>4.95</v>
      </c>
      <c r="K2888" s="0" t="n">
        <v>103.74</v>
      </c>
      <c r="M2888" s="0" t="n">
        <v>2035</v>
      </c>
      <c r="N2888" s="0" t="n">
        <v>49</v>
      </c>
      <c r="O2888" s="0" t="n">
        <v>1026.25</v>
      </c>
      <c r="W2888" s="0" t="n">
        <v>2035</v>
      </c>
      <c r="X2888" s="0" t="n">
        <v>132.375</v>
      </c>
    </row>
    <row r="2889" customFormat="false" ht="15" hidden="false" customHeight="false" outlineLevel="0" collapsed="false">
      <c r="A2889" s="0" t="n">
        <v>2034</v>
      </c>
      <c r="B2889" s="0" t="n">
        <v>19.4492887</v>
      </c>
      <c r="C2889" s="0" t="n">
        <v>408.4350626</v>
      </c>
      <c r="E2889" s="0" t="n">
        <v>2035</v>
      </c>
      <c r="F2889" s="0" t="n">
        <v>8.118738</v>
      </c>
      <c r="G2889" s="0" t="n">
        <v>170.493498</v>
      </c>
      <c r="I2889" s="0" t="n">
        <v>2029</v>
      </c>
      <c r="J2889" s="0" t="n">
        <v>4.95</v>
      </c>
      <c r="K2889" s="0" t="n">
        <v>103.74</v>
      </c>
      <c r="M2889" s="0" t="n">
        <v>2035</v>
      </c>
      <c r="N2889" s="0" t="n">
        <v>19.6</v>
      </c>
      <c r="O2889" s="0" t="n">
        <v>410.5</v>
      </c>
      <c r="W2889" s="0" t="n">
        <v>2035</v>
      </c>
      <c r="X2889" s="0" t="n">
        <v>194.15</v>
      </c>
    </row>
    <row r="2890" customFormat="false" ht="15" hidden="false" customHeight="false" outlineLevel="0" collapsed="false">
      <c r="A2890" s="0" t="n">
        <v>2034</v>
      </c>
      <c r="B2890" s="0" t="n">
        <v>98.471997</v>
      </c>
      <c r="C2890" s="0" t="n">
        <v>2067.911937</v>
      </c>
      <c r="E2890" s="0" t="n">
        <v>2035</v>
      </c>
      <c r="F2890" s="0" t="n">
        <v>7.423794</v>
      </c>
      <c r="G2890" s="0" t="n">
        <v>155.899674</v>
      </c>
      <c r="I2890" s="0" t="n">
        <v>2029</v>
      </c>
      <c r="J2890" s="0" t="n">
        <v>7.8</v>
      </c>
      <c r="K2890" s="0" t="n">
        <v>162.76</v>
      </c>
      <c r="M2890" s="0" t="n">
        <v>2035</v>
      </c>
      <c r="N2890" s="0" t="n">
        <v>19.6</v>
      </c>
      <c r="O2890" s="0" t="n">
        <v>410.5</v>
      </c>
      <c r="W2890" s="0" t="n">
        <v>2035</v>
      </c>
      <c r="X2890" s="0" t="n">
        <v>150.025</v>
      </c>
    </row>
    <row r="2891" customFormat="false" ht="15" hidden="false" customHeight="false" outlineLevel="0" collapsed="false">
      <c r="A2891" s="0" t="n">
        <v>2034</v>
      </c>
      <c r="B2891" s="0" t="n">
        <v>24.8375495</v>
      </c>
      <c r="C2891" s="0" t="n">
        <v>521.5885395</v>
      </c>
      <c r="E2891" s="0" t="n">
        <v>2035</v>
      </c>
      <c r="F2891" s="0" t="n">
        <v>632.671219</v>
      </c>
      <c r="G2891" s="0" t="n">
        <v>13286.0956</v>
      </c>
      <c r="I2891" s="0" t="n">
        <v>2029</v>
      </c>
      <c r="J2891" s="0" t="n">
        <v>1.2</v>
      </c>
      <c r="K2891" s="0" t="n">
        <v>25.04</v>
      </c>
      <c r="M2891" s="0" t="n">
        <v>2035</v>
      </c>
      <c r="N2891" s="0" t="n">
        <v>11.76</v>
      </c>
      <c r="O2891" s="0" t="n">
        <v>246.3</v>
      </c>
      <c r="W2891" s="0" t="n">
        <v>2035</v>
      </c>
      <c r="X2891" s="0" t="n">
        <v>50060.66</v>
      </c>
    </row>
    <row r="2892" customFormat="false" ht="15" hidden="false" customHeight="false" outlineLevel="0" collapsed="false">
      <c r="A2892" s="0" t="n">
        <v>2034</v>
      </c>
      <c r="B2892" s="0" t="n">
        <v>22.1490229</v>
      </c>
      <c r="C2892" s="0" t="n">
        <v>465.1294809</v>
      </c>
      <c r="E2892" s="0" t="n">
        <v>2035</v>
      </c>
      <c r="F2892" s="0" t="n">
        <v>169.879231</v>
      </c>
      <c r="G2892" s="0" t="n">
        <v>3567.463851</v>
      </c>
      <c r="I2892" s="0" t="n">
        <v>2029</v>
      </c>
      <c r="J2892" s="0" t="n">
        <v>0.9</v>
      </c>
      <c r="K2892" s="0" t="n">
        <v>18.78</v>
      </c>
      <c r="M2892" s="0" t="n">
        <v>2035</v>
      </c>
      <c r="N2892" s="0" t="n">
        <v>9.8</v>
      </c>
      <c r="O2892" s="0" t="n">
        <v>205.25</v>
      </c>
      <c r="W2892" s="0" t="n">
        <v>2035</v>
      </c>
      <c r="X2892" s="0" t="n">
        <v>12515.165</v>
      </c>
    </row>
    <row r="2893" customFormat="false" ht="15" hidden="false" customHeight="false" outlineLevel="0" collapsed="false">
      <c r="A2893" s="0" t="n">
        <v>2034</v>
      </c>
      <c r="B2893" s="0" t="n">
        <v>15.40333278</v>
      </c>
      <c r="C2893" s="0" t="n">
        <v>323.4699883</v>
      </c>
      <c r="E2893" s="0" t="n">
        <v>2035</v>
      </c>
      <c r="F2893" s="0" t="n">
        <v>67.996747</v>
      </c>
      <c r="G2893" s="0" t="n">
        <v>1427.931687</v>
      </c>
      <c r="I2893" s="0" t="n">
        <v>2029</v>
      </c>
      <c r="J2893" s="0" t="n">
        <v>1.5</v>
      </c>
      <c r="K2893" s="0" t="n">
        <v>31.3</v>
      </c>
      <c r="M2893" s="0" t="n">
        <v>2035</v>
      </c>
      <c r="N2893" s="0" t="n">
        <v>7.84</v>
      </c>
      <c r="O2893" s="0" t="n">
        <v>164.2</v>
      </c>
      <c r="W2893" s="0" t="n">
        <v>2035</v>
      </c>
      <c r="X2893" s="0" t="n">
        <v>3875.664</v>
      </c>
    </row>
    <row r="2894" customFormat="false" ht="15" hidden="false" customHeight="false" outlineLevel="0" collapsed="false">
      <c r="A2894" s="0" t="n">
        <v>2034</v>
      </c>
      <c r="B2894" s="0" t="n">
        <v>11.45751388</v>
      </c>
      <c r="C2894" s="0" t="n">
        <v>240.6077915</v>
      </c>
      <c r="E2894" s="0" t="n">
        <v>2035</v>
      </c>
      <c r="F2894" s="0" t="n">
        <v>9.551329</v>
      </c>
      <c r="G2894" s="0" t="n">
        <v>200.577909</v>
      </c>
      <c r="I2894" s="0" t="n">
        <v>2029</v>
      </c>
      <c r="J2894" s="0" t="n">
        <v>0.3</v>
      </c>
      <c r="K2894" s="0" t="n">
        <v>6.26</v>
      </c>
      <c r="M2894" s="0" t="n">
        <v>2035</v>
      </c>
      <c r="N2894" s="0" t="n">
        <v>3.92</v>
      </c>
      <c r="O2894" s="0" t="n">
        <v>82.1</v>
      </c>
      <c r="W2894" s="0" t="n">
        <v>2035</v>
      </c>
      <c r="X2894" s="0" t="n">
        <v>6863.155</v>
      </c>
    </row>
    <row r="2895" customFormat="false" ht="15" hidden="false" customHeight="false" outlineLevel="0" collapsed="false">
      <c r="A2895" s="0" t="n">
        <v>2034</v>
      </c>
      <c r="B2895" s="0" t="n">
        <v>5.092228393</v>
      </c>
      <c r="C2895" s="0" t="n">
        <v>106.9367962</v>
      </c>
      <c r="E2895" s="0" t="n">
        <v>2035</v>
      </c>
      <c r="F2895" s="0" t="n">
        <v>228.324649</v>
      </c>
      <c r="G2895" s="0" t="n">
        <v>4794.817629</v>
      </c>
      <c r="I2895" s="0" t="n">
        <v>2029</v>
      </c>
      <c r="J2895" s="0" t="n">
        <v>0.3</v>
      </c>
      <c r="K2895" s="0" t="n">
        <v>6.26</v>
      </c>
      <c r="M2895" s="0" t="n">
        <v>2035</v>
      </c>
      <c r="N2895" s="0" t="n">
        <v>46.74</v>
      </c>
      <c r="O2895" s="0" t="n">
        <v>977.36</v>
      </c>
      <c r="W2895" s="0" t="n">
        <v>2035</v>
      </c>
      <c r="X2895" s="0" t="n">
        <v>3068.234</v>
      </c>
    </row>
    <row r="2896" customFormat="false" ht="15" hidden="false" customHeight="false" outlineLevel="0" collapsed="false">
      <c r="A2896" s="0" t="n">
        <v>2034</v>
      </c>
      <c r="B2896" s="0" t="n">
        <v>18.80854932</v>
      </c>
      <c r="C2896" s="0" t="n">
        <v>394.9795358</v>
      </c>
      <c r="E2896" s="0" t="n">
        <v>2035</v>
      </c>
      <c r="F2896" s="0" t="n">
        <v>10.688773</v>
      </c>
      <c r="G2896" s="0" t="n">
        <v>224.464233</v>
      </c>
      <c r="I2896" s="0" t="n">
        <v>2029</v>
      </c>
      <c r="J2896" s="0" t="n">
        <v>0</v>
      </c>
      <c r="K2896" s="0" t="n">
        <v>0</v>
      </c>
      <c r="M2896" s="0" t="n">
        <v>2035</v>
      </c>
      <c r="N2896" s="0" t="n">
        <v>30.75</v>
      </c>
      <c r="O2896" s="0" t="n">
        <v>643</v>
      </c>
      <c r="W2896" s="0" t="n">
        <v>2035</v>
      </c>
      <c r="X2896" s="0" t="n">
        <v>1211.145</v>
      </c>
    </row>
    <row r="2897" customFormat="false" ht="15" hidden="false" customHeight="false" outlineLevel="0" collapsed="false">
      <c r="A2897" s="0" t="n">
        <v>2034</v>
      </c>
      <c r="B2897" s="0" t="n">
        <v>5.88773273</v>
      </c>
      <c r="C2897" s="0" t="n">
        <v>123.6423873</v>
      </c>
      <c r="E2897" s="0" t="n">
        <v>2035</v>
      </c>
      <c r="F2897" s="0" t="n">
        <v>58.445418</v>
      </c>
      <c r="G2897" s="0" t="n">
        <v>1227.353778</v>
      </c>
      <c r="I2897" s="0" t="n">
        <v>2029</v>
      </c>
      <c r="J2897" s="0" t="n">
        <v>0.6</v>
      </c>
      <c r="K2897" s="0" t="n">
        <v>12.52</v>
      </c>
      <c r="M2897" s="0" t="n">
        <v>2035</v>
      </c>
      <c r="N2897" s="0" t="n">
        <v>12.3</v>
      </c>
      <c r="O2897" s="0" t="n">
        <v>257.2</v>
      </c>
      <c r="W2897" s="0" t="n">
        <v>2035</v>
      </c>
      <c r="X2897" s="0" t="n">
        <v>1776.346</v>
      </c>
    </row>
    <row r="2898" customFormat="false" ht="15" hidden="false" customHeight="false" outlineLevel="0" collapsed="false">
      <c r="A2898" s="0" t="n">
        <v>2034</v>
      </c>
      <c r="B2898" s="0" t="n">
        <v>13.16461058</v>
      </c>
      <c r="C2898" s="0" t="n">
        <v>276.4568222</v>
      </c>
      <c r="E2898" s="0" t="n">
        <v>2035</v>
      </c>
      <c r="F2898" s="0" t="n">
        <v>53.442634</v>
      </c>
      <c r="G2898" s="0" t="n">
        <v>1122.295314</v>
      </c>
      <c r="I2898" s="0" t="n">
        <v>2029</v>
      </c>
      <c r="J2898" s="0" t="n">
        <v>1.05</v>
      </c>
      <c r="K2898" s="0" t="n">
        <v>21.91</v>
      </c>
      <c r="M2898" s="0" t="n">
        <v>2035</v>
      </c>
      <c r="N2898" s="0" t="n">
        <v>12.3</v>
      </c>
      <c r="O2898" s="0" t="n">
        <v>257.2</v>
      </c>
      <c r="W2898" s="0" t="n">
        <v>2035</v>
      </c>
      <c r="X2898" s="0" t="n">
        <v>1372.631</v>
      </c>
    </row>
    <row r="2899" customFormat="false" ht="15" hidden="false" customHeight="false" outlineLevel="0" collapsed="false">
      <c r="A2899" s="0" t="n">
        <v>2034</v>
      </c>
      <c r="B2899" s="0" t="n">
        <v>603.286173</v>
      </c>
      <c r="C2899" s="0" t="n">
        <v>12669.00963</v>
      </c>
      <c r="I2899" s="0" t="n">
        <v>2029</v>
      </c>
      <c r="J2899" s="0" t="n">
        <v>0.3</v>
      </c>
      <c r="K2899" s="0" t="n">
        <v>6.26</v>
      </c>
      <c r="M2899" s="0" t="n">
        <v>2035</v>
      </c>
      <c r="N2899" s="0" t="n">
        <v>7.38</v>
      </c>
      <c r="O2899" s="0" t="n">
        <v>154.32</v>
      </c>
    </row>
    <row r="2900" customFormat="false" ht="15" hidden="false" customHeight="false" outlineLevel="0" collapsed="false">
      <c r="A2900" s="0" t="n">
        <v>2034</v>
      </c>
      <c r="B2900" s="0" t="n">
        <v>152.1666122</v>
      </c>
      <c r="C2900" s="0" t="n">
        <v>3195.498857</v>
      </c>
      <c r="I2900" s="0" t="n">
        <v>2029</v>
      </c>
      <c r="J2900" s="0" t="n">
        <v>1.05</v>
      </c>
      <c r="K2900" s="0" t="n">
        <v>21.91</v>
      </c>
      <c r="M2900" s="0" t="n">
        <v>2035</v>
      </c>
      <c r="N2900" s="0" t="n">
        <v>6.15</v>
      </c>
      <c r="O2900" s="0" t="n">
        <v>128.6</v>
      </c>
    </row>
    <row r="2901" customFormat="false" ht="15" hidden="false" customHeight="false" outlineLevel="0" collapsed="false">
      <c r="A2901" s="0" t="n">
        <v>2034</v>
      </c>
      <c r="B2901" s="0" t="n">
        <v>135.6954227</v>
      </c>
      <c r="C2901" s="0" t="n">
        <v>2849.603878</v>
      </c>
      <c r="I2901" s="0" t="n">
        <v>2029</v>
      </c>
      <c r="J2901" s="0" t="n">
        <v>24.96</v>
      </c>
      <c r="K2901" s="0" t="n">
        <v>519.36</v>
      </c>
      <c r="M2901" s="0" t="n">
        <v>2035</v>
      </c>
      <c r="N2901" s="0" t="n">
        <v>4.92</v>
      </c>
      <c r="O2901" s="0" t="n">
        <v>102.88</v>
      </c>
    </row>
    <row r="2902" customFormat="false" ht="15" hidden="false" customHeight="false" outlineLevel="0" collapsed="false">
      <c r="A2902" s="0" t="n">
        <v>2034</v>
      </c>
      <c r="B2902" s="0" t="n">
        <v>94.3681246</v>
      </c>
      <c r="C2902" s="0" t="n">
        <v>1981.730617</v>
      </c>
      <c r="I2902" s="0" t="n">
        <v>2029</v>
      </c>
      <c r="J2902" s="0" t="n">
        <v>8.32</v>
      </c>
      <c r="K2902" s="0" t="n">
        <v>173.12</v>
      </c>
      <c r="M2902" s="0" t="n">
        <v>2035</v>
      </c>
      <c r="N2902" s="0" t="n">
        <v>2.46</v>
      </c>
      <c r="O2902" s="0" t="n">
        <v>51.44</v>
      </c>
    </row>
    <row r="2903" customFormat="false" ht="15" hidden="false" customHeight="false" outlineLevel="0" collapsed="false">
      <c r="A2903" s="0" t="n">
        <v>2034</v>
      </c>
      <c r="B2903" s="0" t="n">
        <v>70.19416599</v>
      </c>
      <c r="C2903" s="0" t="n">
        <v>1474.077486</v>
      </c>
      <c r="I2903" s="0" t="n">
        <v>2029</v>
      </c>
      <c r="J2903" s="0" t="n">
        <v>3.64</v>
      </c>
      <c r="K2903" s="0" t="n">
        <v>75.74</v>
      </c>
      <c r="M2903" s="0" t="n">
        <v>2035</v>
      </c>
      <c r="N2903" s="0" t="n">
        <v>46.74</v>
      </c>
      <c r="O2903" s="0" t="n">
        <v>975.46</v>
      </c>
    </row>
    <row r="2904" customFormat="false" ht="15" hidden="false" customHeight="false" outlineLevel="0" collapsed="false">
      <c r="A2904" s="0" t="n">
        <v>2034</v>
      </c>
      <c r="B2904" s="0" t="n">
        <v>31.19740711</v>
      </c>
      <c r="C2904" s="0" t="n">
        <v>655.1455492</v>
      </c>
      <c r="I2904" s="0" t="n">
        <v>2029</v>
      </c>
      <c r="J2904" s="0" t="n">
        <v>2.08</v>
      </c>
      <c r="K2904" s="0" t="n">
        <v>43.28</v>
      </c>
      <c r="M2904" s="0" t="n">
        <v>2035</v>
      </c>
      <c r="N2904" s="0" t="n">
        <v>30.75</v>
      </c>
      <c r="O2904" s="0" t="n">
        <v>641.75</v>
      </c>
    </row>
    <row r="2905" customFormat="false" ht="15" hidden="false" customHeight="false" outlineLevel="0" collapsed="false">
      <c r="A2905" s="0" t="n">
        <v>2034</v>
      </c>
      <c r="B2905" s="0" t="n">
        <v>115.2300967</v>
      </c>
      <c r="C2905" s="0" t="n">
        <v>2419.832032</v>
      </c>
      <c r="I2905" s="0" t="n">
        <v>2029</v>
      </c>
      <c r="J2905" s="0" t="n">
        <v>2.08</v>
      </c>
      <c r="K2905" s="0" t="n">
        <v>43.28</v>
      </c>
      <c r="M2905" s="0" t="n">
        <v>2035</v>
      </c>
      <c r="N2905" s="0" t="n">
        <v>12.3</v>
      </c>
      <c r="O2905" s="0" t="n">
        <v>256.7</v>
      </c>
    </row>
    <row r="2906" customFormat="false" ht="15" hidden="false" customHeight="false" outlineLevel="0" collapsed="false">
      <c r="A2906" s="0" t="n">
        <v>2034</v>
      </c>
      <c r="B2906" s="0" t="n">
        <v>36.0710441</v>
      </c>
      <c r="C2906" s="0" t="n">
        <v>757.491926</v>
      </c>
      <c r="I2906" s="0" t="n">
        <v>2029</v>
      </c>
      <c r="J2906" s="0" t="n">
        <v>1.04</v>
      </c>
      <c r="K2906" s="0" t="n">
        <v>21.64</v>
      </c>
      <c r="M2906" s="0" t="n">
        <v>2035</v>
      </c>
      <c r="N2906" s="0" t="n">
        <v>12.3</v>
      </c>
      <c r="O2906" s="0" t="n">
        <v>256.7</v>
      </c>
    </row>
    <row r="2907" customFormat="false" ht="15" hidden="false" customHeight="false" outlineLevel="0" collapsed="false">
      <c r="A2907" s="0" t="n">
        <v>2034</v>
      </c>
      <c r="B2907" s="0" t="n">
        <v>80.65265026</v>
      </c>
      <c r="C2907" s="0" t="n">
        <v>1693.705656</v>
      </c>
      <c r="I2907" s="0" t="n">
        <v>2029</v>
      </c>
      <c r="J2907" s="0" t="n">
        <v>1.04</v>
      </c>
      <c r="K2907" s="0" t="n">
        <v>21.64</v>
      </c>
      <c r="M2907" s="0" t="n">
        <v>2035</v>
      </c>
      <c r="N2907" s="0" t="n">
        <v>7.38</v>
      </c>
      <c r="O2907" s="0" t="n">
        <v>154.02</v>
      </c>
    </row>
    <row r="2908" customFormat="false" ht="15" hidden="false" customHeight="false" outlineLevel="0" collapsed="false">
      <c r="A2908" s="0" t="n">
        <v>2034</v>
      </c>
      <c r="B2908" s="0" t="n">
        <v>266.2809277</v>
      </c>
      <c r="C2908" s="0" t="n">
        <v>5591.899481</v>
      </c>
      <c r="I2908" s="0" t="n">
        <v>2029</v>
      </c>
      <c r="J2908" s="0" t="n">
        <v>2.08</v>
      </c>
      <c r="K2908" s="0" t="n">
        <v>43.28</v>
      </c>
      <c r="M2908" s="0" t="n">
        <v>2035</v>
      </c>
      <c r="N2908" s="0" t="n">
        <v>6.15</v>
      </c>
      <c r="O2908" s="0" t="n">
        <v>128.35</v>
      </c>
    </row>
    <row r="2909" customFormat="false" ht="15" hidden="false" customHeight="false" outlineLevel="0" collapsed="false">
      <c r="A2909" s="0" t="n">
        <v>2034</v>
      </c>
      <c r="B2909" s="0" t="n">
        <v>67.16392399</v>
      </c>
      <c r="C2909" s="0" t="n">
        <v>1410.442404</v>
      </c>
      <c r="I2909" s="0" t="n">
        <v>2029</v>
      </c>
      <c r="J2909" s="0" t="n">
        <v>3.64</v>
      </c>
      <c r="K2909" s="0" t="n">
        <v>75.74</v>
      </c>
      <c r="M2909" s="0" t="n">
        <v>2035</v>
      </c>
      <c r="N2909" s="0" t="n">
        <v>4.92</v>
      </c>
      <c r="O2909" s="0" t="n">
        <v>102.68</v>
      </c>
    </row>
    <row r="2910" customFormat="false" ht="15" hidden="false" customHeight="false" outlineLevel="0" collapsed="false">
      <c r="A2910" s="0" t="n">
        <v>2034</v>
      </c>
      <c r="B2910" s="0" t="n">
        <v>59.89380275</v>
      </c>
      <c r="C2910" s="0" t="n">
        <v>1257.769858</v>
      </c>
      <c r="I2910" s="0" t="n">
        <v>2029</v>
      </c>
      <c r="J2910" s="0" t="n">
        <v>1.56</v>
      </c>
      <c r="K2910" s="0" t="n">
        <v>32.46</v>
      </c>
      <c r="M2910" s="0" t="n">
        <v>2035</v>
      </c>
      <c r="N2910" s="0" t="n">
        <v>2.46</v>
      </c>
      <c r="O2910" s="0" t="n">
        <v>51.34</v>
      </c>
    </row>
    <row r="2911" customFormat="false" ht="15" hidden="false" customHeight="false" outlineLevel="0" collapsed="false">
      <c r="A2911" s="0" t="n">
        <v>2034</v>
      </c>
      <c r="B2911" s="0" t="n">
        <v>41.65259024</v>
      </c>
      <c r="C2911" s="0" t="n">
        <v>874.7043951</v>
      </c>
      <c r="I2911" s="0" t="n">
        <v>2029</v>
      </c>
      <c r="J2911" s="0" t="n">
        <v>1.56</v>
      </c>
      <c r="K2911" s="0" t="n">
        <v>32.46</v>
      </c>
      <c r="M2911" s="0" t="n">
        <v>2035</v>
      </c>
      <c r="N2911" s="0" t="n">
        <v>241.68</v>
      </c>
      <c r="O2911" s="0" t="n">
        <v>5072.24</v>
      </c>
    </row>
    <row r="2912" customFormat="false" ht="15" hidden="false" customHeight="false" outlineLevel="0" collapsed="false">
      <c r="A2912" s="0" t="n">
        <v>2034</v>
      </c>
      <c r="B2912" s="0" t="n">
        <v>30.98258915</v>
      </c>
      <c r="C2912" s="0" t="n">
        <v>650.6343721</v>
      </c>
      <c r="I2912" s="0" t="n">
        <v>2029</v>
      </c>
      <c r="J2912" s="0" t="n">
        <v>6.24</v>
      </c>
      <c r="K2912" s="0" t="n">
        <v>132.6</v>
      </c>
      <c r="M2912" s="0" t="n">
        <v>2035</v>
      </c>
      <c r="N2912" s="0" t="n">
        <v>159</v>
      </c>
      <c r="O2912" s="0" t="n">
        <v>3337</v>
      </c>
    </row>
    <row r="2913" customFormat="false" ht="15" hidden="false" customHeight="false" outlineLevel="0" collapsed="false">
      <c r="A2913" s="0" t="n">
        <v>2034</v>
      </c>
      <c r="B2913" s="0" t="n">
        <v>13.77003962</v>
      </c>
      <c r="C2913" s="0" t="n">
        <v>289.170832</v>
      </c>
      <c r="I2913" s="0" t="n">
        <v>2029</v>
      </c>
      <c r="J2913" s="0" t="n">
        <v>0.96</v>
      </c>
      <c r="K2913" s="0" t="n">
        <v>20.4</v>
      </c>
      <c r="M2913" s="0" t="n">
        <v>2035</v>
      </c>
      <c r="N2913" s="0" t="n">
        <v>63.6</v>
      </c>
      <c r="O2913" s="0" t="n">
        <v>1334.8</v>
      </c>
    </row>
    <row r="2914" customFormat="false" ht="15" hidden="false" customHeight="false" outlineLevel="0" collapsed="false">
      <c r="A2914" s="0" t="n">
        <v>2034</v>
      </c>
      <c r="B2914" s="0" t="n">
        <v>50.86073315</v>
      </c>
      <c r="C2914" s="0" t="n">
        <v>1068.075396</v>
      </c>
      <c r="I2914" s="0" t="n">
        <v>2029</v>
      </c>
      <c r="J2914" s="0" t="n">
        <v>0.72</v>
      </c>
      <c r="K2914" s="0" t="n">
        <v>15.3</v>
      </c>
      <c r="M2914" s="0" t="n">
        <v>2035</v>
      </c>
      <c r="N2914" s="0" t="n">
        <v>63.6</v>
      </c>
      <c r="O2914" s="0" t="n">
        <v>1334.8</v>
      </c>
    </row>
    <row r="2915" customFormat="false" ht="15" hidden="false" customHeight="false" outlineLevel="0" collapsed="false">
      <c r="A2915" s="0" t="n">
        <v>2034</v>
      </c>
      <c r="B2915" s="0" t="n">
        <v>15.92118552</v>
      </c>
      <c r="C2915" s="0" t="n">
        <v>334.344896</v>
      </c>
      <c r="I2915" s="0" t="n">
        <v>2029</v>
      </c>
      <c r="J2915" s="0" t="n">
        <v>1.2</v>
      </c>
      <c r="K2915" s="0" t="n">
        <v>25.5</v>
      </c>
      <c r="M2915" s="0" t="n">
        <v>2035</v>
      </c>
      <c r="N2915" s="0" t="n">
        <v>38.16</v>
      </c>
      <c r="O2915" s="0" t="n">
        <v>800.88</v>
      </c>
    </row>
    <row r="2916" customFormat="false" ht="15" hidden="false" customHeight="false" outlineLevel="0" collapsed="false">
      <c r="A2916" s="0" t="n">
        <v>2034</v>
      </c>
      <c r="B2916" s="0" t="n">
        <v>35.59879787</v>
      </c>
      <c r="C2916" s="0" t="n">
        <v>747.5747553</v>
      </c>
      <c r="I2916" s="0" t="n">
        <v>2029</v>
      </c>
      <c r="J2916" s="0" t="n">
        <v>0.24</v>
      </c>
      <c r="K2916" s="0" t="n">
        <v>5.1</v>
      </c>
      <c r="M2916" s="0" t="n">
        <v>2035</v>
      </c>
      <c r="N2916" s="0" t="n">
        <v>31.8</v>
      </c>
      <c r="O2916" s="0" t="n">
        <v>667.4</v>
      </c>
    </row>
    <row r="2917" customFormat="false" ht="15" hidden="false" customHeight="false" outlineLevel="0" collapsed="false">
      <c r="A2917" s="0" t="n">
        <v>2034</v>
      </c>
      <c r="B2917" s="0" t="n">
        <v>118.3793437</v>
      </c>
      <c r="C2917" s="0" t="n">
        <v>2485.966218</v>
      </c>
      <c r="I2917" s="0" t="n">
        <v>2029</v>
      </c>
      <c r="J2917" s="0" t="n">
        <v>0.24</v>
      </c>
      <c r="K2917" s="0" t="n">
        <v>5.1</v>
      </c>
      <c r="M2917" s="0" t="n">
        <v>2035</v>
      </c>
      <c r="N2917" s="0" t="n">
        <v>25.44</v>
      </c>
      <c r="O2917" s="0" t="n">
        <v>533.92</v>
      </c>
    </row>
    <row r="2918" customFormat="false" ht="15" hidden="false" customHeight="false" outlineLevel="0" collapsed="false">
      <c r="A2918" s="0" t="n">
        <v>2034</v>
      </c>
      <c r="B2918" s="0" t="n">
        <v>29.85877101</v>
      </c>
      <c r="C2918" s="0" t="n">
        <v>627.0341912</v>
      </c>
      <c r="I2918" s="0" t="n">
        <v>2029</v>
      </c>
      <c r="J2918" s="0" t="n">
        <v>0</v>
      </c>
      <c r="K2918" s="0" t="n">
        <v>0</v>
      </c>
      <c r="M2918" s="0" t="n">
        <v>2035</v>
      </c>
      <c r="N2918" s="0" t="n">
        <v>12.72</v>
      </c>
      <c r="O2918" s="0" t="n">
        <v>266.96</v>
      </c>
    </row>
    <row r="2919" customFormat="false" ht="15" hidden="false" customHeight="false" outlineLevel="0" collapsed="false">
      <c r="A2919" s="0" t="n">
        <v>2034</v>
      </c>
      <c r="B2919" s="0" t="n">
        <v>26.62672511</v>
      </c>
      <c r="C2919" s="0" t="n">
        <v>559.1612272</v>
      </c>
      <c r="I2919" s="0" t="n">
        <v>2029</v>
      </c>
      <c r="J2919" s="0" t="n">
        <v>0.48</v>
      </c>
      <c r="K2919" s="0" t="n">
        <v>10.2</v>
      </c>
      <c r="M2919" s="0" t="n">
        <v>2035</v>
      </c>
      <c r="N2919" s="0" t="n">
        <v>182.4</v>
      </c>
      <c r="O2919" s="0" t="n">
        <v>3825.84</v>
      </c>
    </row>
    <row r="2920" customFormat="false" ht="15" hidden="false" customHeight="false" outlineLevel="0" collapsed="false">
      <c r="A2920" s="0" t="n">
        <v>2034</v>
      </c>
      <c r="B2920" s="0" t="n">
        <v>18.51730929</v>
      </c>
      <c r="C2920" s="0" t="n">
        <v>388.8634952</v>
      </c>
      <c r="I2920" s="0" t="n">
        <v>2029</v>
      </c>
      <c r="J2920" s="0" t="n">
        <v>0.84</v>
      </c>
      <c r="K2920" s="0" t="n">
        <v>17.85</v>
      </c>
      <c r="M2920" s="0" t="n">
        <v>2035</v>
      </c>
      <c r="N2920" s="0" t="n">
        <v>120</v>
      </c>
      <c r="O2920" s="0" t="n">
        <v>2517</v>
      </c>
    </row>
    <row r="2921" customFormat="false" ht="15" hidden="false" customHeight="false" outlineLevel="0" collapsed="false">
      <c r="A2921" s="0" t="n">
        <v>2034</v>
      </c>
      <c r="B2921" s="0" t="n">
        <v>13.77379372</v>
      </c>
      <c r="C2921" s="0" t="n">
        <v>289.2496682</v>
      </c>
      <c r="I2921" s="0" t="n">
        <v>2029</v>
      </c>
      <c r="J2921" s="0" t="n">
        <v>0.24</v>
      </c>
      <c r="K2921" s="0" t="n">
        <v>5.1</v>
      </c>
      <c r="M2921" s="0" t="n">
        <v>2035</v>
      </c>
      <c r="N2921" s="0" t="n">
        <v>48</v>
      </c>
      <c r="O2921" s="0" t="n">
        <v>1006.8</v>
      </c>
    </row>
    <row r="2922" customFormat="false" ht="15" hidden="false" customHeight="false" outlineLevel="0" collapsed="false">
      <c r="A2922" s="0" t="n">
        <v>2034</v>
      </c>
      <c r="B2922" s="0" t="n">
        <v>6.121686098</v>
      </c>
      <c r="C2922" s="0" t="n">
        <v>128.5554081</v>
      </c>
      <c r="I2922" s="0" t="n">
        <v>2029</v>
      </c>
      <c r="J2922" s="0" t="n">
        <v>0.84</v>
      </c>
      <c r="K2922" s="0" t="n">
        <v>17.85</v>
      </c>
      <c r="M2922" s="0" t="n">
        <v>2035</v>
      </c>
      <c r="N2922" s="0" t="n">
        <v>48</v>
      </c>
      <c r="O2922" s="0" t="n">
        <v>1006.8</v>
      </c>
    </row>
    <row r="2923" customFormat="false" ht="15" hidden="false" customHeight="false" outlineLevel="0" collapsed="false">
      <c r="A2923" s="0" t="n">
        <v>2034</v>
      </c>
      <c r="B2923" s="0" t="n">
        <v>22.61093298</v>
      </c>
      <c r="C2923" s="0" t="n">
        <v>474.8295927</v>
      </c>
      <c r="I2923" s="0" t="n">
        <v>2029</v>
      </c>
      <c r="J2923" s="0" t="n">
        <v>348.48</v>
      </c>
      <c r="K2923" s="0" t="n">
        <v>7315.2</v>
      </c>
      <c r="M2923" s="0" t="n">
        <v>2035</v>
      </c>
      <c r="N2923" s="0" t="n">
        <v>28.8</v>
      </c>
      <c r="O2923" s="0" t="n">
        <v>604.08</v>
      </c>
    </row>
    <row r="2924" customFormat="false" ht="15" hidden="false" customHeight="false" outlineLevel="0" collapsed="false">
      <c r="A2924" s="0" t="n">
        <v>2034</v>
      </c>
      <c r="B2924" s="0" t="n">
        <v>7.078011594</v>
      </c>
      <c r="C2924" s="0" t="n">
        <v>148.6382435</v>
      </c>
      <c r="I2924" s="0" t="n">
        <v>2029</v>
      </c>
      <c r="J2924" s="0" t="n">
        <v>116.16</v>
      </c>
      <c r="K2924" s="0" t="n">
        <v>2438.4</v>
      </c>
      <c r="M2924" s="0" t="n">
        <v>2035</v>
      </c>
      <c r="N2924" s="0" t="n">
        <v>24</v>
      </c>
      <c r="O2924" s="0" t="n">
        <v>503.4</v>
      </c>
    </row>
    <row r="2925" customFormat="false" ht="15" hidden="false" customHeight="false" outlineLevel="0" collapsed="false">
      <c r="A2925" s="0" t="n">
        <v>2034</v>
      </c>
      <c r="B2925" s="0" t="n">
        <v>15.82600138</v>
      </c>
      <c r="C2925" s="0" t="n">
        <v>332.346029</v>
      </c>
      <c r="I2925" s="0" t="n">
        <v>2029</v>
      </c>
      <c r="J2925" s="0" t="n">
        <v>50.82</v>
      </c>
      <c r="K2925" s="0" t="n">
        <v>1066.8</v>
      </c>
      <c r="M2925" s="0" t="n">
        <v>2035</v>
      </c>
      <c r="N2925" s="0" t="n">
        <v>19.2</v>
      </c>
      <c r="O2925" s="0" t="n">
        <v>402.72</v>
      </c>
    </row>
    <row r="2926" customFormat="false" ht="15" hidden="false" customHeight="false" outlineLevel="0" collapsed="false">
      <c r="A2926" s="0" t="n">
        <v>2034</v>
      </c>
      <c r="B2926" s="0" t="n">
        <v>537.1434489</v>
      </c>
      <c r="C2926" s="0" t="n">
        <v>11280.01243</v>
      </c>
      <c r="I2926" s="0" t="n">
        <v>2029</v>
      </c>
      <c r="J2926" s="0" t="n">
        <v>29.04</v>
      </c>
      <c r="K2926" s="0" t="n">
        <v>609.6</v>
      </c>
      <c r="M2926" s="0" t="n">
        <v>2035</v>
      </c>
      <c r="N2926" s="0" t="n">
        <v>9.6</v>
      </c>
      <c r="O2926" s="0" t="n">
        <v>201.36</v>
      </c>
    </row>
    <row r="2927" customFormat="false" ht="15" hidden="false" customHeight="false" outlineLevel="0" collapsed="false">
      <c r="A2927" s="0" t="n">
        <v>2034</v>
      </c>
      <c r="B2927" s="0" t="n">
        <v>135.4834614</v>
      </c>
      <c r="C2927" s="0" t="n">
        <v>2845.152689</v>
      </c>
      <c r="I2927" s="0" t="n">
        <v>2029</v>
      </c>
      <c r="J2927" s="0" t="n">
        <v>29.04</v>
      </c>
      <c r="K2927" s="0" t="n">
        <v>609.6</v>
      </c>
      <c r="M2927" s="0" t="n">
        <v>2035</v>
      </c>
      <c r="N2927" s="0" t="n">
        <v>164.92</v>
      </c>
      <c r="O2927" s="0" t="n">
        <v>3456.48</v>
      </c>
    </row>
    <row r="2928" customFormat="false" ht="15" hidden="false" customHeight="false" outlineLevel="0" collapsed="false">
      <c r="A2928" s="0" t="n">
        <v>2034</v>
      </c>
      <c r="B2928" s="0" t="n">
        <v>120.8181302</v>
      </c>
      <c r="C2928" s="0" t="n">
        <v>2537.180733</v>
      </c>
      <c r="I2928" s="0" t="n">
        <v>2029</v>
      </c>
      <c r="J2928" s="0" t="n">
        <v>14.52</v>
      </c>
      <c r="K2928" s="0" t="n">
        <v>304.8</v>
      </c>
      <c r="M2928" s="0" t="n">
        <v>2035</v>
      </c>
      <c r="N2928" s="0" t="n">
        <v>108.5</v>
      </c>
      <c r="O2928" s="0" t="n">
        <v>2274</v>
      </c>
    </row>
    <row r="2929" customFormat="false" ht="15" hidden="false" customHeight="false" outlineLevel="0" collapsed="false">
      <c r="A2929" s="0" t="n">
        <v>2034</v>
      </c>
      <c r="B2929" s="0" t="n">
        <v>84.02184931</v>
      </c>
      <c r="C2929" s="0" t="n">
        <v>1764.458835</v>
      </c>
      <c r="I2929" s="0" t="n">
        <v>2029</v>
      </c>
      <c r="J2929" s="0" t="n">
        <v>14.52</v>
      </c>
      <c r="K2929" s="0" t="n">
        <v>304.8</v>
      </c>
      <c r="M2929" s="0" t="n">
        <v>2035</v>
      </c>
      <c r="N2929" s="0" t="n">
        <v>43.4</v>
      </c>
      <c r="O2929" s="0" t="n">
        <v>909.6</v>
      </c>
    </row>
    <row r="2930" customFormat="false" ht="15" hidden="false" customHeight="false" outlineLevel="0" collapsed="false">
      <c r="A2930" s="0" t="n">
        <v>2034</v>
      </c>
      <c r="B2930" s="0" t="n">
        <v>62.49826053</v>
      </c>
      <c r="C2930" s="0" t="n">
        <v>1312.463471</v>
      </c>
      <c r="I2930" s="0" t="n">
        <v>2029</v>
      </c>
      <c r="J2930" s="0" t="n">
        <v>29.04</v>
      </c>
      <c r="K2930" s="0" t="n">
        <v>609.6</v>
      </c>
      <c r="M2930" s="0" t="n">
        <v>2035</v>
      </c>
      <c r="N2930" s="0" t="n">
        <v>43.4</v>
      </c>
      <c r="O2930" s="0" t="n">
        <v>909.6</v>
      </c>
    </row>
    <row r="2931" customFormat="false" ht="15" hidden="false" customHeight="false" outlineLevel="0" collapsed="false">
      <c r="A2931" s="0" t="n">
        <v>2034</v>
      </c>
      <c r="B2931" s="0" t="n">
        <v>27.77700468</v>
      </c>
      <c r="C2931" s="0" t="n">
        <v>583.3170983</v>
      </c>
      <c r="I2931" s="0" t="n">
        <v>2029</v>
      </c>
      <c r="J2931" s="0" t="n">
        <v>50.82</v>
      </c>
      <c r="K2931" s="0" t="n">
        <v>1066.8</v>
      </c>
      <c r="M2931" s="0" t="n">
        <v>2035</v>
      </c>
      <c r="N2931" s="0" t="n">
        <v>26.04</v>
      </c>
      <c r="O2931" s="0" t="n">
        <v>545.76</v>
      </c>
    </row>
    <row r="2932" customFormat="false" ht="15" hidden="false" customHeight="false" outlineLevel="0" collapsed="false">
      <c r="A2932" s="0" t="n">
        <v>2034</v>
      </c>
      <c r="B2932" s="0" t="n">
        <v>102.5965692</v>
      </c>
      <c r="C2932" s="0" t="n">
        <v>2154.527953</v>
      </c>
      <c r="I2932" s="0" t="n">
        <v>2029</v>
      </c>
      <c r="J2932" s="0" t="n">
        <v>21.78</v>
      </c>
      <c r="K2932" s="0" t="n">
        <v>457.2</v>
      </c>
      <c r="M2932" s="0" t="n">
        <v>2035</v>
      </c>
      <c r="N2932" s="0" t="n">
        <v>21.7</v>
      </c>
      <c r="O2932" s="0" t="n">
        <v>454.8</v>
      </c>
    </row>
    <row r="2933" customFormat="false" ht="15" hidden="false" customHeight="false" outlineLevel="0" collapsed="false">
      <c r="A2933" s="0" t="n">
        <v>2034</v>
      </c>
      <c r="B2933" s="0" t="n">
        <v>32.11630881</v>
      </c>
      <c r="C2933" s="0" t="n">
        <v>674.442485</v>
      </c>
      <c r="I2933" s="0" t="n">
        <v>2029</v>
      </c>
      <c r="J2933" s="0" t="n">
        <v>21.78</v>
      </c>
      <c r="K2933" s="0" t="n">
        <v>457.2</v>
      </c>
      <c r="M2933" s="0" t="n">
        <v>2035</v>
      </c>
      <c r="N2933" s="0" t="n">
        <v>17.36</v>
      </c>
      <c r="O2933" s="0" t="n">
        <v>363.84</v>
      </c>
    </row>
    <row r="2934" customFormat="false" ht="15" hidden="false" customHeight="false" outlineLevel="0" collapsed="false">
      <c r="A2934" s="0" t="n">
        <v>2034</v>
      </c>
      <c r="B2934" s="0" t="n">
        <v>71.81010384</v>
      </c>
      <c r="C2934" s="0" t="n">
        <v>1508.012181</v>
      </c>
      <c r="I2934" s="0" t="n">
        <v>2029</v>
      </c>
      <c r="J2934" s="0" t="n">
        <v>84.24</v>
      </c>
      <c r="K2934" s="0" t="n">
        <v>1764.36</v>
      </c>
      <c r="M2934" s="0" t="n">
        <v>2035</v>
      </c>
      <c r="N2934" s="0" t="n">
        <v>8.68</v>
      </c>
      <c r="O2934" s="0" t="n">
        <v>181.92</v>
      </c>
    </row>
    <row r="2935" customFormat="false" ht="15" hidden="false" customHeight="false" outlineLevel="0" collapsed="false">
      <c r="A2935" s="0" t="n">
        <v>2035</v>
      </c>
      <c r="B2935" s="0" t="n">
        <v>253.6288735</v>
      </c>
      <c r="C2935" s="0" t="n">
        <v>5326.206343</v>
      </c>
      <c r="I2935" s="0" t="n">
        <v>2029</v>
      </c>
      <c r="J2935" s="0" t="n">
        <v>12.96</v>
      </c>
      <c r="K2935" s="0" t="n">
        <v>271.44</v>
      </c>
      <c r="M2935" s="0" t="n">
        <v>2035</v>
      </c>
      <c r="N2935" s="0" t="n">
        <v>264.48</v>
      </c>
      <c r="O2935" s="0" t="n">
        <v>5551.8</v>
      </c>
    </row>
    <row r="2936" customFormat="false" ht="15" hidden="false" customHeight="false" outlineLevel="0" collapsed="false">
      <c r="A2936" s="0" t="n">
        <v>2035</v>
      </c>
      <c r="B2936" s="0" t="n">
        <v>63.9727018</v>
      </c>
      <c r="C2936" s="0" t="n">
        <v>1343.426738</v>
      </c>
      <c r="I2936" s="0" t="n">
        <v>2029</v>
      </c>
      <c r="J2936" s="0" t="n">
        <v>9.72</v>
      </c>
      <c r="K2936" s="0" t="n">
        <v>203.58</v>
      </c>
      <c r="M2936" s="0" t="n">
        <v>2035</v>
      </c>
      <c r="N2936" s="0" t="n">
        <v>174</v>
      </c>
      <c r="O2936" s="0" t="n">
        <v>3652.5</v>
      </c>
    </row>
    <row r="2937" customFormat="false" ht="15" hidden="false" customHeight="false" outlineLevel="0" collapsed="false">
      <c r="A2937" s="0" t="n">
        <v>2035</v>
      </c>
      <c r="B2937" s="0" t="n">
        <v>57.04801261</v>
      </c>
      <c r="C2937" s="0" t="n">
        <v>1198.008265</v>
      </c>
      <c r="I2937" s="0" t="n">
        <v>2029</v>
      </c>
      <c r="J2937" s="0" t="n">
        <v>16.2</v>
      </c>
      <c r="K2937" s="0" t="n">
        <v>339.3</v>
      </c>
      <c r="M2937" s="0" t="n">
        <v>2035</v>
      </c>
      <c r="N2937" s="0" t="n">
        <v>69.6</v>
      </c>
      <c r="O2937" s="0" t="n">
        <v>1461</v>
      </c>
    </row>
    <row r="2938" customFormat="false" ht="15" hidden="false" customHeight="false" outlineLevel="0" collapsed="false">
      <c r="A2938" s="0" t="n">
        <v>2035</v>
      </c>
      <c r="B2938" s="0" t="n">
        <v>39.67351185</v>
      </c>
      <c r="C2938" s="0" t="n">
        <v>833.1437489</v>
      </c>
      <c r="I2938" s="0" t="n">
        <v>2029</v>
      </c>
      <c r="J2938" s="0" t="n">
        <v>3.24</v>
      </c>
      <c r="K2938" s="0" t="n">
        <v>67.86</v>
      </c>
      <c r="M2938" s="0" t="n">
        <v>2035</v>
      </c>
      <c r="N2938" s="0" t="n">
        <v>69.6</v>
      </c>
      <c r="O2938" s="0" t="n">
        <v>1461</v>
      </c>
    </row>
    <row r="2939" customFormat="false" ht="15" hidden="false" customHeight="false" outlineLevel="0" collapsed="false">
      <c r="A2939" s="0" t="n">
        <v>2035</v>
      </c>
      <c r="B2939" s="0" t="n">
        <v>29.51048448</v>
      </c>
      <c r="C2939" s="0" t="n">
        <v>619.7201741</v>
      </c>
      <c r="I2939" s="0" t="n">
        <v>2029</v>
      </c>
      <c r="J2939" s="0" t="n">
        <v>3.24</v>
      </c>
      <c r="K2939" s="0" t="n">
        <v>67.86</v>
      </c>
      <c r="M2939" s="0" t="n">
        <v>2035</v>
      </c>
      <c r="N2939" s="0" t="n">
        <v>41.76</v>
      </c>
      <c r="O2939" s="0" t="n">
        <v>876.6</v>
      </c>
    </row>
    <row r="2940" customFormat="false" ht="15" hidden="false" customHeight="false" outlineLevel="0" collapsed="false">
      <c r="A2940" s="0" t="n">
        <v>2035</v>
      </c>
      <c r="B2940" s="0" t="n">
        <v>13.11577088</v>
      </c>
      <c r="C2940" s="0" t="n">
        <v>275.4311885</v>
      </c>
      <c r="I2940" s="0" t="n">
        <v>2029</v>
      </c>
      <c r="J2940" s="0" t="n">
        <v>0</v>
      </c>
      <c r="K2940" s="0" t="n">
        <v>0</v>
      </c>
      <c r="M2940" s="0" t="n">
        <v>2035</v>
      </c>
      <c r="N2940" s="0" t="n">
        <v>34.8</v>
      </c>
      <c r="O2940" s="0" t="n">
        <v>730.5</v>
      </c>
    </row>
    <row r="2941" customFormat="false" ht="15" hidden="false" customHeight="false" outlineLevel="0" collapsed="false">
      <c r="A2941" s="0" t="n">
        <v>2035</v>
      </c>
      <c r="B2941" s="0" t="n">
        <v>48.44413968</v>
      </c>
      <c r="C2941" s="0" t="n">
        <v>1017.326933</v>
      </c>
      <c r="I2941" s="0" t="n">
        <v>2029</v>
      </c>
      <c r="J2941" s="0" t="n">
        <v>6.48</v>
      </c>
      <c r="K2941" s="0" t="n">
        <v>135.72</v>
      </c>
      <c r="M2941" s="0" t="n">
        <v>2035</v>
      </c>
      <c r="N2941" s="0" t="n">
        <v>27.84</v>
      </c>
      <c r="O2941" s="0" t="n">
        <v>584.4</v>
      </c>
    </row>
    <row r="2942" customFormat="false" ht="15" hidden="false" customHeight="false" outlineLevel="0" collapsed="false">
      <c r="A2942" s="0" t="n">
        <v>2035</v>
      </c>
      <c r="B2942" s="0" t="n">
        <v>15.16470738</v>
      </c>
      <c r="C2942" s="0" t="n">
        <v>318.458855</v>
      </c>
      <c r="I2942" s="0" t="n">
        <v>2029</v>
      </c>
      <c r="J2942" s="0" t="n">
        <v>11.34</v>
      </c>
      <c r="K2942" s="0" t="n">
        <v>237.51</v>
      </c>
      <c r="M2942" s="0" t="n">
        <v>2035</v>
      </c>
      <c r="N2942" s="0" t="n">
        <v>13.92</v>
      </c>
      <c r="O2942" s="0" t="n">
        <v>292.2</v>
      </c>
    </row>
    <row r="2943" customFormat="false" ht="15" hidden="false" customHeight="false" outlineLevel="0" collapsed="false">
      <c r="A2943" s="0" t="n">
        <v>2035</v>
      </c>
      <c r="B2943" s="0" t="n">
        <v>33.90735897</v>
      </c>
      <c r="C2943" s="0" t="n">
        <v>712.0545384</v>
      </c>
      <c r="I2943" s="0" t="n">
        <v>2029</v>
      </c>
      <c r="J2943" s="0" t="n">
        <v>3.24</v>
      </c>
      <c r="K2943" s="0" t="n">
        <v>67.86</v>
      </c>
      <c r="M2943" s="0" t="n">
        <v>2035</v>
      </c>
      <c r="N2943" s="0" t="n">
        <v>171.38</v>
      </c>
      <c r="O2943" s="0" t="n">
        <v>3595.94</v>
      </c>
    </row>
    <row r="2944" customFormat="false" ht="15" hidden="false" customHeight="false" outlineLevel="0" collapsed="false">
      <c r="A2944" s="0" t="n">
        <v>2035</v>
      </c>
      <c r="B2944" s="0" t="n">
        <v>255.5731604</v>
      </c>
      <c r="C2944" s="0" t="n">
        <v>5367.036368</v>
      </c>
      <c r="I2944" s="0" t="n">
        <v>2029</v>
      </c>
      <c r="J2944" s="0" t="n">
        <v>11.34</v>
      </c>
      <c r="K2944" s="0" t="n">
        <v>237.51</v>
      </c>
      <c r="M2944" s="0" t="n">
        <v>2035</v>
      </c>
      <c r="N2944" s="0" t="n">
        <v>112.75</v>
      </c>
      <c r="O2944" s="0" t="n">
        <v>2365.75</v>
      </c>
    </row>
    <row r="2945" customFormat="false" ht="15" hidden="false" customHeight="false" outlineLevel="0" collapsed="false">
      <c r="A2945" s="0" t="n">
        <v>2035</v>
      </c>
      <c r="B2945" s="0" t="n">
        <v>64.46310845</v>
      </c>
      <c r="C2945" s="0" t="n">
        <v>1353.725277</v>
      </c>
      <c r="I2945" s="0" t="n">
        <v>2029</v>
      </c>
      <c r="J2945" s="0" t="n">
        <v>201.6</v>
      </c>
      <c r="K2945" s="0" t="n">
        <v>4232.16</v>
      </c>
      <c r="M2945" s="0" t="n">
        <v>2035</v>
      </c>
      <c r="N2945" s="0" t="n">
        <v>45.1</v>
      </c>
      <c r="O2945" s="0" t="n">
        <v>946.3</v>
      </c>
    </row>
    <row r="2946" customFormat="false" ht="15" hidden="false" customHeight="false" outlineLevel="0" collapsed="false">
      <c r="A2946" s="0" t="n">
        <v>2035</v>
      </c>
      <c r="B2946" s="0" t="n">
        <v>57.48533547</v>
      </c>
      <c r="C2946" s="0" t="n">
        <v>1207.192045</v>
      </c>
      <c r="I2946" s="0" t="n">
        <v>2029</v>
      </c>
      <c r="J2946" s="0" t="n">
        <v>67.2</v>
      </c>
      <c r="K2946" s="0" t="n">
        <v>1410.72</v>
      </c>
      <c r="M2946" s="0" t="n">
        <v>2035</v>
      </c>
      <c r="N2946" s="0" t="n">
        <v>45.1</v>
      </c>
      <c r="O2946" s="0" t="n">
        <v>946.3</v>
      </c>
    </row>
    <row r="2947" customFormat="false" ht="15" hidden="false" customHeight="false" outlineLevel="0" collapsed="false">
      <c r="A2947" s="0" t="n">
        <v>2035</v>
      </c>
      <c r="B2947" s="0" t="n">
        <v>39.97764398</v>
      </c>
      <c r="C2947" s="0" t="n">
        <v>839.5305237</v>
      </c>
      <c r="I2947" s="0" t="n">
        <v>2029</v>
      </c>
      <c r="J2947" s="0" t="n">
        <v>29.4</v>
      </c>
      <c r="K2947" s="0" t="n">
        <v>617.19</v>
      </c>
      <c r="M2947" s="0" t="n">
        <v>2035</v>
      </c>
      <c r="N2947" s="0" t="n">
        <v>27.06</v>
      </c>
      <c r="O2947" s="0" t="n">
        <v>567.78</v>
      </c>
    </row>
    <row r="2948" customFormat="false" ht="15" hidden="false" customHeight="false" outlineLevel="0" collapsed="false">
      <c r="A2948" s="0" t="n">
        <v>2035</v>
      </c>
      <c r="B2948" s="0" t="n">
        <v>29.73670812</v>
      </c>
      <c r="C2948" s="0" t="n">
        <v>624.4708706</v>
      </c>
      <c r="I2948" s="0" t="n">
        <v>2029</v>
      </c>
      <c r="J2948" s="0" t="n">
        <v>16.8</v>
      </c>
      <c r="K2948" s="0" t="n">
        <v>352.68</v>
      </c>
      <c r="M2948" s="0" t="n">
        <v>2035</v>
      </c>
      <c r="N2948" s="0" t="n">
        <v>22.55</v>
      </c>
      <c r="O2948" s="0" t="n">
        <v>473.15</v>
      </c>
    </row>
    <row r="2949" customFormat="false" ht="15" hidden="false" customHeight="false" outlineLevel="0" collapsed="false">
      <c r="A2949" s="0" t="n">
        <v>2035</v>
      </c>
      <c r="B2949" s="0" t="n">
        <v>13.21631472</v>
      </c>
      <c r="C2949" s="0" t="n">
        <v>277.5426092</v>
      </c>
      <c r="I2949" s="0" t="n">
        <v>2029</v>
      </c>
      <c r="J2949" s="0" t="n">
        <v>16.8</v>
      </c>
      <c r="K2949" s="0" t="n">
        <v>352.68</v>
      </c>
      <c r="M2949" s="0" t="n">
        <v>2035</v>
      </c>
      <c r="N2949" s="0" t="n">
        <v>18.04</v>
      </c>
      <c r="O2949" s="0" t="n">
        <v>378.52</v>
      </c>
    </row>
    <row r="2950" customFormat="false" ht="15" hidden="false" customHeight="false" outlineLevel="0" collapsed="false">
      <c r="A2950" s="0" t="n">
        <v>2035</v>
      </c>
      <c r="B2950" s="0" t="n">
        <v>48.81550633</v>
      </c>
      <c r="C2950" s="0" t="n">
        <v>1025.125633</v>
      </c>
      <c r="I2950" s="0" t="n">
        <v>2029</v>
      </c>
      <c r="J2950" s="0" t="n">
        <v>8.4</v>
      </c>
      <c r="K2950" s="0" t="n">
        <v>176.34</v>
      </c>
      <c r="M2950" s="0" t="n">
        <v>2035</v>
      </c>
      <c r="N2950" s="0" t="n">
        <v>9.02</v>
      </c>
      <c r="O2950" s="0" t="n">
        <v>189.26</v>
      </c>
    </row>
    <row r="2951" customFormat="false" ht="15" hidden="false" customHeight="false" outlineLevel="0" collapsed="false">
      <c r="A2951" s="0" t="n">
        <v>2035</v>
      </c>
      <c r="B2951" s="0" t="n">
        <v>15.28095811</v>
      </c>
      <c r="C2951" s="0" t="n">
        <v>320.9001203</v>
      </c>
      <c r="I2951" s="0" t="n">
        <v>2029</v>
      </c>
      <c r="J2951" s="0" t="n">
        <v>8.4</v>
      </c>
      <c r="K2951" s="0" t="n">
        <v>176.34</v>
      </c>
      <c r="M2951" s="0" t="n">
        <v>2035</v>
      </c>
      <c r="N2951" s="0" t="n">
        <v>44.46</v>
      </c>
      <c r="O2951" s="0" t="n">
        <v>932.14</v>
      </c>
    </row>
    <row r="2952" customFormat="false" ht="15" hidden="false" customHeight="false" outlineLevel="0" collapsed="false">
      <c r="A2952" s="0" t="n">
        <v>2035</v>
      </c>
      <c r="B2952" s="0" t="n">
        <v>34.1672885</v>
      </c>
      <c r="C2952" s="0" t="n">
        <v>717.5130585</v>
      </c>
      <c r="I2952" s="0" t="n">
        <v>2029</v>
      </c>
      <c r="J2952" s="0" t="n">
        <v>16.8</v>
      </c>
      <c r="K2952" s="0" t="n">
        <v>352.68</v>
      </c>
      <c r="M2952" s="0" t="n">
        <v>2035</v>
      </c>
      <c r="N2952" s="0" t="n">
        <v>29.25</v>
      </c>
      <c r="O2952" s="0" t="n">
        <v>613.25</v>
      </c>
    </row>
    <row r="2953" customFormat="false" ht="15" hidden="false" customHeight="false" outlineLevel="0" collapsed="false">
      <c r="A2953" s="0" t="n">
        <v>2035</v>
      </c>
      <c r="B2953" s="0" t="n">
        <v>208.0722202</v>
      </c>
      <c r="C2953" s="0" t="n">
        <v>4369.516623</v>
      </c>
      <c r="I2953" s="0" t="n">
        <v>2029</v>
      </c>
      <c r="J2953" s="0" t="n">
        <v>29.4</v>
      </c>
      <c r="K2953" s="0" t="n">
        <v>617.19</v>
      </c>
      <c r="M2953" s="0" t="n">
        <v>2035</v>
      </c>
      <c r="N2953" s="0" t="n">
        <v>11.7</v>
      </c>
      <c r="O2953" s="0" t="n">
        <v>245.3</v>
      </c>
    </row>
    <row r="2954" customFormat="false" ht="15" hidden="false" customHeight="false" outlineLevel="0" collapsed="false">
      <c r="A2954" s="0" t="n">
        <v>2035</v>
      </c>
      <c r="B2954" s="0" t="n">
        <v>52.4819667</v>
      </c>
      <c r="C2954" s="0" t="n">
        <v>1102.121301</v>
      </c>
      <c r="I2954" s="0" t="n">
        <v>2029</v>
      </c>
      <c r="J2954" s="0" t="n">
        <v>12.6</v>
      </c>
      <c r="K2954" s="0" t="n">
        <v>264.51</v>
      </c>
      <c r="M2954" s="0" t="n">
        <v>2035</v>
      </c>
      <c r="N2954" s="0" t="n">
        <v>11.7</v>
      </c>
      <c r="O2954" s="0" t="n">
        <v>245.3</v>
      </c>
    </row>
    <row r="2955" customFormat="false" ht="15" hidden="false" customHeight="false" outlineLevel="0" collapsed="false">
      <c r="A2955" s="0" t="n">
        <v>2035</v>
      </c>
      <c r="B2955" s="0" t="n">
        <v>46.80108569</v>
      </c>
      <c r="C2955" s="0" t="n">
        <v>982.8227994</v>
      </c>
      <c r="I2955" s="0" t="n">
        <v>2029</v>
      </c>
      <c r="J2955" s="0" t="n">
        <v>12.6</v>
      </c>
      <c r="K2955" s="0" t="n">
        <v>264.51</v>
      </c>
      <c r="M2955" s="0" t="n">
        <v>2035</v>
      </c>
      <c r="N2955" s="0" t="n">
        <v>7.02</v>
      </c>
      <c r="O2955" s="0" t="n">
        <v>147.18</v>
      </c>
    </row>
    <row r="2956" customFormat="false" ht="15" hidden="false" customHeight="false" outlineLevel="0" collapsed="false">
      <c r="A2956" s="0" t="n">
        <v>2035</v>
      </c>
      <c r="B2956" s="0" t="n">
        <v>32.54738145</v>
      </c>
      <c r="C2956" s="0" t="n">
        <v>683.4950105</v>
      </c>
      <c r="I2956" s="0" t="n">
        <v>2029</v>
      </c>
      <c r="J2956" s="0" t="n">
        <v>30.16</v>
      </c>
      <c r="K2956" s="0" t="n">
        <v>635.44</v>
      </c>
      <c r="M2956" s="0" t="n">
        <v>2035</v>
      </c>
      <c r="N2956" s="0" t="n">
        <v>5.85</v>
      </c>
      <c r="O2956" s="0" t="n">
        <v>122.65</v>
      </c>
    </row>
    <row r="2957" customFormat="false" ht="15" hidden="false" customHeight="false" outlineLevel="0" collapsed="false">
      <c r="A2957" s="0" t="n">
        <v>2035</v>
      </c>
      <c r="B2957" s="0" t="n">
        <v>24.20983045</v>
      </c>
      <c r="C2957" s="0" t="n">
        <v>508.4064394</v>
      </c>
      <c r="I2957" s="0" t="n">
        <v>2029</v>
      </c>
      <c r="J2957" s="0" t="n">
        <v>4.64</v>
      </c>
      <c r="K2957" s="0" t="n">
        <v>97.76</v>
      </c>
      <c r="M2957" s="0" t="n">
        <v>2035</v>
      </c>
      <c r="N2957" s="0" t="n">
        <v>4.68</v>
      </c>
      <c r="O2957" s="0" t="n">
        <v>98.12</v>
      </c>
    </row>
    <row r="2958" customFormat="false" ht="15" hidden="false" customHeight="false" outlineLevel="0" collapsed="false">
      <c r="A2958" s="0" t="n">
        <v>2035</v>
      </c>
      <c r="B2958" s="0" t="n">
        <v>10.75992464</v>
      </c>
      <c r="C2958" s="0" t="n">
        <v>225.9584175</v>
      </c>
      <c r="I2958" s="0" t="n">
        <v>2029</v>
      </c>
      <c r="J2958" s="0" t="n">
        <v>3.48</v>
      </c>
      <c r="K2958" s="0" t="n">
        <v>73.32</v>
      </c>
      <c r="M2958" s="0" t="n">
        <v>2035</v>
      </c>
      <c r="N2958" s="0" t="n">
        <v>2.34</v>
      </c>
      <c r="O2958" s="0" t="n">
        <v>49.06</v>
      </c>
    </row>
    <row r="2959" customFormat="false" ht="15" hidden="false" customHeight="false" outlineLevel="0" collapsed="false">
      <c r="A2959" s="0" t="n">
        <v>2035</v>
      </c>
      <c r="B2959" s="0" t="n">
        <v>39.74263481</v>
      </c>
      <c r="C2959" s="0" t="n">
        <v>834.595331</v>
      </c>
      <c r="I2959" s="0" t="n">
        <v>2029</v>
      </c>
      <c r="J2959" s="0" t="n">
        <v>5.8</v>
      </c>
      <c r="K2959" s="0" t="n">
        <v>122.2</v>
      </c>
      <c r="M2959" s="0" t="n">
        <v>2035</v>
      </c>
      <c r="N2959" s="0" t="n">
        <v>98.8</v>
      </c>
      <c r="O2959" s="0" t="n">
        <v>2073.28</v>
      </c>
    </row>
    <row r="2960" customFormat="false" ht="15" hidden="false" customHeight="false" outlineLevel="0" collapsed="false">
      <c r="A2960" s="0" t="n">
        <v>2035</v>
      </c>
      <c r="B2960" s="0" t="n">
        <v>12.4408325</v>
      </c>
      <c r="C2960" s="0" t="n">
        <v>261.2574825</v>
      </c>
      <c r="I2960" s="0" t="n">
        <v>2029</v>
      </c>
      <c r="J2960" s="0" t="n">
        <v>1.16</v>
      </c>
      <c r="K2960" s="0" t="n">
        <v>24.44</v>
      </c>
      <c r="M2960" s="0" t="n">
        <v>2035</v>
      </c>
      <c r="N2960" s="0" t="n">
        <v>65</v>
      </c>
      <c r="O2960" s="0" t="n">
        <v>1364</v>
      </c>
    </row>
    <row r="2961" customFormat="false" ht="15" hidden="false" customHeight="false" outlineLevel="0" collapsed="false">
      <c r="A2961" s="0" t="n">
        <v>2035</v>
      </c>
      <c r="B2961" s="0" t="n">
        <v>27.8169412</v>
      </c>
      <c r="C2961" s="0" t="n">
        <v>584.1557652</v>
      </c>
      <c r="I2961" s="0" t="n">
        <v>2029</v>
      </c>
      <c r="J2961" s="0" t="n">
        <v>1.16</v>
      </c>
      <c r="K2961" s="0" t="n">
        <v>24.44</v>
      </c>
      <c r="M2961" s="0" t="n">
        <v>2035</v>
      </c>
      <c r="N2961" s="0" t="n">
        <v>26</v>
      </c>
      <c r="O2961" s="0" t="n">
        <v>545.6</v>
      </c>
    </row>
    <row r="2962" customFormat="false" ht="15" hidden="false" customHeight="false" outlineLevel="0" collapsed="false">
      <c r="A2962" s="0" t="n">
        <v>2035</v>
      </c>
      <c r="B2962" s="0" t="n">
        <v>379.9069552</v>
      </c>
      <c r="C2962" s="0" t="n">
        <v>7978.04606</v>
      </c>
      <c r="I2962" s="0" t="n">
        <v>2029</v>
      </c>
      <c r="J2962" s="0" t="n">
        <v>0</v>
      </c>
      <c r="K2962" s="0" t="n">
        <v>0</v>
      </c>
      <c r="M2962" s="0" t="n">
        <v>2035</v>
      </c>
      <c r="N2962" s="0" t="n">
        <v>26</v>
      </c>
      <c r="O2962" s="0" t="n">
        <v>545.6</v>
      </c>
    </row>
    <row r="2963" customFormat="false" ht="15" hidden="false" customHeight="false" outlineLevel="0" collapsed="false">
      <c r="A2963" s="0" t="n">
        <v>2035</v>
      </c>
      <c r="B2963" s="0" t="n">
        <v>95.82376811</v>
      </c>
      <c r="C2963" s="0" t="n">
        <v>2012.29913</v>
      </c>
      <c r="I2963" s="0" t="n">
        <v>2029</v>
      </c>
      <c r="J2963" s="0" t="n">
        <v>2.32</v>
      </c>
      <c r="K2963" s="0" t="n">
        <v>48.88</v>
      </c>
      <c r="M2963" s="0" t="n">
        <v>2035</v>
      </c>
      <c r="N2963" s="0" t="n">
        <v>15.6</v>
      </c>
      <c r="O2963" s="0" t="n">
        <v>327.36</v>
      </c>
    </row>
    <row r="2964" customFormat="false" ht="15" hidden="false" customHeight="false" outlineLevel="0" collapsed="false">
      <c r="A2964" s="0" t="n">
        <v>2035</v>
      </c>
      <c r="B2964" s="0" t="n">
        <v>85.45137813</v>
      </c>
      <c r="C2964" s="0" t="n">
        <v>1794.478941</v>
      </c>
      <c r="I2964" s="0" t="n">
        <v>2029</v>
      </c>
      <c r="J2964" s="0" t="n">
        <v>4.06</v>
      </c>
      <c r="K2964" s="0" t="n">
        <v>85.54</v>
      </c>
      <c r="M2964" s="0" t="n">
        <v>2035</v>
      </c>
      <c r="N2964" s="0" t="n">
        <v>13</v>
      </c>
      <c r="O2964" s="0" t="n">
        <v>272.8</v>
      </c>
    </row>
    <row r="2965" customFormat="false" ht="15" hidden="false" customHeight="false" outlineLevel="0" collapsed="false">
      <c r="A2965" s="0" t="n">
        <v>2035</v>
      </c>
      <c r="B2965" s="0" t="n">
        <v>59.42636926</v>
      </c>
      <c r="C2965" s="0" t="n">
        <v>1247.953755</v>
      </c>
      <c r="I2965" s="0" t="n">
        <v>2029</v>
      </c>
      <c r="J2965" s="0" t="n">
        <v>1.16</v>
      </c>
      <c r="K2965" s="0" t="n">
        <v>24.44</v>
      </c>
      <c r="M2965" s="0" t="n">
        <v>2035</v>
      </c>
      <c r="N2965" s="0" t="n">
        <v>10.4</v>
      </c>
      <c r="O2965" s="0" t="n">
        <v>218.24</v>
      </c>
    </row>
    <row r="2966" customFormat="false" ht="15" hidden="false" customHeight="false" outlineLevel="0" collapsed="false">
      <c r="A2966" s="0" t="n">
        <v>2035</v>
      </c>
      <c r="B2966" s="0" t="n">
        <v>44.2033202</v>
      </c>
      <c r="C2966" s="0" t="n">
        <v>928.2697241</v>
      </c>
      <c r="I2966" s="0" t="n">
        <v>2029</v>
      </c>
      <c r="J2966" s="0" t="n">
        <v>4.06</v>
      </c>
      <c r="K2966" s="0" t="n">
        <v>85.54</v>
      </c>
      <c r="M2966" s="0" t="n">
        <v>2035</v>
      </c>
      <c r="N2966" s="0" t="n">
        <v>5.2</v>
      </c>
      <c r="O2966" s="0" t="n">
        <v>109.12</v>
      </c>
    </row>
    <row r="2967" customFormat="false" ht="15" hidden="false" customHeight="false" outlineLevel="0" collapsed="false">
      <c r="A2967" s="0" t="n">
        <v>2035</v>
      </c>
      <c r="B2967" s="0" t="n">
        <v>19.64592009</v>
      </c>
      <c r="C2967" s="0" t="n">
        <v>412.5643218</v>
      </c>
      <c r="I2967" s="0" t="n">
        <v>2029</v>
      </c>
      <c r="J2967" s="0" t="n">
        <v>119.04</v>
      </c>
      <c r="K2967" s="0" t="n">
        <v>2499.84</v>
      </c>
      <c r="M2967" s="0" t="n">
        <v>2035</v>
      </c>
      <c r="N2967" s="0" t="n">
        <v>144.4</v>
      </c>
      <c r="O2967" s="0" t="n">
        <v>3032.02</v>
      </c>
    </row>
    <row r="2968" customFormat="false" ht="15" hidden="false" customHeight="false" outlineLevel="0" collapsed="false">
      <c r="A2968" s="0" t="n">
        <v>2035</v>
      </c>
      <c r="B2968" s="0" t="n">
        <v>72.56376354</v>
      </c>
      <c r="C2968" s="0" t="n">
        <v>1523.839034</v>
      </c>
      <c r="I2968" s="0" t="n">
        <v>2029</v>
      </c>
      <c r="J2968" s="0" t="n">
        <v>39.68</v>
      </c>
      <c r="K2968" s="0" t="n">
        <v>833.28</v>
      </c>
      <c r="M2968" s="0" t="n">
        <v>2035</v>
      </c>
      <c r="N2968" s="0" t="n">
        <v>95</v>
      </c>
      <c r="O2968" s="0" t="n">
        <v>1994.75</v>
      </c>
    </row>
    <row r="2969" customFormat="false" ht="15" hidden="false" customHeight="false" outlineLevel="0" collapsed="false">
      <c r="A2969" s="0" t="n">
        <v>2035</v>
      </c>
      <c r="B2969" s="0" t="n">
        <v>22.7149919</v>
      </c>
      <c r="C2969" s="0" t="n">
        <v>477.01483</v>
      </c>
      <c r="I2969" s="0" t="n">
        <v>2029</v>
      </c>
      <c r="J2969" s="0" t="n">
        <v>17.36</v>
      </c>
      <c r="K2969" s="0" t="n">
        <v>364.56</v>
      </c>
      <c r="M2969" s="0" t="n">
        <v>2035</v>
      </c>
      <c r="N2969" s="0" t="n">
        <v>38</v>
      </c>
      <c r="O2969" s="0" t="n">
        <v>797.9</v>
      </c>
    </row>
    <row r="2970" customFormat="false" ht="15" hidden="false" customHeight="false" outlineLevel="0" collapsed="false">
      <c r="A2970" s="0" t="n">
        <v>2035</v>
      </c>
      <c r="B2970" s="0" t="n">
        <v>50.78933376</v>
      </c>
      <c r="C2970" s="0" t="n">
        <v>1066.576009</v>
      </c>
      <c r="I2970" s="0" t="n">
        <v>2029</v>
      </c>
      <c r="J2970" s="0" t="n">
        <v>9.92</v>
      </c>
      <c r="K2970" s="0" t="n">
        <v>208.32</v>
      </c>
      <c r="M2970" s="0" t="n">
        <v>2035</v>
      </c>
      <c r="N2970" s="0" t="n">
        <v>38</v>
      </c>
      <c r="O2970" s="0" t="n">
        <v>797.9</v>
      </c>
    </row>
    <row r="2971" customFormat="false" ht="15" hidden="false" customHeight="false" outlineLevel="0" collapsed="false">
      <c r="A2971" s="0" t="n">
        <v>2035</v>
      </c>
      <c r="B2971" s="0" t="n">
        <v>182.3942242</v>
      </c>
      <c r="C2971" s="0" t="n">
        <v>3830.278709</v>
      </c>
      <c r="I2971" s="0" t="n">
        <v>2029</v>
      </c>
      <c r="J2971" s="0" t="n">
        <v>9.92</v>
      </c>
      <c r="K2971" s="0" t="n">
        <v>208.32</v>
      </c>
      <c r="M2971" s="0" t="n">
        <v>2035</v>
      </c>
      <c r="N2971" s="0" t="n">
        <v>22.8</v>
      </c>
      <c r="O2971" s="0" t="n">
        <v>478.74</v>
      </c>
    </row>
    <row r="2972" customFormat="false" ht="15" hidden="false" customHeight="false" outlineLevel="0" collapsed="false">
      <c r="A2972" s="0" t="n">
        <v>2035</v>
      </c>
      <c r="B2972" s="0" t="n">
        <v>46.00521682</v>
      </c>
      <c r="C2972" s="0" t="n">
        <v>966.1095533</v>
      </c>
      <c r="I2972" s="0" t="n">
        <v>2029</v>
      </c>
      <c r="J2972" s="0" t="n">
        <v>4.96</v>
      </c>
      <c r="K2972" s="0" t="n">
        <v>104.16</v>
      </c>
      <c r="M2972" s="0" t="n">
        <v>2035</v>
      </c>
      <c r="N2972" s="0" t="n">
        <v>19</v>
      </c>
      <c r="O2972" s="0" t="n">
        <v>398.95</v>
      </c>
    </row>
    <row r="2973" customFormat="false" ht="15" hidden="false" customHeight="false" outlineLevel="0" collapsed="false">
      <c r="A2973" s="0" t="n">
        <v>2035</v>
      </c>
      <c r="B2973" s="0" t="n">
        <v>41.02540796</v>
      </c>
      <c r="C2973" s="0" t="n">
        <v>861.5335672</v>
      </c>
      <c r="I2973" s="0" t="n">
        <v>2029</v>
      </c>
      <c r="J2973" s="0" t="n">
        <v>4.96</v>
      </c>
      <c r="K2973" s="0" t="n">
        <v>104.16</v>
      </c>
      <c r="M2973" s="0" t="n">
        <v>2035</v>
      </c>
      <c r="N2973" s="0" t="n">
        <v>15.2</v>
      </c>
      <c r="O2973" s="0" t="n">
        <v>319.16</v>
      </c>
    </row>
    <row r="2974" customFormat="false" ht="15" hidden="false" customHeight="false" outlineLevel="0" collapsed="false">
      <c r="A2974" s="0" t="n">
        <v>2035</v>
      </c>
      <c r="B2974" s="0" t="n">
        <v>28.53073989</v>
      </c>
      <c r="C2974" s="0" t="n">
        <v>599.1455377</v>
      </c>
      <c r="I2974" s="0" t="n">
        <v>2029</v>
      </c>
      <c r="J2974" s="0" t="n">
        <v>9.92</v>
      </c>
      <c r="K2974" s="0" t="n">
        <v>208.32</v>
      </c>
      <c r="M2974" s="0" t="n">
        <v>2035</v>
      </c>
      <c r="N2974" s="0" t="n">
        <v>7.6</v>
      </c>
      <c r="O2974" s="0" t="n">
        <v>159.58</v>
      </c>
    </row>
    <row r="2975" customFormat="false" ht="15" hidden="false" customHeight="false" outlineLevel="0" collapsed="false">
      <c r="A2975" s="0" t="n">
        <v>2035</v>
      </c>
      <c r="B2975" s="0" t="n">
        <v>21.22211817</v>
      </c>
      <c r="C2975" s="0" t="n">
        <v>445.6644815</v>
      </c>
      <c r="I2975" s="0" t="n">
        <v>2029</v>
      </c>
      <c r="J2975" s="0" t="n">
        <v>17.36</v>
      </c>
      <c r="K2975" s="0" t="n">
        <v>364.56</v>
      </c>
      <c r="M2975" s="0" t="n">
        <v>2035</v>
      </c>
      <c r="N2975" s="0" t="n">
        <v>227.24</v>
      </c>
      <c r="O2975" s="0" t="n">
        <v>4766.34</v>
      </c>
    </row>
    <row r="2976" customFormat="false" ht="15" hidden="false" customHeight="false" outlineLevel="0" collapsed="false">
      <c r="A2976" s="0" t="n">
        <v>2035</v>
      </c>
      <c r="B2976" s="0" t="n">
        <v>9.432052519</v>
      </c>
      <c r="C2976" s="0" t="n">
        <v>198.0731029</v>
      </c>
      <c r="I2976" s="0" t="n">
        <v>2029</v>
      </c>
      <c r="J2976" s="0" t="n">
        <v>7.44</v>
      </c>
      <c r="K2976" s="0" t="n">
        <v>156.24</v>
      </c>
      <c r="M2976" s="0" t="n">
        <v>2035</v>
      </c>
      <c r="N2976" s="0" t="n">
        <v>149.5</v>
      </c>
      <c r="O2976" s="0" t="n">
        <v>3135.75</v>
      </c>
    </row>
    <row r="2977" customFormat="false" ht="15" hidden="false" customHeight="false" outlineLevel="0" collapsed="false">
      <c r="A2977" s="0" t="n">
        <v>2035</v>
      </c>
      <c r="B2977" s="0" t="n">
        <v>34.83803383</v>
      </c>
      <c r="C2977" s="0" t="n">
        <v>731.5987105</v>
      </c>
      <c r="I2977" s="0" t="n">
        <v>2029</v>
      </c>
      <c r="J2977" s="0" t="n">
        <v>7.44</v>
      </c>
      <c r="K2977" s="0" t="n">
        <v>156.24</v>
      </c>
      <c r="M2977" s="0" t="n">
        <v>2035</v>
      </c>
      <c r="N2977" s="0" t="n">
        <v>59.8</v>
      </c>
      <c r="O2977" s="0" t="n">
        <v>1254.3</v>
      </c>
    </row>
    <row r="2978" customFormat="false" ht="15" hidden="false" customHeight="false" outlineLevel="0" collapsed="false">
      <c r="A2978" s="0" t="n">
        <v>2035</v>
      </c>
      <c r="B2978" s="0" t="n">
        <v>10.90552113</v>
      </c>
      <c r="C2978" s="0" t="n">
        <v>229.0159437</v>
      </c>
      <c r="I2978" s="0" t="n">
        <v>2029</v>
      </c>
      <c r="J2978" s="0" t="n">
        <v>15.6</v>
      </c>
      <c r="K2978" s="0" t="n">
        <v>330.72</v>
      </c>
      <c r="M2978" s="0" t="n">
        <v>2035</v>
      </c>
      <c r="N2978" s="0" t="n">
        <v>59.8</v>
      </c>
      <c r="O2978" s="0" t="n">
        <v>1254.3</v>
      </c>
    </row>
    <row r="2979" customFormat="false" ht="15" hidden="false" customHeight="false" outlineLevel="0" collapsed="false">
      <c r="A2979" s="0" t="n">
        <v>2035</v>
      </c>
      <c r="B2979" s="0" t="n">
        <v>24.3840788</v>
      </c>
      <c r="C2979" s="0" t="n">
        <v>512.0656547</v>
      </c>
      <c r="I2979" s="0" t="n">
        <v>2029</v>
      </c>
      <c r="J2979" s="0" t="n">
        <v>2.4</v>
      </c>
      <c r="K2979" s="0" t="n">
        <v>50.88</v>
      </c>
      <c r="M2979" s="0" t="n">
        <v>2035</v>
      </c>
      <c r="N2979" s="0" t="n">
        <v>35.88</v>
      </c>
      <c r="O2979" s="0" t="n">
        <v>752.58</v>
      </c>
    </row>
    <row r="2980" customFormat="false" ht="15" hidden="false" customHeight="false" outlineLevel="0" collapsed="false">
      <c r="A2980" s="0" t="n">
        <v>2035</v>
      </c>
      <c r="B2980" s="0" t="n">
        <v>76.53115493</v>
      </c>
      <c r="C2980" s="0" t="n">
        <v>1607.154253</v>
      </c>
      <c r="I2980" s="0" t="n">
        <v>2029</v>
      </c>
      <c r="J2980" s="0" t="n">
        <v>1.8</v>
      </c>
      <c r="K2980" s="0" t="n">
        <v>38.16</v>
      </c>
      <c r="M2980" s="0" t="n">
        <v>2035</v>
      </c>
      <c r="N2980" s="0" t="n">
        <v>29.9</v>
      </c>
      <c r="O2980" s="0" t="n">
        <v>627.15</v>
      </c>
    </row>
    <row r="2981" customFormat="false" ht="15" hidden="false" customHeight="false" outlineLevel="0" collapsed="false">
      <c r="A2981" s="0" t="n">
        <v>2035</v>
      </c>
      <c r="B2981" s="0" t="n">
        <v>19.30342033</v>
      </c>
      <c r="C2981" s="0" t="n">
        <v>405.3718269</v>
      </c>
      <c r="I2981" s="0" t="n">
        <v>2029</v>
      </c>
      <c r="J2981" s="0" t="n">
        <v>3</v>
      </c>
      <c r="K2981" s="0" t="n">
        <v>63.6</v>
      </c>
      <c r="M2981" s="0" t="n">
        <v>2035</v>
      </c>
      <c r="N2981" s="0" t="n">
        <v>23.92</v>
      </c>
      <c r="O2981" s="0" t="n">
        <v>501.72</v>
      </c>
    </row>
    <row r="2982" customFormat="false" ht="15" hidden="false" customHeight="false" outlineLevel="0" collapsed="false">
      <c r="A2982" s="0" t="n">
        <v>2035</v>
      </c>
      <c r="B2982" s="0" t="n">
        <v>17.21393243</v>
      </c>
      <c r="C2982" s="0" t="n">
        <v>361.4925811</v>
      </c>
      <c r="I2982" s="0" t="n">
        <v>2029</v>
      </c>
      <c r="J2982" s="0" t="n">
        <v>0.6</v>
      </c>
      <c r="K2982" s="0" t="n">
        <v>12.72</v>
      </c>
      <c r="M2982" s="0" t="n">
        <v>2035</v>
      </c>
      <c r="N2982" s="0" t="n">
        <v>11.96</v>
      </c>
      <c r="O2982" s="0" t="n">
        <v>250.86</v>
      </c>
    </row>
    <row r="2983" customFormat="false" ht="15" hidden="false" customHeight="false" outlineLevel="0" collapsed="false">
      <c r="A2983" s="0" t="n">
        <v>2035</v>
      </c>
      <c r="B2983" s="0" t="n">
        <v>11.97126983</v>
      </c>
      <c r="C2983" s="0" t="n">
        <v>251.3966665</v>
      </c>
      <c r="I2983" s="0" t="n">
        <v>2029</v>
      </c>
      <c r="J2983" s="0" t="n">
        <v>0.6</v>
      </c>
      <c r="K2983" s="0" t="n">
        <v>12.72</v>
      </c>
      <c r="M2983" s="0" t="n">
        <v>2035</v>
      </c>
      <c r="N2983" s="0" t="n">
        <v>172.9</v>
      </c>
      <c r="O2983" s="0" t="n">
        <v>3626.72</v>
      </c>
    </row>
    <row r="2984" customFormat="false" ht="15" hidden="false" customHeight="false" outlineLevel="0" collapsed="false">
      <c r="A2984" s="0" t="n">
        <v>2035</v>
      </c>
      <c r="B2984" s="0" t="n">
        <v>8.904630725</v>
      </c>
      <c r="C2984" s="0" t="n">
        <v>186.9972452</v>
      </c>
      <c r="I2984" s="0" t="n">
        <v>2029</v>
      </c>
      <c r="J2984" s="0" t="n">
        <v>0</v>
      </c>
      <c r="K2984" s="0" t="n">
        <v>0</v>
      </c>
      <c r="M2984" s="0" t="n">
        <v>2035</v>
      </c>
      <c r="N2984" s="0" t="n">
        <v>113.75</v>
      </c>
      <c r="O2984" s="0" t="n">
        <v>2386</v>
      </c>
    </row>
    <row r="2985" customFormat="false" ht="15" hidden="false" customHeight="false" outlineLevel="0" collapsed="false">
      <c r="A2985" s="0" t="n">
        <v>2035</v>
      </c>
      <c r="B2985" s="0" t="n">
        <v>3.957613656</v>
      </c>
      <c r="C2985" s="0" t="n">
        <v>83.10988677</v>
      </c>
      <c r="I2985" s="0" t="n">
        <v>2029</v>
      </c>
      <c r="J2985" s="0" t="n">
        <v>1.2</v>
      </c>
      <c r="K2985" s="0" t="n">
        <v>25.44</v>
      </c>
      <c r="M2985" s="0" t="n">
        <v>2035</v>
      </c>
      <c r="N2985" s="0" t="n">
        <v>45.5</v>
      </c>
      <c r="O2985" s="0" t="n">
        <v>954.4</v>
      </c>
    </row>
    <row r="2986" customFormat="false" ht="15" hidden="false" customHeight="false" outlineLevel="0" collapsed="false">
      <c r="A2986" s="0" t="n">
        <v>2035</v>
      </c>
      <c r="B2986" s="0" t="n">
        <v>14.61775983</v>
      </c>
      <c r="C2986" s="0" t="n">
        <v>306.9729564</v>
      </c>
      <c r="I2986" s="0" t="n">
        <v>2029</v>
      </c>
      <c r="J2986" s="0" t="n">
        <v>2.1</v>
      </c>
      <c r="K2986" s="0" t="n">
        <v>44.52</v>
      </c>
      <c r="M2986" s="0" t="n">
        <v>2035</v>
      </c>
      <c r="N2986" s="0" t="n">
        <v>45.5</v>
      </c>
      <c r="O2986" s="0" t="n">
        <v>954.4</v>
      </c>
    </row>
    <row r="2987" customFormat="false" ht="15" hidden="false" customHeight="false" outlineLevel="0" collapsed="false">
      <c r="A2987" s="0" t="n">
        <v>2035</v>
      </c>
      <c r="B2987" s="0" t="n">
        <v>4.575869277</v>
      </c>
      <c r="C2987" s="0" t="n">
        <v>96.09325481</v>
      </c>
      <c r="I2987" s="0" t="n">
        <v>2029</v>
      </c>
      <c r="J2987" s="0" t="n">
        <v>0.6</v>
      </c>
      <c r="K2987" s="0" t="n">
        <v>12.72</v>
      </c>
      <c r="M2987" s="0" t="n">
        <v>2035</v>
      </c>
      <c r="N2987" s="0" t="n">
        <v>27.3</v>
      </c>
      <c r="O2987" s="0" t="n">
        <v>572.64</v>
      </c>
    </row>
    <row r="2988" customFormat="false" ht="15" hidden="false" customHeight="false" outlineLevel="0" collapsed="false">
      <c r="A2988" s="0" t="n">
        <v>2035</v>
      </c>
      <c r="B2988" s="0" t="n">
        <v>10.23136407</v>
      </c>
      <c r="C2988" s="0" t="n">
        <v>214.8586454</v>
      </c>
      <c r="I2988" s="0" t="n">
        <v>2029</v>
      </c>
      <c r="J2988" s="0" t="n">
        <v>2.1</v>
      </c>
      <c r="K2988" s="0" t="n">
        <v>44.52</v>
      </c>
      <c r="M2988" s="0" t="n">
        <v>2035</v>
      </c>
      <c r="N2988" s="0" t="n">
        <v>22.75</v>
      </c>
      <c r="O2988" s="0" t="n">
        <v>477.2</v>
      </c>
    </row>
    <row r="2989" customFormat="false" ht="15" hidden="false" customHeight="false" outlineLevel="0" collapsed="false">
      <c r="A2989" s="0" t="n">
        <v>2035</v>
      </c>
      <c r="B2989" s="0" t="n">
        <v>305.8899644</v>
      </c>
      <c r="C2989" s="0" t="n">
        <v>6423.689252</v>
      </c>
      <c r="I2989" s="0" t="n">
        <v>2029</v>
      </c>
      <c r="J2989" s="0" t="n">
        <v>102.72</v>
      </c>
      <c r="K2989" s="0" t="n">
        <v>2153.28</v>
      </c>
      <c r="M2989" s="0" t="n">
        <v>2035</v>
      </c>
      <c r="N2989" s="0" t="n">
        <v>18.2</v>
      </c>
      <c r="O2989" s="0" t="n">
        <v>381.76</v>
      </c>
    </row>
    <row r="2990" customFormat="false" ht="15" hidden="false" customHeight="false" outlineLevel="0" collapsed="false">
      <c r="A2990" s="0" t="n">
        <v>2035</v>
      </c>
      <c r="B2990" s="0" t="n">
        <v>77.15449431</v>
      </c>
      <c r="C2990" s="0" t="n">
        <v>1620.24438</v>
      </c>
      <c r="I2990" s="0" t="n">
        <v>2029</v>
      </c>
      <c r="J2990" s="0" t="n">
        <v>34.24</v>
      </c>
      <c r="K2990" s="0" t="n">
        <v>717.76</v>
      </c>
      <c r="M2990" s="0" t="n">
        <v>2035</v>
      </c>
      <c r="N2990" s="0" t="n">
        <v>9.1</v>
      </c>
      <c r="O2990" s="0" t="n">
        <v>190.88</v>
      </c>
    </row>
    <row r="2991" customFormat="false" ht="15" hidden="false" customHeight="false" outlineLevel="0" collapsed="false">
      <c r="A2991" s="0" t="n">
        <v>2035</v>
      </c>
      <c r="B2991" s="0" t="n">
        <v>68.80294939</v>
      </c>
      <c r="C2991" s="0" t="n">
        <v>1444.861937</v>
      </c>
      <c r="I2991" s="0" t="n">
        <v>2029</v>
      </c>
      <c r="J2991" s="0" t="n">
        <v>14.98</v>
      </c>
      <c r="K2991" s="0" t="n">
        <v>314.02</v>
      </c>
      <c r="M2991" s="0" t="n">
        <v>2035</v>
      </c>
      <c r="N2991" s="0" t="n">
        <v>67.64</v>
      </c>
      <c r="O2991" s="0" t="n">
        <v>1418.16</v>
      </c>
    </row>
    <row r="2992" customFormat="false" ht="15" hidden="false" customHeight="false" outlineLevel="0" collapsed="false">
      <c r="A2992" s="0" t="n">
        <v>2035</v>
      </c>
      <c r="B2992" s="0" t="n">
        <v>47.84837373</v>
      </c>
      <c r="C2992" s="0" t="n">
        <v>1004.815848</v>
      </c>
      <c r="I2992" s="0" t="n">
        <v>2029</v>
      </c>
      <c r="J2992" s="0" t="n">
        <v>8.56</v>
      </c>
      <c r="K2992" s="0" t="n">
        <v>179.44</v>
      </c>
      <c r="M2992" s="0" t="n">
        <v>2035</v>
      </c>
      <c r="N2992" s="0" t="n">
        <v>44.5</v>
      </c>
      <c r="O2992" s="0" t="n">
        <v>933</v>
      </c>
    </row>
    <row r="2993" customFormat="false" ht="15" hidden="false" customHeight="false" outlineLevel="0" collapsed="false">
      <c r="A2993" s="0" t="n">
        <v>2035</v>
      </c>
      <c r="B2993" s="0" t="n">
        <v>35.59122005</v>
      </c>
      <c r="C2993" s="0" t="n">
        <v>747.415621</v>
      </c>
      <c r="I2993" s="0" t="n">
        <v>2029</v>
      </c>
      <c r="J2993" s="0" t="n">
        <v>8.56</v>
      </c>
      <c r="K2993" s="0" t="n">
        <v>179.44</v>
      </c>
      <c r="M2993" s="0" t="n">
        <v>2035</v>
      </c>
      <c r="N2993" s="0" t="n">
        <v>17.8</v>
      </c>
      <c r="O2993" s="0" t="n">
        <v>373.2</v>
      </c>
    </row>
    <row r="2994" customFormat="false" ht="15" hidden="false" customHeight="false" outlineLevel="0" collapsed="false">
      <c r="A2994" s="0" t="n">
        <v>2035</v>
      </c>
      <c r="B2994" s="0" t="n">
        <v>15.81832002</v>
      </c>
      <c r="C2994" s="0" t="n">
        <v>332.1847204</v>
      </c>
      <c r="I2994" s="0" t="n">
        <v>2029</v>
      </c>
      <c r="J2994" s="0" t="n">
        <v>4.28</v>
      </c>
      <c r="K2994" s="0" t="n">
        <v>89.72</v>
      </c>
      <c r="M2994" s="0" t="n">
        <v>2035</v>
      </c>
      <c r="N2994" s="0" t="n">
        <v>17.8</v>
      </c>
      <c r="O2994" s="0" t="n">
        <v>373.2</v>
      </c>
    </row>
    <row r="2995" customFormat="false" ht="15" hidden="false" customHeight="false" outlineLevel="0" collapsed="false">
      <c r="A2995" s="0" t="n">
        <v>2035</v>
      </c>
      <c r="B2995" s="0" t="n">
        <v>58.42621921</v>
      </c>
      <c r="C2995" s="0" t="n">
        <v>1226.950603</v>
      </c>
      <c r="I2995" s="0" t="n">
        <v>2029</v>
      </c>
      <c r="J2995" s="0" t="n">
        <v>4.28</v>
      </c>
      <c r="K2995" s="0" t="n">
        <v>89.72</v>
      </c>
      <c r="M2995" s="0" t="n">
        <v>2035</v>
      </c>
      <c r="N2995" s="0" t="n">
        <v>10.68</v>
      </c>
      <c r="O2995" s="0" t="n">
        <v>223.92</v>
      </c>
    </row>
    <row r="2996" customFormat="false" ht="15" hidden="false" customHeight="false" outlineLevel="0" collapsed="false">
      <c r="A2996" s="0" t="n">
        <v>2035</v>
      </c>
      <c r="B2996" s="0" t="n">
        <v>18.28944685</v>
      </c>
      <c r="C2996" s="0" t="n">
        <v>384.0783838</v>
      </c>
      <c r="I2996" s="0" t="n">
        <v>2029</v>
      </c>
      <c r="J2996" s="0" t="n">
        <v>8.56</v>
      </c>
      <c r="K2996" s="0" t="n">
        <v>179.44</v>
      </c>
      <c r="M2996" s="0" t="n">
        <v>2035</v>
      </c>
      <c r="N2996" s="0" t="n">
        <v>8.9</v>
      </c>
      <c r="O2996" s="0" t="n">
        <v>186.6</v>
      </c>
    </row>
    <row r="2997" customFormat="false" ht="15" hidden="false" customHeight="false" outlineLevel="0" collapsed="false">
      <c r="A2997" s="0" t="n">
        <v>2035</v>
      </c>
      <c r="B2997" s="0" t="n">
        <v>40.89408546</v>
      </c>
      <c r="C2997" s="0" t="n">
        <v>858.7757947</v>
      </c>
      <c r="I2997" s="0" t="n">
        <v>2029</v>
      </c>
      <c r="J2997" s="0" t="n">
        <v>14.98</v>
      </c>
      <c r="K2997" s="0" t="n">
        <v>314.02</v>
      </c>
      <c r="M2997" s="0" t="n">
        <v>2035</v>
      </c>
      <c r="N2997" s="0" t="n">
        <v>7.12</v>
      </c>
      <c r="O2997" s="0" t="n">
        <v>149.28</v>
      </c>
    </row>
    <row r="2998" customFormat="false" ht="15" hidden="false" customHeight="false" outlineLevel="0" collapsed="false">
      <c r="A2998" s="0" t="n">
        <v>2035</v>
      </c>
      <c r="B2998" s="0" t="n">
        <v>390.1982669</v>
      </c>
      <c r="C2998" s="0" t="n">
        <v>8194.163605</v>
      </c>
      <c r="I2998" s="0" t="n">
        <v>2029</v>
      </c>
      <c r="J2998" s="0" t="n">
        <v>6.42</v>
      </c>
      <c r="K2998" s="0" t="n">
        <v>134.58</v>
      </c>
      <c r="M2998" s="0" t="n">
        <v>2035</v>
      </c>
      <c r="N2998" s="0" t="n">
        <v>3.56</v>
      </c>
      <c r="O2998" s="0" t="n">
        <v>74.64</v>
      </c>
    </row>
    <row r="2999" customFormat="false" ht="15" hidden="false" customHeight="false" outlineLevel="0" collapsed="false">
      <c r="A2999" s="0" t="n">
        <v>2035</v>
      </c>
      <c r="B2999" s="0" t="n">
        <v>98.41954123</v>
      </c>
      <c r="C2999" s="0" t="n">
        <v>2066.810366</v>
      </c>
      <c r="I2999" s="0" t="n">
        <v>2029</v>
      </c>
      <c r="J2999" s="0" t="n">
        <v>6.42</v>
      </c>
      <c r="K2999" s="0" t="n">
        <v>134.58</v>
      </c>
      <c r="M2999" s="0" t="n">
        <v>2035</v>
      </c>
      <c r="N2999" s="0" t="n">
        <v>97.66</v>
      </c>
      <c r="O2999" s="0" t="n">
        <v>2046.3</v>
      </c>
    </row>
    <row r="3000" customFormat="false" ht="15" hidden="false" customHeight="false" outlineLevel="0" collapsed="false">
      <c r="A3000" s="0" t="n">
        <v>2035</v>
      </c>
      <c r="B3000" s="0" t="n">
        <v>87.76617325</v>
      </c>
      <c r="C3000" s="0" t="n">
        <v>1843.089638</v>
      </c>
      <c r="I3000" s="0" t="n">
        <v>2029</v>
      </c>
      <c r="J3000" s="0" t="n">
        <v>20.8</v>
      </c>
      <c r="K3000" s="0" t="n">
        <v>442</v>
      </c>
      <c r="M3000" s="0" t="n">
        <v>2035</v>
      </c>
      <c r="N3000" s="0" t="n">
        <v>64.25</v>
      </c>
      <c r="O3000" s="0" t="n">
        <v>1346.25</v>
      </c>
    </row>
    <row r="3001" customFormat="false" ht="15" hidden="false" customHeight="false" outlineLevel="0" collapsed="false">
      <c r="A3001" s="0" t="n">
        <v>2035</v>
      </c>
      <c r="B3001" s="0" t="n">
        <v>61.03617208</v>
      </c>
      <c r="C3001" s="0" t="n">
        <v>1281.759614</v>
      </c>
      <c r="I3001" s="0" t="n">
        <v>2029</v>
      </c>
      <c r="J3001" s="0" t="n">
        <v>3.2</v>
      </c>
      <c r="K3001" s="0" t="n">
        <v>68</v>
      </c>
      <c r="M3001" s="0" t="n">
        <v>2035</v>
      </c>
      <c r="N3001" s="0" t="n">
        <v>25.7</v>
      </c>
      <c r="O3001" s="0" t="n">
        <v>538.5</v>
      </c>
    </row>
    <row r="3002" customFormat="false" ht="15" hidden="false" customHeight="false" outlineLevel="0" collapsed="false">
      <c r="A3002" s="0" t="n">
        <v>2035</v>
      </c>
      <c r="B3002" s="0" t="n">
        <v>45.40074535</v>
      </c>
      <c r="C3002" s="0" t="n">
        <v>953.4156524</v>
      </c>
      <c r="I3002" s="0" t="n">
        <v>2029</v>
      </c>
      <c r="J3002" s="0" t="n">
        <v>2.4</v>
      </c>
      <c r="K3002" s="0" t="n">
        <v>51</v>
      </c>
      <c r="M3002" s="0" t="n">
        <v>2035</v>
      </c>
      <c r="N3002" s="0" t="n">
        <v>25.7</v>
      </c>
      <c r="O3002" s="0" t="n">
        <v>538.5</v>
      </c>
    </row>
    <row r="3003" customFormat="false" ht="15" hidden="false" customHeight="false" outlineLevel="0" collapsed="false">
      <c r="A3003" s="0" t="n">
        <v>2035</v>
      </c>
      <c r="B3003" s="0" t="n">
        <v>20.17810905</v>
      </c>
      <c r="C3003" s="0" t="n">
        <v>423.74029</v>
      </c>
      <c r="I3003" s="0" t="n">
        <v>2029</v>
      </c>
      <c r="J3003" s="0" t="n">
        <v>4</v>
      </c>
      <c r="K3003" s="0" t="n">
        <v>85</v>
      </c>
      <c r="M3003" s="0" t="n">
        <v>2035</v>
      </c>
      <c r="N3003" s="0" t="n">
        <v>15.42</v>
      </c>
      <c r="O3003" s="0" t="n">
        <v>323.1</v>
      </c>
    </row>
    <row r="3004" customFormat="false" ht="15" hidden="false" customHeight="false" outlineLevel="0" collapsed="false">
      <c r="A3004" s="0" t="n">
        <v>2035</v>
      </c>
      <c r="B3004" s="0" t="n">
        <v>74.52944566</v>
      </c>
      <c r="C3004" s="0" t="n">
        <v>1565.118359</v>
      </c>
      <c r="I3004" s="0" t="n">
        <v>2029</v>
      </c>
      <c r="J3004" s="0" t="n">
        <v>0.8</v>
      </c>
      <c r="K3004" s="0" t="n">
        <v>17</v>
      </c>
      <c r="M3004" s="0" t="n">
        <v>2035</v>
      </c>
      <c r="N3004" s="0" t="n">
        <v>12.85</v>
      </c>
      <c r="O3004" s="0" t="n">
        <v>269.25</v>
      </c>
    </row>
    <row r="3005" customFormat="false" ht="15" hidden="false" customHeight="false" outlineLevel="0" collapsed="false">
      <c r="A3005" s="0" t="n">
        <v>2035</v>
      </c>
      <c r="B3005" s="0" t="n">
        <v>23.33031905</v>
      </c>
      <c r="C3005" s="0" t="n">
        <v>489.9367</v>
      </c>
      <c r="I3005" s="0" t="n">
        <v>2029</v>
      </c>
      <c r="J3005" s="0" t="n">
        <v>0.8</v>
      </c>
      <c r="K3005" s="0" t="n">
        <v>17</v>
      </c>
      <c r="M3005" s="0" t="n">
        <v>2035</v>
      </c>
      <c r="N3005" s="0" t="n">
        <v>10.28</v>
      </c>
      <c r="O3005" s="0" t="n">
        <v>215.4</v>
      </c>
    </row>
    <row r="3006" customFormat="false" ht="15" hidden="false" customHeight="false" outlineLevel="0" collapsed="false">
      <c r="A3006" s="0" t="n">
        <v>2035</v>
      </c>
      <c r="B3006" s="0" t="n">
        <v>52.16516765</v>
      </c>
      <c r="C3006" s="0" t="n">
        <v>1095.468521</v>
      </c>
      <c r="I3006" s="0" t="n">
        <v>2029</v>
      </c>
      <c r="J3006" s="0" t="n">
        <v>0</v>
      </c>
      <c r="K3006" s="0" t="n">
        <v>0</v>
      </c>
      <c r="M3006" s="0" t="n">
        <v>2035</v>
      </c>
      <c r="N3006" s="0" t="n">
        <v>5.14</v>
      </c>
      <c r="O3006" s="0" t="n">
        <v>107.7</v>
      </c>
    </row>
    <row r="3007" customFormat="false" ht="15" hidden="false" customHeight="false" outlineLevel="0" collapsed="false">
      <c r="A3007" s="0" t="n">
        <v>2035</v>
      </c>
      <c r="B3007" s="0" t="n">
        <v>384.1307509</v>
      </c>
      <c r="C3007" s="0" t="n">
        <v>8066.745769</v>
      </c>
      <c r="I3007" s="0" t="n">
        <v>2029</v>
      </c>
      <c r="J3007" s="0" t="n">
        <v>1.6</v>
      </c>
      <c r="K3007" s="0" t="n">
        <v>34</v>
      </c>
      <c r="M3007" s="0" t="n">
        <v>2035</v>
      </c>
      <c r="N3007" s="0" t="n">
        <v>548.1</v>
      </c>
      <c r="O3007" s="0" t="n">
        <v>11503.8</v>
      </c>
    </row>
    <row r="3008" customFormat="false" ht="15" hidden="false" customHeight="false" outlineLevel="0" collapsed="false">
      <c r="A3008" s="0" t="n">
        <v>2035</v>
      </c>
      <c r="B3008" s="0" t="n">
        <v>96.88913427</v>
      </c>
      <c r="C3008" s="0" t="n">
        <v>2034.67182</v>
      </c>
      <c r="I3008" s="0" t="n">
        <v>2029</v>
      </c>
      <c r="J3008" s="0" t="n">
        <v>2.8</v>
      </c>
      <c r="K3008" s="0" t="n">
        <v>59.5</v>
      </c>
      <c r="M3008" s="0" t="n">
        <v>2035</v>
      </c>
      <c r="N3008" s="0" t="n">
        <v>60.9</v>
      </c>
      <c r="O3008" s="0" t="n">
        <v>1278.2</v>
      </c>
    </row>
    <row r="3009" customFormat="false" ht="15" hidden="false" customHeight="false" outlineLevel="0" collapsed="false">
      <c r="A3009" s="0" t="n">
        <v>2035</v>
      </c>
      <c r="B3009" s="0" t="n">
        <v>86.40142434</v>
      </c>
      <c r="C3009" s="0" t="n">
        <v>1814.429911</v>
      </c>
      <c r="I3009" s="0" t="n">
        <v>2029</v>
      </c>
      <c r="J3009" s="0" t="n">
        <v>0.8</v>
      </c>
      <c r="K3009" s="0" t="n">
        <v>17</v>
      </c>
      <c r="M3009" s="0" t="n">
        <v>2035</v>
      </c>
      <c r="N3009" s="0" t="n">
        <v>766.8</v>
      </c>
      <c r="O3009" s="0" t="n">
        <v>16102.8</v>
      </c>
    </row>
    <row r="3010" customFormat="false" ht="15" hidden="false" customHeight="false" outlineLevel="0" collapsed="false">
      <c r="A3010" s="0" t="n">
        <v>2035</v>
      </c>
      <c r="B3010" s="0" t="n">
        <v>60.0870701</v>
      </c>
      <c r="C3010" s="0" t="n">
        <v>1261.828472</v>
      </c>
      <c r="I3010" s="0" t="n">
        <v>2029</v>
      </c>
      <c r="J3010" s="0" t="n">
        <v>2.8</v>
      </c>
      <c r="K3010" s="0" t="n">
        <v>59.5</v>
      </c>
      <c r="M3010" s="0" t="n">
        <v>2035</v>
      </c>
      <c r="N3010" s="0" t="n">
        <v>85.2</v>
      </c>
      <c r="O3010" s="0" t="n">
        <v>1789.2</v>
      </c>
    </row>
    <row r="3011" customFormat="false" ht="15" hidden="false" customHeight="false" outlineLevel="0" collapsed="false">
      <c r="A3011" s="0" t="n">
        <v>2035</v>
      </c>
      <c r="B3011" s="0" t="n">
        <v>44.69477156</v>
      </c>
      <c r="C3011" s="0" t="n">
        <v>938.5902028</v>
      </c>
      <c r="I3011" s="0" t="n">
        <v>2029</v>
      </c>
      <c r="J3011" s="0" t="n">
        <v>108.96</v>
      </c>
      <c r="K3011" s="0" t="n">
        <v>2289.6</v>
      </c>
      <c r="M3011" s="0" t="n">
        <v>2035</v>
      </c>
      <c r="N3011" s="0" t="n">
        <v>657.9</v>
      </c>
      <c r="O3011" s="0" t="n">
        <v>13804.2</v>
      </c>
    </row>
    <row r="3012" customFormat="false" ht="15" hidden="false" customHeight="false" outlineLevel="0" collapsed="false">
      <c r="A3012" s="0" t="n">
        <v>2035</v>
      </c>
      <c r="B3012" s="0" t="n">
        <v>19.86434292</v>
      </c>
      <c r="C3012" s="0" t="n">
        <v>417.1512013</v>
      </c>
      <c r="I3012" s="0" t="n">
        <v>2029</v>
      </c>
      <c r="J3012" s="0" t="n">
        <v>36.32</v>
      </c>
      <c r="K3012" s="0" t="n">
        <v>763.2</v>
      </c>
      <c r="M3012" s="0" t="n">
        <v>2035</v>
      </c>
      <c r="N3012" s="0" t="n">
        <v>73.1</v>
      </c>
      <c r="O3012" s="0" t="n">
        <v>1533.8</v>
      </c>
    </row>
    <row r="3013" customFormat="false" ht="15" hidden="false" customHeight="false" outlineLevel="0" collapsed="false">
      <c r="A3013" s="0" t="n">
        <v>2035</v>
      </c>
      <c r="B3013" s="0" t="n">
        <v>73.37052558</v>
      </c>
      <c r="C3013" s="0" t="n">
        <v>1540.781037</v>
      </c>
      <c r="I3013" s="0" t="n">
        <v>2029</v>
      </c>
      <c r="J3013" s="0" t="n">
        <v>15.89</v>
      </c>
      <c r="K3013" s="0" t="n">
        <v>333.9</v>
      </c>
      <c r="M3013" s="0" t="n">
        <v>2035</v>
      </c>
      <c r="N3013" s="0" t="n">
        <v>219.6</v>
      </c>
      <c r="O3013" s="0" t="n">
        <v>4599.9</v>
      </c>
    </row>
    <row r="3014" customFormat="false" ht="15" hidden="false" customHeight="false" outlineLevel="0" collapsed="false">
      <c r="A3014" s="0" t="n">
        <v>2035</v>
      </c>
      <c r="B3014" s="0" t="n">
        <v>22.96753659</v>
      </c>
      <c r="C3014" s="0" t="n">
        <v>482.3182685</v>
      </c>
      <c r="I3014" s="0" t="n">
        <v>2029</v>
      </c>
      <c r="J3014" s="0" t="n">
        <v>9.08</v>
      </c>
      <c r="K3014" s="0" t="n">
        <v>190.8</v>
      </c>
      <c r="M3014" s="0" t="n">
        <v>2035</v>
      </c>
      <c r="N3014" s="0" t="n">
        <v>24.4</v>
      </c>
      <c r="O3014" s="0" t="n">
        <v>511.1</v>
      </c>
    </row>
    <row r="3015" customFormat="false" ht="15" hidden="false" customHeight="false" outlineLevel="0" collapsed="false">
      <c r="A3015" s="0" t="n">
        <v>2035</v>
      </c>
      <c r="B3015" s="0" t="n">
        <v>51.35400825</v>
      </c>
      <c r="C3015" s="0" t="n">
        <v>1078.434173</v>
      </c>
      <c r="I3015" s="0" t="n">
        <v>2029</v>
      </c>
      <c r="J3015" s="0" t="n">
        <v>9.08</v>
      </c>
      <c r="K3015" s="0" t="n">
        <v>190.8</v>
      </c>
      <c r="M3015" s="0" t="n">
        <v>2035</v>
      </c>
      <c r="N3015" s="0" t="n">
        <v>1629</v>
      </c>
      <c r="O3015" s="0" t="n">
        <v>34194.6</v>
      </c>
    </row>
    <row r="3016" customFormat="false" ht="15" hidden="false" customHeight="false" outlineLevel="0" collapsed="false">
      <c r="A3016" s="0" t="n">
        <v>2035</v>
      </c>
      <c r="B3016" s="0" t="n">
        <v>1443.063144</v>
      </c>
      <c r="C3016" s="0" t="n">
        <v>30304.32602</v>
      </c>
      <c r="I3016" s="0" t="n">
        <v>2029</v>
      </c>
      <c r="J3016" s="0" t="n">
        <v>4.54</v>
      </c>
      <c r="K3016" s="0" t="n">
        <v>95.4</v>
      </c>
      <c r="M3016" s="0" t="n">
        <v>2035</v>
      </c>
      <c r="N3016" s="0" t="n">
        <v>181</v>
      </c>
      <c r="O3016" s="0" t="n">
        <v>3799.4</v>
      </c>
    </row>
    <row r="3017" customFormat="false" ht="15" hidden="false" customHeight="false" outlineLevel="0" collapsed="false">
      <c r="A3017" s="0" t="n">
        <v>2035</v>
      </c>
      <c r="B3017" s="0" t="n">
        <v>363.9831968</v>
      </c>
      <c r="C3017" s="0" t="n">
        <v>7643.647133</v>
      </c>
      <c r="I3017" s="0" t="n">
        <v>2029</v>
      </c>
      <c r="J3017" s="0" t="n">
        <v>4.54</v>
      </c>
      <c r="K3017" s="0" t="n">
        <v>95.4</v>
      </c>
      <c r="M3017" s="0" t="n">
        <v>2035</v>
      </c>
      <c r="N3017" s="0" t="n">
        <v>144</v>
      </c>
      <c r="O3017" s="0" t="n">
        <v>3024</v>
      </c>
    </row>
    <row r="3018" customFormat="false" ht="15" hidden="false" customHeight="false" outlineLevel="0" collapsed="false">
      <c r="A3018" s="0" t="n">
        <v>2035</v>
      </c>
      <c r="B3018" s="0" t="n">
        <v>324.5840401</v>
      </c>
      <c r="C3018" s="0" t="n">
        <v>6816.264841</v>
      </c>
      <c r="I3018" s="0" t="n">
        <v>2029</v>
      </c>
      <c r="J3018" s="0" t="n">
        <v>9.08</v>
      </c>
      <c r="K3018" s="0" t="n">
        <v>190.8</v>
      </c>
      <c r="M3018" s="0" t="n">
        <v>2035</v>
      </c>
      <c r="N3018" s="0" t="n">
        <v>16</v>
      </c>
      <c r="O3018" s="0" t="n">
        <v>336</v>
      </c>
    </row>
    <row r="3019" customFormat="false" ht="15" hidden="false" customHeight="false" outlineLevel="0" collapsed="false">
      <c r="A3019" s="0" t="n">
        <v>2035</v>
      </c>
      <c r="B3019" s="0" t="n">
        <v>225.7289636</v>
      </c>
      <c r="C3019" s="0" t="n">
        <v>4740.308235</v>
      </c>
      <c r="I3019" s="0" t="n">
        <v>2029</v>
      </c>
      <c r="J3019" s="0" t="n">
        <v>15.89</v>
      </c>
      <c r="K3019" s="0" t="n">
        <v>333.9</v>
      </c>
    </row>
    <row r="3020" customFormat="false" ht="15" hidden="false" customHeight="false" outlineLevel="0" collapsed="false">
      <c r="A3020" s="0" t="n">
        <v>2035</v>
      </c>
      <c r="B3020" s="0" t="n">
        <v>167.9047497</v>
      </c>
      <c r="C3020" s="0" t="n">
        <v>3525.999743</v>
      </c>
      <c r="I3020" s="0" t="n">
        <v>2029</v>
      </c>
      <c r="J3020" s="0" t="n">
        <v>6.81</v>
      </c>
      <c r="K3020" s="0" t="n">
        <v>143.1</v>
      </c>
    </row>
    <row r="3021" customFormat="false" ht="15" hidden="false" customHeight="false" outlineLevel="0" collapsed="false">
      <c r="A3021" s="0" t="n">
        <v>2035</v>
      </c>
      <c r="B3021" s="0" t="n">
        <v>74.62433318</v>
      </c>
      <c r="C3021" s="0" t="n">
        <v>1567.110997</v>
      </c>
      <c r="I3021" s="0" t="n">
        <v>2029</v>
      </c>
      <c r="J3021" s="0" t="n">
        <v>6.81</v>
      </c>
      <c r="K3021" s="0" t="n">
        <v>143.1</v>
      </c>
    </row>
    <row r="3022" customFormat="false" ht="15" hidden="false" customHeight="false" outlineLevel="0" collapsed="false">
      <c r="A3022" s="0" t="n">
        <v>2035</v>
      </c>
      <c r="B3022" s="0" t="n">
        <v>275.6308915</v>
      </c>
      <c r="C3022" s="0" t="n">
        <v>5788.248721</v>
      </c>
      <c r="I3022" s="0" t="n">
        <v>2029</v>
      </c>
      <c r="J3022" s="0" t="n">
        <v>28.08</v>
      </c>
      <c r="K3022" s="0" t="n">
        <v>594.88</v>
      </c>
    </row>
    <row r="3023" customFormat="false" ht="15" hidden="false" customHeight="false" outlineLevel="0" collapsed="false">
      <c r="A3023" s="0" t="n">
        <v>2035</v>
      </c>
      <c r="B3023" s="0" t="n">
        <v>86.28209401</v>
      </c>
      <c r="C3023" s="0" t="n">
        <v>1811.923974</v>
      </c>
      <c r="I3023" s="0" t="n">
        <v>2029</v>
      </c>
      <c r="J3023" s="0" t="n">
        <v>4.32</v>
      </c>
      <c r="K3023" s="0" t="n">
        <v>91.52</v>
      </c>
    </row>
    <row r="3024" customFormat="false" ht="15" hidden="false" customHeight="false" outlineLevel="0" collapsed="false">
      <c r="A3024" s="0" t="n">
        <v>2035</v>
      </c>
      <c r="B3024" s="0" t="n">
        <v>192.9214894</v>
      </c>
      <c r="C3024" s="0" t="n">
        <v>4051.351278</v>
      </c>
      <c r="I3024" s="0" t="n">
        <v>2029</v>
      </c>
      <c r="J3024" s="0" t="n">
        <v>3.24</v>
      </c>
      <c r="K3024" s="0" t="n">
        <v>68.64</v>
      </c>
    </row>
    <row r="3025" customFormat="false" ht="15" hidden="false" customHeight="false" outlineLevel="0" collapsed="false">
      <c r="A3025" s="0" t="n">
        <v>2035</v>
      </c>
      <c r="B3025" s="0" t="n">
        <v>400.556623</v>
      </c>
      <c r="C3025" s="0" t="n">
        <v>8411.689082</v>
      </c>
      <c r="I3025" s="0" t="n">
        <v>2029</v>
      </c>
      <c r="J3025" s="0" t="n">
        <v>5.4</v>
      </c>
      <c r="K3025" s="0" t="n">
        <v>114.4</v>
      </c>
    </row>
    <row r="3026" customFormat="false" ht="15" hidden="false" customHeight="false" outlineLevel="0" collapsed="false">
      <c r="A3026" s="0" t="n">
        <v>2035</v>
      </c>
      <c r="B3026" s="0" t="n">
        <v>101.0322249</v>
      </c>
      <c r="C3026" s="0" t="n">
        <v>2121.676723</v>
      </c>
      <c r="I3026" s="0" t="n">
        <v>2029</v>
      </c>
      <c r="J3026" s="0" t="n">
        <v>1.08</v>
      </c>
      <c r="K3026" s="0" t="n">
        <v>22.88</v>
      </c>
    </row>
    <row r="3027" customFormat="false" ht="15" hidden="false" customHeight="false" outlineLevel="0" collapsed="false">
      <c r="A3027" s="0" t="n">
        <v>2035</v>
      </c>
      <c r="B3027" s="0" t="n">
        <v>90.09604847</v>
      </c>
      <c r="C3027" s="0" t="n">
        <v>1892.017018</v>
      </c>
      <c r="I3027" s="0" t="n">
        <v>2029</v>
      </c>
      <c r="J3027" s="0" t="n">
        <v>1.08</v>
      </c>
      <c r="K3027" s="0" t="n">
        <v>22.88</v>
      </c>
    </row>
    <row r="3028" customFormat="false" ht="15" hidden="false" customHeight="false" outlineLevel="0" collapsed="false">
      <c r="A3028" s="0" t="n">
        <v>2035</v>
      </c>
      <c r="B3028" s="0" t="n">
        <v>62.65646222</v>
      </c>
      <c r="C3028" s="0" t="n">
        <v>1315.785707</v>
      </c>
      <c r="I3028" s="0" t="n">
        <v>2029</v>
      </c>
      <c r="J3028" s="0" t="n">
        <v>0</v>
      </c>
      <c r="K3028" s="0" t="n">
        <v>0</v>
      </c>
    </row>
    <row r="3029" customFormat="false" ht="15" hidden="false" customHeight="false" outlineLevel="0" collapsed="false">
      <c r="A3029" s="0" t="n">
        <v>2035</v>
      </c>
      <c r="B3029" s="0" t="n">
        <v>46.60597132</v>
      </c>
      <c r="C3029" s="0" t="n">
        <v>978.7253978</v>
      </c>
      <c r="I3029" s="0" t="n">
        <v>2029</v>
      </c>
      <c r="J3029" s="0" t="n">
        <v>2.16</v>
      </c>
      <c r="K3029" s="0" t="n">
        <v>45.76</v>
      </c>
    </row>
    <row r="3030" customFormat="false" ht="15" hidden="false" customHeight="false" outlineLevel="0" collapsed="false">
      <c r="A3030" s="0" t="n">
        <v>2035</v>
      </c>
      <c r="B3030" s="0" t="n">
        <v>20.71376503</v>
      </c>
      <c r="C3030" s="0" t="n">
        <v>434.9890657</v>
      </c>
      <c r="I3030" s="0" t="n">
        <v>2029</v>
      </c>
      <c r="J3030" s="0" t="n">
        <v>3.78</v>
      </c>
      <c r="K3030" s="0" t="n">
        <v>80.08</v>
      </c>
    </row>
    <row r="3031" customFormat="false" ht="15" hidden="false" customHeight="false" outlineLevel="0" collapsed="false">
      <c r="A3031" s="0" t="n">
        <v>2035</v>
      </c>
      <c r="B3031" s="0" t="n">
        <v>76.50793352</v>
      </c>
      <c r="C3031" s="0" t="n">
        <v>1606.666604</v>
      </c>
      <c r="I3031" s="0" t="n">
        <v>2029</v>
      </c>
      <c r="J3031" s="0" t="n">
        <v>1.08</v>
      </c>
      <c r="K3031" s="0" t="n">
        <v>22.88</v>
      </c>
    </row>
    <row r="3032" customFormat="false" ht="15" hidden="false" customHeight="false" outlineLevel="0" collapsed="false">
      <c r="A3032" s="0" t="n">
        <v>2035</v>
      </c>
      <c r="B3032" s="0" t="n">
        <v>23.94965483</v>
      </c>
      <c r="C3032" s="0" t="n">
        <v>502.9427515</v>
      </c>
      <c r="I3032" s="0" t="n">
        <v>2029</v>
      </c>
      <c r="J3032" s="0" t="n">
        <v>3.78</v>
      </c>
      <c r="K3032" s="0" t="n">
        <v>80.08</v>
      </c>
    </row>
    <row r="3033" customFormat="false" ht="15" hidden="false" customHeight="false" outlineLevel="0" collapsed="false">
      <c r="A3033" s="0" t="n">
        <v>2035</v>
      </c>
      <c r="B3033" s="0" t="n">
        <v>53.54996462</v>
      </c>
      <c r="C3033" s="0" t="n">
        <v>1124.549257</v>
      </c>
      <c r="I3033" s="0" t="n">
        <v>2029</v>
      </c>
      <c r="J3033" s="0" t="n">
        <v>109.92</v>
      </c>
      <c r="K3033" s="0" t="n">
        <v>2306.88</v>
      </c>
    </row>
    <row r="3034" customFormat="false" ht="15" hidden="false" customHeight="false" outlineLevel="0" collapsed="false">
      <c r="A3034" s="0" t="n">
        <v>2035</v>
      </c>
      <c r="B3034" s="0" t="n">
        <v>222.7214163</v>
      </c>
      <c r="C3034" s="0" t="n">
        <v>4677.149742</v>
      </c>
      <c r="I3034" s="0" t="n">
        <v>2029</v>
      </c>
      <c r="J3034" s="0" t="n">
        <v>36.64</v>
      </c>
      <c r="K3034" s="0" t="n">
        <v>768.96</v>
      </c>
    </row>
    <row r="3035" customFormat="false" ht="15" hidden="false" customHeight="false" outlineLevel="0" collapsed="false">
      <c r="A3035" s="0" t="n">
        <v>2035</v>
      </c>
      <c r="B3035" s="0" t="n">
        <v>56.17692714</v>
      </c>
      <c r="C3035" s="0" t="n">
        <v>1179.71547</v>
      </c>
      <c r="I3035" s="0" t="n">
        <v>2029</v>
      </c>
      <c r="J3035" s="0" t="n">
        <v>16.03</v>
      </c>
      <c r="K3035" s="0" t="n">
        <v>336.42</v>
      </c>
    </row>
    <row r="3036" customFormat="false" ht="15" hidden="false" customHeight="false" outlineLevel="0" collapsed="false">
      <c r="A3036" s="0" t="n">
        <v>2035</v>
      </c>
      <c r="B3036" s="0" t="n">
        <v>50.09608721</v>
      </c>
      <c r="C3036" s="0" t="n">
        <v>1052.017831</v>
      </c>
      <c r="I3036" s="0" t="n">
        <v>2029</v>
      </c>
      <c r="J3036" s="0" t="n">
        <v>9.16</v>
      </c>
      <c r="K3036" s="0" t="n">
        <v>192.24</v>
      </c>
    </row>
    <row r="3037" customFormat="false" ht="15" hidden="false" customHeight="false" outlineLevel="0" collapsed="false">
      <c r="A3037" s="0" t="n">
        <v>2035</v>
      </c>
      <c r="B3037" s="0" t="n">
        <v>34.83885974</v>
      </c>
      <c r="C3037" s="0" t="n">
        <v>731.6160545</v>
      </c>
      <c r="I3037" s="0" t="n">
        <v>2029</v>
      </c>
      <c r="J3037" s="0" t="n">
        <v>9.16</v>
      </c>
      <c r="K3037" s="0" t="n">
        <v>192.24</v>
      </c>
    </row>
    <row r="3038" customFormat="false" ht="15" hidden="false" customHeight="false" outlineLevel="0" collapsed="false">
      <c r="A3038" s="0" t="n">
        <v>2035</v>
      </c>
      <c r="B3038" s="0" t="n">
        <v>25.9143086</v>
      </c>
      <c r="C3038" s="0" t="n">
        <v>544.2004806</v>
      </c>
      <c r="I3038" s="0" t="n">
        <v>2029</v>
      </c>
      <c r="J3038" s="0" t="n">
        <v>4.58</v>
      </c>
      <c r="K3038" s="0" t="n">
        <v>96.12</v>
      </c>
    </row>
    <row r="3039" customFormat="false" ht="15" hidden="false" customHeight="false" outlineLevel="0" collapsed="false">
      <c r="A3039" s="0" t="n">
        <v>2035</v>
      </c>
      <c r="B3039" s="0" t="n">
        <v>11.51747049</v>
      </c>
      <c r="C3039" s="0" t="n">
        <v>241.8668803</v>
      </c>
      <c r="I3039" s="0" t="n">
        <v>2029</v>
      </c>
      <c r="J3039" s="0" t="n">
        <v>4.58</v>
      </c>
      <c r="K3039" s="0" t="n">
        <v>96.12</v>
      </c>
    </row>
    <row r="3040" customFormat="false" ht="15" hidden="false" customHeight="false" outlineLevel="0" collapsed="false">
      <c r="A3040" s="0" t="n">
        <v>2035</v>
      </c>
      <c r="B3040" s="0" t="n">
        <v>42.54069046</v>
      </c>
      <c r="C3040" s="0" t="n">
        <v>893.3544996</v>
      </c>
      <c r="I3040" s="0" t="n">
        <v>2029</v>
      </c>
      <c r="J3040" s="0" t="n">
        <v>9.16</v>
      </c>
      <c r="K3040" s="0" t="n">
        <v>192.24</v>
      </c>
    </row>
    <row r="3041" customFormat="false" ht="15" hidden="false" customHeight="false" outlineLevel="0" collapsed="false">
      <c r="A3041" s="0" t="n">
        <v>2035</v>
      </c>
      <c r="B3041" s="0" t="n">
        <v>13.31672163</v>
      </c>
      <c r="C3041" s="0" t="n">
        <v>279.6511542</v>
      </c>
      <c r="I3041" s="0" t="n">
        <v>2029</v>
      </c>
      <c r="J3041" s="0" t="n">
        <v>16.03</v>
      </c>
      <c r="K3041" s="0" t="n">
        <v>336.42</v>
      </c>
    </row>
    <row r="3042" customFormat="false" ht="15" hidden="false" customHeight="false" outlineLevel="0" collapsed="false">
      <c r="A3042" s="0" t="n">
        <v>2035</v>
      </c>
      <c r="B3042" s="0" t="n">
        <v>29.77537576</v>
      </c>
      <c r="C3042" s="0" t="n">
        <v>625.282891</v>
      </c>
      <c r="I3042" s="0" t="n">
        <v>2029</v>
      </c>
      <c r="J3042" s="0" t="n">
        <v>6.87</v>
      </c>
      <c r="K3042" s="0" t="n">
        <v>144.18</v>
      </c>
    </row>
    <row r="3043" customFormat="false" ht="15" hidden="false" customHeight="false" outlineLevel="0" collapsed="false">
      <c r="A3043" s="0" t="n">
        <v>2035</v>
      </c>
      <c r="B3043" s="0" t="n">
        <v>190.2719384</v>
      </c>
      <c r="C3043" s="0" t="n">
        <v>3995.710706</v>
      </c>
      <c r="I3043" s="0" t="n">
        <v>2029</v>
      </c>
      <c r="J3043" s="0" t="n">
        <v>6.87</v>
      </c>
      <c r="K3043" s="0" t="n">
        <v>144.18</v>
      </c>
    </row>
    <row r="3044" customFormat="false" ht="15" hidden="false" customHeight="false" outlineLevel="0" collapsed="false">
      <c r="A3044" s="0" t="n">
        <v>2035</v>
      </c>
      <c r="B3044" s="0" t="n">
        <v>47.99220928</v>
      </c>
      <c r="C3044" s="0" t="n">
        <v>1007.836395</v>
      </c>
      <c r="I3044" s="0" t="n">
        <v>2029</v>
      </c>
      <c r="J3044" s="0" t="n">
        <v>16.64</v>
      </c>
      <c r="K3044" s="0" t="n">
        <v>351</v>
      </c>
    </row>
    <row r="3045" customFormat="false" ht="15" hidden="false" customHeight="false" outlineLevel="0" collapsed="false">
      <c r="A3045" s="0" t="n">
        <v>2035</v>
      </c>
      <c r="B3045" s="0" t="n">
        <v>42.79731953</v>
      </c>
      <c r="C3045" s="0" t="n">
        <v>898.7437102</v>
      </c>
      <c r="I3045" s="0" t="n">
        <v>2029</v>
      </c>
      <c r="J3045" s="0" t="n">
        <v>2.56</v>
      </c>
      <c r="K3045" s="0" t="n">
        <v>54</v>
      </c>
    </row>
    <row r="3046" customFormat="false" ht="15" hidden="false" customHeight="false" outlineLevel="0" collapsed="false">
      <c r="A3046" s="0" t="n">
        <v>2035</v>
      </c>
      <c r="B3046" s="0" t="n">
        <v>29.76299938</v>
      </c>
      <c r="C3046" s="0" t="n">
        <v>625.0229869</v>
      </c>
      <c r="I3046" s="0" t="n">
        <v>2029</v>
      </c>
      <c r="J3046" s="0" t="n">
        <v>1.92</v>
      </c>
      <c r="K3046" s="0" t="n">
        <v>40.5</v>
      </c>
    </row>
    <row r="3047" customFormat="false" ht="15" hidden="false" customHeight="false" outlineLevel="0" collapsed="false">
      <c r="A3047" s="0" t="n">
        <v>2035</v>
      </c>
      <c r="B3047" s="0" t="n">
        <v>22.13871397</v>
      </c>
      <c r="C3047" s="0" t="n">
        <v>464.9129934</v>
      </c>
      <c r="I3047" s="0" t="n">
        <v>2029</v>
      </c>
      <c r="J3047" s="0" t="n">
        <v>3.2</v>
      </c>
      <c r="K3047" s="0" t="n">
        <v>67.5</v>
      </c>
    </row>
    <row r="3048" customFormat="false" ht="15" hidden="false" customHeight="false" outlineLevel="0" collapsed="false">
      <c r="A3048" s="0" t="n">
        <v>2035</v>
      </c>
      <c r="B3048" s="0" t="n">
        <v>9.839428432</v>
      </c>
      <c r="C3048" s="0" t="n">
        <v>206.6279971</v>
      </c>
      <c r="I3048" s="0" t="n">
        <v>2029</v>
      </c>
      <c r="J3048" s="0" t="n">
        <v>0.64</v>
      </c>
      <c r="K3048" s="0" t="n">
        <v>13.5</v>
      </c>
    </row>
    <row r="3049" customFormat="false" ht="15" hidden="false" customHeight="false" outlineLevel="0" collapsed="false">
      <c r="A3049" s="0" t="n">
        <v>2035</v>
      </c>
      <c r="B3049" s="0" t="n">
        <v>36.34270907</v>
      </c>
      <c r="C3049" s="0" t="n">
        <v>763.1968904</v>
      </c>
      <c r="I3049" s="0" t="n">
        <v>2029</v>
      </c>
      <c r="J3049" s="0" t="n">
        <v>0.64</v>
      </c>
      <c r="K3049" s="0" t="n">
        <v>13.5</v>
      </c>
    </row>
    <row r="3050" customFormat="false" ht="15" hidden="false" customHeight="false" outlineLevel="0" collapsed="false">
      <c r="A3050" s="0" t="n">
        <v>2035</v>
      </c>
      <c r="B3050" s="0" t="n">
        <v>11.37653702</v>
      </c>
      <c r="C3050" s="0" t="n">
        <v>238.9072774</v>
      </c>
      <c r="I3050" s="0" t="n">
        <v>2029</v>
      </c>
      <c r="J3050" s="0" t="n">
        <v>0</v>
      </c>
      <c r="K3050" s="0" t="n">
        <v>0</v>
      </c>
    </row>
    <row r="3051" customFormat="false" ht="15" hidden="false" customHeight="false" outlineLevel="0" collapsed="false">
      <c r="A3051" s="0" t="n">
        <v>2035</v>
      </c>
      <c r="B3051" s="0" t="n">
        <v>25.43724154</v>
      </c>
      <c r="C3051" s="0" t="n">
        <v>534.1820724</v>
      </c>
      <c r="I3051" s="0" t="n">
        <v>2029</v>
      </c>
      <c r="J3051" s="0" t="n">
        <v>1.28</v>
      </c>
      <c r="K3051" s="0" t="n">
        <v>27</v>
      </c>
    </row>
    <row r="3052" customFormat="false" ht="15" hidden="false" customHeight="false" outlineLevel="0" collapsed="false">
      <c r="A3052" s="0" t="n">
        <v>2035</v>
      </c>
      <c r="B3052" s="0" t="n">
        <v>254.1317063</v>
      </c>
      <c r="C3052" s="0" t="n">
        <v>5336.765832</v>
      </c>
      <c r="I3052" s="0" t="n">
        <v>2029</v>
      </c>
      <c r="J3052" s="0" t="n">
        <v>2.24</v>
      </c>
      <c r="K3052" s="0" t="n">
        <v>47.25</v>
      </c>
    </row>
    <row r="3053" customFormat="false" ht="15" hidden="false" customHeight="false" outlineLevel="0" collapsed="false">
      <c r="A3053" s="0" t="n">
        <v>2035</v>
      </c>
      <c r="B3053" s="0" t="n">
        <v>64.0995311</v>
      </c>
      <c r="C3053" s="0" t="n">
        <v>1346.090153</v>
      </c>
      <c r="I3053" s="0" t="n">
        <v>2029</v>
      </c>
      <c r="J3053" s="0" t="n">
        <v>0.64</v>
      </c>
      <c r="K3053" s="0" t="n">
        <v>13.5</v>
      </c>
    </row>
    <row r="3054" customFormat="false" ht="15" hidden="false" customHeight="false" outlineLevel="0" collapsed="false">
      <c r="A3054" s="0" t="n">
        <v>2035</v>
      </c>
      <c r="B3054" s="0" t="n">
        <v>57.16111335</v>
      </c>
      <c r="C3054" s="0" t="n">
        <v>1200.38338</v>
      </c>
      <c r="I3054" s="0" t="n">
        <v>2029</v>
      </c>
      <c r="J3054" s="0" t="n">
        <v>2.24</v>
      </c>
      <c r="K3054" s="0" t="n">
        <v>47.25</v>
      </c>
    </row>
    <row r="3055" customFormat="false" ht="15" hidden="false" customHeight="false" outlineLevel="0" collapsed="false">
      <c r="A3055" s="0" t="n">
        <v>2035</v>
      </c>
      <c r="B3055" s="0" t="n">
        <v>39.75216672</v>
      </c>
      <c r="C3055" s="0" t="n">
        <v>834.795501</v>
      </c>
      <c r="I3055" s="0" t="n">
        <v>2029</v>
      </c>
      <c r="J3055" s="0" t="n">
        <v>93.12</v>
      </c>
      <c r="K3055" s="0" t="n">
        <v>1951.2</v>
      </c>
    </row>
    <row r="3056" customFormat="false" ht="15" hidden="false" customHeight="false" outlineLevel="0" collapsed="false">
      <c r="A3056" s="0" t="n">
        <v>2035</v>
      </c>
      <c r="B3056" s="0" t="n">
        <v>29.56899059</v>
      </c>
      <c r="C3056" s="0" t="n">
        <v>620.9488025</v>
      </c>
      <c r="I3056" s="0" t="n">
        <v>2029</v>
      </c>
      <c r="J3056" s="0" t="n">
        <v>31.04</v>
      </c>
      <c r="K3056" s="0" t="n">
        <v>650.4</v>
      </c>
    </row>
    <row r="3057" customFormat="false" ht="15" hidden="false" customHeight="false" outlineLevel="0" collapsed="false">
      <c r="A3057" s="0" t="n">
        <v>2035</v>
      </c>
      <c r="B3057" s="0" t="n">
        <v>13.1417736</v>
      </c>
      <c r="C3057" s="0" t="n">
        <v>275.9772455</v>
      </c>
      <c r="I3057" s="0" t="n">
        <v>2029</v>
      </c>
      <c r="J3057" s="0" t="n">
        <v>13.58</v>
      </c>
      <c r="K3057" s="0" t="n">
        <v>284.55</v>
      </c>
    </row>
    <row r="3058" customFormat="false" ht="15" hidden="false" customHeight="false" outlineLevel="0" collapsed="false">
      <c r="A3058" s="0" t="n">
        <v>2035</v>
      </c>
      <c r="B3058" s="0" t="n">
        <v>48.54018278</v>
      </c>
      <c r="C3058" s="0" t="n">
        <v>1019.343838</v>
      </c>
      <c r="I3058" s="0" t="n">
        <v>2029</v>
      </c>
      <c r="J3058" s="0" t="n">
        <v>7.76</v>
      </c>
      <c r="K3058" s="0" t="n">
        <v>162.6</v>
      </c>
    </row>
    <row r="3059" customFormat="false" ht="15" hidden="false" customHeight="false" outlineLevel="0" collapsed="false">
      <c r="A3059" s="0" t="n">
        <v>2035</v>
      </c>
      <c r="B3059" s="0" t="n">
        <v>15.19477222</v>
      </c>
      <c r="C3059" s="0" t="n">
        <v>319.0902167</v>
      </c>
      <c r="I3059" s="0" t="n">
        <v>2029</v>
      </c>
      <c r="J3059" s="0" t="n">
        <v>7.76</v>
      </c>
      <c r="K3059" s="0" t="n">
        <v>162.6</v>
      </c>
    </row>
    <row r="3060" customFormat="false" ht="15" hidden="false" customHeight="false" outlineLevel="0" collapsed="false">
      <c r="A3060" s="0" t="n">
        <v>2035</v>
      </c>
      <c r="B3060" s="0" t="n">
        <v>33.97458213</v>
      </c>
      <c r="C3060" s="0" t="n">
        <v>713.4662246</v>
      </c>
      <c r="I3060" s="0" t="n">
        <v>2029</v>
      </c>
      <c r="J3060" s="0" t="n">
        <v>3.88</v>
      </c>
      <c r="K3060" s="0" t="n">
        <v>81.3</v>
      </c>
    </row>
    <row r="3061" customFormat="false" ht="15" hidden="false" customHeight="false" outlineLevel="0" collapsed="false">
      <c r="A3061" s="0" t="n">
        <v>2035</v>
      </c>
      <c r="B3061" s="0" t="n">
        <v>201.971182</v>
      </c>
      <c r="C3061" s="0" t="n">
        <v>4241.394821</v>
      </c>
      <c r="I3061" s="0" t="n">
        <v>2029</v>
      </c>
      <c r="J3061" s="0" t="n">
        <v>3.88</v>
      </c>
      <c r="K3061" s="0" t="n">
        <v>81.3</v>
      </c>
    </row>
    <row r="3062" customFormat="false" ht="15" hidden="false" customHeight="false" outlineLevel="0" collapsed="false">
      <c r="A3062" s="0" t="n">
        <v>2035</v>
      </c>
      <c r="B3062" s="0" t="n">
        <v>50.94310446</v>
      </c>
      <c r="C3062" s="0" t="n">
        <v>1069.805194</v>
      </c>
      <c r="I3062" s="0" t="n">
        <v>2029</v>
      </c>
      <c r="J3062" s="0" t="n">
        <v>7.76</v>
      </c>
      <c r="K3062" s="0" t="n">
        <v>162.6</v>
      </c>
    </row>
    <row r="3063" customFormat="false" ht="15" hidden="false" customHeight="false" outlineLevel="0" collapsed="false">
      <c r="A3063" s="0" t="n">
        <v>2035</v>
      </c>
      <c r="B3063" s="0" t="n">
        <v>45.42879672</v>
      </c>
      <c r="C3063" s="0" t="n">
        <v>954.0047312</v>
      </c>
      <c r="I3063" s="0" t="n">
        <v>2029</v>
      </c>
      <c r="J3063" s="0" t="n">
        <v>13.58</v>
      </c>
      <c r="K3063" s="0" t="n">
        <v>284.55</v>
      </c>
    </row>
    <row r="3064" customFormat="false" ht="15" hidden="false" customHeight="false" outlineLevel="0" collapsed="false">
      <c r="A3064" s="0" t="n">
        <v>2035</v>
      </c>
      <c r="B3064" s="0" t="n">
        <v>31.59303581</v>
      </c>
      <c r="C3064" s="0" t="n">
        <v>663.453752</v>
      </c>
      <c r="I3064" s="0" t="n">
        <v>2029</v>
      </c>
      <c r="J3064" s="0" t="n">
        <v>5.82</v>
      </c>
      <c r="K3064" s="0" t="n">
        <v>121.95</v>
      </c>
    </row>
    <row r="3065" customFormat="false" ht="15" hidden="false" customHeight="false" outlineLevel="0" collapsed="false">
      <c r="A3065" s="0" t="n">
        <v>2035</v>
      </c>
      <c r="B3065" s="0" t="n">
        <v>23.49995625</v>
      </c>
      <c r="C3065" s="0" t="n">
        <v>493.4990812</v>
      </c>
      <c r="I3065" s="0" t="n">
        <v>2029</v>
      </c>
      <c r="J3065" s="0" t="n">
        <v>5.82</v>
      </c>
      <c r="K3065" s="0" t="n">
        <v>121.95</v>
      </c>
    </row>
    <row r="3066" customFormat="false" ht="15" hidden="false" customHeight="false" outlineLevel="0" collapsed="false">
      <c r="A3066" s="0" t="n">
        <v>2035</v>
      </c>
      <c r="B3066" s="0" t="n">
        <v>10.444425</v>
      </c>
      <c r="C3066" s="0" t="n">
        <v>219.332925</v>
      </c>
      <c r="I3066" s="0" t="n">
        <v>2029</v>
      </c>
      <c r="J3066" s="0" t="n">
        <v>10.92</v>
      </c>
      <c r="K3066" s="0" t="n">
        <v>228.8</v>
      </c>
    </row>
    <row r="3067" customFormat="false" ht="15" hidden="false" customHeight="false" outlineLevel="0" collapsed="false">
      <c r="A3067" s="0" t="n">
        <v>2035</v>
      </c>
      <c r="B3067" s="0" t="n">
        <v>38.57731186</v>
      </c>
      <c r="C3067" s="0" t="n">
        <v>810.1235491</v>
      </c>
      <c r="I3067" s="0" t="n">
        <v>2029</v>
      </c>
      <c r="J3067" s="0" t="n">
        <v>1.68</v>
      </c>
      <c r="K3067" s="0" t="n">
        <v>35.2</v>
      </c>
    </row>
    <row r="3068" customFormat="false" ht="15" hidden="false" customHeight="false" outlineLevel="0" collapsed="false">
      <c r="A3068" s="0" t="n">
        <v>2035</v>
      </c>
      <c r="B3068" s="0" t="n">
        <v>12.07604573</v>
      </c>
      <c r="C3068" s="0" t="n">
        <v>253.5969602</v>
      </c>
      <c r="I3068" s="0" t="n">
        <v>2029</v>
      </c>
      <c r="J3068" s="0" t="n">
        <v>1.26</v>
      </c>
      <c r="K3068" s="0" t="n">
        <v>26.4</v>
      </c>
    </row>
    <row r="3069" customFormat="false" ht="15" hidden="false" customHeight="false" outlineLevel="0" collapsed="false">
      <c r="A3069" s="0" t="n">
        <v>2035</v>
      </c>
      <c r="B3069" s="0" t="n">
        <v>27.00130026</v>
      </c>
      <c r="C3069" s="0" t="n">
        <v>567.0273056</v>
      </c>
      <c r="I3069" s="0" t="n">
        <v>2029</v>
      </c>
      <c r="J3069" s="0" t="n">
        <v>2.1</v>
      </c>
      <c r="K3069" s="0" t="n">
        <v>44</v>
      </c>
    </row>
    <row r="3070" customFormat="false" ht="15" hidden="false" customHeight="false" outlineLevel="0" collapsed="false">
      <c r="A3070" s="0" t="n">
        <v>2035</v>
      </c>
      <c r="B3070" s="0" t="n">
        <v>285.4414298</v>
      </c>
      <c r="C3070" s="0" t="n">
        <v>5994.270025</v>
      </c>
      <c r="I3070" s="0" t="n">
        <v>2029</v>
      </c>
      <c r="J3070" s="0" t="n">
        <v>0.42</v>
      </c>
      <c r="K3070" s="0" t="n">
        <v>8.8</v>
      </c>
    </row>
    <row r="3071" customFormat="false" ht="15" hidden="false" customHeight="false" outlineLevel="0" collapsed="false">
      <c r="A3071" s="0" t="n">
        <v>2035</v>
      </c>
      <c r="B3071" s="0" t="n">
        <v>71.99676921</v>
      </c>
      <c r="C3071" s="0" t="n">
        <v>1511.932153</v>
      </c>
      <c r="I3071" s="0" t="n">
        <v>2029</v>
      </c>
      <c r="J3071" s="0" t="n">
        <v>0.42</v>
      </c>
      <c r="K3071" s="0" t="n">
        <v>8.8</v>
      </c>
    </row>
    <row r="3072" customFormat="false" ht="15" hidden="false" customHeight="false" outlineLevel="0" collapsed="false">
      <c r="A3072" s="0" t="n">
        <v>2035</v>
      </c>
      <c r="B3072" s="0" t="n">
        <v>64.20351935</v>
      </c>
      <c r="C3072" s="0" t="n">
        <v>1348.273906</v>
      </c>
      <c r="I3072" s="0" t="n">
        <v>2029</v>
      </c>
      <c r="J3072" s="0" t="n">
        <v>0</v>
      </c>
      <c r="K3072" s="0" t="n">
        <v>0</v>
      </c>
    </row>
    <row r="3073" customFormat="false" ht="15" hidden="false" customHeight="false" outlineLevel="0" collapsed="false">
      <c r="A3073" s="0" t="n">
        <v>2035</v>
      </c>
      <c r="B3073" s="0" t="n">
        <v>44.64974272</v>
      </c>
      <c r="C3073" s="0" t="n">
        <v>937.6445972</v>
      </c>
      <c r="I3073" s="0" t="n">
        <v>2029</v>
      </c>
      <c r="J3073" s="0" t="n">
        <v>0.84</v>
      </c>
      <c r="K3073" s="0" t="n">
        <v>17.6</v>
      </c>
    </row>
    <row r="3074" customFormat="false" ht="15" hidden="false" customHeight="false" outlineLevel="0" collapsed="false">
      <c r="A3074" s="0" t="n">
        <v>2035</v>
      </c>
      <c r="B3074" s="0" t="n">
        <v>33.21197136</v>
      </c>
      <c r="C3074" s="0" t="n">
        <v>697.4513986</v>
      </c>
      <c r="I3074" s="0" t="n">
        <v>2029</v>
      </c>
      <c r="J3074" s="0" t="n">
        <v>1.47</v>
      </c>
      <c r="K3074" s="0" t="n">
        <v>30.8</v>
      </c>
    </row>
    <row r="3075" customFormat="false" ht="15" hidden="false" customHeight="false" outlineLevel="0" collapsed="false">
      <c r="A3075" s="0" t="n">
        <v>2035</v>
      </c>
      <c r="B3075" s="0" t="n">
        <v>14.76087616</v>
      </c>
      <c r="C3075" s="0" t="n">
        <v>309.9783994</v>
      </c>
      <c r="I3075" s="0" t="n">
        <v>2029</v>
      </c>
      <c r="J3075" s="0" t="n">
        <v>0.42</v>
      </c>
      <c r="K3075" s="0" t="n">
        <v>8.8</v>
      </c>
    </row>
    <row r="3076" customFormat="false" ht="15" hidden="false" customHeight="false" outlineLevel="0" collapsed="false">
      <c r="A3076" s="0" t="n">
        <v>2035</v>
      </c>
      <c r="B3076" s="0" t="n">
        <v>54.52046647</v>
      </c>
      <c r="C3076" s="0" t="n">
        <v>1144.929796</v>
      </c>
      <c r="I3076" s="0" t="n">
        <v>2029</v>
      </c>
      <c r="J3076" s="0" t="n">
        <v>1.47</v>
      </c>
      <c r="K3076" s="0" t="n">
        <v>30.8</v>
      </c>
    </row>
    <row r="3077" customFormat="false" ht="15" hidden="false" customHeight="false" outlineLevel="0" collapsed="false">
      <c r="A3077" s="0" t="n">
        <v>2035</v>
      </c>
      <c r="B3077" s="0" t="n">
        <v>17.06680985</v>
      </c>
      <c r="C3077" s="0" t="n">
        <v>358.4030069</v>
      </c>
      <c r="I3077" s="0" t="n">
        <v>2029</v>
      </c>
      <c r="J3077" s="0" t="n">
        <v>35.52</v>
      </c>
      <c r="K3077" s="0" t="n">
        <v>745.92</v>
      </c>
    </row>
    <row r="3078" customFormat="false" ht="15" hidden="false" customHeight="false" outlineLevel="0" collapsed="false">
      <c r="A3078" s="0" t="n">
        <v>2035</v>
      </c>
      <c r="B3078" s="0" t="n">
        <v>38.16034386</v>
      </c>
      <c r="C3078" s="0" t="n">
        <v>801.367221</v>
      </c>
      <c r="I3078" s="0" t="n">
        <v>2029</v>
      </c>
      <c r="J3078" s="0" t="n">
        <v>11.84</v>
      </c>
      <c r="K3078" s="0" t="n">
        <v>248.64</v>
      </c>
    </row>
    <row r="3079" customFormat="false" ht="15" hidden="false" customHeight="false" outlineLevel="0" collapsed="false">
      <c r="A3079" s="0" t="n">
        <v>2035</v>
      </c>
      <c r="B3079" s="0" t="n">
        <v>358.821499</v>
      </c>
      <c r="C3079" s="0" t="n">
        <v>7535.25148</v>
      </c>
      <c r="I3079" s="0" t="n">
        <v>2029</v>
      </c>
      <c r="J3079" s="0" t="n">
        <v>5.18</v>
      </c>
      <c r="K3079" s="0" t="n">
        <v>108.78</v>
      </c>
    </row>
    <row r="3080" customFormat="false" ht="15" hidden="false" customHeight="false" outlineLevel="0" collapsed="false">
      <c r="A3080" s="0" t="n">
        <v>2035</v>
      </c>
      <c r="B3080" s="0" t="n">
        <v>90.50539255</v>
      </c>
      <c r="C3080" s="0" t="n">
        <v>1900.613244</v>
      </c>
      <c r="I3080" s="0" t="n">
        <v>2029</v>
      </c>
      <c r="J3080" s="0" t="n">
        <v>2.96</v>
      </c>
      <c r="K3080" s="0" t="n">
        <v>62.16</v>
      </c>
    </row>
    <row r="3081" customFormat="false" ht="15" hidden="false" customHeight="false" outlineLevel="0" collapsed="false">
      <c r="A3081" s="0" t="n">
        <v>2035</v>
      </c>
      <c r="B3081" s="0" t="n">
        <v>80.70868716</v>
      </c>
      <c r="C3081" s="0" t="n">
        <v>1694.88243</v>
      </c>
      <c r="I3081" s="0" t="n">
        <v>2029</v>
      </c>
      <c r="J3081" s="0" t="n">
        <v>2.96</v>
      </c>
      <c r="K3081" s="0" t="n">
        <v>62.16</v>
      </c>
    </row>
    <row r="3082" customFormat="false" ht="15" hidden="false" customHeight="false" outlineLevel="0" collapsed="false">
      <c r="A3082" s="0" t="n">
        <v>2035</v>
      </c>
      <c r="B3082" s="0" t="n">
        <v>56.12810876</v>
      </c>
      <c r="C3082" s="0" t="n">
        <v>1178.690284</v>
      </c>
      <c r="I3082" s="0" t="n">
        <v>2029</v>
      </c>
      <c r="J3082" s="0" t="n">
        <v>1.48</v>
      </c>
      <c r="K3082" s="0" t="n">
        <v>31.08</v>
      </c>
    </row>
    <row r="3083" customFormat="false" ht="15" hidden="false" customHeight="false" outlineLevel="0" collapsed="false">
      <c r="A3083" s="0" t="n">
        <v>2035</v>
      </c>
      <c r="B3083" s="0" t="n">
        <v>41.74996377</v>
      </c>
      <c r="C3083" s="0" t="n">
        <v>876.7492391</v>
      </c>
      <c r="I3083" s="0" t="n">
        <v>2029</v>
      </c>
      <c r="J3083" s="0" t="n">
        <v>1.48</v>
      </c>
      <c r="K3083" s="0" t="n">
        <v>31.08</v>
      </c>
    </row>
    <row r="3084" customFormat="false" ht="15" hidden="false" customHeight="false" outlineLevel="0" collapsed="false">
      <c r="A3084" s="0" t="n">
        <v>2035</v>
      </c>
      <c r="B3084" s="0" t="n">
        <v>18.55553945</v>
      </c>
      <c r="C3084" s="0" t="n">
        <v>389.6663285</v>
      </c>
      <c r="I3084" s="0" t="n">
        <v>2029</v>
      </c>
      <c r="J3084" s="0" t="n">
        <v>2.96</v>
      </c>
      <c r="K3084" s="0" t="n">
        <v>62.16</v>
      </c>
    </row>
    <row r="3085" customFormat="false" ht="15" hidden="false" customHeight="false" outlineLevel="0" collapsed="false">
      <c r="A3085" s="0" t="n">
        <v>2035</v>
      </c>
      <c r="B3085" s="0" t="n">
        <v>68.53635621</v>
      </c>
      <c r="C3085" s="0" t="n">
        <v>1439.26348</v>
      </c>
      <c r="I3085" s="0" t="n">
        <v>2029</v>
      </c>
      <c r="J3085" s="0" t="n">
        <v>5.18</v>
      </c>
      <c r="K3085" s="0" t="n">
        <v>108.78</v>
      </c>
    </row>
    <row r="3086" customFormat="false" ht="15" hidden="false" customHeight="false" outlineLevel="0" collapsed="false">
      <c r="A3086" s="0" t="n">
        <v>2035</v>
      </c>
      <c r="B3086" s="0" t="n">
        <v>21.45427277</v>
      </c>
      <c r="C3086" s="0" t="n">
        <v>450.5397282</v>
      </c>
      <c r="I3086" s="0" t="n">
        <v>2029</v>
      </c>
      <c r="J3086" s="0" t="n">
        <v>2.22</v>
      </c>
      <c r="K3086" s="0" t="n">
        <v>46.62</v>
      </c>
    </row>
    <row r="3087" customFormat="false" ht="15" hidden="false" customHeight="false" outlineLevel="0" collapsed="false">
      <c r="A3087" s="0" t="n">
        <v>2035</v>
      </c>
      <c r="B3087" s="0" t="n">
        <v>47.97044283</v>
      </c>
      <c r="C3087" s="0" t="n">
        <v>1007.379299</v>
      </c>
      <c r="I3087" s="0" t="n">
        <v>2029</v>
      </c>
      <c r="J3087" s="0" t="n">
        <v>2.22</v>
      </c>
      <c r="K3087" s="0" t="n">
        <v>46.62</v>
      </c>
    </row>
    <row r="3088" customFormat="false" ht="15" hidden="false" customHeight="false" outlineLevel="0" collapsed="false">
      <c r="A3088" s="0" t="n">
        <v>2035</v>
      </c>
      <c r="B3088" s="0" t="n">
        <v>1171.332289</v>
      </c>
      <c r="C3088" s="0" t="n">
        <v>24597.97807</v>
      </c>
      <c r="I3088" s="0" t="n">
        <v>2029</v>
      </c>
      <c r="J3088" s="0" t="n">
        <v>17.68</v>
      </c>
      <c r="K3088" s="0" t="n">
        <v>366.08</v>
      </c>
    </row>
    <row r="3089" customFormat="false" ht="15" hidden="false" customHeight="false" outlineLevel="0" collapsed="false">
      <c r="A3089" s="0" t="n">
        <v>2035</v>
      </c>
      <c r="B3089" s="0" t="n">
        <v>295.44464</v>
      </c>
      <c r="C3089" s="0" t="n">
        <v>6204.33744</v>
      </c>
      <c r="I3089" s="0" t="n">
        <v>2029</v>
      </c>
      <c r="J3089" s="0" t="n">
        <v>2.72</v>
      </c>
      <c r="K3089" s="0" t="n">
        <v>56.32</v>
      </c>
    </row>
    <row r="3090" customFormat="false" ht="15" hidden="false" customHeight="false" outlineLevel="0" collapsed="false">
      <c r="A3090" s="0" t="n">
        <v>2035</v>
      </c>
      <c r="B3090" s="0" t="n">
        <v>263.4644008</v>
      </c>
      <c r="C3090" s="0" t="n">
        <v>5532.752418</v>
      </c>
      <c r="I3090" s="0" t="n">
        <v>2029</v>
      </c>
      <c r="J3090" s="0" t="n">
        <v>2.04</v>
      </c>
      <c r="K3090" s="0" t="n">
        <v>42.24</v>
      </c>
    </row>
    <row r="3091" customFormat="false" ht="15" hidden="false" customHeight="false" outlineLevel="0" collapsed="false">
      <c r="A3091" s="0" t="n">
        <v>2035</v>
      </c>
      <c r="B3091" s="0" t="n">
        <v>183.2238767</v>
      </c>
      <c r="C3091" s="0" t="n">
        <v>3847.701411</v>
      </c>
      <c r="I3091" s="0" t="n">
        <v>2029</v>
      </c>
      <c r="J3091" s="0" t="n">
        <v>3.4</v>
      </c>
      <c r="K3091" s="0" t="n">
        <v>70.4</v>
      </c>
    </row>
    <row r="3092" customFormat="false" ht="15" hidden="false" customHeight="false" outlineLevel="0" collapsed="false">
      <c r="A3092" s="0" t="n">
        <v>2035</v>
      </c>
      <c r="B3092" s="0" t="n">
        <v>136.288045</v>
      </c>
      <c r="C3092" s="0" t="n">
        <v>2862.048946</v>
      </c>
      <c r="I3092" s="0" t="n">
        <v>2029</v>
      </c>
      <c r="J3092" s="0" t="n">
        <v>0.68</v>
      </c>
      <c r="K3092" s="0" t="n">
        <v>14.08</v>
      </c>
    </row>
    <row r="3093" customFormat="false" ht="15" hidden="false" customHeight="false" outlineLevel="0" collapsed="false">
      <c r="A3093" s="0" t="n">
        <v>2035</v>
      </c>
      <c r="B3093" s="0" t="n">
        <v>60.57246446</v>
      </c>
      <c r="C3093" s="0" t="n">
        <v>1272.021754</v>
      </c>
      <c r="I3093" s="0" t="n">
        <v>2029</v>
      </c>
      <c r="J3093" s="0" t="n">
        <v>0.68</v>
      </c>
      <c r="K3093" s="0" t="n">
        <v>14.08</v>
      </c>
    </row>
    <row r="3094" customFormat="false" ht="15" hidden="false" customHeight="false" outlineLevel="0" collapsed="false">
      <c r="A3094" s="0" t="n">
        <v>2035</v>
      </c>
      <c r="B3094" s="0" t="n">
        <v>223.7292002</v>
      </c>
      <c r="C3094" s="0" t="n">
        <v>4698.313204</v>
      </c>
      <c r="I3094" s="0" t="n">
        <v>2029</v>
      </c>
      <c r="J3094" s="0" t="n">
        <v>0</v>
      </c>
      <c r="K3094" s="0" t="n">
        <v>0</v>
      </c>
    </row>
    <row r="3095" customFormat="false" ht="15" hidden="false" customHeight="false" outlineLevel="0" collapsed="false">
      <c r="A3095" s="0" t="n">
        <v>2035</v>
      </c>
      <c r="B3095" s="0" t="n">
        <v>70.03505224</v>
      </c>
      <c r="C3095" s="0" t="n">
        <v>1470.736097</v>
      </c>
      <c r="I3095" s="0" t="n">
        <v>2029</v>
      </c>
      <c r="J3095" s="0" t="n">
        <v>1.36</v>
      </c>
      <c r="K3095" s="0" t="n">
        <v>28.16</v>
      </c>
    </row>
    <row r="3096" customFormat="false" ht="15" hidden="false" customHeight="false" outlineLevel="0" collapsed="false">
      <c r="A3096" s="0" t="n">
        <v>2035</v>
      </c>
      <c r="B3096" s="0" t="n">
        <v>156.5940969</v>
      </c>
      <c r="C3096" s="0" t="n">
        <v>3288.476035</v>
      </c>
      <c r="I3096" s="0" t="n">
        <v>2029</v>
      </c>
      <c r="J3096" s="0" t="n">
        <v>2.38</v>
      </c>
      <c r="K3096" s="0" t="n">
        <v>49.28</v>
      </c>
    </row>
    <row r="3097" customFormat="false" ht="15" hidden="false" customHeight="false" outlineLevel="0" collapsed="false">
      <c r="A3097" s="0" t="n">
        <v>2035</v>
      </c>
      <c r="B3097" s="0" t="n">
        <v>207.9381314</v>
      </c>
      <c r="C3097" s="0" t="n">
        <v>4366.70076</v>
      </c>
      <c r="I3097" s="0" t="n">
        <v>2029</v>
      </c>
      <c r="J3097" s="0" t="n">
        <v>0.68</v>
      </c>
      <c r="K3097" s="0" t="n">
        <v>14.08</v>
      </c>
    </row>
    <row r="3098" customFormat="false" ht="15" hidden="false" customHeight="false" outlineLevel="0" collapsed="false">
      <c r="A3098" s="0" t="n">
        <v>2035</v>
      </c>
      <c r="B3098" s="0" t="n">
        <v>52.44814555</v>
      </c>
      <c r="C3098" s="0" t="n">
        <v>1101.411057</v>
      </c>
      <c r="I3098" s="0" t="n">
        <v>2029</v>
      </c>
      <c r="J3098" s="0" t="n">
        <v>2.38</v>
      </c>
      <c r="K3098" s="0" t="n">
        <v>49.28</v>
      </c>
    </row>
    <row r="3099" customFormat="false" ht="15" hidden="false" customHeight="false" outlineLevel="0" collapsed="false">
      <c r="A3099" s="0" t="n">
        <v>2035</v>
      </c>
      <c r="B3099" s="0" t="n">
        <v>46.77092549</v>
      </c>
      <c r="C3099" s="0" t="n">
        <v>982.1894353</v>
      </c>
      <c r="I3099" s="0" t="n">
        <v>2029</v>
      </c>
      <c r="J3099" s="0" t="n">
        <v>1148.16</v>
      </c>
      <c r="K3099" s="0" t="n">
        <v>24110.4</v>
      </c>
    </row>
    <row r="3100" customFormat="false" ht="15" hidden="false" customHeight="false" outlineLevel="0" collapsed="false">
      <c r="A3100" s="0" t="n">
        <v>2035</v>
      </c>
      <c r="B3100" s="0" t="n">
        <v>32.52640682</v>
      </c>
      <c r="C3100" s="0" t="n">
        <v>683.0545433</v>
      </c>
      <c r="I3100" s="0" t="n">
        <v>2029</v>
      </c>
      <c r="J3100" s="0" t="n">
        <v>382.72</v>
      </c>
      <c r="K3100" s="0" t="n">
        <v>8036.8</v>
      </c>
    </row>
    <row r="3101" customFormat="false" ht="15" hidden="false" customHeight="false" outlineLevel="0" collapsed="false">
      <c r="A3101" s="0" t="n">
        <v>2035</v>
      </c>
      <c r="B3101" s="0" t="n">
        <v>24.19422882</v>
      </c>
      <c r="C3101" s="0" t="n">
        <v>508.0788051</v>
      </c>
      <c r="I3101" s="0" t="n">
        <v>2029</v>
      </c>
      <c r="J3101" s="0" t="n">
        <v>167.44</v>
      </c>
      <c r="K3101" s="0" t="n">
        <v>3516.1</v>
      </c>
    </row>
    <row r="3102" customFormat="false" ht="15" hidden="false" customHeight="false" outlineLevel="0" collapsed="false">
      <c r="A3102" s="0" t="n">
        <v>2035</v>
      </c>
      <c r="B3102" s="0" t="n">
        <v>10.75299059</v>
      </c>
      <c r="C3102" s="0" t="n">
        <v>225.8128023</v>
      </c>
      <c r="I3102" s="0" t="n">
        <v>2029</v>
      </c>
      <c r="J3102" s="0" t="n">
        <v>95.68</v>
      </c>
      <c r="K3102" s="0" t="n">
        <v>2009.2</v>
      </c>
    </row>
    <row r="3103" customFormat="false" ht="15" hidden="false" customHeight="false" outlineLevel="0" collapsed="false">
      <c r="A3103" s="0" t="n">
        <v>2035</v>
      </c>
      <c r="B3103" s="0" t="n">
        <v>39.71702332</v>
      </c>
      <c r="C3103" s="0" t="n">
        <v>834.0574896</v>
      </c>
      <c r="I3103" s="0" t="n">
        <v>2029</v>
      </c>
      <c r="J3103" s="0" t="n">
        <v>95.68</v>
      </c>
      <c r="K3103" s="0" t="n">
        <v>2009.2</v>
      </c>
    </row>
    <row r="3104" customFormat="false" ht="15" hidden="false" customHeight="false" outlineLevel="0" collapsed="false">
      <c r="A3104" s="0" t="n">
        <v>2035</v>
      </c>
      <c r="B3104" s="0" t="n">
        <v>12.43281521</v>
      </c>
      <c r="C3104" s="0" t="n">
        <v>261.0891194</v>
      </c>
      <c r="I3104" s="0" t="n">
        <v>2029</v>
      </c>
      <c r="J3104" s="0" t="n">
        <v>47.84</v>
      </c>
      <c r="K3104" s="0" t="n">
        <v>1004.6</v>
      </c>
    </row>
    <row r="3105" customFormat="false" ht="15" hidden="false" customHeight="false" outlineLevel="0" collapsed="false">
      <c r="A3105" s="0" t="n">
        <v>2035</v>
      </c>
      <c r="B3105" s="0" t="n">
        <v>27.79901503</v>
      </c>
      <c r="C3105" s="0" t="n">
        <v>583.7793156</v>
      </c>
      <c r="I3105" s="0" t="n">
        <v>2029</v>
      </c>
      <c r="J3105" s="0" t="n">
        <v>47.84</v>
      </c>
      <c r="K3105" s="0" t="n">
        <v>1004.6</v>
      </c>
    </row>
    <row r="3106" customFormat="false" ht="15" hidden="false" customHeight="false" outlineLevel="0" collapsed="false">
      <c r="A3106" s="0" t="n">
        <v>2035</v>
      </c>
      <c r="B3106" s="0" t="n">
        <v>352.5193277</v>
      </c>
      <c r="C3106" s="0" t="n">
        <v>7402.905882</v>
      </c>
      <c r="I3106" s="0" t="n">
        <v>2029</v>
      </c>
      <c r="J3106" s="0" t="n">
        <v>95.68</v>
      </c>
      <c r="K3106" s="0" t="n">
        <v>2009.2</v>
      </c>
    </row>
    <row r="3107" customFormat="false" ht="15" hidden="false" customHeight="false" outlineLevel="0" collapsed="false">
      <c r="A3107" s="0" t="n">
        <v>2035</v>
      </c>
      <c r="B3107" s="0" t="n">
        <v>88.91579859</v>
      </c>
      <c r="C3107" s="0" t="n">
        <v>1867.23177</v>
      </c>
      <c r="I3107" s="0" t="n">
        <v>2029</v>
      </c>
      <c r="J3107" s="0" t="n">
        <v>167.44</v>
      </c>
      <c r="K3107" s="0" t="n">
        <v>3516.1</v>
      </c>
    </row>
    <row r="3108" customFormat="false" ht="15" hidden="false" customHeight="false" outlineLevel="0" collapsed="false">
      <c r="A3108" s="0" t="n">
        <v>2035</v>
      </c>
      <c r="B3108" s="0" t="n">
        <v>79.2911579</v>
      </c>
      <c r="C3108" s="0" t="n">
        <v>1665.114316</v>
      </c>
      <c r="I3108" s="0" t="n">
        <v>2029</v>
      </c>
      <c r="J3108" s="0" t="n">
        <v>71.76</v>
      </c>
      <c r="K3108" s="0" t="n">
        <v>1506.9</v>
      </c>
    </row>
    <row r="3109" customFormat="false" ht="15" hidden="false" customHeight="false" outlineLevel="0" collapsed="false">
      <c r="A3109" s="0" t="n">
        <v>2035</v>
      </c>
      <c r="B3109" s="0" t="n">
        <v>55.14230117</v>
      </c>
      <c r="C3109" s="0" t="n">
        <v>1157.988325</v>
      </c>
      <c r="I3109" s="0" t="n">
        <v>2029</v>
      </c>
      <c r="J3109" s="0" t="n">
        <v>71.76</v>
      </c>
      <c r="K3109" s="0" t="n">
        <v>1506.9</v>
      </c>
    </row>
    <row r="3110" customFormat="false" ht="15" hidden="false" customHeight="false" outlineLevel="0" collapsed="false">
      <c r="A3110" s="0" t="n">
        <v>2035</v>
      </c>
      <c r="B3110" s="0" t="n">
        <v>41.01668712</v>
      </c>
      <c r="C3110" s="0" t="n">
        <v>861.3504296</v>
      </c>
      <c r="I3110" s="0" t="n">
        <v>2029</v>
      </c>
      <c r="J3110" s="0" t="n">
        <v>184.08</v>
      </c>
      <c r="K3110" s="0" t="n">
        <v>3868.8</v>
      </c>
    </row>
    <row r="3111" customFormat="false" ht="15" hidden="false" customHeight="false" outlineLevel="0" collapsed="false">
      <c r="A3111" s="0" t="n">
        <v>2035</v>
      </c>
      <c r="B3111" s="0" t="n">
        <v>18.22963872</v>
      </c>
      <c r="C3111" s="0" t="n">
        <v>382.8224132</v>
      </c>
      <c r="I3111" s="0" t="n">
        <v>2029</v>
      </c>
      <c r="J3111" s="0" t="n">
        <v>28.32</v>
      </c>
      <c r="K3111" s="0" t="n">
        <v>595.2</v>
      </c>
    </row>
    <row r="3112" customFormat="false" ht="15" hidden="false" customHeight="false" outlineLevel="0" collapsed="false">
      <c r="A3112" s="0" t="n">
        <v>2035</v>
      </c>
      <c r="B3112" s="0" t="n">
        <v>67.33261602</v>
      </c>
      <c r="C3112" s="0" t="n">
        <v>1413.984936</v>
      </c>
      <c r="I3112" s="0" t="n">
        <v>2029</v>
      </c>
      <c r="J3112" s="0" t="n">
        <v>21.24</v>
      </c>
      <c r="K3112" s="0" t="n">
        <v>446.4</v>
      </c>
    </row>
    <row r="3113" customFormat="false" ht="15" hidden="false" customHeight="false" outlineLevel="0" collapsed="false">
      <c r="A3113" s="0" t="n">
        <v>2035</v>
      </c>
      <c r="B3113" s="0" t="n">
        <v>21.07746006</v>
      </c>
      <c r="C3113" s="0" t="n">
        <v>442.6266612</v>
      </c>
      <c r="I3113" s="0" t="n">
        <v>2029</v>
      </c>
      <c r="J3113" s="0" t="n">
        <v>35.4</v>
      </c>
      <c r="K3113" s="0" t="n">
        <v>744</v>
      </c>
    </row>
    <row r="3114" customFormat="false" ht="15" hidden="false" customHeight="false" outlineLevel="0" collapsed="false">
      <c r="A3114" s="0" t="n">
        <v>2035</v>
      </c>
      <c r="B3114" s="0" t="n">
        <v>47.12791263</v>
      </c>
      <c r="C3114" s="0" t="n">
        <v>989.6861652</v>
      </c>
      <c r="I3114" s="0" t="n">
        <v>2029</v>
      </c>
      <c r="J3114" s="0" t="n">
        <v>7.08</v>
      </c>
      <c r="K3114" s="0" t="n">
        <v>148.8</v>
      </c>
    </row>
    <row r="3115" customFormat="false" ht="15" hidden="false" customHeight="false" outlineLevel="0" collapsed="false">
      <c r="A3115" s="0" t="n">
        <v>2035</v>
      </c>
      <c r="B3115" s="0" t="n">
        <v>126.680348</v>
      </c>
      <c r="C3115" s="0" t="n">
        <v>2660.287308</v>
      </c>
      <c r="I3115" s="0" t="n">
        <v>2029</v>
      </c>
      <c r="J3115" s="0" t="n">
        <v>7.08</v>
      </c>
      <c r="K3115" s="0" t="n">
        <v>148.8</v>
      </c>
    </row>
    <row r="3116" customFormat="false" ht="15" hidden="false" customHeight="false" outlineLevel="0" collapsed="false">
      <c r="A3116" s="0" t="n">
        <v>2035</v>
      </c>
      <c r="B3116" s="0" t="n">
        <v>31.95252975</v>
      </c>
      <c r="C3116" s="0" t="n">
        <v>671.0031248</v>
      </c>
      <c r="I3116" s="0" t="n">
        <v>2029</v>
      </c>
      <c r="J3116" s="0" t="n">
        <v>0</v>
      </c>
      <c r="K3116" s="0" t="n">
        <v>0</v>
      </c>
    </row>
    <row r="3117" customFormat="false" ht="15" hidden="false" customHeight="false" outlineLevel="0" collapsed="false">
      <c r="A3117" s="0" t="n">
        <v>2035</v>
      </c>
      <c r="B3117" s="0" t="n">
        <v>28.49384611</v>
      </c>
      <c r="C3117" s="0" t="n">
        <v>598.3707683</v>
      </c>
      <c r="I3117" s="0" t="n">
        <v>2029</v>
      </c>
      <c r="J3117" s="0" t="n">
        <v>14.16</v>
      </c>
      <c r="K3117" s="0" t="n">
        <v>297.6</v>
      </c>
    </row>
    <row r="3118" customFormat="false" ht="15" hidden="false" customHeight="false" outlineLevel="0" collapsed="false">
      <c r="A3118" s="0" t="n">
        <v>2035</v>
      </c>
      <c r="B3118" s="0" t="n">
        <v>19.8157813</v>
      </c>
      <c r="C3118" s="0" t="n">
        <v>416.1314073</v>
      </c>
      <c r="I3118" s="0" t="n">
        <v>2029</v>
      </c>
      <c r="J3118" s="0" t="n">
        <v>24.78</v>
      </c>
      <c r="K3118" s="0" t="n">
        <v>520.8</v>
      </c>
    </row>
    <row r="3119" customFormat="false" ht="15" hidden="false" customHeight="false" outlineLevel="0" collapsed="false">
      <c r="A3119" s="0" t="n">
        <v>2035</v>
      </c>
      <c r="B3119" s="0" t="n">
        <v>14.73964061</v>
      </c>
      <c r="C3119" s="0" t="n">
        <v>309.5324528</v>
      </c>
      <c r="I3119" s="0" t="n">
        <v>2029</v>
      </c>
      <c r="J3119" s="0" t="n">
        <v>7.08</v>
      </c>
      <c r="K3119" s="0" t="n">
        <v>148.8</v>
      </c>
    </row>
    <row r="3120" customFormat="false" ht="15" hidden="false" customHeight="false" outlineLevel="0" collapsed="false">
      <c r="A3120" s="0" t="n">
        <v>2035</v>
      </c>
      <c r="B3120" s="0" t="n">
        <v>6.550951382</v>
      </c>
      <c r="C3120" s="0" t="n">
        <v>137.569979</v>
      </c>
      <c r="I3120" s="0" t="n">
        <v>2029</v>
      </c>
      <c r="J3120" s="0" t="n">
        <v>24.78</v>
      </c>
      <c r="K3120" s="0" t="n">
        <v>520.8</v>
      </c>
    </row>
    <row r="3121" customFormat="false" ht="15" hidden="false" customHeight="false" outlineLevel="0" collapsed="false">
      <c r="A3121" s="0" t="n">
        <v>2035</v>
      </c>
      <c r="B3121" s="0" t="n">
        <v>24.19645834</v>
      </c>
      <c r="C3121" s="0" t="n">
        <v>508.1256252</v>
      </c>
      <c r="I3121" s="0" t="n">
        <v>2029</v>
      </c>
      <c r="J3121" s="0" t="n">
        <v>46.08</v>
      </c>
      <c r="K3121" s="0" t="n">
        <v>964.8</v>
      </c>
    </row>
    <row r="3122" customFormat="false" ht="15" hidden="false" customHeight="false" outlineLevel="0" collapsed="false">
      <c r="A3122" s="0" t="n">
        <v>2035</v>
      </c>
      <c r="B3122" s="0" t="n">
        <v>7.574336398</v>
      </c>
      <c r="C3122" s="0" t="n">
        <v>159.0610644</v>
      </c>
      <c r="I3122" s="0" t="n">
        <v>2029</v>
      </c>
      <c r="J3122" s="0" t="n">
        <v>15.36</v>
      </c>
      <c r="K3122" s="0" t="n">
        <v>321.6</v>
      </c>
    </row>
    <row r="3123" customFormat="false" ht="15" hidden="false" customHeight="false" outlineLevel="0" collapsed="false">
      <c r="A3123" s="0" t="n">
        <v>2035</v>
      </c>
      <c r="B3123" s="0" t="n">
        <v>16.93575331</v>
      </c>
      <c r="C3123" s="0" t="n">
        <v>355.6508195</v>
      </c>
      <c r="I3123" s="0" t="n">
        <v>2029</v>
      </c>
      <c r="J3123" s="0" t="n">
        <v>6.72</v>
      </c>
      <c r="K3123" s="0" t="n">
        <v>140.7</v>
      </c>
    </row>
    <row r="3124" customFormat="false" ht="15" hidden="false" customHeight="false" outlineLevel="0" collapsed="false">
      <c r="A3124" s="0" t="n">
        <v>2035</v>
      </c>
      <c r="B3124" s="0" t="n">
        <v>201.8706154</v>
      </c>
      <c r="C3124" s="0" t="n">
        <v>4239.282923</v>
      </c>
      <c r="I3124" s="0" t="n">
        <v>2029</v>
      </c>
      <c r="J3124" s="0" t="n">
        <v>3.84</v>
      </c>
      <c r="K3124" s="0" t="n">
        <v>80.4</v>
      </c>
    </row>
    <row r="3125" customFormat="false" ht="15" hidden="false" customHeight="false" outlineLevel="0" collapsed="false">
      <c r="A3125" s="0" t="n">
        <v>2035</v>
      </c>
      <c r="B3125" s="0" t="n">
        <v>50.9177386</v>
      </c>
      <c r="C3125" s="0" t="n">
        <v>1069.272511</v>
      </c>
      <c r="I3125" s="0" t="n">
        <v>2029</v>
      </c>
      <c r="J3125" s="0" t="n">
        <v>3.84</v>
      </c>
      <c r="K3125" s="0" t="n">
        <v>80.4</v>
      </c>
    </row>
    <row r="3126" customFormat="false" ht="15" hidden="false" customHeight="false" outlineLevel="0" collapsed="false">
      <c r="A3126" s="0" t="n">
        <v>2035</v>
      </c>
      <c r="B3126" s="0" t="n">
        <v>45.40617657</v>
      </c>
      <c r="C3126" s="0" t="n">
        <v>953.5297081</v>
      </c>
      <c r="I3126" s="0" t="n">
        <v>2029</v>
      </c>
      <c r="J3126" s="0" t="n">
        <v>1.92</v>
      </c>
      <c r="K3126" s="0" t="n">
        <v>40.2</v>
      </c>
    </row>
    <row r="3127" customFormat="false" ht="15" hidden="false" customHeight="false" outlineLevel="0" collapsed="false">
      <c r="A3127" s="0" t="n">
        <v>2035</v>
      </c>
      <c r="B3127" s="0" t="n">
        <v>31.57730484</v>
      </c>
      <c r="C3127" s="0" t="n">
        <v>663.1234016</v>
      </c>
      <c r="I3127" s="0" t="n">
        <v>2029</v>
      </c>
      <c r="J3127" s="0" t="n">
        <v>1.92</v>
      </c>
      <c r="K3127" s="0" t="n">
        <v>40.2</v>
      </c>
    </row>
    <row r="3128" customFormat="false" ht="15" hidden="false" customHeight="false" outlineLevel="0" collapsed="false">
      <c r="A3128" s="0" t="n">
        <v>2035</v>
      </c>
      <c r="B3128" s="0" t="n">
        <v>23.48825503</v>
      </c>
      <c r="C3128" s="0" t="n">
        <v>493.2533556</v>
      </c>
      <c r="I3128" s="0" t="n">
        <v>2029</v>
      </c>
      <c r="J3128" s="0" t="n">
        <v>3.84</v>
      </c>
      <c r="K3128" s="0" t="n">
        <v>80.4</v>
      </c>
    </row>
    <row r="3129" customFormat="false" ht="15" hidden="false" customHeight="false" outlineLevel="0" collapsed="false">
      <c r="A3129" s="0" t="n">
        <v>2035</v>
      </c>
      <c r="B3129" s="0" t="n">
        <v>10.43922446</v>
      </c>
      <c r="C3129" s="0" t="n">
        <v>219.2237136</v>
      </c>
      <c r="I3129" s="0" t="n">
        <v>2029</v>
      </c>
      <c r="J3129" s="0" t="n">
        <v>6.72</v>
      </c>
      <c r="K3129" s="0" t="n">
        <v>140.7</v>
      </c>
    </row>
    <row r="3130" customFormat="false" ht="15" hidden="false" customHeight="false" outlineLevel="0" collapsed="false">
      <c r="A3130" s="0" t="n">
        <v>2035</v>
      </c>
      <c r="B3130" s="0" t="n">
        <v>38.55810324</v>
      </c>
      <c r="C3130" s="0" t="n">
        <v>809.7201681</v>
      </c>
      <c r="I3130" s="0" t="n">
        <v>2029</v>
      </c>
      <c r="J3130" s="0" t="n">
        <v>2.88</v>
      </c>
      <c r="K3130" s="0" t="n">
        <v>60.3</v>
      </c>
    </row>
    <row r="3131" customFormat="false" ht="15" hidden="false" customHeight="false" outlineLevel="0" collapsed="false">
      <c r="A3131" s="0" t="n">
        <v>2035</v>
      </c>
      <c r="B3131" s="0" t="n">
        <v>12.07003276</v>
      </c>
      <c r="C3131" s="0" t="n">
        <v>253.4706879</v>
      </c>
      <c r="I3131" s="0" t="n">
        <v>2029</v>
      </c>
      <c r="J3131" s="0" t="n">
        <v>2.88</v>
      </c>
      <c r="K3131" s="0" t="n">
        <v>60.3</v>
      </c>
    </row>
    <row r="3132" customFormat="false" ht="15" hidden="false" customHeight="false" outlineLevel="0" collapsed="false">
      <c r="A3132" s="0" t="n">
        <v>2035</v>
      </c>
      <c r="B3132" s="0" t="n">
        <v>26.98785563</v>
      </c>
      <c r="C3132" s="0" t="n">
        <v>566.7449683</v>
      </c>
      <c r="I3132" s="0" t="n">
        <v>2029</v>
      </c>
      <c r="J3132" s="0" t="n">
        <v>8.84</v>
      </c>
      <c r="K3132" s="0" t="n">
        <v>188.24</v>
      </c>
    </row>
    <row r="3133" customFormat="false" ht="15" hidden="false" customHeight="false" outlineLevel="0" collapsed="false">
      <c r="A3133" s="0" t="n">
        <v>2035</v>
      </c>
      <c r="B3133" s="0" t="n">
        <v>226.0401129</v>
      </c>
      <c r="C3133" s="0" t="n">
        <v>4746.84237</v>
      </c>
      <c r="I3133" s="0" t="n">
        <v>2029</v>
      </c>
      <c r="J3133" s="0" t="n">
        <v>1.36</v>
      </c>
      <c r="K3133" s="0" t="n">
        <v>28.96</v>
      </c>
    </row>
    <row r="3134" customFormat="false" ht="15" hidden="false" customHeight="false" outlineLevel="0" collapsed="false">
      <c r="A3134" s="0" t="n">
        <v>2035</v>
      </c>
      <c r="B3134" s="0" t="n">
        <v>57.01400056</v>
      </c>
      <c r="C3134" s="0" t="n">
        <v>1197.294012</v>
      </c>
      <c r="I3134" s="0" t="n">
        <v>2029</v>
      </c>
      <c r="J3134" s="0" t="n">
        <v>1.02</v>
      </c>
      <c r="K3134" s="0" t="n">
        <v>21.72</v>
      </c>
    </row>
    <row r="3135" customFormat="false" ht="15" hidden="false" customHeight="false" outlineLevel="0" collapsed="false">
      <c r="A3135" s="0" t="n">
        <v>2035</v>
      </c>
      <c r="B3135" s="0" t="n">
        <v>50.84255208</v>
      </c>
      <c r="C3135" s="0" t="n">
        <v>1067.693594</v>
      </c>
      <c r="I3135" s="0" t="n">
        <v>2029</v>
      </c>
      <c r="J3135" s="0" t="n">
        <v>1.7</v>
      </c>
      <c r="K3135" s="0" t="n">
        <v>36.2</v>
      </c>
    </row>
    <row r="3136" customFormat="false" ht="15" hidden="false" customHeight="false" outlineLevel="0" collapsed="false">
      <c r="A3136" s="0" t="n">
        <v>2035</v>
      </c>
      <c r="B3136" s="0" t="n">
        <v>35.35798182</v>
      </c>
      <c r="C3136" s="0" t="n">
        <v>742.5176182</v>
      </c>
      <c r="I3136" s="0" t="n">
        <v>2029</v>
      </c>
      <c r="J3136" s="0" t="n">
        <v>0.34</v>
      </c>
      <c r="K3136" s="0" t="n">
        <v>7.24</v>
      </c>
    </row>
    <row r="3137" customFormat="false" ht="15" hidden="false" customHeight="false" outlineLevel="0" collapsed="false">
      <c r="A3137" s="0" t="n">
        <v>2035</v>
      </c>
      <c r="B3137" s="0" t="n">
        <v>26.30044896</v>
      </c>
      <c r="C3137" s="0" t="n">
        <v>552.3094282</v>
      </c>
      <c r="I3137" s="0" t="n">
        <v>2029</v>
      </c>
      <c r="J3137" s="0" t="n">
        <v>0.34</v>
      </c>
      <c r="K3137" s="0" t="n">
        <v>7.24</v>
      </c>
    </row>
    <row r="3138" customFormat="false" ht="15" hidden="false" customHeight="false" outlineLevel="0" collapsed="false">
      <c r="A3138" s="0" t="n">
        <v>2035</v>
      </c>
      <c r="B3138" s="0" t="n">
        <v>11.68908843</v>
      </c>
      <c r="C3138" s="0" t="n">
        <v>245.470857</v>
      </c>
      <c r="I3138" s="0" t="n">
        <v>2029</v>
      </c>
      <c r="J3138" s="0" t="n">
        <v>0</v>
      </c>
      <c r="K3138" s="0" t="n">
        <v>0</v>
      </c>
    </row>
    <row r="3139" customFormat="false" ht="15" hidden="false" customHeight="false" outlineLevel="0" collapsed="false">
      <c r="A3139" s="0" t="n">
        <v>2035</v>
      </c>
      <c r="B3139" s="0" t="n">
        <v>43.17457492</v>
      </c>
      <c r="C3139" s="0" t="n">
        <v>906.6660733</v>
      </c>
      <c r="I3139" s="0" t="n">
        <v>2029</v>
      </c>
      <c r="J3139" s="0" t="n">
        <v>0.68</v>
      </c>
      <c r="K3139" s="0" t="n">
        <v>14.48</v>
      </c>
    </row>
    <row r="3140" customFormat="false" ht="15" hidden="false" customHeight="false" outlineLevel="0" collapsed="false">
      <c r="A3140" s="0" t="n">
        <v>2035</v>
      </c>
      <c r="B3140" s="0" t="n">
        <v>13.5151496</v>
      </c>
      <c r="C3140" s="0" t="n">
        <v>283.8181416</v>
      </c>
      <c r="I3140" s="0" t="n">
        <v>2029</v>
      </c>
      <c r="J3140" s="0" t="n">
        <v>1.19</v>
      </c>
      <c r="K3140" s="0" t="n">
        <v>25.34</v>
      </c>
    </row>
    <row r="3141" customFormat="false" ht="15" hidden="false" customHeight="false" outlineLevel="0" collapsed="false">
      <c r="A3141" s="0" t="n">
        <v>2035</v>
      </c>
      <c r="B3141" s="0" t="n">
        <v>30.21904858</v>
      </c>
      <c r="C3141" s="0" t="n">
        <v>634.6000201</v>
      </c>
      <c r="I3141" s="0" t="n">
        <v>2029</v>
      </c>
      <c r="J3141" s="0" t="n">
        <v>0.34</v>
      </c>
      <c r="K3141" s="0" t="n">
        <v>7.24</v>
      </c>
    </row>
    <row r="3142" customFormat="false" ht="15" hidden="false" customHeight="false" outlineLevel="0" collapsed="false">
      <c r="A3142" s="0" t="n">
        <v>2035</v>
      </c>
      <c r="B3142" s="0" t="n">
        <v>137.1392706</v>
      </c>
      <c r="C3142" s="0" t="n">
        <v>2879.924683</v>
      </c>
      <c r="I3142" s="0" t="n">
        <v>2029</v>
      </c>
      <c r="J3142" s="0" t="n">
        <v>1.19</v>
      </c>
      <c r="K3142" s="0" t="n">
        <v>25.34</v>
      </c>
    </row>
    <row r="3143" customFormat="false" ht="15" hidden="false" customHeight="false" outlineLevel="0" collapsed="false">
      <c r="A3143" s="0" t="n">
        <v>2035</v>
      </c>
      <c r="B3143" s="0" t="n">
        <v>34.59057931</v>
      </c>
      <c r="C3143" s="0" t="n">
        <v>726.4021655</v>
      </c>
      <c r="I3143" s="0" t="n">
        <v>2029</v>
      </c>
      <c r="J3143" s="0" t="n">
        <v>29.76</v>
      </c>
      <c r="K3143" s="0" t="n">
        <v>622.56</v>
      </c>
    </row>
    <row r="3144" customFormat="false" ht="15" hidden="false" customHeight="false" outlineLevel="0" collapsed="false">
      <c r="A3144" s="0" t="n">
        <v>2035</v>
      </c>
      <c r="B3144" s="0" t="n">
        <v>30.84634148</v>
      </c>
      <c r="C3144" s="0" t="n">
        <v>647.773171</v>
      </c>
      <c r="I3144" s="0" t="n">
        <v>2029</v>
      </c>
      <c r="J3144" s="0" t="n">
        <v>9.92</v>
      </c>
      <c r="K3144" s="0" t="n">
        <v>207.52</v>
      </c>
    </row>
    <row r="3145" customFormat="false" ht="15" hidden="false" customHeight="false" outlineLevel="0" collapsed="false">
      <c r="A3145" s="0" t="n">
        <v>2035</v>
      </c>
      <c r="B3145" s="0" t="n">
        <v>21.45180241</v>
      </c>
      <c r="C3145" s="0" t="n">
        <v>450.4878505</v>
      </c>
      <c r="I3145" s="0" t="n">
        <v>2029</v>
      </c>
      <c r="J3145" s="0" t="n">
        <v>4.34</v>
      </c>
      <c r="K3145" s="0" t="n">
        <v>90.79</v>
      </c>
    </row>
    <row r="3146" customFormat="false" ht="15" hidden="false" customHeight="false" outlineLevel="0" collapsed="false">
      <c r="A3146" s="0" t="n">
        <v>2035</v>
      </c>
      <c r="B3146" s="0" t="n">
        <v>15.9565678</v>
      </c>
      <c r="C3146" s="0" t="n">
        <v>335.0879239</v>
      </c>
      <c r="I3146" s="0" t="n">
        <v>2029</v>
      </c>
      <c r="J3146" s="0" t="n">
        <v>2.48</v>
      </c>
      <c r="K3146" s="0" t="n">
        <v>51.88</v>
      </c>
    </row>
    <row r="3147" customFormat="false" ht="15" hidden="false" customHeight="false" outlineLevel="0" collapsed="false">
      <c r="A3147" s="0" t="n">
        <v>2035</v>
      </c>
      <c r="B3147" s="0" t="n">
        <v>7.091807913</v>
      </c>
      <c r="C3147" s="0" t="n">
        <v>148.9279662</v>
      </c>
      <c r="I3147" s="0" t="n">
        <v>2029</v>
      </c>
      <c r="J3147" s="0" t="n">
        <v>2.48</v>
      </c>
      <c r="K3147" s="0" t="n">
        <v>51.88</v>
      </c>
    </row>
    <row r="3148" customFormat="false" ht="15" hidden="false" customHeight="false" outlineLevel="0" collapsed="false">
      <c r="A3148" s="0" t="n">
        <v>2035</v>
      </c>
      <c r="B3148" s="0" t="n">
        <v>26.19415483</v>
      </c>
      <c r="C3148" s="0" t="n">
        <v>550.0772513</v>
      </c>
      <c r="I3148" s="0" t="n">
        <v>2029</v>
      </c>
      <c r="J3148" s="0" t="n">
        <v>1.24</v>
      </c>
      <c r="K3148" s="0" t="n">
        <v>25.94</v>
      </c>
    </row>
    <row r="3149" customFormat="false" ht="15" hidden="false" customHeight="false" outlineLevel="0" collapsed="false">
      <c r="A3149" s="0" t="n">
        <v>2035</v>
      </c>
      <c r="B3149" s="0" t="n">
        <v>8.199685156</v>
      </c>
      <c r="C3149" s="0" t="n">
        <v>172.1933883</v>
      </c>
      <c r="I3149" s="0" t="n">
        <v>2029</v>
      </c>
      <c r="J3149" s="0" t="n">
        <v>1.24</v>
      </c>
      <c r="K3149" s="0" t="n">
        <v>25.94</v>
      </c>
    </row>
    <row r="3150" customFormat="false" ht="15" hidden="false" customHeight="false" outlineLevel="0" collapsed="false">
      <c r="A3150" s="0" t="n">
        <v>2035</v>
      </c>
      <c r="B3150" s="0" t="n">
        <v>18.33399492</v>
      </c>
      <c r="C3150" s="0" t="n">
        <v>385.0138933</v>
      </c>
      <c r="I3150" s="0" t="n">
        <v>2029</v>
      </c>
      <c r="J3150" s="0" t="n">
        <v>2.48</v>
      </c>
      <c r="K3150" s="0" t="n">
        <v>51.88</v>
      </c>
    </row>
    <row r="3151" customFormat="false" ht="15" hidden="false" customHeight="false" outlineLevel="0" collapsed="false">
      <c r="A3151" s="0" t="n">
        <v>2035</v>
      </c>
      <c r="B3151" s="0" t="n">
        <v>683.9531993</v>
      </c>
      <c r="C3151" s="0" t="n">
        <v>14363.01718</v>
      </c>
      <c r="I3151" s="0" t="n">
        <v>2029</v>
      </c>
      <c r="J3151" s="0" t="n">
        <v>4.34</v>
      </c>
      <c r="K3151" s="0" t="n">
        <v>90.79</v>
      </c>
    </row>
    <row r="3152" customFormat="false" ht="15" hidden="false" customHeight="false" outlineLevel="0" collapsed="false">
      <c r="A3152" s="0" t="n">
        <v>2035</v>
      </c>
      <c r="B3152" s="0" t="n">
        <v>172.5132216</v>
      </c>
      <c r="C3152" s="0" t="n">
        <v>3622.777654</v>
      </c>
      <c r="I3152" s="0" t="n">
        <v>2029</v>
      </c>
      <c r="J3152" s="0" t="n">
        <v>1.86</v>
      </c>
      <c r="K3152" s="0" t="n">
        <v>38.91</v>
      </c>
    </row>
    <row r="3153" customFormat="false" ht="15" hidden="false" customHeight="false" outlineLevel="0" collapsed="false">
      <c r="A3153" s="0" t="n">
        <v>2035</v>
      </c>
      <c r="B3153" s="0" t="n">
        <v>153.8396248</v>
      </c>
      <c r="C3153" s="0" t="n">
        <v>3230.632121</v>
      </c>
      <c r="I3153" s="0" t="n">
        <v>2029</v>
      </c>
      <c r="J3153" s="0" t="n">
        <v>1.86</v>
      </c>
      <c r="K3153" s="0" t="n">
        <v>38.91</v>
      </c>
    </row>
    <row r="3154" customFormat="false" ht="15" hidden="false" customHeight="false" outlineLevel="0" collapsed="false">
      <c r="A3154" s="0" t="n">
        <v>2035</v>
      </c>
      <c r="B3154" s="0" t="n">
        <v>106.9863418</v>
      </c>
      <c r="C3154" s="0" t="n">
        <v>2246.713179</v>
      </c>
      <c r="I3154" s="0" t="n">
        <v>2029</v>
      </c>
      <c r="J3154" s="0" t="n">
        <v>22.88</v>
      </c>
      <c r="K3154" s="0" t="n">
        <v>483.08</v>
      </c>
    </row>
    <row r="3155" customFormat="false" ht="15" hidden="false" customHeight="false" outlineLevel="0" collapsed="false">
      <c r="A3155" s="0" t="n">
        <v>2035</v>
      </c>
      <c r="B3155" s="0" t="n">
        <v>79.58001782</v>
      </c>
      <c r="C3155" s="0" t="n">
        <v>1671.180374</v>
      </c>
      <c r="I3155" s="0" t="n">
        <v>2029</v>
      </c>
      <c r="J3155" s="0" t="n">
        <v>3.52</v>
      </c>
      <c r="K3155" s="0" t="n">
        <v>74.32</v>
      </c>
    </row>
    <row r="3156" customFormat="false" ht="15" hidden="false" customHeight="false" outlineLevel="0" collapsed="false">
      <c r="A3156" s="0" t="n">
        <v>2035</v>
      </c>
      <c r="B3156" s="0" t="n">
        <v>35.36889681</v>
      </c>
      <c r="C3156" s="0" t="n">
        <v>742.746833</v>
      </c>
      <c r="I3156" s="0" t="n">
        <v>2029</v>
      </c>
      <c r="J3156" s="0" t="n">
        <v>2.64</v>
      </c>
      <c r="K3156" s="0" t="n">
        <v>55.74</v>
      </c>
    </row>
    <row r="3157" customFormat="false" ht="15" hidden="false" customHeight="false" outlineLevel="0" collapsed="false">
      <c r="A3157" s="0" t="n">
        <v>2035</v>
      </c>
      <c r="B3157" s="0" t="n">
        <v>130.6378247</v>
      </c>
      <c r="C3157" s="0" t="n">
        <v>2743.394319</v>
      </c>
      <c r="I3157" s="0" t="n">
        <v>2029</v>
      </c>
      <c r="J3157" s="0" t="n">
        <v>4.4</v>
      </c>
      <c r="K3157" s="0" t="n">
        <v>92.9</v>
      </c>
    </row>
    <row r="3158" customFormat="false" ht="15" hidden="false" customHeight="false" outlineLevel="0" collapsed="false">
      <c r="A3158" s="0" t="n">
        <v>2035</v>
      </c>
      <c r="B3158" s="0" t="n">
        <v>40.89420099</v>
      </c>
      <c r="C3158" s="0" t="n">
        <v>858.7782207</v>
      </c>
      <c r="I3158" s="0" t="n">
        <v>2029</v>
      </c>
      <c r="J3158" s="0" t="n">
        <v>0.88</v>
      </c>
      <c r="K3158" s="0" t="n">
        <v>18.58</v>
      </c>
    </row>
    <row r="3159" customFormat="false" ht="15" hidden="false" customHeight="false" outlineLevel="0" collapsed="false">
      <c r="A3159" s="0" t="n">
        <v>2035</v>
      </c>
      <c r="B3159" s="0" t="n">
        <v>91.43693432</v>
      </c>
      <c r="C3159" s="0" t="n">
        <v>1920.175621</v>
      </c>
      <c r="I3159" s="0" t="n">
        <v>2029</v>
      </c>
      <c r="J3159" s="0" t="n">
        <v>0.88</v>
      </c>
      <c r="K3159" s="0" t="n">
        <v>18.58</v>
      </c>
    </row>
    <row r="3160" customFormat="false" ht="15" hidden="false" customHeight="false" outlineLevel="0" collapsed="false">
      <c r="A3160" s="0" t="n">
        <v>2035</v>
      </c>
      <c r="B3160" s="0" t="n">
        <v>257.5844917</v>
      </c>
      <c r="C3160" s="0" t="n">
        <v>5409.274325</v>
      </c>
      <c r="I3160" s="0" t="n">
        <v>2029</v>
      </c>
      <c r="J3160" s="0" t="n">
        <v>0</v>
      </c>
      <c r="K3160" s="0" t="n">
        <v>0</v>
      </c>
    </row>
    <row r="3161" customFormat="false" ht="15" hidden="false" customHeight="false" outlineLevel="0" collapsed="false">
      <c r="A3161" s="0" t="n">
        <v>2035</v>
      </c>
      <c r="B3161" s="0" t="n">
        <v>64.97042567</v>
      </c>
      <c r="C3161" s="0" t="n">
        <v>1364.378939</v>
      </c>
      <c r="I3161" s="0" t="n">
        <v>2029</v>
      </c>
      <c r="J3161" s="0" t="n">
        <v>1.76</v>
      </c>
      <c r="K3161" s="0" t="n">
        <v>37.16</v>
      </c>
    </row>
    <row r="3162" customFormat="false" ht="15" hidden="false" customHeight="false" outlineLevel="0" collapsed="false">
      <c r="A3162" s="0" t="n">
        <v>2035</v>
      </c>
      <c r="B3162" s="0" t="n">
        <v>57.93773843</v>
      </c>
      <c r="C3162" s="0" t="n">
        <v>1216.692507</v>
      </c>
      <c r="I3162" s="0" t="n">
        <v>2029</v>
      </c>
      <c r="J3162" s="0" t="n">
        <v>3.08</v>
      </c>
      <c r="K3162" s="0" t="n">
        <v>65.03</v>
      </c>
    </row>
    <row r="3163" customFormat="false" ht="15" hidden="false" customHeight="false" outlineLevel="0" collapsed="false">
      <c r="A3163" s="0" t="n">
        <v>2035</v>
      </c>
      <c r="B3163" s="0" t="n">
        <v>40.29226343</v>
      </c>
      <c r="C3163" s="0" t="n">
        <v>846.137532</v>
      </c>
      <c r="I3163" s="0" t="n">
        <v>2029</v>
      </c>
      <c r="J3163" s="0" t="n">
        <v>0.88</v>
      </c>
      <c r="K3163" s="0" t="n">
        <v>18.58</v>
      </c>
    </row>
    <row r="3164" customFormat="false" ht="15" hidden="false" customHeight="false" outlineLevel="0" collapsed="false">
      <c r="A3164" s="0" t="n">
        <v>2035</v>
      </c>
      <c r="B3164" s="0" t="n">
        <v>29.97073259</v>
      </c>
      <c r="C3164" s="0" t="n">
        <v>629.3853843</v>
      </c>
      <c r="I3164" s="0" t="n">
        <v>2029</v>
      </c>
      <c r="J3164" s="0" t="n">
        <v>3.08</v>
      </c>
      <c r="K3164" s="0" t="n">
        <v>65.03</v>
      </c>
    </row>
    <row r="3165" customFormat="false" ht="15" hidden="false" customHeight="false" outlineLevel="0" collapsed="false">
      <c r="A3165" s="0" t="n">
        <v>2035</v>
      </c>
      <c r="B3165" s="0" t="n">
        <v>13.32032559</v>
      </c>
      <c r="C3165" s="0" t="n">
        <v>279.7268375</v>
      </c>
      <c r="I3165" s="0" t="n">
        <v>2029</v>
      </c>
      <c r="J3165" s="0" t="n">
        <v>130.08</v>
      </c>
      <c r="K3165" s="0" t="n">
        <v>2731.68</v>
      </c>
    </row>
    <row r="3166" customFormat="false" ht="15" hidden="false" customHeight="false" outlineLevel="0" collapsed="false">
      <c r="A3166" s="0" t="n">
        <v>2035</v>
      </c>
      <c r="B3166" s="0" t="n">
        <v>49.19967873</v>
      </c>
      <c r="C3166" s="0" t="n">
        <v>1033.193253</v>
      </c>
      <c r="I3166" s="0" t="n">
        <v>2029</v>
      </c>
      <c r="J3166" s="0" t="n">
        <v>43.36</v>
      </c>
      <c r="K3166" s="0" t="n">
        <v>910.56</v>
      </c>
    </row>
    <row r="3167" customFormat="false" ht="15" hidden="false" customHeight="false" outlineLevel="0" collapsed="false">
      <c r="A3167" s="0" t="n">
        <v>2035</v>
      </c>
      <c r="B3167" s="0" t="n">
        <v>15.40121749</v>
      </c>
      <c r="C3167" s="0" t="n">
        <v>323.4255672</v>
      </c>
      <c r="I3167" s="0" t="n">
        <v>2029</v>
      </c>
      <c r="J3167" s="0" t="n">
        <v>18.97</v>
      </c>
      <c r="K3167" s="0" t="n">
        <v>398.37</v>
      </c>
    </row>
    <row r="3168" customFormat="false" ht="15" hidden="false" customHeight="false" outlineLevel="0" collapsed="false">
      <c r="A3168" s="0" t="n">
        <v>2035</v>
      </c>
      <c r="B3168" s="0" t="n">
        <v>34.43618112</v>
      </c>
      <c r="C3168" s="0" t="n">
        <v>723.1598035</v>
      </c>
      <c r="I3168" s="0" t="n">
        <v>2029</v>
      </c>
      <c r="J3168" s="0" t="n">
        <v>10.84</v>
      </c>
      <c r="K3168" s="0" t="n">
        <v>227.64</v>
      </c>
    </row>
    <row r="3169" customFormat="false" ht="15" hidden="false" customHeight="false" outlineLevel="0" collapsed="false">
      <c r="A3169" s="0" t="n">
        <v>2035</v>
      </c>
      <c r="B3169" s="0" t="n">
        <v>437.2298965</v>
      </c>
      <c r="C3169" s="0" t="n">
        <v>9181.827826</v>
      </c>
      <c r="I3169" s="0" t="n">
        <v>2029</v>
      </c>
      <c r="J3169" s="0" t="n">
        <v>10.84</v>
      </c>
      <c r="K3169" s="0" t="n">
        <v>227.64</v>
      </c>
    </row>
    <row r="3170" customFormat="false" ht="15" hidden="false" customHeight="false" outlineLevel="0" collapsed="false">
      <c r="A3170" s="0" t="n">
        <v>2035</v>
      </c>
      <c r="B3170" s="0" t="n">
        <v>110.282309</v>
      </c>
      <c r="C3170" s="0" t="n">
        <v>2315.928488</v>
      </c>
      <c r="I3170" s="0" t="n">
        <v>2029</v>
      </c>
      <c r="J3170" s="0" t="n">
        <v>5.42</v>
      </c>
      <c r="K3170" s="0" t="n">
        <v>113.82</v>
      </c>
    </row>
    <row r="3171" customFormat="false" ht="15" hidden="false" customHeight="false" outlineLevel="0" collapsed="false">
      <c r="A3171" s="0" t="n">
        <v>2035</v>
      </c>
      <c r="B3171" s="0" t="n">
        <v>98.34486235</v>
      </c>
      <c r="C3171" s="0" t="n">
        <v>2065.242109</v>
      </c>
      <c r="I3171" s="0" t="n">
        <v>2029</v>
      </c>
      <c r="J3171" s="0" t="n">
        <v>5.42</v>
      </c>
      <c r="K3171" s="0" t="n">
        <v>113.82</v>
      </c>
    </row>
    <row r="3172" customFormat="false" ht="15" hidden="false" customHeight="false" outlineLevel="0" collapsed="false">
      <c r="A3172" s="0" t="n">
        <v>2035</v>
      </c>
      <c r="B3172" s="0" t="n">
        <v>68.39302341</v>
      </c>
      <c r="C3172" s="0" t="n">
        <v>1436.253492</v>
      </c>
      <c r="I3172" s="0" t="n">
        <v>2029</v>
      </c>
      <c r="J3172" s="0" t="n">
        <v>10.84</v>
      </c>
      <c r="K3172" s="0" t="n">
        <v>227.64</v>
      </c>
    </row>
    <row r="3173" customFormat="false" ht="15" hidden="false" customHeight="false" outlineLevel="0" collapsed="false">
      <c r="A3173" s="0" t="n">
        <v>2035</v>
      </c>
      <c r="B3173" s="0" t="n">
        <v>50.87301732</v>
      </c>
      <c r="C3173" s="0" t="n">
        <v>1068.333364</v>
      </c>
      <c r="I3173" s="0" t="n">
        <v>2029</v>
      </c>
      <c r="J3173" s="0" t="n">
        <v>18.97</v>
      </c>
      <c r="K3173" s="0" t="n">
        <v>398.37</v>
      </c>
    </row>
    <row r="3174" customFormat="false" ht="15" hidden="false" customHeight="false" outlineLevel="0" collapsed="false">
      <c r="A3174" s="0" t="n">
        <v>2035</v>
      </c>
      <c r="B3174" s="0" t="n">
        <v>22.61022992</v>
      </c>
      <c r="C3174" s="0" t="n">
        <v>474.8148283</v>
      </c>
      <c r="I3174" s="0" t="n">
        <v>2029</v>
      </c>
      <c r="J3174" s="0" t="n">
        <v>8.13</v>
      </c>
      <c r="K3174" s="0" t="n">
        <v>170.73</v>
      </c>
    </row>
    <row r="3175" customFormat="false" ht="15" hidden="false" customHeight="false" outlineLevel="0" collapsed="false">
      <c r="A3175" s="0" t="n">
        <v>2035</v>
      </c>
      <c r="B3175" s="0" t="n">
        <v>83.51267695</v>
      </c>
      <c r="C3175" s="0" t="n">
        <v>1753.766216</v>
      </c>
      <c r="I3175" s="0" t="n">
        <v>2029</v>
      </c>
      <c r="J3175" s="0" t="n">
        <v>8.13</v>
      </c>
      <c r="K3175" s="0" t="n">
        <v>170.73</v>
      </c>
    </row>
    <row r="3176" customFormat="false" ht="15" hidden="false" customHeight="false" outlineLevel="0" collapsed="false">
      <c r="A3176" s="0" t="n">
        <v>2035</v>
      </c>
      <c r="B3176" s="0" t="n">
        <v>26.14238413</v>
      </c>
      <c r="C3176" s="0" t="n">
        <v>548.9900668</v>
      </c>
      <c r="I3176" s="0" t="n">
        <v>2029</v>
      </c>
      <c r="J3176" s="0" t="n">
        <v>48.36</v>
      </c>
      <c r="K3176" s="0" t="n">
        <v>1016.6</v>
      </c>
    </row>
    <row r="3177" customFormat="false" ht="15" hidden="false" customHeight="false" outlineLevel="0" collapsed="false">
      <c r="A3177" s="0" t="n">
        <v>2035</v>
      </c>
      <c r="B3177" s="0" t="n">
        <v>58.45277334</v>
      </c>
      <c r="C3177" s="0" t="n">
        <v>1227.50824</v>
      </c>
      <c r="I3177" s="0" t="n">
        <v>2029</v>
      </c>
      <c r="J3177" s="0" t="n">
        <v>7.44</v>
      </c>
      <c r="K3177" s="0" t="n">
        <v>156.4</v>
      </c>
    </row>
    <row r="3178" customFormat="false" ht="15" hidden="false" customHeight="false" outlineLevel="0" collapsed="false">
      <c r="A3178" s="0" t="n">
        <v>2035</v>
      </c>
      <c r="B3178" s="0" t="n">
        <v>172.3710901</v>
      </c>
      <c r="C3178" s="0" t="n">
        <v>3619.792891</v>
      </c>
      <c r="I3178" s="0" t="n">
        <v>2029</v>
      </c>
      <c r="J3178" s="0" t="n">
        <v>5.58</v>
      </c>
      <c r="K3178" s="0" t="n">
        <v>117.3</v>
      </c>
    </row>
    <row r="3179" customFormat="false" ht="15" hidden="false" customHeight="false" outlineLevel="0" collapsed="false">
      <c r="A3179" s="0" t="n">
        <v>2035</v>
      </c>
      <c r="B3179" s="0" t="n">
        <v>43.477086</v>
      </c>
      <c r="C3179" s="0" t="n">
        <v>913.0188059</v>
      </c>
      <c r="I3179" s="0" t="n">
        <v>2029</v>
      </c>
      <c r="J3179" s="0" t="n">
        <v>9.3</v>
      </c>
      <c r="K3179" s="0" t="n">
        <v>195.5</v>
      </c>
    </row>
    <row r="3180" customFormat="false" ht="15" hidden="false" customHeight="false" outlineLevel="0" collapsed="false">
      <c r="A3180" s="0" t="n">
        <v>2035</v>
      </c>
      <c r="B3180" s="0" t="n">
        <v>38.77093324</v>
      </c>
      <c r="C3180" s="0" t="n">
        <v>814.189598</v>
      </c>
      <c r="I3180" s="0" t="n">
        <v>2029</v>
      </c>
      <c r="J3180" s="0" t="n">
        <v>1.86</v>
      </c>
      <c r="K3180" s="0" t="n">
        <v>39.1</v>
      </c>
    </row>
    <row r="3181" customFormat="false" ht="15" hidden="false" customHeight="false" outlineLevel="0" collapsed="false">
      <c r="A3181" s="0" t="n">
        <v>2035</v>
      </c>
      <c r="B3181" s="0" t="n">
        <v>26.96288633</v>
      </c>
      <c r="C3181" s="0" t="n">
        <v>566.2206129</v>
      </c>
      <c r="I3181" s="0" t="n">
        <v>2029</v>
      </c>
      <c r="J3181" s="0" t="n">
        <v>1.86</v>
      </c>
      <c r="K3181" s="0" t="n">
        <v>39.1</v>
      </c>
    </row>
    <row r="3182" customFormat="false" ht="15" hidden="false" customHeight="false" outlineLevel="0" collapsed="false">
      <c r="A3182" s="0" t="n">
        <v>2035</v>
      </c>
      <c r="B3182" s="0" t="n">
        <v>20.05589627</v>
      </c>
      <c r="C3182" s="0" t="n">
        <v>421.1738217</v>
      </c>
      <c r="I3182" s="0" t="n">
        <v>2029</v>
      </c>
      <c r="J3182" s="0" t="n">
        <v>0</v>
      </c>
      <c r="K3182" s="0" t="n">
        <v>0</v>
      </c>
    </row>
    <row r="3183" customFormat="false" ht="15" hidden="false" customHeight="false" outlineLevel="0" collapsed="false">
      <c r="A3183" s="0" t="n">
        <v>2035</v>
      </c>
      <c r="B3183" s="0" t="n">
        <v>8.913731676</v>
      </c>
      <c r="C3183" s="0" t="n">
        <v>187.1883652</v>
      </c>
      <c r="I3183" s="0" t="n">
        <v>2029</v>
      </c>
      <c r="J3183" s="0" t="n">
        <v>3.72</v>
      </c>
      <c r="K3183" s="0" t="n">
        <v>78.2</v>
      </c>
    </row>
    <row r="3184" customFormat="false" ht="15" hidden="false" customHeight="false" outlineLevel="0" collapsed="false">
      <c r="A3184" s="0" t="n">
        <v>2035</v>
      </c>
      <c r="B3184" s="0" t="n">
        <v>32.9235747</v>
      </c>
      <c r="C3184" s="0" t="n">
        <v>691.3950688</v>
      </c>
      <c r="I3184" s="0" t="n">
        <v>2029</v>
      </c>
      <c r="J3184" s="0" t="n">
        <v>6.51</v>
      </c>
      <c r="K3184" s="0" t="n">
        <v>136.85</v>
      </c>
    </row>
    <row r="3185" customFormat="false" ht="15" hidden="false" customHeight="false" outlineLevel="0" collapsed="false">
      <c r="A3185" s="0" t="n">
        <v>2035</v>
      </c>
      <c r="B3185" s="0" t="n">
        <v>10.30622857</v>
      </c>
      <c r="C3185" s="0" t="n">
        <v>216.4307999</v>
      </c>
      <c r="I3185" s="0" t="n">
        <v>2029</v>
      </c>
      <c r="J3185" s="0" t="n">
        <v>1.86</v>
      </c>
      <c r="K3185" s="0" t="n">
        <v>39.1</v>
      </c>
    </row>
    <row r="3186" customFormat="false" ht="15" hidden="false" customHeight="false" outlineLevel="0" collapsed="false">
      <c r="A3186" s="0" t="n">
        <v>2035</v>
      </c>
      <c r="B3186" s="0" t="n">
        <v>23.04409725</v>
      </c>
      <c r="C3186" s="0" t="n">
        <v>483.9260424</v>
      </c>
      <c r="I3186" s="0" t="n">
        <v>2029</v>
      </c>
      <c r="J3186" s="0" t="n">
        <v>6.51</v>
      </c>
      <c r="K3186" s="0" t="n">
        <v>136.85</v>
      </c>
    </row>
    <row r="3187" customFormat="false" ht="15" hidden="false" customHeight="false" outlineLevel="0" collapsed="false">
      <c r="A3187" s="0" t="n">
        <v>2035</v>
      </c>
      <c r="B3187" s="0" t="n">
        <v>337.400821</v>
      </c>
      <c r="C3187" s="0" t="n">
        <v>7085.417241</v>
      </c>
      <c r="I3187" s="0" t="n">
        <v>2030</v>
      </c>
      <c r="J3187" s="0" t="n">
        <v>821.76</v>
      </c>
      <c r="K3187" s="0" t="n">
        <v>17257.44</v>
      </c>
    </row>
    <row r="3188" customFormat="false" ht="15" hidden="false" customHeight="false" outlineLevel="0" collapsed="false">
      <c r="A3188" s="0" t="n">
        <v>2035</v>
      </c>
      <c r="B3188" s="0" t="n">
        <v>85.10246413</v>
      </c>
      <c r="C3188" s="0" t="n">
        <v>1787.151747</v>
      </c>
      <c r="I3188" s="0" t="n">
        <v>2030</v>
      </c>
      <c r="J3188" s="0" t="n">
        <v>273.92</v>
      </c>
      <c r="K3188" s="0" t="n">
        <v>5752.48</v>
      </c>
    </row>
    <row r="3189" customFormat="false" ht="15" hidden="false" customHeight="false" outlineLevel="0" collapsed="false">
      <c r="A3189" s="0" t="n">
        <v>2035</v>
      </c>
      <c r="B3189" s="0" t="n">
        <v>75.89059569</v>
      </c>
      <c r="C3189" s="0" t="n">
        <v>1593.702509</v>
      </c>
      <c r="I3189" s="0" t="n">
        <v>2030</v>
      </c>
      <c r="J3189" s="0" t="n">
        <v>119.84</v>
      </c>
      <c r="K3189" s="0" t="n">
        <v>2516.71</v>
      </c>
    </row>
    <row r="3190" customFormat="false" ht="15" hidden="false" customHeight="false" outlineLevel="0" collapsed="false">
      <c r="A3190" s="0" t="n">
        <v>2035</v>
      </c>
      <c r="B3190" s="0" t="n">
        <v>52.77741169</v>
      </c>
      <c r="C3190" s="0" t="n">
        <v>1108.325645</v>
      </c>
      <c r="I3190" s="0" t="n">
        <v>2030</v>
      </c>
      <c r="J3190" s="0" t="n">
        <v>68.48</v>
      </c>
      <c r="K3190" s="0" t="n">
        <v>1438.12</v>
      </c>
    </row>
    <row r="3191" customFormat="false" ht="15" hidden="false" customHeight="false" outlineLevel="0" collapsed="false">
      <c r="A3191" s="0" t="n">
        <v>2035</v>
      </c>
      <c r="B3191" s="0" t="n">
        <v>39.25760326</v>
      </c>
      <c r="C3191" s="0" t="n">
        <v>824.4096685</v>
      </c>
      <c r="I3191" s="0" t="n">
        <v>2030</v>
      </c>
      <c r="J3191" s="0" t="n">
        <v>68.48</v>
      </c>
      <c r="K3191" s="0" t="n">
        <v>1438.12</v>
      </c>
    </row>
    <row r="3192" customFormat="false" ht="15" hidden="false" customHeight="false" outlineLevel="0" collapsed="false">
      <c r="A3192" s="0" t="n">
        <v>2035</v>
      </c>
      <c r="B3192" s="0" t="n">
        <v>17.44782367</v>
      </c>
      <c r="C3192" s="0" t="n">
        <v>366.4042971</v>
      </c>
      <c r="I3192" s="0" t="n">
        <v>2030</v>
      </c>
      <c r="J3192" s="0" t="n">
        <v>34.24</v>
      </c>
      <c r="K3192" s="0" t="n">
        <v>719.06</v>
      </c>
    </row>
    <row r="3193" customFormat="false" ht="15" hidden="false" customHeight="false" outlineLevel="0" collapsed="false">
      <c r="A3193" s="0" t="n">
        <v>2035</v>
      </c>
      <c r="B3193" s="0" t="n">
        <v>64.44492015</v>
      </c>
      <c r="C3193" s="0" t="n">
        <v>1353.343323</v>
      </c>
      <c r="I3193" s="0" t="n">
        <v>2030</v>
      </c>
      <c r="J3193" s="0" t="n">
        <v>34.24</v>
      </c>
      <c r="K3193" s="0" t="n">
        <v>719.06</v>
      </c>
    </row>
    <row r="3194" customFormat="false" ht="15" hidden="false" customHeight="false" outlineLevel="0" collapsed="false">
      <c r="A3194" s="0" t="n">
        <v>2035</v>
      </c>
      <c r="B3194" s="0" t="n">
        <v>20.17351041</v>
      </c>
      <c r="C3194" s="0" t="n">
        <v>423.6437187</v>
      </c>
      <c r="I3194" s="0" t="n">
        <v>2030</v>
      </c>
      <c r="J3194" s="0" t="n">
        <v>68.48</v>
      </c>
      <c r="K3194" s="0" t="n">
        <v>1438.12</v>
      </c>
    </row>
    <row r="3195" customFormat="false" ht="15" hidden="false" customHeight="false" outlineLevel="0" collapsed="false">
      <c r="A3195" s="0" t="n">
        <v>2035</v>
      </c>
      <c r="B3195" s="0" t="n">
        <v>45.10673646</v>
      </c>
      <c r="C3195" s="0" t="n">
        <v>947.2414656</v>
      </c>
      <c r="I3195" s="0" t="n">
        <v>2030</v>
      </c>
      <c r="J3195" s="0" t="n">
        <v>119.84</v>
      </c>
      <c r="K3195" s="0" t="n">
        <v>2516.71</v>
      </c>
    </row>
    <row r="3196" customFormat="false" ht="15" hidden="false" customHeight="false" outlineLevel="0" collapsed="false">
      <c r="A3196" s="0" t="n">
        <v>2035</v>
      </c>
      <c r="B3196" s="0" t="n">
        <v>221.9839281</v>
      </c>
      <c r="C3196" s="0" t="n">
        <v>4661.662491</v>
      </c>
      <c r="I3196" s="0" t="n">
        <v>2030</v>
      </c>
      <c r="J3196" s="0" t="n">
        <v>51.36</v>
      </c>
      <c r="K3196" s="0" t="n">
        <v>1078.59</v>
      </c>
    </row>
    <row r="3197" customFormat="false" ht="15" hidden="false" customHeight="false" outlineLevel="0" collapsed="false">
      <c r="A3197" s="0" t="n">
        <v>2035</v>
      </c>
      <c r="B3197" s="0" t="n">
        <v>55.99091083</v>
      </c>
      <c r="C3197" s="0" t="n">
        <v>1175.809127</v>
      </c>
      <c r="I3197" s="0" t="n">
        <v>2030</v>
      </c>
      <c r="J3197" s="0" t="n">
        <v>51.36</v>
      </c>
      <c r="K3197" s="0" t="n">
        <v>1078.59</v>
      </c>
    </row>
    <row r="3198" customFormat="false" ht="15" hidden="false" customHeight="false" outlineLevel="0" collapsed="false">
      <c r="A3198" s="0" t="n">
        <v>2035</v>
      </c>
      <c r="B3198" s="0" t="n">
        <v>49.93020612</v>
      </c>
      <c r="C3198" s="0" t="n">
        <v>1048.534329</v>
      </c>
      <c r="I3198" s="0" t="n">
        <v>2030</v>
      </c>
      <c r="J3198" s="0" t="n">
        <v>54.08</v>
      </c>
      <c r="K3198" s="0" t="n">
        <v>1136.2</v>
      </c>
    </row>
    <row r="3199" customFormat="false" ht="15" hidden="false" customHeight="false" outlineLevel="0" collapsed="false">
      <c r="A3199" s="0" t="n">
        <v>2035</v>
      </c>
      <c r="B3199" s="0" t="n">
        <v>34.72349927</v>
      </c>
      <c r="C3199" s="0" t="n">
        <v>729.1934847</v>
      </c>
      <c r="I3199" s="0" t="n">
        <v>2030</v>
      </c>
      <c r="J3199" s="0" t="n">
        <v>8.32</v>
      </c>
      <c r="K3199" s="0" t="n">
        <v>174.8</v>
      </c>
    </row>
    <row r="3200" customFormat="false" ht="15" hidden="false" customHeight="false" outlineLevel="0" collapsed="false">
      <c r="A3200" s="0" t="n">
        <v>2035</v>
      </c>
      <c r="B3200" s="0" t="n">
        <v>25.82849963</v>
      </c>
      <c r="C3200" s="0" t="n">
        <v>542.3984923</v>
      </c>
      <c r="I3200" s="0" t="n">
        <v>2030</v>
      </c>
      <c r="J3200" s="0" t="n">
        <v>6.24</v>
      </c>
      <c r="K3200" s="0" t="n">
        <v>131.1</v>
      </c>
    </row>
    <row r="3201" customFormat="false" ht="15" hidden="false" customHeight="false" outlineLevel="0" collapsed="false">
      <c r="A3201" s="0" t="n">
        <v>2035</v>
      </c>
      <c r="B3201" s="0" t="n">
        <v>11.47933317</v>
      </c>
      <c r="C3201" s="0" t="n">
        <v>241.0659966</v>
      </c>
      <c r="I3201" s="0" t="n">
        <v>2030</v>
      </c>
      <c r="J3201" s="0" t="n">
        <v>10.4</v>
      </c>
      <c r="K3201" s="0" t="n">
        <v>218.5</v>
      </c>
    </row>
    <row r="3202" customFormat="false" ht="15" hidden="false" customHeight="false" outlineLevel="0" collapsed="false">
      <c r="A3202" s="0" t="n">
        <v>2035</v>
      </c>
      <c r="B3202" s="0" t="n">
        <v>42.39982724</v>
      </c>
      <c r="C3202" s="0" t="n">
        <v>890.3963721</v>
      </c>
      <c r="I3202" s="0" t="n">
        <v>2030</v>
      </c>
      <c r="J3202" s="0" t="n">
        <v>2.08</v>
      </c>
      <c r="K3202" s="0" t="n">
        <v>43.7</v>
      </c>
    </row>
    <row r="3203" customFormat="false" ht="15" hidden="false" customHeight="false" outlineLevel="0" collapsed="false">
      <c r="A3203" s="0" t="n">
        <v>2035</v>
      </c>
      <c r="B3203" s="0" t="n">
        <v>13.27262652</v>
      </c>
      <c r="C3203" s="0" t="n">
        <v>278.725157</v>
      </c>
      <c r="I3203" s="0" t="n">
        <v>2030</v>
      </c>
      <c r="J3203" s="0" t="n">
        <v>2.08</v>
      </c>
      <c r="K3203" s="0" t="n">
        <v>43.7</v>
      </c>
    </row>
    <row r="3204" customFormat="false" ht="15" hidden="false" customHeight="false" outlineLevel="0" collapsed="false">
      <c r="A3204" s="0" t="n">
        <v>2035</v>
      </c>
      <c r="B3204" s="0" t="n">
        <v>29.6767818</v>
      </c>
      <c r="C3204" s="0" t="n">
        <v>623.2124178</v>
      </c>
      <c r="I3204" s="0" t="n">
        <v>2030</v>
      </c>
      <c r="J3204" s="0" t="n">
        <v>0</v>
      </c>
      <c r="K3204" s="0" t="n">
        <v>0</v>
      </c>
    </row>
    <row r="3205" customFormat="false" ht="15" hidden="false" customHeight="false" outlineLevel="0" collapsed="false">
      <c r="A3205" s="0" t="n">
        <v>2035</v>
      </c>
      <c r="B3205" s="0" t="n">
        <v>151.1515451</v>
      </c>
      <c r="C3205" s="0" t="n">
        <v>3174.182448</v>
      </c>
      <c r="I3205" s="0" t="n">
        <v>2030</v>
      </c>
      <c r="J3205" s="0" t="n">
        <v>4.16</v>
      </c>
      <c r="K3205" s="0" t="n">
        <v>87.4</v>
      </c>
    </row>
    <row r="3206" customFormat="false" ht="15" hidden="false" customHeight="false" outlineLevel="0" collapsed="false">
      <c r="A3206" s="0" t="n">
        <v>2035</v>
      </c>
      <c r="B3206" s="0" t="n">
        <v>38.1248893</v>
      </c>
      <c r="C3206" s="0" t="n">
        <v>800.6226752</v>
      </c>
      <c r="I3206" s="0" t="n">
        <v>2030</v>
      </c>
      <c r="J3206" s="0" t="n">
        <v>7.28</v>
      </c>
      <c r="K3206" s="0" t="n">
        <v>152.95</v>
      </c>
    </row>
    <row r="3207" customFormat="false" ht="15" hidden="false" customHeight="false" outlineLevel="0" collapsed="false">
      <c r="A3207" s="0" t="n">
        <v>2035</v>
      </c>
      <c r="B3207" s="0" t="n">
        <v>33.99808206</v>
      </c>
      <c r="C3207" s="0" t="n">
        <v>713.9597233</v>
      </c>
      <c r="I3207" s="0" t="n">
        <v>2030</v>
      </c>
      <c r="J3207" s="0" t="n">
        <v>2.08</v>
      </c>
      <c r="K3207" s="0" t="n">
        <v>43.7</v>
      </c>
    </row>
    <row r="3208" customFormat="false" ht="15" hidden="false" customHeight="false" outlineLevel="0" collapsed="false">
      <c r="A3208" s="0" t="n">
        <v>2035</v>
      </c>
      <c r="B3208" s="0" t="n">
        <v>23.6436512</v>
      </c>
      <c r="C3208" s="0" t="n">
        <v>496.5166751</v>
      </c>
      <c r="I3208" s="0" t="n">
        <v>2030</v>
      </c>
      <c r="J3208" s="0" t="n">
        <v>7.28</v>
      </c>
      <c r="K3208" s="0" t="n">
        <v>152.95</v>
      </c>
    </row>
    <row r="3209" customFormat="false" ht="15" hidden="false" customHeight="false" outlineLevel="0" collapsed="false">
      <c r="A3209" s="0" t="n">
        <v>2035</v>
      </c>
      <c r="B3209" s="0" t="n">
        <v>17.58693821</v>
      </c>
      <c r="C3209" s="0" t="n">
        <v>369.3257025</v>
      </c>
      <c r="I3209" s="0" t="n">
        <v>2030</v>
      </c>
      <c r="J3209" s="0" t="n">
        <v>348.48</v>
      </c>
      <c r="K3209" s="0" t="n">
        <v>7313.28</v>
      </c>
    </row>
    <row r="3210" customFormat="false" ht="15" hidden="false" customHeight="false" outlineLevel="0" collapsed="false">
      <c r="A3210" s="0" t="n">
        <v>2035</v>
      </c>
      <c r="B3210" s="0" t="n">
        <v>7.816416983</v>
      </c>
      <c r="C3210" s="0" t="n">
        <v>164.1447567</v>
      </c>
      <c r="I3210" s="0" t="n">
        <v>2030</v>
      </c>
      <c r="J3210" s="0" t="n">
        <v>116.16</v>
      </c>
      <c r="K3210" s="0" t="n">
        <v>2437.76</v>
      </c>
    </row>
    <row r="3211" customFormat="false" ht="15" hidden="false" customHeight="false" outlineLevel="0" collapsed="false">
      <c r="A3211" s="0" t="n">
        <v>2035</v>
      </c>
      <c r="B3211" s="0" t="n">
        <v>28.87055588</v>
      </c>
      <c r="C3211" s="0" t="n">
        <v>606.2816735</v>
      </c>
      <c r="I3211" s="0" t="n">
        <v>2030</v>
      </c>
      <c r="J3211" s="0" t="n">
        <v>50.82</v>
      </c>
      <c r="K3211" s="0" t="n">
        <v>1066.52</v>
      </c>
    </row>
    <row r="3212" customFormat="false" ht="15" hidden="false" customHeight="false" outlineLevel="0" collapsed="false">
      <c r="A3212" s="0" t="n">
        <v>2035</v>
      </c>
      <c r="B3212" s="0" t="n">
        <v>9.037492146</v>
      </c>
      <c r="C3212" s="0" t="n">
        <v>189.7873351</v>
      </c>
      <c r="I3212" s="0" t="n">
        <v>2030</v>
      </c>
      <c r="J3212" s="0" t="n">
        <v>29.04</v>
      </c>
      <c r="K3212" s="0" t="n">
        <v>609.44</v>
      </c>
    </row>
    <row r="3213" customFormat="false" ht="15" hidden="false" customHeight="false" outlineLevel="0" collapsed="false">
      <c r="A3213" s="0" t="n">
        <v>2035</v>
      </c>
      <c r="B3213" s="0" t="n">
        <v>20.20728015</v>
      </c>
      <c r="C3213" s="0" t="n">
        <v>424.3528831</v>
      </c>
      <c r="I3213" s="0" t="n">
        <v>2030</v>
      </c>
      <c r="J3213" s="0" t="n">
        <v>29.04</v>
      </c>
      <c r="K3213" s="0" t="n">
        <v>609.44</v>
      </c>
    </row>
    <row r="3214" customFormat="false" ht="15" hidden="false" customHeight="false" outlineLevel="0" collapsed="false">
      <c r="A3214" s="0" t="n">
        <v>2035</v>
      </c>
      <c r="B3214" s="0" t="n">
        <v>102.3097174</v>
      </c>
      <c r="C3214" s="0" t="n">
        <v>2148.504065</v>
      </c>
      <c r="I3214" s="0" t="n">
        <v>2030</v>
      </c>
      <c r="J3214" s="0" t="n">
        <v>14.52</v>
      </c>
      <c r="K3214" s="0" t="n">
        <v>304.72</v>
      </c>
    </row>
    <row r="3215" customFormat="false" ht="15" hidden="false" customHeight="false" outlineLevel="0" collapsed="false">
      <c r="A3215" s="0" t="n">
        <v>2035</v>
      </c>
      <c r="B3215" s="0" t="n">
        <v>25.80553607</v>
      </c>
      <c r="C3215" s="0" t="n">
        <v>541.9162574</v>
      </c>
      <c r="I3215" s="0" t="n">
        <v>2030</v>
      </c>
      <c r="J3215" s="0" t="n">
        <v>14.52</v>
      </c>
      <c r="K3215" s="0" t="n">
        <v>304.72</v>
      </c>
    </row>
    <row r="3216" customFormat="false" ht="15" hidden="false" customHeight="false" outlineLevel="0" collapsed="false">
      <c r="A3216" s="0" t="n">
        <v>2035</v>
      </c>
      <c r="B3216" s="0" t="n">
        <v>23.01223031</v>
      </c>
      <c r="C3216" s="0" t="n">
        <v>483.2568364</v>
      </c>
      <c r="I3216" s="0" t="n">
        <v>2030</v>
      </c>
      <c r="J3216" s="0" t="n">
        <v>29.04</v>
      </c>
      <c r="K3216" s="0" t="n">
        <v>609.44</v>
      </c>
    </row>
    <row r="3217" customFormat="false" ht="15" hidden="false" customHeight="false" outlineLevel="0" collapsed="false">
      <c r="A3217" s="0" t="n">
        <v>2035</v>
      </c>
      <c r="B3217" s="0" t="n">
        <v>16.00364237</v>
      </c>
      <c r="C3217" s="0" t="n">
        <v>336.0764898</v>
      </c>
      <c r="I3217" s="0" t="n">
        <v>2030</v>
      </c>
      <c r="J3217" s="0" t="n">
        <v>50.82</v>
      </c>
      <c r="K3217" s="0" t="n">
        <v>1066.52</v>
      </c>
    </row>
    <row r="3218" customFormat="false" ht="15" hidden="false" customHeight="false" outlineLevel="0" collapsed="false">
      <c r="A3218" s="0" t="n">
        <v>2035</v>
      </c>
      <c r="B3218" s="0" t="n">
        <v>11.90404423</v>
      </c>
      <c r="C3218" s="0" t="n">
        <v>249.9849288</v>
      </c>
      <c r="I3218" s="0" t="n">
        <v>2030</v>
      </c>
      <c r="J3218" s="0" t="n">
        <v>21.78</v>
      </c>
      <c r="K3218" s="0" t="n">
        <v>457.08</v>
      </c>
    </row>
    <row r="3219" customFormat="false" ht="15" hidden="false" customHeight="false" outlineLevel="0" collapsed="false">
      <c r="A3219" s="0" t="n">
        <v>2035</v>
      </c>
      <c r="B3219" s="0" t="n">
        <v>5.290686324</v>
      </c>
      <c r="C3219" s="0" t="n">
        <v>111.1044128</v>
      </c>
      <c r="I3219" s="0" t="n">
        <v>2030</v>
      </c>
      <c r="J3219" s="0" t="n">
        <v>21.78</v>
      </c>
      <c r="K3219" s="0" t="n">
        <v>457.08</v>
      </c>
    </row>
    <row r="3220" customFormat="false" ht="15" hidden="false" customHeight="false" outlineLevel="0" collapsed="false">
      <c r="A3220" s="0" t="n">
        <v>2035</v>
      </c>
      <c r="B3220" s="0" t="n">
        <v>19.54156943</v>
      </c>
      <c r="C3220" s="0" t="n">
        <v>410.372958</v>
      </c>
      <c r="I3220" s="0" t="n">
        <v>2030</v>
      </c>
      <c r="J3220" s="0" t="n">
        <v>65</v>
      </c>
      <c r="K3220" s="0" t="n">
        <v>1362.92</v>
      </c>
    </row>
    <row r="3221" customFormat="false" ht="15" hidden="false" customHeight="false" outlineLevel="0" collapsed="false">
      <c r="A3221" s="0" t="n">
        <v>2035</v>
      </c>
      <c r="B3221" s="0" t="n">
        <v>6.117193619</v>
      </c>
      <c r="C3221" s="0" t="n">
        <v>128.461066</v>
      </c>
      <c r="I3221" s="0" t="n">
        <v>2030</v>
      </c>
      <c r="J3221" s="0" t="n">
        <v>10</v>
      </c>
      <c r="K3221" s="0" t="n">
        <v>209.68</v>
      </c>
    </row>
    <row r="3222" customFormat="false" ht="15" hidden="false" customHeight="false" outlineLevel="0" collapsed="false">
      <c r="A3222" s="0" t="n">
        <v>2035</v>
      </c>
      <c r="B3222" s="0" t="n">
        <v>13.67767111</v>
      </c>
      <c r="C3222" s="0" t="n">
        <v>287.2310932</v>
      </c>
      <c r="I3222" s="0" t="n">
        <v>2030</v>
      </c>
      <c r="J3222" s="0" t="n">
        <v>7.5</v>
      </c>
      <c r="K3222" s="0" t="n">
        <v>157.26</v>
      </c>
    </row>
    <row r="3223" customFormat="false" ht="15" hidden="false" customHeight="false" outlineLevel="0" collapsed="false">
      <c r="A3223" s="0" t="n">
        <v>2035</v>
      </c>
      <c r="B3223" s="0" t="n">
        <v>626.7978689</v>
      </c>
      <c r="C3223" s="0" t="n">
        <v>13162.75525</v>
      </c>
      <c r="I3223" s="0" t="n">
        <v>2030</v>
      </c>
      <c r="J3223" s="0" t="n">
        <v>12.5</v>
      </c>
      <c r="K3223" s="0" t="n">
        <v>262.1</v>
      </c>
    </row>
    <row r="3224" customFormat="false" ht="15" hidden="false" customHeight="false" outlineLevel="0" collapsed="false">
      <c r="A3224" s="0" t="n">
        <v>2035</v>
      </c>
      <c r="B3224" s="0" t="n">
        <v>158.0969572</v>
      </c>
      <c r="C3224" s="0" t="n">
        <v>3320.036101</v>
      </c>
      <c r="I3224" s="0" t="n">
        <v>2030</v>
      </c>
      <c r="J3224" s="0" t="n">
        <v>2.5</v>
      </c>
      <c r="K3224" s="0" t="n">
        <v>52.42</v>
      </c>
    </row>
    <row r="3225" customFormat="false" ht="15" hidden="false" customHeight="false" outlineLevel="0" collapsed="false">
      <c r="A3225" s="0" t="n">
        <v>2035</v>
      </c>
      <c r="B3225" s="0" t="n">
        <v>140.9838408</v>
      </c>
      <c r="C3225" s="0" t="n">
        <v>2960.660658</v>
      </c>
      <c r="I3225" s="0" t="n">
        <v>2030</v>
      </c>
      <c r="J3225" s="0" t="n">
        <v>2.5</v>
      </c>
      <c r="K3225" s="0" t="n">
        <v>52.42</v>
      </c>
    </row>
    <row r="3226" customFormat="false" ht="15" hidden="false" customHeight="false" outlineLevel="0" collapsed="false">
      <c r="A3226" s="0" t="n">
        <v>2035</v>
      </c>
      <c r="B3226" s="0" t="n">
        <v>98.04590598</v>
      </c>
      <c r="C3226" s="0" t="n">
        <v>2058.964026</v>
      </c>
      <c r="I3226" s="0" t="n">
        <v>2030</v>
      </c>
      <c r="J3226" s="0" t="n">
        <v>0</v>
      </c>
      <c r="K3226" s="0" t="n">
        <v>0</v>
      </c>
    </row>
    <row r="3227" customFormat="false" ht="15" hidden="false" customHeight="false" outlineLevel="0" collapsed="false">
      <c r="A3227" s="0" t="n">
        <v>2035</v>
      </c>
      <c r="B3227" s="0" t="n">
        <v>72.92982273</v>
      </c>
      <c r="C3227" s="0" t="n">
        <v>1531.526277</v>
      </c>
      <c r="I3227" s="0" t="n">
        <v>2030</v>
      </c>
      <c r="J3227" s="0" t="n">
        <v>5</v>
      </c>
      <c r="K3227" s="0" t="n">
        <v>104.84</v>
      </c>
    </row>
    <row r="3228" customFormat="false" ht="15" hidden="false" customHeight="false" outlineLevel="0" collapsed="false">
      <c r="A3228" s="0" t="n">
        <v>2035</v>
      </c>
      <c r="B3228" s="0" t="n">
        <v>32.41325455</v>
      </c>
      <c r="C3228" s="0" t="n">
        <v>680.6783455</v>
      </c>
      <c r="I3228" s="0" t="n">
        <v>2030</v>
      </c>
      <c r="J3228" s="0" t="n">
        <v>8.75</v>
      </c>
      <c r="K3228" s="0" t="n">
        <v>183.47</v>
      </c>
    </row>
    <row r="3229" customFormat="false" ht="15" hidden="false" customHeight="false" outlineLevel="0" collapsed="false">
      <c r="A3229" s="0" t="n">
        <v>2035</v>
      </c>
      <c r="B3229" s="0" t="n">
        <v>119.7209257</v>
      </c>
      <c r="C3229" s="0" t="n">
        <v>2514.139439</v>
      </c>
      <c r="I3229" s="0" t="n">
        <v>2030</v>
      </c>
      <c r="J3229" s="0" t="n">
        <v>2.5</v>
      </c>
      <c r="K3229" s="0" t="n">
        <v>52.42</v>
      </c>
    </row>
    <row r="3230" customFormat="false" ht="15" hidden="false" customHeight="false" outlineLevel="0" collapsed="false">
      <c r="A3230" s="0" t="n">
        <v>2035</v>
      </c>
      <c r="B3230" s="0" t="n">
        <v>37.47683037</v>
      </c>
      <c r="C3230" s="0" t="n">
        <v>787.0134378</v>
      </c>
      <c r="I3230" s="0" t="n">
        <v>2030</v>
      </c>
      <c r="J3230" s="0" t="n">
        <v>8.75</v>
      </c>
      <c r="K3230" s="0" t="n">
        <v>183.47</v>
      </c>
    </row>
    <row r="3231" customFormat="false" ht="15" hidden="false" customHeight="false" outlineLevel="0" collapsed="false">
      <c r="A3231" s="0" t="n">
        <v>2035</v>
      </c>
      <c r="B3231" s="0" t="n">
        <v>83.79590246</v>
      </c>
      <c r="C3231" s="0" t="n">
        <v>1759.713952</v>
      </c>
      <c r="I3231" s="0" t="n">
        <v>2030</v>
      </c>
      <c r="J3231" s="0" t="n">
        <v>222.24</v>
      </c>
      <c r="K3231" s="0" t="n">
        <v>4663.68</v>
      </c>
    </row>
    <row r="3232" customFormat="false" ht="15" hidden="false" customHeight="false" outlineLevel="0" collapsed="false">
      <c r="A3232" s="0" t="n">
        <v>2035</v>
      </c>
      <c r="B3232" s="0" t="n">
        <v>276.6586166</v>
      </c>
      <c r="C3232" s="0" t="n">
        <v>5809.830948</v>
      </c>
      <c r="I3232" s="0" t="n">
        <v>2030</v>
      </c>
      <c r="J3232" s="0" t="n">
        <v>74.08</v>
      </c>
      <c r="K3232" s="0" t="n">
        <v>1554.56</v>
      </c>
    </row>
    <row r="3233" customFormat="false" ht="15" hidden="false" customHeight="false" outlineLevel="0" collapsed="false">
      <c r="A3233" s="0" t="n">
        <v>2035</v>
      </c>
      <c r="B3233" s="0" t="n">
        <v>69.781484</v>
      </c>
      <c r="C3233" s="0" t="n">
        <v>1465.411164</v>
      </c>
      <c r="I3233" s="0" t="n">
        <v>2030</v>
      </c>
      <c r="J3233" s="0" t="n">
        <v>32.41</v>
      </c>
      <c r="K3233" s="0" t="n">
        <v>680.12</v>
      </c>
    </row>
    <row r="3234" customFormat="false" ht="15" hidden="false" customHeight="false" outlineLevel="0" collapsed="false">
      <c r="A3234" s="0" t="n">
        <v>2035</v>
      </c>
      <c r="B3234" s="0" t="n">
        <v>62.22802645</v>
      </c>
      <c r="C3234" s="0" t="n">
        <v>1306.788555</v>
      </c>
      <c r="I3234" s="0" t="n">
        <v>2030</v>
      </c>
      <c r="J3234" s="0" t="n">
        <v>18.52</v>
      </c>
      <c r="K3234" s="0" t="n">
        <v>388.64</v>
      </c>
    </row>
    <row r="3235" customFormat="false" ht="15" hidden="false" customHeight="false" outlineLevel="0" collapsed="false">
      <c r="A3235" s="0" t="n">
        <v>2035</v>
      </c>
      <c r="B3235" s="0" t="n">
        <v>43.27590449</v>
      </c>
      <c r="C3235" s="0" t="n">
        <v>908.7939942</v>
      </c>
      <c r="I3235" s="0" t="n">
        <v>2030</v>
      </c>
      <c r="J3235" s="0" t="n">
        <v>18.52</v>
      </c>
      <c r="K3235" s="0" t="n">
        <v>388.64</v>
      </c>
    </row>
    <row r="3236" customFormat="false" ht="15" hidden="false" customHeight="false" outlineLevel="0" collapsed="false">
      <c r="A3236" s="0" t="n">
        <v>2035</v>
      </c>
      <c r="B3236" s="0" t="n">
        <v>32.19006455</v>
      </c>
      <c r="C3236" s="0" t="n">
        <v>675.9913556</v>
      </c>
      <c r="I3236" s="0" t="n">
        <v>2030</v>
      </c>
      <c r="J3236" s="0" t="n">
        <v>9.26</v>
      </c>
      <c r="K3236" s="0" t="n">
        <v>194.32</v>
      </c>
    </row>
    <row r="3237" customFormat="false" ht="15" hidden="false" customHeight="false" outlineLevel="0" collapsed="false">
      <c r="A3237" s="0" t="n">
        <v>2035</v>
      </c>
      <c r="B3237" s="0" t="n">
        <v>14.30669536</v>
      </c>
      <c r="C3237" s="0" t="n">
        <v>300.4406025</v>
      </c>
      <c r="I3237" s="0" t="n">
        <v>2030</v>
      </c>
      <c r="J3237" s="0" t="n">
        <v>9.26</v>
      </c>
      <c r="K3237" s="0" t="n">
        <v>194.32</v>
      </c>
    </row>
    <row r="3238" customFormat="false" ht="15" hidden="false" customHeight="false" outlineLevel="0" collapsed="false">
      <c r="A3238" s="0" t="n">
        <v>2035</v>
      </c>
      <c r="B3238" s="0" t="n">
        <v>52.84291366</v>
      </c>
      <c r="C3238" s="0" t="n">
        <v>1109.701187</v>
      </c>
      <c r="I3238" s="0" t="n">
        <v>2030</v>
      </c>
      <c r="J3238" s="0" t="n">
        <v>18.52</v>
      </c>
      <c r="K3238" s="0" t="n">
        <v>388.64</v>
      </c>
    </row>
    <row r="3239" customFormat="false" ht="15" hidden="false" customHeight="false" outlineLevel="0" collapsed="false">
      <c r="A3239" s="0" t="n">
        <v>2035</v>
      </c>
      <c r="B3239" s="0" t="n">
        <v>16.54167724</v>
      </c>
      <c r="C3239" s="0" t="n">
        <v>347.3752221</v>
      </c>
      <c r="I3239" s="0" t="n">
        <v>2030</v>
      </c>
      <c r="J3239" s="0" t="n">
        <v>32.41</v>
      </c>
      <c r="K3239" s="0" t="n">
        <v>680.12</v>
      </c>
    </row>
    <row r="3240" customFormat="false" ht="15" hidden="false" customHeight="false" outlineLevel="0" collapsed="false">
      <c r="A3240" s="0" t="n">
        <v>2035</v>
      </c>
      <c r="B3240" s="0" t="n">
        <v>36.98617943</v>
      </c>
      <c r="C3240" s="0" t="n">
        <v>776.7097681</v>
      </c>
      <c r="I3240" s="0" t="n">
        <v>2030</v>
      </c>
      <c r="J3240" s="0" t="n">
        <v>13.89</v>
      </c>
      <c r="K3240" s="0" t="n">
        <v>291.48</v>
      </c>
    </row>
    <row r="3241" customFormat="false" ht="15" hidden="false" customHeight="false" outlineLevel="0" collapsed="false">
      <c r="A3241" s="0" t="n">
        <v>2035</v>
      </c>
      <c r="B3241" s="0" t="n">
        <v>122.9929073</v>
      </c>
      <c r="C3241" s="0" t="n">
        <v>2582.851054</v>
      </c>
      <c r="I3241" s="0" t="n">
        <v>2030</v>
      </c>
      <c r="J3241" s="0" t="n">
        <v>13.89</v>
      </c>
      <c r="K3241" s="0" t="n">
        <v>291.48</v>
      </c>
    </row>
    <row r="3242" customFormat="false" ht="15" hidden="false" customHeight="false" outlineLevel="0" collapsed="false">
      <c r="A3242" s="0" t="n">
        <v>2035</v>
      </c>
      <c r="B3242" s="0" t="n">
        <v>31.02244818</v>
      </c>
      <c r="C3242" s="0" t="n">
        <v>651.4714117</v>
      </c>
      <c r="I3242" s="0" t="n">
        <v>2030</v>
      </c>
      <c r="J3242" s="0" t="n">
        <v>54.08</v>
      </c>
      <c r="K3242" s="0" t="n">
        <v>1131</v>
      </c>
    </row>
    <row r="3243" customFormat="false" ht="15" hidden="false" customHeight="false" outlineLevel="0" collapsed="false">
      <c r="A3243" s="0" t="n">
        <v>2035</v>
      </c>
      <c r="B3243" s="0" t="n">
        <v>27.66444069</v>
      </c>
      <c r="C3243" s="0" t="n">
        <v>580.9532545</v>
      </c>
      <c r="I3243" s="0" t="n">
        <v>2030</v>
      </c>
      <c r="J3243" s="0" t="n">
        <v>8.32</v>
      </c>
      <c r="K3243" s="0" t="n">
        <v>174</v>
      </c>
    </row>
    <row r="3244" customFormat="false" ht="15" hidden="false" customHeight="false" outlineLevel="0" collapsed="false">
      <c r="A3244" s="0" t="n">
        <v>2035</v>
      </c>
      <c r="B3244" s="0" t="n">
        <v>19.23897898</v>
      </c>
      <c r="C3244" s="0" t="n">
        <v>404.0185587</v>
      </c>
      <c r="I3244" s="0" t="n">
        <v>2030</v>
      </c>
      <c r="J3244" s="0" t="n">
        <v>6.24</v>
      </c>
      <c r="K3244" s="0" t="n">
        <v>130.5</v>
      </c>
    </row>
    <row r="3245" customFormat="false" ht="15" hidden="false" customHeight="false" outlineLevel="0" collapsed="false">
      <c r="A3245" s="0" t="n">
        <v>2035</v>
      </c>
      <c r="B3245" s="0" t="n">
        <v>14.31059576</v>
      </c>
      <c r="C3245" s="0" t="n">
        <v>300.5225111</v>
      </c>
      <c r="I3245" s="0" t="n">
        <v>2030</v>
      </c>
      <c r="J3245" s="0" t="n">
        <v>10.4</v>
      </c>
      <c r="K3245" s="0" t="n">
        <v>217.5</v>
      </c>
    </row>
    <row r="3246" customFormat="false" ht="15" hidden="false" customHeight="false" outlineLevel="0" collapsed="false">
      <c r="A3246" s="0" t="n">
        <v>2035</v>
      </c>
      <c r="B3246" s="0" t="n">
        <v>6.360264784</v>
      </c>
      <c r="C3246" s="0" t="n">
        <v>133.5655605</v>
      </c>
      <c r="I3246" s="0" t="n">
        <v>2030</v>
      </c>
      <c r="J3246" s="0" t="n">
        <v>2.08</v>
      </c>
      <c r="K3246" s="0" t="n">
        <v>43.5</v>
      </c>
    </row>
    <row r="3247" customFormat="false" ht="15" hidden="false" customHeight="false" outlineLevel="0" collapsed="false">
      <c r="A3247" s="0" t="n">
        <v>2035</v>
      </c>
      <c r="B3247" s="0" t="n">
        <v>23.49214228</v>
      </c>
      <c r="C3247" s="0" t="n">
        <v>493.3349878</v>
      </c>
      <c r="I3247" s="0" t="n">
        <v>2030</v>
      </c>
      <c r="J3247" s="0" t="n">
        <v>2.08</v>
      </c>
      <c r="K3247" s="0" t="n">
        <v>43.5</v>
      </c>
    </row>
    <row r="3248" customFormat="false" ht="15" hidden="false" customHeight="false" outlineLevel="0" collapsed="false">
      <c r="A3248" s="0" t="n">
        <v>2035</v>
      </c>
      <c r="B3248" s="0" t="n">
        <v>7.353860875</v>
      </c>
      <c r="C3248" s="0" t="n">
        <v>154.4310784</v>
      </c>
      <c r="I3248" s="0" t="n">
        <v>2030</v>
      </c>
      <c r="J3248" s="0" t="n">
        <v>0</v>
      </c>
      <c r="K3248" s="0" t="n">
        <v>0</v>
      </c>
    </row>
    <row r="3249" customFormat="false" ht="15" hidden="false" customHeight="false" outlineLevel="0" collapsed="false">
      <c r="A3249" s="0" t="n">
        <v>2035</v>
      </c>
      <c r="B3249" s="0" t="n">
        <v>16.44278351</v>
      </c>
      <c r="C3249" s="0" t="n">
        <v>345.2984538</v>
      </c>
      <c r="I3249" s="0" t="n">
        <v>2030</v>
      </c>
      <c r="J3249" s="0" t="n">
        <v>4.16</v>
      </c>
      <c r="K3249" s="0" t="n">
        <v>87</v>
      </c>
    </row>
    <row r="3250" customFormat="false" ht="15" hidden="false" customHeight="false" outlineLevel="0" collapsed="false">
      <c r="A3250" s="0" t="n">
        <v>2035</v>
      </c>
      <c r="B3250" s="0" t="n">
        <v>558.0773838</v>
      </c>
      <c r="C3250" s="0" t="n">
        <v>11719.62506</v>
      </c>
      <c r="I3250" s="0" t="n">
        <v>2030</v>
      </c>
      <c r="J3250" s="0" t="n">
        <v>7.28</v>
      </c>
      <c r="K3250" s="0" t="n">
        <v>152.25</v>
      </c>
    </row>
    <row r="3251" customFormat="false" ht="15" hidden="false" customHeight="false" outlineLevel="0" collapsed="false">
      <c r="A3251" s="0" t="n">
        <v>2035</v>
      </c>
      <c r="B3251" s="0" t="n">
        <v>140.7636188</v>
      </c>
      <c r="C3251" s="0" t="n">
        <v>2956.035994</v>
      </c>
      <c r="I3251" s="0" t="n">
        <v>2030</v>
      </c>
      <c r="J3251" s="0" t="n">
        <v>2.08</v>
      </c>
      <c r="K3251" s="0" t="n">
        <v>43.5</v>
      </c>
    </row>
    <row r="3252" customFormat="false" ht="15" hidden="false" customHeight="false" outlineLevel="0" collapsed="false">
      <c r="A3252" s="0" t="n">
        <v>2035</v>
      </c>
      <c r="B3252" s="0" t="n">
        <v>125.5267399</v>
      </c>
      <c r="C3252" s="0" t="n">
        <v>2636.061538</v>
      </c>
      <c r="I3252" s="0" t="n">
        <v>2030</v>
      </c>
      <c r="J3252" s="0" t="n">
        <v>7.28</v>
      </c>
      <c r="K3252" s="0" t="n">
        <v>152.25</v>
      </c>
    </row>
    <row r="3253" customFormat="false" ht="15" hidden="false" customHeight="false" outlineLevel="0" collapsed="false">
      <c r="A3253" s="0" t="n">
        <v>2035</v>
      </c>
      <c r="B3253" s="0" t="n">
        <v>87.29640832</v>
      </c>
      <c r="C3253" s="0" t="n">
        <v>1833.224575</v>
      </c>
      <c r="I3253" s="0" t="n">
        <v>2030</v>
      </c>
      <c r="J3253" s="0" t="n">
        <v>993.12</v>
      </c>
      <c r="K3253" s="0" t="n">
        <v>20852.64</v>
      </c>
    </row>
    <row r="3254" customFormat="false" ht="15" hidden="false" customHeight="false" outlineLevel="0" collapsed="false">
      <c r="A3254" s="0" t="n">
        <v>2035</v>
      </c>
      <c r="B3254" s="0" t="n">
        <v>64.933987</v>
      </c>
      <c r="C3254" s="0" t="n">
        <v>1363.613727</v>
      </c>
      <c r="I3254" s="0" t="n">
        <v>2030</v>
      </c>
      <c r="J3254" s="0" t="n">
        <v>331.04</v>
      </c>
      <c r="K3254" s="0" t="n">
        <v>6950.88</v>
      </c>
    </row>
    <row r="3255" customFormat="false" ht="15" hidden="false" customHeight="false" outlineLevel="0" collapsed="false">
      <c r="A3255" s="0" t="n">
        <v>2035</v>
      </c>
      <c r="B3255" s="0" t="n">
        <v>28.85954978</v>
      </c>
      <c r="C3255" s="0" t="n">
        <v>606.0505453</v>
      </c>
      <c r="I3255" s="0" t="n">
        <v>2030</v>
      </c>
      <c r="J3255" s="0" t="n">
        <v>144.83</v>
      </c>
      <c r="K3255" s="0" t="n">
        <v>3041.01</v>
      </c>
    </row>
    <row r="3256" customFormat="false" ht="15" hidden="false" customHeight="false" outlineLevel="0" collapsed="false">
      <c r="A3256" s="0" t="n">
        <v>2035</v>
      </c>
      <c r="B3256" s="0" t="n">
        <v>106.5950353</v>
      </c>
      <c r="C3256" s="0" t="n">
        <v>2238.495742</v>
      </c>
      <c r="I3256" s="0" t="n">
        <v>2030</v>
      </c>
      <c r="J3256" s="0" t="n">
        <v>82.76</v>
      </c>
      <c r="K3256" s="0" t="n">
        <v>1737.72</v>
      </c>
    </row>
    <row r="3257" customFormat="false" ht="15" hidden="false" customHeight="false" outlineLevel="0" collapsed="false">
      <c r="A3257" s="0" t="n">
        <v>2035</v>
      </c>
      <c r="B3257" s="0" t="n">
        <v>33.36796834</v>
      </c>
      <c r="C3257" s="0" t="n">
        <v>700.7273351</v>
      </c>
      <c r="I3257" s="0" t="n">
        <v>2030</v>
      </c>
      <c r="J3257" s="0" t="n">
        <v>82.76</v>
      </c>
      <c r="K3257" s="0" t="n">
        <v>1737.72</v>
      </c>
    </row>
    <row r="3258" customFormat="false" ht="15" hidden="false" customHeight="false" outlineLevel="0" collapsed="false">
      <c r="A3258" s="0" t="n">
        <v>2035</v>
      </c>
      <c r="B3258" s="0" t="n">
        <v>74.60873806</v>
      </c>
      <c r="C3258" s="0" t="n">
        <v>1566.783499</v>
      </c>
      <c r="I3258" s="0" t="n">
        <v>2030</v>
      </c>
      <c r="J3258" s="0" t="n">
        <v>41.38</v>
      </c>
      <c r="K3258" s="0" t="n">
        <v>868.86</v>
      </c>
    </row>
    <row r="3259" customFormat="false" ht="15" hidden="false" customHeight="false" outlineLevel="0" collapsed="false">
      <c r="I3259" s="0" t="n">
        <v>2030</v>
      </c>
      <c r="J3259" s="0" t="n">
        <v>41.38</v>
      </c>
      <c r="K3259" s="0" t="n">
        <v>868.86</v>
      </c>
    </row>
    <row r="3260" customFormat="false" ht="15" hidden="false" customHeight="false" outlineLevel="0" collapsed="false">
      <c r="I3260" s="0" t="n">
        <v>2030</v>
      </c>
      <c r="J3260" s="0" t="n">
        <v>82.76</v>
      </c>
      <c r="K3260" s="0" t="n">
        <v>1737.72</v>
      </c>
    </row>
    <row r="3261" customFormat="false" ht="15" hidden="false" customHeight="false" outlineLevel="0" collapsed="false">
      <c r="I3261" s="0" t="n">
        <v>2030</v>
      </c>
      <c r="J3261" s="0" t="n">
        <v>144.83</v>
      </c>
      <c r="K3261" s="0" t="n">
        <v>3041.01</v>
      </c>
    </row>
    <row r="3262" customFormat="false" ht="15" hidden="false" customHeight="false" outlineLevel="0" collapsed="false">
      <c r="I3262" s="0" t="n">
        <v>2030</v>
      </c>
      <c r="J3262" s="0" t="n">
        <v>62.07</v>
      </c>
      <c r="K3262" s="0" t="n">
        <v>1303.29</v>
      </c>
    </row>
    <row r="3263" customFormat="false" ht="15" hidden="false" customHeight="false" outlineLevel="0" collapsed="false">
      <c r="I3263" s="0" t="n">
        <v>2030</v>
      </c>
      <c r="J3263" s="0" t="n">
        <v>62.07</v>
      </c>
      <c r="K3263" s="0" t="n">
        <v>1303.29</v>
      </c>
    </row>
    <row r="3264" customFormat="false" ht="15" hidden="false" customHeight="false" outlineLevel="0" collapsed="false">
      <c r="I3264" s="0" t="n">
        <v>2030</v>
      </c>
      <c r="J3264" s="0" t="n">
        <v>68.12</v>
      </c>
      <c r="K3264" s="0" t="n">
        <v>1425.84</v>
      </c>
    </row>
    <row r="3265" customFormat="false" ht="15" hidden="false" customHeight="false" outlineLevel="0" collapsed="false">
      <c r="I3265" s="0" t="n">
        <v>2030</v>
      </c>
      <c r="J3265" s="0" t="n">
        <v>10.48</v>
      </c>
      <c r="K3265" s="0" t="n">
        <v>219.36</v>
      </c>
    </row>
    <row r="3266" customFormat="false" ht="15" hidden="false" customHeight="false" outlineLevel="0" collapsed="false">
      <c r="I3266" s="0" t="n">
        <v>2030</v>
      </c>
      <c r="J3266" s="0" t="n">
        <v>7.86</v>
      </c>
      <c r="K3266" s="0" t="n">
        <v>164.52</v>
      </c>
    </row>
    <row r="3267" customFormat="false" ht="15" hidden="false" customHeight="false" outlineLevel="0" collapsed="false">
      <c r="I3267" s="0" t="n">
        <v>2030</v>
      </c>
      <c r="J3267" s="0" t="n">
        <v>13.1</v>
      </c>
      <c r="K3267" s="0" t="n">
        <v>274.2</v>
      </c>
    </row>
    <row r="3268" customFormat="false" ht="15" hidden="false" customHeight="false" outlineLevel="0" collapsed="false">
      <c r="I3268" s="0" t="n">
        <v>2030</v>
      </c>
      <c r="J3268" s="0" t="n">
        <v>2.62</v>
      </c>
      <c r="K3268" s="0" t="n">
        <v>54.84</v>
      </c>
    </row>
    <row r="3269" customFormat="false" ht="15" hidden="false" customHeight="false" outlineLevel="0" collapsed="false">
      <c r="I3269" s="0" t="n">
        <v>2030</v>
      </c>
      <c r="J3269" s="0" t="n">
        <v>2.62</v>
      </c>
      <c r="K3269" s="0" t="n">
        <v>54.84</v>
      </c>
    </row>
    <row r="3270" customFormat="false" ht="15" hidden="false" customHeight="false" outlineLevel="0" collapsed="false">
      <c r="I3270" s="0" t="n">
        <v>2030</v>
      </c>
      <c r="J3270" s="0" t="n">
        <v>0</v>
      </c>
      <c r="K3270" s="0" t="n">
        <v>0</v>
      </c>
    </row>
    <row r="3271" customFormat="false" ht="15" hidden="false" customHeight="false" outlineLevel="0" collapsed="false">
      <c r="I3271" s="0" t="n">
        <v>2030</v>
      </c>
      <c r="J3271" s="0" t="n">
        <v>5.24</v>
      </c>
      <c r="K3271" s="0" t="n">
        <v>109.68</v>
      </c>
    </row>
    <row r="3272" customFormat="false" ht="15" hidden="false" customHeight="false" outlineLevel="0" collapsed="false">
      <c r="I3272" s="0" t="n">
        <v>2030</v>
      </c>
      <c r="J3272" s="0" t="n">
        <v>9.17</v>
      </c>
      <c r="K3272" s="0" t="n">
        <v>191.94</v>
      </c>
    </row>
    <row r="3273" customFormat="false" ht="15" hidden="false" customHeight="false" outlineLevel="0" collapsed="false">
      <c r="I3273" s="0" t="n">
        <v>2030</v>
      </c>
      <c r="J3273" s="0" t="n">
        <v>2.62</v>
      </c>
      <c r="K3273" s="0" t="n">
        <v>54.84</v>
      </c>
    </row>
    <row r="3274" customFormat="false" ht="15" hidden="false" customHeight="false" outlineLevel="0" collapsed="false">
      <c r="I3274" s="0" t="n">
        <v>2030</v>
      </c>
      <c r="J3274" s="0" t="n">
        <v>9.17</v>
      </c>
      <c r="K3274" s="0" t="n">
        <v>191.94</v>
      </c>
    </row>
    <row r="3275" customFormat="false" ht="15" hidden="false" customHeight="false" outlineLevel="0" collapsed="false">
      <c r="I3275" s="0" t="n">
        <v>2030</v>
      </c>
      <c r="J3275" s="0" t="n">
        <v>165.6</v>
      </c>
      <c r="K3275" s="0" t="n">
        <v>3476.64</v>
      </c>
    </row>
    <row r="3276" customFormat="false" ht="15" hidden="false" customHeight="false" outlineLevel="0" collapsed="false">
      <c r="I3276" s="0" t="n">
        <v>2030</v>
      </c>
      <c r="J3276" s="0" t="n">
        <v>55.2</v>
      </c>
      <c r="K3276" s="0" t="n">
        <v>1158.88</v>
      </c>
    </row>
    <row r="3277" customFormat="false" ht="15" hidden="false" customHeight="false" outlineLevel="0" collapsed="false">
      <c r="I3277" s="0" t="n">
        <v>2030</v>
      </c>
      <c r="J3277" s="0" t="n">
        <v>24.15</v>
      </c>
      <c r="K3277" s="0" t="n">
        <v>507.01</v>
      </c>
    </row>
    <row r="3278" customFormat="false" ht="15" hidden="false" customHeight="false" outlineLevel="0" collapsed="false">
      <c r="I3278" s="0" t="n">
        <v>2030</v>
      </c>
      <c r="J3278" s="0" t="n">
        <v>13.8</v>
      </c>
      <c r="K3278" s="0" t="n">
        <v>289.72</v>
      </c>
    </row>
    <row r="3279" customFormat="false" ht="15" hidden="false" customHeight="false" outlineLevel="0" collapsed="false">
      <c r="I3279" s="0" t="n">
        <v>2030</v>
      </c>
      <c r="J3279" s="0" t="n">
        <v>13.8</v>
      </c>
      <c r="K3279" s="0" t="n">
        <v>289.72</v>
      </c>
    </row>
    <row r="3280" customFormat="false" ht="15" hidden="false" customHeight="false" outlineLevel="0" collapsed="false">
      <c r="I3280" s="0" t="n">
        <v>2030</v>
      </c>
      <c r="J3280" s="0" t="n">
        <v>6.9</v>
      </c>
      <c r="K3280" s="0" t="n">
        <v>144.86</v>
      </c>
    </row>
    <row r="3281" customFormat="false" ht="15" hidden="false" customHeight="false" outlineLevel="0" collapsed="false">
      <c r="I3281" s="0" t="n">
        <v>2030</v>
      </c>
      <c r="J3281" s="0" t="n">
        <v>6.9</v>
      </c>
      <c r="K3281" s="0" t="n">
        <v>144.86</v>
      </c>
    </row>
    <row r="3282" customFormat="false" ht="15" hidden="false" customHeight="false" outlineLevel="0" collapsed="false">
      <c r="I3282" s="0" t="n">
        <v>2030</v>
      </c>
      <c r="J3282" s="0" t="n">
        <v>13.8</v>
      </c>
      <c r="K3282" s="0" t="n">
        <v>289.72</v>
      </c>
    </row>
    <row r="3283" customFormat="false" ht="15" hidden="false" customHeight="false" outlineLevel="0" collapsed="false">
      <c r="I3283" s="0" t="n">
        <v>2030</v>
      </c>
      <c r="J3283" s="0" t="n">
        <v>24.15</v>
      </c>
      <c r="K3283" s="0" t="n">
        <v>507.01</v>
      </c>
    </row>
    <row r="3284" customFormat="false" ht="15" hidden="false" customHeight="false" outlineLevel="0" collapsed="false">
      <c r="I3284" s="0" t="n">
        <v>2030</v>
      </c>
      <c r="J3284" s="0" t="n">
        <v>10.35</v>
      </c>
      <c r="K3284" s="0" t="n">
        <v>217.29</v>
      </c>
    </row>
    <row r="3285" customFormat="false" ht="15" hidden="false" customHeight="false" outlineLevel="0" collapsed="false">
      <c r="I3285" s="0" t="n">
        <v>2030</v>
      </c>
      <c r="J3285" s="0" t="n">
        <v>10.35</v>
      </c>
      <c r="K3285" s="0" t="n">
        <v>217.29</v>
      </c>
    </row>
    <row r="3286" customFormat="false" ht="15" hidden="false" customHeight="false" outlineLevel="0" collapsed="false">
      <c r="I3286" s="0" t="n">
        <v>2030</v>
      </c>
      <c r="J3286" s="0" t="n">
        <v>21.32</v>
      </c>
      <c r="K3286" s="0" t="n">
        <v>447.2</v>
      </c>
    </row>
    <row r="3287" customFormat="false" ht="15" hidden="false" customHeight="false" outlineLevel="0" collapsed="false">
      <c r="I3287" s="0" t="n">
        <v>2030</v>
      </c>
      <c r="J3287" s="0" t="n">
        <v>3.28</v>
      </c>
      <c r="K3287" s="0" t="n">
        <v>68.8</v>
      </c>
    </row>
    <row r="3288" customFormat="false" ht="15" hidden="false" customHeight="false" outlineLevel="0" collapsed="false">
      <c r="I3288" s="0" t="n">
        <v>2030</v>
      </c>
      <c r="J3288" s="0" t="n">
        <v>2.46</v>
      </c>
      <c r="K3288" s="0" t="n">
        <v>51.6</v>
      </c>
    </row>
    <row r="3289" customFormat="false" ht="15" hidden="false" customHeight="false" outlineLevel="0" collapsed="false">
      <c r="I3289" s="0" t="n">
        <v>2030</v>
      </c>
      <c r="J3289" s="0" t="n">
        <v>4.1</v>
      </c>
      <c r="K3289" s="0" t="n">
        <v>86</v>
      </c>
    </row>
    <row r="3290" customFormat="false" ht="15" hidden="false" customHeight="false" outlineLevel="0" collapsed="false">
      <c r="I3290" s="0" t="n">
        <v>2030</v>
      </c>
      <c r="J3290" s="0" t="n">
        <v>0.82</v>
      </c>
      <c r="K3290" s="0" t="n">
        <v>17.2</v>
      </c>
    </row>
    <row r="3291" customFormat="false" ht="15" hidden="false" customHeight="false" outlineLevel="0" collapsed="false">
      <c r="I3291" s="0" t="n">
        <v>2030</v>
      </c>
      <c r="J3291" s="0" t="n">
        <v>0.82</v>
      </c>
      <c r="K3291" s="0" t="n">
        <v>17.2</v>
      </c>
    </row>
    <row r="3292" customFormat="false" ht="15" hidden="false" customHeight="false" outlineLevel="0" collapsed="false">
      <c r="I3292" s="0" t="n">
        <v>2030</v>
      </c>
      <c r="J3292" s="0" t="n">
        <v>0</v>
      </c>
      <c r="K3292" s="0" t="n">
        <v>0</v>
      </c>
    </row>
    <row r="3293" customFormat="false" ht="15" hidden="false" customHeight="false" outlineLevel="0" collapsed="false">
      <c r="I3293" s="0" t="n">
        <v>2030</v>
      </c>
      <c r="J3293" s="0" t="n">
        <v>1.64</v>
      </c>
      <c r="K3293" s="0" t="n">
        <v>34.4</v>
      </c>
    </row>
    <row r="3294" customFormat="false" ht="15" hidden="false" customHeight="false" outlineLevel="0" collapsed="false">
      <c r="I3294" s="0" t="n">
        <v>2030</v>
      </c>
      <c r="J3294" s="0" t="n">
        <v>2.87</v>
      </c>
      <c r="K3294" s="0" t="n">
        <v>60.2</v>
      </c>
    </row>
    <row r="3295" customFormat="false" ht="15" hidden="false" customHeight="false" outlineLevel="0" collapsed="false">
      <c r="I3295" s="0" t="n">
        <v>2030</v>
      </c>
      <c r="J3295" s="0" t="n">
        <v>0.82</v>
      </c>
      <c r="K3295" s="0" t="n">
        <v>17.2</v>
      </c>
    </row>
    <row r="3296" customFormat="false" ht="15" hidden="false" customHeight="false" outlineLevel="0" collapsed="false">
      <c r="I3296" s="0" t="n">
        <v>2030</v>
      </c>
      <c r="J3296" s="0" t="n">
        <v>2.87</v>
      </c>
      <c r="K3296" s="0" t="n">
        <v>60.2</v>
      </c>
    </row>
    <row r="3297" customFormat="false" ht="15" hidden="false" customHeight="false" outlineLevel="0" collapsed="false">
      <c r="I3297" s="0" t="n">
        <v>2030</v>
      </c>
      <c r="J3297" s="0" t="n">
        <v>49.44</v>
      </c>
      <c r="K3297" s="0" t="n">
        <v>1042.08</v>
      </c>
    </row>
    <row r="3298" customFormat="false" ht="15" hidden="false" customHeight="false" outlineLevel="0" collapsed="false">
      <c r="I3298" s="0" t="n">
        <v>2030</v>
      </c>
      <c r="J3298" s="0" t="n">
        <v>16.48</v>
      </c>
      <c r="K3298" s="0" t="n">
        <v>347.36</v>
      </c>
    </row>
    <row r="3299" customFormat="false" ht="15" hidden="false" customHeight="false" outlineLevel="0" collapsed="false">
      <c r="I3299" s="0" t="n">
        <v>2030</v>
      </c>
      <c r="J3299" s="0" t="n">
        <v>7.21</v>
      </c>
      <c r="K3299" s="0" t="n">
        <v>151.97</v>
      </c>
    </row>
    <row r="3300" customFormat="false" ht="15" hidden="false" customHeight="false" outlineLevel="0" collapsed="false">
      <c r="I3300" s="0" t="n">
        <v>2030</v>
      </c>
      <c r="J3300" s="0" t="n">
        <v>4.12</v>
      </c>
      <c r="K3300" s="0" t="n">
        <v>86.84</v>
      </c>
    </row>
    <row r="3301" customFormat="false" ht="15" hidden="false" customHeight="false" outlineLevel="0" collapsed="false">
      <c r="I3301" s="0" t="n">
        <v>2030</v>
      </c>
      <c r="J3301" s="0" t="n">
        <v>4.12</v>
      </c>
      <c r="K3301" s="0" t="n">
        <v>86.84</v>
      </c>
    </row>
    <row r="3302" customFormat="false" ht="15" hidden="false" customHeight="false" outlineLevel="0" collapsed="false">
      <c r="I3302" s="0" t="n">
        <v>2030</v>
      </c>
      <c r="J3302" s="0" t="n">
        <v>2.06</v>
      </c>
      <c r="K3302" s="0" t="n">
        <v>43.42</v>
      </c>
    </row>
    <row r="3303" customFormat="false" ht="15" hidden="false" customHeight="false" outlineLevel="0" collapsed="false">
      <c r="I3303" s="0" t="n">
        <v>2030</v>
      </c>
      <c r="J3303" s="0" t="n">
        <v>2.06</v>
      </c>
      <c r="K3303" s="0" t="n">
        <v>43.42</v>
      </c>
    </row>
    <row r="3304" customFormat="false" ht="15" hidden="false" customHeight="false" outlineLevel="0" collapsed="false">
      <c r="I3304" s="0" t="n">
        <v>2030</v>
      </c>
      <c r="J3304" s="0" t="n">
        <v>4.12</v>
      </c>
      <c r="K3304" s="0" t="n">
        <v>86.84</v>
      </c>
    </row>
    <row r="3305" customFormat="false" ht="15" hidden="false" customHeight="false" outlineLevel="0" collapsed="false">
      <c r="I3305" s="0" t="n">
        <v>2030</v>
      </c>
      <c r="J3305" s="0" t="n">
        <v>7.21</v>
      </c>
      <c r="K3305" s="0" t="n">
        <v>151.97</v>
      </c>
    </row>
    <row r="3306" customFormat="false" ht="15" hidden="false" customHeight="false" outlineLevel="0" collapsed="false">
      <c r="I3306" s="0" t="n">
        <v>2030</v>
      </c>
      <c r="J3306" s="0" t="n">
        <v>3.09</v>
      </c>
      <c r="K3306" s="0" t="n">
        <v>65.13</v>
      </c>
    </row>
    <row r="3307" customFormat="false" ht="15" hidden="false" customHeight="false" outlineLevel="0" collapsed="false">
      <c r="I3307" s="0" t="n">
        <v>2030</v>
      </c>
      <c r="J3307" s="0" t="n">
        <v>3.09</v>
      </c>
      <c r="K3307" s="0" t="n">
        <v>65.13</v>
      </c>
    </row>
    <row r="3308" customFormat="false" ht="15" hidden="false" customHeight="false" outlineLevel="0" collapsed="false">
      <c r="I3308" s="0" t="n">
        <v>2030</v>
      </c>
      <c r="J3308" s="0" t="n">
        <v>4.68</v>
      </c>
      <c r="K3308" s="0" t="n">
        <v>95.16</v>
      </c>
    </row>
    <row r="3309" customFormat="false" ht="15" hidden="false" customHeight="false" outlineLevel="0" collapsed="false">
      <c r="I3309" s="0" t="n">
        <v>2030</v>
      </c>
      <c r="J3309" s="0" t="n">
        <v>0.72</v>
      </c>
      <c r="K3309" s="0" t="n">
        <v>14.64</v>
      </c>
    </row>
    <row r="3310" customFormat="false" ht="15" hidden="false" customHeight="false" outlineLevel="0" collapsed="false">
      <c r="I3310" s="0" t="n">
        <v>2030</v>
      </c>
      <c r="J3310" s="0" t="n">
        <v>0.54</v>
      </c>
      <c r="K3310" s="0" t="n">
        <v>10.98</v>
      </c>
    </row>
    <row r="3311" customFormat="false" ht="15" hidden="false" customHeight="false" outlineLevel="0" collapsed="false">
      <c r="I3311" s="0" t="n">
        <v>2030</v>
      </c>
      <c r="J3311" s="0" t="n">
        <v>0.9</v>
      </c>
      <c r="K3311" s="0" t="n">
        <v>18.3</v>
      </c>
    </row>
    <row r="3312" customFormat="false" ht="15" hidden="false" customHeight="false" outlineLevel="0" collapsed="false">
      <c r="I3312" s="0" t="n">
        <v>2030</v>
      </c>
      <c r="J3312" s="0" t="n">
        <v>0.18</v>
      </c>
      <c r="K3312" s="0" t="n">
        <v>3.66</v>
      </c>
    </row>
    <row r="3313" customFormat="false" ht="15" hidden="false" customHeight="false" outlineLevel="0" collapsed="false">
      <c r="I3313" s="0" t="n">
        <v>2030</v>
      </c>
      <c r="J3313" s="0" t="n">
        <v>0.18</v>
      </c>
      <c r="K3313" s="0" t="n">
        <v>3.66</v>
      </c>
    </row>
    <row r="3314" customFormat="false" ht="15" hidden="false" customHeight="false" outlineLevel="0" collapsed="false">
      <c r="I3314" s="0" t="n">
        <v>2030</v>
      </c>
      <c r="J3314" s="0" t="n">
        <v>0</v>
      </c>
      <c r="K3314" s="0" t="n">
        <v>0</v>
      </c>
    </row>
    <row r="3315" customFormat="false" ht="15" hidden="false" customHeight="false" outlineLevel="0" collapsed="false">
      <c r="I3315" s="0" t="n">
        <v>2030</v>
      </c>
      <c r="J3315" s="0" t="n">
        <v>0.36</v>
      </c>
      <c r="K3315" s="0" t="n">
        <v>7.32</v>
      </c>
    </row>
    <row r="3316" customFormat="false" ht="15" hidden="false" customHeight="false" outlineLevel="0" collapsed="false">
      <c r="I3316" s="0" t="n">
        <v>2030</v>
      </c>
      <c r="J3316" s="0" t="n">
        <v>0.63</v>
      </c>
      <c r="K3316" s="0" t="n">
        <v>12.81</v>
      </c>
    </row>
    <row r="3317" customFormat="false" ht="15" hidden="false" customHeight="false" outlineLevel="0" collapsed="false">
      <c r="I3317" s="0" t="n">
        <v>2030</v>
      </c>
      <c r="J3317" s="0" t="n">
        <v>0.18</v>
      </c>
      <c r="K3317" s="0" t="n">
        <v>3.66</v>
      </c>
    </row>
    <row r="3318" customFormat="false" ht="15" hidden="false" customHeight="false" outlineLevel="0" collapsed="false">
      <c r="I3318" s="0" t="n">
        <v>2030</v>
      </c>
      <c r="J3318" s="0" t="n">
        <v>0.63</v>
      </c>
      <c r="K3318" s="0" t="n">
        <v>12.81</v>
      </c>
    </row>
    <row r="3319" customFormat="false" ht="15" hidden="false" customHeight="false" outlineLevel="0" collapsed="false">
      <c r="I3319" s="0" t="n">
        <v>2030</v>
      </c>
      <c r="J3319" s="0" t="n">
        <v>597.6</v>
      </c>
      <c r="K3319" s="0" t="n">
        <v>12545.76</v>
      </c>
    </row>
    <row r="3320" customFormat="false" ht="15" hidden="false" customHeight="false" outlineLevel="0" collapsed="false">
      <c r="I3320" s="0" t="n">
        <v>2030</v>
      </c>
      <c r="J3320" s="0" t="n">
        <v>199.2</v>
      </c>
      <c r="K3320" s="0" t="n">
        <v>4181.92</v>
      </c>
    </row>
    <row r="3321" customFormat="false" ht="15" hidden="false" customHeight="false" outlineLevel="0" collapsed="false">
      <c r="I3321" s="0" t="n">
        <v>2030</v>
      </c>
      <c r="J3321" s="0" t="n">
        <v>87.15</v>
      </c>
      <c r="K3321" s="0" t="n">
        <v>1829.59</v>
      </c>
    </row>
    <row r="3322" customFormat="false" ht="15" hidden="false" customHeight="false" outlineLevel="0" collapsed="false">
      <c r="I3322" s="0" t="n">
        <v>2030</v>
      </c>
      <c r="J3322" s="0" t="n">
        <v>49.8</v>
      </c>
      <c r="K3322" s="0" t="n">
        <v>1045.48</v>
      </c>
    </row>
    <row r="3323" customFormat="false" ht="15" hidden="false" customHeight="false" outlineLevel="0" collapsed="false">
      <c r="I3323" s="0" t="n">
        <v>2030</v>
      </c>
      <c r="J3323" s="0" t="n">
        <v>49.8</v>
      </c>
      <c r="K3323" s="0" t="n">
        <v>1045.48</v>
      </c>
    </row>
    <row r="3324" customFormat="false" ht="15" hidden="false" customHeight="false" outlineLevel="0" collapsed="false">
      <c r="I3324" s="0" t="n">
        <v>2030</v>
      </c>
      <c r="J3324" s="0" t="n">
        <v>24.9</v>
      </c>
      <c r="K3324" s="0" t="n">
        <v>522.74</v>
      </c>
    </row>
    <row r="3325" customFormat="false" ht="15" hidden="false" customHeight="false" outlineLevel="0" collapsed="false">
      <c r="I3325" s="0" t="n">
        <v>2030</v>
      </c>
      <c r="J3325" s="0" t="n">
        <v>24.9</v>
      </c>
      <c r="K3325" s="0" t="n">
        <v>522.74</v>
      </c>
    </row>
    <row r="3326" customFormat="false" ht="15" hidden="false" customHeight="false" outlineLevel="0" collapsed="false">
      <c r="I3326" s="0" t="n">
        <v>2030</v>
      </c>
      <c r="J3326" s="0" t="n">
        <v>49.8</v>
      </c>
      <c r="K3326" s="0" t="n">
        <v>1045.48</v>
      </c>
    </row>
    <row r="3327" customFormat="false" ht="15" hidden="false" customHeight="false" outlineLevel="0" collapsed="false">
      <c r="I3327" s="0" t="n">
        <v>2030</v>
      </c>
      <c r="J3327" s="0" t="n">
        <v>87.15</v>
      </c>
      <c r="K3327" s="0" t="n">
        <v>1829.59</v>
      </c>
    </row>
    <row r="3328" customFormat="false" ht="15" hidden="false" customHeight="false" outlineLevel="0" collapsed="false">
      <c r="I3328" s="0" t="n">
        <v>2030</v>
      </c>
      <c r="J3328" s="0" t="n">
        <v>37.35</v>
      </c>
      <c r="K3328" s="0" t="n">
        <v>784.11</v>
      </c>
    </row>
    <row r="3329" customFormat="false" ht="15" hidden="false" customHeight="false" outlineLevel="0" collapsed="false">
      <c r="I3329" s="0" t="n">
        <v>2030</v>
      </c>
      <c r="J3329" s="0" t="n">
        <v>37.35</v>
      </c>
      <c r="K3329" s="0" t="n">
        <v>784.11</v>
      </c>
    </row>
    <row r="3330" customFormat="false" ht="15" hidden="false" customHeight="false" outlineLevel="0" collapsed="false">
      <c r="I3330" s="0" t="n">
        <v>2030</v>
      </c>
      <c r="J3330" s="0" t="n">
        <v>57.72</v>
      </c>
      <c r="K3330" s="0" t="n">
        <v>1214.72</v>
      </c>
    </row>
    <row r="3331" customFormat="false" ht="15" hidden="false" customHeight="false" outlineLevel="0" collapsed="false">
      <c r="I3331" s="0" t="n">
        <v>2030</v>
      </c>
      <c r="J3331" s="0" t="n">
        <v>8.88</v>
      </c>
      <c r="K3331" s="0" t="n">
        <v>186.88</v>
      </c>
    </row>
    <row r="3332" customFormat="false" ht="15" hidden="false" customHeight="false" outlineLevel="0" collapsed="false">
      <c r="I3332" s="0" t="n">
        <v>2030</v>
      </c>
      <c r="J3332" s="0" t="n">
        <v>6.66</v>
      </c>
      <c r="K3332" s="0" t="n">
        <v>140.16</v>
      </c>
    </row>
    <row r="3333" customFormat="false" ht="15" hidden="false" customHeight="false" outlineLevel="0" collapsed="false">
      <c r="I3333" s="0" t="n">
        <v>2030</v>
      </c>
      <c r="J3333" s="0" t="n">
        <v>11.1</v>
      </c>
      <c r="K3333" s="0" t="n">
        <v>233.6</v>
      </c>
    </row>
    <row r="3334" customFormat="false" ht="15" hidden="false" customHeight="false" outlineLevel="0" collapsed="false">
      <c r="I3334" s="0" t="n">
        <v>2030</v>
      </c>
      <c r="J3334" s="0" t="n">
        <v>2.22</v>
      </c>
      <c r="K3334" s="0" t="n">
        <v>46.72</v>
      </c>
    </row>
    <row r="3335" customFormat="false" ht="15" hidden="false" customHeight="false" outlineLevel="0" collapsed="false">
      <c r="I3335" s="0" t="n">
        <v>2030</v>
      </c>
      <c r="J3335" s="0" t="n">
        <v>2.22</v>
      </c>
      <c r="K3335" s="0" t="n">
        <v>46.72</v>
      </c>
    </row>
    <row r="3336" customFormat="false" ht="15" hidden="false" customHeight="false" outlineLevel="0" collapsed="false">
      <c r="I3336" s="0" t="n">
        <v>2030</v>
      </c>
      <c r="J3336" s="0" t="n">
        <v>0</v>
      </c>
      <c r="K3336" s="0" t="n">
        <v>0</v>
      </c>
    </row>
    <row r="3337" customFormat="false" ht="15" hidden="false" customHeight="false" outlineLevel="0" collapsed="false">
      <c r="I3337" s="0" t="n">
        <v>2030</v>
      </c>
      <c r="J3337" s="0" t="n">
        <v>4.44</v>
      </c>
      <c r="K3337" s="0" t="n">
        <v>93.44</v>
      </c>
    </row>
    <row r="3338" customFormat="false" ht="15" hidden="false" customHeight="false" outlineLevel="0" collapsed="false">
      <c r="I3338" s="0" t="n">
        <v>2030</v>
      </c>
      <c r="J3338" s="0" t="n">
        <v>7.77</v>
      </c>
      <c r="K3338" s="0" t="n">
        <v>163.52</v>
      </c>
    </row>
    <row r="3339" customFormat="false" ht="15" hidden="false" customHeight="false" outlineLevel="0" collapsed="false">
      <c r="I3339" s="0" t="n">
        <v>2030</v>
      </c>
      <c r="J3339" s="0" t="n">
        <v>2.22</v>
      </c>
      <c r="K3339" s="0" t="n">
        <v>46.72</v>
      </c>
    </row>
    <row r="3340" customFormat="false" ht="15" hidden="false" customHeight="false" outlineLevel="0" collapsed="false">
      <c r="I3340" s="0" t="n">
        <v>2030</v>
      </c>
      <c r="J3340" s="0" t="n">
        <v>7.77</v>
      </c>
      <c r="K3340" s="0" t="n">
        <v>163.52</v>
      </c>
    </row>
    <row r="3341" customFormat="false" ht="15" hidden="false" customHeight="false" outlineLevel="0" collapsed="false">
      <c r="I3341" s="0" t="n">
        <v>2030</v>
      </c>
      <c r="J3341" s="0" t="n">
        <v>439.2</v>
      </c>
      <c r="K3341" s="0" t="n">
        <v>9226.56</v>
      </c>
    </row>
    <row r="3342" customFormat="false" ht="15" hidden="false" customHeight="false" outlineLevel="0" collapsed="false">
      <c r="I3342" s="0" t="n">
        <v>2030</v>
      </c>
      <c r="J3342" s="0" t="n">
        <v>146.4</v>
      </c>
      <c r="K3342" s="0" t="n">
        <v>3075.52</v>
      </c>
    </row>
    <row r="3343" customFormat="false" ht="15" hidden="false" customHeight="false" outlineLevel="0" collapsed="false">
      <c r="I3343" s="0" t="n">
        <v>2030</v>
      </c>
      <c r="J3343" s="0" t="n">
        <v>64.05</v>
      </c>
      <c r="K3343" s="0" t="n">
        <v>1345.54</v>
      </c>
    </row>
    <row r="3344" customFormat="false" ht="15" hidden="false" customHeight="false" outlineLevel="0" collapsed="false">
      <c r="I3344" s="0" t="n">
        <v>2030</v>
      </c>
      <c r="J3344" s="0" t="n">
        <v>36.6</v>
      </c>
      <c r="K3344" s="0" t="n">
        <v>768.88</v>
      </c>
    </row>
    <row r="3345" customFormat="false" ht="15" hidden="false" customHeight="false" outlineLevel="0" collapsed="false">
      <c r="I3345" s="0" t="n">
        <v>2030</v>
      </c>
      <c r="J3345" s="0" t="n">
        <v>36.6</v>
      </c>
      <c r="K3345" s="0" t="n">
        <v>768.88</v>
      </c>
    </row>
    <row r="3346" customFormat="false" ht="15" hidden="false" customHeight="false" outlineLevel="0" collapsed="false">
      <c r="I3346" s="0" t="n">
        <v>2030</v>
      </c>
      <c r="J3346" s="0" t="n">
        <v>18.3</v>
      </c>
      <c r="K3346" s="0" t="n">
        <v>384.44</v>
      </c>
    </row>
    <row r="3347" customFormat="false" ht="15" hidden="false" customHeight="false" outlineLevel="0" collapsed="false">
      <c r="I3347" s="0" t="n">
        <v>2030</v>
      </c>
      <c r="J3347" s="0" t="n">
        <v>18.3</v>
      </c>
      <c r="K3347" s="0" t="n">
        <v>384.44</v>
      </c>
    </row>
    <row r="3348" customFormat="false" ht="15" hidden="false" customHeight="false" outlineLevel="0" collapsed="false">
      <c r="I3348" s="0" t="n">
        <v>2030</v>
      </c>
      <c r="J3348" s="0" t="n">
        <v>36.6</v>
      </c>
      <c r="K3348" s="0" t="n">
        <v>768.88</v>
      </c>
    </row>
    <row r="3349" customFormat="false" ht="15" hidden="false" customHeight="false" outlineLevel="0" collapsed="false">
      <c r="I3349" s="0" t="n">
        <v>2030</v>
      </c>
      <c r="J3349" s="0" t="n">
        <v>64.05</v>
      </c>
      <c r="K3349" s="0" t="n">
        <v>1345.54</v>
      </c>
    </row>
    <row r="3350" customFormat="false" ht="15" hidden="false" customHeight="false" outlineLevel="0" collapsed="false">
      <c r="I3350" s="0" t="n">
        <v>2030</v>
      </c>
      <c r="J3350" s="0" t="n">
        <v>27.45</v>
      </c>
      <c r="K3350" s="0" t="n">
        <v>576.66</v>
      </c>
    </row>
    <row r="3351" customFormat="false" ht="15" hidden="false" customHeight="false" outlineLevel="0" collapsed="false">
      <c r="I3351" s="0" t="n">
        <v>2030</v>
      </c>
      <c r="J3351" s="0" t="n">
        <v>27.45</v>
      </c>
      <c r="K3351" s="0" t="n">
        <v>576.66</v>
      </c>
    </row>
    <row r="3352" customFormat="false" ht="15" hidden="false" customHeight="false" outlineLevel="0" collapsed="false">
      <c r="I3352" s="0" t="n">
        <v>2030</v>
      </c>
      <c r="J3352" s="0" t="n">
        <v>56.16</v>
      </c>
      <c r="K3352" s="0" t="n">
        <v>1183.52</v>
      </c>
    </row>
    <row r="3353" customFormat="false" ht="15" hidden="false" customHeight="false" outlineLevel="0" collapsed="false">
      <c r="I3353" s="0" t="n">
        <v>2030</v>
      </c>
      <c r="J3353" s="0" t="n">
        <v>8.64</v>
      </c>
      <c r="K3353" s="0" t="n">
        <v>182.08</v>
      </c>
    </row>
    <row r="3354" customFormat="false" ht="15" hidden="false" customHeight="false" outlineLevel="0" collapsed="false">
      <c r="I3354" s="0" t="n">
        <v>2030</v>
      </c>
      <c r="J3354" s="0" t="n">
        <v>6.48</v>
      </c>
      <c r="K3354" s="0" t="n">
        <v>136.56</v>
      </c>
    </row>
    <row r="3355" customFormat="false" ht="15" hidden="false" customHeight="false" outlineLevel="0" collapsed="false">
      <c r="I3355" s="0" t="n">
        <v>2030</v>
      </c>
      <c r="J3355" s="0" t="n">
        <v>10.8</v>
      </c>
      <c r="K3355" s="0" t="n">
        <v>227.6</v>
      </c>
    </row>
    <row r="3356" customFormat="false" ht="15" hidden="false" customHeight="false" outlineLevel="0" collapsed="false">
      <c r="I3356" s="0" t="n">
        <v>2030</v>
      </c>
      <c r="J3356" s="0" t="n">
        <v>2.16</v>
      </c>
      <c r="K3356" s="0" t="n">
        <v>45.52</v>
      </c>
    </row>
    <row r="3357" customFormat="false" ht="15" hidden="false" customHeight="false" outlineLevel="0" collapsed="false">
      <c r="I3357" s="0" t="n">
        <v>2030</v>
      </c>
      <c r="J3357" s="0" t="n">
        <v>2.16</v>
      </c>
      <c r="K3357" s="0" t="n">
        <v>45.52</v>
      </c>
    </row>
    <row r="3358" customFormat="false" ht="15" hidden="false" customHeight="false" outlineLevel="0" collapsed="false">
      <c r="I3358" s="0" t="n">
        <v>2030</v>
      </c>
      <c r="J3358" s="0" t="n">
        <v>0</v>
      </c>
      <c r="K3358" s="0" t="n">
        <v>0</v>
      </c>
    </row>
    <row r="3359" customFormat="false" ht="15" hidden="false" customHeight="false" outlineLevel="0" collapsed="false">
      <c r="I3359" s="0" t="n">
        <v>2030</v>
      </c>
      <c r="J3359" s="0" t="n">
        <v>4.32</v>
      </c>
      <c r="K3359" s="0" t="n">
        <v>91.04</v>
      </c>
    </row>
    <row r="3360" customFormat="false" ht="15" hidden="false" customHeight="false" outlineLevel="0" collapsed="false">
      <c r="I3360" s="0" t="n">
        <v>2030</v>
      </c>
      <c r="J3360" s="0" t="n">
        <v>7.56</v>
      </c>
      <c r="K3360" s="0" t="n">
        <v>159.32</v>
      </c>
    </row>
    <row r="3361" customFormat="false" ht="15" hidden="false" customHeight="false" outlineLevel="0" collapsed="false">
      <c r="I3361" s="0" t="n">
        <v>2030</v>
      </c>
      <c r="J3361" s="0" t="n">
        <v>2.16</v>
      </c>
      <c r="K3361" s="0" t="n">
        <v>45.52</v>
      </c>
    </row>
    <row r="3362" customFormat="false" ht="15" hidden="false" customHeight="false" outlineLevel="0" collapsed="false">
      <c r="I3362" s="0" t="n">
        <v>2030</v>
      </c>
      <c r="J3362" s="0" t="n">
        <v>7.56</v>
      </c>
      <c r="K3362" s="0" t="n">
        <v>159.32</v>
      </c>
    </row>
    <row r="3363" customFormat="false" ht="15" hidden="false" customHeight="false" outlineLevel="0" collapsed="false">
      <c r="I3363" s="0" t="n">
        <v>2030</v>
      </c>
      <c r="J3363" s="0" t="n">
        <v>117.12</v>
      </c>
      <c r="K3363" s="0" t="n">
        <v>2456.64</v>
      </c>
    </row>
    <row r="3364" customFormat="false" ht="15" hidden="false" customHeight="false" outlineLevel="0" collapsed="false">
      <c r="I3364" s="0" t="n">
        <v>2030</v>
      </c>
      <c r="J3364" s="0" t="n">
        <v>39.04</v>
      </c>
      <c r="K3364" s="0" t="n">
        <v>818.88</v>
      </c>
    </row>
    <row r="3365" customFormat="false" ht="15" hidden="false" customHeight="false" outlineLevel="0" collapsed="false">
      <c r="I3365" s="0" t="n">
        <v>2030</v>
      </c>
      <c r="J3365" s="0" t="n">
        <v>17.08</v>
      </c>
      <c r="K3365" s="0" t="n">
        <v>358.26</v>
      </c>
    </row>
    <row r="3366" customFormat="false" ht="15" hidden="false" customHeight="false" outlineLevel="0" collapsed="false">
      <c r="I3366" s="0" t="n">
        <v>2030</v>
      </c>
      <c r="J3366" s="0" t="n">
        <v>9.76</v>
      </c>
      <c r="K3366" s="0" t="n">
        <v>204.72</v>
      </c>
    </row>
    <row r="3367" customFormat="false" ht="15" hidden="false" customHeight="false" outlineLevel="0" collapsed="false">
      <c r="I3367" s="0" t="n">
        <v>2030</v>
      </c>
      <c r="J3367" s="0" t="n">
        <v>9.76</v>
      </c>
      <c r="K3367" s="0" t="n">
        <v>204.72</v>
      </c>
    </row>
    <row r="3368" customFormat="false" ht="15" hidden="false" customHeight="false" outlineLevel="0" collapsed="false">
      <c r="I3368" s="0" t="n">
        <v>2030</v>
      </c>
      <c r="J3368" s="0" t="n">
        <v>4.88</v>
      </c>
      <c r="K3368" s="0" t="n">
        <v>102.36</v>
      </c>
    </row>
    <row r="3369" customFormat="false" ht="15" hidden="false" customHeight="false" outlineLevel="0" collapsed="false">
      <c r="I3369" s="0" t="n">
        <v>2030</v>
      </c>
      <c r="J3369" s="0" t="n">
        <v>4.88</v>
      </c>
      <c r="K3369" s="0" t="n">
        <v>102.36</v>
      </c>
    </row>
    <row r="3370" customFormat="false" ht="15" hidden="false" customHeight="false" outlineLevel="0" collapsed="false">
      <c r="I3370" s="0" t="n">
        <v>2030</v>
      </c>
      <c r="J3370" s="0" t="n">
        <v>9.76</v>
      </c>
      <c r="K3370" s="0" t="n">
        <v>204.72</v>
      </c>
    </row>
    <row r="3371" customFormat="false" ht="15" hidden="false" customHeight="false" outlineLevel="0" collapsed="false">
      <c r="I3371" s="0" t="n">
        <v>2030</v>
      </c>
      <c r="J3371" s="0" t="n">
        <v>17.08</v>
      </c>
      <c r="K3371" s="0" t="n">
        <v>358.26</v>
      </c>
    </row>
    <row r="3372" customFormat="false" ht="15" hidden="false" customHeight="false" outlineLevel="0" collapsed="false">
      <c r="I3372" s="0" t="n">
        <v>2030</v>
      </c>
      <c r="J3372" s="0" t="n">
        <v>7.32</v>
      </c>
      <c r="K3372" s="0" t="n">
        <v>153.54</v>
      </c>
    </row>
    <row r="3373" customFormat="false" ht="15" hidden="false" customHeight="false" outlineLevel="0" collapsed="false">
      <c r="I3373" s="0" t="n">
        <v>2030</v>
      </c>
      <c r="J3373" s="0" t="n">
        <v>7.32</v>
      </c>
      <c r="K3373" s="0" t="n">
        <v>153.54</v>
      </c>
    </row>
    <row r="3374" customFormat="false" ht="15" hidden="false" customHeight="false" outlineLevel="0" collapsed="false">
      <c r="I3374" s="0" t="n">
        <v>2030</v>
      </c>
      <c r="J3374" s="0" t="n">
        <v>32.24</v>
      </c>
      <c r="K3374" s="0" t="n">
        <v>673.4</v>
      </c>
    </row>
    <row r="3375" customFormat="false" ht="15" hidden="false" customHeight="false" outlineLevel="0" collapsed="false">
      <c r="I3375" s="0" t="n">
        <v>2030</v>
      </c>
      <c r="J3375" s="0" t="n">
        <v>4.96</v>
      </c>
      <c r="K3375" s="0" t="n">
        <v>103.6</v>
      </c>
    </row>
    <row r="3376" customFormat="false" ht="15" hidden="false" customHeight="false" outlineLevel="0" collapsed="false">
      <c r="I3376" s="0" t="n">
        <v>2030</v>
      </c>
      <c r="J3376" s="0" t="n">
        <v>3.72</v>
      </c>
      <c r="K3376" s="0" t="n">
        <v>77.7</v>
      </c>
    </row>
    <row r="3377" customFormat="false" ht="15" hidden="false" customHeight="false" outlineLevel="0" collapsed="false">
      <c r="I3377" s="0" t="n">
        <v>2030</v>
      </c>
      <c r="J3377" s="0" t="n">
        <v>6.2</v>
      </c>
      <c r="K3377" s="0" t="n">
        <v>129.5</v>
      </c>
    </row>
    <row r="3378" customFormat="false" ht="15" hidden="false" customHeight="false" outlineLevel="0" collapsed="false">
      <c r="I3378" s="0" t="n">
        <v>2030</v>
      </c>
      <c r="J3378" s="0" t="n">
        <v>1.24</v>
      </c>
      <c r="K3378" s="0" t="n">
        <v>25.9</v>
      </c>
    </row>
    <row r="3379" customFormat="false" ht="15" hidden="false" customHeight="false" outlineLevel="0" collapsed="false">
      <c r="I3379" s="0" t="n">
        <v>2030</v>
      </c>
      <c r="J3379" s="0" t="n">
        <v>1.24</v>
      </c>
      <c r="K3379" s="0" t="n">
        <v>25.9</v>
      </c>
    </row>
    <row r="3380" customFormat="false" ht="15" hidden="false" customHeight="false" outlineLevel="0" collapsed="false">
      <c r="I3380" s="0" t="n">
        <v>2030</v>
      </c>
      <c r="J3380" s="0" t="n">
        <v>0</v>
      </c>
      <c r="K3380" s="0" t="n">
        <v>0</v>
      </c>
    </row>
    <row r="3381" customFormat="false" ht="15" hidden="false" customHeight="false" outlineLevel="0" collapsed="false">
      <c r="I3381" s="0" t="n">
        <v>2030</v>
      </c>
      <c r="J3381" s="0" t="n">
        <v>2.48</v>
      </c>
      <c r="K3381" s="0" t="n">
        <v>51.8</v>
      </c>
    </row>
    <row r="3382" customFormat="false" ht="15" hidden="false" customHeight="false" outlineLevel="0" collapsed="false">
      <c r="I3382" s="0" t="n">
        <v>2030</v>
      </c>
      <c r="J3382" s="0" t="n">
        <v>4.34</v>
      </c>
      <c r="K3382" s="0" t="n">
        <v>90.65</v>
      </c>
    </row>
    <row r="3383" customFormat="false" ht="15" hidden="false" customHeight="false" outlineLevel="0" collapsed="false">
      <c r="I3383" s="0" t="n">
        <v>2030</v>
      </c>
      <c r="J3383" s="0" t="n">
        <v>1.24</v>
      </c>
      <c r="K3383" s="0" t="n">
        <v>25.9</v>
      </c>
    </row>
    <row r="3384" customFormat="false" ht="15" hidden="false" customHeight="false" outlineLevel="0" collapsed="false">
      <c r="I3384" s="0" t="n">
        <v>2030</v>
      </c>
      <c r="J3384" s="0" t="n">
        <v>4.34</v>
      </c>
      <c r="K3384" s="0" t="n">
        <v>90.65</v>
      </c>
    </row>
    <row r="3385" customFormat="false" ht="15" hidden="false" customHeight="false" outlineLevel="0" collapsed="false">
      <c r="I3385" s="0" t="n">
        <v>2030</v>
      </c>
      <c r="J3385" s="0" t="n">
        <v>827.52</v>
      </c>
      <c r="K3385" s="0" t="n">
        <v>17375.52</v>
      </c>
    </row>
    <row r="3386" customFormat="false" ht="15" hidden="false" customHeight="false" outlineLevel="0" collapsed="false">
      <c r="I3386" s="0" t="n">
        <v>2030</v>
      </c>
      <c r="J3386" s="0" t="n">
        <v>275.84</v>
      </c>
      <c r="K3386" s="0" t="n">
        <v>5791.84</v>
      </c>
    </row>
    <row r="3387" customFormat="false" ht="15" hidden="false" customHeight="false" outlineLevel="0" collapsed="false">
      <c r="I3387" s="0" t="n">
        <v>2030</v>
      </c>
      <c r="J3387" s="0" t="n">
        <v>120.68</v>
      </c>
      <c r="K3387" s="0" t="n">
        <v>2533.93</v>
      </c>
    </row>
    <row r="3388" customFormat="false" ht="15" hidden="false" customHeight="false" outlineLevel="0" collapsed="false">
      <c r="I3388" s="0" t="n">
        <v>2030</v>
      </c>
      <c r="J3388" s="0" t="n">
        <v>68.96</v>
      </c>
      <c r="K3388" s="0" t="n">
        <v>1447.96</v>
      </c>
    </row>
    <row r="3389" customFormat="false" ht="15" hidden="false" customHeight="false" outlineLevel="0" collapsed="false">
      <c r="I3389" s="0" t="n">
        <v>2030</v>
      </c>
      <c r="J3389" s="0" t="n">
        <v>68.96</v>
      </c>
      <c r="K3389" s="0" t="n">
        <v>1447.96</v>
      </c>
    </row>
    <row r="3390" customFormat="false" ht="15" hidden="false" customHeight="false" outlineLevel="0" collapsed="false">
      <c r="I3390" s="0" t="n">
        <v>2030</v>
      </c>
      <c r="J3390" s="0" t="n">
        <v>34.48</v>
      </c>
      <c r="K3390" s="0" t="n">
        <v>723.98</v>
      </c>
    </row>
    <row r="3391" customFormat="false" ht="15" hidden="false" customHeight="false" outlineLevel="0" collapsed="false">
      <c r="I3391" s="0" t="n">
        <v>2030</v>
      </c>
      <c r="J3391" s="0" t="n">
        <v>34.48</v>
      </c>
      <c r="K3391" s="0" t="n">
        <v>723.98</v>
      </c>
    </row>
    <row r="3392" customFormat="false" ht="15" hidden="false" customHeight="false" outlineLevel="0" collapsed="false">
      <c r="I3392" s="0" t="n">
        <v>2030</v>
      </c>
      <c r="J3392" s="0" t="n">
        <v>68.96</v>
      </c>
      <c r="K3392" s="0" t="n">
        <v>1447.96</v>
      </c>
    </row>
    <row r="3393" customFormat="false" ht="15" hidden="false" customHeight="false" outlineLevel="0" collapsed="false">
      <c r="I3393" s="0" t="n">
        <v>2030</v>
      </c>
      <c r="J3393" s="0" t="n">
        <v>120.68</v>
      </c>
      <c r="K3393" s="0" t="n">
        <v>2533.93</v>
      </c>
    </row>
    <row r="3394" customFormat="false" ht="15" hidden="false" customHeight="false" outlineLevel="0" collapsed="false">
      <c r="I3394" s="0" t="n">
        <v>2030</v>
      </c>
      <c r="J3394" s="0" t="n">
        <v>51.72</v>
      </c>
      <c r="K3394" s="0" t="n">
        <v>1085.97</v>
      </c>
    </row>
    <row r="3395" customFormat="false" ht="15" hidden="false" customHeight="false" outlineLevel="0" collapsed="false">
      <c r="I3395" s="0" t="n">
        <v>2030</v>
      </c>
      <c r="J3395" s="0" t="n">
        <v>51.72</v>
      </c>
      <c r="K3395" s="0" t="n">
        <v>1085.97</v>
      </c>
    </row>
    <row r="3396" customFormat="false" ht="15" hidden="false" customHeight="false" outlineLevel="0" collapsed="false">
      <c r="I3396" s="0" t="n">
        <v>2030</v>
      </c>
      <c r="J3396" s="0" t="n">
        <v>198.12</v>
      </c>
      <c r="K3396" s="0" t="n">
        <v>4165.2</v>
      </c>
    </row>
    <row r="3397" customFormat="false" ht="15" hidden="false" customHeight="false" outlineLevel="0" collapsed="false">
      <c r="I3397" s="0" t="n">
        <v>2030</v>
      </c>
      <c r="J3397" s="0" t="n">
        <v>30.48</v>
      </c>
      <c r="K3397" s="0" t="n">
        <v>640.8</v>
      </c>
    </row>
    <row r="3398" customFormat="false" ht="15" hidden="false" customHeight="false" outlineLevel="0" collapsed="false">
      <c r="I3398" s="0" t="n">
        <v>2030</v>
      </c>
      <c r="J3398" s="0" t="n">
        <v>22.86</v>
      </c>
      <c r="K3398" s="0" t="n">
        <v>480.6</v>
      </c>
    </row>
    <row r="3399" customFormat="false" ht="15" hidden="false" customHeight="false" outlineLevel="0" collapsed="false">
      <c r="I3399" s="0" t="n">
        <v>2030</v>
      </c>
      <c r="J3399" s="0" t="n">
        <v>38.1</v>
      </c>
      <c r="K3399" s="0" t="n">
        <v>801</v>
      </c>
    </row>
    <row r="3400" customFormat="false" ht="15" hidden="false" customHeight="false" outlineLevel="0" collapsed="false">
      <c r="I3400" s="0" t="n">
        <v>2030</v>
      </c>
      <c r="J3400" s="0" t="n">
        <v>7.62</v>
      </c>
      <c r="K3400" s="0" t="n">
        <v>160.2</v>
      </c>
    </row>
    <row r="3401" customFormat="false" ht="15" hidden="false" customHeight="false" outlineLevel="0" collapsed="false">
      <c r="I3401" s="0" t="n">
        <v>2030</v>
      </c>
      <c r="J3401" s="0" t="n">
        <v>7.62</v>
      </c>
      <c r="K3401" s="0" t="n">
        <v>160.2</v>
      </c>
    </row>
    <row r="3402" customFormat="false" ht="15" hidden="false" customHeight="false" outlineLevel="0" collapsed="false">
      <c r="I3402" s="0" t="n">
        <v>2030</v>
      </c>
      <c r="J3402" s="0" t="n">
        <v>0</v>
      </c>
      <c r="K3402" s="0" t="n">
        <v>0</v>
      </c>
    </row>
    <row r="3403" customFormat="false" ht="15" hidden="false" customHeight="false" outlineLevel="0" collapsed="false">
      <c r="I3403" s="0" t="n">
        <v>2030</v>
      </c>
      <c r="J3403" s="0" t="n">
        <v>15.24</v>
      </c>
      <c r="K3403" s="0" t="n">
        <v>320.4</v>
      </c>
    </row>
    <row r="3404" customFormat="false" ht="15" hidden="false" customHeight="false" outlineLevel="0" collapsed="false">
      <c r="I3404" s="0" t="n">
        <v>2030</v>
      </c>
      <c r="J3404" s="0" t="n">
        <v>26.67</v>
      </c>
      <c r="K3404" s="0" t="n">
        <v>560.7</v>
      </c>
    </row>
    <row r="3405" customFormat="false" ht="15" hidden="false" customHeight="false" outlineLevel="0" collapsed="false">
      <c r="I3405" s="0" t="n">
        <v>2030</v>
      </c>
      <c r="J3405" s="0" t="n">
        <v>7.62</v>
      </c>
      <c r="K3405" s="0" t="n">
        <v>160.2</v>
      </c>
    </row>
    <row r="3406" customFormat="false" ht="15" hidden="false" customHeight="false" outlineLevel="0" collapsed="false">
      <c r="I3406" s="0" t="n">
        <v>2030</v>
      </c>
      <c r="J3406" s="0" t="n">
        <v>26.67</v>
      </c>
      <c r="K3406" s="0" t="n">
        <v>560.7</v>
      </c>
    </row>
    <row r="3407" customFormat="false" ht="15" hidden="false" customHeight="false" outlineLevel="0" collapsed="false">
      <c r="I3407" s="0" t="n">
        <v>2030</v>
      </c>
      <c r="J3407" s="0" t="n">
        <v>425.28</v>
      </c>
      <c r="K3407" s="0" t="n">
        <v>8933.28</v>
      </c>
    </row>
    <row r="3408" customFormat="false" ht="15" hidden="false" customHeight="false" outlineLevel="0" collapsed="false">
      <c r="I3408" s="0" t="n">
        <v>2030</v>
      </c>
      <c r="J3408" s="0" t="n">
        <v>141.76</v>
      </c>
      <c r="K3408" s="0" t="n">
        <v>2977.76</v>
      </c>
    </row>
    <row r="3409" customFormat="false" ht="15" hidden="false" customHeight="false" outlineLevel="0" collapsed="false">
      <c r="I3409" s="0" t="n">
        <v>2030</v>
      </c>
      <c r="J3409" s="0" t="n">
        <v>62.02</v>
      </c>
      <c r="K3409" s="0" t="n">
        <v>1302.77</v>
      </c>
    </row>
    <row r="3410" customFormat="false" ht="15" hidden="false" customHeight="false" outlineLevel="0" collapsed="false">
      <c r="I3410" s="0" t="n">
        <v>2030</v>
      </c>
      <c r="J3410" s="0" t="n">
        <v>35.44</v>
      </c>
      <c r="K3410" s="0" t="n">
        <v>744.44</v>
      </c>
    </row>
    <row r="3411" customFormat="false" ht="15" hidden="false" customHeight="false" outlineLevel="0" collapsed="false">
      <c r="I3411" s="0" t="n">
        <v>2030</v>
      </c>
      <c r="J3411" s="0" t="n">
        <v>35.44</v>
      </c>
      <c r="K3411" s="0" t="n">
        <v>744.44</v>
      </c>
    </row>
    <row r="3412" customFormat="false" ht="15" hidden="false" customHeight="false" outlineLevel="0" collapsed="false">
      <c r="I3412" s="0" t="n">
        <v>2030</v>
      </c>
      <c r="J3412" s="0" t="n">
        <v>17.72</v>
      </c>
      <c r="K3412" s="0" t="n">
        <v>372.22</v>
      </c>
    </row>
    <row r="3413" customFormat="false" ht="15" hidden="false" customHeight="false" outlineLevel="0" collapsed="false">
      <c r="I3413" s="0" t="n">
        <v>2030</v>
      </c>
      <c r="J3413" s="0" t="n">
        <v>17.72</v>
      </c>
      <c r="K3413" s="0" t="n">
        <v>372.22</v>
      </c>
    </row>
    <row r="3414" customFormat="false" ht="15" hidden="false" customHeight="false" outlineLevel="0" collapsed="false">
      <c r="I3414" s="0" t="n">
        <v>2030</v>
      </c>
      <c r="J3414" s="0" t="n">
        <v>35.44</v>
      </c>
      <c r="K3414" s="0" t="n">
        <v>744.44</v>
      </c>
    </row>
    <row r="3415" customFormat="false" ht="15" hidden="false" customHeight="false" outlineLevel="0" collapsed="false">
      <c r="I3415" s="0" t="n">
        <v>2030</v>
      </c>
      <c r="J3415" s="0" t="n">
        <v>62.02</v>
      </c>
      <c r="K3415" s="0" t="n">
        <v>1302.77</v>
      </c>
    </row>
    <row r="3416" customFormat="false" ht="15" hidden="false" customHeight="false" outlineLevel="0" collapsed="false">
      <c r="I3416" s="0" t="n">
        <v>2030</v>
      </c>
      <c r="J3416" s="0" t="n">
        <v>26.58</v>
      </c>
      <c r="K3416" s="0" t="n">
        <v>558.33</v>
      </c>
    </row>
    <row r="3417" customFormat="false" ht="15" hidden="false" customHeight="false" outlineLevel="0" collapsed="false">
      <c r="I3417" s="0" t="n">
        <v>2030</v>
      </c>
      <c r="J3417" s="0" t="n">
        <v>26.58</v>
      </c>
      <c r="K3417" s="0" t="n">
        <v>558.33</v>
      </c>
    </row>
    <row r="3418" customFormat="false" ht="15" hidden="false" customHeight="false" outlineLevel="0" collapsed="false">
      <c r="I3418" s="0" t="n">
        <v>2030</v>
      </c>
      <c r="J3418" s="0" t="n">
        <v>203.84</v>
      </c>
      <c r="K3418" s="0" t="n">
        <v>4276.48</v>
      </c>
    </row>
    <row r="3419" customFormat="false" ht="15" hidden="false" customHeight="false" outlineLevel="0" collapsed="false">
      <c r="I3419" s="0" t="n">
        <v>2030</v>
      </c>
      <c r="J3419" s="0" t="n">
        <v>31.36</v>
      </c>
      <c r="K3419" s="0" t="n">
        <v>657.92</v>
      </c>
    </row>
    <row r="3420" customFormat="false" ht="15" hidden="false" customHeight="false" outlineLevel="0" collapsed="false">
      <c r="I3420" s="0" t="n">
        <v>2030</v>
      </c>
      <c r="J3420" s="0" t="n">
        <v>23.52</v>
      </c>
      <c r="K3420" s="0" t="n">
        <v>493.44</v>
      </c>
    </row>
    <row r="3421" customFormat="false" ht="15" hidden="false" customHeight="false" outlineLevel="0" collapsed="false">
      <c r="I3421" s="0" t="n">
        <v>2030</v>
      </c>
      <c r="J3421" s="0" t="n">
        <v>39.2</v>
      </c>
      <c r="K3421" s="0" t="n">
        <v>822.4</v>
      </c>
    </row>
    <row r="3422" customFormat="false" ht="15" hidden="false" customHeight="false" outlineLevel="0" collapsed="false">
      <c r="I3422" s="0" t="n">
        <v>2030</v>
      </c>
      <c r="J3422" s="0" t="n">
        <v>7.84</v>
      </c>
      <c r="K3422" s="0" t="n">
        <v>164.48</v>
      </c>
    </row>
    <row r="3423" customFormat="false" ht="15" hidden="false" customHeight="false" outlineLevel="0" collapsed="false">
      <c r="I3423" s="0" t="n">
        <v>2030</v>
      </c>
      <c r="J3423" s="0" t="n">
        <v>7.84</v>
      </c>
      <c r="K3423" s="0" t="n">
        <v>164.48</v>
      </c>
    </row>
    <row r="3424" customFormat="false" ht="15" hidden="false" customHeight="false" outlineLevel="0" collapsed="false">
      <c r="I3424" s="0" t="n">
        <v>2030</v>
      </c>
      <c r="J3424" s="0" t="n">
        <v>0</v>
      </c>
      <c r="K3424" s="0" t="n">
        <v>0</v>
      </c>
    </row>
    <row r="3425" customFormat="false" ht="15" hidden="false" customHeight="false" outlineLevel="0" collapsed="false">
      <c r="I3425" s="0" t="n">
        <v>2030</v>
      </c>
      <c r="J3425" s="0" t="n">
        <v>15.68</v>
      </c>
      <c r="K3425" s="0" t="n">
        <v>328.96</v>
      </c>
    </row>
    <row r="3426" customFormat="false" ht="15" hidden="false" customHeight="false" outlineLevel="0" collapsed="false">
      <c r="I3426" s="0" t="n">
        <v>2030</v>
      </c>
      <c r="J3426" s="0" t="n">
        <v>27.44</v>
      </c>
      <c r="K3426" s="0" t="n">
        <v>575.68</v>
      </c>
    </row>
    <row r="3427" customFormat="false" ht="15" hidden="false" customHeight="false" outlineLevel="0" collapsed="false">
      <c r="I3427" s="0" t="n">
        <v>2030</v>
      </c>
      <c r="J3427" s="0" t="n">
        <v>7.84</v>
      </c>
      <c r="K3427" s="0" t="n">
        <v>164.48</v>
      </c>
    </row>
    <row r="3428" customFormat="false" ht="15" hidden="false" customHeight="false" outlineLevel="0" collapsed="false">
      <c r="I3428" s="0" t="n">
        <v>2030</v>
      </c>
      <c r="J3428" s="0" t="n">
        <v>27.44</v>
      </c>
      <c r="K3428" s="0" t="n">
        <v>575.68</v>
      </c>
    </row>
    <row r="3429" customFormat="false" ht="15" hidden="false" customHeight="false" outlineLevel="0" collapsed="false">
      <c r="I3429" s="0" t="n">
        <v>2030</v>
      </c>
      <c r="J3429" s="0" t="n">
        <v>336.48</v>
      </c>
      <c r="K3429" s="0" t="n">
        <v>7067.52</v>
      </c>
    </row>
    <row r="3430" customFormat="false" ht="15" hidden="false" customHeight="false" outlineLevel="0" collapsed="false">
      <c r="I3430" s="0" t="n">
        <v>2030</v>
      </c>
      <c r="J3430" s="0" t="n">
        <v>112.16</v>
      </c>
      <c r="K3430" s="0" t="n">
        <v>2355.84</v>
      </c>
    </row>
    <row r="3431" customFormat="false" ht="15" hidden="false" customHeight="false" outlineLevel="0" collapsed="false">
      <c r="I3431" s="0" t="n">
        <v>2030</v>
      </c>
      <c r="J3431" s="0" t="n">
        <v>49.07</v>
      </c>
      <c r="K3431" s="0" t="n">
        <v>1030.68</v>
      </c>
    </row>
    <row r="3432" customFormat="false" ht="15" hidden="false" customHeight="false" outlineLevel="0" collapsed="false">
      <c r="I3432" s="0" t="n">
        <v>2030</v>
      </c>
      <c r="J3432" s="0" t="n">
        <v>28.04</v>
      </c>
      <c r="K3432" s="0" t="n">
        <v>588.96</v>
      </c>
    </row>
    <row r="3433" customFormat="false" ht="15" hidden="false" customHeight="false" outlineLevel="0" collapsed="false">
      <c r="I3433" s="0" t="n">
        <v>2030</v>
      </c>
      <c r="J3433" s="0" t="n">
        <v>28.04</v>
      </c>
      <c r="K3433" s="0" t="n">
        <v>588.96</v>
      </c>
    </row>
    <row r="3434" customFormat="false" ht="15" hidden="false" customHeight="false" outlineLevel="0" collapsed="false">
      <c r="I3434" s="0" t="n">
        <v>2030</v>
      </c>
      <c r="J3434" s="0" t="n">
        <v>14.02</v>
      </c>
      <c r="K3434" s="0" t="n">
        <v>294.48</v>
      </c>
    </row>
    <row r="3435" customFormat="false" ht="15" hidden="false" customHeight="false" outlineLevel="0" collapsed="false">
      <c r="I3435" s="0" t="n">
        <v>2030</v>
      </c>
      <c r="J3435" s="0" t="n">
        <v>14.02</v>
      </c>
      <c r="K3435" s="0" t="n">
        <v>294.48</v>
      </c>
    </row>
    <row r="3436" customFormat="false" ht="15" hidden="false" customHeight="false" outlineLevel="0" collapsed="false">
      <c r="I3436" s="0" t="n">
        <v>2030</v>
      </c>
      <c r="J3436" s="0" t="n">
        <v>28.04</v>
      </c>
      <c r="K3436" s="0" t="n">
        <v>588.96</v>
      </c>
    </row>
    <row r="3437" customFormat="false" ht="15" hidden="false" customHeight="false" outlineLevel="0" collapsed="false">
      <c r="I3437" s="0" t="n">
        <v>2030</v>
      </c>
      <c r="J3437" s="0" t="n">
        <v>49.07</v>
      </c>
      <c r="K3437" s="0" t="n">
        <v>1030.68</v>
      </c>
    </row>
    <row r="3438" customFormat="false" ht="15" hidden="false" customHeight="false" outlineLevel="0" collapsed="false">
      <c r="I3438" s="0" t="n">
        <v>2030</v>
      </c>
      <c r="J3438" s="0" t="n">
        <v>21.03</v>
      </c>
      <c r="K3438" s="0" t="n">
        <v>441.72</v>
      </c>
    </row>
    <row r="3439" customFormat="false" ht="15" hidden="false" customHeight="false" outlineLevel="0" collapsed="false">
      <c r="I3439" s="0" t="n">
        <v>2030</v>
      </c>
      <c r="J3439" s="0" t="n">
        <v>21.03</v>
      </c>
      <c r="K3439" s="0" t="n">
        <v>441.72</v>
      </c>
    </row>
    <row r="3440" customFormat="false" ht="15" hidden="false" customHeight="false" outlineLevel="0" collapsed="false">
      <c r="I3440" s="0" t="n">
        <v>2030</v>
      </c>
      <c r="J3440" s="0" t="n">
        <v>565.24</v>
      </c>
      <c r="K3440" s="0" t="n">
        <v>11871.08</v>
      </c>
    </row>
    <row r="3441" customFormat="false" ht="15" hidden="false" customHeight="false" outlineLevel="0" collapsed="false">
      <c r="I3441" s="0" t="n">
        <v>2030</v>
      </c>
      <c r="J3441" s="0" t="n">
        <v>86.96</v>
      </c>
      <c r="K3441" s="0" t="n">
        <v>1826.32</v>
      </c>
    </row>
    <row r="3442" customFormat="false" ht="15" hidden="false" customHeight="false" outlineLevel="0" collapsed="false">
      <c r="I3442" s="0" t="n">
        <v>2030</v>
      </c>
      <c r="J3442" s="0" t="n">
        <v>65.22</v>
      </c>
      <c r="K3442" s="0" t="n">
        <v>1369.74</v>
      </c>
    </row>
    <row r="3443" customFormat="false" ht="15" hidden="false" customHeight="false" outlineLevel="0" collapsed="false">
      <c r="I3443" s="0" t="n">
        <v>2030</v>
      </c>
      <c r="J3443" s="0" t="n">
        <v>108.7</v>
      </c>
      <c r="K3443" s="0" t="n">
        <v>2282.9</v>
      </c>
    </row>
    <row r="3444" customFormat="false" ht="15" hidden="false" customHeight="false" outlineLevel="0" collapsed="false">
      <c r="I3444" s="0" t="n">
        <v>2030</v>
      </c>
      <c r="J3444" s="0" t="n">
        <v>21.74</v>
      </c>
      <c r="K3444" s="0" t="n">
        <v>456.58</v>
      </c>
    </row>
    <row r="3445" customFormat="false" ht="15" hidden="false" customHeight="false" outlineLevel="0" collapsed="false">
      <c r="I3445" s="0" t="n">
        <v>2030</v>
      </c>
      <c r="J3445" s="0" t="n">
        <v>21.74</v>
      </c>
      <c r="K3445" s="0" t="n">
        <v>456.58</v>
      </c>
    </row>
    <row r="3446" customFormat="false" ht="15" hidden="false" customHeight="false" outlineLevel="0" collapsed="false">
      <c r="I3446" s="0" t="n">
        <v>2030</v>
      </c>
      <c r="J3446" s="0" t="n">
        <v>0</v>
      </c>
      <c r="K3446" s="0" t="n">
        <v>0</v>
      </c>
    </row>
    <row r="3447" customFormat="false" ht="15" hidden="false" customHeight="false" outlineLevel="0" collapsed="false">
      <c r="I3447" s="0" t="n">
        <v>2030</v>
      </c>
      <c r="J3447" s="0" t="n">
        <v>43.48</v>
      </c>
      <c r="K3447" s="0" t="n">
        <v>913.16</v>
      </c>
    </row>
    <row r="3448" customFormat="false" ht="15" hidden="false" customHeight="false" outlineLevel="0" collapsed="false">
      <c r="I3448" s="0" t="n">
        <v>2030</v>
      </c>
      <c r="J3448" s="0" t="n">
        <v>76.09</v>
      </c>
      <c r="K3448" s="0" t="n">
        <v>1598.03</v>
      </c>
    </row>
    <row r="3449" customFormat="false" ht="15" hidden="false" customHeight="false" outlineLevel="0" collapsed="false">
      <c r="I3449" s="0" t="n">
        <v>2030</v>
      </c>
      <c r="J3449" s="0" t="n">
        <v>21.74</v>
      </c>
      <c r="K3449" s="0" t="n">
        <v>456.58</v>
      </c>
    </row>
    <row r="3450" customFormat="false" ht="15" hidden="false" customHeight="false" outlineLevel="0" collapsed="false">
      <c r="I3450" s="0" t="n">
        <v>2030</v>
      </c>
      <c r="J3450" s="0" t="n">
        <v>76.09</v>
      </c>
      <c r="K3450" s="0" t="n">
        <v>1598.03</v>
      </c>
    </row>
    <row r="3451" customFormat="false" ht="15" hidden="false" customHeight="false" outlineLevel="0" collapsed="false">
      <c r="I3451" s="0" t="n">
        <v>2030</v>
      </c>
      <c r="J3451" s="0" t="n">
        <v>459.36</v>
      </c>
      <c r="K3451" s="0" t="n">
        <v>9646.56</v>
      </c>
    </row>
    <row r="3452" customFormat="false" ht="15" hidden="false" customHeight="false" outlineLevel="0" collapsed="false">
      <c r="I3452" s="0" t="n">
        <v>2030</v>
      </c>
      <c r="J3452" s="0" t="n">
        <v>153.12</v>
      </c>
      <c r="K3452" s="0" t="n">
        <v>3215.52</v>
      </c>
    </row>
    <row r="3453" customFormat="false" ht="15" hidden="false" customHeight="false" outlineLevel="0" collapsed="false">
      <c r="I3453" s="0" t="n">
        <v>2030</v>
      </c>
      <c r="J3453" s="0" t="n">
        <v>66.99</v>
      </c>
      <c r="K3453" s="0" t="n">
        <v>1406.79</v>
      </c>
    </row>
    <row r="3454" customFormat="false" ht="15" hidden="false" customHeight="false" outlineLevel="0" collapsed="false">
      <c r="I3454" s="0" t="n">
        <v>2030</v>
      </c>
      <c r="J3454" s="0" t="n">
        <v>38.28</v>
      </c>
      <c r="K3454" s="0" t="n">
        <v>803.88</v>
      </c>
    </row>
    <row r="3455" customFormat="false" ht="15" hidden="false" customHeight="false" outlineLevel="0" collapsed="false">
      <c r="I3455" s="0" t="n">
        <v>2030</v>
      </c>
      <c r="J3455" s="0" t="n">
        <v>38.28</v>
      </c>
      <c r="K3455" s="0" t="n">
        <v>803.88</v>
      </c>
    </row>
    <row r="3456" customFormat="false" ht="15" hidden="false" customHeight="false" outlineLevel="0" collapsed="false">
      <c r="I3456" s="0" t="n">
        <v>2030</v>
      </c>
      <c r="J3456" s="0" t="n">
        <v>19.14</v>
      </c>
      <c r="K3456" s="0" t="n">
        <v>401.94</v>
      </c>
    </row>
    <row r="3457" customFormat="false" ht="15" hidden="false" customHeight="false" outlineLevel="0" collapsed="false">
      <c r="I3457" s="0" t="n">
        <v>2030</v>
      </c>
      <c r="J3457" s="0" t="n">
        <v>19.14</v>
      </c>
      <c r="K3457" s="0" t="n">
        <v>401.94</v>
      </c>
    </row>
    <row r="3458" customFormat="false" ht="15" hidden="false" customHeight="false" outlineLevel="0" collapsed="false">
      <c r="I3458" s="0" t="n">
        <v>2030</v>
      </c>
      <c r="J3458" s="0" t="n">
        <v>38.28</v>
      </c>
      <c r="K3458" s="0" t="n">
        <v>803.88</v>
      </c>
    </row>
    <row r="3459" customFormat="false" ht="15" hidden="false" customHeight="false" outlineLevel="0" collapsed="false">
      <c r="I3459" s="0" t="n">
        <v>2030</v>
      </c>
      <c r="J3459" s="0" t="n">
        <v>66.99</v>
      </c>
      <c r="K3459" s="0" t="n">
        <v>1406.79</v>
      </c>
    </row>
    <row r="3460" customFormat="false" ht="15" hidden="false" customHeight="false" outlineLevel="0" collapsed="false">
      <c r="I3460" s="0" t="n">
        <v>2030</v>
      </c>
      <c r="J3460" s="0" t="n">
        <v>28.71</v>
      </c>
      <c r="K3460" s="0" t="n">
        <v>602.91</v>
      </c>
    </row>
    <row r="3461" customFormat="false" ht="15" hidden="false" customHeight="false" outlineLevel="0" collapsed="false">
      <c r="I3461" s="0" t="n">
        <v>2030</v>
      </c>
      <c r="J3461" s="0" t="n">
        <v>28.71</v>
      </c>
      <c r="K3461" s="0" t="n">
        <v>602.91</v>
      </c>
    </row>
    <row r="3462" customFormat="false" ht="15" hidden="false" customHeight="false" outlineLevel="0" collapsed="false">
      <c r="I3462" s="0" t="n">
        <v>2030</v>
      </c>
      <c r="J3462" s="0" t="n">
        <v>112.84</v>
      </c>
      <c r="K3462" s="0" t="n">
        <v>2372.24</v>
      </c>
    </row>
    <row r="3463" customFormat="false" ht="15" hidden="false" customHeight="false" outlineLevel="0" collapsed="false">
      <c r="I3463" s="0" t="n">
        <v>2030</v>
      </c>
      <c r="J3463" s="0" t="n">
        <v>17.36</v>
      </c>
      <c r="K3463" s="0" t="n">
        <v>364.96</v>
      </c>
    </row>
    <row r="3464" customFormat="false" ht="15" hidden="false" customHeight="false" outlineLevel="0" collapsed="false">
      <c r="I3464" s="0" t="n">
        <v>2030</v>
      </c>
      <c r="J3464" s="0" t="n">
        <v>13.02</v>
      </c>
      <c r="K3464" s="0" t="n">
        <v>273.72</v>
      </c>
    </row>
    <row r="3465" customFormat="false" ht="15" hidden="false" customHeight="false" outlineLevel="0" collapsed="false">
      <c r="I3465" s="0" t="n">
        <v>2030</v>
      </c>
      <c r="J3465" s="0" t="n">
        <v>21.7</v>
      </c>
      <c r="K3465" s="0" t="n">
        <v>456.2</v>
      </c>
    </row>
    <row r="3466" customFormat="false" ht="15" hidden="false" customHeight="false" outlineLevel="0" collapsed="false">
      <c r="I3466" s="0" t="n">
        <v>2030</v>
      </c>
      <c r="J3466" s="0" t="n">
        <v>4.34</v>
      </c>
      <c r="K3466" s="0" t="n">
        <v>91.24</v>
      </c>
    </row>
    <row r="3467" customFormat="false" ht="15" hidden="false" customHeight="false" outlineLevel="0" collapsed="false">
      <c r="I3467" s="0" t="n">
        <v>2030</v>
      </c>
      <c r="J3467" s="0" t="n">
        <v>4.34</v>
      </c>
      <c r="K3467" s="0" t="n">
        <v>91.24</v>
      </c>
    </row>
    <row r="3468" customFormat="false" ht="15" hidden="false" customHeight="false" outlineLevel="0" collapsed="false">
      <c r="I3468" s="0" t="n">
        <v>2030</v>
      </c>
      <c r="J3468" s="0" t="n">
        <v>0</v>
      </c>
      <c r="K3468" s="0" t="n">
        <v>0</v>
      </c>
    </row>
    <row r="3469" customFormat="false" ht="15" hidden="false" customHeight="false" outlineLevel="0" collapsed="false">
      <c r="I3469" s="0" t="n">
        <v>2030</v>
      </c>
      <c r="J3469" s="0" t="n">
        <v>8.68</v>
      </c>
      <c r="K3469" s="0" t="n">
        <v>182.48</v>
      </c>
    </row>
    <row r="3470" customFormat="false" ht="15" hidden="false" customHeight="false" outlineLevel="0" collapsed="false">
      <c r="I3470" s="0" t="n">
        <v>2030</v>
      </c>
      <c r="J3470" s="0" t="n">
        <v>15.19</v>
      </c>
      <c r="K3470" s="0" t="n">
        <v>319.34</v>
      </c>
    </row>
    <row r="3471" customFormat="false" ht="15" hidden="false" customHeight="false" outlineLevel="0" collapsed="false">
      <c r="I3471" s="0" t="n">
        <v>2030</v>
      </c>
      <c r="J3471" s="0" t="n">
        <v>4.34</v>
      </c>
      <c r="K3471" s="0" t="n">
        <v>91.24</v>
      </c>
    </row>
    <row r="3472" customFormat="false" ht="15" hidden="false" customHeight="false" outlineLevel="0" collapsed="false">
      <c r="I3472" s="0" t="n">
        <v>2030</v>
      </c>
      <c r="J3472" s="0" t="n">
        <v>15.19</v>
      </c>
      <c r="K3472" s="0" t="n">
        <v>319.34</v>
      </c>
    </row>
    <row r="3473" customFormat="false" ht="15" hidden="false" customHeight="false" outlineLevel="0" collapsed="false">
      <c r="I3473" s="0" t="n">
        <v>2030</v>
      </c>
      <c r="J3473" s="0" t="n">
        <v>274.56</v>
      </c>
      <c r="K3473" s="0" t="n">
        <v>5767.2</v>
      </c>
    </row>
    <row r="3474" customFormat="false" ht="15" hidden="false" customHeight="false" outlineLevel="0" collapsed="false">
      <c r="I3474" s="0" t="n">
        <v>2030</v>
      </c>
      <c r="J3474" s="0" t="n">
        <v>91.52</v>
      </c>
      <c r="K3474" s="0" t="n">
        <v>1922.4</v>
      </c>
    </row>
    <row r="3475" customFormat="false" ht="15" hidden="false" customHeight="false" outlineLevel="0" collapsed="false">
      <c r="I3475" s="0" t="n">
        <v>2030</v>
      </c>
      <c r="J3475" s="0" t="n">
        <v>40.04</v>
      </c>
      <c r="K3475" s="0" t="n">
        <v>841.05</v>
      </c>
    </row>
    <row r="3476" customFormat="false" ht="15" hidden="false" customHeight="false" outlineLevel="0" collapsed="false">
      <c r="I3476" s="0" t="n">
        <v>2030</v>
      </c>
      <c r="J3476" s="0" t="n">
        <v>22.88</v>
      </c>
      <c r="K3476" s="0" t="n">
        <v>480.6</v>
      </c>
    </row>
    <row r="3477" customFormat="false" ht="15" hidden="false" customHeight="false" outlineLevel="0" collapsed="false">
      <c r="I3477" s="0" t="n">
        <v>2030</v>
      </c>
      <c r="J3477" s="0" t="n">
        <v>22.88</v>
      </c>
      <c r="K3477" s="0" t="n">
        <v>480.6</v>
      </c>
    </row>
    <row r="3478" customFormat="false" ht="15" hidden="false" customHeight="false" outlineLevel="0" collapsed="false">
      <c r="I3478" s="0" t="n">
        <v>2030</v>
      </c>
      <c r="J3478" s="0" t="n">
        <v>11.44</v>
      </c>
      <c r="K3478" s="0" t="n">
        <v>240.3</v>
      </c>
    </row>
    <row r="3479" customFormat="false" ht="15" hidden="false" customHeight="false" outlineLevel="0" collapsed="false">
      <c r="I3479" s="0" t="n">
        <v>2030</v>
      </c>
      <c r="J3479" s="0" t="n">
        <v>11.44</v>
      </c>
      <c r="K3479" s="0" t="n">
        <v>240.3</v>
      </c>
    </row>
    <row r="3480" customFormat="false" ht="15" hidden="false" customHeight="false" outlineLevel="0" collapsed="false">
      <c r="I3480" s="0" t="n">
        <v>2030</v>
      </c>
      <c r="J3480" s="0" t="n">
        <v>22.88</v>
      </c>
      <c r="K3480" s="0" t="n">
        <v>480.6</v>
      </c>
    </row>
    <row r="3481" customFormat="false" ht="15" hidden="false" customHeight="false" outlineLevel="0" collapsed="false">
      <c r="I3481" s="0" t="n">
        <v>2030</v>
      </c>
      <c r="J3481" s="0" t="n">
        <v>40.04</v>
      </c>
      <c r="K3481" s="0" t="n">
        <v>841.05</v>
      </c>
    </row>
    <row r="3482" customFormat="false" ht="15" hidden="false" customHeight="false" outlineLevel="0" collapsed="false">
      <c r="I3482" s="0" t="n">
        <v>2030</v>
      </c>
      <c r="J3482" s="0" t="n">
        <v>17.16</v>
      </c>
      <c r="K3482" s="0" t="n">
        <v>360.45</v>
      </c>
    </row>
    <row r="3483" customFormat="false" ht="15" hidden="false" customHeight="false" outlineLevel="0" collapsed="false">
      <c r="I3483" s="0" t="n">
        <v>2030</v>
      </c>
      <c r="J3483" s="0" t="n">
        <v>17.16</v>
      </c>
      <c r="K3483" s="0" t="n">
        <v>360.45</v>
      </c>
    </row>
    <row r="3484" customFormat="false" ht="15" hidden="false" customHeight="false" outlineLevel="0" collapsed="false">
      <c r="I3484" s="0" t="n">
        <v>2030</v>
      </c>
      <c r="J3484" s="0" t="n">
        <v>112.84</v>
      </c>
      <c r="K3484" s="0" t="n">
        <v>2372.24</v>
      </c>
    </row>
    <row r="3485" customFormat="false" ht="15" hidden="false" customHeight="false" outlineLevel="0" collapsed="false">
      <c r="I3485" s="0" t="n">
        <v>2030</v>
      </c>
      <c r="J3485" s="0" t="n">
        <v>17.36</v>
      </c>
      <c r="K3485" s="0" t="n">
        <v>364.96</v>
      </c>
    </row>
    <row r="3486" customFormat="false" ht="15" hidden="false" customHeight="false" outlineLevel="0" collapsed="false">
      <c r="I3486" s="0" t="n">
        <v>2030</v>
      </c>
      <c r="J3486" s="0" t="n">
        <v>13.02</v>
      </c>
      <c r="K3486" s="0" t="n">
        <v>273.72</v>
      </c>
    </row>
    <row r="3487" customFormat="false" ht="15" hidden="false" customHeight="false" outlineLevel="0" collapsed="false">
      <c r="I3487" s="0" t="n">
        <v>2030</v>
      </c>
      <c r="J3487" s="0" t="n">
        <v>21.7</v>
      </c>
      <c r="K3487" s="0" t="n">
        <v>456.2</v>
      </c>
    </row>
    <row r="3488" customFormat="false" ht="15" hidden="false" customHeight="false" outlineLevel="0" collapsed="false">
      <c r="I3488" s="0" t="n">
        <v>2030</v>
      </c>
      <c r="J3488" s="0" t="n">
        <v>4.34</v>
      </c>
      <c r="K3488" s="0" t="n">
        <v>91.24</v>
      </c>
    </row>
    <row r="3489" customFormat="false" ht="15" hidden="false" customHeight="false" outlineLevel="0" collapsed="false">
      <c r="I3489" s="0" t="n">
        <v>2030</v>
      </c>
      <c r="J3489" s="0" t="n">
        <v>4.34</v>
      </c>
      <c r="K3489" s="0" t="n">
        <v>91.24</v>
      </c>
    </row>
    <row r="3490" customFormat="false" ht="15" hidden="false" customHeight="false" outlineLevel="0" collapsed="false">
      <c r="I3490" s="0" t="n">
        <v>2030</v>
      </c>
      <c r="J3490" s="0" t="n">
        <v>0</v>
      </c>
      <c r="K3490" s="0" t="n">
        <v>0</v>
      </c>
    </row>
    <row r="3491" customFormat="false" ht="15" hidden="false" customHeight="false" outlineLevel="0" collapsed="false">
      <c r="I3491" s="0" t="n">
        <v>2030</v>
      </c>
      <c r="J3491" s="0" t="n">
        <v>8.68</v>
      </c>
      <c r="K3491" s="0" t="n">
        <v>182.48</v>
      </c>
    </row>
    <row r="3492" customFormat="false" ht="15" hidden="false" customHeight="false" outlineLevel="0" collapsed="false">
      <c r="I3492" s="0" t="n">
        <v>2030</v>
      </c>
      <c r="J3492" s="0" t="n">
        <v>15.19</v>
      </c>
      <c r="K3492" s="0" t="n">
        <v>319.34</v>
      </c>
    </row>
    <row r="3493" customFormat="false" ht="15" hidden="false" customHeight="false" outlineLevel="0" collapsed="false">
      <c r="I3493" s="0" t="n">
        <v>2030</v>
      </c>
      <c r="J3493" s="0" t="n">
        <v>4.34</v>
      </c>
      <c r="K3493" s="0" t="n">
        <v>91.24</v>
      </c>
    </row>
    <row r="3494" customFormat="false" ht="15" hidden="false" customHeight="false" outlineLevel="0" collapsed="false">
      <c r="I3494" s="0" t="n">
        <v>2030</v>
      </c>
      <c r="J3494" s="0" t="n">
        <v>15.19</v>
      </c>
      <c r="K3494" s="0" t="n">
        <v>319.34</v>
      </c>
    </row>
    <row r="3495" customFormat="false" ht="15" hidden="false" customHeight="false" outlineLevel="0" collapsed="false">
      <c r="I3495" s="0" t="n">
        <v>2030</v>
      </c>
      <c r="J3495" s="0" t="n">
        <v>28.8</v>
      </c>
      <c r="K3495" s="0" t="n">
        <v>609.12</v>
      </c>
    </row>
    <row r="3496" customFormat="false" ht="15" hidden="false" customHeight="false" outlineLevel="0" collapsed="false">
      <c r="I3496" s="0" t="n">
        <v>2030</v>
      </c>
      <c r="J3496" s="0" t="n">
        <v>9.6</v>
      </c>
      <c r="K3496" s="0" t="n">
        <v>203.04</v>
      </c>
    </row>
    <row r="3497" customFormat="false" ht="15" hidden="false" customHeight="false" outlineLevel="0" collapsed="false">
      <c r="I3497" s="0" t="n">
        <v>2030</v>
      </c>
      <c r="J3497" s="0" t="n">
        <v>4.2</v>
      </c>
      <c r="K3497" s="0" t="n">
        <v>88.83</v>
      </c>
    </row>
    <row r="3498" customFormat="false" ht="15" hidden="false" customHeight="false" outlineLevel="0" collapsed="false">
      <c r="I3498" s="0" t="n">
        <v>2030</v>
      </c>
      <c r="J3498" s="0" t="n">
        <v>2.4</v>
      </c>
      <c r="K3498" s="0" t="n">
        <v>50.76</v>
      </c>
    </row>
    <row r="3499" customFormat="false" ht="15" hidden="false" customHeight="false" outlineLevel="0" collapsed="false">
      <c r="I3499" s="0" t="n">
        <v>2030</v>
      </c>
      <c r="J3499" s="0" t="n">
        <v>2.4</v>
      </c>
      <c r="K3499" s="0" t="n">
        <v>50.76</v>
      </c>
    </row>
    <row r="3500" customFormat="false" ht="15" hidden="false" customHeight="false" outlineLevel="0" collapsed="false">
      <c r="I3500" s="0" t="n">
        <v>2030</v>
      </c>
      <c r="J3500" s="0" t="n">
        <v>1.2</v>
      </c>
      <c r="K3500" s="0" t="n">
        <v>25.38</v>
      </c>
    </row>
    <row r="3501" customFormat="false" ht="15" hidden="false" customHeight="false" outlineLevel="0" collapsed="false">
      <c r="I3501" s="0" t="n">
        <v>2030</v>
      </c>
      <c r="J3501" s="0" t="n">
        <v>1.2</v>
      </c>
      <c r="K3501" s="0" t="n">
        <v>25.38</v>
      </c>
    </row>
    <row r="3502" customFormat="false" ht="15" hidden="false" customHeight="false" outlineLevel="0" collapsed="false">
      <c r="I3502" s="0" t="n">
        <v>2030</v>
      </c>
      <c r="J3502" s="0" t="n">
        <v>2.4</v>
      </c>
      <c r="K3502" s="0" t="n">
        <v>50.76</v>
      </c>
    </row>
    <row r="3503" customFormat="false" ht="15" hidden="false" customHeight="false" outlineLevel="0" collapsed="false">
      <c r="I3503" s="0" t="n">
        <v>2030</v>
      </c>
      <c r="J3503" s="0" t="n">
        <v>4.2</v>
      </c>
      <c r="K3503" s="0" t="n">
        <v>88.83</v>
      </c>
    </row>
    <row r="3504" customFormat="false" ht="15" hidden="false" customHeight="false" outlineLevel="0" collapsed="false">
      <c r="I3504" s="0" t="n">
        <v>2030</v>
      </c>
      <c r="J3504" s="0" t="n">
        <v>1.8</v>
      </c>
      <c r="K3504" s="0" t="n">
        <v>38.07</v>
      </c>
    </row>
    <row r="3505" customFormat="false" ht="15" hidden="false" customHeight="false" outlineLevel="0" collapsed="false">
      <c r="I3505" s="0" t="n">
        <v>2030</v>
      </c>
      <c r="J3505" s="0" t="n">
        <v>1.8</v>
      </c>
      <c r="K3505" s="0" t="n">
        <v>38.07</v>
      </c>
    </row>
    <row r="3506" customFormat="false" ht="15" hidden="false" customHeight="false" outlineLevel="0" collapsed="false">
      <c r="I3506" s="0" t="n">
        <v>2030</v>
      </c>
      <c r="J3506" s="0" t="n">
        <v>10.4</v>
      </c>
      <c r="K3506" s="0" t="n">
        <v>216.32</v>
      </c>
    </row>
    <row r="3507" customFormat="false" ht="15" hidden="false" customHeight="false" outlineLevel="0" collapsed="false">
      <c r="I3507" s="0" t="n">
        <v>2030</v>
      </c>
      <c r="J3507" s="0" t="n">
        <v>1.6</v>
      </c>
      <c r="K3507" s="0" t="n">
        <v>33.28</v>
      </c>
    </row>
    <row r="3508" customFormat="false" ht="15" hidden="false" customHeight="false" outlineLevel="0" collapsed="false">
      <c r="I3508" s="0" t="n">
        <v>2030</v>
      </c>
      <c r="J3508" s="0" t="n">
        <v>1.2</v>
      </c>
      <c r="K3508" s="0" t="n">
        <v>24.96</v>
      </c>
    </row>
    <row r="3509" customFormat="false" ht="15" hidden="false" customHeight="false" outlineLevel="0" collapsed="false">
      <c r="I3509" s="0" t="n">
        <v>2030</v>
      </c>
      <c r="J3509" s="0" t="n">
        <v>2</v>
      </c>
      <c r="K3509" s="0" t="n">
        <v>41.6</v>
      </c>
    </row>
    <row r="3510" customFormat="false" ht="15" hidden="false" customHeight="false" outlineLevel="0" collapsed="false">
      <c r="I3510" s="0" t="n">
        <v>2030</v>
      </c>
      <c r="J3510" s="0" t="n">
        <v>0.4</v>
      </c>
      <c r="K3510" s="0" t="n">
        <v>8.32</v>
      </c>
    </row>
    <row r="3511" customFormat="false" ht="15" hidden="false" customHeight="false" outlineLevel="0" collapsed="false">
      <c r="I3511" s="0" t="n">
        <v>2030</v>
      </c>
      <c r="J3511" s="0" t="n">
        <v>0.4</v>
      </c>
      <c r="K3511" s="0" t="n">
        <v>8.32</v>
      </c>
    </row>
    <row r="3512" customFormat="false" ht="15" hidden="false" customHeight="false" outlineLevel="0" collapsed="false">
      <c r="I3512" s="0" t="n">
        <v>2030</v>
      </c>
      <c r="J3512" s="0" t="n">
        <v>0</v>
      </c>
      <c r="K3512" s="0" t="n">
        <v>0</v>
      </c>
    </row>
    <row r="3513" customFormat="false" ht="15" hidden="false" customHeight="false" outlineLevel="0" collapsed="false">
      <c r="I3513" s="0" t="n">
        <v>2030</v>
      </c>
      <c r="J3513" s="0" t="n">
        <v>0.8</v>
      </c>
      <c r="K3513" s="0" t="n">
        <v>16.64</v>
      </c>
    </row>
    <row r="3514" customFormat="false" ht="15" hidden="false" customHeight="false" outlineLevel="0" collapsed="false">
      <c r="I3514" s="0" t="n">
        <v>2030</v>
      </c>
      <c r="J3514" s="0" t="n">
        <v>1.4</v>
      </c>
      <c r="K3514" s="0" t="n">
        <v>29.12</v>
      </c>
    </row>
    <row r="3515" customFormat="false" ht="15" hidden="false" customHeight="false" outlineLevel="0" collapsed="false">
      <c r="I3515" s="0" t="n">
        <v>2030</v>
      </c>
      <c r="J3515" s="0" t="n">
        <v>0.4</v>
      </c>
      <c r="K3515" s="0" t="n">
        <v>8.32</v>
      </c>
    </row>
    <row r="3516" customFormat="false" ht="15" hidden="false" customHeight="false" outlineLevel="0" collapsed="false">
      <c r="I3516" s="0" t="n">
        <v>2030</v>
      </c>
      <c r="J3516" s="0" t="n">
        <v>1.4</v>
      </c>
      <c r="K3516" s="0" t="n">
        <v>29.12</v>
      </c>
    </row>
    <row r="3517" customFormat="false" ht="15" hidden="false" customHeight="false" outlineLevel="0" collapsed="false">
      <c r="I3517" s="0" t="n">
        <v>2030</v>
      </c>
      <c r="J3517" s="0" t="n">
        <v>131.52</v>
      </c>
      <c r="K3517" s="0" t="n">
        <v>2759.04</v>
      </c>
    </row>
    <row r="3518" customFormat="false" ht="15" hidden="false" customHeight="false" outlineLevel="0" collapsed="false">
      <c r="I3518" s="0" t="n">
        <v>2030</v>
      </c>
      <c r="J3518" s="0" t="n">
        <v>43.84</v>
      </c>
      <c r="K3518" s="0" t="n">
        <v>919.68</v>
      </c>
    </row>
    <row r="3519" customFormat="false" ht="15" hidden="false" customHeight="false" outlineLevel="0" collapsed="false">
      <c r="I3519" s="0" t="n">
        <v>2030</v>
      </c>
      <c r="J3519" s="0" t="n">
        <v>19.18</v>
      </c>
      <c r="K3519" s="0" t="n">
        <v>402.36</v>
      </c>
    </row>
    <row r="3520" customFormat="false" ht="15" hidden="false" customHeight="false" outlineLevel="0" collapsed="false">
      <c r="I3520" s="0" t="n">
        <v>2030</v>
      </c>
      <c r="J3520" s="0" t="n">
        <v>10.96</v>
      </c>
      <c r="K3520" s="0" t="n">
        <v>229.92</v>
      </c>
    </row>
    <row r="3521" customFormat="false" ht="15" hidden="false" customHeight="false" outlineLevel="0" collapsed="false">
      <c r="I3521" s="0" t="n">
        <v>2030</v>
      </c>
      <c r="J3521" s="0" t="n">
        <v>10.96</v>
      </c>
      <c r="K3521" s="0" t="n">
        <v>229.92</v>
      </c>
    </row>
    <row r="3522" customFormat="false" ht="15" hidden="false" customHeight="false" outlineLevel="0" collapsed="false">
      <c r="I3522" s="0" t="n">
        <v>2030</v>
      </c>
      <c r="J3522" s="0" t="n">
        <v>5.48</v>
      </c>
      <c r="K3522" s="0" t="n">
        <v>114.96</v>
      </c>
    </row>
    <row r="3523" customFormat="false" ht="15" hidden="false" customHeight="false" outlineLevel="0" collapsed="false">
      <c r="I3523" s="0" t="n">
        <v>2030</v>
      </c>
      <c r="J3523" s="0" t="n">
        <v>5.48</v>
      </c>
      <c r="K3523" s="0" t="n">
        <v>114.96</v>
      </c>
    </row>
    <row r="3524" customFormat="false" ht="15" hidden="false" customHeight="false" outlineLevel="0" collapsed="false">
      <c r="I3524" s="0" t="n">
        <v>2030</v>
      </c>
      <c r="J3524" s="0" t="n">
        <v>10.96</v>
      </c>
      <c r="K3524" s="0" t="n">
        <v>229.92</v>
      </c>
    </row>
    <row r="3525" customFormat="false" ht="15" hidden="false" customHeight="false" outlineLevel="0" collapsed="false">
      <c r="I3525" s="0" t="n">
        <v>2030</v>
      </c>
      <c r="J3525" s="0" t="n">
        <v>19.18</v>
      </c>
      <c r="K3525" s="0" t="n">
        <v>402.36</v>
      </c>
    </row>
    <row r="3526" customFormat="false" ht="15" hidden="false" customHeight="false" outlineLevel="0" collapsed="false">
      <c r="I3526" s="0" t="n">
        <v>2030</v>
      </c>
      <c r="J3526" s="0" t="n">
        <v>8.22</v>
      </c>
      <c r="K3526" s="0" t="n">
        <v>172.44</v>
      </c>
    </row>
    <row r="3527" customFormat="false" ht="15" hidden="false" customHeight="false" outlineLevel="0" collapsed="false">
      <c r="I3527" s="0" t="n">
        <v>2030</v>
      </c>
      <c r="J3527" s="0" t="n">
        <v>8.22</v>
      </c>
      <c r="K3527" s="0" t="n">
        <v>172.44</v>
      </c>
    </row>
    <row r="3528" customFormat="false" ht="15" hidden="false" customHeight="false" outlineLevel="0" collapsed="false">
      <c r="I3528" s="0" t="n">
        <v>2030</v>
      </c>
      <c r="J3528" s="0" t="n">
        <v>17.16</v>
      </c>
      <c r="K3528" s="0" t="n">
        <v>362.96</v>
      </c>
    </row>
    <row r="3529" customFormat="false" ht="15" hidden="false" customHeight="false" outlineLevel="0" collapsed="false">
      <c r="I3529" s="0" t="n">
        <v>2030</v>
      </c>
      <c r="J3529" s="0" t="n">
        <v>2.64</v>
      </c>
      <c r="K3529" s="0" t="n">
        <v>55.84</v>
      </c>
    </row>
    <row r="3530" customFormat="false" ht="15" hidden="false" customHeight="false" outlineLevel="0" collapsed="false">
      <c r="I3530" s="0" t="n">
        <v>2030</v>
      </c>
      <c r="J3530" s="0" t="n">
        <v>1.98</v>
      </c>
      <c r="K3530" s="0" t="n">
        <v>41.88</v>
      </c>
    </row>
    <row r="3531" customFormat="false" ht="15" hidden="false" customHeight="false" outlineLevel="0" collapsed="false">
      <c r="I3531" s="0" t="n">
        <v>2030</v>
      </c>
      <c r="J3531" s="0" t="n">
        <v>3.3</v>
      </c>
      <c r="K3531" s="0" t="n">
        <v>69.8</v>
      </c>
    </row>
    <row r="3532" customFormat="false" ht="15" hidden="false" customHeight="false" outlineLevel="0" collapsed="false">
      <c r="I3532" s="0" t="n">
        <v>2030</v>
      </c>
      <c r="J3532" s="0" t="n">
        <v>0.66</v>
      </c>
      <c r="K3532" s="0" t="n">
        <v>13.96</v>
      </c>
    </row>
    <row r="3533" customFormat="false" ht="15" hidden="false" customHeight="false" outlineLevel="0" collapsed="false">
      <c r="I3533" s="0" t="n">
        <v>2030</v>
      </c>
      <c r="J3533" s="0" t="n">
        <v>0.66</v>
      </c>
      <c r="K3533" s="0" t="n">
        <v>13.96</v>
      </c>
    </row>
    <row r="3534" customFormat="false" ht="15" hidden="false" customHeight="false" outlineLevel="0" collapsed="false">
      <c r="I3534" s="0" t="n">
        <v>2030</v>
      </c>
      <c r="J3534" s="0" t="n">
        <v>0</v>
      </c>
      <c r="K3534" s="0" t="n">
        <v>0</v>
      </c>
    </row>
    <row r="3535" customFormat="false" ht="15" hidden="false" customHeight="false" outlineLevel="0" collapsed="false">
      <c r="I3535" s="0" t="n">
        <v>2030</v>
      </c>
      <c r="J3535" s="0" t="n">
        <v>1.32</v>
      </c>
      <c r="K3535" s="0" t="n">
        <v>27.92</v>
      </c>
    </row>
    <row r="3536" customFormat="false" ht="15" hidden="false" customHeight="false" outlineLevel="0" collapsed="false">
      <c r="I3536" s="0" t="n">
        <v>2030</v>
      </c>
      <c r="J3536" s="0" t="n">
        <v>2.31</v>
      </c>
      <c r="K3536" s="0" t="n">
        <v>48.86</v>
      </c>
    </row>
    <row r="3537" customFormat="false" ht="15" hidden="false" customHeight="false" outlineLevel="0" collapsed="false">
      <c r="I3537" s="0" t="n">
        <v>2030</v>
      </c>
      <c r="J3537" s="0" t="n">
        <v>0.66</v>
      </c>
      <c r="K3537" s="0" t="n">
        <v>13.96</v>
      </c>
    </row>
    <row r="3538" customFormat="false" ht="15" hidden="false" customHeight="false" outlineLevel="0" collapsed="false">
      <c r="I3538" s="0" t="n">
        <v>2030</v>
      </c>
      <c r="J3538" s="0" t="n">
        <v>2.31</v>
      </c>
      <c r="K3538" s="0" t="n">
        <v>48.86</v>
      </c>
    </row>
    <row r="3539" customFormat="false" ht="15" hidden="false" customHeight="false" outlineLevel="0" collapsed="false">
      <c r="I3539" s="0" t="n">
        <v>2030</v>
      </c>
      <c r="J3539" s="0" t="n">
        <v>105.12</v>
      </c>
      <c r="K3539" s="0" t="n">
        <v>2211.36</v>
      </c>
    </row>
    <row r="3540" customFormat="false" ht="15" hidden="false" customHeight="false" outlineLevel="0" collapsed="false">
      <c r="I3540" s="0" t="n">
        <v>2030</v>
      </c>
      <c r="J3540" s="0" t="n">
        <v>35.04</v>
      </c>
      <c r="K3540" s="0" t="n">
        <v>737.12</v>
      </c>
    </row>
    <row r="3541" customFormat="false" ht="15" hidden="false" customHeight="false" outlineLevel="0" collapsed="false">
      <c r="I3541" s="0" t="n">
        <v>2030</v>
      </c>
      <c r="J3541" s="0" t="n">
        <v>15.33</v>
      </c>
      <c r="K3541" s="0" t="n">
        <v>322.49</v>
      </c>
    </row>
    <row r="3542" customFormat="false" ht="15" hidden="false" customHeight="false" outlineLevel="0" collapsed="false">
      <c r="I3542" s="0" t="n">
        <v>2030</v>
      </c>
      <c r="J3542" s="0" t="n">
        <v>8.76</v>
      </c>
      <c r="K3542" s="0" t="n">
        <v>184.28</v>
      </c>
    </row>
    <row r="3543" customFormat="false" ht="15" hidden="false" customHeight="false" outlineLevel="0" collapsed="false">
      <c r="I3543" s="0" t="n">
        <v>2030</v>
      </c>
      <c r="J3543" s="0" t="n">
        <v>8.76</v>
      </c>
      <c r="K3543" s="0" t="n">
        <v>184.28</v>
      </c>
    </row>
    <row r="3544" customFormat="false" ht="15" hidden="false" customHeight="false" outlineLevel="0" collapsed="false">
      <c r="I3544" s="0" t="n">
        <v>2030</v>
      </c>
      <c r="J3544" s="0" t="n">
        <v>4.38</v>
      </c>
      <c r="K3544" s="0" t="n">
        <v>92.14</v>
      </c>
    </row>
    <row r="3545" customFormat="false" ht="15" hidden="false" customHeight="false" outlineLevel="0" collapsed="false">
      <c r="I3545" s="0" t="n">
        <v>2030</v>
      </c>
      <c r="J3545" s="0" t="n">
        <v>4.38</v>
      </c>
      <c r="K3545" s="0" t="n">
        <v>92.14</v>
      </c>
    </row>
    <row r="3546" customFormat="false" ht="15" hidden="false" customHeight="false" outlineLevel="0" collapsed="false">
      <c r="I3546" s="0" t="n">
        <v>2030</v>
      </c>
      <c r="J3546" s="0" t="n">
        <v>8.76</v>
      </c>
      <c r="K3546" s="0" t="n">
        <v>184.28</v>
      </c>
    </row>
    <row r="3547" customFormat="false" ht="15" hidden="false" customHeight="false" outlineLevel="0" collapsed="false">
      <c r="I3547" s="0" t="n">
        <v>2030</v>
      </c>
      <c r="J3547" s="0" t="n">
        <v>15.33</v>
      </c>
      <c r="K3547" s="0" t="n">
        <v>322.49</v>
      </c>
    </row>
    <row r="3548" customFormat="false" ht="15" hidden="false" customHeight="false" outlineLevel="0" collapsed="false">
      <c r="I3548" s="0" t="n">
        <v>2030</v>
      </c>
      <c r="J3548" s="0" t="n">
        <v>6.57</v>
      </c>
      <c r="K3548" s="0" t="n">
        <v>138.21</v>
      </c>
    </row>
    <row r="3549" customFormat="false" ht="15" hidden="false" customHeight="false" outlineLevel="0" collapsed="false">
      <c r="I3549" s="0" t="n">
        <v>2030</v>
      </c>
      <c r="J3549" s="0" t="n">
        <v>6.57</v>
      </c>
      <c r="K3549" s="0" t="n">
        <v>138.21</v>
      </c>
    </row>
    <row r="3550" customFormat="false" ht="15" hidden="false" customHeight="false" outlineLevel="0" collapsed="false">
      <c r="I3550" s="0" t="n">
        <v>2030</v>
      </c>
      <c r="J3550" s="0" t="n">
        <v>42.12</v>
      </c>
      <c r="K3550" s="0" t="n">
        <v>883.48</v>
      </c>
    </row>
    <row r="3551" customFormat="false" ht="15" hidden="false" customHeight="false" outlineLevel="0" collapsed="false">
      <c r="I3551" s="0" t="n">
        <v>2030</v>
      </c>
      <c r="J3551" s="0" t="n">
        <v>6.48</v>
      </c>
      <c r="K3551" s="0" t="n">
        <v>135.92</v>
      </c>
    </row>
    <row r="3552" customFormat="false" ht="15" hidden="false" customHeight="false" outlineLevel="0" collapsed="false">
      <c r="I3552" s="0" t="n">
        <v>2030</v>
      </c>
      <c r="J3552" s="0" t="n">
        <v>4.86</v>
      </c>
      <c r="K3552" s="0" t="n">
        <v>101.94</v>
      </c>
    </row>
    <row r="3553" customFormat="false" ht="15" hidden="false" customHeight="false" outlineLevel="0" collapsed="false">
      <c r="I3553" s="0" t="n">
        <v>2030</v>
      </c>
      <c r="J3553" s="0" t="n">
        <v>8.1</v>
      </c>
      <c r="K3553" s="0" t="n">
        <v>169.9</v>
      </c>
    </row>
    <row r="3554" customFormat="false" ht="15" hidden="false" customHeight="false" outlineLevel="0" collapsed="false">
      <c r="I3554" s="0" t="n">
        <v>2030</v>
      </c>
      <c r="J3554" s="0" t="n">
        <v>1.62</v>
      </c>
      <c r="K3554" s="0" t="n">
        <v>33.98</v>
      </c>
    </row>
    <row r="3555" customFormat="false" ht="15" hidden="false" customHeight="false" outlineLevel="0" collapsed="false">
      <c r="I3555" s="0" t="n">
        <v>2030</v>
      </c>
      <c r="J3555" s="0" t="n">
        <v>1.62</v>
      </c>
      <c r="K3555" s="0" t="n">
        <v>33.98</v>
      </c>
    </row>
    <row r="3556" customFormat="false" ht="15" hidden="false" customHeight="false" outlineLevel="0" collapsed="false">
      <c r="I3556" s="0" t="n">
        <v>2030</v>
      </c>
      <c r="J3556" s="0" t="n">
        <v>0</v>
      </c>
      <c r="K3556" s="0" t="n">
        <v>0</v>
      </c>
    </row>
    <row r="3557" customFormat="false" ht="15" hidden="false" customHeight="false" outlineLevel="0" collapsed="false">
      <c r="I3557" s="0" t="n">
        <v>2030</v>
      </c>
      <c r="J3557" s="0" t="n">
        <v>3.24</v>
      </c>
      <c r="K3557" s="0" t="n">
        <v>67.96</v>
      </c>
    </row>
    <row r="3558" customFormat="false" ht="15" hidden="false" customHeight="false" outlineLevel="0" collapsed="false">
      <c r="I3558" s="0" t="n">
        <v>2030</v>
      </c>
      <c r="J3558" s="0" t="n">
        <v>5.67</v>
      </c>
      <c r="K3558" s="0" t="n">
        <v>118.93</v>
      </c>
    </row>
    <row r="3559" customFormat="false" ht="15" hidden="false" customHeight="false" outlineLevel="0" collapsed="false">
      <c r="I3559" s="0" t="n">
        <v>2030</v>
      </c>
      <c r="J3559" s="0" t="n">
        <v>1.62</v>
      </c>
      <c r="K3559" s="0" t="n">
        <v>33.98</v>
      </c>
    </row>
    <row r="3560" customFormat="false" ht="15" hidden="false" customHeight="false" outlineLevel="0" collapsed="false">
      <c r="I3560" s="0" t="n">
        <v>2030</v>
      </c>
      <c r="J3560" s="0" t="n">
        <v>5.67</v>
      </c>
      <c r="K3560" s="0" t="n">
        <v>118.93</v>
      </c>
    </row>
    <row r="3561" customFormat="false" ht="15" hidden="false" customHeight="false" outlineLevel="0" collapsed="false">
      <c r="I3561" s="0" t="n">
        <v>2030</v>
      </c>
      <c r="J3561" s="0" t="n">
        <v>1031.52</v>
      </c>
      <c r="K3561" s="0" t="n">
        <v>21662.4</v>
      </c>
    </row>
    <row r="3562" customFormat="false" ht="15" hidden="false" customHeight="false" outlineLevel="0" collapsed="false">
      <c r="I3562" s="0" t="n">
        <v>2030</v>
      </c>
      <c r="J3562" s="0" t="n">
        <v>343.84</v>
      </c>
      <c r="K3562" s="0" t="n">
        <v>7220.8</v>
      </c>
    </row>
    <row r="3563" customFormat="false" ht="15" hidden="false" customHeight="false" outlineLevel="0" collapsed="false">
      <c r="I3563" s="0" t="n">
        <v>2030</v>
      </c>
      <c r="J3563" s="0" t="n">
        <v>150.43</v>
      </c>
      <c r="K3563" s="0" t="n">
        <v>3159.1</v>
      </c>
    </row>
    <row r="3564" customFormat="false" ht="15" hidden="false" customHeight="false" outlineLevel="0" collapsed="false">
      <c r="I3564" s="0" t="n">
        <v>2030</v>
      </c>
      <c r="J3564" s="0" t="n">
        <v>85.96</v>
      </c>
      <c r="K3564" s="0" t="n">
        <v>1805.2</v>
      </c>
    </row>
    <row r="3565" customFormat="false" ht="15" hidden="false" customHeight="false" outlineLevel="0" collapsed="false">
      <c r="I3565" s="0" t="n">
        <v>2030</v>
      </c>
      <c r="J3565" s="0" t="n">
        <v>85.96</v>
      </c>
      <c r="K3565" s="0" t="n">
        <v>1805.2</v>
      </c>
    </row>
    <row r="3566" customFormat="false" ht="15" hidden="false" customHeight="false" outlineLevel="0" collapsed="false">
      <c r="I3566" s="0" t="n">
        <v>2030</v>
      </c>
      <c r="J3566" s="0" t="n">
        <v>42.98</v>
      </c>
      <c r="K3566" s="0" t="n">
        <v>902.6</v>
      </c>
    </row>
    <row r="3567" customFormat="false" ht="15" hidden="false" customHeight="false" outlineLevel="0" collapsed="false">
      <c r="I3567" s="0" t="n">
        <v>2030</v>
      </c>
      <c r="J3567" s="0" t="n">
        <v>42.98</v>
      </c>
      <c r="K3567" s="0" t="n">
        <v>902.6</v>
      </c>
    </row>
    <row r="3568" customFormat="false" ht="15" hidden="false" customHeight="false" outlineLevel="0" collapsed="false">
      <c r="I3568" s="0" t="n">
        <v>2030</v>
      </c>
      <c r="J3568" s="0" t="n">
        <v>85.96</v>
      </c>
      <c r="K3568" s="0" t="n">
        <v>1805.2</v>
      </c>
    </row>
    <row r="3569" customFormat="false" ht="15" hidden="false" customHeight="false" outlineLevel="0" collapsed="false">
      <c r="I3569" s="0" t="n">
        <v>2030</v>
      </c>
      <c r="J3569" s="0" t="n">
        <v>150.43</v>
      </c>
      <c r="K3569" s="0" t="n">
        <v>3159.1</v>
      </c>
    </row>
    <row r="3570" customFormat="false" ht="15" hidden="false" customHeight="false" outlineLevel="0" collapsed="false">
      <c r="I3570" s="0" t="n">
        <v>2030</v>
      </c>
      <c r="J3570" s="0" t="n">
        <v>64.47</v>
      </c>
      <c r="K3570" s="0" t="n">
        <v>1353.9</v>
      </c>
    </row>
    <row r="3571" customFormat="false" ht="15" hidden="false" customHeight="false" outlineLevel="0" collapsed="false">
      <c r="I3571" s="0" t="n">
        <v>2030</v>
      </c>
      <c r="J3571" s="0" t="n">
        <v>64.47</v>
      </c>
      <c r="K3571" s="0" t="n">
        <v>1353.9</v>
      </c>
    </row>
    <row r="3572" customFormat="false" ht="15" hidden="false" customHeight="false" outlineLevel="0" collapsed="false">
      <c r="I3572" s="0" t="n">
        <v>2030</v>
      </c>
      <c r="J3572" s="0" t="n">
        <v>122.72</v>
      </c>
      <c r="K3572" s="0" t="n">
        <v>2582.32</v>
      </c>
    </row>
    <row r="3573" customFormat="false" ht="15" hidden="false" customHeight="false" outlineLevel="0" collapsed="false">
      <c r="I3573" s="0" t="n">
        <v>2030</v>
      </c>
      <c r="J3573" s="0" t="n">
        <v>18.88</v>
      </c>
      <c r="K3573" s="0" t="n">
        <v>397.28</v>
      </c>
    </row>
    <row r="3574" customFormat="false" ht="15" hidden="false" customHeight="false" outlineLevel="0" collapsed="false">
      <c r="I3574" s="0" t="n">
        <v>2030</v>
      </c>
      <c r="J3574" s="0" t="n">
        <v>14.16</v>
      </c>
      <c r="K3574" s="0" t="n">
        <v>297.96</v>
      </c>
    </row>
    <row r="3575" customFormat="false" ht="15" hidden="false" customHeight="false" outlineLevel="0" collapsed="false">
      <c r="I3575" s="0" t="n">
        <v>2030</v>
      </c>
      <c r="J3575" s="0" t="n">
        <v>23.6</v>
      </c>
      <c r="K3575" s="0" t="n">
        <v>496.6</v>
      </c>
    </row>
    <row r="3576" customFormat="false" ht="15" hidden="false" customHeight="false" outlineLevel="0" collapsed="false">
      <c r="I3576" s="0" t="n">
        <v>2030</v>
      </c>
      <c r="J3576" s="0" t="n">
        <v>4.72</v>
      </c>
      <c r="K3576" s="0" t="n">
        <v>99.32</v>
      </c>
    </row>
    <row r="3577" customFormat="false" ht="15" hidden="false" customHeight="false" outlineLevel="0" collapsed="false">
      <c r="I3577" s="0" t="n">
        <v>2030</v>
      </c>
      <c r="J3577" s="0" t="n">
        <v>4.72</v>
      </c>
      <c r="K3577" s="0" t="n">
        <v>99.32</v>
      </c>
    </row>
    <row r="3578" customFormat="false" ht="15" hidden="false" customHeight="false" outlineLevel="0" collapsed="false">
      <c r="I3578" s="0" t="n">
        <v>2030</v>
      </c>
      <c r="J3578" s="0" t="n">
        <v>0</v>
      </c>
      <c r="K3578" s="0" t="n">
        <v>0</v>
      </c>
    </row>
    <row r="3579" customFormat="false" ht="15" hidden="false" customHeight="false" outlineLevel="0" collapsed="false">
      <c r="I3579" s="0" t="n">
        <v>2030</v>
      </c>
      <c r="J3579" s="0" t="n">
        <v>9.44</v>
      </c>
      <c r="K3579" s="0" t="n">
        <v>198.64</v>
      </c>
    </row>
    <row r="3580" customFormat="false" ht="15" hidden="false" customHeight="false" outlineLevel="0" collapsed="false">
      <c r="I3580" s="0" t="n">
        <v>2030</v>
      </c>
      <c r="J3580" s="0" t="n">
        <v>16.52</v>
      </c>
      <c r="K3580" s="0" t="n">
        <v>347.62</v>
      </c>
    </row>
    <row r="3581" customFormat="false" ht="15" hidden="false" customHeight="false" outlineLevel="0" collapsed="false">
      <c r="I3581" s="0" t="n">
        <v>2030</v>
      </c>
      <c r="J3581" s="0" t="n">
        <v>4.72</v>
      </c>
      <c r="K3581" s="0" t="n">
        <v>99.32</v>
      </c>
    </row>
    <row r="3582" customFormat="false" ht="15" hidden="false" customHeight="false" outlineLevel="0" collapsed="false">
      <c r="I3582" s="0" t="n">
        <v>2030</v>
      </c>
      <c r="J3582" s="0" t="n">
        <v>16.52</v>
      </c>
      <c r="K3582" s="0" t="n">
        <v>347.62</v>
      </c>
    </row>
    <row r="3583" customFormat="false" ht="15" hidden="false" customHeight="false" outlineLevel="0" collapsed="false">
      <c r="I3583" s="0" t="n">
        <v>2030</v>
      </c>
      <c r="J3583" s="0" t="n">
        <v>101.76</v>
      </c>
      <c r="K3583" s="0" t="n">
        <v>2136.96</v>
      </c>
    </row>
    <row r="3584" customFormat="false" ht="15" hidden="false" customHeight="false" outlineLevel="0" collapsed="false">
      <c r="I3584" s="0" t="n">
        <v>2030</v>
      </c>
      <c r="J3584" s="0" t="n">
        <v>33.92</v>
      </c>
      <c r="K3584" s="0" t="n">
        <v>712.32</v>
      </c>
    </row>
    <row r="3585" customFormat="false" ht="15" hidden="false" customHeight="false" outlineLevel="0" collapsed="false">
      <c r="I3585" s="0" t="n">
        <v>2030</v>
      </c>
      <c r="J3585" s="0" t="n">
        <v>14.84</v>
      </c>
      <c r="K3585" s="0" t="n">
        <v>311.64</v>
      </c>
    </row>
    <row r="3586" customFormat="false" ht="15" hidden="false" customHeight="false" outlineLevel="0" collapsed="false">
      <c r="I3586" s="0" t="n">
        <v>2030</v>
      </c>
      <c r="J3586" s="0" t="n">
        <v>8.48</v>
      </c>
      <c r="K3586" s="0" t="n">
        <v>178.08</v>
      </c>
    </row>
    <row r="3587" customFormat="false" ht="15" hidden="false" customHeight="false" outlineLevel="0" collapsed="false">
      <c r="I3587" s="0" t="n">
        <v>2030</v>
      </c>
      <c r="J3587" s="0" t="n">
        <v>8.48</v>
      </c>
      <c r="K3587" s="0" t="n">
        <v>178.08</v>
      </c>
    </row>
    <row r="3588" customFormat="false" ht="15" hidden="false" customHeight="false" outlineLevel="0" collapsed="false">
      <c r="I3588" s="0" t="n">
        <v>2030</v>
      </c>
      <c r="J3588" s="0" t="n">
        <v>4.24</v>
      </c>
      <c r="K3588" s="0" t="n">
        <v>89.04</v>
      </c>
    </row>
    <row r="3589" customFormat="false" ht="15" hidden="false" customHeight="false" outlineLevel="0" collapsed="false">
      <c r="I3589" s="0" t="n">
        <v>2030</v>
      </c>
      <c r="J3589" s="0" t="n">
        <v>4.24</v>
      </c>
      <c r="K3589" s="0" t="n">
        <v>89.04</v>
      </c>
    </row>
    <row r="3590" customFormat="false" ht="15" hidden="false" customHeight="false" outlineLevel="0" collapsed="false">
      <c r="I3590" s="0" t="n">
        <v>2030</v>
      </c>
      <c r="J3590" s="0" t="n">
        <v>8.48</v>
      </c>
      <c r="K3590" s="0" t="n">
        <v>178.08</v>
      </c>
    </row>
    <row r="3591" customFormat="false" ht="15" hidden="false" customHeight="false" outlineLevel="0" collapsed="false">
      <c r="I3591" s="0" t="n">
        <v>2030</v>
      </c>
      <c r="J3591" s="0" t="n">
        <v>14.84</v>
      </c>
      <c r="K3591" s="0" t="n">
        <v>311.64</v>
      </c>
    </row>
    <row r="3592" customFormat="false" ht="15" hidden="false" customHeight="false" outlineLevel="0" collapsed="false">
      <c r="I3592" s="0" t="n">
        <v>2030</v>
      </c>
      <c r="J3592" s="0" t="n">
        <v>6.36</v>
      </c>
      <c r="K3592" s="0" t="n">
        <v>133.56</v>
      </c>
    </row>
    <row r="3593" customFormat="false" ht="15" hidden="false" customHeight="false" outlineLevel="0" collapsed="false">
      <c r="I3593" s="0" t="n">
        <v>2030</v>
      </c>
      <c r="J3593" s="0" t="n">
        <v>6.36</v>
      </c>
      <c r="K3593" s="0" t="n">
        <v>133.56</v>
      </c>
    </row>
    <row r="3594" customFormat="false" ht="15" hidden="false" customHeight="false" outlineLevel="0" collapsed="false">
      <c r="I3594" s="0" t="n">
        <v>2030</v>
      </c>
      <c r="J3594" s="0" t="n">
        <v>30.16</v>
      </c>
      <c r="K3594" s="0" t="n">
        <v>631.28</v>
      </c>
    </row>
    <row r="3595" customFormat="false" ht="15" hidden="false" customHeight="false" outlineLevel="0" collapsed="false">
      <c r="I3595" s="0" t="n">
        <v>2030</v>
      </c>
      <c r="J3595" s="0" t="n">
        <v>4.64</v>
      </c>
      <c r="K3595" s="0" t="n">
        <v>97.12</v>
      </c>
    </row>
    <row r="3596" customFormat="false" ht="15" hidden="false" customHeight="false" outlineLevel="0" collapsed="false">
      <c r="I3596" s="0" t="n">
        <v>2030</v>
      </c>
      <c r="J3596" s="0" t="n">
        <v>3.48</v>
      </c>
      <c r="K3596" s="0" t="n">
        <v>72.84</v>
      </c>
    </row>
    <row r="3597" customFormat="false" ht="15" hidden="false" customHeight="false" outlineLevel="0" collapsed="false">
      <c r="I3597" s="0" t="n">
        <v>2030</v>
      </c>
      <c r="J3597" s="0" t="n">
        <v>5.8</v>
      </c>
      <c r="K3597" s="0" t="n">
        <v>121.4</v>
      </c>
    </row>
    <row r="3598" customFormat="false" ht="15" hidden="false" customHeight="false" outlineLevel="0" collapsed="false">
      <c r="I3598" s="0" t="n">
        <v>2030</v>
      </c>
      <c r="J3598" s="0" t="n">
        <v>1.16</v>
      </c>
      <c r="K3598" s="0" t="n">
        <v>24.28</v>
      </c>
    </row>
    <row r="3599" customFormat="false" ht="15" hidden="false" customHeight="false" outlineLevel="0" collapsed="false">
      <c r="I3599" s="0" t="n">
        <v>2030</v>
      </c>
      <c r="J3599" s="0" t="n">
        <v>1.16</v>
      </c>
      <c r="K3599" s="0" t="n">
        <v>24.28</v>
      </c>
    </row>
    <row r="3600" customFormat="false" ht="15" hidden="false" customHeight="false" outlineLevel="0" collapsed="false">
      <c r="I3600" s="0" t="n">
        <v>2030</v>
      </c>
      <c r="J3600" s="0" t="n">
        <v>0</v>
      </c>
      <c r="K3600" s="0" t="n">
        <v>0</v>
      </c>
    </row>
    <row r="3601" customFormat="false" ht="15" hidden="false" customHeight="false" outlineLevel="0" collapsed="false">
      <c r="I3601" s="0" t="n">
        <v>2030</v>
      </c>
      <c r="J3601" s="0" t="n">
        <v>2.32</v>
      </c>
      <c r="K3601" s="0" t="n">
        <v>48.56</v>
      </c>
    </row>
    <row r="3602" customFormat="false" ht="15" hidden="false" customHeight="false" outlineLevel="0" collapsed="false">
      <c r="I3602" s="0" t="n">
        <v>2030</v>
      </c>
      <c r="J3602" s="0" t="n">
        <v>4.06</v>
      </c>
      <c r="K3602" s="0" t="n">
        <v>84.98</v>
      </c>
    </row>
    <row r="3603" customFormat="false" ht="15" hidden="false" customHeight="false" outlineLevel="0" collapsed="false">
      <c r="I3603" s="0" t="n">
        <v>2030</v>
      </c>
      <c r="J3603" s="0" t="n">
        <v>1.16</v>
      </c>
      <c r="K3603" s="0" t="n">
        <v>24.28</v>
      </c>
    </row>
    <row r="3604" customFormat="false" ht="15" hidden="false" customHeight="false" outlineLevel="0" collapsed="false">
      <c r="I3604" s="0" t="n">
        <v>2030</v>
      </c>
      <c r="J3604" s="0" t="n">
        <v>4.06</v>
      </c>
      <c r="K3604" s="0" t="n">
        <v>84.98</v>
      </c>
    </row>
    <row r="3605" customFormat="false" ht="15" hidden="false" customHeight="false" outlineLevel="0" collapsed="false">
      <c r="I3605" s="0" t="n">
        <v>2030</v>
      </c>
      <c r="J3605" s="0" t="n">
        <v>248.16</v>
      </c>
      <c r="K3605" s="0" t="n">
        <v>5207.04</v>
      </c>
    </row>
    <row r="3606" customFormat="false" ht="15" hidden="false" customHeight="false" outlineLevel="0" collapsed="false">
      <c r="I3606" s="0" t="n">
        <v>2030</v>
      </c>
      <c r="J3606" s="0" t="n">
        <v>82.72</v>
      </c>
      <c r="K3606" s="0" t="n">
        <v>1735.68</v>
      </c>
    </row>
    <row r="3607" customFormat="false" ht="15" hidden="false" customHeight="false" outlineLevel="0" collapsed="false">
      <c r="I3607" s="0" t="n">
        <v>2030</v>
      </c>
      <c r="J3607" s="0" t="n">
        <v>36.19</v>
      </c>
      <c r="K3607" s="0" t="n">
        <v>759.36</v>
      </c>
    </row>
    <row r="3608" customFormat="false" ht="15" hidden="false" customHeight="false" outlineLevel="0" collapsed="false">
      <c r="I3608" s="0" t="n">
        <v>2030</v>
      </c>
      <c r="J3608" s="0" t="n">
        <v>20.68</v>
      </c>
      <c r="K3608" s="0" t="n">
        <v>433.92</v>
      </c>
    </row>
    <row r="3609" customFormat="false" ht="15" hidden="false" customHeight="false" outlineLevel="0" collapsed="false">
      <c r="I3609" s="0" t="n">
        <v>2030</v>
      </c>
      <c r="J3609" s="0" t="n">
        <v>20.68</v>
      </c>
      <c r="K3609" s="0" t="n">
        <v>433.92</v>
      </c>
    </row>
    <row r="3610" customFormat="false" ht="15" hidden="false" customHeight="false" outlineLevel="0" collapsed="false">
      <c r="I3610" s="0" t="n">
        <v>2030</v>
      </c>
      <c r="J3610" s="0" t="n">
        <v>10.34</v>
      </c>
      <c r="K3610" s="0" t="n">
        <v>216.96</v>
      </c>
    </row>
    <row r="3611" customFormat="false" ht="15" hidden="false" customHeight="false" outlineLevel="0" collapsed="false">
      <c r="I3611" s="0" t="n">
        <v>2030</v>
      </c>
      <c r="J3611" s="0" t="n">
        <v>10.34</v>
      </c>
      <c r="K3611" s="0" t="n">
        <v>216.96</v>
      </c>
    </row>
    <row r="3612" customFormat="false" ht="15" hidden="false" customHeight="false" outlineLevel="0" collapsed="false">
      <c r="I3612" s="0" t="n">
        <v>2030</v>
      </c>
      <c r="J3612" s="0" t="n">
        <v>20.68</v>
      </c>
      <c r="K3612" s="0" t="n">
        <v>433.92</v>
      </c>
    </row>
    <row r="3613" customFormat="false" ht="15" hidden="false" customHeight="false" outlineLevel="0" collapsed="false">
      <c r="I3613" s="0" t="n">
        <v>2030</v>
      </c>
      <c r="J3613" s="0" t="n">
        <v>36.19</v>
      </c>
      <c r="K3613" s="0" t="n">
        <v>759.36</v>
      </c>
    </row>
    <row r="3614" customFormat="false" ht="15" hidden="false" customHeight="false" outlineLevel="0" collapsed="false">
      <c r="I3614" s="0" t="n">
        <v>2030</v>
      </c>
      <c r="J3614" s="0" t="n">
        <v>15.51</v>
      </c>
      <c r="K3614" s="0" t="n">
        <v>325.44</v>
      </c>
    </row>
    <row r="3615" customFormat="false" ht="15" hidden="false" customHeight="false" outlineLevel="0" collapsed="false">
      <c r="I3615" s="0" t="n">
        <v>2030</v>
      </c>
      <c r="J3615" s="0" t="n">
        <v>15.51</v>
      </c>
      <c r="K3615" s="0" t="n">
        <v>325.44</v>
      </c>
    </row>
    <row r="3616" customFormat="false" ht="15" hidden="false" customHeight="false" outlineLevel="0" collapsed="false">
      <c r="I3616" s="0" t="n">
        <v>2030</v>
      </c>
      <c r="J3616" s="0" t="n">
        <v>28.08</v>
      </c>
      <c r="K3616" s="0" t="n">
        <v>589.16</v>
      </c>
    </row>
    <row r="3617" customFormat="false" ht="15" hidden="false" customHeight="false" outlineLevel="0" collapsed="false">
      <c r="I3617" s="0" t="n">
        <v>2030</v>
      </c>
      <c r="J3617" s="0" t="n">
        <v>4.32</v>
      </c>
      <c r="K3617" s="0" t="n">
        <v>90.64</v>
      </c>
    </row>
    <row r="3618" customFormat="false" ht="15" hidden="false" customHeight="false" outlineLevel="0" collapsed="false">
      <c r="I3618" s="0" t="n">
        <v>2030</v>
      </c>
      <c r="J3618" s="0" t="n">
        <v>3.24</v>
      </c>
      <c r="K3618" s="0" t="n">
        <v>67.98</v>
      </c>
    </row>
    <row r="3619" customFormat="false" ht="15" hidden="false" customHeight="false" outlineLevel="0" collapsed="false">
      <c r="I3619" s="0" t="n">
        <v>2030</v>
      </c>
      <c r="J3619" s="0" t="n">
        <v>5.4</v>
      </c>
      <c r="K3619" s="0" t="n">
        <v>113.3</v>
      </c>
    </row>
    <row r="3620" customFormat="false" ht="15" hidden="false" customHeight="false" outlineLevel="0" collapsed="false">
      <c r="I3620" s="0" t="n">
        <v>2030</v>
      </c>
      <c r="J3620" s="0" t="n">
        <v>1.08</v>
      </c>
      <c r="K3620" s="0" t="n">
        <v>22.66</v>
      </c>
    </row>
    <row r="3621" customFormat="false" ht="15" hidden="false" customHeight="false" outlineLevel="0" collapsed="false">
      <c r="I3621" s="0" t="n">
        <v>2030</v>
      </c>
      <c r="J3621" s="0" t="n">
        <v>1.08</v>
      </c>
      <c r="K3621" s="0" t="n">
        <v>22.66</v>
      </c>
    </row>
    <row r="3622" customFormat="false" ht="15" hidden="false" customHeight="false" outlineLevel="0" collapsed="false">
      <c r="I3622" s="0" t="n">
        <v>2030</v>
      </c>
      <c r="J3622" s="0" t="n">
        <v>0</v>
      </c>
      <c r="K3622" s="0" t="n">
        <v>0</v>
      </c>
    </row>
    <row r="3623" customFormat="false" ht="15" hidden="false" customHeight="false" outlineLevel="0" collapsed="false">
      <c r="I3623" s="0" t="n">
        <v>2030</v>
      </c>
      <c r="J3623" s="0" t="n">
        <v>2.16</v>
      </c>
      <c r="K3623" s="0" t="n">
        <v>45.32</v>
      </c>
    </row>
    <row r="3624" customFormat="false" ht="15" hidden="false" customHeight="false" outlineLevel="0" collapsed="false">
      <c r="I3624" s="0" t="n">
        <v>2030</v>
      </c>
      <c r="J3624" s="0" t="n">
        <v>3.78</v>
      </c>
      <c r="K3624" s="0" t="n">
        <v>79.31</v>
      </c>
    </row>
    <row r="3625" customFormat="false" ht="15" hidden="false" customHeight="false" outlineLevel="0" collapsed="false">
      <c r="I3625" s="0" t="n">
        <v>2030</v>
      </c>
      <c r="J3625" s="0" t="n">
        <v>1.08</v>
      </c>
      <c r="K3625" s="0" t="n">
        <v>22.66</v>
      </c>
    </row>
    <row r="3626" customFormat="false" ht="15" hidden="false" customHeight="false" outlineLevel="0" collapsed="false">
      <c r="I3626" s="0" t="n">
        <v>2030</v>
      </c>
      <c r="J3626" s="0" t="n">
        <v>3.78</v>
      </c>
      <c r="K3626" s="0" t="n">
        <v>79.31</v>
      </c>
    </row>
    <row r="3627" customFormat="false" ht="15" hidden="false" customHeight="false" outlineLevel="0" collapsed="false">
      <c r="I3627" s="0" t="n">
        <v>2030</v>
      </c>
      <c r="J3627" s="0" t="n">
        <v>21.6</v>
      </c>
      <c r="K3627" s="0" t="n">
        <v>455.52</v>
      </c>
    </row>
    <row r="3628" customFormat="false" ht="15" hidden="false" customHeight="false" outlineLevel="0" collapsed="false">
      <c r="I3628" s="0" t="n">
        <v>2030</v>
      </c>
      <c r="J3628" s="0" t="n">
        <v>7.2</v>
      </c>
      <c r="K3628" s="0" t="n">
        <v>151.84</v>
      </c>
    </row>
    <row r="3629" customFormat="false" ht="15" hidden="false" customHeight="false" outlineLevel="0" collapsed="false">
      <c r="I3629" s="0" t="n">
        <v>2030</v>
      </c>
      <c r="J3629" s="0" t="n">
        <v>3.15</v>
      </c>
      <c r="K3629" s="0" t="n">
        <v>66.43</v>
      </c>
    </row>
    <row r="3630" customFormat="false" ht="15" hidden="false" customHeight="false" outlineLevel="0" collapsed="false">
      <c r="I3630" s="0" t="n">
        <v>2030</v>
      </c>
      <c r="J3630" s="0" t="n">
        <v>1.8</v>
      </c>
      <c r="K3630" s="0" t="n">
        <v>37.96</v>
      </c>
    </row>
    <row r="3631" customFormat="false" ht="15" hidden="false" customHeight="false" outlineLevel="0" collapsed="false">
      <c r="I3631" s="0" t="n">
        <v>2030</v>
      </c>
      <c r="J3631" s="0" t="n">
        <v>1.8</v>
      </c>
      <c r="K3631" s="0" t="n">
        <v>37.96</v>
      </c>
    </row>
    <row r="3632" customFormat="false" ht="15" hidden="false" customHeight="false" outlineLevel="0" collapsed="false">
      <c r="I3632" s="0" t="n">
        <v>2030</v>
      </c>
      <c r="J3632" s="0" t="n">
        <v>0.9</v>
      </c>
      <c r="K3632" s="0" t="n">
        <v>18.98</v>
      </c>
    </row>
    <row r="3633" customFormat="false" ht="15" hidden="false" customHeight="false" outlineLevel="0" collapsed="false">
      <c r="I3633" s="0" t="n">
        <v>2030</v>
      </c>
      <c r="J3633" s="0" t="n">
        <v>0.9</v>
      </c>
      <c r="K3633" s="0" t="n">
        <v>18.98</v>
      </c>
    </row>
    <row r="3634" customFormat="false" ht="15" hidden="false" customHeight="false" outlineLevel="0" collapsed="false">
      <c r="I3634" s="0" t="n">
        <v>2030</v>
      </c>
      <c r="J3634" s="0" t="n">
        <v>1.8</v>
      </c>
      <c r="K3634" s="0" t="n">
        <v>37.96</v>
      </c>
    </row>
    <row r="3635" customFormat="false" ht="15" hidden="false" customHeight="false" outlineLevel="0" collapsed="false">
      <c r="I3635" s="0" t="n">
        <v>2030</v>
      </c>
      <c r="J3635" s="0" t="n">
        <v>3.15</v>
      </c>
      <c r="K3635" s="0" t="n">
        <v>66.43</v>
      </c>
    </row>
    <row r="3636" customFormat="false" ht="15" hidden="false" customHeight="false" outlineLevel="0" collapsed="false">
      <c r="I3636" s="0" t="n">
        <v>2030</v>
      </c>
      <c r="J3636" s="0" t="n">
        <v>1.35</v>
      </c>
      <c r="K3636" s="0" t="n">
        <v>28.47</v>
      </c>
    </row>
    <row r="3637" customFormat="false" ht="15" hidden="false" customHeight="false" outlineLevel="0" collapsed="false">
      <c r="I3637" s="0" t="n">
        <v>2030</v>
      </c>
      <c r="J3637" s="0" t="n">
        <v>1.35</v>
      </c>
      <c r="K3637" s="0" t="n">
        <v>28.47</v>
      </c>
    </row>
    <row r="3638" customFormat="false" ht="15" hidden="false" customHeight="false" outlineLevel="0" collapsed="false">
      <c r="I3638" s="0" t="n">
        <v>2030</v>
      </c>
      <c r="J3638" s="0" t="n">
        <v>8.32</v>
      </c>
      <c r="K3638" s="0" t="n">
        <v>178.88</v>
      </c>
    </row>
    <row r="3639" customFormat="false" ht="15" hidden="false" customHeight="false" outlineLevel="0" collapsed="false">
      <c r="I3639" s="0" t="n">
        <v>2030</v>
      </c>
      <c r="J3639" s="0" t="n">
        <v>1.28</v>
      </c>
      <c r="K3639" s="0" t="n">
        <v>27.52</v>
      </c>
    </row>
    <row r="3640" customFormat="false" ht="15" hidden="false" customHeight="false" outlineLevel="0" collapsed="false">
      <c r="I3640" s="0" t="n">
        <v>2030</v>
      </c>
      <c r="J3640" s="0" t="n">
        <v>0.96</v>
      </c>
      <c r="K3640" s="0" t="n">
        <v>20.64</v>
      </c>
    </row>
    <row r="3641" customFormat="false" ht="15" hidden="false" customHeight="false" outlineLevel="0" collapsed="false">
      <c r="I3641" s="0" t="n">
        <v>2030</v>
      </c>
      <c r="J3641" s="0" t="n">
        <v>1.6</v>
      </c>
      <c r="K3641" s="0" t="n">
        <v>34.4</v>
      </c>
    </row>
    <row r="3642" customFormat="false" ht="15" hidden="false" customHeight="false" outlineLevel="0" collapsed="false">
      <c r="I3642" s="0" t="n">
        <v>2030</v>
      </c>
      <c r="J3642" s="0" t="n">
        <v>0.32</v>
      </c>
      <c r="K3642" s="0" t="n">
        <v>6.88</v>
      </c>
    </row>
    <row r="3643" customFormat="false" ht="15" hidden="false" customHeight="false" outlineLevel="0" collapsed="false">
      <c r="I3643" s="0" t="n">
        <v>2030</v>
      </c>
      <c r="J3643" s="0" t="n">
        <v>0.32</v>
      </c>
      <c r="K3643" s="0" t="n">
        <v>6.88</v>
      </c>
    </row>
    <row r="3644" customFormat="false" ht="15" hidden="false" customHeight="false" outlineLevel="0" collapsed="false">
      <c r="I3644" s="0" t="n">
        <v>2030</v>
      </c>
      <c r="J3644" s="0" t="n">
        <v>0</v>
      </c>
      <c r="K3644" s="0" t="n">
        <v>0</v>
      </c>
    </row>
    <row r="3645" customFormat="false" ht="15" hidden="false" customHeight="false" outlineLevel="0" collapsed="false">
      <c r="I3645" s="0" t="n">
        <v>2030</v>
      </c>
      <c r="J3645" s="0" t="n">
        <v>0.64</v>
      </c>
      <c r="K3645" s="0" t="n">
        <v>13.76</v>
      </c>
    </row>
    <row r="3646" customFormat="false" ht="15" hidden="false" customHeight="false" outlineLevel="0" collapsed="false">
      <c r="I3646" s="0" t="n">
        <v>2030</v>
      </c>
      <c r="J3646" s="0" t="n">
        <v>1.12</v>
      </c>
      <c r="K3646" s="0" t="n">
        <v>24.08</v>
      </c>
    </row>
    <row r="3647" customFormat="false" ht="15" hidden="false" customHeight="false" outlineLevel="0" collapsed="false">
      <c r="I3647" s="0" t="n">
        <v>2030</v>
      </c>
      <c r="J3647" s="0" t="n">
        <v>0.32</v>
      </c>
      <c r="K3647" s="0" t="n">
        <v>6.88</v>
      </c>
    </row>
    <row r="3648" customFormat="false" ht="15" hidden="false" customHeight="false" outlineLevel="0" collapsed="false">
      <c r="I3648" s="0" t="n">
        <v>2030</v>
      </c>
      <c r="J3648" s="0" t="n">
        <v>1.12</v>
      </c>
      <c r="K3648" s="0" t="n">
        <v>24.08</v>
      </c>
    </row>
    <row r="3649" customFormat="false" ht="15" hidden="false" customHeight="false" outlineLevel="0" collapsed="false">
      <c r="I3649" s="0" t="n">
        <v>2030</v>
      </c>
      <c r="J3649" s="0" t="n">
        <v>56.16</v>
      </c>
      <c r="K3649" s="0" t="n">
        <v>1177.92</v>
      </c>
    </row>
    <row r="3650" customFormat="false" ht="15" hidden="false" customHeight="false" outlineLevel="0" collapsed="false">
      <c r="I3650" s="0" t="n">
        <v>2030</v>
      </c>
      <c r="J3650" s="0" t="n">
        <v>18.72</v>
      </c>
      <c r="K3650" s="0" t="n">
        <v>392.64</v>
      </c>
    </row>
    <row r="3651" customFormat="false" ht="15" hidden="false" customHeight="false" outlineLevel="0" collapsed="false">
      <c r="I3651" s="0" t="n">
        <v>2030</v>
      </c>
      <c r="J3651" s="0" t="n">
        <v>8.19</v>
      </c>
      <c r="K3651" s="0" t="n">
        <v>171.78</v>
      </c>
    </row>
    <row r="3652" customFormat="false" ht="15" hidden="false" customHeight="false" outlineLevel="0" collapsed="false">
      <c r="I3652" s="0" t="n">
        <v>2030</v>
      </c>
      <c r="J3652" s="0" t="n">
        <v>4.68</v>
      </c>
      <c r="K3652" s="0" t="n">
        <v>98.16</v>
      </c>
    </row>
    <row r="3653" customFormat="false" ht="15" hidden="false" customHeight="false" outlineLevel="0" collapsed="false">
      <c r="I3653" s="0" t="n">
        <v>2030</v>
      </c>
      <c r="J3653" s="0" t="n">
        <v>4.68</v>
      </c>
      <c r="K3653" s="0" t="n">
        <v>98.16</v>
      </c>
    </row>
    <row r="3654" customFormat="false" ht="15" hidden="false" customHeight="false" outlineLevel="0" collapsed="false">
      <c r="I3654" s="0" t="n">
        <v>2030</v>
      </c>
      <c r="J3654" s="0" t="n">
        <v>2.34</v>
      </c>
      <c r="K3654" s="0" t="n">
        <v>49.08</v>
      </c>
    </row>
    <row r="3655" customFormat="false" ht="15" hidden="false" customHeight="false" outlineLevel="0" collapsed="false">
      <c r="I3655" s="0" t="n">
        <v>2030</v>
      </c>
      <c r="J3655" s="0" t="n">
        <v>2.34</v>
      </c>
      <c r="K3655" s="0" t="n">
        <v>49.08</v>
      </c>
    </row>
    <row r="3656" customFormat="false" ht="15" hidden="false" customHeight="false" outlineLevel="0" collapsed="false">
      <c r="I3656" s="0" t="n">
        <v>2030</v>
      </c>
      <c r="J3656" s="0" t="n">
        <v>4.68</v>
      </c>
      <c r="K3656" s="0" t="n">
        <v>98.16</v>
      </c>
    </row>
    <row r="3657" customFormat="false" ht="15" hidden="false" customHeight="false" outlineLevel="0" collapsed="false">
      <c r="I3657" s="0" t="n">
        <v>2030</v>
      </c>
      <c r="J3657" s="0" t="n">
        <v>8.19</v>
      </c>
      <c r="K3657" s="0" t="n">
        <v>171.78</v>
      </c>
    </row>
    <row r="3658" customFormat="false" ht="15" hidden="false" customHeight="false" outlineLevel="0" collapsed="false">
      <c r="I3658" s="0" t="n">
        <v>2030</v>
      </c>
      <c r="J3658" s="0" t="n">
        <v>3.51</v>
      </c>
      <c r="K3658" s="0" t="n">
        <v>73.62</v>
      </c>
    </row>
    <row r="3659" customFormat="false" ht="15" hidden="false" customHeight="false" outlineLevel="0" collapsed="false">
      <c r="I3659" s="0" t="n">
        <v>2030</v>
      </c>
      <c r="J3659" s="0" t="n">
        <v>3.51</v>
      </c>
      <c r="K3659" s="0" t="n">
        <v>73.62</v>
      </c>
    </row>
    <row r="3660" customFormat="false" ht="15" hidden="false" customHeight="false" outlineLevel="0" collapsed="false">
      <c r="I3660" s="0" t="n">
        <v>2030</v>
      </c>
      <c r="J3660" s="0" t="n">
        <v>14.04</v>
      </c>
      <c r="K3660" s="0" t="n">
        <v>294.32</v>
      </c>
    </row>
    <row r="3661" customFormat="false" ht="15" hidden="false" customHeight="false" outlineLevel="0" collapsed="false">
      <c r="I3661" s="0" t="n">
        <v>2030</v>
      </c>
      <c r="J3661" s="0" t="n">
        <v>2.16</v>
      </c>
      <c r="K3661" s="0" t="n">
        <v>45.28</v>
      </c>
    </row>
    <row r="3662" customFormat="false" ht="15" hidden="false" customHeight="false" outlineLevel="0" collapsed="false">
      <c r="I3662" s="0" t="n">
        <v>2030</v>
      </c>
      <c r="J3662" s="0" t="n">
        <v>1.62</v>
      </c>
      <c r="K3662" s="0" t="n">
        <v>33.96</v>
      </c>
    </row>
    <row r="3663" customFormat="false" ht="15" hidden="false" customHeight="false" outlineLevel="0" collapsed="false">
      <c r="I3663" s="0" t="n">
        <v>2030</v>
      </c>
      <c r="J3663" s="0" t="n">
        <v>2.7</v>
      </c>
      <c r="K3663" s="0" t="n">
        <v>56.6</v>
      </c>
    </row>
    <row r="3664" customFormat="false" ht="15" hidden="false" customHeight="false" outlineLevel="0" collapsed="false">
      <c r="I3664" s="0" t="n">
        <v>2030</v>
      </c>
      <c r="J3664" s="0" t="n">
        <v>0.54</v>
      </c>
      <c r="K3664" s="0" t="n">
        <v>11.32</v>
      </c>
    </row>
    <row r="3665" customFormat="false" ht="15" hidden="false" customHeight="false" outlineLevel="0" collapsed="false">
      <c r="I3665" s="0" t="n">
        <v>2030</v>
      </c>
      <c r="J3665" s="0" t="n">
        <v>0.54</v>
      </c>
      <c r="K3665" s="0" t="n">
        <v>11.32</v>
      </c>
    </row>
    <row r="3666" customFormat="false" ht="15" hidden="false" customHeight="false" outlineLevel="0" collapsed="false">
      <c r="I3666" s="0" t="n">
        <v>2030</v>
      </c>
      <c r="J3666" s="0" t="n">
        <v>0</v>
      </c>
      <c r="K3666" s="0" t="n">
        <v>0</v>
      </c>
    </row>
    <row r="3667" customFormat="false" ht="15" hidden="false" customHeight="false" outlineLevel="0" collapsed="false">
      <c r="I3667" s="0" t="n">
        <v>2030</v>
      </c>
      <c r="J3667" s="0" t="n">
        <v>1.08</v>
      </c>
      <c r="K3667" s="0" t="n">
        <v>22.64</v>
      </c>
    </row>
    <row r="3668" customFormat="false" ht="15" hidden="false" customHeight="false" outlineLevel="0" collapsed="false">
      <c r="I3668" s="0" t="n">
        <v>2030</v>
      </c>
      <c r="J3668" s="0" t="n">
        <v>1.89</v>
      </c>
      <c r="K3668" s="0" t="n">
        <v>39.62</v>
      </c>
    </row>
    <row r="3669" customFormat="false" ht="15" hidden="false" customHeight="false" outlineLevel="0" collapsed="false">
      <c r="I3669" s="0" t="n">
        <v>2030</v>
      </c>
      <c r="J3669" s="0" t="n">
        <v>0.54</v>
      </c>
      <c r="K3669" s="0" t="n">
        <v>11.32</v>
      </c>
    </row>
    <row r="3670" customFormat="false" ht="15" hidden="false" customHeight="false" outlineLevel="0" collapsed="false">
      <c r="I3670" s="0" t="n">
        <v>2030</v>
      </c>
      <c r="J3670" s="0" t="n">
        <v>1.89</v>
      </c>
      <c r="K3670" s="0" t="n">
        <v>39.62</v>
      </c>
    </row>
    <row r="3671" customFormat="false" ht="15" hidden="false" customHeight="false" outlineLevel="0" collapsed="false">
      <c r="I3671" s="0" t="n">
        <v>2030</v>
      </c>
      <c r="J3671" s="0" t="n">
        <v>80.64</v>
      </c>
      <c r="K3671" s="0" t="n">
        <v>1694.88</v>
      </c>
    </row>
    <row r="3672" customFormat="false" ht="15" hidden="false" customHeight="false" outlineLevel="0" collapsed="false">
      <c r="I3672" s="0" t="n">
        <v>2030</v>
      </c>
      <c r="J3672" s="0" t="n">
        <v>26.88</v>
      </c>
      <c r="K3672" s="0" t="n">
        <v>564.96</v>
      </c>
    </row>
    <row r="3673" customFormat="false" ht="15" hidden="false" customHeight="false" outlineLevel="0" collapsed="false">
      <c r="I3673" s="0" t="n">
        <v>2030</v>
      </c>
      <c r="J3673" s="0" t="n">
        <v>11.76</v>
      </c>
      <c r="K3673" s="0" t="n">
        <v>247.17</v>
      </c>
    </row>
    <row r="3674" customFormat="false" ht="15" hidden="false" customHeight="false" outlineLevel="0" collapsed="false">
      <c r="I3674" s="0" t="n">
        <v>2030</v>
      </c>
      <c r="J3674" s="0" t="n">
        <v>6.72</v>
      </c>
      <c r="K3674" s="0" t="n">
        <v>141.24</v>
      </c>
    </row>
    <row r="3675" customFormat="false" ht="15" hidden="false" customHeight="false" outlineLevel="0" collapsed="false">
      <c r="I3675" s="0" t="n">
        <v>2030</v>
      </c>
      <c r="J3675" s="0" t="n">
        <v>6.72</v>
      </c>
      <c r="K3675" s="0" t="n">
        <v>141.24</v>
      </c>
    </row>
    <row r="3676" customFormat="false" ht="15" hidden="false" customHeight="false" outlineLevel="0" collapsed="false">
      <c r="I3676" s="0" t="n">
        <v>2030</v>
      </c>
      <c r="J3676" s="0" t="n">
        <v>3.36</v>
      </c>
      <c r="K3676" s="0" t="n">
        <v>70.62</v>
      </c>
    </row>
    <row r="3677" customFormat="false" ht="15" hidden="false" customHeight="false" outlineLevel="0" collapsed="false">
      <c r="I3677" s="0" t="n">
        <v>2030</v>
      </c>
      <c r="J3677" s="0" t="n">
        <v>3.36</v>
      </c>
      <c r="K3677" s="0" t="n">
        <v>70.62</v>
      </c>
    </row>
    <row r="3678" customFormat="false" ht="15" hidden="false" customHeight="false" outlineLevel="0" collapsed="false">
      <c r="I3678" s="0" t="n">
        <v>2030</v>
      </c>
      <c r="J3678" s="0" t="n">
        <v>6.72</v>
      </c>
      <c r="K3678" s="0" t="n">
        <v>141.24</v>
      </c>
    </row>
    <row r="3679" customFormat="false" ht="15" hidden="false" customHeight="false" outlineLevel="0" collapsed="false">
      <c r="I3679" s="0" t="n">
        <v>2030</v>
      </c>
      <c r="J3679" s="0" t="n">
        <v>11.76</v>
      </c>
      <c r="K3679" s="0" t="n">
        <v>247.17</v>
      </c>
    </row>
    <row r="3680" customFormat="false" ht="15" hidden="false" customHeight="false" outlineLevel="0" collapsed="false">
      <c r="I3680" s="0" t="n">
        <v>2030</v>
      </c>
      <c r="J3680" s="0" t="n">
        <v>5.04</v>
      </c>
      <c r="K3680" s="0" t="n">
        <v>105.93</v>
      </c>
    </row>
    <row r="3681" customFormat="false" ht="15" hidden="false" customHeight="false" outlineLevel="0" collapsed="false">
      <c r="I3681" s="0" t="n">
        <v>2030</v>
      </c>
      <c r="J3681" s="0" t="n">
        <v>5.04</v>
      </c>
      <c r="K3681" s="0" t="n">
        <v>105.93</v>
      </c>
    </row>
    <row r="3682" customFormat="false" ht="15" hidden="false" customHeight="false" outlineLevel="0" collapsed="false">
      <c r="I3682" s="0" t="n">
        <v>2030</v>
      </c>
      <c r="J3682" s="0" t="n">
        <v>7.8</v>
      </c>
      <c r="K3682" s="0" t="n">
        <v>167.96</v>
      </c>
    </row>
    <row r="3683" customFormat="false" ht="15" hidden="false" customHeight="false" outlineLevel="0" collapsed="false">
      <c r="I3683" s="0" t="n">
        <v>2030</v>
      </c>
      <c r="J3683" s="0" t="n">
        <v>1.2</v>
      </c>
      <c r="K3683" s="0" t="n">
        <v>25.84</v>
      </c>
    </row>
    <row r="3684" customFormat="false" ht="15" hidden="false" customHeight="false" outlineLevel="0" collapsed="false">
      <c r="I3684" s="0" t="n">
        <v>2030</v>
      </c>
      <c r="J3684" s="0" t="n">
        <v>0.9</v>
      </c>
      <c r="K3684" s="0" t="n">
        <v>19.38</v>
      </c>
    </row>
    <row r="3685" customFormat="false" ht="15" hidden="false" customHeight="false" outlineLevel="0" collapsed="false">
      <c r="I3685" s="0" t="n">
        <v>2030</v>
      </c>
      <c r="J3685" s="0" t="n">
        <v>1.5</v>
      </c>
      <c r="K3685" s="0" t="n">
        <v>32.3</v>
      </c>
    </row>
    <row r="3686" customFormat="false" ht="15" hidden="false" customHeight="false" outlineLevel="0" collapsed="false">
      <c r="I3686" s="0" t="n">
        <v>2030</v>
      </c>
      <c r="J3686" s="0" t="n">
        <v>0.3</v>
      </c>
      <c r="K3686" s="0" t="n">
        <v>6.46</v>
      </c>
    </row>
    <row r="3687" customFormat="false" ht="15" hidden="false" customHeight="false" outlineLevel="0" collapsed="false">
      <c r="I3687" s="0" t="n">
        <v>2030</v>
      </c>
      <c r="J3687" s="0" t="n">
        <v>0.3</v>
      </c>
      <c r="K3687" s="0" t="n">
        <v>6.46</v>
      </c>
    </row>
    <row r="3688" customFormat="false" ht="15" hidden="false" customHeight="false" outlineLevel="0" collapsed="false">
      <c r="I3688" s="0" t="n">
        <v>2030</v>
      </c>
      <c r="J3688" s="0" t="n">
        <v>0</v>
      </c>
      <c r="K3688" s="0" t="n">
        <v>0</v>
      </c>
    </row>
    <row r="3689" customFormat="false" ht="15" hidden="false" customHeight="false" outlineLevel="0" collapsed="false">
      <c r="I3689" s="0" t="n">
        <v>2030</v>
      </c>
      <c r="J3689" s="0" t="n">
        <v>0.6</v>
      </c>
      <c r="K3689" s="0" t="n">
        <v>12.92</v>
      </c>
    </row>
    <row r="3690" customFormat="false" ht="15" hidden="false" customHeight="false" outlineLevel="0" collapsed="false">
      <c r="I3690" s="0" t="n">
        <v>2030</v>
      </c>
      <c r="J3690" s="0" t="n">
        <v>1.05</v>
      </c>
      <c r="K3690" s="0" t="n">
        <v>22.61</v>
      </c>
    </row>
    <row r="3691" customFormat="false" ht="15" hidden="false" customHeight="false" outlineLevel="0" collapsed="false">
      <c r="I3691" s="0" t="n">
        <v>2030</v>
      </c>
      <c r="J3691" s="0" t="n">
        <v>0.3</v>
      </c>
      <c r="K3691" s="0" t="n">
        <v>6.46</v>
      </c>
    </row>
    <row r="3692" customFormat="false" ht="15" hidden="false" customHeight="false" outlineLevel="0" collapsed="false">
      <c r="I3692" s="0" t="n">
        <v>2030</v>
      </c>
      <c r="J3692" s="0" t="n">
        <v>1.05</v>
      </c>
      <c r="K3692" s="0" t="n">
        <v>22.61</v>
      </c>
    </row>
    <row r="3693" customFormat="false" ht="15" hidden="false" customHeight="false" outlineLevel="0" collapsed="false">
      <c r="I3693" s="0" t="n">
        <v>2030</v>
      </c>
      <c r="J3693" s="0" t="n">
        <v>25.44</v>
      </c>
      <c r="K3693" s="0" t="n">
        <v>530.4</v>
      </c>
    </row>
    <row r="3694" customFormat="false" ht="15" hidden="false" customHeight="false" outlineLevel="0" collapsed="false">
      <c r="I3694" s="0" t="n">
        <v>2030</v>
      </c>
      <c r="J3694" s="0" t="n">
        <v>8.48</v>
      </c>
      <c r="K3694" s="0" t="n">
        <v>176.8</v>
      </c>
    </row>
    <row r="3695" customFormat="false" ht="15" hidden="false" customHeight="false" outlineLevel="0" collapsed="false">
      <c r="I3695" s="0" t="n">
        <v>2030</v>
      </c>
      <c r="J3695" s="0" t="n">
        <v>3.71</v>
      </c>
      <c r="K3695" s="0" t="n">
        <v>77.35</v>
      </c>
    </row>
    <row r="3696" customFormat="false" ht="15" hidden="false" customHeight="false" outlineLevel="0" collapsed="false">
      <c r="I3696" s="0" t="n">
        <v>2030</v>
      </c>
      <c r="J3696" s="0" t="n">
        <v>2.12</v>
      </c>
      <c r="K3696" s="0" t="n">
        <v>44.2</v>
      </c>
    </row>
    <row r="3697" customFormat="false" ht="15" hidden="false" customHeight="false" outlineLevel="0" collapsed="false">
      <c r="I3697" s="0" t="n">
        <v>2030</v>
      </c>
      <c r="J3697" s="0" t="n">
        <v>2.12</v>
      </c>
      <c r="K3697" s="0" t="n">
        <v>44.2</v>
      </c>
    </row>
    <row r="3698" customFormat="false" ht="15" hidden="false" customHeight="false" outlineLevel="0" collapsed="false">
      <c r="I3698" s="0" t="n">
        <v>2030</v>
      </c>
      <c r="J3698" s="0" t="n">
        <v>1.06</v>
      </c>
      <c r="K3698" s="0" t="n">
        <v>22.1</v>
      </c>
    </row>
    <row r="3699" customFormat="false" ht="15" hidden="false" customHeight="false" outlineLevel="0" collapsed="false">
      <c r="I3699" s="0" t="n">
        <v>2030</v>
      </c>
      <c r="J3699" s="0" t="n">
        <v>1.06</v>
      </c>
      <c r="K3699" s="0" t="n">
        <v>22.1</v>
      </c>
    </row>
    <row r="3700" customFormat="false" ht="15" hidden="false" customHeight="false" outlineLevel="0" collapsed="false">
      <c r="I3700" s="0" t="n">
        <v>2030</v>
      </c>
      <c r="J3700" s="0" t="n">
        <v>2.12</v>
      </c>
      <c r="K3700" s="0" t="n">
        <v>44.2</v>
      </c>
    </row>
    <row r="3701" customFormat="false" ht="15" hidden="false" customHeight="false" outlineLevel="0" collapsed="false">
      <c r="I3701" s="0" t="n">
        <v>2030</v>
      </c>
      <c r="J3701" s="0" t="n">
        <v>3.71</v>
      </c>
      <c r="K3701" s="0" t="n">
        <v>77.35</v>
      </c>
    </row>
    <row r="3702" customFormat="false" ht="15" hidden="false" customHeight="false" outlineLevel="0" collapsed="false">
      <c r="I3702" s="0" t="n">
        <v>2030</v>
      </c>
      <c r="J3702" s="0" t="n">
        <v>1.59</v>
      </c>
      <c r="K3702" s="0" t="n">
        <v>33.15</v>
      </c>
    </row>
    <row r="3703" customFormat="false" ht="15" hidden="false" customHeight="false" outlineLevel="0" collapsed="false">
      <c r="I3703" s="0" t="n">
        <v>2030</v>
      </c>
      <c r="J3703" s="0" t="n">
        <v>1.59</v>
      </c>
      <c r="K3703" s="0" t="n">
        <v>33.15</v>
      </c>
    </row>
    <row r="3704" customFormat="false" ht="15" hidden="false" customHeight="false" outlineLevel="0" collapsed="false">
      <c r="I3704" s="0" t="n">
        <v>2030</v>
      </c>
      <c r="J3704" s="0" t="n">
        <v>6.76</v>
      </c>
      <c r="K3704" s="0" t="n">
        <v>137.28</v>
      </c>
    </row>
    <row r="3705" customFormat="false" ht="15" hidden="false" customHeight="false" outlineLevel="0" collapsed="false">
      <c r="I3705" s="0" t="n">
        <v>2030</v>
      </c>
      <c r="J3705" s="0" t="n">
        <v>1.04</v>
      </c>
      <c r="K3705" s="0" t="n">
        <v>21.12</v>
      </c>
    </row>
    <row r="3706" customFormat="false" ht="15" hidden="false" customHeight="false" outlineLevel="0" collapsed="false">
      <c r="I3706" s="0" t="n">
        <v>2030</v>
      </c>
      <c r="J3706" s="0" t="n">
        <v>0.78</v>
      </c>
      <c r="K3706" s="0" t="n">
        <v>15.84</v>
      </c>
    </row>
    <row r="3707" customFormat="false" ht="15" hidden="false" customHeight="false" outlineLevel="0" collapsed="false">
      <c r="I3707" s="0" t="n">
        <v>2030</v>
      </c>
      <c r="J3707" s="0" t="n">
        <v>1.3</v>
      </c>
      <c r="K3707" s="0" t="n">
        <v>26.4</v>
      </c>
    </row>
    <row r="3708" customFormat="false" ht="15" hidden="false" customHeight="false" outlineLevel="0" collapsed="false">
      <c r="I3708" s="0" t="n">
        <v>2030</v>
      </c>
      <c r="J3708" s="0" t="n">
        <v>0.26</v>
      </c>
      <c r="K3708" s="0" t="n">
        <v>5.28</v>
      </c>
    </row>
    <row r="3709" customFormat="false" ht="15" hidden="false" customHeight="false" outlineLevel="0" collapsed="false">
      <c r="I3709" s="0" t="n">
        <v>2030</v>
      </c>
      <c r="J3709" s="0" t="n">
        <v>0.26</v>
      </c>
      <c r="K3709" s="0" t="n">
        <v>5.28</v>
      </c>
    </row>
    <row r="3710" customFormat="false" ht="15" hidden="false" customHeight="false" outlineLevel="0" collapsed="false">
      <c r="I3710" s="0" t="n">
        <v>2030</v>
      </c>
      <c r="J3710" s="0" t="n">
        <v>0</v>
      </c>
      <c r="K3710" s="0" t="n">
        <v>0</v>
      </c>
    </row>
    <row r="3711" customFormat="false" ht="15" hidden="false" customHeight="false" outlineLevel="0" collapsed="false">
      <c r="I3711" s="0" t="n">
        <v>2030</v>
      </c>
      <c r="J3711" s="0" t="n">
        <v>0.52</v>
      </c>
      <c r="K3711" s="0" t="n">
        <v>10.56</v>
      </c>
    </row>
    <row r="3712" customFormat="false" ht="15" hidden="false" customHeight="false" outlineLevel="0" collapsed="false">
      <c r="I3712" s="0" t="n">
        <v>2030</v>
      </c>
      <c r="J3712" s="0" t="n">
        <v>0.91</v>
      </c>
      <c r="K3712" s="0" t="n">
        <v>18.48</v>
      </c>
    </row>
    <row r="3713" customFormat="false" ht="15" hidden="false" customHeight="false" outlineLevel="0" collapsed="false">
      <c r="I3713" s="0" t="n">
        <v>2030</v>
      </c>
      <c r="J3713" s="0" t="n">
        <v>0.26</v>
      </c>
      <c r="K3713" s="0" t="n">
        <v>5.28</v>
      </c>
    </row>
    <row r="3714" customFormat="false" ht="15" hidden="false" customHeight="false" outlineLevel="0" collapsed="false">
      <c r="I3714" s="0" t="n">
        <v>2030</v>
      </c>
      <c r="J3714" s="0" t="n">
        <v>0.91</v>
      </c>
      <c r="K3714" s="0" t="n">
        <v>18.48</v>
      </c>
    </row>
    <row r="3715" customFormat="false" ht="15" hidden="false" customHeight="false" outlineLevel="0" collapsed="false">
      <c r="I3715" s="0" t="n">
        <v>2030</v>
      </c>
      <c r="J3715" s="0" t="n">
        <v>355.68</v>
      </c>
      <c r="K3715" s="0" t="n">
        <v>7470.24</v>
      </c>
    </row>
    <row r="3716" customFormat="false" ht="15" hidden="false" customHeight="false" outlineLevel="0" collapsed="false">
      <c r="I3716" s="0" t="n">
        <v>2030</v>
      </c>
      <c r="J3716" s="0" t="n">
        <v>118.56</v>
      </c>
      <c r="K3716" s="0" t="n">
        <v>2490.08</v>
      </c>
    </row>
    <row r="3717" customFormat="false" ht="15" hidden="false" customHeight="false" outlineLevel="0" collapsed="false">
      <c r="I3717" s="0" t="n">
        <v>2030</v>
      </c>
      <c r="J3717" s="0" t="n">
        <v>51.87</v>
      </c>
      <c r="K3717" s="0" t="n">
        <v>1089.41</v>
      </c>
    </row>
    <row r="3718" customFormat="false" ht="15" hidden="false" customHeight="false" outlineLevel="0" collapsed="false">
      <c r="I3718" s="0" t="n">
        <v>2030</v>
      </c>
      <c r="J3718" s="0" t="n">
        <v>29.64</v>
      </c>
      <c r="K3718" s="0" t="n">
        <v>622.52</v>
      </c>
    </row>
    <row r="3719" customFormat="false" ht="15" hidden="false" customHeight="false" outlineLevel="0" collapsed="false">
      <c r="I3719" s="0" t="n">
        <v>2030</v>
      </c>
      <c r="J3719" s="0" t="n">
        <v>29.64</v>
      </c>
      <c r="K3719" s="0" t="n">
        <v>622.52</v>
      </c>
    </row>
    <row r="3720" customFormat="false" ht="15" hidden="false" customHeight="false" outlineLevel="0" collapsed="false">
      <c r="I3720" s="0" t="n">
        <v>2030</v>
      </c>
      <c r="J3720" s="0" t="n">
        <v>14.82</v>
      </c>
      <c r="K3720" s="0" t="n">
        <v>311.26</v>
      </c>
    </row>
    <row r="3721" customFormat="false" ht="15" hidden="false" customHeight="false" outlineLevel="0" collapsed="false">
      <c r="I3721" s="0" t="n">
        <v>2030</v>
      </c>
      <c r="J3721" s="0" t="n">
        <v>14.82</v>
      </c>
      <c r="K3721" s="0" t="n">
        <v>311.26</v>
      </c>
    </row>
    <row r="3722" customFormat="false" ht="15" hidden="false" customHeight="false" outlineLevel="0" collapsed="false">
      <c r="I3722" s="0" t="n">
        <v>2030</v>
      </c>
      <c r="J3722" s="0" t="n">
        <v>29.64</v>
      </c>
      <c r="K3722" s="0" t="n">
        <v>622.52</v>
      </c>
    </row>
    <row r="3723" customFormat="false" ht="15" hidden="false" customHeight="false" outlineLevel="0" collapsed="false">
      <c r="I3723" s="0" t="n">
        <v>2030</v>
      </c>
      <c r="J3723" s="0" t="n">
        <v>51.87</v>
      </c>
      <c r="K3723" s="0" t="n">
        <v>1089.41</v>
      </c>
    </row>
    <row r="3724" customFormat="false" ht="15" hidden="false" customHeight="false" outlineLevel="0" collapsed="false">
      <c r="I3724" s="0" t="n">
        <v>2030</v>
      </c>
      <c r="J3724" s="0" t="n">
        <v>22.23</v>
      </c>
      <c r="K3724" s="0" t="n">
        <v>466.89</v>
      </c>
    </row>
    <row r="3725" customFormat="false" ht="15" hidden="false" customHeight="false" outlineLevel="0" collapsed="false">
      <c r="I3725" s="0" t="n">
        <v>2030</v>
      </c>
      <c r="J3725" s="0" t="n">
        <v>22.23</v>
      </c>
      <c r="K3725" s="0" t="n">
        <v>466.89</v>
      </c>
    </row>
    <row r="3726" customFormat="false" ht="15" hidden="false" customHeight="false" outlineLevel="0" collapsed="false">
      <c r="I3726" s="0" t="n">
        <v>2030</v>
      </c>
      <c r="J3726" s="0" t="n">
        <v>86.84</v>
      </c>
      <c r="K3726" s="0" t="n">
        <v>1825.2</v>
      </c>
    </row>
    <row r="3727" customFormat="false" ht="15" hidden="false" customHeight="false" outlineLevel="0" collapsed="false">
      <c r="I3727" s="0" t="n">
        <v>2030</v>
      </c>
      <c r="J3727" s="0" t="n">
        <v>13.36</v>
      </c>
      <c r="K3727" s="0" t="n">
        <v>280.8</v>
      </c>
    </row>
    <row r="3728" customFormat="false" ht="15" hidden="false" customHeight="false" outlineLevel="0" collapsed="false">
      <c r="I3728" s="0" t="n">
        <v>2030</v>
      </c>
      <c r="J3728" s="0" t="n">
        <v>10.02</v>
      </c>
      <c r="K3728" s="0" t="n">
        <v>210.6</v>
      </c>
    </row>
    <row r="3729" customFormat="false" ht="15" hidden="false" customHeight="false" outlineLevel="0" collapsed="false">
      <c r="I3729" s="0" t="n">
        <v>2030</v>
      </c>
      <c r="J3729" s="0" t="n">
        <v>16.7</v>
      </c>
      <c r="K3729" s="0" t="n">
        <v>351</v>
      </c>
    </row>
    <row r="3730" customFormat="false" ht="15" hidden="false" customHeight="false" outlineLevel="0" collapsed="false">
      <c r="I3730" s="0" t="n">
        <v>2030</v>
      </c>
      <c r="J3730" s="0" t="n">
        <v>3.34</v>
      </c>
      <c r="K3730" s="0" t="n">
        <v>70.2</v>
      </c>
    </row>
    <row r="3731" customFormat="false" ht="15" hidden="false" customHeight="false" outlineLevel="0" collapsed="false">
      <c r="I3731" s="0" t="n">
        <v>2030</v>
      </c>
      <c r="J3731" s="0" t="n">
        <v>3.34</v>
      </c>
      <c r="K3731" s="0" t="n">
        <v>70.2</v>
      </c>
    </row>
    <row r="3732" customFormat="false" ht="15" hidden="false" customHeight="false" outlineLevel="0" collapsed="false">
      <c r="I3732" s="0" t="n">
        <v>2030</v>
      </c>
      <c r="J3732" s="0" t="n">
        <v>0</v>
      </c>
      <c r="K3732" s="0" t="n">
        <v>0</v>
      </c>
    </row>
    <row r="3733" customFormat="false" ht="15" hidden="false" customHeight="false" outlineLevel="0" collapsed="false">
      <c r="I3733" s="0" t="n">
        <v>2030</v>
      </c>
      <c r="J3733" s="0" t="n">
        <v>6.68</v>
      </c>
      <c r="K3733" s="0" t="n">
        <v>140.4</v>
      </c>
    </row>
    <row r="3734" customFormat="false" ht="15" hidden="false" customHeight="false" outlineLevel="0" collapsed="false">
      <c r="I3734" s="0" t="n">
        <v>2030</v>
      </c>
      <c r="J3734" s="0" t="n">
        <v>11.69</v>
      </c>
      <c r="K3734" s="0" t="n">
        <v>245.7</v>
      </c>
    </row>
    <row r="3735" customFormat="false" ht="15" hidden="false" customHeight="false" outlineLevel="0" collapsed="false">
      <c r="I3735" s="0" t="n">
        <v>2030</v>
      </c>
      <c r="J3735" s="0" t="n">
        <v>3.34</v>
      </c>
      <c r="K3735" s="0" t="n">
        <v>70.2</v>
      </c>
    </row>
    <row r="3736" customFormat="false" ht="15" hidden="false" customHeight="false" outlineLevel="0" collapsed="false">
      <c r="I3736" s="0" t="n">
        <v>2030</v>
      </c>
      <c r="J3736" s="0" t="n">
        <v>11.69</v>
      </c>
      <c r="K3736" s="0" t="n">
        <v>245.7</v>
      </c>
    </row>
    <row r="3737" customFormat="false" ht="15" hidden="false" customHeight="false" outlineLevel="0" collapsed="false">
      <c r="I3737" s="0" t="n">
        <v>2030</v>
      </c>
      <c r="J3737" s="0" t="n">
        <v>205.92</v>
      </c>
      <c r="K3737" s="0" t="n">
        <v>4322.4</v>
      </c>
    </row>
    <row r="3738" customFormat="false" ht="15" hidden="false" customHeight="false" outlineLevel="0" collapsed="false">
      <c r="I3738" s="0" t="n">
        <v>2030</v>
      </c>
      <c r="J3738" s="0" t="n">
        <v>68.64</v>
      </c>
      <c r="K3738" s="0" t="n">
        <v>1440.8</v>
      </c>
    </row>
    <row r="3739" customFormat="false" ht="15" hidden="false" customHeight="false" outlineLevel="0" collapsed="false">
      <c r="I3739" s="0" t="n">
        <v>2030</v>
      </c>
      <c r="J3739" s="0" t="n">
        <v>30.03</v>
      </c>
      <c r="K3739" s="0" t="n">
        <v>630.35</v>
      </c>
    </row>
    <row r="3740" customFormat="false" ht="15" hidden="false" customHeight="false" outlineLevel="0" collapsed="false">
      <c r="I3740" s="0" t="n">
        <v>2030</v>
      </c>
      <c r="J3740" s="0" t="n">
        <v>17.16</v>
      </c>
      <c r="K3740" s="0" t="n">
        <v>360.2</v>
      </c>
    </row>
    <row r="3741" customFormat="false" ht="15" hidden="false" customHeight="false" outlineLevel="0" collapsed="false">
      <c r="I3741" s="0" t="n">
        <v>2030</v>
      </c>
      <c r="J3741" s="0" t="n">
        <v>17.16</v>
      </c>
      <c r="K3741" s="0" t="n">
        <v>360.2</v>
      </c>
    </row>
    <row r="3742" customFormat="false" ht="15" hidden="false" customHeight="false" outlineLevel="0" collapsed="false">
      <c r="I3742" s="0" t="n">
        <v>2030</v>
      </c>
      <c r="J3742" s="0" t="n">
        <v>8.58</v>
      </c>
      <c r="K3742" s="0" t="n">
        <v>180.1</v>
      </c>
    </row>
    <row r="3743" customFormat="false" ht="15" hidden="false" customHeight="false" outlineLevel="0" collapsed="false">
      <c r="I3743" s="0" t="n">
        <v>2030</v>
      </c>
      <c r="J3743" s="0" t="n">
        <v>8.58</v>
      </c>
      <c r="K3743" s="0" t="n">
        <v>180.1</v>
      </c>
    </row>
    <row r="3744" customFormat="false" ht="15" hidden="false" customHeight="false" outlineLevel="0" collapsed="false">
      <c r="I3744" s="0" t="n">
        <v>2030</v>
      </c>
      <c r="J3744" s="0" t="n">
        <v>17.16</v>
      </c>
      <c r="K3744" s="0" t="n">
        <v>360.2</v>
      </c>
    </row>
    <row r="3745" customFormat="false" ht="15" hidden="false" customHeight="false" outlineLevel="0" collapsed="false">
      <c r="I3745" s="0" t="n">
        <v>2030</v>
      </c>
      <c r="J3745" s="0" t="n">
        <v>30.03</v>
      </c>
      <c r="K3745" s="0" t="n">
        <v>630.35</v>
      </c>
    </row>
    <row r="3746" customFormat="false" ht="15" hidden="false" customHeight="false" outlineLevel="0" collapsed="false">
      <c r="I3746" s="0" t="n">
        <v>2030</v>
      </c>
      <c r="J3746" s="0" t="n">
        <v>12.87</v>
      </c>
      <c r="K3746" s="0" t="n">
        <v>270.15</v>
      </c>
    </row>
    <row r="3747" customFormat="false" ht="15" hidden="false" customHeight="false" outlineLevel="0" collapsed="false">
      <c r="I3747" s="0" t="n">
        <v>2030</v>
      </c>
      <c r="J3747" s="0" t="n">
        <v>12.87</v>
      </c>
      <c r="K3747" s="0" t="n">
        <v>270.15</v>
      </c>
    </row>
    <row r="3748" customFormat="false" ht="15" hidden="false" customHeight="false" outlineLevel="0" collapsed="false">
      <c r="I3748" s="0" t="n">
        <v>2030</v>
      </c>
      <c r="J3748" s="0" t="n">
        <v>31.2</v>
      </c>
      <c r="K3748" s="0" t="n">
        <v>657.8</v>
      </c>
    </row>
    <row r="3749" customFormat="false" ht="15" hidden="false" customHeight="false" outlineLevel="0" collapsed="false">
      <c r="I3749" s="0" t="n">
        <v>2030</v>
      </c>
      <c r="J3749" s="0" t="n">
        <v>4.8</v>
      </c>
      <c r="K3749" s="0" t="n">
        <v>101.2</v>
      </c>
    </row>
    <row r="3750" customFormat="false" ht="15" hidden="false" customHeight="false" outlineLevel="0" collapsed="false">
      <c r="I3750" s="0" t="n">
        <v>2030</v>
      </c>
      <c r="J3750" s="0" t="n">
        <v>3.6</v>
      </c>
      <c r="K3750" s="0" t="n">
        <v>75.9</v>
      </c>
    </row>
    <row r="3751" customFormat="false" ht="15" hidden="false" customHeight="false" outlineLevel="0" collapsed="false">
      <c r="I3751" s="0" t="n">
        <v>2030</v>
      </c>
      <c r="J3751" s="0" t="n">
        <v>6</v>
      </c>
      <c r="K3751" s="0" t="n">
        <v>126.5</v>
      </c>
    </row>
    <row r="3752" customFormat="false" ht="15" hidden="false" customHeight="false" outlineLevel="0" collapsed="false">
      <c r="I3752" s="0" t="n">
        <v>2030</v>
      </c>
      <c r="J3752" s="0" t="n">
        <v>1.2</v>
      </c>
      <c r="K3752" s="0" t="n">
        <v>25.3</v>
      </c>
    </row>
    <row r="3753" customFormat="false" ht="15" hidden="false" customHeight="false" outlineLevel="0" collapsed="false">
      <c r="I3753" s="0" t="n">
        <v>2030</v>
      </c>
      <c r="J3753" s="0" t="n">
        <v>1.2</v>
      </c>
      <c r="K3753" s="0" t="n">
        <v>25.3</v>
      </c>
    </row>
    <row r="3754" customFormat="false" ht="15" hidden="false" customHeight="false" outlineLevel="0" collapsed="false">
      <c r="I3754" s="0" t="n">
        <v>2030</v>
      </c>
      <c r="J3754" s="0" t="n">
        <v>0</v>
      </c>
      <c r="K3754" s="0" t="n">
        <v>0</v>
      </c>
    </row>
    <row r="3755" customFormat="false" ht="15" hidden="false" customHeight="false" outlineLevel="0" collapsed="false">
      <c r="I3755" s="0" t="n">
        <v>2030</v>
      </c>
      <c r="J3755" s="0" t="n">
        <v>2.4</v>
      </c>
      <c r="K3755" s="0" t="n">
        <v>50.6</v>
      </c>
    </row>
    <row r="3756" customFormat="false" ht="15" hidden="false" customHeight="false" outlineLevel="0" collapsed="false">
      <c r="I3756" s="0" t="n">
        <v>2030</v>
      </c>
      <c r="J3756" s="0" t="n">
        <v>4.2</v>
      </c>
      <c r="K3756" s="0" t="n">
        <v>88.55</v>
      </c>
    </row>
    <row r="3757" customFormat="false" ht="15" hidden="false" customHeight="false" outlineLevel="0" collapsed="false">
      <c r="I3757" s="0" t="n">
        <v>2030</v>
      </c>
      <c r="J3757" s="0" t="n">
        <v>1.2</v>
      </c>
      <c r="K3757" s="0" t="n">
        <v>25.3</v>
      </c>
    </row>
    <row r="3758" customFormat="false" ht="15" hidden="false" customHeight="false" outlineLevel="0" collapsed="false">
      <c r="I3758" s="0" t="n">
        <v>2030</v>
      </c>
      <c r="J3758" s="0" t="n">
        <v>4.2</v>
      </c>
      <c r="K3758" s="0" t="n">
        <v>88.55</v>
      </c>
    </row>
    <row r="3759" customFormat="false" ht="15" hidden="false" customHeight="false" outlineLevel="0" collapsed="false">
      <c r="I3759" s="0" t="n">
        <v>2030</v>
      </c>
      <c r="J3759" s="0" t="n">
        <v>121.44</v>
      </c>
      <c r="K3759" s="0" t="n">
        <v>2552.64</v>
      </c>
    </row>
    <row r="3760" customFormat="false" ht="15" hidden="false" customHeight="false" outlineLevel="0" collapsed="false">
      <c r="I3760" s="0" t="n">
        <v>2030</v>
      </c>
      <c r="J3760" s="0" t="n">
        <v>40.48</v>
      </c>
      <c r="K3760" s="0" t="n">
        <v>850.88</v>
      </c>
    </row>
    <row r="3761" customFormat="false" ht="15" hidden="false" customHeight="false" outlineLevel="0" collapsed="false">
      <c r="I3761" s="0" t="n">
        <v>2030</v>
      </c>
      <c r="J3761" s="0" t="n">
        <v>17.71</v>
      </c>
      <c r="K3761" s="0" t="n">
        <v>372.26</v>
      </c>
    </row>
    <row r="3762" customFormat="false" ht="15" hidden="false" customHeight="false" outlineLevel="0" collapsed="false">
      <c r="I3762" s="0" t="n">
        <v>2030</v>
      </c>
      <c r="J3762" s="0" t="n">
        <v>10.12</v>
      </c>
      <c r="K3762" s="0" t="n">
        <v>212.72</v>
      </c>
    </row>
    <row r="3763" customFormat="false" ht="15" hidden="false" customHeight="false" outlineLevel="0" collapsed="false">
      <c r="I3763" s="0" t="n">
        <v>2030</v>
      </c>
      <c r="J3763" s="0" t="n">
        <v>10.12</v>
      </c>
      <c r="K3763" s="0" t="n">
        <v>212.72</v>
      </c>
    </row>
    <row r="3764" customFormat="false" ht="15" hidden="false" customHeight="false" outlineLevel="0" collapsed="false">
      <c r="I3764" s="0" t="n">
        <v>2030</v>
      </c>
      <c r="J3764" s="0" t="n">
        <v>5.06</v>
      </c>
      <c r="K3764" s="0" t="n">
        <v>106.36</v>
      </c>
    </row>
    <row r="3765" customFormat="false" ht="15" hidden="false" customHeight="false" outlineLevel="0" collapsed="false">
      <c r="I3765" s="0" t="n">
        <v>2030</v>
      </c>
      <c r="J3765" s="0" t="n">
        <v>5.06</v>
      </c>
      <c r="K3765" s="0" t="n">
        <v>106.36</v>
      </c>
    </row>
    <row r="3766" customFormat="false" ht="15" hidden="false" customHeight="false" outlineLevel="0" collapsed="false">
      <c r="I3766" s="0" t="n">
        <v>2030</v>
      </c>
      <c r="J3766" s="0" t="n">
        <v>10.12</v>
      </c>
      <c r="K3766" s="0" t="n">
        <v>212.72</v>
      </c>
    </row>
    <row r="3767" customFormat="false" ht="15" hidden="false" customHeight="false" outlineLevel="0" collapsed="false">
      <c r="I3767" s="0" t="n">
        <v>2030</v>
      </c>
      <c r="J3767" s="0" t="n">
        <v>17.71</v>
      </c>
      <c r="K3767" s="0" t="n">
        <v>372.26</v>
      </c>
    </row>
    <row r="3768" customFormat="false" ht="15" hidden="false" customHeight="false" outlineLevel="0" collapsed="false">
      <c r="I3768" s="0" t="n">
        <v>2030</v>
      </c>
      <c r="J3768" s="0" t="n">
        <v>7.59</v>
      </c>
      <c r="K3768" s="0" t="n">
        <v>159.54</v>
      </c>
    </row>
    <row r="3769" customFormat="false" ht="15" hidden="false" customHeight="false" outlineLevel="0" collapsed="false">
      <c r="I3769" s="0" t="n">
        <v>2030</v>
      </c>
      <c r="J3769" s="0" t="n">
        <v>7.59</v>
      </c>
      <c r="K3769" s="0" t="n">
        <v>159.54</v>
      </c>
    </row>
    <row r="3770" customFormat="false" ht="15" hidden="false" customHeight="false" outlineLevel="0" collapsed="false">
      <c r="I3770" s="0" t="n">
        <v>2030</v>
      </c>
      <c r="J3770" s="0" t="n">
        <v>16.12</v>
      </c>
      <c r="K3770" s="0" t="n">
        <v>342.16</v>
      </c>
    </row>
    <row r="3771" customFormat="false" ht="15" hidden="false" customHeight="false" outlineLevel="0" collapsed="false">
      <c r="I3771" s="0" t="n">
        <v>2030</v>
      </c>
      <c r="J3771" s="0" t="n">
        <v>2.48</v>
      </c>
      <c r="K3771" s="0" t="n">
        <v>52.64</v>
      </c>
    </row>
    <row r="3772" customFormat="false" ht="15" hidden="false" customHeight="false" outlineLevel="0" collapsed="false">
      <c r="I3772" s="0" t="n">
        <v>2030</v>
      </c>
      <c r="J3772" s="0" t="n">
        <v>1.86</v>
      </c>
      <c r="K3772" s="0" t="n">
        <v>39.48</v>
      </c>
    </row>
    <row r="3773" customFormat="false" ht="15" hidden="false" customHeight="false" outlineLevel="0" collapsed="false">
      <c r="I3773" s="0" t="n">
        <v>2030</v>
      </c>
      <c r="J3773" s="0" t="n">
        <v>3.1</v>
      </c>
      <c r="K3773" s="0" t="n">
        <v>65.8</v>
      </c>
    </row>
    <row r="3774" customFormat="false" ht="15" hidden="false" customHeight="false" outlineLevel="0" collapsed="false">
      <c r="I3774" s="0" t="n">
        <v>2030</v>
      </c>
      <c r="J3774" s="0" t="n">
        <v>0.62</v>
      </c>
      <c r="K3774" s="0" t="n">
        <v>13.16</v>
      </c>
    </row>
    <row r="3775" customFormat="false" ht="15" hidden="false" customHeight="false" outlineLevel="0" collapsed="false">
      <c r="I3775" s="0" t="n">
        <v>2030</v>
      </c>
      <c r="J3775" s="0" t="n">
        <v>0.62</v>
      </c>
      <c r="K3775" s="0" t="n">
        <v>13.16</v>
      </c>
    </row>
    <row r="3776" customFormat="false" ht="15" hidden="false" customHeight="false" outlineLevel="0" collapsed="false">
      <c r="I3776" s="0" t="n">
        <v>2030</v>
      </c>
      <c r="J3776" s="0" t="n">
        <v>0</v>
      </c>
      <c r="K3776" s="0" t="n">
        <v>0</v>
      </c>
    </row>
    <row r="3777" customFormat="false" ht="15" hidden="false" customHeight="false" outlineLevel="0" collapsed="false">
      <c r="I3777" s="0" t="n">
        <v>2030</v>
      </c>
      <c r="J3777" s="0" t="n">
        <v>1.24</v>
      </c>
      <c r="K3777" s="0" t="n">
        <v>26.32</v>
      </c>
    </row>
    <row r="3778" customFormat="false" ht="15" hidden="false" customHeight="false" outlineLevel="0" collapsed="false">
      <c r="I3778" s="0" t="n">
        <v>2030</v>
      </c>
      <c r="J3778" s="0" t="n">
        <v>2.17</v>
      </c>
      <c r="K3778" s="0" t="n">
        <v>46.06</v>
      </c>
    </row>
    <row r="3779" customFormat="false" ht="15" hidden="false" customHeight="false" outlineLevel="0" collapsed="false">
      <c r="I3779" s="0" t="n">
        <v>2030</v>
      </c>
      <c r="J3779" s="0" t="n">
        <v>0.62</v>
      </c>
      <c r="K3779" s="0" t="n">
        <v>13.16</v>
      </c>
    </row>
    <row r="3780" customFormat="false" ht="15" hidden="false" customHeight="false" outlineLevel="0" collapsed="false">
      <c r="I3780" s="0" t="n">
        <v>2030</v>
      </c>
      <c r="J3780" s="0" t="n">
        <v>2.17</v>
      </c>
      <c r="K3780" s="0" t="n">
        <v>46.06</v>
      </c>
    </row>
    <row r="3781" customFormat="false" ht="15" hidden="false" customHeight="false" outlineLevel="0" collapsed="false">
      <c r="I3781" s="0" t="n">
        <v>2030</v>
      </c>
      <c r="J3781" s="0" t="n">
        <v>104.64</v>
      </c>
      <c r="K3781" s="0" t="n">
        <v>2198.4</v>
      </c>
    </row>
    <row r="3782" customFormat="false" ht="15" hidden="false" customHeight="false" outlineLevel="0" collapsed="false">
      <c r="I3782" s="0" t="n">
        <v>2030</v>
      </c>
      <c r="J3782" s="0" t="n">
        <v>34.88</v>
      </c>
      <c r="K3782" s="0" t="n">
        <v>732.8</v>
      </c>
    </row>
    <row r="3783" customFormat="false" ht="15" hidden="false" customHeight="false" outlineLevel="0" collapsed="false">
      <c r="I3783" s="0" t="n">
        <v>2030</v>
      </c>
      <c r="J3783" s="0" t="n">
        <v>15.26</v>
      </c>
      <c r="K3783" s="0" t="n">
        <v>320.6</v>
      </c>
    </row>
    <row r="3784" customFormat="false" ht="15" hidden="false" customHeight="false" outlineLevel="0" collapsed="false">
      <c r="I3784" s="0" t="n">
        <v>2030</v>
      </c>
      <c r="J3784" s="0" t="n">
        <v>8.72</v>
      </c>
      <c r="K3784" s="0" t="n">
        <v>183.2</v>
      </c>
    </row>
    <row r="3785" customFormat="false" ht="15" hidden="false" customHeight="false" outlineLevel="0" collapsed="false">
      <c r="I3785" s="0" t="n">
        <v>2030</v>
      </c>
      <c r="J3785" s="0" t="n">
        <v>8.72</v>
      </c>
      <c r="K3785" s="0" t="n">
        <v>183.2</v>
      </c>
    </row>
    <row r="3786" customFormat="false" ht="15" hidden="false" customHeight="false" outlineLevel="0" collapsed="false">
      <c r="I3786" s="0" t="n">
        <v>2030</v>
      </c>
      <c r="J3786" s="0" t="n">
        <v>4.36</v>
      </c>
      <c r="K3786" s="0" t="n">
        <v>91.6</v>
      </c>
    </row>
    <row r="3787" customFormat="false" ht="15" hidden="false" customHeight="false" outlineLevel="0" collapsed="false">
      <c r="I3787" s="0" t="n">
        <v>2030</v>
      </c>
      <c r="J3787" s="0" t="n">
        <v>4.36</v>
      </c>
      <c r="K3787" s="0" t="n">
        <v>91.6</v>
      </c>
    </row>
    <row r="3788" customFormat="false" ht="15" hidden="false" customHeight="false" outlineLevel="0" collapsed="false">
      <c r="I3788" s="0" t="n">
        <v>2030</v>
      </c>
      <c r="J3788" s="0" t="n">
        <v>8.72</v>
      </c>
      <c r="K3788" s="0" t="n">
        <v>183.2</v>
      </c>
    </row>
    <row r="3789" customFormat="false" ht="15" hidden="false" customHeight="false" outlineLevel="0" collapsed="false">
      <c r="I3789" s="0" t="n">
        <v>2030</v>
      </c>
      <c r="J3789" s="0" t="n">
        <v>15.26</v>
      </c>
      <c r="K3789" s="0" t="n">
        <v>320.6</v>
      </c>
    </row>
    <row r="3790" customFormat="false" ht="15" hidden="false" customHeight="false" outlineLevel="0" collapsed="false">
      <c r="I3790" s="0" t="n">
        <v>2030</v>
      </c>
      <c r="J3790" s="0" t="n">
        <v>6.54</v>
      </c>
      <c r="K3790" s="0" t="n">
        <v>137.4</v>
      </c>
    </row>
    <row r="3791" customFormat="false" ht="15" hidden="false" customHeight="false" outlineLevel="0" collapsed="false">
      <c r="I3791" s="0" t="n">
        <v>2030</v>
      </c>
      <c r="J3791" s="0" t="n">
        <v>6.54</v>
      </c>
      <c r="K3791" s="0" t="n">
        <v>137.4</v>
      </c>
    </row>
    <row r="3792" customFormat="false" ht="15" hidden="false" customHeight="false" outlineLevel="0" collapsed="false">
      <c r="I3792" s="0" t="n">
        <v>2030</v>
      </c>
      <c r="J3792" s="0" t="n">
        <v>21.84</v>
      </c>
      <c r="K3792" s="0" t="n">
        <v>457.6</v>
      </c>
    </row>
    <row r="3793" customFormat="false" ht="15" hidden="false" customHeight="false" outlineLevel="0" collapsed="false">
      <c r="I3793" s="0" t="n">
        <v>2030</v>
      </c>
      <c r="J3793" s="0" t="n">
        <v>3.36</v>
      </c>
      <c r="K3793" s="0" t="n">
        <v>70.4</v>
      </c>
    </row>
    <row r="3794" customFormat="false" ht="15" hidden="false" customHeight="false" outlineLevel="0" collapsed="false">
      <c r="I3794" s="0" t="n">
        <v>2030</v>
      </c>
      <c r="J3794" s="0" t="n">
        <v>2.52</v>
      </c>
      <c r="K3794" s="0" t="n">
        <v>52.8</v>
      </c>
    </row>
    <row r="3795" customFormat="false" ht="15" hidden="false" customHeight="false" outlineLevel="0" collapsed="false">
      <c r="I3795" s="0" t="n">
        <v>2030</v>
      </c>
      <c r="J3795" s="0" t="n">
        <v>4.2</v>
      </c>
      <c r="K3795" s="0" t="n">
        <v>88</v>
      </c>
    </row>
    <row r="3796" customFormat="false" ht="15" hidden="false" customHeight="false" outlineLevel="0" collapsed="false">
      <c r="I3796" s="0" t="n">
        <v>2030</v>
      </c>
      <c r="J3796" s="0" t="n">
        <v>0.84</v>
      </c>
      <c r="K3796" s="0" t="n">
        <v>17.6</v>
      </c>
    </row>
    <row r="3797" customFormat="false" ht="15" hidden="false" customHeight="false" outlineLevel="0" collapsed="false">
      <c r="I3797" s="0" t="n">
        <v>2030</v>
      </c>
      <c r="J3797" s="0" t="n">
        <v>0.84</v>
      </c>
      <c r="K3797" s="0" t="n">
        <v>17.6</v>
      </c>
    </row>
    <row r="3798" customFormat="false" ht="15" hidden="false" customHeight="false" outlineLevel="0" collapsed="false">
      <c r="I3798" s="0" t="n">
        <v>2030</v>
      </c>
      <c r="J3798" s="0" t="n">
        <v>0</v>
      </c>
      <c r="K3798" s="0" t="n">
        <v>0</v>
      </c>
    </row>
    <row r="3799" customFormat="false" ht="15" hidden="false" customHeight="false" outlineLevel="0" collapsed="false">
      <c r="I3799" s="0" t="n">
        <v>2030</v>
      </c>
      <c r="J3799" s="0" t="n">
        <v>1.68</v>
      </c>
      <c r="K3799" s="0" t="n">
        <v>35.2</v>
      </c>
    </row>
    <row r="3800" customFormat="false" ht="15" hidden="false" customHeight="false" outlineLevel="0" collapsed="false">
      <c r="I3800" s="0" t="n">
        <v>2030</v>
      </c>
      <c r="J3800" s="0" t="n">
        <v>2.94</v>
      </c>
      <c r="K3800" s="0" t="n">
        <v>61.6</v>
      </c>
    </row>
    <row r="3801" customFormat="false" ht="15" hidden="false" customHeight="false" outlineLevel="0" collapsed="false">
      <c r="I3801" s="0" t="n">
        <v>2030</v>
      </c>
      <c r="J3801" s="0" t="n">
        <v>0.84</v>
      </c>
      <c r="K3801" s="0" t="n">
        <v>17.6</v>
      </c>
    </row>
    <row r="3802" customFormat="false" ht="15" hidden="false" customHeight="false" outlineLevel="0" collapsed="false">
      <c r="I3802" s="0" t="n">
        <v>2030</v>
      </c>
      <c r="J3802" s="0" t="n">
        <v>2.94</v>
      </c>
      <c r="K3802" s="0" t="n">
        <v>61.6</v>
      </c>
    </row>
    <row r="3803" customFormat="false" ht="15" hidden="false" customHeight="false" outlineLevel="0" collapsed="false">
      <c r="I3803" s="0" t="n">
        <v>2030</v>
      </c>
      <c r="J3803" s="0" t="n">
        <v>111.36</v>
      </c>
      <c r="K3803" s="0" t="n">
        <v>2338.56</v>
      </c>
    </row>
    <row r="3804" customFormat="false" ht="15" hidden="false" customHeight="false" outlineLevel="0" collapsed="false">
      <c r="I3804" s="0" t="n">
        <v>2030</v>
      </c>
      <c r="J3804" s="0" t="n">
        <v>37.12</v>
      </c>
      <c r="K3804" s="0" t="n">
        <v>779.52</v>
      </c>
    </row>
    <row r="3805" customFormat="false" ht="15" hidden="false" customHeight="false" outlineLevel="0" collapsed="false">
      <c r="I3805" s="0" t="n">
        <v>2030</v>
      </c>
      <c r="J3805" s="0" t="n">
        <v>16.24</v>
      </c>
      <c r="K3805" s="0" t="n">
        <v>341.04</v>
      </c>
    </row>
    <row r="3806" customFormat="false" ht="15" hidden="false" customHeight="false" outlineLevel="0" collapsed="false">
      <c r="I3806" s="0" t="n">
        <v>2030</v>
      </c>
      <c r="J3806" s="0" t="n">
        <v>9.28</v>
      </c>
      <c r="K3806" s="0" t="n">
        <v>194.88</v>
      </c>
    </row>
    <row r="3807" customFormat="false" ht="15" hidden="false" customHeight="false" outlineLevel="0" collapsed="false">
      <c r="I3807" s="0" t="n">
        <v>2030</v>
      </c>
      <c r="J3807" s="0" t="n">
        <v>9.28</v>
      </c>
      <c r="K3807" s="0" t="n">
        <v>194.88</v>
      </c>
    </row>
    <row r="3808" customFormat="false" ht="15" hidden="false" customHeight="false" outlineLevel="0" collapsed="false">
      <c r="I3808" s="0" t="n">
        <v>2030</v>
      </c>
      <c r="J3808" s="0" t="n">
        <v>4.64</v>
      </c>
      <c r="K3808" s="0" t="n">
        <v>97.44</v>
      </c>
    </row>
    <row r="3809" customFormat="false" ht="15" hidden="false" customHeight="false" outlineLevel="0" collapsed="false">
      <c r="I3809" s="0" t="n">
        <v>2030</v>
      </c>
      <c r="J3809" s="0" t="n">
        <v>4.64</v>
      </c>
      <c r="K3809" s="0" t="n">
        <v>97.44</v>
      </c>
    </row>
    <row r="3810" customFormat="false" ht="15" hidden="false" customHeight="false" outlineLevel="0" collapsed="false">
      <c r="I3810" s="0" t="n">
        <v>2030</v>
      </c>
      <c r="J3810" s="0" t="n">
        <v>9.28</v>
      </c>
      <c r="K3810" s="0" t="n">
        <v>194.88</v>
      </c>
    </row>
    <row r="3811" customFormat="false" ht="15" hidden="false" customHeight="false" outlineLevel="0" collapsed="false">
      <c r="I3811" s="0" t="n">
        <v>2030</v>
      </c>
      <c r="J3811" s="0" t="n">
        <v>16.24</v>
      </c>
      <c r="K3811" s="0" t="n">
        <v>341.04</v>
      </c>
    </row>
    <row r="3812" customFormat="false" ht="15" hidden="false" customHeight="false" outlineLevel="0" collapsed="false">
      <c r="I3812" s="0" t="n">
        <v>2030</v>
      </c>
      <c r="J3812" s="0" t="n">
        <v>6.96</v>
      </c>
      <c r="K3812" s="0" t="n">
        <v>146.16</v>
      </c>
    </row>
    <row r="3813" customFormat="false" ht="15" hidden="false" customHeight="false" outlineLevel="0" collapsed="false">
      <c r="I3813" s="0" t="n">
        <v>2030</v>
      </c>
      <c r="J3813" s="0" t="n">
        <v>6.96</v>
      </c>
      <c r="K3813" s="0" t="n">
        <v>146.16</v>
      </c>
    </row>
    <row r="3814" customFormat="false" ht="15" hidden="false" customHeight="false" outlineLevel="0" collapsed="false">
      <c r="I3814" s="0" t="n">
        <v>2030</v>
      </c>
      <c r="J3814" s="0" t="n">
        <v>29.12</v>
      </c>
      <c r="K3814" s="0" t="n">
        <v>615.16</v>
      </c>
    </row>
    <row r="3815" customFormat="false" ht="15" hidden="false" customHeight="false" outlineLevel="0" collapsed="false">
      <c r="I3815" s="0" t="n">
        <v>2030</v>
      </c>
      <c r="J3815" s="0" t="n">
        <v>4.48</v>
      </c>
      <c r="K3815" s="0" t="n">
        <v>94.64</v>
      </c>
    </row>
    <row r="3816" customFormat="false" ht="15" hidden="false" customHeight="false" outlineLevel="0" collapsed="false">
      <c r="I3816" s="0" t="n">
        <v>2030</v>
      </c>
      <c r="J3816" s="0" t="n">
        <v>3.36</v>
      </c>
      <c r="K3816" s="0" t="n">
        <v>70.98</v>
      </c>
    </row>
    <row r="3817" customFormat="false" ht="15" hidden="false" customHeight="false" outlineLevel="0" collapsed="false">
      <c r="I3817" s="0" t="n">
        <v>2030</v>
      </c>
      <c r="J3817" s="0" t="n">
        <v>5.6</v>
      </c>
      <c r="K3817" s="0" t="n">
        <v>118.3</v>
      </c>
    </row>
    <row r="3818" customFormat="false" ht="15" hidden="false" customHeight="false" outlineLevel="0" collapsed="false">
      <c r="I3818" s="0" t="n">
        <v>2030</v>
      </c>
      <c r="J3818" s="0" t="n">
        <v>1.12</v>
      </c>
      <c r="K3818" s="0" t="n">
        <v>23.66</v>
      </c>
    </row>
    <row r="3819" customFormat="false" ht="15" hidden="false" customHeight="false" outlineLevel="0" collapsed="false">
      <c r="I3819" s="0" t="n">
        <v>2030</v>
      </c>
      <c r="J3819" s="0" t="n">
        <v>1.12</v>
      </c>
      <c r="K3819" s="0" t="n">
        <v>23.66</v>
      </c>
    </row>
    <row r="3820" customFormat="false" ht="15" hidden="false" customHeight="false" outlineLevel="0" collapsed="false">
      <c r="I3820" s="0" t="n">
        <v>2030</v>
      </c>
      <c r="J3820" s="0" t="n">
        <v>0</v>
      </c>
      <c r="K3820" s="0" t="n">
        <v>0</v>
      </c>
    </row>
    <row r="3821" customFormat="false" ht="15" hidden="false" customHeight="false" outlineLevel="0" collapsed="false">
      <c r="I3821" s="0" t="n">
        <v>2030</v>
      </c>
      <c r="J3821" s="0" t="n">
        <v>2.24</v>
      </c>
      <c r="K3821" s="0" t="n">
        <v>47.32</v>
      </c>
    </row>
    <row r="3822" customFormat="false" ht="15" hidden="false" customHeight="false" outlineLevel="0" collapsed="false">
      <c r="I3822" s="0" t="n">
        <v>2030</v>
      </c>
      <c r="J3822" s="0" t="n">
        <v>3.92</v>
      </c>
      <c r="K3822" s="0" t="n">
        <v>82.81</v>
      </c>
    </row>
    <row r="3823" customFormat="false" ht="15" hidden="false" customHeight="false" outlineLevel="0" collapsed="false">
      <c r="I3823" s="0" t="n">
        <v>2030</v>
      </c>
      <c r="J3823" s="0" t="n">
        <v>1.12</v>
      </c>
      <c r="K3823" s="0" t="n">
        <v>23.66</v>
      </c>
    </row>
    <row r="3824" customFormat="false" ht="15" hidden="false" customHeight="false" outlineLevel="0" collapsed="false">
      <c r="I3824" s="0" t="n">
        <v>2030</v>
      </c>
      <c r="J3824" s="0" t="n">
        <v>3.92</v>
      </c>
      <c r="K3824" s="0" t="n">
        <v>82.81</v>
      </c>
    </row>
    <row r="3825" customFormat="false" ht="15" hidden="false" customHeight="false" outlineLevel="0" collapsed="false">
      <c r="I3825" s="0" t="n">
        <v>2030</v>
      </c>
      <c r="J3825" s="0" t="n">
        <v>112.32</v>
      </c>
      <c r="K3825" s="0" t="n">
        <v>2355.84</v>
      </c>
    </row>
    <row r="3826" customFormat="false" ht="15" hidden="false" customHeight="false" outlineLevel="0" collapsed="false">
      <c r="I3826" s="0" t="n">
        <v>2030</v>
      </c>
      <c r="J3826" s="0" t="n">
        <v>37.44</v>
      </c>
      <c r="K3826" s="0" t="n">
        <v>785.28</v>
      </c>
    </row>
    <row r="3827" customFormat="false" ht="15" hidden="false" customHeight="false" outlineLevel="0" collapsed="false">
      <c r="I3827" s="0" t="n">
        <v>2030</v>
      </c>
      <c r="J3827" s="0" t="n">
        <v>16.38</v>
      </c>
      <c r="K3827" s="0" t="n">
        <v>343.56</v>
      </c>
    </row>
    <row r="3828" customFormat="false" ht="15" hidden="false" customHeight="false" outlineLevel="0" collapsed="false">
      <c r="I3828" s="0" t="n">
        <v>2030</v>
      </c>
      <c r="J3828" s="0" t="n">
        <v>9.36</v>
      </c>
      <c r="K3828" s="0" t="n">
        <v>196.32</v>
      </c>
    </row>
    <row r="3829" customFormat="false" ht="15" hidden="false" customHeight="false" outlineLevel="0" collapsed="false">
      <c r="I3829" s="0" t="n">
        <v>2030</v>
      </c>
      <c r="J3829" s="0" t="n">
        <v>9.36</v>
      </c>
      <c r="K3829" s="0" t="n">
        <v>196.32</v>
      </c>
    </row>
    <row r="3830" customFormat="false" ht="15" hidden="false" customHeight="false" outlineLevel="0" collapsed="false">
      <c r="I3830" s="0" t="n">
        <v>2030</v>
      </c>
      <c r="J3830" s="0" t="n">
        <v>4.68</v>
      </c>
      <c r="K3830" s="0" t="n">
        <v>98.16</v>
      </c>
    </row>
    <row r="3831" customFormat="false" ht="15" hidden="false" customHeight="false" outlineLevel="0" collapsed="false">
      <c r="I3831" s="0" t="n">
        <v>2030</v>
      </c>
      <c r="J3831" s="0" t="n">
        <v>4.68</v>
      </c>
      <c r="K3831" s="0" t="n">
        <v>98.16</v>
      </c>
    </row>
    <row r="3832" customFormat="false" ht="15" hidden="false" customHeight="false" outlineLevel="0" collapsed="false">
      <c r="I3832" s="0" t="n">
        <v>2030</v>
      </c>
      <c r="J3832" s="0" t="n">
        <v>9.36</v>
      </c>
      <c r="K3832" s="0" t="n">
        <v>196.32</v>
      </c>
    </row>
    <row r="3833" customFormat="false" ht="15" hidden="false" customHeight="false" outlineLevel="0" collapsed="false">
      <c r="I3833" s="0" t="n">
        <v>2030</v>
      </c>
      <c r="J3833" s="0" t="n">
        <v>16.38</v>
      </c>
      <c r="K3833" s="0" t="n">
        <v>343.56</v>
      </c>
    </row>
    <row r="3834" customFormat="false" ht="15" hidden="false" customHeight="false" outlineLevel="0" collapsed="false">
      <c r="I3834" s="0" t="n">
        <v>2030</v>
      </c>
      <c r="J3834" s="0" t="n">
        <v>7.02</v>
      </c>
      <c r="K3834" s="0" t="n">
        <v>147.24</v>
      </c>
    </row>
    <row r="3835" customFormat="false" ht="15" hidden="false" customHeight="false" outlineLevel="0" collapsed="false">
      <c r="I3835" s="0" t="n">
        <v>2030</v>
      </c>
      <c r="J3835" s="0" t="n">
        <v>7.02</v>
      </c>
      <c r="K3835" s="0" t="n">
        <v>147.24</v>
      </c>
    </row>
    <row r="3836" customFormat="false" ht="15" hidden="false" customHeight="false" outlineLevel="0" collapsed="false">
      <c r="I3836" s="0" t="n">
        <v>2030</v>
      </c>
      <c r="J3836" s="0" t="n">
        <v>17.16</v>
      </c>
      <c r="K3836" s="0" t="n">
        <v>362.96</v>
      </c>
    </row>
    <row r="3837" customFormat="false" ht="15" hidden="false" customHeight="false" outlineLevel="0" collapsed="false">
      <c r="I3837" s="0" t="n">
        <v>2030</v>
      </c>
      <c r="J3837" s="0" t="n">
        <v>2.64</v>
      </c>
      <c r="K3837" s="0" t="n">
        <v>55.84</v>
      </c>
    </row>
    <row r="3838" customFormat="false" ht="15" hidden="false" customHeight="false" outlineLevel="0" collapsed="false">
      <c r="I3838" s="0" t="n">
        <v>2030</v>
      </c>
      <c r="J3838" s="0" t="n">
        <v>1.98</v>
      </c>
      <c r="K3838" s="0" t="n">
        <v>41.88</v>
      </c>
    </row>
    <row r="3839" customFormat="false" ht="15" hidden="false" customHeight="false" outlineLevel="0" collapsed="false">
      <c r="I3839" s="0" t="n">
        <v>2030</v>
      </c>
      <c r="J3839" s="0" t="n">
        <v>3.3</v>
      </c>
      <c r="K3839" s="0" t="n">
        <v>69.8</v>
      </c>
    </row>
    <row r="3840" customFormat="false" ht="15" hidden="false" customHeight="false" outlineLevel="0" collapsed="false">
      <c r="I3840" s="0" t="n">
        <v>2030</v>
      </c>
      <c r="J3840" s="0" t="n">
        <v>0.66</v>
      </c>
      <c r="K3840" s="0" t="n">
        <v>13.96</v>
      </c>
    </row>
    <row r="3841" customFormat="false" ht="15" hidden="false" customHeight="false" outlineLevel="0" collapsed="false">
      <c r="I3841" s="0" t="n">
        <v>2030</v>
      </c>
      <c r="J3841" s="0" t="n">
        <v>0.66</v>
      </c>
      <c r="K3841" s="0" t="n">
        <v>13.96</v>
      </c>
    </row>
    <row r="3842" customFormat="false" ht="15" hidden="false" customHeight="false" outlineLevel="0" collapsed="false">
      <c r="I3842" s="0" t="n">
        <v>2030</v>
      </c>
      <c r="J3842" s="0" t="n">
        <v>0</v>
      </c>
      <c r="K3842" s="0" t="n">
        <v>0</v>
      </c>
    </row>
    <row r="3843" customFormat="false" ht="15" hidden="false" customHeight="false" outlineLevel="0" collapsed="false">
      <c r="I3843" s="0" t="n">
        <v>2030</v>
      </c>
      <c r="J3843" s="0" t="n">
        <v>1.32</v>
      </c>
      <c r="K3843" s="0" t="n">
        <v>27.92</v>
      </c>
    </row>
    <row r="3844" customFormat="false" ht="15" hidden="false" customHeight="false" outlineLevel="0" collapsed="false">
      <c r="I3844" s="0" t="n">
        <v>2030</v>
      </c>
      <c r="J3844" s="0" t="n">
        <v>2.31</v>
      </c>
      <c r="K3844" s="0" t="n">
        <v>48.86</v>
      </c>
    </row>
    <row r="3845" customFormat="false" ht="15" hidden="false" customHeight="false" outlineLevel="0" collapsed="false">
      <c r="I3845" s="0" t="n">
        <v>2030</v>
      </c>
      <c r="J3845" s="0" t="n">
        <v>0.66</v>
      </c>
      <c r="K3845" s="0" t="n">
        <v>13.96</v>
      </c>
    </row>
    <row r="3846" customFormat="false" ht="15" hidden="false" customHeight="false" outlineLevel="0" collapsed="false">
      <c r="I3846" s="0" t="n">
        <v>2030</v>
      </c>
      <c r="J3846" s="0" t="n">
        <v>2.31</v>
      </c>
      <c r="K3846" s="0" t="n">
        <v>48.86</v>
      </c>
    </row>
    <row r="3847" customFormat="false" ht="15" hidden="false" customHeight="false" outlineLevel="0" collapsed="false">
      <c r="I3847" s="0" t="n">
        <v>2030</v>
      </c>
      <c r="J3847" s="0" t="n">
        <v>95.04</v>
      </c>
      <c r="K3847" s="0" t="n">
        <v>1992.96</v>
      </c>
    </row>
    <row r="3848" customFormat="false" ht="15" hidden="false" customHeight="false" outlineLevel="0" collapsed="false">
      <c r="I3848" s="0" t="n">
        <v>2030</v>
      </c>
      <c r="J3848" s="0" t="n">
        <v>31.68</v>
      </c>
      <c r="K3848" s="0" t="n">
        <v>664.32</v>
      </c>
    </row>
    <row r="3849" customFormat="false" ht="15" hidden="false" customHeight="false" outlineLevel="0" collapsed="false">
      <c r="I3849" s="0" t="n">
        <v>2030</v>
      </c>
      <c r="J3849" s="0" t="n">
        <v>13.86</v>
      </c>
      <c r="K3849" s="0" t="n">
        <v>290.64</v>
      </c>
    </row>
    <row r="3850" customFormat="false" ht="15" hidden="false" customHeight="false" outlineLevel="0" collapsed="false">
      <c r="I3850" s="0" t="n">
        <v>2030</v>
      </c>
      <c r="J3850" s="0" t="n">
        <v>7.92</v>
      </c>
      <c r="K3850" s="0" t="n">
        <v>166.08</v>
      </c>
    </row>
    <row r="3851" customFormat="false" ht="15" hidden="false" customHeight="false" outlineLevel="0" collapsed="false">
      <c r="I3851" s="0" t="n">
        <v>2030</v>
      </c>
      <c r="J3851" s="0" t="n">
        <v>7.92</v>
      </c>
      <c r="K3851" s="0" t="n">
        <v>166.08</v>
      </c>
    </row>
    <row r="3852" customFormat="false" ht="15" hidden="false" customHeight="false" outlineLevel="0" collapsed="false">
      <c r="I3852" s="0" t="n">
        <v>2030</v>
      </c>
      <c r="J3852" s="0" t="n">
        <v>3.96</v>
      </c>
      <c r="K3852" s="0" t="n">
        <v>83.04</v>
      </c>
    </row>
    <row r="3853" customFormat="false" ht="15" hidden="false" customHeight="false" outlineLevel="0" collapsed="false">
      <c r="I3853" s="0" t="n">
        <v>2030</v>
      </c>
      <c r="J3853" s="0" t="n">
        <v>3.96</v>
      </c>
      <c r="K3853" s="0" t="n">
        <v>83.04</v>
      </c>
    </row>
    <row r="3854" customFormat="false" ht="15" hidden="false" customHeight="false" outlineLevel="0" collapsed="false">
      <c r="I3854" s="0" t="n">
        <v>2030</v>
      </c>
      <c r="J3854" s="0" t="n">
        <v>7.92</v>
      </c>
      <c r="K3854" s="0" t="n">
        <v>166.08</v>
      </c>
    </row>
    <row r="3855" customFormat="false" ht="15" hidden="false" customHeight="false" outlineLevel="0" collapsed="false">
      <c r="I3855" s="0" t="n">
        <v>2030</v>
      </c>
      <c r="J3855" s="0" t="n">
        <v>13.86</v>
      </c>
      <c r="K3855" s="0" t="n">
        <v>290.64</v>
      </c>
    </row>
    <row r="3856" customFormat="false" ht="15" hidden="false" customHeight="false" outlineLevel="0" collapsed="false">
      <c r="I3856" s="0" t="n">
        <v>2030</v>
      </c>
      <c r="J3856" s="0" t="n">
        <v>5.94</v>
      </c>
      <c r="K3856" s="0" t="n">
        <v>124.56</v>
      </c>
    </row>
    <row r="3857" customFormat="false" ht="15" hidden="false" customHeight="false" outlineLevel="0" collapsed="false">
      <c r="I3857" s="0" t="n">
        <v>2030</v>
      </c>
      <c r="J3857" s="0" t="n">
        <v>5.94</v>
      </c>
      <c r="K3857" s="0" t="n">
        <v>124.56</v>
      </c>
    </row>
    <row r="3858" customFormat="false" ht="15" hidden="false" customHeight="false" outlineLevel="0" collapsed="false">
      <c r="I3858" s="0" t="n">
        <v>2030</v>
      </c>
      <c r="J3858" s="0" t="n">
        <v>11.44</v>
      </c>
      <c r="K3858" s="0" t="n">
        <v>237.12</v>
      </c>
    </row>
    <row r="3859" customFormat="false" ht="15" hidden="false" customHeight="false" outlineLevel="0" collapsed="false">
      <c r="I3859" s="0" t="n">
        <v>2030</v>
      </c>
      <c r="J3859" s="0" t="n">
        <v>1.76</v>
      </c>
      <c r="K3859" s="0" t="n">
        <v>36.48</v>
      </c>
    </row>
    <row r="3860" customFormat="false" ht="15" hidden="false" customHeight="false" outlineLevel="0" collapsed="false">
      <c r="I3860" s="0" t="n">
        <v>2030</v>
      </c>
      <c r="J3860" s="0" t="n">
        <v>1.32</v>
      </c>
      <c r="K3860" s="0" t="n">
        <v>27.36</v>
      </c>
    </row>
    <row r="3861" customFormat="false" ht="15" hidden="false" customHeight="false" outlineLevel="0" collapsed="false">
      <c r="I3861" s="0" t="n">
        <v>2030</v>
      </c>
      <c r="J3861" s="0" t="n">
        <v>2.2</v>
      </c>
      <c r="K3861" s="0" t="n">
        <v>45.6</v>
      </c>
    </row>
    <row r="3862" customFormat="false" ht="15" hidden="false" customHeight="false" outlineLevel="0" collapsed="false">
      <c r="I3862" s="0" t="n">
        <v>2030</v>
      </c>
      <c r="J3862" s="0" t="n">
        <v>0.44</v>
      </c>
      <c r="K3862" s="0" t="n">
        <v>9.12</v>
      </c>
    </row>
    <row r="3863" customFormat="false" ht="15" hidden="false" customHeight="false" outlineLevel="0" collapsed="false">
      <c r="I3863" s="0" t="n">
        <v>2030</v>
      </c>
      <c r="J3863" s="0" t="n">
        <v>0.44</v>
      </c>
      <c r="K3863" s="0" t="n">
        <v>9.12</v>
      </c>
    </row>
    <row r="3864" customFormat="false" ht="15" hidden="false" customHeight="false" outlineLevel="0" collapsed="false">
      <c r="I3864" s="0" t="n">
        <v>2030</v>
      </c>
      <c r="J3864" s="0" t="n">
        <v>0</v>
      </c>
      <c r="K3864" s="0" t="n">
        <v>0</v>
      </c>
    </row>
    <row r="3865" customFormat="false" ht="15" hidden="false" customHeight="false" outlineLevel="0" collapsed="false">
      <c r="I3865" s="0" t="n">
        <v>2030</v>
      </c>
      <c r="J3865" s="0" t="n">
        <v>0.88</v>
      </c>
      <c r="K3865" s="0" t="n">
        <v>18.24</v>
      </c>
    </row>
    <row r="3866" customFormat="false" ht="15" hidden="false" customHeight="false" outlineLevel="0" collapsed="false">
      <c r="I3866" s="0" t="n">
        <v>2030</v>
      </c>
      <c r="J3866" s="0" t="n">
        <v>1.54</v>
      </c>
      <c r="K3866" s="0" t="n">
        <v>31.92</v>
      </c>
    </row>
    <row r="3867" customFormat="false" ht="15" hidden="false" customHeight="false" outlineLevel="0" collapsed="false">
      <c r="I3867" s="0" t="n">
        <v>2030</v>
      </c>
      <c r="J3867" s="0" t="n">
        <v>0.44</v>
      </c>
      <c r="K3867" s="0" t="n">
        <v>9.12</v>
      </c>
    </row>
    <row r="3868" customFormat="false" ht="15" hidden="false" customHeight="false" outlineLevel="0" collapsed="false">
      <c r="I3868" s="0" t="n">
        <v>2030</v>
      </c>
      <c r="J3868" s="0" t="n">
        <v>1.54</v>
      </c>
      <c r="K3868" s="0" t="n">
        <v>31.92</v>
      </c>
    </row>
    <row r="3869" customFormat="false" ht="15" hidden="false" customHeight="false" outlineLevel="0" collapsed="false">
      <c r="I3869" s="0" t="n">
        <v>2030</v>
      </c>
      <c r="J3869" s="0" t="n">
        <v>36.48</v>
      </c>
      <c r="K3869" s="0" t="n">
        <v>762.24</v>
      </c>
    </row>
    <row r="3870" customFormat="false" ht="15" hidden="false" customHeight="false" outlineLevel="0" collapsed="false">
      <c r="I3870" s="0" t="n">
        <v>2030</v>
      </c>
      <c r="J3870" s="0" t="n">
        <v>12.16</v>
      </c>
      <c r="K3870" s="0" t="n">
        <v>254.08</v>
      </c>
    </row>
    <row r="3871" customFormat="false" ht="15" hidden="false" customHeight="false" outlineLevel="0" collapsed="false">
      <c r="I3871" s="0" t="n">
        <v>2030</v>
      </c>
      <c r="J3871" s="0" t="n">
        <v>5.32</v>
      </c>
      <c r="K3871" s="0" t="n">
        <v>111.16</v>
      </c>
    </row>
    <row r="3872" customFormat="false" ht="15" hidden="false" customHeight="false" outlineLevel="0" collapsed="false">
      <c r="I3872" s="0" t="n">
        <v>2030</v>
      </c>
      <c r="J3872" s="0" t="n">
        <v>3.04</v>
      </c>
      <c r="K3872" s="0" t="n">
        <v>63.52</v>
      </c>
    </row>
    <row r="3873" customFormat="false" ht="15" hidden="false" customHeight="false" outlineLevel="0" collapsed="false">
      <c r="I3873" s="0" t="n">
        <v>2030</v>
      </c>
      <c r="J3873" s="0" t="n">
        <v>3.04</v>
      </c>
      <c r="K3873" s="0" t="n">
        <v>63.52</v>
      </c>
    </row>
    <row r="3874" customFormat="false" ht="15" hidden="false" customHeight="false" outlineLevel="0" collapsed="false">
      <c r="I3874" s="0" t="n">
        <v>2030</v>
      </c>
      <c r="J3874" s="0" t="n">
        <v>1.52</v>
      </c>
      <c r="K3874" s="0" t="n">
        <v>31.76</v>
      </c>
    </row>
    <row r="3875" customFormat="false" ht="15" hidden="false" customHeight="false" outlineLevel="0" collapsed="false">
      <c r="I3875" s="0" t="n">
        <v>2030</v>
      </c>
      <c r="J3875" s="0" t="n">
        <v>1.52</v>
      </c>
      <c r="K3875" s="0" t="n">
        <v>31.76</v>
      </c>
    </row>
    <row r="3876" customFormat="false" ht="15" hidden="false" customHeight="false" outlineLevel="0" collapsed="false">
      <c r="I3876" s="0" t="n">
        <v>2030</v>
      </c>
      <c r="J3876" s="0" t="n">
        <v>3.04</v>
      </c>
      <c r="K3876" s="0" t="n">
        <v>63.52</v>
      </c>
    </row>
    <row r="3877" customFormat="false" ht="15" hidden="false" customHeight="false" outlineLevel="0" collapsed="false">
      <c r="I3877" s="0" t="n">
        <v>2030</v>
      </c>
      <c r="J3877" s="0" t="n">
        <v>5.32</v>
      </c>
      <c r="K3877" s="0" t="n">
        <v>111.16</v>
      </c>
    </row>
    <row r="3878" customFormat="false" ht="15" hidden="false" customHeight="false" outlineLevel="0" collapsed="false">
      <c r="I3878" s="0" t="n">
        <v>2030</v>
      </c>
      <c r="J3878" s="0" t="n">
        <v>2.28</v>
      </c>
      <c r="K3878" s="0" t="n">
        <v>47.64</v>
      </c>
    </row>
    <row r="3879" customFormat="false" ht="15" hidden="false" customHeight="false" outlineLevel="0" collapsed="false">
      <c r="I3879" s="0" t="n">
        <v>2030</v>
      </c>
      <c r="J3879" s="0" t="n">
        <v>2.28</v>
      </c>
      <c r="K3879" s="0" t="n">
        <v>47.64</v>
      </c>
    </row>
    <row r="3880" customFormat="false" ht="15" hidden="false" customHeight="false" outlineLevel="0" collapsed="false">
      <c r="I3880" s="0" t="n">
        <v>2030</v>
      </c>
      <c r="J3880" s="0" t="n">
        <v>18.2</v>
      </c>
      <c r="K3880" s="0" t="n">
        <v>379.08</v>
      </c>
    </row>
    <row r="3881" customFormat="false" ht="15" hidden="false" customHeight="false" outlineLevel="0" collapsed="false">
      <c r="I3881" s="0" t="n">
        <v>2030</v>
      </c>
      <c r="J3881" s="0" t="n">
        <v>2.8</v>
      </c>
      <c r="K3881" s="0" t="n">
        <v>58.32</v>
      </c>
    </row>
    <row r="3882" customFormat="false" ht="15" hidden="false" customHeight="false" outlineLevel="0" collapsed="false">
      <c r="I3882" s="0" t="n">
        <v>2030</v>
      </c>
      <c r="J3882" s="0" t="n">
        <v>2.1</v>
      </c>
      <c r="K3882" s="0" t="n">
        <v>43.74</v>
      </c>
    </row>
    <row r="3883" customFormat="false" ht="15" hidden="false" customHeight="false" outlineLevel="0" collapsed="false">
      <c r="I3883" s="0" t="n">
        <v>2030</v>
      </c>
      <c r="J3883" s="0" t="n">
        <v>3.5</v>
      </c>
      <c r="K3883" s="0" t="n">
        <v>72.9</v>
      </c>
    </row>
    <row r="3884" customFormat="false" ht="15" hidden="false" customHeight="false" outlineLevel="0" collapsed="false">
      <c r="I3884" s="0" t="n">
        <v>2030</v>
      </c>
      <c r="J3884" s="0" t="n">
        <v>0.7</v>
      </c>
      <c r="K3884" s="0" t="n">
        <v>14.58</v>
      </c>
    </row>
    <row r="3885" customFormat="false" ht="15" hidden="false" customHeight="false" outlineLevel="0" collapsed="false">
      <c r="I3885" s="0" t="n">
        <v>2030</v>
      </c>
      <c r="J3885" s="0" t="n">
        <v>0.7</v>
      </c>
      <c r="K3885" s="0" t="n">
        <v>14.58</v>
      </c>
    </row>
    <row r="3886" customFormat="false" ht="15" hidden="false" customHeight="false" outlineLevel="0" collapsed="false">
      <c r="I3886" s="0" t="n">
        <v>2030</v>
      </c>
      <c r="J3886" s="0" t="n">
        <v>0</v>
      </c>
      <c r="K3886" s="0" t="n">
        <v>0</v>
      </c>
    </row>
    <row r="3887" customFormat="false" ht="15" hidden="false" customHeight="false" outlineLevel="0" collapsed="false">
      <c r="I3887" s="0" t="n">
        <v>2030</v>
      </c>
      <c r="J3887" s="0" t="n">
        <v>1.4</v>
      </c>
      <c r="K3887" s="0" t="n">
        <v>29.16</v>
      </c>
    </row>
    <row r="3888" customFormat="false" ht="15" hidden="false" customHeight="false" outlineLevel="0" collapsed="false">
      <c r="I3888" s="0" t="n">
        <v>2030</v>
      </c>
      <c r="J3888" s="0" t="n">
        <v>2.45</v>
      </c>
      <c r="K3888" s="0" t="n">
        <v>51.03</v>
      </c>
    </row>
    <row r="3889" customFormat="false" ht="15" hidden="false" customHeight="false" outlineLevel="0" collapsed="false">
      <c r="I3889" s="0" t="n">
        <v>2030</v>
      </c>
      <c r="J3889" s="0" t="n">
        <v>0.7</v>
      </c>
      <c r="K3889" s="0" t="n">
        <v>14.58</v>
      </c>
    </row>
    <row r="3890" customFormat="false" ht="15" hidden="false" customHeight="false" outlineLevel="0" collapsed="false">
      <c r="I3890" s="0" t="n">
        <v>2030</v>
      </c>
      <c r="J3890" s="0" t="n">
        <v>2.45</v>
      </c>
      <c r="K3890" s="0" t="n">
        <v>51.03</v>
      </c>
    </row>
    <row r="3891" customFormat="false" ht="15" hidden="false" customHeight="false" outlineLevel="0" collapsed="false">
      <c r="I3891" s="0" t="n">
        <v>2030</v>
      </c>
      <c r="J3891" s="0" t="n">
        <v>1172.64</v>
      </c>
      <c r="K3891" s="0" t="n">
        <v>24622.56</v>
      </c>
    </row>
    <row r="3892" customFormat="false" ht="15" hidden="false" customHeight="false" outlineLevel="0" collapsed="false">
      <c r="I3892" s="0" t="n">
        <v>2030</v>
      </c>
      <c r="J3892" s="0" t="n">
        <v>390.88</v>
      </c>
      <c r="K3892" s="0" t="n">
        <v>8207.52</v>
      </c>
    </row>
    <row r="3893" customFormat="false" ht="15" hidden="false" customHeight="false" outlineLevel="0" collapsed="false">
      <c r="I3893" s="0" t="n">
        <v>2030</v>
      </c>
      <c r="J3893" s="0" t="n">
        <v>171.01</v>
      </c>
      <c r="K3893" s="0" t="n">
        <v>3590.79</v>
      </c>
    </row>
    <row r="3894" customFormat="false" ht="15" hidden="false" customHeight="false" outlineLevel="0" collapsed="false">
      <c r="I3894" s="0" t="n">
        <v>2030</v>
      </c>
      <c r="J3894" s="0" t="n">
        <v>97.72</v>
      </c>
      <c r="K3894" s="0" t="n">
        <v>2051.88</v>
      </c>
    </row>
    <row r="3895" customFormat="false" ht="15" hidden="false" customHeight="false" outlineLevel="0" collapsed="false">
      <c r="I3895" s="0" t="n">
        <v>2030</v>
      </c>
      <c r="J3895" s="0" t="n">
        <v>97.72</v>
      </c>
      <c r="K3895" s="0" t="n">
        <v>2051.88</v>
      </c>
    </row>
    <row r="3896" customFormat="false" ht="15" hidden="false" customHeight="false" outlineLevel="0" collapsed="false">
      <c r="I3896" s="0" t="n">
        <v>2030</v>
      </c>
      <c r="J3896" s="0" t="n">
        <v>48.86</v>
      </c>
      <c r="K3896" s="0" t="n">
        <v>1025.94</v>
      </c>
    </row>
    <row r="3897" customFormat="false" ht="15" hidden="false" customHeight="false" outlineLevel="0" collapsed="false">
      <c r="I3897" s="0" t="n">
        <v>2030</v>
      </c>
      <c r="J3897" s="0" t="n">
        <v>48.86</v>
      </c>
      <c r="K3897" s="0" t="n">
        <v>1025.94</v>
      </c>
    </row>
    <row r="3898" customFormat="false" ht="15" hidden="false" customHeight="false" outlineLevel="0" collapsed="false">
      <c r="I3898" s="0" t="n">
        <v>2030</v>
      </c>
      <c r="J3898" s="0" t="n">
        <v>97.72</v>
      </c>
      <c r="K3898" s="0" t="n">
        <v>2051.88</v>
      </c>
    </row>
    <row r="3899" customFormat="false" ht="15" hidden="false" customHeight="false" outlineLevel="0" collapsed="false">
      <c r="I3899" s="0" t="n">
        <v>2030</v>
      </c>
      <c r="J3899" s="0" t="n">
        <v>171.01</v>
      </c>
      <c r="K3899" s="0" t="n">
        <v>3590.79</v>
      </c>
    </row>
    <row r="3900" customFormat="false" ht="15" hidden="false" customHeight="false" outlineLevel="0" collapsed="false">
      <c r="I3900" s="0" t="n">
        <v>2030</v>
      </c>
      <c r="J3900" s="0" t="n">
        <v>73.29</v>
      </c>
      <c r="K3900" s="0" t="n">
        <v>1538.91</v>
      </c>
    </row>
    <row r="3901" customFormat="false" ht="15" hidden="false" customHeight="false" outlineLevel="0" collapsed="false">
      <c r="I3901" s="0" t="n">
        <v>2030</v>
      </c>
      <c r="J3901" s="0" t="n">
        <v>73.29</v>
      </c>
      <c r="K3901" s="0" t="n">
        <v>1538.91</v>
      </c>
    </row>
    <row r="3902" customFormat="false" ht="15" hidden="false" customHeight="false" outlineLevel="0" collapsed="false">
      <c r="I3902" s="0" t="n">
        <v>2030</v>
      </c>
      <c r="J3902" s="0" t="n">
        <v>190.84</v>
      </c>
      <c r="K3902" s="0" t="n">
        <v>4002.96</v>
      </c>
    </row>
    <row r="3903" customFormat="false" ht="15" hidden="false" customHeight="false" outlineLevel="0" collapsed="false">
      <c r="I3903" s="0" t="n">
        <v>2030</v>
      </c>
      <c r="J3903" s="0" t="n">
        <v>29.36</v>
      </c>
      <c r="K3903" s="0" t="n">
        <v>615.84</v>
      </c>
    </row>
    <row r="3904" customFormat="false" ht="15" hidden="false" customHeight="false" outlineLevel="0" collapsed="false">
      <c r="I3904" s="0" t="n">
        <v>2030</v>
      </c>
      <c r="J3904" s="0" t="n">
        <v>22.02</v>
      </c>
      <c r="K3904" s="0" t="n">
        <v>461.88</v>
      </c>
    </row>
    <row r="3905" customFormat="false" ht="15" hidden="false" customHeight="false" outlineLevel="0" collapsed="false">
      <c r="I3905" s="0" t="n">
        <v>2030</v>
      </c>
      <c r="J3905" s="0" t="n">
        <v>36.7</v>
      </c>
      <c r="K3905" s="0" t="n">
        <v>769.8</v>
      </c>
    </row>
    <row r="3906" customFormat="false" ht="15" hidden="false" customHeight="false" outlineLevel="0" collapsed="false">
      <c r="I3906" s="0" t="n">
        <v>2030</v>
      </c>
      <c r="J3906" s="0" t="n">
        <v>7.34</v>
      </c>
      <c r="K3906" s="0" t="n">
        <v>153.96</v>
      </c>
    </row>
    <row r="3907" customFormat="false" ht="15" hidden="false" customHeight="false" outlineLevel="0" collapsed="false">
      <c r="I3907" s="0" t="n">
        <v>2030</v>
      </c>
      <c r="J3907" s="0" t="n">
        <v>7.34</v>
      </c>
      <c r="K3907" s="0" t="n">
        <v>153.96</v>
      </c>
    </row>
    <row r="3908" customFormat="false" ht="15" hidden="false" customHeight="false" outlineLevel="0" collapsed="false">
      <c r="I3908" s="0" t="n">
        <v>2030</v>
      </c>
      <c r="J3908" s="0" t="n">
        <v>0</v>
      </c>
      <c r="K3908" s="0" t="n">
        <v>0</v>
      </c>
    </row>
    <row r="3909" customFormat="false" ht="15" hidden="false" customHeight="false" outlineLevel="0" collapsed="false">
      <c r="I3909" s="0" t="n">
        <v>2030</v>
      </c>
      <c r="J3909" s="0" t="n">
        <v>14.68</v>
      </c>
      <c r="K3909" s="0" t="n">
        <v>307.92</v>
      </c>
    </row>
    <row r="3910" customFormat="false" ht="15" hidden="false" customHeight="false" outlineLevel="0" collapsed="false">
      <c r="I3910" s="0" t="n">
        <v>2030</v>
      </c>
      <c r="J3910" s="0" t="n">
        <v>25.69</v>
      </c>
      <c r="K3910" s="0" t="n">
        <v>538.86</v>
      </c>
    </row>
    <row r="3911" customFormat="false" ht="15" hidden="false" customHeight="false" outlineLevel="0" collapsed="false">
      <c r="I3911" s="0" t="n">
        <v>2030</v>
      </c>
      <c r="J3911" s="0" t="n">
        <v>7.34</v>
      </c>
      <c r="K3911" s="0" t="n">
        <v>153.96</v>
      </c>
    </row>
    <row r="3912" customFormat="false" ht="15" hidden="false" customHeight="false" outlineLevel="0" collapsed="false">
      <c r="I3912" s="0" t="n">
        <v>2030</v>
      </c>
      <c r="J3912" s="0" t="n">
        <v>25.69</v>
      </c>
      <c r="K3912" s="0" t="n">
        <v>538.86</v>
      </c>
    </row>
    <row r="3913" customFormat="false" ht="15" hidden="false" customHeight="false" outlineLevel="0" collapsed="false">
      <c r="I3913" s="0" t="n">
        <v>2030</v>
      </c>
      <c r="J3913" s="0" t="n">
        <v>47.04</v>
      </c>
      <c r="K3913" s="0" t="n">
        <v>985.44</v>
      </c>
    </row>
    <row r="3914" customFormat="false" ht="15" hidden="false" customHeight="false" outlineLevel="0" collapsed="false">
      <c r="I3914" s="0" t="n">
        <v>2030</v>
      </c>
      <c r="J3914" s="0" t="n">
        <v>15.68</v>
      </c>
      <c r="K3914" s="0" t="n">
        <v>328.48</v>
      </c>
    </row>
    <row r="3915" customFormat="false" ht="15" hidden="false" customHeight="false" outlineLevel="0" collapsed="false">
      <c r="I3915" s="0" t="n">
        <v>2030</v>
      </c>
      <c r="J3915" s="0" t="n">
        <v>6.86</v>
      </c>
      <c r="K3915" s="0" t="n">
        <v>143.71</v>
      </c>
    </row>
    <row r="3916" customFormat="false" ht="15" hidden="false" customHeight="false" outlineLevel="0" collapsed="false">
      <c r="I3916" s="0" t="n">
        <v>2030</v>
      </c>
      <c r="J3916" s="0" t="n">
        <v>3.92</v>
      </c>
      <c r="K3916" s="0" t="n">
        <v>82.12</v>
      </c>
    </row>
    <row r="3917" customFormat="false" ht="15" hidden="false" customHeight="false" outlineLevel="0" collapsed="false">
      <c r="I3917" s="0" t="n">
        <v>2030</v>
      </c>
      <c r="J3917" s="0" t="n">
        <v>3.92</v>
      </c>
      <c r="K3917" s="0" t="n">
        <v>82.12</v>
      </c>
    </row>
    <row r="3918" customFormat="false" ht="15" hidden="false" customHeight="false" outlineLevel="0" collapsed="false">
      <c r="I3918" s="0" t="n">
        <v>2030</v>
      </c>
      <c r="J3918" s="0" t="n">
        <v>1.96</v>
      </c>
      <c r="K3918" s="0" t="n">
        <v>41.06</v>
      </c>
    </row>
    <row r="3919" customFormat="false" ht="15" hidden="false" customHeight="false" outlineLevel="0" collapsed="false">
      <c r="I3919" s="0" t="n">
        <v>2030</v>
      </c>
      <c r="J3919" s="0" t="n">
        <v>1.96</v>
      </c>
      <c r="K3919" s="0" t="n">
        <v>41.06</v>
      </c>
    </row>
    <row r="3920" customFormat="false" ht="15" hidden="false" customHeight="false" outlineLevel="0" collapsed="false">
      <c r="I3920" s="0" t="n">
        <v>2030</v>
      </c>
      <c r="J3920" s="0" t="n">
        <v>3.92</v>
      </c>
      <c r="K3920" s="0" t="n">
        <v>82.12</v>
      </c>
    </row>
    <row r="3921" customFormat="false" ht="15" hidden="false" customHeight="false" outlineLevel="0" collapsed="false">
      <c r="I3921" s="0" t="n">
        <v>2030</v>
      </c>
      <c r="J3921" s="0" t="n">
        <v>6.86</v>
      </c>
      <c r="K3921" s="0" t="n">
        <v>143.71</v>
      </c>
    </row>
    <row r="3922" customFormat="false" ht="15" hidden="false" customHeight="false" outlineLevel="0" collapsed="false">
      <c r="I3922" s="0" t="n">
        <v>2030</v>
      </c>
      <c r="J3922" s="0" t="n">
        <v>2.94</v>
      </c>
      <c r="K3922" s="0" t="n">
        <v>61.59</v>
      </c>
    </row>
    <row r="3923" customFormat="false" ht="15" hidden="false" customHeight="false" outlineLevel="0" collapsed="false">
      <c r="I3923" s="0" t="n">
        <v>2030</v>
      </c>
      <c r="J3923" s="0" t="n">
        <v>2.94</v>
      </c>
      <c r="K3923" s="0" t="n">
        <v>61.59</v>
      </c>
    </row>
    <row r="3924" customFormat="false" ht="15" hidden="false" customHeight="false" outlineLevel="0" collapsed="false">
      <c r="I3924" s="0" t="n">
        <v>2030</v>
      </c>
      <c r="J3924" s="0" t="n">
        <v>9.36</v>
      </c>
      <c r="K3924" s="0" t="n">
        <v>195</v>
      </c>
    </row>
    <row r="3925" customFormat="false" ht="15" hidden="false" customHeight="false" outlineLevel="0" collapsed="false">
      <c r="I3925" s="0" t="n">
        <v>2030</v>
      </c>
      <c r="J3925" s="0" t="n">
        <v>1.44</v>
      </c>
      <c r="K3925" s="0" t="n">
        <v>30</v>
      </c>
    </row>
    <row r="3926" customFormat="false" ht="15" hidden="false" customHeight="false" outlineLevel="0" collapsed="false">
      <c r="I3926" s="0" t="n">
        <v>2030</v>
      </c>
      <c r="J3926" s="0" t="n">
        <v>1.08</v>
      </c>
      <c r="K3926" s="0" t="n">
        <v>22.5</v>
      </c>
    </row>
    <row r="3927" customFormat="false" ht="15" hidden="false" customHeight="false" outlineLevel="0" collapsed="false">
      <c r="I3927" s="0" t="n">
        <v>2030</v>
      </c>
      <c r="J3927" s="0" t="n">
        <v>1.8</v>
      </c>
      <c r="K3927" s="0" t="n">
        <v>37.5</v>
      </c>
    </row>
    <row r="3928" customFormat="false" ht="15" hidden="false" customHeight="false" outlineLevel="0" collapsed="false">
      <c r="I3928" s="0" t="n">
        <v>2030</v>
      </c>
      <c r="J3928" s="0" t="n">
        <v>0.36</v>
      </c>
      <c r="K3928" s="0" t="n">
        <v>7.5</v>
      </c>
    </row>
    <row r="3929" customFormat="false" ht="15" hidden="false" customHeight="false" outlineLevel="0" collapsed="false">
      <c r="I3929" s="0" t="n">
        <v>2030</v>
      </c>
      <c r="J3929" s="0" t="n">
        <v>0.36</v>
      </c>
      <c r="K3929" s="0" t="n">
        <v>7.5</v>
      </c>
    </row>
    <row r="3930" customFormat="false" ht="15" hidden="false" customHeight="false" outlineLevel="0" collapsed="false">
      <c r="I3930" s="0" t="n">
        <v>2030</v>
      </c>
      <c r="J3930" s="0" t="n">
        <v>0</v>
      </c>
      <c r="K3930" s="0" t="n">
        <v>0</v>
      </c>
    </row>
    <row r="3931" customFormat="false" ht="15" hidden="false" customHeight="false" outlineLevel="0" collapsed="false">
      <c r="I3931" s="0" t="n">
        <v>2030</v>
      </c>
      <c r="J3931" s="0" t="n">
        <v>0.72</v>
      </c>
      <c r="K3931" s="0" t="n">
        <v>15</v>
      </c>
    </row>
    <row r="3932" customFormat="false" ht="15" hidden="false" customHeight="false" outlineLevel="0" collapsed="false">
      <c r="I3932" s="0" t="n">
        <v>2030</v>
      </c>
      <c r="J3932" s="0" t="n">
        <v>1.26</v>
      </c>
      <c r="K3932" s="0" t="n">
        <v>26.25</v>
      </c>
    </row>
    <row r="3933" customFormat="false" ht="15" hidden="false" customHeight="false" outlineLevel="0" collapsed="false">
      <c r="I3933" s="0" t="n">
        <v>2030</v>
      </c>
      <c r="J3933" s="0" t="n">
        <v>0.36</v>
      </c>
      <c r="K3933" s="0" t="n">
        <v>7.5</v>
      </c>
    </row>
    <row r="3934" customFormat="false" ht="15" hidden="false" customHeight="false" outlineLevel="0" collapsed="false">
      <c r="I3934" s="0" t="n">
        <v>2030</v>
      </c>
      <c r="J3934" s="0" t="n">
        <v>1.26</v>
      </c>
      <c r="K3934" s="0" t="n">
        <v>26.25</v>
      </c>
    </row>
    <row r="3935" customFormat="false" ht="15" hidden="false" customHeight="false" outlineLevel="0" collapsed="false">
      <c r="I3935" s="0" t="n">
        <v>2030</v>
      </c>
      <c r="J3935" s="0" t="n">
        <v>30.24</v>
      </c>
      <c r="K3935" s="0" t="n">
        <v>635.52</v>
      </c>
    </row>
    <row r="3936" customFormat="false" ht="15" hidden="false" customHeight="false" outlineLevel="0" collapsed="false">
      <c r="I3936" s="0" t="n">
        <v>2030</v>
      </c>
      <c r="J3936" s="0" t="n">
        <v>10.08</v>
      </c>
      <c r="K3936" s="0" t="n">
        <v>211.84</v>
      </c>
    </row>
    <row r="3937" customFormat="false" ht="15" hidden="false" customHeight="false" outlineLevel="0" collapsed="false">
      <c r="I3937" s="0" t="n">
        <v>2030</v>
      </c>
      <c r="J3937" s="0" t="n">
        <v>4.41</v>
      </c>
      <c r="K3937" s="0" t="n">
        <v>92.68</v>
      </c>
    </row>
    <row r="3938" customFormat="false" ht="15" hidden="false" customHeight="false" outlineLevel="0" collapsed="false">
      <c r="I3938" s="0" t="n">
        <v>2030</v>
      </c>
      <c r="J3938" s="0" t="n">
        <v>2.52</v>
      </c>
      <c r="K3938" s="0" t="n">
        <v>52.96</v>
      </c>
    </row>
    <row r="3939" customFormat="false" ht="15" hidden="false" customHeight="false" outlineLevel="0" collapsed="false">
      <c r="I3939" s="0" t="n">
        <v>2030</v>
      </c>
      <c r="J3939" s="0" t="n">
        <v>2.52</v>
      </c>
      <c r="K3939" s="0" t="n">
        <v>52.96</v>
      </c>
    </row>
    <row r="3940" customFormat="false" ht="15" hidden="false" customHeight="false" outlineLevel="0" collapsed="false">
      <c r="I3940" s="0" t="n">
        <v>2030</v>
      </c>
      <c r="J3940" s="0" t="n">
        <v>1.26</v>
      </c>
      <c r="K3940" s="0" t="n">
        <v>26.48</v>
      </c>
    </row>
    <row r="3941" customFormat="false" ht="15" hidden="false" customHeight="false" outlineLevel="0" collapsed="false">
      <c r="I3941" s="0" t="n">
        <v>2030</v>
      </c>
      <c r="J3941" s="0" t="n">
        <v>1.26</v>
      </c>
      <c r="K3941" s="0" t="n">
        <v>26.48</v>
      </c>
    </row>
    <row r="3942" customFormat="false" ht="15" hidden="false" customHeight="false" outlineLevel="0" collapsed="false">
      <c r="I3942" s="0" t="n">
        <v>2030</v>
      </c>
      <c r="J3942" s="0" t="n">
        <v>2.52</v>
      </c>
      <c r="K3942" s="0" t="n">
        <v>52.96</v>
      </c>
    </row>
    <row r="3943" customFormat="false" ht="15" hidden="false" customHeight="false" outlineLevel="0" collapsed="false">
      <c r="I3943" s="0" t="n">
        <v>2030</v>
      </c>
      <c r="J3943" s="0" t="n">
        <v>4.41</v>
      </c>
      <c r="K3943" s="0" t="n">
        <v>92.68</v>
      </c>
    </row>
    <row r="3944" customFormat="false" ht="15" hidden="false" customHeight="false" outlineLevel="0" collapsed="false">
      <c r="I3944" s="0" t="n">
        <v>2030</v>
      </c>
      <c r="J3944" s="0" t="n">
        <v>1.89</v>
      </c>
      <c r="K3944" s="0" t="n">
        <v>39.72</v>
      </c>
    </row>
    <row r="3945" customFormat="false" ht="15" hidden="false" customHeight="false" outlineLevel="0" collapsed="false">
      <c r="I3945" s="0" t="n">
        <v>2030</v>
      </c>
      <c r="J3945" s="0" t="n">
        <v>1.89</v>
      </c>
      <c r="K3945" s="0" t="n">
        <v>39.72</v>
      </c>
    </row>
    <row r="3946" customFormat="false" ht="15" hidden="false" customHeight="false" outlineLevel="0" collapsed="false">
      <c r="I3946" s="0" t="n">
        <v>2030</v>
      </c>
      <c r="J3946" s="0" t="n">
        <v>23.92</v>
      </c>
      <c r="K3946" s="0" t="n">
        <v>499.72</v>
      </c>
    </row>
    <row r="3947" customFormat="false" ht="15" hidden="false" customHeight="false" outlineLevel="0" collapsed="false">
      <c r="I3947" s="0" t="n">
        <v>2030</v>
      </c>
      <c r="J3947" s="0" t="n">
        <v>3.68</v>
      </c>
      <c r="K3947" s="0" t="n">
        <v>76.88</v>
      </c>
    </row>
    <row r="3948" customFormat="false" ht="15" hidden="false" customHeight="false" outlineLevel="0" collapsed="false">
      <c r="I3948" s="0" t="n">
        <v>2030</v>
      </c>
      <c r="J3948" s="0" t="n">
        <v>2.76</v>
      </c>
      <c r="K3948" s="0" t="n">
        <v>57.66</v>
      </c>
    </row>
    <row r="3949" customFormat="false" ht="15" hidden="false" customHeight="false" outlineLevel="0" collapsed="false">
      <c r="I3949" s="0" t="n">
        <v>2030</v>
      </c>
      <c r="J3949" s="0" t="n">
        <v>4.6</v>
      </c>
      <c r="K3949" s="0" t="n">
        <v>96.1</v>
      </c>
    </row>
    <row r="3950" customFormat="false" ht="15" hidden="false" customHeight="false" outlineLevel="0" collapsed="false">
      <c r="I3950" s="0" t="n">
        <v>2030</v>
      </c>
      <c r="J3950" s="0" t="n">
        <v>0.92</v>
      </c>
      <c r="K3950" s="0" t="n">
        <v>19.22</v>
      </c>
    </row>
    <row r="3951" customFormat="false" ht="15" hidden="false" customHeight="false" outlineLevel="0" collapsed="false">
      <c r="I3951" s="0" t="n">
        <v>2030</v>
      </c>
      <c r="J3951" s="0" t="n">
        <v>0.92</v>
      </c>
      <c r="K3951" s="0" t="n">
        <v>19.22</v>
      </c>
    </row>
    <row r="3952" customFormat="false" ht="15" hidden="false" customHeight="false" outlineLevel="0" collapsed="false">
      <c r="I3952" s="0" t="n">
        <v>2030</v>
      </c>
      <c r="J3952" s="0" t="n">
        <v>0</v>
      </c>
      <c r="K3952" s="0" t="n">
        <v>0</v>
      </c>
    </row>
    <row r="3953" customFormat="false" ht="15" hidden="false" customHeight="false" outlineLevel="0" collapsed="false">
      <c r="I3953" s="0" t="n">
        <v>2030</v>
      </c>
      <c r="J3953" s="0" t="n">
        <v>1.84</v>
      </c>
      <c r="K3953" s="0" t="n">
        <v>38.44</v>
      </c>
    </row>
    <row r="3954" customFormat="false" ht="15" hidden="false" customHeight="false" outlineLevel="0" collapsed="false">
      <c r="I3954" s="0" t="n">
        <v>2030</v>
      </c>
      <c r="J3954" s="0" t="n">
        <v>3.22</v>
      </c>
      <c r="K3954" s="0" t="n">
        <v>67.27</v>
      </c>
    </row>
    <row r="3955" customFormat="false" ht="15" hidden="false" customHeight="false" outlineLevel="0" collapsed="false">
      <c r="I3955" s="0" t="n">
        <v>2030</v>
      </c>
      <c r="J3955" s="0" t="n">
        <v>0.92</v>
      </c>
      <c r="K3955" s="0" t="n">
        <v>19.22</v>
      </c>
    </row>
    <row r="3956" customFormat="false" ht="15" hidden="false" customHeight="false" outlineLevel="0" collapsed="false">
      <c r="I3956" s="0" t="n">
        <v>2030</v>
      </c>
      <c r="J3956" s="0" t="n">
        <v>3.22</v>
      </c>
      <c r="K3956" s="0" t="n">
        <v>67.27</v>
      </c>
    </row>
    <row r="3957" customFormat="false" ht="15" hidden="false" customHeight="false" outlineLevel="0" collapsed="false">
      <c r="I3957" s="0" t="n">
        <v>2030</v>
      </c>
      <c r="J3957" s="0" t="n">
        <v>132.96</v>
      </c>
      <c r="K3957" s="0" t="n">
        <v>2789.76</v>
      </c>
    </row>
    <row r="3958" customFormat="false" ht="15" hidden="false" customHeight="false" outlineLevel="0" collapsed="false">
      <c r="I3958" s="0" t="n">
        <v>2030</v>
      </c>
      <c r="J3958" s="0" t="n">
        <v>44.32</v>
      </c>
      <c r="K3958" s="0" t="n">
        <v>929.92</v>
      </c>
    </row>
    <row r="3959" customFormat="false" ht="15" hidden="false" customHeight="false" outlineLevel="0" collapsed="false">
      <c r="I3959" s="0" t="n">
        <v>2030</v>
      </c>
      <c r="J3959" s="0" t="n">
        <v>19.39</v>
      </c>
      <c r="K3959" s="0" t="n">
        <v>406.84</v>
      </c>
    </row>
    <row r="3960" customFormat="false" ht="15" hidden="false" customHeight="false" outlineLevel="0" collapsed="false">
      <c r="I3960" s="0" t="n">
        <v>2030</v>
      </c>
      <c r="J3960" s="0" t="n">
        <v>11.08</v>
      </c>
      <c r="K3960" s="0" t="n">
        <v>232.48</v>
      </c>
    </row>
    <row r="3961" customFormat="false" ht="15" hidden="false" customHeight="false" outlineLevel="0" collapsed="false">
      <c r="I3961" s="0" t="n">
        <v>2030</v>
      </c>
      <c r="J3961" s="0" t="n">
        <v>11.08</v>
      </c>
      <c r="K3961" s="0" t="n">
        <v>232.48</v>
      </c>
    </row>
    <row r="3962" customFormat="false" ht="15" hidden="false" customHeight="false" outlineLevel="0" collapsed="false">
      <c r="I3962" s="0" t="n">
        <v>2030</v>
      </c>
      <c r="J3962" s="0" t="n">
        <v>5.54</v>
      </c>
      <c r="K3962" s="0" t="n">
        <v>116.24</v>
      </c>
    </row>
    <row r="3963" customFormat="false" ht="15" hidden="false" customHeight="false" outlineLevel="0" collapsed="false">
      <c r="I3963" s="0" t="n">
        <v>2030</v>
      </c>
      <c r="J3963" s="0" t="n">
        <v>5.54</v>
      </c>
      <c r="K3963" s="0" t="n">
        <v>116.24</v>
      </c>
    </row>
    <row r="3964" customFormat="false" ht="15" hidden="false" customHeight="false" outlineLevel="0" collapsed="false">
      <c r="I3964" s="0" t="n">
        <v>2030</v>
      </c>
      <c r="J3964" s="0" t="n">
        <v>11.08</v>
      </c>
      <c r="K3964" s="0" t="n">
        <v>232.48</v>
      </c>
    </row>
    <row r="3965" customFormat="false" ht="15" hidden="false" customHeight="false" outlineLevel="0" collapsed="false">
      <c r="I3965" s="0" t="n">
        <v>2030</v>
      </c>
      <c r="J3965" s="0" t="n">
        <v>19.39</v>
      </c>
      <c r="K3965" s="0" t="n">
        <v>406.84</v>
      </c>
    </row>
    <row r="3966" customFormat="false" ht="15" hidden="false" customHeight="false" outlineLevel="0" collapsed="false">
      <c r="I3966" s="0" t="n">
        <v>2030</v>
      </c>
      <c r="J3966" s="0" t="n">
        <v>8.31</v>
      </c>
      <c r="K3966" s="0" t="n">
        <v>174.36</v>
      </c>
    </row>
    <row r="3967" customFormat="false" ht="15" hidden="false" customHeight="false" outlineLevel="0" collapsed="false">
      <c r="I3967" s="0" t="n">
        <v>2030</v>
      </c>
      <c r="J3967" s="0" t="n">
        <v>8.31</v>
      </c>
      <c r="K3967" s="0" t="n">
        <v>174.36</v>
      </c>
    </row>
    <row r="3968" customFormat="false" ht="15" hidden="false" customHeight="false" outlineLevel="0" collapsed="false">
      <c r="I3968" s="0" t="n">
        <v>2030</v>
      </c>
      <c r="J3968" s="0" t="n">
        <v>49.92</v>
      </c>
      <c r="K3968" s="0" t="n">
        <v>1051.96</v>
      </c>
    </row>
    <row r="3969" customFormat="false" ht="15" hidden="false" customHeight="false" outlineLevel="0" collapsed="false">
      <c r="I3969" s="0" t="n">
        <v>2030</v>
      </c>
      <c r="J3969" s="0" t="n">
        <v>7.68</v>
      </c>
      <c r="K3969" s="0" t="n">
        <v>161.84</v>
      </c>
    </row>
    <row r="3970" customFormat="false" ht="15" hidden="false" customHeight="false" outlineLevel="0" collapsed="false">
      <c r="I3970" s="0" t="n">
        <v>2030</v>
      </c>
      <c r="J3970" s="0" t="n">
        <v>5.76</v>
      </c>
      <c r="K3970" s="0" t="n">
        <v>121.38</v>
      </c>
    </row>
    <row r="3971" customFormat="false" ht="15" hidden="false" customHeight="false" outlineLevel="0" collapsed="false">
      <c r="I3971" s="0" t="n">
        <v>2030</v>
      </c>
      <c r="J3971" s="0" t="n">
        <v>9.6</v>
      </c>
      <c r="K3971" s="0" t="n">
        <v>202.3</v>
      </c>
    </row>
    <row r="3972" customFormat="false" ht="15" hidden="false" customHeight="false" outlineLevel="0" collapsed="false">
      <c r="I3972" s="0" t="n">
        <v>2030</v>
      </c>
      <c r="J3972" s="0" t="n">
        <v>1.92</v>
      </c>
      <c r="K3972" s="0" t="n">
        <v>40.46</v>
      </c>
    </row>
    <row r="3973" customFormat="false" ht="15" hidden="false" customHeight="false" outlineLevel="0" collapsed="false">
      <c r="I3973" s="0" t="n">
        <v>2030</v>
      </c>
      <c r="J3973" s="0" t="n">
        <v>1.92</v>
      </c>
      <c r="K3973" s="0" t="n">
        <v>40.46</v>
      </c>
    </row>
    <row r="3974" customFormat="false" ht="15" hidden="false" customHeight="false" outlineLevel="0" collapsed="false">
      <c r="I3974" s="0" t="n">
        <v>2030</v>
      </c>
      <c r="J3974" s="0" t="n">
        <v>0</v>
      </c>
      <c r="K3974" s="0" t="n">
        <v>0</v>
      </c>
    </row>
    <row r="3975" customFormat="false" ht="15" hidden="false" customHeight="false" outlineLevel="0" collapsed="false">
      <c r="I3975" s="0" t="n">
        <v>2030</v>
      </c>
      <c r="J3975" s="0" t="n">
        <v>3.84</v>
      </c>
      <c r="K3975" s="0" t="n">
        <v>80.92</v>
      </c>
    </row>
    <row r="3976" customFormat="false" ht="15" hidden="false" customHeight="false" outlineLevel="0" collapsed="false">
      <c r="I3976" s="0" t="n">
        <v>2030</v>
      </c>
      <c r="J3976" s="0" t="n">
        <v>6.72</v>
      </c>
      <c r="K3976" s="0" t="n">
        <v>141.61</v>
      </c>
    </row>
    <row r="3977" customFormat="false" ht="15" hidden="false" customHeight="false" outlineLevel="0" collapsed="false">
      <c r="I3977" s="0" t="n">
        <v>2030</v>
      </c>
      <c r="J3977" s="0" t="n">
        <v>1.92</v>
      </c>
      <c r="K3977" s="0" t="n">
        <v>40.46</v>
      </c>
    </row>
    <row r="3978" customFormat="false" ht="15" hidden="false" customHeight="false" outlineLevel="0" collapsed="false">
      <c r="I3978" s="0" t="n">
        <v>2030</v>
      </c>
      <c r="J3978" s="0" t="n">
        <v>6.72</v>
      </c>
      <c r="K3978" s="0" t="n">
        <v>141.61</v>
      </c>
    </row>
    <row r="3979" customFormat="false" ht="15" hidden="false" customHeight="false" outlineLevel="0" collapsed="false">
      <c r="I3979" s="0" t="n">
        <v>2031</v>
      </c>
      <c r="J3979" s="0" t="n">
        <v>839.04</v>
      </c>
      <c r="K3979" s="0" t="n">
        <v>17623.68</v>
      </c>
    </row>
    <row r="3980" customFormat="false" ht="15" hidden="false" customHeight="false" outlineLevel="0" collapsed="false">
      <c r="I3980" s="0" t="n">
        <v>2031</v>
      </c>
      <c r="J3980" s="0" t="n">
        <v>279.68</v>
      </c>
      <c r="K3980" s="0" t="n">
        <v>5874.56</v>
      </c>
    </row>
    <row r="3981" customFormat="false" ht="15" hidden="false" customHeight="false" outlineLevel="0" collapsed="false">
      <c r="I3981" s="0" t="n">
        <v>2031</v>
      </c>
      <c r="J3981" s="0" t="n">
        <v>122.36</v>
      </c>
      <c r="K3981" s="0" t="n">
        <v>2570.12</v>
      </c>
    </row>
    <row r="3982" customFormat="false" ht="15" hidden="false" customHeight="false" outlineLevel="0" collapsed="false">
      <c r="I3982" s="0" t="n">
        <v>2031</v>
      </c>
      <c r="J3982" s="0" t="n">
        <v>69.92</v>
      </c>
      <c r="K3982" s="0" t="n">
        <v>1468.64</v>
      </c>
    </row>
    <row r="3983" customFormat="false" ht="15" hidden="false" customHeight="false" outlineLevel="0" collapsed="false">
      <c r="I3983" s="0" t="n">
        <v>2031</v>
      </c>
      <c r="J3983" s="0" t="n">
        <v>69.92</v>
      </c>
      <c r="K3983" s="0" t="n">
        <v>1468.64</v>
      </c>
    </row>
    <row r="3984" customFormat="false" ht="15" hidden="false" customHeight="false" outlineLevel="0" collapsed="false">
      <c r="I3984" s="0" t="n">
        <v>2031</v>
      </c>
      <c r="J3984" s="0" t="n">
        <v>34.96</v>
      </c>
      <c r="K3984" s="0" t="n">
        <v>734.32</v>
      </c>
    </row>
    <row r="3985" customFormat="false" ht="15" hidden="false" customHeight="false" outlineLevel="0" collapsed="false">
      <c r="I3985" s="0" t="n">
        <v>2031</v>
      </c>
      <c r="J3985" s="0" t="n">
        <v>34.96</v>
      </c>
      <c r="K3985" s="0" t="n">
        <v>734.32</v>
      </c>
    </row>
    <row r="3986" customFormat="false" ht="15" hidden="false" customHeight="false" outlineLevel="0" collapsed="false">
      <c r="I3986" s="0" t="n">
        <v>2031</v>
      </c>
      <c r="J3986" s="0" t="n">
        <v>69.92</v>
      </c>
      <c r="K3986" s="0" t="n">
        <v>1468.64</v>
      </c>
    </row>
    <row r="3987" customFormat="false" ht="15" hidden="false" customHeight="false" outlineLevel="0" collapsed="false">
      <c r="I3987" s="0" t="n">
        <v>2031</v>
      </c>
      <c r="J3987" s="0" t="n">
        <v>122.36</v>
      </c>
      <c r="K3987" s="0" t="n">
        <v>2570.12</v>
      </c>
    </row>
    <row r="3988" customFormat="false" ht="15" hidden="false" customHeight="false" outlineLevel="0" collapsed="false">
      <c r="I3988" s="0" t="n">
        <v>2031</v>
      </c>
      <c r="J3988" s="0" t="n">
        <v>52.44</v>
      </c>
      <c r="K3988" s="0" t="n">
        <v>1101.48</v>
      </c>
    </row>
    <row r="3989" customFormat="false" ht="15" hidden="false" customHeight="false" outlineLevel="0" collapsed="false">
      <c r="I3989" s="0" t="n">
        <v>2031</v>
      </c>
      <c r="J3989" s="0" t="n">
        <v>52.44</v>
      </c>
      <c r="K3989" s="0" t="n">
        <v>1101.48</v>
      </c>
    </row>
    <row r="3990" customFormat="false" ht="15" hidden="false" customHeight="false" outlineLevel="0" collapsed="false">
      <c r="I3990" s="0" t="n">
        <v>2031</v>
      </c>
      <c r="J3990" s="0" t="n">
        <v>56.16</v>
      </c>
      <c r="K3990" s="0" t="n">
        <v>1175.72</v>
      </c>
    </row>
    <row r="3991" customFormat="false" ht="15" hidden="false" customHeight="false" outlineLevel="0" collapsed="false">
      <c r="I3991" s="0" t="n">
        <v>2031</v>
      </c>
      <c r="J3991" s="0" t="n">
        <v>8.64</v>
      </c>
      <c r="K3991" s="0" t="n">
        <v>180.88</v>
      </c>
    </row>
    <row r="3992" customFormat="false" ht="15" hidden="false" customHeight="false" outlineLevel="0" collapsed="false">
      <c r="I3992" s="0" t="n">
        <v>2031</v>
      </c>
      <c r="J3992" s="0" t="n">
        <v>6.48</v>
      </c>
      <c r="K3992" s="0" t="n">
        <v>135.66</v>
      </c>
    </row>
    <row r="3993" customFormat="false" ht="15" hidden="false" customHeight="false" outlineLevel="0" collapsed="false">
      <c r="I3993" s="0" t="n">
        <v>2031</v>
      </c>
      <c r="J3993" s="0" t="n">
        <v>10.8</v>
      </c>
      <c r="K3993" s="0" t="n">
        <v>226.1</v>
      </c>
    </row>
    <row r="3994" customFormat="false" ht="15" hidden="false" customHeight="false" outlineLevel="0" collapsed="false">
      <c r="I3994" s="0" t="n">
        <v>2031</v>
      </c>
      <c r="J3994" s="0" t="n">
        <v>2.16</v>
      </c>
      <c r="K3994" s="0" t="n">
        <v>45.22</v>
      </c>
    </row>
    <row r="3995" customFormat="false" ht="15" hidden="false" customHeight="false" outlineLevel="0" collapsed="false">
      <c r="I3995" s="0" t="n">
        <v>2031</v>
      </c>
      <c r="J3995" s="0" t="n">
        <v>2.16</v>
      </c>
      <c r="K3995" s="0" t="n">
        <v>45.22</v>
      </c>
    </row>
    <row r="3996" customFormat="false" ht="15" hidden="false" customHeight="false" outlineLevel="0" collapsed="false">
      <c r="I3996" s="0" t="n">
        <v>2031</v>
      </c>
      <c r="J3996" s="0" t="n">
        <v>0</v>
      </c>
      <c r="K3996" s="0" t="n">
        <v>0</v>
      </c>
    </row>
    <row r="3997" customFormat="false" ht="15" hidden="false" customHeight="false" outlineLevel="0" collapsed="false">
      <c r="I3997" s="0" t="n">
        <v>2031</v>
      </c>
      <c r="J3997" s="0" t="n">
        <v>4.32</v>
      </c>
      <c r="K3997" s="0" t="n">
        <v>90.44</v>
      </c>
    </row>
    <row r="3998" customFormat="false" ht="15" hidden="false" customHeight="false" outlineLevel="0" collapsed="false">
      <c r="I3998" s="0" t="n">
        <v>2031</v>
      </c>
      <c r="J3998" s="0" t="n">
        <v>7.56</v>
      </c>
      <c r="K3998" s="0" t="n">
        <v>158.27</v>
      </c>
    </row>
    <row r="3999" customFormat="false" ht="15" hidden="false" customHeight="false" outlineLevel="0" collapsed="false">
      <c r="I3999" s="0" t="n">
        <v>2031</v>
      </c>
      <c r="J3999" s="0" t="n">
        <v>2.16</v>
      </c>
      <c r="K3999" s="0" t="n">
        <v>45.22</v>
      </c>
    </row>
    <row r="4000" customFormat="false" ht="15" hidden="false" customHeight="false" outlineLevel="0" collapsed="false">
      <c r="I4000" s="0" t="n">
        <v>2031</v>
      </c>
      <c r="J4000" s="0" t="n">
        <v>7.56</v>
      </c>
      <c r="K4000" s="0" t="n">
        <v>158.27</v>
      </c>
    </row>
    <row r="4001" customFormat="false" ht="15" hidden="false" customHeight="false" outlineLevel="0" collapsed="false">
      <c r="I4001" s="0" t="n">
        <v>2031</v>
      </c>
      <c r="J4001" s="0" t="n">
        <v>355.68</v>
      </c>
      <c r="K4001" s="0" t="n">
        <v>7468.32</v>
      </c>
    </row>
    <row r="4002" customFormat="false" ht="15" hidden="false" customHeight="false" outlineLevel="0" collapsed="false">
      <c r="I4002" s="0" t="n">
        <v>2031</v>
      </c>
      <c r="J4002" s="0" t="n">
        <v>118.56</v>
      </c>
      <c r="K4002" s="0" t="n">
        <v>2489.44</v>
      </c>
    </row>
    <row r="4003" customFormat="false" ht="15" hidden="false" customHeight="false" outlineLevel="0" collapsed="false">
      <c r="I4003" s="0" t="n">
        <v>2031</v>
      </c>
      <c r="J4003" s="0" t="n">
        <v>51.87</v>
      </c>
      <c r="K4003" s="0" t="n">
        <v>1089.13</v>
      </c>
    </row>
    <row r="4004" customFormat="false" ht="15" hidden="false" customHeight="false" outlineLevel="0" collapsed="false">
      <c r="I4004" s="0" t="n">
        <v>2031</v>
      </c>
      <c r="J4004" s="0" t="n">
        <v>29.64</v>
      </c>
      <c r="K4004" s="0" t="n">
        <v>622.36</v>
      </c>
    </row>
    <row r="4005" customFormat="false" ht="15" hidden="false" customHeight="false" outlineLevel="0" collapsed="false">
      <c r="I4005" s="0" t="n">
        <v>2031</v>
      </c>
      <c r="J4005" s="0" t="n">
        <v>29.64</v>
      </c>
      <c r="K4005" s="0" t="n">
        <v>622.36</v>
      </c>
    </row>
    <row r="4006" customFormat="false" ht="15" hidden="false" customHeight="false" outlineLevel="0" collapsed="false">
      <c r="I4006" s="0" t="n">
        <v>2031</v>
      </c>
      <c r="J4006" s="0" t="n">
        <v>14.82</v>
      </c>
      <c r="K4006" s="0" t="n">
        <v>311.18</v>
      </c>
    </row>
    <row r="4007" customFormat="false" ht="15" hidden="false" customHeight="false" outlineLevel="0" collapsed="false">
      <c r="I4007" s="0" t="n">
        <v>2031</v>
      </c>
      <c r="J4007" s="0" t="n">
        <v>14.82</v>
      </c>
      <c r="K4007" s="0" t="n">
        <v>311.18</v>
      </c>
    </row>
    <row r="4008" customFormat="false" ht="15" hidden="false" customHeight="false" outlineLevel="0" collapsed="false">
      <c r="I4008" s="0" t="n">
        <v>2031</v>
      </c>
      <c r="J4008" s="0" t="n">
        <v>29.64</v>
      </c>
      <c r="K4008" s="0" t="n">
        <v>622.36</v>
      </c>
    </row>
    <row r="4009" customFormat="false" ht="15" hidden="false" customHeight="false" outlineLevel="0" collapsed="false">
      <c r="I4009" s="0" t="n">
        <v>2031</v>
      </c>
      <c r="J4009" s="0" t="n">
        <v>51.87</v>
      </c>
      <c r="K4009" s="0" t="n">
        <v>1089.13</v>
      </c>
    </row>
    <row r="4010" customFormat="false" ht="15" hidden="false" customHeight="false" outlineLevel="0" collapsed="false">
      <c r="I4010" s="0" t="n">
        <v>2031</v>
      </c>
      <c r="J4010" s="0" t="n">
        <v>22.23</v>
      </c>
      <c r="K4010" s="0" t="n">
        <v>466.77</v>
      </c>
    </row>
    <row r="4011" customFormat="false" ht="15" hidden="false" customHeight="false" outlineLevel="0" collapsed="false">
      <c r="I4011" s="0" t="n">
        <v>2031</v>
      </c>
      <c r="J4011" s="0" t="n">
        <v>22.23</v>
      </c>
      <c r="K4011" s="0" t="n">
        <v>466.77</v>
      </c>
    </row>
    <row r="4012" customFormat="false" ht="15" hidden="false" customHeight="false" outlineLevel="0" collapsed="false">
      <c r="I4012" s="0" t="n">
        <v>2031</v>
      </c>
      <c r="J4012" s="0" t="n">
        <v>67.08</v>
      </c>
      <c r="K4012" s="0" t="n">
        <v>1409.72</v>
      </c>
    </row>
    <row r="4013" customFormat="false" ht="15" hidden="false" customHeight="false" outlineLevel="0" collapsed="false">
      <c r="I4013" s="0" t="n">
        <v>2031</v>
      </c>
      <c r="J4013" s="0" t="n">
        <v>10.32</v>
      </c>
      <c r="K4013" s="0" t="n">
        <v>216.88</v>
      </c>
    </row>
    <row r="4014" customFormat="false" ht="15" hidden="false" customHeight="false" outlineLevel="0" collapsed="false">
      <c r="I4014" s="0" t="n">
        <v>2031</v>
      </c>
      <c r="J4014" s="0" t="n">
        <v>7.74</v>
      </c>
      <c r="K4014" s="0" t="n">
        <v>162.66</v>
      </c>
    </row>
    <row r="4015" customFormat="false" ht="15" hidden="false" customHeight="false" outlineLevel="0" collapsed="false">
      <c r="I4015" s="0" t="n">
        <v>2031</v>
      </c>
      <c r="J4015" s="0" t="n">
        <v>12.9</v>
      </c>
      <c r="K4015" s="0" t="n">
        <v>271.1</v>
      </c>
    </row>
    <row r="4016" customFormat="false" ht="15" hidden="false" customHeight="false" outlineLevel="0" collapsed="false">
      <c r="I4016" s="0" t="n">
        <v>2031</v>
      </c>
      <c r="J4016" s="0" t="n">
        <v>2.58</v>
      </c>
      <c r="K4016" s="0" t="n">
        <v>54.22</v>
      </c>
    </row>
    <row r="4017" customFormat="false" ht="15" hidden="false" customHeight="false" outlineLevel="0" collapsed="false">
      <c r="I4017" s="0" t="n">
        <v>2031</v>
      </c>
      <c r="J4017" s="0" t="n">
        <v>2.58</v>
      </c>
      <c r="K4017" s="0" t="n">
        <v>54.22</v>
      </c>
    </row>
    <row r="4018" customFormat="false" ht="15" hidden="false" customHeight="false" outlineLevel="0" collapsed="false">
      <c r="I4018" s="0" t="n">
        <v>2031</v>
      </c>
      <c r="J4018" s="0" t="n">
        <v>0</v>
      </c>
      <c r="K4018" s="0" t="n">
        <v>0</v>
      </c>
    </row>
    <row r="4019" customFormat="false" ht="15" hidden="false" customHeight="false" outlineLevel="0" collapsed="false">
      <c r="I4019" s="0" t="n">
        <v>2031</v>
      </c>
      <c r="J4019" s="0" t="n">
        <v>5.16</v>
      </c>
      <c r="K4019" s="0" t="n">
        <v>108.44</v>
      </c>
    </row>
    <row r="4020" customFormat="false" ht="15" hidden="false" customHeight="false" outlineLevel="0" collapsed="false">
      <c r="I4020" s="0" t="n">
        <v>2031</v>
      </c>
      <c r="J4020" s="0" t="n">
        <v>9.03</v>
      </c>
      <c r="K4020" s="0" t="n">
        <v>189.77</v>
      </c>
    </row>
    <row r="4021" customFormat="false" ht="15" hidden="false" customHeight="false" outlineLevel="0" collapsed="false">
      <c r="I4021" s="0" t="n">
        <v>2031</v>
      </c>
      <c r="J4021" s="0" t="n">
        <v>2.58</v>
      </c>
      <c r="K4021" s="0" t="n">
        <v>54.22</v>
      </c>
    </row>
    <row r="4022" customFormat="false" ht="15" hidden="false" customHeight="false" outlineLevel="0" collapsed="false">
      <c r="I4022" s="0" t="n">
        <v>2031</v>
      </c>
      <c r="J4022" s="0" t="n">
        <v>9.03</v>
      </c>
      <c r="K4022" s="0" t="n">
        <v>189.77</v>
      </c>
    </row>
    <row r="4023" customFormat="false" ht="15" hidden="false" customHeight="false" outlineLevel="0" collapsed="false">
      <c r="I4023" s="0" t="n">
        <v>2031</v>
      </c>
      <c r="J4023" s="0" t="n">
        <v>226.56</v>
      </c>
      <c r="K4023" s="0" t="n">
        <v>4762.56</v>
      </c>
    </row>
    <row r="4024" customFormat="false" ht="15" hidden="false" customHeight="false" outlineLevel="0" collapsed="false">
      <c r="I4024" s="0" t="n">
        <v>2031</v>
      </c>
      <c r="J4024" s="0" t="n">
        <v>75.52</v>
      </c>
      <c r="K4024" s="0" t="n">
        <v>1587.52</v>
      </c>
    </row>
    <row r="4025" customFormat="false" ht="15" hidden="false" customHeight="false" outlineLevel="0" collapsed="false">
      <c r="I4025" s="0" t="n">
        <v>2031</v>
      </c>
      <c r="J4025" s="0" t="n">
        <v>33.04</v>
      </c>
      <c r="K4025" s="0" t="n">
        <v>694.54</v>
      </c>
    </row>
    <row r="4026" customFormat="false" ht="15" hidden="false" customHeight="false" outlineLevel="0" collapsed="false">
      <c r="I4026" s="0" t="n">
        <v>2031</v>
      </c>
      <c r="J4026" s="0" t="n">
        <v>18.88</v>
      </c>
      <c r="K4026" s="0" t="n">
        <v>396.88</v>
      </c>
    </row>
    <row r="4027" customFormat="false" ht="15" hidden="false" customHeight="false" outlineLevel="0" collapsed="false">
      <c r="I4027" s="0" t="n">
        <v>2031</v>
      </c>
      <c r="J4027" s="0" t="n">
        <v>18.88</v>
      </c>
      <c r="K4027" s="0" t="n">
        <v>396.88</v>
      </c>
    </row>
    <row r="4028" customFormat="false" ht="15" hidden="false" customHeight="false" outlineLevel="0" collapsed="false">
      <c r="I4028" s="0" t="n">
        <v>2031</v>
      </c>
      <c r="J4028" s="0" t="n">
        <v>9.44</v>
      </c>
      <c r="K4028" s="0" t="n">
        <v>198.44</v>
      </c>
    </row>
    <row r="4029" customFormat="false" ht="15" hidden="false" customHeight="false" outlineLevel="0" collapsed="false">
      <c r="I4029" s="0" t="n">
        <v>2031</v>
      </c>
      <c r="J4029" s="0" t="n">
        <v>9.44</v>
      </c>
      <c r="K4029" s="0" t="n">
        <v>198.44</v>
      </c>
    </row>
    <row r="4030" customFormat="false" ht="15" hidden="false" customHeight="false" outlineLevel="0" collapsed="false">
      <c r="I4030" s="0" t="n">
        <v>2031</v>
      </c>
      <c r="J4030" s="0" t="n">
        <v>18.88</v>
      </c>
      <c r="K4030" s="0" t="n">
        <v>396.88</v>
      </c>
    </row>
    <row r="4031" customFormat="false" ht="15" hidden="false" customHeight="false" outlineLevel="0" collapsed="false">
      <c r="I4031" s="0" t="n">
        <v>2031</v>
      </c>
      <c r="J4031" s="0" t="n">
        <v>33.04</v>
      </c>
      <c r="K4031" s="0" t="n">
        <v>694.54</v>
      </c>
    </row>
    <row r="4032" customFormat="false" ht="15" hidden="false" customHeight="false" outlineLevel="0" collapsed="false">
      <c r="I4032" s="0" t="n">
        <v>2031</v>
      </c>
      <c r="J4032" s="0" t="n">
        <v>14.16</v>
      </c>
      <c r="K4032" s="0" t="n">
        <v>297.66</v>
      </c>
    </row>
    <row r="4033" customFormat="false" ht="15" hidden="false" customHeight="false" outlineLevel="0" collapsed="false">
      <c r="I4033" s="0" t="n">
        <v>2031</v>
      </c>
      <c r="J4033" s="0" t="n">
        <v>14.16</v>
      </c>
      <c r="K4033" s="0" t="n">
        <v>297.66</v>
      </c>
    </row>
    <row r="4034" customFormat="false" ht="15" hidden="false" customHeight="false" outlineLevel="0" collapsed="false">
      <c r="I4034" s="0" t="n">
        <v>2031</v>
      </c>
      <c r="J4034" s="0" t="n">
        <v>55.64</v>
      </c>
      <c r="K4034" s="0" t="n">
        <v>1170</v>
      </c>
    </row>
    <row r="4035" customFormat="false" ht="15" hidden="false" customHeight="false" outlineLevel="0" collapsed="false">
      <c r="I4035" s="0" t="n">
        <v>2031</v>
      </c>
      <c r="J4035" s="0" t="n">
        <v>8.56</v>
      </c>
      <c r="K4035" s="0" t="n">
        <v>180</v>
      </c>
    </row>
    <row r="4036" customFormat="false" ht="15" hidden="false" customHeight="false" outlineLevel="0" collapsed="false">
      <c r="I4036" s="0" t="n">
        <v>2031</v>
      </c>
      <c r="J4036" s="0" t="n">
        <v>6.42</v>
      </c>
      <c r="K4036" s="0" t="n">
        <v>135</v>
      </c>
    </row>
    <row r="4037" customFormat="false" ht="15" hidden="false" customHeight="false" outlineLevel="0" collapsed="false">
      <c r="I4037" s="0" t="n">
        <v>2031</v>
      </c>
      <c r="J4037" s="0" t="n">
        <v>10.7</v>
      </c>
      <c r="K4037" s="0" t="n">
        <v>225</v>
      </c>
    </row>
    <row r="4038" customFormat="false" ht="15" hidden="false" customHeight="false" outlineLevel="0" collapsed="false">
      <c r="I4038" s="0" t="n">
        <v>2031</v>
      </c>
      <c r="J4038" s="0" t="n">
        <v>2.14</v>
      </c>
      <c r="K4038" s="0" t="n">
        <v>45</v>
      </c>
    </row>
    <row r="4039" customFormat="false" ht="15" hidden="false" customHeight="false" outlineLevel="0" collapsed="false">
      <c r="I4039" s="0" t="n">
        <v>2031</v>
      </c>
      <c r="J4039" s="0" t="n">
        <v>2.14</v>
      </c>
      <c r="K4039" s="0" t="n">
        <v>45</v>
      </c>
    </row>
    <row r="4040" customFormat="false" ht="15" hidden="false" customHeight="false" outlineLevel="0" collapsed="false">
      <c r="I4040" s="0" t="n">
        <v>2031</v>
      </c>
      <c r="J4040" s="0" t="n">
        <v>0</v>
      </c>
      <c r="K4040" s="0" t="n">
        <v>0</v>
      </c>
    </row>
    <row r="4041" customFormat="false" ht="15" hidden="false" customHeight="false" outlineLevel="0" collapsed="false">
      <c r="I4041" s="0" t="n">
        <v>2031</v>
      </c>
      <c r="J4041" s="0" t="n">
        <v>4.28</v>
      </c>
      <c r="K4041" s="0" t="n">
        <v>90</v>
      </c>
    </row>
    <row r="4042" customFormat="false" ht="15" hidden="false" customHeight="false" outlineLevel="0" collapsed="false">
      <c r="I4042" s="0" t="n">
        <v>2031</v>
      </c>
      <c r="J4042" s="0" t="n">
        <v>7.49</v>
      </c>
      <c r="K4042" s="0" t="n">
        <v>157.5</v>
      </c>
    </row>
    <row r="4043" customFormat="false" ht="15" hidden="false" customHeight="false" outlineLevel="0" collapsed="false">
      <c r="I4043" s="0" t="n">
        <v>2031</v>
      </c>
      <c r="J4043" s="0" t="n">
        <v>2.14</v>
      </c>
      <c r="K4043" s="0" t="n">
        <v>45</v>
      </c>
    </row>
    <row r="4044" customFormat="false" ht="15" hidden="false" customHeight="false" outlineLevel="0" collapsed="false">
      <c r="I4044" s="0" t="n">
        <v>2031</v>
      </c>
      <c r="J4044" s="0" t="n">
        <v>7.49</v>
      </c>
      <c r="K4044" s="0" t="n">
        <v>157.5</v>
      </c>
    </row>
    <row r="4045" customFormat="false" ht="15" hidden="false" customHeight="false" outlineLevel="0" collapsed="false">
      <c r="I4045" s="0" t="n">
        <v>2031</v>
      </c>
      <c r="J4045" s="0" t="n">
        <v>1014.24</v>
      </c>
      <c r="K4045" s="0" t="n">
        <v>21295.68</v>
      </c>
    </row>
    <row r="4046" customFormat="false" ht="15" hidden="false" customHeight="false" outlineLevel="0" collapsed="false">
      <c r="I4046" s="0" t="n">
        <v>2031</v>
      </c>
      <c r="J4046" s="0" t="n">
        <v>338.08</v>
      </c>
      <c r="K4046" s="0" t="n">
        <v>7098.56</v>
      </c>
    </row>
    <row r="4047" customFormat="false" ht="15" hidden="false" customHeight="false" outlineLevel="0" collapsed="false">
      <c r="I4047" s="0" t="n">
        <v>2031</v>
      </c>
      <c r="J4047" s="0" t="n">
        <v>147.91</v>
      </c>
      <c r="K4047" s="0" t="n">
        <v>3105.62</v>
      </c>
    </row>
    <row r="4048" customFormat="false" ht="15" hidden="false" customHeight="false" outlineLevel="0" collapsed="false">
      <c r="I4048" s="0" t="n">
        <v>2031</v>
      </c>
      <c r="J4048" s="0" t="n">
        <v>84.52</v>
      </c>
      <c r="K4048" s="0" t="n">
        <v>1774.64</v>
      </c>
    </row>
    <row r="4049" customFormat="false" ht="15" hidden="false" customHeight="false" outlineLevel="0" collapsed="false">
      <c r="I4049" s="0" t="n">
        <v>2031</v>
      </c>
      <c r="J4049" s="0" t="n">
        <v>84.52</v>
      </c>
      <c r="K4049" s="0" t="n">
        <v>1774.64</v>
      </c>
    </row>
    <row r="4050" customFormat="false" ht="15" hidden="false" customHeight="false" outlineLevel="0" collapsed="false">
      <c r="I4050" s="0" t="n">
        <v>2031</v>
      </c>
      <c r="J4050" s="0" t="n">
        <v>42.26</v>
      </c>
      <c r="K4050" s="0" t="n">
        <v>887.32</v>
      </c>
    </row>
    <row r="4051" customFormat="false" ht="15" hidden="false" customHeight="false" outlineLevel="0" collapsed="false">
      <c r="I4051" s="0" t="n">
        <v>2031</v>
      </c>
      <c r="J4051" s="0" t="n">
        <v>42.26</v>
      </c>
      <c r="K4051" s="0" t="n">
        <v>887.32</v>
      </c>
    </row>
    <row r="4052" customFormat="false" ht="15" hidden="false" customHeight="false" outlineLevel="0" collapsed="false">
      <c r="I4052" s="0" t="n">
        <v>2031</v>
      </c>
      <c r="J4052" s="0" t="n">
        <v>84.52</v>
      </c>
      <c r="K4052" s="0" t="n">
        <v>1774.64</v>
      </c>
    </row>
    <row r="4053" customFormat="false" ht="15" hidden="false" customHeight="false" outlineLevel="0" collapsed="false">
      <c r="I4053" s="0" t="n">
        <v>2031</v>
      </c>
      <c r="J4053" s="0" t="n">
        <v>147.91</v>
      </c>
      <c r="K4053" s="0" t="n">
        <v>3105.62</v>
      </c>
    </row>
    <row r="4054" customFormat="false" ht="15" hidden="false" customHeight="false" outlineLevel="0" collapsed="false">
      <c r="I4054" s="0" t="n">
        <v>2031</v>
      </c>
      <c r="J4054" s="0" t="n">
        <v>63.39</v>
      </c>
      <c r="K4054" s="0" t="n">
        <v>1330.98</v>
      </c>
    </row>
    <row r="4055" customFormat="false" ht="15" hidden="false" customHeight="false" outlineLevel="0" collapsed="false">
      <c r="I4055" s="0" t="n">
        <v>2031</v>
      </c>
      <c r="J4055" s="0" t="n">
        <v>63.39</v>
      </c>
      <c r="K4055" s="0" t="n">
        <v>1330.98</v>
      </c>
    </row>
    <row r="4056" customFormat="false" ht="15" hidden="false" customHeight="false" outlineLevel="0" collapsed="false">
      <c r="I4056" s="0" t="n">
        <v>2031</v>
      </c>
      <c r="J4056" s="0" t="n">
        <v>70.2</v>
      </c>
      <c r="K4056" s="0" t="n">
        <v>1474.72</v>
      </c>
    </row>
    <row r="4057" customFormat="false" ht="15" hidden="false" customHeight="false" outlineLevel="0" collapsed="false">
      <c r="I4057" s="0" t="n">
        <v>2031</v>
      </c>
      <c r="J4057" s="0" t="n">
        <v>10.8</v>
      </c>
      <c r="K4057" s="0" t="n">
        <v>226.88</v>
      </c>
    </row>
    <row r="4058" customFormat="false" ht="15" hidden="false" customHeight="false" outlineLevel="0" collapsed="false">
      <c r="I4058" s="0" t="n">
        <v>2031</v>
      </c>
      <c r="J4058" s="0" t="n">
        <v>8.1</v>
      </c>
      <c r="K4058" s="0" t="n">
        <v>170.16</v>
      </c>
    </row>
    <row r="4059" customFormat="false" ht="15" hidden="false" customHeight="false" outlineLevel="0" collapsed="false">
      <c r="I4059" s="0" t="n">
        <v>2031</v>
      </c>
      <c r="J4059" s="0" t="n">
        <v>13.5</v>
      </c>
      <c r="K4059" s="0" t="n">
        <v>283.6</v>
      </c>
    </row>
    <row r="4060" customFormat="false" ht="15" hidden="false" customHeight="false" outlineLevel="0" collapsed="false">
      <c r="I4060" s="0" t="n">
        <v>2031</v>
      </c>
      <c r="J4060" s="0" t="n">
        <v>2.7</v>
      </c>
      <c r="K4060" s="0" t="n">
        <v>56.72</v>
      </c>
    </row>
    <row r="4061" customFormat="false" ht="15" hidden="false" customHeight="false" outlineLevel="0" collapsed="false">
      <c r="I4061" s="0" t="n">
        <v>2031</v>
      </c>
      <c r="J4061" s="0" t="n">
        <v>2.7</v>
      </c>
      <c r="K4061" s="0" t="n">
        <v>56.72</v>
      </c>
    </row>
    <row r="4062" customFormat="false" ht="15" hidden="false" customHeight="false" outlineLevel="0" collapsed="false">
      <c r="I4062" s="0" t="n">
        <v>2031</v>
      </c>
      <c r="J4062" s="0" t="n">
        <v>0</v>
      </c>
      <c r="K4062" s="0" t="n">
        <v>0</v>
      </c>
    </row>
    <row r="4063" customFormat="false" ht="15" hidden="false" customHeight="false" outlineLevel="0" collapsed="false">
      <c r="I4063" s="0" t="n">
        <v>2031</v>
      </c>
      <c r="J4063" s="0" t="n">
        <v>5.4</v>
      </c>
      <c r="K4063" s="0" t="n">
        <v>113.44</v>
      </c>
    </row>
    <row r="4064" customFormat="false" ht="15" hidden="false" customHeight="false" outlineLevel="0" collapsed="false">
      <c r="I4064" s="0" t="n">
        <v>2031</v>
      </c>
      <c r="J4064" s="0" t="n">
        <v>9.45</v>
      </c>
      <c r="K4064" s="0" t="n">
        <v>198.52</v>
      </c>
    </row>
    <row r="4065" customFormat="false" ht="15" hidden="false" customHeight="false" outlineLevel="0" collapsed="false">
      <c r="I4065" s="0" t="n">
        <v>2031</v>
      </c>
      <c r="J4065" s="0" t="n">
        <v>2.7</v>
      </c>
      <c r="K4065" s="0" t="n">
        <v>56.72</v>
      </c>
    </row>
    <row r="4066" customFormat="false" ht="15" hidden="false" customHeight="false" outlineLevel="0" collapsed="false">
      <c r="I4066" s="0" t="n">
        <v>2031</v>
      </c>
      <c r="J4066" s="0" t="n">
        <v>9.45</v>
      </c>
      <c r="K4066" s="0" t="n">
        <v>198.52</v>
      </c>
    </row>
    <row r="4067" customFormat="false" ht="15" hidden="false" customHeight="false" outlineLevel="0" collapsed="false">
      <c r="I4067" s="0" t="n">
        <v>2031</v>
      </c>
      <c r="J4067" s="0" t="n">
        <v>168.96</v>
      </c>
      <c r="K4067" s="0" t="n">
        <v>3550.56</v>
      </c>
    </row>
    <row r="4068" customFormat="false" ht="15" hidden="false" customHeight="false" outlineLevel="0" collapsed="false">
      <c r="I4068" s="0" t="n">
        <v>2031</v>
      </c>
      <c r="J4068" s="0" t="n">
        <v>56.32</v>
      </c>
      <c r="K4068" s="0" t="n">
        <v>1183.52</v>
      </c>
    </row>
    <row r="4069" customFormat="false" ht="15" hidden="false" customHeight="false" outlineLevel="0" collapsed="false">
      <c r="I4069" s="0" t="n">
        <v>2031</v>
      </c>
      <c r="J4069" s="0" t="n">
        <v>24.64</v>
      </c>
      <c r="K4069" s="0" t="n">
        <v>517.79</v>
      </c>
    </row>
    <row r="4070" customFormat="false" ht="15" hidden="false" customHeight="false" outlineLevel="0" collapsed="false">
      <c r="I4070" s="0" t="n">
        <v>2031</v>
      </c>
      <c r="J4070" s="0" t="n">
        <v>14.08</v>
      </c>
      <c r="K4070" s="0" t="n">
        <v>295.88</v>
      </c>
    </row>
    <row r="4071" customFormat="false" ht="15" hidden="false" customHeight="false" outlineLevel="0" collapsed="false">
      <c r="I4071" s="0" t="n">
        <v>2031</v>
      </c>
      <c r="J4071" s="0" t="n">
        <v>14.08</v>
      </c>
      <c r="K4071" s="0" t="n">
        <v>295.88</v>
      </c>
    </row>
    <row r="4072" customFormat="false" ht="15" hidden="false" customHeight="false" outlineLevel="0" collapsed="false">
      <c r="I4072" s="0" t="n">
        <v>2031</v>
      </c>
      <c r="J4072" s="0" t="n">
        <v>7.04</v>
      </c>
      <c r="K4072" s="0" t="n">
        <v>147.94</v>
      </c>
    </row>
    <row r="4073" customFormat="false" ht="15" hidden="false" customHeight="false" outlineLevel="0" collapsed="false">
      <c r="I4073" s="0" t="n">
        <v>2031</v>
      </c>
      <c r="J4073" s="0" t="n">
        <v>7.04</v>
      </c>
      <c r="K4073" s="0" t="n">
        <v>147.94</v>
      </c>
    </row>
    <row r="4074" customFormat="false" ht="15" hidden="false" customHeight="false" outlineLevel="0" collapsed="false">
      <c r="I4074" s="0" t="n">
        <v>2031</v>
      </c>
      <c r="J4074" s="0" t="n">
        <v>14.08</v>
      </c>
      <c r="K4074" s="0" t="n">
        <v>295.88</v>
      </c>
    </row>
    <row r="4075" customFormat="false" ht="15" hidden="false" customHeight="false" outlineLevel="0" collapsed="false">
      <c r="I4075" s="0" t="n">
        <v>2031</v>
      </c>
      <c r="J4075" s="0" t="n">
        <v>24.64</v>
      </c>
      <c r="K4075" s="0" t="n">
        <v>517.79</v>
      </c>
    </row>
    <row r="4076" customFormat="false" ht="15" hidden="false" customHeight="false" outlineLevel="0" collapsed="false">
      <c r="I4076" s="0" t="n">
        <v>2031</v>
      </c>
      <c r="J4076" s="0" t="n">
        <v>10.56</v>
      </c>
      <c r="K4076" s="0" t="n">
        <v>221.91</v>
      </c>
    </row>
    <row r="4077" customFormat="false" ht="15" hidden="false" customHeight="false" outlineLevel="0" collapsed="false">
      <c r="I4077" s="0" t="n">
        <v>2031</v>
      </c>
      <c r="J4077" s="0" t="n">
        <v>10.56</v>
      </c>
      <c r="K4077" s="0" t="n">
        <v>221.91</v>
      </c>
    </row>
    <row r="4078" customFormat="false" ht="15" hidden="false" customHeight="false" outlineLevel="0" collapsed="false">
      <c r="I4078" s="0" t="n">
        <v>2031</v>
      </c>
      <c r="J4078" s="0" t="n">
        <v>21.84</v>
      </c>
      <c r="K4078" s="0" t="n">
        <v>462.8</v>
      </c>
    </row>
    <row r="4079" customFormat="false" ht="15" hidden="false" customHeight="false" outlineLevel="0" collapsed="false">
      <c r="I4079" s="0" t="n">
        <v>2031</v>
      </c>
      <c r="J4079" s="0" t="n">
        <v>3.36</v>
      </c>
      <c r="K4079" s="0" t="n">
        <v>71.2</v>
      </c>
    </row>
    <row r="4080" customFormat="false" ht="15" hidden="false" customHeight="false" outlineLevel="0" collapsed="false">
      <c r="I4080" s="0" t="n">
        <v>2031</v>
      </c>
      <c r="J4080" s="0" t="n">
        <v>2.52</v>
      </c>
      <c r="K4080" s="0" t="n">
        <v>53.4</v>
      </c>
    </row>
    <row r="4081" customFormat="false" ht="15" hidden="false" customHeight="false" outlineLevel="0" collapsed="false">
      <c r="I4081" s="0" t="n">
        <v>2031</v>
      </c>
      <c r="J4081" s="0" t="n">
        <v>4.2</v>
      </c>
      <c r="K4081" s="0" t="n">
        <v>89</v>
      </c>
    </row>
    <row r="4082" customFormat="false" ht="15" hidden="false" customHeight="false" outlineLevel="0" collapsed="false">
      <c r="I4082" s="0" t="n">
        <v>2031</v>
      </c>
      <c r="J4082" s="0" t="n">
        <v>0.84</v>
      </c>
      <c r="K4082" s="0" t="n">
        <v>17.8</v>
      </c>
    </row>
    <row r="4083" customFormat="false" ht="15" hidden="false" customHeight="false" outlineLevel="0" collapsed="false">
      <c r="I4083" s="0" t="n">
        <v>2031</v>
      </c>
      <c r="J4083" s="0" t="n">
        <v>0.84</v>
      </c>
      <c r="K4083" s="0" t="n">
        <v>17.8</v>
      </c>
    </row>
    <row r="4084" customFormat="false" ht="15" hidden="false" customHeight="false" outlineLevel="0" collapsed="false">
      <c r="I4084" s="0" t="n">
        <v>2031</v>
      </c>
      <c r="J4084" s="0" t="n">
        <v>0</v>
      </c>
      <c r="K4084" s="0" t="n">
        <v>0</v>
      </c>
    </row>
    <row r="4085" customFormat="false" ht="15" hidden="false" customHeight="false" outlineLevel="0" collapsed="false">
      <c r="I4085" s="0" t="n">
        <v>2031</v>
      </c>
      <c r="J4085" s="0" t="n">
        <v>1.68</v>
      </c>
      <c r="K4085" s="0" t="n">
        <v>35.6</v>
      </c>
    </row>
    <row r="4086" customFormat="false" ht="15" hidden="false" customHeight="false" outlineLevel="0" collapsed="false">
      <c r="I4086" s="0" t="n">
        <v>2031</v>
      </c>
      <c r="J4086" s="0" t="n">
        <v>2.94</v>
      </c>
      <c r="K4086" s="0" t="n">
        <v>62.3</v>
      </c>
    </row>
    <row r="4087" customFormat="false" ht="15" hidden="false" customHeight="false" outlineLevel="0" collapsed="false">
      <c r="I4087" s="0" t="n">
        <v>2031</v>
      </c>
      <c r="J4087" s="0" t="n">
        <v>0.84</v>
      </c>
      <c r="K4087" s="0" t="n">
        <v>17.8</v>
      </c>
    </row>
    <row r="4088" customFormat="false" ht="15" hidden="false" customHeight="false" outlineLevel="0" collapsed="false">
      <c r="I4088" s="0" t="n">
        <v>2031</v>
      </c>
      <c r="J4088" s="0" t="n">
        <v>2.94</v>
      </c>
      <c r="K4088" s="0" t="n">
        <v>62.3</v>
      </c>
    </row>
    <row r="4089" customFormat="false" ht="15" hidden="false" customHeight="false" outlineLevel="0" collapsed="false">
      <c r="I4089" s="0" t="n">
        <v>2031</v>
      </c>
      <c r="J4089" s="0" t="n">
        <v>50.88</v>
      </c>
      <c r="K4089" s="0" t="n">
        <v>1064.64</v>
      </c>
    </row>
    <row r="4090" customFormat="false" ht="15" hidden="false" customHeight="false" outlineLevel="0" collapsed="false">
      <c r="I4090" s="0" t="n">
        <v>2031</v>
      </c>
      <c r="J4090" s="0" t="n">
        <v>16.96</v>
      </c>
      <c r="K4090" s="0" t="n">
        <v>354.88</v>
      </c>
    </row>
    <row r="4091" customFormat="false" ht="15" hidden="false" customHeight="false" outlineLevel="0" collapsed="false">
      <c r="I4091" s="0" t="n">
        <v>2031</v>
      </c>
      <c r="J4091" s="0" t="n">
        <v>7.42</v>
      </c>
      <c r="K4091" s="0" t="n">
        <v>155.26</v>
      </c>
    </row>
    <row r="4092" customFormat="false" ht="15" hidden="false" customHeight="false" outlineLevel="0" collapsed="false">
      <c r="I4092" s="0" t="n">
        <v>2031</v>
      </c>
      <c r="J4092" s="0" t="n">
        <v>4.24</v>
      </c>
      <c r="K4092" s="0" t="n">
        <v>88.72</v>
      </c>
    </row>
    <row r="4093" customFormat="false" ht="15" hidden="false" customHeight="false" outlineLevel="0" collapsed="false">
      <c r="I4093" s="0" t="n">
        <v>2031</v>
      </c>
      <c r="J4093" s="0" t="n">
        <v>4.24</v>
      </c>
      <c r="K4093" s="0" t="n">
        <v>88.72</v>
      </c>
    </row>
    <row r="4094" customFormat="false" ht="15" hidden="false" customHeight="false" outlineLevel="0" collapsed="false">
      <c r="I4094" s="0" t="n">
        <v>2031</v>
      </c>
      <c r="J4094" s="0" t="n">
        <v>2.12</v>
      </c>
      <c r="K4094" s="0" t="n">
        <v>44.36</v>
      </c>
    </row>
    <row r="4095" customFormat="false" ht="15" hidden="false" customHeight="false" outlineLevel="0" collapsed="false">
      <c r="I4095" s="0" t="n">
        <v>2031</v>
      </c>
      <c r="J4095" s="0" t="n">
        <v>2.12</v>
      </c>
      <c r="K4095" s="0" t="n">
        <v>44.36</v>
      </c>
    </row>
    <row r="4096" customFormat="false" ht="15" hidden="false" customHeight="false" outlineLevel="0" collapsed="false">
      <c r="I4096" s="0" t="n">
        <v>2031</v>
      </c>
      <c r="J4096" s="0" t="n">
        <v>4.24</v>
      </c>
      <c r="K4096" s="0" t="n">
        <v>88.72</v>
      </c>
    </row>
    <row r="4097" customFormat="false" ht="15" hidden="false" customHeight="false" outlineLevel="0" collapsed="false">
      <c r="I4097" s="0" t="n">
        <v>2031</v>
      </c>
      <c r="J4097" s="0" t="n">
        <v>7.42</v>
      </c>
      <c r="K4097" s="0" t="n">
        <v>155.26</v>
      </c>
    </row>
    <row r="4098" customFormat="false" ht="15" hidden="false" customHeight="false" outlineLevel="0" collapsed="false">
      <c r="I4098" s="0" t="n">
        <v>2031</v>
      </c>
      <c r="J4098" s="0" t="n">
        <v>3.18</v>
      </c>
      <c r="K4098" s="0" t="n">
        <v>66.54</v>
      </c>
    </row>
    <row r="4099" customFormat="false" ht="15" hidden="false" customHeight="false" outlineLevel="0" collapsed="false">
      <c r="I4099" s="0" t="n">
        <v>2031</v>
      </c>
      <c r="J4099" s="0" t="n">
        <v>3.18</v>
      </c>
      <c r="K4099" s="0" t="n">
        <v>66.54</v>
      </c>
    </row>
    <row r="4100" customFormat="false" ht="15" hidden="false" customHeight="false" outlineLevel="0" collapsed="false">
      <c r="I4100" s="0" t="n">
        <v>2031</v>
      </c>
      <c r="J4100" s="0" t="n">
        <v>4.68</v>
      </c>
      <c r="K4100" s="0" t="n">
        <v>98.28</v>
      </c>
    </row>
    <row r="4101" customFormat="false" ht="15" hidden="false" customHeight="false" outlineLevel="0" collapsed="false">
      <c r="I4101" s="0" t="n">
        <v>2031</v>
      </c>
      <c r="J4101" s="0" t="n">
        <v>0.72</v>
      </c>
      <c r="K4101" s="0" t="n">
        <v>15.12</v>
      </c>
    </row>
    <row r="4102" customFormat="false" ht="15" hidden="false" customHeight="false" outlineLevel="0" collapsed="false">
      <c r="I4102" s="0" t="n">
        <v>2031</v>
      </c>
      <c r="J4102" s="0" t="n">
        <v>0.54</v>
      </c>
      <c r="K4102" s="0" t="n">
        <v>11.34</v>
      </c>
    </row>
    <row r="4103" customFormat="false" ht="15" hidden="false" customHeight="false" outlineLevel="0" collapsed="false">
      <c r="I4103" s="0" t="n">
        <v>2031</v>
      </c>
      <c r="J4103" s="0" t="n">
        <v>0.9</v>
      </c>
      <c r="K4103" s="0" t="n">
        <v>18.9</v>
      </c>
    </row>
    <row r="4104" customFormat="false" ht="15" hidden="false" customHeight="false" outlineLevel="0" collapsed="false">
      <c r="I4104" s="0" t="n">
        <v>2031</v>
      </c>
      <c r="J4104" s="0" t="n">
        <v>0.18</v>
      </c>
      <c r="K4104" s="0" t="n">
        <v>3.78</v>
      </c>
    </row>
    <row r="4105" customFormat="false" ht="15" hidden="false" customHeight="false" outlineLevel="0" collapsed="false">
      <c r="I4105" s="0" t="n">
        <v>2031</v>
      </c>
      <c r="J4105" s="0" t="n">
        <v>0.18</v>
      </c>
      <c r="K4105" s="0" t="n">
        <v>3.78</v>
      </c>
    </row>
    <row r="4106" customFormat="false" ht="15" hidden="false" customHeight="false" outlineLevel="0" collapsed="false">
      <c r="I4106" s="0" t="n">
        <v>2031</v>
      </c>
      <c r="J4106" s="0" t="n">
        <v>0</v>
      </c>
      <c r="K4106" s="0" t="n">
        <v>0</v>
      </c>
    </row>
    <row r="4107" customFormat="false" ht="15" hidden="false" customHeight="false" outlineLevel="0" collapsed="false">
      <c r="I4107" s="0" t="n">
        <v>2031</v>
      </c>
      <c r="J4107" s="0" t="n">
        <v>0.36</v>
      </c>
      <c r="K4107" s="0" t="n">
        <v>7.56</v>
      </c>
    </row>
    <row r="4108" customFormat="false" ht="15" hidden="false" customHeight="false" outlineLevel="0" collapsed="false">
      <c r="I4108" s="0" t="n">
        <v>2031</v>
      </c>
      <c r="J4108" s="0" t="n">
        <v>0.63</v>
      </c>
      <c r="K4108" s="0" t="n">
        <v>13.23</v>
      </c>
    </row>
    <row r="4109" customFormat="false" ht="15" hidden="false" customHeight="false" outlineLevel="0" collapsed="false">
      <c r="I4109" s="0" t="n">
        <v>2031</v>
      </c>
      <c r="J4109" s="0" t="n">
        <v>0.18</v>
      </c>
      <c r="K4109" s="0" t="n">
        <v>3.78</v>
      </c>
    </row>
    <row r="4110" customFormat="false" ht="15" hidden="false" customHeight="false" outlineLevel="0" collapsed="false">
      <c r="I4110" s="0" t="n">
        <v>2031</v>
      </c>
      <c r="J4110" s="0" t="n">
        <v>0.63</v>
      </c>
      <c r="K4110" s="0" t="n">
        <v>13.23</v>
      </c>
    </row>
    <row r="4111" customFormat="false" ht="15" hidden="false" customHeight="false" outlineLevel="0" collapsed="false">
      <c r="I4111" s="0" t="n">
        <v>2031</v>
      </c>
      <c r="J4111" s="0" t="n">
        <v>610.08</v>
      </c>
      <c r="K4111" s="0" t="n">
        <v>12812.16</v>
      </c>
    </row>
    <row r="4112" customFormat="false" ht="15" hidden="false" customHeight="false" outlineLevel="0" collapsed="false">
      <c r="I4112" s="0" t="n">
        <v>2031</v>
      </c>
      <c r="J4112" s="0" t="n">
        <v>203.36</v>
      </c>
      <c r="K4112" s="0" t="n">
        <v>4270.72</v>
      </c>
    </row>
    <row r="4113" customFormat="false" ht="15" hidden="false" customHeight="false" outlineLevel="0" collapsed="false">
      <c r="I4113" s="0" t="n">
        <v>2031</v>
      </c>
      <c r="J4113" s="0" t="n">
        <v>88.97</v>
      </c>
      <c r="K4113" s="0" t="n">
        <v>1868.44</v>
      </c>
    </row>
    <row r="4114" customFormat="false" ht="15" hidden="false" customHeight="false" outlineLevel="0" collapsed="false">
      <c r="I4114" s="0" t="n">
        <v>2031</v>
      </c>
      <c r="J4114" s="0" t="n">
        <v>50.84</v>
      </c>
      <c r="K4114" s="0" t="n">
        <v>1067.68</v>
      </c>
    </row>
    <row r="4115" customFormat="false" ht="15" hidden="false" customHeight="false" outlineLevel="0" collapsed="false">
      <c r="I4115" s="0" t="n">
        <v>2031</v>
      </c>
      <c r="J4115" s="0" t="n">
        <v>50.84</v>
      </c>
      <c r="K4115" s="0" t="n">
        <v>1067.68</v>
      </c>
    </row>
    <row r="4116" customFormat="false" ht="15" hidden="false" customHeight="false" outlineLevel="0" collapsed="false">
      <c r="I4116" s="0" t="n">
        <v>2031</v>
      </c>
      <c r="J4116" s="0" t="n">
        <v>25.42</v>
      </c>
      <c r="K4116" s="0" t="n">
        <v>533.84</v>
      </c>
    </row>
    <row r="4117" customFormat="false" ht="15" hidden="false" customHeight="false" outlineLevel="0" collapsed="false">
      <c r="I4117" s="0" t="n">
        <v>2031</v>
      </c>
      <c r="J4117" s="0" t="n">
        <v>25.42</v>
      </c>
      <c r="K4117" s="0" t="n">
        <v>533.84</v>
      </c>
    </row>
    <row r="4118" customFormat="false" ht="15" hidden="false" customHeight="false" outlineLevel="0" collapsed="false">
      <c r="I4118" s="0" t="n">
        <v>2031</v>
      </c>
      <c r="J4118" s="0" t="n">
        <v>50.84</v>
      </c>
      <c r="K4118" s="0" t="n">
        <v>1067.68</v>
      </c>
    </row>
    <row r="4119" customFormat="false" ht="15" hidden="false" customHeight="false" outlineLevel="0" collapsed="false">
      <c r="I4119" s="0" t="n">
        <v>2031</v>
      </c>
      <c r="J4119" s="0" t="n">
        <v>88.97</v>
      </c>
      <c r="K4119" s="0" t="n">
        <v>1868.44</v>
      </c>
    </row>
    <row r="4120" customFormat="false" ht="15" hidden="false" customHeight="false" outlineLevel="0" collapsed="false">
      <c r="I4120" s="0" t="n">
        <v>2031</v>
      </c>
      <c r="J4120" s="0" t="n">
        <v>38.13</v>
      </c>
      <c r="K4120" s="0" t="n">
        <v>800.76</v>
      </c>
    </row>
    <row r="4121" customFormat="false" ht="15" hidden="false" customHeight="false" outlineLevel="0" collapsed="false">
      <c r="I4121" s="0" t="n">
        <v>2031</v>
      </c>
      <c r="J4121" s="0" t="n">
        <v>38.13</v>
      </c>
      <c r="K4121" s="0" t="n">
        <v>800.76</v>
      </c>
    </row>
    <row r="4122" customFormat="false" ht="15" hidden="false" customHeight="false" outlineLevel="0" collapsed="false">
      <c r="I4122" s="0" t="n">
        <v>2031</v>
      </c>
      <c r="J4122" s="0" t="n">
        <v>59.8</v>
      </c>
      <c r="K4122" s="0" t="n">
        <v>1256.84</v>
      </c>
    </row>
    <row r="4123" customFormat="false" ht="15" hidden="false" customHeight="false" outlineLevel="0" collapsed="false">
      <c r="I4123" s="0" t="n">
        <v>2031</v>
      </c>
      <c r="J4123" s="0" t="n">
        <v>9.2</v>
      </c>
      <c r="K4123" s="0" t="n">
        <v>193.36</v>
      </c>
    </row>
    <row r="4124" customFormat="false" ht="15" hidden="false" customHeight="false" outlineLevel="0" collapsed="false">
      <c r="I4124" s="0" t="n">
        <v>2031</v>
      </c>
      <c r="J4124" s="0" t="n">
        <v>6.9</v>
      </c>
      <c r="K4124" s="0" t="n">
        <v>145.02</v>
      </c>
    </row>
    <row r="4125" customFormat="false" ht="15" hidden="false" customHeight="false" outlineLevel="0" collapsed="false">
      <c r="I4125" s="0" t="n">
        <v>2031</v>
      </c>
      <c r="J4125" s="0" t="n">
        <v>11.5</v>
      </c>
      <c r="K4125" s="0" t="n">
        <v>241.7</v>
      </c>
    </row>
    <row r="4126" customFormat="false" ht="15" hidden="false" customHeight="false" outlineLevel="0" collapsed="false">
      <c r="I4126" s="0" t="n">
        <v>2031</v>
      </c>
      <c r="J4126" s="0" t="n">
        <v>2.3</v>
      </c>
      <c r="K4126" s="0" t="n">
        <v>48.34</v>
      </c>
    </row>
    <row r="4127" customFormat="false" ht="15" hidden="false" customHeight="false" outlineLevel="0" collapsed="false">
      <c r="I4127" s="0" t="n">
        <v>2031</v>
      </c>
      <c r="J4127" s="0" t="n">
        <v>2.3</v>
      </c>
      <c r="K4127" s="0" t="n">
        <v>48.34</v>
      </c>
    </row>
    <row r="4128" customFormat="false" ht="15" hidden="false" customHeight="false" outlineLevel="0" collapsed="false">
      <c r="I4128" s="0" t="n">
        <v>2031</v>
      </c>
      <c r="J4128" s="0" t="n">
        <v>0</v>
      </c>
      <c r="K4128" s="0" t="n">
        <v>0</v>
      </c>
    </row>
    <row r="4129" customFormat="false" ht="15" hidden="false" customHeight="false" outlineLevel="0" collapsed="false">
      <c r="I4129" s="0" t="n">
        <v>2031</v>
      </c>
      <c r="J4129" s="0" t="n">
        <v>4.6</v>
      </c>
      <c r="K4129" s="0" t="n">
        <v>96.68</v>
      </c>
    </row>
    <row r="4130" customFormat="false" ht="15" hidden="false" customHeight="false" outlineLevel="0" collapsed="false">
      <c r="I4130" s="0" t="n">
        <v>2031</v>
      </c>
      <c r="J4130" s="0" t="n">
        <v>8.05</v>
      </c>
      <c r="K4130" s="0" t="n">
        <v>169.19</v>
      </c>
    </row>
    <row r="4131" customFormat="false" ht="15" hidden="false" customHeight="false" outlineLevel="0" collapsed="false">
      <c r="I4131" s="0" t="n">
        <v>2031</v>
      </c>
      <c r="J4131" s="0" t="n">
        <v>2.3</v>
      </c>
      <c r="K4131" s="0" t="n">
        <v>48.34</v>
      </c>
    </row>
    <row r="4132" customFormat="false" ht="15" hidden="false" customHeight="false" outlineLevel="0" collapsed="false">
      <c r="I4132" s="0" t="n">
        <v>2031</v>
      </c>
      <c r="J4132" s="0" t="n">
        <v>8.05</v>
      </c>
      <c r="K4132" s="0" t="n">
        <v>169.19</v>
      </c>
    </row>
    <row r="4133" customFormat="false" ht="15" hidden="false" customHeight="false" outlineLevel="0" collapsed="false">
      <c r="I4133" s="0" t="n">
        <v>2031</v>
      </c>
      <c r="J4133" s="0" t="n">
        <v>448.8</v>
      </c>
      <c r="K4133" s="0" t="n">
        <v>9422.88</v>
      </c>
    </row>
    <row r="4134" customFormat="false" ht="15" hidden="false" customHeight="false" outlineLevel="0" collapsed="false">
      <c r="I4134" s="0" t="n">
        <v>2031</v>
      </c>
      <c r="J4134" s="0" t="n">
        <v>149.6</v>
      </c>
      <c r="K4134" s="0" t="n">
        <v>3140.96</v>
      </c>
    </row>
    <row r="4135" customFormat="false" ht="15" hidden="false" customHeight="false" outlineLevel="0" collapsed="false">
      <c r="I4135" s="0" t="n">
        <v>2031</v>
      </c>
      <c r="J4135" s="0" t="n">
        <v>65.45</v>
      </c>
      <c r="K4135" s="0" t="n">
        <v>1374.17</v>
      </c>
    </row>
    <row r="4136" customFormat="false" ht="15" hidden="false" customHeight="false" outlineLevel="0" collapsed="false">
      <c r="I4136" s="0" t="n">
        <v>2031</v>
      </c>
      <c r="J4136" s="0" t="n">
        <v>37.4</v>
      </c>
      <c r="K4136" s="0" t="n">
        <v>785.24</v>
      </c>
    </row>
    <row r="4137" customFormat="false" ht="15" hidden="false" customHeight="false" outlineLevel="0" collapsed="false">
      <c r="I4137" s="0" t="n">
        <v>2031</v>
      </c>
      <c r="J4137" s="0" t="n">
        <v>37.4</v>
      </c>
      <c r="K4137" s="0" t="n">
        <v>785.24</v>
      </c>
    </row>
    <row r="4138" customFormat="false" ht="15" hidden="false" customHeight="false" outlineLevel="0" collapsed="false">
      <c r="I4138" s="0" t="n">
        <v>2031</v>
      </c>
      <c r="J4138" s="0" t="n">
        <v>18.7</v>
      </c>
      <c r="K4138" s="0" t="n">
        <v>392.62</v>
      </c>
    </row>
    <row r="4139" customFormat="false" ht="15" hidden="false" customHeight="false" outlineLevel="0" collapsed="false">
      <c r="I4139" s="0" t="n">
        <v>2031</v>
      </c>
      <c r="J4139" s="0" t="n">
        <v>18.7</v>
      </c>
      <c r="K4139" s="0" t="n">
        <v>392.62</v>
      </c>
    </row>
    <row r="4140" customFormat="false" ht="15" hidden="false" customHeight="false" outlineLevel="0" collapsed="false">
      <c r="I4140" s="0" t="n">
        <v>2031</v>
      </c>
      <c r="J4140" s="0" t="n">
        <v>37.4</v>
      </c>
      <c r="K4140" s="0" t="n">
        <v>785.24</v>
      </c>
    </row>
    <row r="4141" customFormat="false" ht="15" hidden="false" customHeight="false" outlineLevel="0" collapsed="false">
      <c r="I4141" s="0" t="n">
        <v>2031</v>
      </c>
      <c r="J4141" s="0" t="n">
        <v>65.45</v>
      </c>
      <c r="K4141" s="0" t="n">
        <v>1374.17</v>
      </c>
    </row>
    <row r="4142" customFormat="false" ht="15" hidden="false" customHeight="false" outlineLevel="0" collapsed="false">
      <c r="I4142" s="0" t="n">
        <v>2031</v>
      </c>
      <c r="J4142" s="0" t="n">
        <v>28.05</v>
      </c>
      <c r="K4142" s="0" t="n">
        <v>588.93</v>
      </c>
    </row>
    <row r="4143" customFormat="false" ht="15" hidden="false" customHeight="false" outlineLevel="0" collapsed="false">
      <c r="I4143" s="0" t="n">
        <v>2031</v>
      </c>
      <c r="J4143" s="0" t="n">
        <v>28.05</v>
      </c>
      <c r="K4143" s="0" t="n">
        <v>588.93</v>
      </c>
    </row>
    <row r="4144" customFormat="false" ht="15" hidden="false" customHeight="false" outlineLevel="0" collapsed="false">
      <c r="I4144" s="0" t="n">
        <v>2031</v>
      </c>
      <c r="J4144" s="0" t="n">
        <v>58.24</v>
      </c>
      <c r="K4144" s="0" t="n">
        <v>1224.6</v>
      </c>
    </row>
    <row r="4145" customFormat="false" ht="15" hidden="false" customHeight="false" outlineLevel="0" collapsed="false">
      <c r="I4145" s="0" t="n">
        <v>2031</v>
      </c>
      <c r="J4145" s="0" t="n">
        <v>8.96</v>
      </c>
      <c r="K4145" s="0" t="n">
        <v>188.4</v>
      </c>
    </row>
    <row r="4146" customFormat="false" ht="15" hidden="false" customHeight="false" outlineLevel="0" collapsed="false">
      <c r="I4146" s="0" t="n">
        <v>2031</v>
      </c>
      <c r="J4146" s="0" t="n">
        <v>6.72</v>
      </c>
      <c r="K4146" s="0" t="n">
        <v>141.3</v>
      </c>
    </row>
    <row r="4147" customFormat="false" ht="15" hidden="false" customHeight="false" outlineLevel="0" collapsed="false">
      <c r="I4147" s="0" t="n">
        <v>2031</v>
      </c>
      <c r="J4147" s="0" t="n">
        <v>11.2</v>
      </c>
      <c r="K4147" s="0" t="n">
        <v>235.5</v>
      </c>
    </row>
    <row r="4148" customFormat="false" ht="15" hidden="false" customHeight="false" outlineLevel="0" collapsed="false">
      <c r="I4148" s="0" t="n">
        <v>2031</v>
      </c>
      <c r="J4148" s="0" t="n">
        <v>2.24</v>
      </c>
      <c r="K4148" s="0" t="n">
        <v>47.1</v>
      </c>
    </row>
    <row r="4149" customFormat="false" ht="15" hidden="false" customHeight="false" outlineLevel="0" collapsed="false">
      <c r="I4149" s="0" t="n">
        <v>2031</v>
      </c>
      <c r="J4149" s="0" t="n">
        <v>2.24</v>
      </c>
      <c r="K4149" s="0" t="n">
        <v>47.1</v>
      </c>
    </row>
    <row r="4150" customFormat="false" ht="15" hidden="false" customHeight="false" outlineLevel="0" collapsed="false">
      <c r="I4150" s="0" t="n">
        <v>2031</v>
      </c>
      <c r="J4150" s="0" t="n">
        <v>0</v>
      </c>
      <c r="K4150" s="0" t="n">
        <v>0</v>
      </c>
    </row>
    <row r="4151" customFormat="false" ht="15" hidden="false" customHeight="false" outlineLevel="0" collapsed="false">
      <c r="I4151" s="0" t="n">
        <v>2031</v>
      </c>
      <c r="J4151" s="0" t="n">
        <v>4.48</v>
      </c>
      <c r="K4151" s="0" t="n">
        <v>94.2</v>
      </c>
    </row>
    <row r="4152" customFormat="false" ht="15" hidden="false" customHeight="false" outlineLevel="0" collapsed="false">
      <c r="I4152" s="0" t="n">
        <v>2031</v>
      </c>
      <c r="J4152" s="0" t="n">
        <v>7.84</v>
      </c>
      <c r="K4152" s="0" t="n">
        <v>164.85</v>
      </c>
    </row>
    <row r="4153" customFormat="false" ht="15" hidden="false" customHeight="false" outlineLevel="0" collapsed="false">
      <c r="I4153" s="0" t="n">
        <v>2031</v>
      </c>
      <c r="J4153" s="0" t="n">
        <v>2.24</v>
      </c>
      <c r="K4153" s="0" t="n">
        <v>47.1</v>
      </c>
    </row>
    <row r="4154" customFormat="false" ht="15" hidden="false" customHeight="false" outlineLevel="0" collapsed="false">
      <c r="I4154" s="0" t="n">
        <v>2031</v>
      </c>
      <c r="J4154" s="0" t="n">
        <v>7.84</v>
      </c>
      <c r="K4154" s="0" t="n">
        <v>164.85</v>
      </c>
    </row>
    <row r="4155" customFormat="false" ht="15" hidden="false" customHeight="false" outlineLevel="0" collapsed="false">
      <c r="I4155" s="0" t="n">
        <v>2031</v>
      </c>
      <c r="J4155" s="0" t="n">
        <v>119.52</v>
      </c>
      <c r="K4155" s="0" t="n">
        <v>2508.96</v>
      </c>
    </row>
    <row r="4156" customFormat="false" ht="15" hidden="false" customHeight="false" outlineLevel="0" collapsed="false">
      <c r="I4156" s="0" t="n">
        <v>2031</v>
      </c>
      <c r="J4156" s="0" t="n">
        <v>39.84</v>
      </c>
      <c r="K4156" s="0" t="n">
        <v>836.32</v>
      </c>
    </row>
    <row r="4157" customFormat="false" ht="15" hidden="false" customHeight="false" outlineLevel="0" collapsed="false">
      <c r="I4157" s="0" t="n">
        <v>2031</v>
      </c>
      <c r="J4157" s="0" t="n">
        <v>17.43</v>
      </c>
      <c r="K4157" s="0" t="n">
        <v>365.89</v>
      </c>
    </row>
    <row r="4158" customFormat="false" ht="15" hidden="false" customHeight="false" outlineLevel="0" collapsed="false">
      <c r="I4158" s="0" t="n">
        <v>2031</v>
      </c>
      <c r="J4158" s="0" t="n">
        <v>9.96</v>
      </c>
      <c r="K4158" s="0" t="n">
        <v>209.08</v>
      </c>
    </row>
    <row r="4159" customFormat="false" ht="15" hidden="false" customHeight="false" outlineLevel="0" collapsed="false">
      <c r="I4159" s="0" t="n">
        <v>2031</v>
      </c>
      <c r="J4159" s="0" t="n">
        <v>9.96</v>
      </c>
      <c r="K4159" s="0" t="n">
        <v>209.08</v>
      </c>
    </row>
    <row r="4160" customFormat="false" ht="15" hidden="false" customHeight="false" outlineLevel="0" collapsed="false">
      <c r="I4160" s="0" t="n">
        <v>2031</v>
      </c>
      <c r="J4160" s="0" t="n">
        <v>4.98</v>
      </c>
      <c r="K4160" s="0" t="n">
        <v>104.54</v>
      </c>
    </row>
    <row r="4161" customFormat="false" ht="15" hidden="false" customHeight="false" outlineLevel="0" collapsed="false">
      <c r="I4161" s="0" t="n">
        <v>2031</v>
      </c>
      <c r="J4161" s="0" t="n">
        <v>4.98</v>
      </c>
      <c r="K4161" s="0" t="n">
        <v>104.54</v>
      </c>
    </row>
    <row r="4162" customFormat="false" ht="15" hidden="false" customHeight="false" outlineLevel="0" collapsed="false">
      <c r="I4162" s="0" t="n">
        <v>2031</v>
      </c>
      <c r="J4162" s="0" t="n">
        <v>9.96</v>
      </c>
      <c r="K4162" s="0" t="n">
        <v>209.08</v>
      </c>
    </row>
    <row r="4163" customFormat="false" ht="15" hidden="false" customHeight="false" outlineLevel="0" collapsed="false">
      <c r="I4163" s="0" t="n">
        <v>2031</v>
      </c>
      <c r="J4163" s="0" t="n">
        <v>17.43</v>
      </c>
      <c r="K4163" s="0" t="n">
        <v>365.89</v>
      </c>
    </row>
    <row r="4164" customFormat="false" ht="15" hidden="false" customHeight="false" outlineLevel="0" collapsed="false">
      <c r="I4164" s="0" t="n">
        <v>2031</v>
      </c>
      <c r="J4164" s="0" t="n">
        <v>7.47</v>
      </c>
      <c r="K4164" s="0" t="n">
        <v>156.81</v>
      </c>
    </row>
    <row r="4165" customFormat="false" ht="15" hidden="false" customHeight="false" outlineLevel="0" collapsed="false">
      <c r="I4165" s="0" t="n">
        <v>2031</v>
      </c>
      <c r="J4165" s="0" t="n">
        <v>7.47</v>
      </c>
      <c r="K4165" s="0" t="n">
        <v>156.81</v>
      </c>
    </row>
    <row r="4166" customFormat="false" ht="15" hidden="false" customHeight="false" outlineLevel="0" collapsed="false">
      <c r="I4166" s="0" t="n">
        <v>2031</v>
      </c>
      <c r="J4166" s="0" t="n">
        <v>33.28</v>
      </c>
      <c r="K4166" s="0" t="n">
        <v>696.8</v>
      </c>
    </row>
    <row r="4167" customFormat="false" ht="15" hidden="false" customHeight="false" outlineLevel="0" collapsed="false">
      <c r="I4167" s="0" t="n">
        <v>2031</v>
      </c>
      <c r="J4167" s="0" t="n">
        <v>5.12</v>
      </c>
      <c r="K4167" s="0" t="n">
        <v>107.2</v>
      </c>
    </row>
    <row r="4168" customFormat="false" ht="15" hidden="false" customHeight="false" outlineLevel="0" collapsed="false">
      <c r="I4168" s="0" t="n">
        <v>2031</v>
      </c>
      <c r="J4168" s="0" t="n">
        <v>3.84</v>
      </c>
      <c r="K4168" s="0" t="n">
        <v>80.4</v>
      </c>
    </row>
    <row r="4169" customFormat="false" ht="15" hidden="false" customHeight="false" outlineLevel="0" collapsed="false">
      <c r="I4169" s="0" t="n">
        <v>2031</v>
      </c>
      <c r="J4169" s="0" t="n">
        <v>6.4</v>
      </c>
      <c r="K4169" s="0" t="n">
        <v>134</v>
      </c>
    </row>
    <row r="4170" customFormat="false" ht="15" hidden="false" customHeight="false" outlineLevel="0" collapsed="false">
      <c r="I4170" s="0" t="n">
        <v>2031</v>
      </c>
      <c r="J4170" s="0" t="n">
        <v>1.28</v>
      </c>
      <c r="K4170" s="0" t="n">
        <v>26.8</v>
      </c>
    </row>
    <row r="4171" customFormat="false" ht="15" hidden="false" customHeight="false" outlineLevel="0" collapsed="false">
      <c r="I4171" s="0" t="n">
        <v>2031</v>
      </c>
      <c r="J4171" s="0" t="n">
        <v>1.28</v>
      </c>
      <c r="K4171" s="0" t="n">
        <v>26.8</v>
      </c>
    </row>
    <row r="4172" customFormat="false" ht="15" hidden="false" customHeight="false" outlineLevel="0" collapsed="false">
      <c r="I4172" s="0" t="n">
        <v>2031</v>
      </c>
      <c r="J4172" s="0" t="n">
        <v>0</v>
      </c>
      <c r="K4172" s="0" t="n">
        <v>0</v>
      </c>
    </row>
    <row r="4173" customFormat="false" ht="15" hidden="false" customHeight="false" outlineLevel="0" collapsed="false">
      <c r="I4173" s="0" t="n">
        <v>2031</v>
      </c>
      <c r="J4173" s="0" t="n">
        <v>2.56</v>
      </c>
      <c r="K4173" s="0" t="n">
        <v>53.6</v>
      </c>
    </row>
    <row r="4174" customFormat="false" ht="15" hidden="false" customHeight="false" outlineLevel="0" collapsed="false">
      <c r="I4174" s="0" t="n">
        <v>2031</v>
      </c>
      <c r="J4174" s="0" t="n">
        <v>4.48</v>
      </c>
      <c r="K4174" s="0" t="n">
        <v>93.8</v>
      </c>
    </row>
    <row r="4175" customFormat="false" ht="15" hidden="false" customHeight="false" outlineLevel="0" collapsed="false">
      <c r="I4175" s="0" t="n">
        <v>2031</v>
      </c>
      <c r="J4175" s="0" t="n">
        <v>1.28</v>
      </c>
      <c r="K4175" s="0" t="n">
        <v>26.8</v>
      </c>
    </row>
    <row r="4176" customFormat="false" ht="15" hidden="false" customHeight="false" outlineLevel="0" collapsed="false">
      <c r="I4176" s="0" t="n">
        <v>2031</v>
      </c>
      <c r="J4176" s="0" t="n">
        <v>4.48</v>
      </c>
      <c r="K4176" s="0" t="n">
        <v>93.8</v>
      </c>
    </row>
    <row r="4177" customFormat="false" ht="15" hidden="false" customHeight="false" outlineLevel="0" collapsed="false">
      <c r="I4177" s="0" t="n">
        <v>2031</v>
      </c>
      <c r="J4177" s="0" t="n">
        <v>844.8</v>
      </c>
      <c r="K4177" s="0" t="n">
        <v>17744.64</v>
      </c>
    </row>
    <row r="4178" customFormat="false" ht="15" hidden="false" customHeight="false" outlineLevel="0" collapsed="false">
      <c r="I4178" s="0" t="n">
        <v>2031</v>
      </c>
      <c r="J4178" s="0" t="n">
        <v>281.6</v>
      </c>
      <c r="K4178" s="0" t="n">
        <v>5914.88</v>
      </c>
    </row>
    <row r="4179" customFormat="false" ht="15" hidden="false" customHeight="false" outlineLevel="0" collapsed="false">
      <c r="I4179" s="0" t="n">
        <v>2031</v>
      </c>
      <c r="J4179" s="0" t="n">
        <v>123.2</v>
      </c>
      <c r="K4179" s="0" t="n">
        <v>2587.76</v>
      </c>
    </row>
    <row r="4180" customFormat="false" ht="15" hidden="false" customHeight="false" outlineLevel="0" collapsed="false">
      <c r="I4180" s="0" t="n">
        <v>2031</v>
      </c>
      <c r="J4180" s="0" t="n">
        <v>70.4</v>
      </c>
      <c r="K4180" s="0" t="n">
        <v>1478.72</v>
      </c>
    </row>
    <row r="4181" customFormat="false" ht="15" hidden="false" customHeight="false" outlineLevel="0" collapsed="false">
      <c r="I4181" s="0" t="n">
        <v>2031</v>
      </c>
      <c r="J4181" s="0" t="n">
        <v>70.4</v>
      </c>
      <c r="K4181" s="0" t="n">
        <v>1478.72</v>
      </c>
    </row>
    <row r="4182" customFormat="false" ht="15" hidden="false" customHeight="false" outlineLevel="0" collapsed="false">
      <c r="I4182" s="0" t="n">
        <v>2031</v>
      </c>
      <c r="J4182" s="0" t="n">
        <v>35.2</v>
      </c>
      <c r="K4182" s="0" t="n">
        <v>739.36</v>
      </c>
    </row>
    <row r="4183" customFormat="false" ht="15" hidden="false" customHeight="false" outlineLevel="0" collapsed="false">
      <c r="I4183" s="0" t="n">
        <v>2031</v>
      </c>
      <c r="J4183" s="0" t="n">
        <v>35.2</v>
      </c>
      <c r="K4183" s="0" t="n">
        <v>739.36</v>
      </c>
    </row>
    <row r="4184" customFormat="false" ht="15" hidden="false" customHeight="false" outlineLevel="0" collapsed="false">
      <c r="I4184" s="0" t="n">
        <v>2031</v>
      </c>
      <c r="J4184" s="0" t="n">
        <v>70.4</v>
      </c>
      <c r="K4184" s="0" t="n">
        <v>1478.72</v>
      </c>
    </row>
    <row r="4185" customFormat="false" ht="15" hidden="false" customHeight="false" outlineLevel="0" collapsed="false">
      <c r="I4185" s="0" t="n">
        <v>2031</v>
      </c>
      <c r="J4185" s="0" t="n">
        <v>123.2</v>
      </c>
      <c r="K4185" s="0" t="n">
        <v>2587.76</v>
      </c>
    </row>
    <row r="4186" customFormat="false" ht="15" hidden="false" customHeight="false" outlineLevel="0" collapsed="false">
      <c r="I4186" s="0" t="n">
        <v>2031</v>
      </c>
      <c r="J4186" s="0" t="n">
        <v>52.8</v>
      </c>
      <c r="K4186" s="0" t="n">
        <v>1109.04</v>
      </c>
    </row>
    <row r="4187" customFormat="false" ht="15" hidden="false" customHeight="false" outlineLevel="0" collapsed="false">
      <c r="I4187" s="0" t="n">
        <v>2031</v>
      </c>
      <c r="J4187" s="0" t="n">
        <v>52.8</v>
      </c>
      <c r="K4187" s="0" t="n">
        <v>1109.04</v>
      </c>
    </row>
    <row r="4188" customFormat="false" ht="15" hidden="false" customHeight="false" outlineLevel="0" collapsed="false">
      <c r="I4188" s="0" t="n">
        <v>2031</v>
      </c>
      <c r="J4188" s="0" t="n">
        <v>205.4</v>
      </c>
      <c r="K4188" s="0" t="n">
        <v>4309.76</v>
      </c>
    </row>
    <row r="4189" customFormat="false" ht="15" hidden="false" customHeight="false" outlineLevel="0" collapsed="false">
      <c r="I4189" s="0" t="n">
        <v>2031</v>
      </c>
      <c r="J4189" s="0" t="n">
        <v>31.6</v>
      </c>
      <c r="K4189" s="0" t="n">
        <v>663.04</v>
      </c>
    </row>
    <row r="4190" customFormat="false" ht="15" hidden="false" customHeight="false" outlineLevel="0" collapsed="false">
      <c r="I4190" s="0" t="n">
        <v>2031</v>
      </c>
      <c r="J4190" s="0" t="n">
        <v>23.7</v>
      </c>
      <c r="K4190" s="0" t="n">
        <v>497.28</v>
      </c>
    </row>
    <row r="4191" customFormat="false" ht="15" hidden="false" customHeight="false" outlineLevel="0" collapsed="false">
      <c r="I4191" s="0" t="n">
        <v>2031</v>
      </c>
      <c r="J4191" s="0" t="n">
        <v>39.5</v>
      </c>
      <c r="K4191" s="0" t="n">
        <v>828.8</v>
      </c>
    </row>
    <row r="4192" customFormat="false" ht="15" hidden="false" customHeight="false" outlineLevel="0" collapsed="false">
      <c r="I4192" s="0" t="n">
        <v>2031</v>
      </c>
      <c r="J4192" s="0" t="n">
        <v>7.9</v>
      </c>
      <c r="K4192" s="0" t="n">
        <v>165.76</v>
      </c>
    </row>
    <row r="4193" customFormat="false" ht="15" hidden="false" customHeight="false" outlineLevel="0" collapsed="false">
      <c r="I4193" s="0" t="n">
        <v>2031</v>
      </c>
      <c r="J4193" s="0" t="n">
        <v>7.9</v>
      </c>
      <c r="K4193" s="0" t="n">
        <v>165.76</v>
      </c>
    </row>
    <row r="4194" customFormat="false" ht="15" hidden="false" customHeight="false" outlineLevel="0" collapsed="false">
      <c r="I4194" s="0" t="n">
        <v>2031</v>
      </c>
      <c r="J4194" s="0" t="n">
        <v>0</v>
      </c>
      <c r="K4194" s="0" t="n">
        <v>0</v>
      </c>
    </row>
    <row r="4195" customFormat="false" ht="15" hidden="false" customHeight="false" outlineLevel="0" collapsed="false">
      <c r="I4195" s="0" t="n">
        <v>2031</v>
      </c>
      <c r="J4195" s="0" t="n">
        <v>15.8</v>
      </c>
      <c r="K4195" s="0" t="n">
        <v>331.52</v>
      </c>
    </row>
    <row r="4196" customFormat="false" ht="15" hidden="false" customHeight="false" outlineLevel="0" collapsed="false">
      <c r="I4196" s="0" t="n">
        <v>2031</v>
      </c>
      <c r="J4196" s="0" t="n">
        <v>27.65</v>
      </c>
      <c r="K4196" s="0" t="n">
        <v>580.16</v>
      </c>
    </row>
    <row r="4197" customFormat="false" ht="15" hidden="false" customHeight="false" outlineLevel="0" collapsed="false">
      <c r="I4197" s="0" t="n">
        <v>2031</v>
      </c>
      <c r="J4197" s="0" t="n">
        <v>7.9</v>
      </c>
      <c r="K4197" s="0" t="n">
        <v>165.76</v>
      </c>
    </row>
    <row r="4198" customFormat="false" ht="15" hidden="false" customHeight="false" outlineLevel="0" collapsed="false">
      <c r="I4198" s="0" t="n">
        <v>2031</v>
      </c>
      <c r="J4198" s="0" t="n">
        <v>27.65</v>
      </c>
      <c r="K4198" s="0" t="n">
        <v>580.16</v>
      </c>
    </row>
    <row r="4199" customFormat="false" ht="15" hidden="false" customHeight="false" outlineLevel="0" collapsed="false">
      <c r="I4199" s="0" t="n">
        <v>2031</v>
      </c>
      <c r="J4199" s="0" t="n">
        <v>434.4</v>
      </c>
      <c r="K4199" s="0" t="n">
        <v>9122.88</v>
      </c>
    </row>
    <row r="4200" customFormat="false" ht="15" hidden="false" customHeight="false" outlineLevel="0" collapsed="false">
      <c r="I4200" s="0" t="n">
        <v>2031</v>
      </c>
      <c r="J4200" s="0" t="n">
        <v>144.8</v>
      </c>
      <c r="K4200" s="0" t="n">
        <v>3040.96</v>
      </c>
    </row>
    <row r="4201" customFormat="false" ht="15" hidden="false" customHeight="false" outlineLevel="0" collapsed="false">
      <c r="I4201" s="0" t="n">
        <v>2031</v>
      </c>
      <c r="J4201" s="0" t="n">
        <v>63.35</v>
      </c>
      <c r="K4201" s="0" t="n">
        <v>1330.42</v>
      </c>
    </row>
    <row r="4202" customFormat="false" ht="15" hidden="false" customHeight="false" outlineLevel="0" collapsed="false">
      <c r="I4202" s="0" t="n">
        <v>2031</v>
      </c>
      <c r="J4202" s="0" t="n">
        <v>36.2</v>
      </c>
      <c r="K4202" s="0" t="n">
        <v>760.24</v>
      </c>
    </row>
    <row r="4203" customFormat="false" ht="15" hidden="false" customHeight="false" outlineLevel="0" collapsed="false">
      <c r="I4203" s="0" t="n">
        <v>2031</v>
      </c>
      <c r="J4203" s="0" t="n">
        <v>36.2</v>
      </c>
      <c r="K4203" s="0" t="n">
        <v>760.24</v>
      </c>
    </row>
    <row r="4204" customFormat="false" ht="15" hidden="false" customHeight="false" outlineLevel="0" collapsed="false">
      <c r="I4204" s="0" t="n">
        <v>2031</v>
      </c>
      <c r="J4204" s="0" t="n">
        <v>18.1</v>
      </c>
      <c r="K4204" s="0" t="n">
        <v>380.12</v>
      </c>
    </row>
    <row r="4205" customFormat="false" ht="15" hidden="false" customHeight="false" outlineLevel="0" collapsed="false">
      <c r="I4205" s="0" t="n">
        <v>2031</v>
      </c>
      <c r="J4205" s="0" t="n">
        <v>18.1</v>
      </c>
      <c r="K4205" s="0" t="n">
        <v>380.12</v>
      </c>
    </row>
    <row r="4206" customFormat="false" ht="15" hidden="false" customHeight="false" outlineLevel="0" collapsed="false">
      <c r="I4206" s="0" t="n">
        <v>2031</v>
      </c>
      <c r="J4206" s="0" t="n">
        <v>36.2</v>
      </c>
      <c r="K4206" s="0" t="n">
        <v>760.24</v>
      </c>
    </row>
    <row r="4207" customFormat="false" ht="15" hidden="false" customHeight="false" outlineLevel="0" collapsed="false">
      <c r="I4207" s="0" t="n">
        <v>2031</v>
      </c>
      <c r="J4207" s="0" t="n">
        <v>63.35</v>
      </c>
      <c r="K4207" s="0" t="n">
        <v>1330.42</v>
      </c>
    </row>
    <row r="4208" customFormat="false" ht="15" hidden="false" customHeight="false" outlineLevel="0" collapsed="false">
      <c r="I4208" s="0" t="n">
        <v>2031</v>
      </c>
      <c r="J4208" s="0" t="n">
        <v>27.15</v>
      </c>
      <c r="K4208" s="0" t="n">
        <v>570.18</v>
      </c>
    </row>
    <row r="4209" customFormat="false" ht="15" hidden="false" customHeight="false" outlineLevel="0" collapsed="false">
      <c r="I4209" s="0" t="n">
        <v>2031</v>
      </c>
      <c r="J4209" s="0" t="n">
        <v>27.15</v>
      </c>
      <c r="K4209" s="0" t="n">
        <v>570.18</v>
      </c>
    </row>
    <row r="4210" customFormat="false" ht="15" hidden="false" customHeight="false" outlineLevel="0" collapsed="false">
      <c r="I4210" s="0" t="n">
        <v>2031</v>
      </c>
      <c r="J4210" s="0" t="n">
        <v>210.6</v>
      </c>
      <c r="K4210" s="0" t="n">
        <v>4424.16</v>
      </c>
    </row>
    <row r="4211" customFormat="false" ht="15" hidden="false" customHeight="false" outlineLevel="0" collapsed="false">
      <c r="I4211" s="0" t="n">
        <v>2031</v>
      </c>
      <c r="J4211" s="0" t="n">
        <v>32.4</v>
      </c>
      <c r="K4211" s="0" t="n">
        <v>680.64</v>
      </c>
    </row>
    <row r="4212" customFormat="false" ht="15" hidden="false" customHeight="false" outlineLevel="0" collapsed="false">
      <c r="I4212" s="0" t="n">
        <v>2031</v>
      </c>
      <c r="J4212" s="0" t="n">
        <v>24.3</v>
      </c>
      <c r="K4212" s="0" t="n">
        <v>510.48</v>
      </c>
    </row>
    <row r="4213" customFormat="false" ht="15" hidden="false" customHeight="false" outlineLevel="0" collapsed="false">
      <c r="I4213" s="0" t="n">
        <v>2031</v>
      </c>
      <c r="J4213" s="0" t="n">
        <v>40.5</v>
      </c>
      <c r="K4213" s="0" t="n">
        <v>850.8</v>
      </c>
    </row>
    <row r="4214" customFormat="false" ht="15" hidden="false" customHeight="false" outlineLevel="0" collapsed="false">
      <c r="I4214" s="0" t="n">
        <v>2031</v>
      </c>
      <c r="J4214" s="0" t="n">
        <v>8.1</v>
      </c>
      <c r="K4214" s="0" t="n">
        <v>170.16</v>
      </c>
    </row>
    <row r="4215" customFormat="false" ht="15" hidden="false" customHeight="false" outlineLevel="0" collapsed="false">
      <c r="I4215" s="0" t="n">
        <v>2031</v>
      </c>
      <c r="J4215" s="0" t="n">
        <v>8.1</v>
      </c>
      <c r="K4215" s="0" t="n">
        <v>170.16</v>
      </c>
    </row>
    <row r="4216" customFormat="false" ht="15" hidden="false" customHeight="false" outlineLevel="0" collapsed="false">
      <c r="I4216" s="0" t="n">
        <v>2031</v>
      </c>
      <c r="J4216" s="0" t="n">
        <v>0</v>
      </c>
      <c r="K4216" s="0" t="n">
        <v>0</v>
      </c>
    </row>
    <row r="4217" customFormat="false" ht="15" hidden="false" customHeight="false" outlineLevel="0" collapsed="false">
      <c r="I4217" s="0" t="n">
        <v>2031</v>
      </c>
      <c r="J4217" s="0" t="n">
        <v>16.2</v>
      </c>
      <c r="K4217" s="0" t="n">
        <v>340.32</v>
      </c>
    </row>
    <row r="4218" customFormat="false" ht="15" hidden="false" customHeight="false" outlineLevel="0" collapsed="false">
      <c r="I4218" s="0" t="n">
        <v>2031</v>
      </c>
      <c r="J4218" s="0" t="n">
        <v>28.35</v>
      </c>
      <c r="K4218" s="0" t="n">
        <v>595.56</v>
      </c>
    </row>
    <row r="4219" customFormat="false" ht="15" hidden="false" customHeight="false" outlineLevel="0" collapsed="false">
      <c r="I4219" s="0" t="n">
        <v>2031</v>
      </c>
      <c r="J4219" s="0" t="n">
        <v>8.1</v>
      </c>
      <c r="K4219" s="0" t="n">
        <v>170.16</v>
      </c>
    </row>
    <row r="4220" customFormat="false" ht="15" hidden="false" customHeight="false" outlineLevel="0" collapsed="false">
      <c r="I4220" s="0" t="n">
        <v>2031</v>
      </c>
      <c r="J4220" s="0" t="n">
        <v>28.35</v>
      </c>
      <c r="K4220" s="0" t="n">
        <v>595.56</v>
      </c>
    </row>
    <row r="4221" customFormat="false" ht="15" hidden="false" customHeight="false" outlineLevel="0" collapsed="false">
      <c r="I4221" s="0" t="n">
        <v>2031</v>
      </c>
      <c r="J4221" s="0" t="n">
        <v>343.68</v>
      </c>
      <c r="K4221" s="0" t="n">
        <v>7217.76</v>
      </c>
    </row>
    <row r="4222" customFormat="false" ht="15" hidden="false" customHeight="false" outlineLevel="0" collapsed="false">
      <c r="I4222" s="0" t="n">
        <v>2031</v>
      </c>
      <c r="J4222" s="0" t="n">
        <v>114.56</v>
      </c>
      <c r="K4222" s="0" t="n">
        <v>2405.92</v>
      </c>
    </row>
    <row r="4223" customFormat="false" ht="15" hidden="false" customHeight="false" outlineLevel="0" collapsed="false">
      <c r="I4223" s="0" t="n">
        <v>2031</v>
      </c>
      <c r="J4223" s="0" t="n">
        <v>50.12</v>
      </c>
      <c r="K4223" s="0" t="n">
        <v>1052.59</v>
      </c>
    </row>
    <row r="4224" customFormat="false" ht="15" hidden="false" customHeight="false" outlineLevel="0" collapsed="false">
      <c r="I4224" s="0" t="n">
        <v>2031</v>
      </c>
      <c r="J4224" s="0" t="n">
        <v>28.64</v>
      </c>
      <c r="K4224" s="0" t="n">
        <v>601.48</v>
      </c>
    </row>
    <row r="4225" customFormat="false" ht="15" hidden="false" customHeight="false" outlineLevel="0" collapsed="false">
      <c r="I4225" s="0" t="n">
        <v>2031</v>
      </c>
      <c r="J4225" s="0" t="n">
        <v>28.64</v>
      </c>
      <c r="K4225" s="0" t="n">
        <v>601.48</v>
      </c>
    </row>
    <row r="4226" customFormat="false" ht="15" hidden="false" customHeight="false" outlineLevel="0" collapsed="false">
      <c r="I4226" s="0" t="n">
        <v>2031</v>
      </c>
      <c r="J4226" s="0" t="n">
        <v>14.32</v>
      </c>
      <c r="K4226" s="0" t="n">
        <v>300.74</v>
      </c>
    </row>
    <row r="4227" customFormat="false" ht="15" hidden="false" customHeight="false" outlineLevel="0" collapsed="false">
      <c r="I4227" s="0" t="n">
        <v>2031</v>
      </c>
      <c r="J4227" s="0" t="n">
        <v>14.32</v>
      </c>
      <c r="K4227" s="0" t="n">
        <v>300.74</v>
      </c>
    </row>
    <row r="4228" customFormat="false" ht="15" hidden="false" customHeight="false" outlineLevel="0" collapsed="false">
      <c r="I4228" s="0" t="n">
        <v>2031</v>
      </c>
      <c r="J4228" s="0" t="n">
        <v>28.64</v>
      </c>
      <c r="K4228" s="0" t="n">
        <v>601.48</v>
      </c>
    </row>
    <row r="4229" customFormat="false" ht="15" hidden="false" customHeight="false" outlineLevel="0" collapsed="false">
      <c r="I4229" s="0" t="n">
        <v>2031</v>
      </c>
      <c r="J4229" s="0" t="n">
        <v>50.12</v>
      </c>
      <c r="K4229" s="0" t="n">
        <v>1052.59</v>
      </c>
    </row>
    <row r="4230" customFormat="false" ht="15" hidden="false" customHeight="false" outlineLevel="0" collapsed="false">
      <c r="I4230" s="0" t="n">
        <v>2031</v>
      </c>
      <c r="J4230" s="0" t="n">
        <v>21.48</v>
      </c>
      <c r="K4230" s="0" t="n">
        <v>451.11</v>
      </c>
    </row>
    <row r="4231" customFormat="false" ht="15" hidden="false" customHeight="false" outlineLevel="0" collapsed="false">
      <c r="I4231" s="0" t="n">
        <v>2031</v>
      </c>
      <c r="J4231" s="0" t="n">
        <v>21.48</v>
      </c>
      <c r="K4231" s="0" t="n">
        <v>451.11</v>
      </c>
    </row>
    <row r="4232" customFormat="false" ht="15" hidden="false" customHeight="false" outlineLevel="0" collapsed="false">
      <c r="I4232" s="0" t="n">
        <v>2031</v>
      </c>
      <c r="J4232" s="0" t="n">
        <v>585</v>
      </c>
      <c r="K4232" s="0" t="n">
        <v>12282.4</v>
      </c>
    </row>
    <row r="4233" customFormat="false" ht="15" hidden="false" customHeight="false" outlineLevel="0" collapsed="false">
      <c r="I4233" s="0" t="n">
        <v>2031</v>
      </c>
      <c r="J4233" s="0" t="n">
        <v>90</v>
      </c>
      <c r="K4233" s="0" t="n">
        <v>1889.6</v>
      </c>
    </row>
    <row r="4234" customFormat="false" ht="15" hidden="false" customHeight="false" outlineLevel="0" collapsed="false">
      <c r="I4234" s="0" t="n">
        <v>2031</v>
      </c>
      <c r="J4234" s="0" t="n">
        <v>67.5</v>
      </c>
      <c r="K4234" s="0" t="n">
        <v>1417.2</v>
      </c>
    </row>
    <row r="4235" customFormat="false" ht="15" hidden="false" customHeight="false" outlineLevel="0" collapsed="false">
      <c r="I4235" s="0" t="n">
        <v>2031</v>
      </c>
      <c r="J4235" s="0" t="n">
        <v>112.5</v>
      </c>
      <c r="K4235" s="0" t="n">
        <v>2362</v>
      </c>
    </row>
    <row r="4236" customFormat="false" ht="15" hidden="false" customHeight="false" outlineLevel="0" collapsed="false">
      <c r="I4236" s="0" t="n">
        <v>2031</v>
      </c>
      <c r="J4236" s="0" t="n">
        <v>22.5</v>
      </c>
      <c r="K4236" s="0" t="n">
        <v>472.4</v>
      </c>
    </row>
    <row r="4237" customFormat="false" ht="15" hidden="false" customHeight="false" outlineLevel="0" collapsed="false">
      <c r="I4237" s="0" t="n">
        <v>2031</v>
      </c>
      <c r="J4237" s="0" t="n">
        <v>22.5</v>
      </c>
      <c r="K4237" s="0" t="n">
        <v>472.4</v>
      </c>
    </row>
    <row r="4238" customFormat="false" ht="15" hidden="false" customHeight="false" outlineLevel="0" collapsed="false">
      <c r="I4238" s="0" t="n">
        <v>2031</v>
      </c>
      <c r="J4238" s="0" t="n">
        <v>0</v>
      </c>
      <c r="K4238" s="0" t="n">
        <v>0</v>
      </c>
    </row>
    <row r="4239" customFormat="false" ht="15" hidden="false" customHeight="false" outlineLevel="0" collapsed="false">
      <c r="I4239" s="0" t="n">
        <v>2031</v>
      </c>
      <c r="J4239" s="0" t="n">
        <v>45</v>
      </c>
      <c r="K4239" s="0" t="n">
        <v>944.8</v>
      </c>
    </row>
    <row r="4240" customFormat="false" ht="15" hidden="false" customHeight="false" outlineLevel="0" collapsed="false">
      <c r="I4240" s="0" t="n">
        <v>2031</v>
      </c>
      <c r="J4240" s="0" t="n">
        <v>78.75</v>
      </c>
      <c r="K4240" s="0" t="n">
        <v>1653.4</v>
      </c>
    </row>
    <row r="4241" customFormat="false" ht="15" hidden="false" customHeight="false" outlineLevel="0" collapsed="false">
      <c r="I4241" s="0" t="n">
        <v>2031</v>
      </c>
      <c r="J4241" s="0" t="n">
        <v>22.5</v>
      </c>
      <c r="K4241" s="0" t="n">
        <v>472.4</v>
      </c>
    </row>
    <row r="4242" customFormat="false" ht="15" hidden="false" customHeight="false" outlineLevel="0" collapsed="false">
      <c r="I4242" s="0" t="n">
        <v>2031</v>
      </c>
      <c r="J4242" s="0" t="n">
        <v>78.75</v>
      </c>
      <c r="K4242" s="0" t="n">
        <v>1653.4</v>
      </c>
    </row>
    <row r="4243" customFormat="false" ht="15" hidden="false" customHeight="false" outlineLevel="0" collapsed="false">
      <c r="I4243" s="0" t="n">
        <v>2031</v>
      </c>
      <c r="J4243" s="0" t="n">
        <v>468.96</v>
      </c>
      <c r="K4243" s="0" t="n">
        <v>9851.52</v>
      </c>
    </row>
    <row r="4244" customFormat="false" ht="15" hidden="false" customHeight="false" outlineLevel="0" collapsed="false">
      <c r="I4244" s="0" t="n">
        <v>2031</v>
      </c>
      <c r="J4244" s="0" t="n">
        <v>156.32</v>
      </c>
      <c r="K4244" s="0" t="n">
        <v>3283.84</v>
      </c>
    </row>
    <row r="4245" customFormat="false" ht="15" hidden="false" customHeight="false" outlineLevel="0" collapsed="false">
      <c r="I4245" s="0" t="n">
        <v>2031</v>
      </c>
      <c r="J4245" s="0" t="n">
        <v>68.39</v>
      </c>
      <c r="K4245" s="0" t="n">
        <v>1436.68</v>
      </c>
    </row>
    <row r="4246" customFormat="false" ht="15" hidden="false" customHeight="false" outlineLevel="0" collapsed="false">
      <c r="I4246" s="0" t="n">
        <v>2031</v>
      </c>
      <c r="J4246" s="0" t="n">
        <v>39.08</v>
      </c>
      <c r="K4246" s="0" t="n">
        <v>820.96</v>
      </c>
    </row>
    <row r="4247" customFormat="false" ht="15" hidden="false" customHeight="false" outlineLevel="0" collapsed="false">
      <c r="I4247" s="0" t="n">
        <v>2031</v>
      </c>
      <c r="J4247" s="0" t="n">
        <v>39.08</v>
      </c>
      <c r="K4247" s="0" t="n">
        <v>820.96</v>
      </c>
    </row>
    <row r="4248" customFormat="false" ht="15" hidden="false" customHeight="false" outlineLevel="0" collapsed="false">
      <c r="I4248" s="0" t="n">
        <v>2031</v>
      </c>
      <c r="J4248" s="0" t="n">
        <v>19.54</v>
      </c>
      <c r="K4248" s="0" t="n">
        <v>410.48</v>
      </c>
    </row>
    <row r="4249" customFormat="false" ht="15" hidden="false" customHeight="false" outlineLevel="0" collapsed="false">
      <c r="I4249" s="0" t="n">
        <v>2031</v>
      </c>
      <c r="J4249" s="0" t="n">
        <v>19.54</v>
      </c>
      <c r="K4249" s="0" t="n">
        <v>410.48</v>
      </c>
    </row>
    <row r="4250" customFormat="false" ht="15" hidden="false" customHeight="false" outlineLevel="0" collapsed="false">
      <c r="I4250" s="0" t="n">
        <v>2031</v>
      </c>
      <c r="J4250" s="0" t="n">
        <v>39.08</v>
      </c>
      <c r="K4250" s="0" t="n">
        <v>820.96</v>
      </c>
    </row>
    <row r="4251" customFormat="false" ht="15" hidden="false" customHeight="false" outlineLevel="0" collapsed="false">
      <c r="I4251" s="0" t="n">
        <v>2031</v>
      </c>
      <c r="J4251" s="0" t="n">
        <v>68.39</v>
      </c>
      <c r="K4251" s="0" t="n">
        <v>1436.68</v>
      </c>
    </row>
    <row r="4252" customFormat="false" ht="15" hidden="false" customHeight="false" outlineLevel="0" collapsed="false">
      <c r="I4252" s="0" t="n">
        <v>2031</v>
      </c>
      <c r="J4252" s="0" t="n">
        <v>29.31</v>
      </c>
      <c r="K4252" s="0" t="n">
        <v>615.72</v>
      </c>
    </row>
    <row r="4253" customFormat="false" ht="15" hidden="false" customHeight="false" outlineLevel="0" collapsed="false">
      <c r="I4253" s="0" t="n">
        <v>2031</v>
      </c>
      <c r="J4253" s="0" t="n">
        <v>29.31</v>
      </c>
      <c r="K4253" s="0" t="n">
        <v>615.72</v>
      </c>
    </row>
    <row r="4254" customFormat="false" ht="15" hidden="false" customHeight="false" outlineLevel="0" collapsed="false">
      <c r="I4254" s="0" t="n">
        <v>2031</v>
      </c>
      <c r="J4254" s="0" t="n">
        <v>117</v>
      </c>
      <c r="K4254" s="0" t="n">
        <v>2454.4</v>
      </c>
    </row>
    <row r="4255" customFormat="false" ht="15" hidden="false" customHeight="false" outlineLevel="0" collapsed="false">
      <c r="I4255" s="0" t="n">
        <v>2031</v>
      </c>
      <c r="J4255" s="0" t="n">
        <v>18</v>
      </c>
      <c r="K4255" s="0" t="n">
        <v>377.6</v>
      </c>
    </row>
    <row r="4256" customFormat="false" ht="15" hidden="false" customHeight="false" outlineLevel="0" collapsed="false">
      <c r="I4256" s="0" t="n">
        <v>2031</v>
      </c>
      <c r="J4256" s="0" t="n">
        <v>13.5</v>
      </c>
      <c r="K4256" s="0" t="n">
        <v>283.2</v>
      </c>
    </row>
    <row r="4257" customFormat="false" ht="15" hidden="false" customHeight="false" outlineLevel="0" collapsed="false">
      <c r="I4257" s="0" t="n">
        <v>2031</v>
      </c>
      <c r="J4257" s="0" t="n">
        <v>22.5</v>
      </c>
      <c r="K4257" s="0" t="n">
        <v>472</v>
      </c>
    </row>
    <row r="4258" customFormat="false" ht="15" hidden="false" customHeight="false" outlineLevel="0" collapsed="false">
      <c r="I4258" s="0" t="n">
        <v>2031</v>
      </c>
      <c r="J4258" s="0" t="n">
        <v>4.5</v>
      </c>
      <c r="K4258" s="0" t="n">
        <v>94.4</v>
      </c>
    </row>
    <row r="4259" customFormat="false" ht="15" hidden="false" customHeight="false" outlineLevel="0" collapsed="false">
      <c r="I4259" s="0" t="n">
        <v>2031</v>
      </c>
      <c r="J4259" s="0" t="n">
        <v>4.5</v>
      </c>
      <c r="K4259" s="0" t="n">
        <v>94.4</v>
      </c>
    </row>
    <row r="4260" customFormat="false" ht="15" hidden="false" customHeight="false" outlineLevel="0" collapsed="false">
      <c r="I4260" s="0" t="n">
        <v>2031</v>
      </c>
      <c r="J4260" s="0" t="n">
        <v>0</v>
      </c>
      <c r="K4260" s="0" t="n">
        <v>0</v>
      </c>
    </row>
    <row r="4261" customFormat="false" ht="15" hidden="false" customHeight="false" outlineLevel="0" collapsed="false">
      <c r="I4261" s="0" t="n">
        <v>2031</v>
      </c>
      <c r="J4261" s="0" t="n">
        <v>9</v>
      </c>
      <c r="K4261" s="0" t="n">
        <v>188.8</v>
      </c>
    </row>
    <row r="4262" customFormat="false" ht="15" hidden="false" customHeight="false" outlineLevel="0" collapsed="false">
      <c r="I4262" s="0" t="n">
        <v>2031</v>
      </c>
      <c r="J4262" s="0" t="n">
        <v>15.75</v>
      </c>
      <c r="K4262" s="0" t="n">
        <v>330.4</v>
      </c>
    </row>
    <row r="4263" customFormat="false" ht="15" hidden="false" customHeight="false" outlineLevel="0" collapsed="false">
      <c r="I4263" s="0" t="n">
        <v>2031</v>
      </c>
      <c r="J4263" s="0" t="n">
        <v>4.5</v>
      </c>
      <c r="K4263" s="0" t="n">
        <v>94.4</v>
      </c>
    </row>
    <row r="4264" customFormat="false" ht="15" hidden="false" customHeight="false" outlineLevel="0" collapsed="false">
      <c r="I4264" s="0" t="n">
        <v>2031</v>
      </c>
      <c r="J4264" s="0" t="n">
        <v>15.75</v>
      </c>
      <c r="K4264" s="0" t="n">
        <v>330.4</v>
      </c>
    </row>
    <row r="4265" customFormat="false" ht="15" hidden="false" customHeight="false" outlineLevel="0" collapsed="false">
      <c r="I4265" s="0" t="n">
        <v>2031</v>
      </c>
      <c r="J4265" s="0" t="n">
        <v>280.32</v>
      </c>
      <c r="K4265" s="0" t="n">
        <v>5889.6</v>
      </c>
    </row>
    <row r="4266" customFormat="false" ht="15" hidden="false" customHeight="false" outlineLevel="0" collapsed="false">
      <c r="I4266" s="0" t="n">
        <v>2031</v>
      </c>
      <c r="J4266" s="0" t="n">
        <v>93.44</v>
      </c>
      <c r="K4266" s="0" t="n">
        <v>1963.2</v>
      </c>
    </row>
    <row r="4267" customFormat="false" ht="15" hidden="false" customHeight="false" outlineLevel="0" collapsed="false">
      <c r="I4267" s="0" t="n">
        <v>2031</v>
      </c>
      <c r="J4267" s="0" t="n">
        <v>40.88</v>
      </c>
      <c r="K4267" s="0" t="n">
        <v>858.9</v>
      </c>
    </row>
    <row r="4268" customFormat="false" ht="15" hidden="false" customHeight="false" outlineLevel="0" collapsed="false">
      <c r="I4268" s="0" t="n">
        <v>2031</v>
      </c>
      <c r="J4268" s="0" t="n">
        <v>23.36</v>
      </c>
      <c r="K4268" s="0" t="n">
        <v>490.8</v>
      </c>
    </row>
    <row r="4269" customFormat="false" ht="15" hidden="false" customHeight="false" outlineLevel="0" collapsed="false">
      <c r="I4269" s="0" t="n">
        <v>2031</v>
      </c>
      <c r="J4269" s="0" t="n">
        <v>23.36</v>
      </c>
      <c r="K4269" s="0" t="n">
        <v>490.8</v>
      </c>
    </row>
    <row r="4270" customFormat="false" ht="15" hidden="false" customHeight="false" outlineLevel="0" collapsed="false">
      <c r="I4270" s="0" t="n">
        <v>2031</v>
      </c>
      <c r="J4270" s="0" t="n">
        <v>11.68</v>
      </c>
      <c r="K4270" s="0" t="n">
        <v>245.4</v>
      </c>
    </row>
    <row r="4271" customFormat="false" ht="15" hidden="false" customHeight="false" outlineLevel="0" collapsed="false">
      <c r="I4271" s="0" t="n">
        <v>2031</v>
      </c>
      <c r="J4271" s="0" t="n">
        <v>11.68</v>
      </c>
      <c r="K4271" s="0" t="n">
        <v>245.4</v>
      </c>
    </row>
    <row r="4272" customFormat="false" ht="15" hidden="false" customHeight="false" outlineLevel="0" collapsed="false">
      <c r="I4272" s="0" t="n">
        <v>2031</v>
      </c>
      <c r="J4272" s="0" t="n">
        <v>23.36</v>
      </c>
      <c r="K4272" s="0" t="n">
        <v>490.8</v>
      </c>
    </row>
    <row r="4273" customFormat="false" ht="15" hidden="false" customHeight="false" outlineLevel="0" collapsed="false">
      <c r="I4273" s="0" t="n">
        <v>2031</v>
      </c>
      <c r="J4273" s="0" t="n">
        <v>40.88</v>
      </c>
      <c r="K4273" s="0" t="n">
        <v>858.9</v>
      </c>
    </row>
    <row r="4274" customFormat="false" ht="15" hidden="false" customHeight="false" outlineLevel="0" collapsed="false">
      <c r="I4274" s="0" t="n">
        <v>2031</v>
      </c>
      <c r="J4274" s="0" t="n">
        <v>17.52</v>
      </c>
      <c r="K4274" s="0" t="n">
        <v>368.1</v>
      </c>
    </row>
    <row r="4275" customFormat="false" ht="15" hidden="false" customHeight="false" outlineLevel="0" collapsed="false">
      <c r="I4275" s="0" t="n">
        <v>2031</v>
      </c>
      <c r="J4275" s="0" t="n">
        <v>17.52</v>
      </c>
      <c r="K4275" s="0" t="n">
        <v>368.1</v>
      </c>
    </row>
    <row r="4276" customFormat="false" ht="15" hidden="false" customHeight="false" outlineLevel="0" collapsed="false">
      <c r="I4276" s="0" t="n">
        <v>2031</v>
      </c>
      <c r="J4276" s="0" t="n">
        <v>117</v>
      </c>
      <c r="K4276" s="0" t="n">
        <v>2454.4</v>
      </c>
    </row>
    <row r="4277" customFormat="false" ht="15" hidden="false" customHeight="false" outlineLevel="0" collapsed="false">
      <c r="I4277" s="0" t="n">
        <v>2031</v>
      </c>
      <c r="J4277" s="0" t="n">
        <v>18</v>
      </c>
      <c r="K4277" s="0" t="n">
        <v>377.6</v>
      </c>
    </row>
    <row r="4278" customFormat="false" ht="15" hidden="false" customHeight="false" outlineLevel="0" collapsed="false">
      <c r="I4278" s="0" t="n">
        <v>2031</v>
      </c>
      <c r="J4278" s="0" t="n">
        <v>13.5</v>
      </c>
      <c r="K4278" s="0" t="n">
        <v>283.2</v>
      </c>
    </row>
    <row r="4279" customFormat="false" ht="15" hidden="false" customHeight="false" outlineLevel="0" collapsed="false">
      <c r="I4279" s="0" t="n">
        <v>2031</v>
      </c>
      <c r="J4279" s="0" t="n">
        <v>22.5</v>
      </c>
      <c r="K4279" s="0" t="n">
        <v>472</v>
      </c>
    </row>
    <row r="4280" customFormat="false" ht="15" hidden="false" customHeight="false" outlineLevel="0" collapsed="false">
      <c r="I4280" s="0" t="n">
        <v>2031</v>
      </c>
      <c r="J4280" s="0" t="n">
        <v>4.5</v>
      </c>
      <c r="K4280" s="0" t="n">
        <v>94.4</v>
      </c>
    </row>
    <row r="4281" customFormat="false" ht="15" hidden="false" customHeight="false" outlineLevel="0" collapsed="false">
      <c r="I4281" s="0" t="n">
        <v>2031</v>
      </c>
      <c r="J4281" s="0" t="n">
        <v>4.5</v>
      </c>
      <c r="K4281" s="0" t="n">
        <v>94.4</v>
      </c>
    </row>
    <row r="4282" customFormat="false" ht="15" hidden="false" customHeight="false" outlineLevel="0" collapsed="false">
      <c r="I4282" s="0" t="n">
        <v>2031</v>
      </c>
      <c r="J4282" s="0" t="n">
        <v>0</v>
      </c>
      <c r="K4282" s="0" t="n">
        <v>0</v>
      </c>
    </row>
    <row r="4283" customFormat="false" ht="15" hidden="false" customHeight="false" outlineLevel="0" collapsed="false">
      <c r="I4283" s="0" t="n">
        <v>2031</v>
      </c>
      <c r="J4283" s="0" t="n">
        <v>9</v>
      </c>
      <c r="K4283" s="0" t="n">
        <v>188.8</v>
      </c>
    </row>
    <row r="4284" customFormat="false" ht="15" hidden="false" customHeight="false" outlineLevel="0" collapsed="false">
      <c r="I4284" s="0" t="n">
        <v>2031</v>
      </c>
      <c r="J4284" s="0" t="n">
        <v>15.75</v>
      </c>
      <c r="K4284" s="0" t="n">
        <v>330.4</v>
      </c>
    </row>
    <row r="4285" customFormat="false" ht="15" hidden="false" customHeight="false" outlineLevel="0" collapsed="false">
      <c r="I4285" s="0" t="n">
        <v>2031</v>
      </c>
      <c r="J4285" s="0" t="n">
        <v>4.5</v>
      </c>
      <c r="K4285" s="0" t="n">
        <v>94.4</v>
      </c>
    </row>
    <row r="4286" customFormat="false" ht="15" hidden="false" customHeight="false" outlineLevel="0" collapsed="false">
      <c r="I4286" s="0" t="n">
        <v>2031</v>
      </c>
      <c r="J4286" s="0" t="n">
        <v>15.75</v>
      </c>
      <c r="K4286" s="0" t="n">
        <v>330.4</v>
      </c>
    </row>
    <row r="4287" customFormat="false" ht="15" hidden="false" customHeight="false" outlineLevel="0" collapsed="false">
      <c r="I4287" s="0" t="n">
        <v>2031</v>
      </c>
      <c r="J4287" s="0" t="n">
        <v>29.76</v>
      </c>
      <c r="K4287" s="0" t="n">
        <v>622.08</v>
      </c>
    </row>
    <row r="4288" customFormat="false" ht="15" hidden="false" customHeight="false" outlineLevel="0" collapsed="false">
      <c r="I4288" s="0" t="n">
        <v>2031</v>
      </c>
      <c r="J4288" s="0" t="n">
        <v>9.92</v>
      </c>
      <c r="K4288" s="0" t="n">
        <v>207.36</v>
      </c>
    </row>
    <row r="4289" customFormat="false" ht="15" hidden="false" customHeight="false" outlineLevel="0" collapsed="false">
      <c r="I4289" s="0" t="n">
        <v>2031</v>
      </c>
      <c r="J4289" s="0" t="n">
        <v>4.34</v>
      </c>
      <c r="K4289" s="0" t="n">
        <v>90.72</v>
      </c>
    </row>
    <row r="4290" customFormat="false" ht="15" hidden="false" customHeight="false" outlineLevel="0" collapsed="false">
      <c r="I4290" s="0" t="n">
        <v>2031</v>
      </c>
      <c r="J4290" s="0" t="n">
        <v>2.48</v>
      </c>
      <c r="K4290" s="0" t="n">
        <v>51.84</v>
      </c>
    </row>
    <row r="4291" customFormat="false" ht="15" hidden="false" customHeight="false" outlineLevel="0" collapsed="false">
      <c r="I4291" s="0" t="n">
        <v>2031</v>
      </c>
      <c r="J4291" s="0" t="n">
        <v>2.48</v>
      </c>
      <c r="K4291" s="0" t="n">
        <v>51.84</v>
      </c>
    </row>
    <row r="4292" customFormat="false" ht="15" hidden="false" customHeight="false" outlineLevel="0" collapsed="false">
      <c r="I4292" s="0" t="n">
        <v>2031</v>
      </c>
      <c r="J4292" s="0" t="n">
        <v>1.24</v>
      </c>
      <c r="K4292" s="0" t="n">
        <v>25.92</v>
      </c>
    </row>
    <row r="4293" customFormat="false" ht="15" hidden="false" customHeight="false" outlineLevel="0" collapsed="false">
      <c r="I4293" s="0" t="n">
        <v>2031</v>
      </c>
      <c r="J4293" s="0" t="n">
        <v>1.24</v>
      </c>
      <c r="K4293" s="0" t="n">
        <v>25.92</v>
      </c>
    </row>
    <row r="4294" customFormat="false" ht="15" hidden="false" customHeight="false" outlineLevel="0" collapsed="false">
      <c r="I4294" s="0" t="n">
        <v>2031</v>
      </c>
      <c r="J4294" s="0" t="n">
        <v>2.48</v>
      </c>
      <c r="K4294" s="0" t="n">
        <v>51.84</v>
      </c>
    </row>
    <row r="4295" customFormat="false" ht="15" hidden="false" customHeight="false" outlineLevel="0" collapsed="false">
      <c r="I4295" s="0" t="n">
        <v>2031</v>
      </c>
      <c r="J4295" s="0" t="n">
        <v>4.34</v>
      </c>
      <c r="K4295" s="0" t="n">
        <v>90.72</v>
      </c>
    </row>
    <row r="4296" customFormat="false" ht="15" hidden="false" customHeight="false" outlineLevel="0" collapsed="false">
      <c r="I4296" s="0" t="n">
        <v>2031</v>
      </c>
      <c r="J4296" s="0" t="n">
        <v>1.86</v>
      </c>
      <c r="K4296" s="0" t="n">
        <v>38.88</v>
      </c>
    </row>
    <row r="4297" customFormat="false" ht="15" hidden="false" customHeight="false" outlineLevel="0" collapsed="false">
      <c r="I4297" s="0" t="n">
        <v>2031</v>
      </c>
      <c r="J4297" s="0" t="n">
        <v>1.86</v>
      </c>
      <c r="K4297" s="0" t="n">
        <v>38.88</v>
      </c>
    </row>
    <row r="4298" customFormat="false" ht="15" hidden="false" customHeight="false" outlineLevel="0" collapsed="false">
      <c r="I4298" s="0" t="n">
        <v>2031</v>
      </c>
      <c r="J4298" s="0" t="n">
        <v>10.4</v>
      </c>
      <c r="K4298" s="0" t="n">
        <v>223.6</v>
      </c>
    </row>
    <row r="4299" customFormat="false" ht="15" hidden="false" customHeight="false" outlineLevel="0" collapsed="false">
      <c r="I4299" s="0" t="n">
        <v>2031</v>
      </c>
      <c r="J4299" s="0" t="n">
        <v>1.6</v>
      </c>
      <c r="K4299" s="0" t="n">
        <v>34.4</v>
      </c>
    </row>
    <row r="4300" customFormat="false" ht="15" hidden="false" customHeight="false" outlineLevel="0" collapsed="false">
      <c r="I4300" s="0" t="n">
        <v>2031</v>
      </c>
      <c r="J4300" s="0" t="n">
        <v>1.2</v>
      </c>
      <c r="K4300" s="0" t="n">
        <v>25.8</v>
      </c>
    </row>
    <row r="4301" customFormat="false" ht="15" hidden="false" customHeight="false" outlineLevel="0" collapsed="false">
      <c r="I4301" s="0" t="n">
        <v>2031</v>
      </c>
      <c r="J4301" s="0" t="n">
        <v>2</v>
      </c>
      <c r="K4301" s="0" t="n">
        <v>43</v>
      </c>
    </row>
    <row r="4302" customFormat="false" ht="15" hidden="false" customHeight="false" outlineLevel="0" collapsed="false">
      <c r="I4302" s="0" t="n">
        <v>2031</v>
      </c>
      <c r="J4302" s="0" t="n">
        <v>0.4</v>
      </c>
      <c r="K4302" s="0" t="n">
        <v>8.6</v>
      </c>
    </row>
    <row r="4303" customFormat="false" ht="15" hidden="false" customHeight="false" outlineLevel="0" collapsed="false">
      <c r="I4303" s="0" t="n">
        <v>2031</v>
      </c>
      <c r="J4303" s="0" t="n">
        <v>0.4</v>
      </c>
      <c r="K4303" s="0" t="n">
        <v>8.6</v>
      </c>
    </row>
    <row r="4304" customFormat="false" ht="15" hidden="false" customHeight="false" outlineLevel="0" collapsed="false">
      <c r="I4304" s="0" t="n">
        <v>2031</v>
      </c>
      <c r="J4304" s="0" t="n">
        <v>0</v>
      </c>
      <c r="K4304" s="0" t="n">
        <v>0</v>
      </c>
    </row>
    <row r="4305" customFormat="false" ht="15" hidden="false" customHeight="false" outlineLevel="0" collapsed="false">
      <c r="I4305" s="0" t="n">
        <v>2031</v>
      </c>
      <c r="J4305" s="0" t="n">
        <v>0.8</v>
      </c>
      <c r="K4305" s="0" t="n">
        <v>17.2</v>
      </c>
    </row>
    <row r="4306" customFormat="false" ht="15" hidden="false" customHeight="false" outlineLevel="0" collapsed="false">
      <c r="I4306" s="0" t="n">
        <v>2031</v>
      </c>
      <c r="J4306" s="0" t="n">
        <v>1.4</v>
      </c>
      <c r="K4306" s="0" t="n">
        <v>30.1</v>
      </c>
    </row>
    <row r="4307" customFormat="false" ht="15" hidden="false" customHeight="false" outlineLevel="0" collapsed="false">
      <c r="I4307" s="0" t="n">
        <v>2031</v>
      </c>
      <c r="J4307" s="0" t="n">
        <v>0.4</v>
      </c>
      <c r="K4307" s="0" t="n">
        <v>8.6</v>
      </c>
    </row>
    <row r="4308" customFormat="false" ht="15" hidden="false" customHeight="false" outlineLevel="0" collapsed="false">
      <c r="I4308" s="0" t="n">
        <v>2031</v>
      </c>
      <c r="J4308" s="0" t="n">
        <v>1.4</v>
      </c>
      <c r="K4308" s="0" t="n">
        <v>30.1</v>
      </c>
    </row>
    <row r="4309" customFormat="false" ht="15" hidden="false" customHeight="false" outlineLevel="0" collapsed="false">
      <c r="I4309" s="0" t="n">
        <v>2031</v>
      </c>
      <c r="J4309" s="0" t="n">
        <v>134.4</v>
      </c>
      <c r="K4309" s="0" t="n">
        <v>2818.08</v>
      </c>
    </row>
    <row r="4310" customFormat="false" ht="15" hidden="false" customHeight="false" outlineLevel="0" collapsed="false">
      <c r="I4310" s="0" t="n">
        <v>2031</v>
      </c>
      <c r="J4310" s="0" t="n">
        <v>44.8</v>
      </c>
      <c r="K4310" s="0" t="n">
        <v>939.36</v>
      </c>
    </row>
    <row r="4311" customFormat="false" ht="15" hidden="false" customHeight="false" outlineLevel="0" collapsed="false">
      <c r="I4311" s="0" t="n">
        <v>2031</v>
      </c>
      <c r="J4311" s="0" t="n">
        <v>19.6</v>
      </c>
      <c r="K4311" s="0" t="n">
        <v>410.97</v>
      </c>
    </row>
    <row r="4312" customFormat="false" ht="15" hidden="false" customHeight="false" outlineLevel="0" collapsed="false">
      <c r="I4312" s="0" t="n">
        <v>2031</v>
      </c>
      <c r="J4312" s="0" t="n">
        <v>11.2</v>
      </c>
      <c r="K4312" s="0" t="n">
        <v>234.84</v>
      </c>
    </row>
    <row r="4313" customFormat="false" ht="15" hidden="false" customHeight="false" outlineLevel="0" collapsed="false">
      <c r="I4313" s="0" t="n">
        <v>2031</v>
      </c>
      <c r="J4313" s="0" t="n">
        <v>11.2</v>
      </c>
      <c r="K4313" s="0" t="n">
        <v>234.84</v>
      </c>
    </row>
    <row r="4314" customFormat="false" ht="15" hidden="false" customHeight="false" outlineLevel="0" collapsed="false">
      <c r="I4314" s="0" t="n">
        <v>2031</v>
      </c>
      <c r="J4314" s="0" t="n">
        <v>5.6</v>
      </c>
      <c r="K4314" s="0" t="n">
        <v>117.42</v>
      </c>
    </row>
    <row r="4315" customFormat="false" ht="15" hidden="false" customHeight="false" outlineLevel="0" collapsed="false">
      <c r="I4315" s="0" t="n">
        <v>2031</v>
      </c>
      <c r="J4315" s="0" t="n">
        <v>5.6</v>
      </c>
      <c r="K4315" s="0" t="n">
        <v>117.42</v>
      </c>
    </row>
    <row r="4316" customFormat="false" ht="15" hidden="false" customHeight="false" outlineLevel="0" collapsed="false">
      <c r="I4316" s="0" t="n">
        <v>2031</v>
      </c>
      <c r="J4316" s="0" t="n">
        <v>11.2</v>
      </c>
      <c r="K4316" s="0" t="n">
        <v>234.84</v>
      </c>
    </row>
    <row r="4317" customFormat="false" ht="15" hidden="false" customHeight="false" outlineLevel="0" collapsed="false">
      <c r="I4317" s="0" t="n">
        <v>2031</v>
      </c>
      <c r="J4317" s="0" t="n">
        <v>19.6</v>
      </c>
      <c r="K4317" s="0" t="n">
        <v>410.97</v>
      </c>
    </row>
    <row r="4318" customFormat="false" ht="15" hidden="false" customHeight="false" outlineLevel="0" collapsed="false">
      <c r="I4318" s="0" t="n">
        <v>2031</v>
      </c>
      <c r="J4318" s="0" t="n">
        <v>8.4</v>
      </c>
      <c r="K4318" s="0" t="n">
        <v>176.13</v>
      </c>
    </row>
    <row r="4319" customFormat="false" ht="15" hidden="false" customHeight="false" outlineLevel="0" collapsed="false">
      <c r="I4319" s="0" t="n">
        <v>2031</v>
      </c>
      <c r="J4319" s="0" t="n">
        <v>8.4</v>
      </c>
      <c r="K4319" s="0" t="n">
        <v>176.13</v>
      </c>
    </row>
    <row r="4320" customFormat="false" ht="15" hidden="false" customHeight="false" outlineLevel="0" collapsed="false">
      <c r="I4320" s="0" t="n">
        <v>2031</v>
      </c>
      <c r="J4320" s="0" t="n">
        <v>17.68</v>
      </c>
      <c r="K4320" s="0" t="n">
        <v>375.44</v>
      </c>
    </row>
    <row r="4321" customFormat="false" ht="15" hidden="false" customHeight="false" outlineLevel="0" collapsed="false">
      <c r="I4321" s="0" t="n">
        <v>2031</v>
      </c>
      <c r="J4321" s="0" t="n">
        <v>2.72</v>
      </c>
      <c r="K4321" s="0" t="n">
        <v>57.76</v>
      </c>
    </row>
    <row r="4322" customFormat="false" ht="15" hidden="false" customHeight="false" outlineLevel="0" collapsed="false">
      <c r="I4322" s="0" t="n">
        <v>2031</v>
      </c>
      <c r="J4322" s="0" t="n">
        <v>2.04</v>
      </c>
      <c r="K4322" s="0" t="n">
        <v>43.32</v>
      </c>
    </row>
    <row r="4323" customFormat="false" ht="15" hidden="false" customHeight="false" outlineLevel="0" collapsed="false">
      <c r="I4323" s="0" t="n">
        <v>2031</v>
      </c>
      <c r="J4323" s="0" t="n">
        <v>3.4</v>
      </c>
      <c r="K4323" s="0" t="n">
        <v>72.2</v>
      </c>
    </row>
    <row r="4324" customFormat="false" ht="15" hidden="false" customHeight="false" outlineLevel="0" collapsed="false">
      <c r="I4324" s="0" t="n">
        <v>2031</v>
      </c>
      <c r="J4324" s="0" t="n">
        <v>0.68</v>
      </c>
      <c r="K4324" s="0" t="n">
        <v>14.44</v>
      </c>
    </row>
    <row r="4325" customFormat="false" ht="15" hidden="false" customHeight="false" outlineLevel="0" collapsed="false">
      <c r="I4325" s="0" t="n">
        <v>2031</v>
      </c>
      <c r="J4325" s="0" t="n">
        <v>0.68</v>
      </c>
      <c r="K4325" s="0" t="n">
        <v>14.44</v>
      </c>
    </row>
    <row r="4326" customFormat="false" ht="15" hidden="false" customHeight="false" outlineLevel="0" collapsed="false">
      <c r="I4326" s="0" t="n">
        <v>2031</v>
      </c>
      <c r="J4326" s="0" t="n">
        <v>0</v>
      </c>
      <c r="K4326" s="0" t="n">
        <v>0</v>
      </c>
    </row>
    <row r="4327" customFormat="false" ht="15" hidden="false" customHeight="false" outlineLevel="0" collapsed="false">
      <c r="I4327" s="0" t="n">
        <v>2031</v>
      </c>
      <c r="J4327" s="0" t="n">
        <v>1.36</v>
      </c>
      <c r="K4327" s="0" t="n">
        <v>28.88</v>
      </c>
    </row>
    <row r="4328" customFormat="false" ht="15" hidden="false" customHeight="false" outlineLevel="0" collapsed="false">
      <c r="I4328" s="0" t="n">
        <v>2031</v>
      </c>
      <c r="J4328" s="0" t="n">
        <v>2.38</v>
      </c>
      <c r="K4328" s="0" t="n">
        <v>50.54</v>
      </c>
    </row>
    <row r="4329" customFormat="false" ht="15" hidden="false" customHeight="false" outlineLevel="0" collapsed="false">
      <c r="I4329" s="0" t="n">
        <v>2031</v>
      </c>
      <c r="J4329" s="0" t="n">
        <v>0.68</v>
      </c>
      <c r="K4329" s="0" t="n">
        <v>14.44</v>
      </c>
    </row>
    <row r="4330" customFormat="false" ht="15" hidden="false" customHeight="false" outlineLevel="0" collapsed="false">
      <c r="I4330" s="0" t="n">
        <v>2031</v>
      </c>
      <c r="J4330" s="0" t="n">
        <v>2.38</v>
      </c>
      <c r="K4330" s="0" t="n">
        <v>50.54</v>
      </c>
    </row>
    <row r="4331" customFormat="false" ht="15" hidden="false" customHeight="false" outlineLevel="0" collapsed="false">
      <c r="I4331" s="0" t="n">
        <v>2031</v>
      </c>
      <c r="J4331" s="0" t="n">
        <v>107.52</v>
      </c>
      <c r="K4331" s="0" t="n">
        <v>2258.4</v>
      </c>
    </row>
    <row r="4332" customFormat="false" ht="15" hidden="false" customHeight="false" outlineLevel="0" collapsed="false">
      <c r="I4332" s="0" t="n">
        <v>2031</v>
      </c>
      <c r="J4332" s="0" t="n">
        <v>35.84</v>
      </c>
      <c r="K4332" s="0" t="n">
        <v>752.8</v>
      </c>
    </row>
    <row r="4333" customFormat="false" ht="15" hidden="false" customHeight="false" outlineLevel="0" collapsed="false">
      <c r="I4333" s="0" t="n">
        <v>2031</v>
      </c>
      <c r="J4333" s="0" t="n">
        <v>15.68</v>
      </c>
      <c r="K4333" s="0" t="n">
        <v>329.35</v>
      </c>
    </row>
    <row r="4334" customFormat="false" ht="15" hidden="false" customHeight="false" outlineLevel="0" collapsed="false">
      <c r="I4334" s="0" t="n">
        <v>2031</v>
      </c>
      <c r="J4334" s="0" t="n">
        <v>8.96</v>
      </c>
      <c r="K4334" s="0" t="n">
        <v>188.2</v>
      </c>
    </row>
    <row r="4335" customFormat="false" ht="15" hidden="false" customHeight="false" outlineLevel="0" collapsed="false">
      <c r="I4335" s="0" t="n">
        <v>2031</v>
      </c>
      <c r="J4335" s="0" t="n">
        <v>8.96</v>
      </c>
      <c r="K4335" s="0" t="n">
        <v>188.2</v>
      </c>
    </row>
    <row r="4336" customFormat="false" ht="15" hidden="false" customHeight="false" outlineLevel="0" collapsed="false">
      <c r="I4336" s="0" t="n">
        <v>2031</v>
      </c>
      <c r="J4336" s="0" t="n">
        <v>4.48</v>
      </c>
      <c r="K4336" s="0" t="n">
        <v>94.1</v>
      </c>
    </row>
    <row r="4337" customFormat="false" ht="15" hidden="false" customHeight="false" outlineLevel="0" collapsed="false">
      <c r="I4337" s="0" t="n">
        <v>2031</v>
      </c>
      <c r="J4337" s="0" t="n">
        <v>4.48</v>
      </c>
      <c r="K4337" s="0" t="n">
        <v>94.1</v>
      </c>
    </row>
    <row r="4338" customFormat="false" ht="15" hidden="false" customHeight="false" outlineLevel="0" collapsed="false">
      <c r="I4338" s="0" t="n">
        <v>2031</v>
      </c>
      <c r="J4338" s="0" t="n">
        <v>8.96</v>
      </c>
      <c r="K4338" s="0" t="n">
        <v>188.2</v>
      </c>
    </row>
    <row r="4339" customFormat="false" ht="15" hidden="false" customHeight="false" outlineLevel="0" collapsed="false">
      <c r="I4339" s="0" t="n">
        <v>2031</v>
      </c>
      <c r="J4339" s="0" t="n">
        <v>15.68</v>
      </c>
      <c r="K4339" s="0" t="n">
        <v>329.35</v>
      </c>
    </row>
    <row r="4340" customFormat="false" ht="15" hidden="false" customHeight="false" outlineLevel="0" collapsed="false">
      <c r="I4340" s="0" t="n">
        <v>2031</v>
      </c>
      <c r="J4340" s="0" t="n">
        <v>6.72</v>
      </c>
      <c r="K4340" s="0" t="n">
        <v>141.15</v>
      </c>
    </row>
    <row r="4341" customFormat="false" ht="15" hidden="false" customHeight="false" outlineLevel="0" collapsed="false">
      <c r="I4341" s="0" t="n">
        <v>2031</v>
      </c>
      <c r="J4341" s="0" t="n">
        <v>6.72</v>
      </c>
      <c r="K4341" s="0" t="n">
        <v>141.15</v>
      </c>
    </row>
    <row r="4342" customFormat="false" ht="15" hidden="false" customHeight="false" outlineLevel="0" collapsed="false">
      <c r="I4342" s="0" t="n">
        <v>2031</v>
      </c>
      <c r="J4342" s="0" t="n">
        <v>43.68</v>
      </c>
      <c r="K4342" s="0" t="n">
        <v>914.16</v>
      </c>
    </row>
    <row r="4343" customFormat="false" ht="15" hidden="false" customHeight="false" outlineLevel="0" collapsed="false">
      <c r="I4343" s="0" t="n">
        <v>2031</v>
      </c>
      <c r="J4343" s="0" t="n">
        <v>6.72</v>
      </c>
      <c r="K4343" s="0" t="n">
        <v>140.64</v>
      </c>
    </row>
    <row r="4344" customFormat="false" ht="15" hidden="false" customHeight="false" outlineLevel="0" collapsed="false">
      <c r="I4344" s="0" t="n">
        <v>2031</v>
      </c>
      <c r="J4344" s="0" t="n">
        <v>5.04</v>
      </c>
      <c r="K4344" s="0" t="n">
        <v>105.48</v>
      </c>
    </row>
    <row r="4345" customFormat="false" ht="15" hidden="false" customHeight="false" outlineLevel="0" collapsed="false">
      <c r="I4345" s="0" t="n">
        <v>2031</v>
      </c>
      <c r="J4345" s="0" t="n">
        <v>8.4</v>
      </c>
      <c r="K4345" s="0" t="n">
        <v>175.8</v>
      </c>
    </row>
    <row r="4346" customFormat="false" ht="15" hidden="false" customHeight="false" outlineLevel="0" collapsed="false">
      <c r="I4346" s="0" t="n">
        <v>2031</v>
      </c>
      <c r="J4346" s="0" t="n">
        <v>1.68</v>
      </c>
      <c r="K4346" s="0" t="n">
        <v>35.16</v>
      </c>
    </row>
    <row r="4347" customFormat="false" ht="15" hidden="false" customHeight="false" outlineLevel="0" collapsed="false">
      <c r="I4347" s="0" t="n">
        <v>2031</v>
      </c>
      <c r="J4347" s="0" t="n">
        <v>1.68</v>
      </c>
      <c r="K4347" s="0" t="n">
        <v>35.16</v>
      </c>
    </row>
    <row r="4348" customFormat="false" ht="15" hidden="false" customHeight="false" outlineLevel="0" collapsed="false">
      <c r="I4348" s="0" t="n">
        <v>2031</v>
      </c>
      <c r="J4348" s="0" t="n">
        <v>0</v>
      </c>
      <c r="K4348" s="0" t="n">
        <v>0</v>
      </c>
    </row>
    <row r="4349" customFormat="false" ht="15" hidden="false" customHeight="false" outlineLevel="0" collapsed="false">
      <c r="I4349" s="0" t="n">
        <v>2031</v>
      </c>
      <c r="J4349" s="0" t="n">
        <v>3.36</v>
      </c>
      <c r="K4349" s="0" t="n">
        <v>70.32</v>
      </c>
    </row>
    <row r="4350" customFormat="false" ht="15" hidden="false" customHeight="false" outlineLevel="0" collapsed="false">
      <c r="I4350" s="0" t="n">
        <v>2031</v>
      </c>
      <c r="J4350" s="0" t="n">
        <v>5.88</v>
      </c>
      <c r="K4350" s="0" t="n">
        <v>123.06</v>
      </c>
    </row>
    <row r="4351" customFormat="false" ht="15" hidden="false" customHeight="false" outlineLevel="0" collapsed="false">
      <c r="I4351" s="0" t="n">
        <v>2031</v>
      </c>
      <c r="J4351" s="0" t="n">
        <v>1.68</v>
      </c>
      <c r="K4351" s="0" t="n">
        <v>35.16</v>
      </c>
    </row>
    <row r="4352" customFormat="false" ht="15" hidden="false" customHeight="false" outlineLevel="0" collapsed="false">
      <c r="I4352" s="0" t="n">
        <v>2031</v>
      </c>
      <c r="J4352" s="0" t="n">
        <v>5.88</v>
      </c>
      <c r="K4352" s="0" t="n">
        <v>123.06</v>
      </c>
    </row>
    <row r="4353" customFormat="false" ht="15" hidden="false" customHeight="false" outlineLevel="0" collapsed="false">
      <c r="I4353" s="0" t="n">
        <v>2031</v>
      </c>
      <c r="J4353" s="0" t="n">
        <v>1053.6</v>
      </c>
      <c r="K4353" s="0" t="n">
        <v>22122.72</v>
      </c>
    </row>
    <row r="4354" customFormat="false" ht="15" hidden="false" customHeight="false" outlineLevel="0" collapsed="false">
      <c r="I4354" s="0" t="n">
        <v>2031</v>
      </c>
      <c r="J4354" s="0" t="n">
        <v>351.2</v>
      </c>
      <c r="K4354" s="0" t="n">
        <v>7374.24</v>
      </c>
    </row>
    <row r="4355" customFormat="false" ht="15" hidden="false" customHeight="false" outlineLevel="0" collapsed="false">
      <c r="I4355" s="0" t="n">
        <v>2031</v>
      </c>
      <c r="J4355" s="0" t="n">
        <v>153.65</v>
      </c>
      <c r="K4355" s="0" t="n">
        <v>3226.23</v>
      </c>
    </row>
    <row r="4356" customFormat="false" ht="15" hidden="false" customHeight="false" outlineLevel="0" collapsed="false">
      <c r="I4356" s="0" t="n">
        <v>2031</v>
      </c>
      <c r="J4356" s="0" t="n">
        <v>87.8</v>
      </c>
      <c r="K4356" s="0" t="n">
        <v>1843.56</v>
      </c>
    </row>
    <row r="4357" customFormat="false" ht="15" hidden="false" customHeight="false" outlineLevel="0" collapsed="false">
      <c r="I4357" s="0" t="n">
        <v>2031</v>
      </c>
      <c r="J4357" s="0" t="n">
        <v>87.8</v>
      </c>
      <c r="K4357" s="0" t="n">
        <v>1843.56</v>
      </c>
    </row>
    <row r="4358" customFormat="false" ht="15" hidden="false" customHeight="false" outlineLevel="0" collapsed="false">
      <c r="I4358" s="0" t="n">
        <v>2031</v>
      </c>
      <c r="J4358" s="0" t="n">
        <v>43.9</v>
      </c>
      <c r="K4358" s="0" t="n">
        <v>921.78</v>
      </c>
    </row>
    <row r="4359" customFormat="false" ht="15" hidden="false" customHeight="false" outlineLevel="0" collapsed="false">
      <c r="I4359" s="0" t="n">
        <v>2031</v>
      </c>
      <c r="J4359" s="0" t="n">
        <v>43.9</v>
      </c>
      <c r="K4359" s="0" t="n">
        <v>921.78</v>
      </c>
    </row>
    <row r="4360" customFormat="false" ht="15" hidden="false" customHeight="false" outlineLevel="0" collapsed="false">
      <c r="I4360" s="0" t="n">
        <v>2031</v>
      </c>
      <c r="J4360" s="0" t="n">
        <v>87.8</v>
      </c>
      <c r="K4360" s="0" t="n">
        <v>1843.56</v>
      </c>
    </row>
    <row r="4361" customFormat="false" ht="15" hidden="false" customHeight="false" outlineLevel="0" collapsed="false">
      <c r="I4361" s="0" t="n">
        <v>2031</v>
      </c>
      <c r="J4361" s="0" t="n">
        <v>153.65</v>
      </c>
      <c r="K4361" s="0" t="n">
        <v>3226.23</v>
      </c>
    </row>
    <row r="4362" customFormat="false" ht="15" hidden="false" customHeight="false" outlineLevel="0" collapsed="false">
      <c r="I4362" s="0" t="n">
        <v>2031</v>
      </c>
      <c r="J4362" s="0" t="n">
        <v>65.85</v>
      </c>
      <c r="K4362" s="0" t="n">
        <v>1382.67</v>
      </c>
    </row>
    <row r="4363" customFormat="false" ht="15" hidden="false" customHeight="false" outlineLevel="0" collapsed="false">
      <c r="I4363" s="0" t="n">
        <v>2031</v>
      </c>
      <c r="J4363" s="0" t="n">
        <v>65.85</v>
      </c>
      <c r="K4363" s="0" t="n">
        <v>1382.67</v>
      </c>
    </row>
    <row r="4364" customFormat="false" ht="15" hidden="false" customHeight="false" outlineLevel="0" collapsed="false">
      <c r="I4364" s="0" t="n">
        <v>2031</v>
      </c>
      <c r="J4364" s="0" t="n">
        <v>127.4</v>
      </c>
      <c r="K4364" s="0" t="n">
        <v>2672.28</v>
      </c>
    </row>
    <row r="4365" customFormat="false" ht="15" hidden="false" customHeight="false" outlineLevel="0" collapsed="false">
      <c r="I4365" s="0" t="n">
        <v>2031</v>
      </c>
      <c r="J4365" s="0" t="n">
        <v>19.6</v>
      </c>
      <c r="K4365" s="0" t="n">
        <v>411.12</v>
      </c>
    </row>
    <row r="4366" customFormat="false" ht="15" hidden="false" customHeight="false" outlineLevel="0" collapsed="false">
      <c r="I4366" s="0" t="n">
        <v>2031</v>
      </c>
      <c r="J4366" s="0" t="n">
        <v>14.7</v>
      </c>
      <c r="K4366" s="0" t="n">
        <v>308.34</v>
      </c>
    </row>
    <row r="4367" customFormat="false" ht="15" hidden="false" customHeight="false" outlineLevel="0" collapsed="false">
      <c r="I4367" s="0" t="n">
        <v>2031</v>
      </c>
      <c r="J4367" s="0" t="n">
        <v>24.5</v>
      </c>
      <c r="K4367" s="0" t="n">
        <v>513.9</v>
      </c>
    </row>
    <row r="4368" customFormat="false" ht="15" hidden="false" customHeight="false" outlineLevel="0" collapsed="false">
      <c r="I4368" s="0" t="n">
        <v>2031</v>
      </c>
      <c r="J4368" s="0" t="n">
        <v>4.9</v>
      </c>
      <c r="K4368" s="0" t="n">
        <v>102.78</v>
      </c>
    </row>
    <row r="4369" customFormat="false" ht="15" hidden="false" customHeight="false" outlineLevel="0" collapsed="false">
      <c r="I4369" s="0" t="n">
        <v>2031</v>
      </c>
      <c r="J4369" s="0" t="n">
        <v>4.9</v>
      </c>
      <c r="K4369" s="0" t="n">
        <v>102.78</v>
      </c>
    </row>
    <row r="4370" customFormat="false" ht="15" hidden="false" customHeight="false" outlineLevel="0" collapsed="false">
      <c r="I4370" s="0" t="n">
        <v>2031</v>
      </c>
      <c r="J4370" s="0" t="n">
        <v>0</v>
      </c>
      <c r="K4370" s="0" t="n">
        <v>0</v>
      </c>
    </row>
    <row r="4371" customFormat="false" ht="15" hidden="false" customHeight="false" outlineLevel="0" collapsed="false">
      <c r="I4371" s="0" t="n">
        <v>2031</v>
      </c>
      <c r="J4371" s="0" t="n">
        <v>9.8</v>
      </c>
      <c r="K4371" s="0" t="n">
        <v>205.56</v>
      </c>
    </row>
    <row r="4372" customFormat="false" ht="15" hidden="false" customHeight="false" outlineLevel="0" collapsed="false">
      <c r="I4372" s="0" t="n">
        <v>2031</v>
      </c>
      <c r="J4372" s="0" t="n">
        <v>17.15</v>
      </c>
      <c r="K4372" s="0" t="n">
        <v>359.73</v>
      </c>
    </row>
    <row r="4373" customFormat="false" ht="15" hidden="false" customHeight="false" outlineLevel="0" collapsed="false">
      <c r="I4373" s="0" t="n">
        <v>2031</v>
      </c>
      <c r="J4373" s="0" t="n">
        <v>4.9</v>
      </c>
      <c r="K4373" s="0" t="n">
        <v>102.78</v>
      </c>
    </row>
    <row r="4374" customFormat="false" ht="15" hidden="false" customHeight="false" outlineLevel="0" collapsed="false">
      <c r="I4374" s="0" t="n">
        <v>2031</v>
      </c>
      <c r="J4374" s="0" t="n">
        <v>17.15</v>
      </c>
      <c r="K4374" s="0" t="n">
        <v>359.73</v>
      </c>
    </row>
    <row r="4375" customFormat="false" ht="15" hidden="false" customHeight="false" outlineLevel="0" collapsed="false">
      <c r="I4375" s="0" t="n">
        <v>2031</v>
      </c>
      <c r="J4375" s="0" t="n">
        <v>103.68</v>
      </c>
      <c r="K4375" s="0" t="n">
        <v>2182.08</v>
      </c>
    </row>
    <row r="4376" customFormat="false" ht="15" hidden="false" customHeight="false" outlineLevel="0" collapsed="false">
      <c r="I4376" s="0" t="n">
        <v>2031</v>
      </c>
      <c r="J4376" s="0" t="n">
        <v>34.56</v>
      </c>
      <c r="K4376" s="0" t="n">
        <v>727.36</v>
      </c>
    </row>
    <row r="4377" customFormat="false" ht="15" hidden="false" customHeight="false" outlineLevel="0" collapsed="false">
      <c r="I4377" s="0" t="n">
        <v>2031</v>
      </c>
      <c r="J4377" s="0" t="n">
        <v>15.12</v>
      </c>
      <c r="K4377" s="0" t="n">
        <v>318.22</v>
      </c>
    </row>
    <row r="4378" customFormat="false" ht="15" hidden="false" customHeight="false" outlineLevel="0" collapsed="false">
      <c r="I4378" s="0" t="n">
        <v>2031</v>
      </c>
      <c r="J4378" s="0" t="n">
        <v>8.64</v>
      </c>
      <c r="K4378" s="0" t="n">
        <v>181.84</v>
      </c>
    </row>
    <row r="4379" customFormat="false" ht="15" hidden="false" customHeight="false" outlineLevel="0" collapsed="false">
      <c r="I4379" s="0" t="n">
        <v>2031</v>
      </c>
      <c r="J4379" s="0" t="n">
        <v>8.64</v>
      </c>
      <c r="K4379" s="0" t="n">
        <v>181.84</v>
      </c>
    </row>
    <row r="4380" customFormat="false" ht="15" hidden="false" customHeight="false" outlineLevel="0" collapsed="false">
      <c r="I4380" s="0" t="n">
        <v>2031</v>
      </c>
      <c r="J4380" s="0" t="n">
        <v>4.32</v>
      </c>
      <c r="K4380" s="0" t="n">
        <v>90.92</v>
      </c>
    </row>
    <row r="4381" customFormat="false" ht="15" hidden="false" customHeight="false" outlineLevel="0" collapsed="false">
      <c r="I4381" s="0" t="n">
        <v>2031</v>
      </c>
      <c r="J4381" s="0" t="n">
        <v>4.32</v>
      </c>
      <c r="K4381" s="0" t="n">
        <v>90.92</v>
      </c>
    </row>
    <row r="4382" customFormat="false" ht="15" hidden="false" customHeight="false" outlineLevel="0" collapsed="false">
      <c r="I4382" s="0" t="n">
        <v>2031</v>
      </c>
      <c r="J4382" s="0" t="n">
        <v>8.64</v>
      </c>
      <c r="K4382" s="0" t="n">
        <v>181.84</v>
      </c>
    </row>
    <row r="4383" customFormat="false" ht="15" hidden="false" customHeight="false" outlineLevel="0" collapsed="false">
      <c r="I4383" s="0" t="n">
        <v>2031</v>
      </c>
      <c r="J4383" s="0" t="n">
        <v>15.12</v>
      </c>
      <c r="K4383" s="0" t="n">
        <v>318.22</v>
      </c>
    </row>
    <row r="4384" customFormat="false" ht="15" hidden="false" customHeight="false" outlineLevel="0" collapsed="false">
      <c r="I4384" s="0" t="n">
        <v>2031</v>
      </c>
      <c r="J4384" s="0" t="n">
        <v>6.48</v>
      </c>
      <c r="K4384" s="0" t="n">
        <v>136.38</v>
      </c>
    </row>
    <row r="4385" customFormat="false" ht="15" hidden="false" customHeight="false" outlineLevel="0" collapsed="false">
      <c r="I4385" s="0" t="n">
        <v>2031</v>
      </c>
      <c r="J4385" s="0" t="n">
        <v>6.48</v>
      </c>
      <c r="K4385" s="0" t="n">
        <v>136.38</v>
      </c>
    </row>
    <row r="4386" customFormat="false" ht="15" hidden="false" customHeight="false" outlineLevel="0" collapsed="false">
      <c r="I4386" s="0" t="n">
        <v>2031</v>
      </c>
      <c r="J4386" s="0" t="n">
        <v>31.2</v>
      </c>
      <c r="K4386" s="0" t="n">
        <v>653.12</v>
      </c>
    </row>
    <row r="4387" customFormat="false" ht="15" hidden="false" customHeight="false" outlineLevel="0" collapsed="false">
      <c r="I4387" s="0" t="n">
        <v>2031</v>
      </c>
      <c r="J4387" s="0" t="n">
        <v>4.8</v>
      </c>
      <c r="K4387" s="0" t="n">
        <v>100.48</v>
      </c>
    </row>
    <row r="4388" customFormat="false" ht="15" hidden="false" customHeight="false" outlineLevel="0" collapsed="false">
      <c r="I4388" s="0" t="n">
        <v>2031</v>
      </c>
      <c r="J4388" s="0" t="n">
        <v>3.6</v>
      </c>
      <c r="K4388" s="0" t="n">
        <v>75.36</v>
      </c>
    </row>
    <row r="4389" customFormat="false" ht="15" hidden="false" customHeight="false" outlineLevel="0" collapsed="false">
      <c r="I4389" s="0" t="n">
        <v>2031</v>
      </c>
      <c r="J4389" s="0" t="n">
        <v>6</v>
      </c>
      <c r="K4389" s="0" t="n">
        <v>125.6</v>
      </c>
    </row>
    <row r="4390" customFormat="false" ht="15" hidden="false" customHeight="false" outlineLevel="0" collapsed="false">
      <c r="I4390" s="0" t="n">
        <v>2031</v>
      </c>
      <c r="J4390" s="0" t="n">
        <v>1.2</v>
      </c>
      <c r="K4390" s="0" t="n">
        <v>25.12</v>
      </c>
    </row>
    <row r="4391" customFormat="false" ht="15" hidden="false" customHeight="false" outlineLevel="0" collapsed="false">
      <c r="I4391" s="0" t="n">
        <v>2031</v>
      </c>
      <c r="J4391" s="0" t="n">
        <v>1.2</v>
      </c>
      <c r="K4391" s="0" t="n">
        <v>25.12</v>
      </c>
    </row>
    <row r="4392" customFormat="false" ht="15" hidden="false" customHeight="false" outlineLevel="0" collapsed="false">
      <c r="I4392" s="0" t="n">
        <v>2031</v>
      </c>
      <c r="J4392" s="0" t="n">
        <v>0</v>
      </c>
      <c r="K4392" s="0" t="n">
        <v>0</v>
      </c>
    </row>
    <row r="4393" customFormat="false" ht="15" hidden="false" customHeight="false" outlineLevel="0" collapsed="false">
      <c r="I4393" s="0" t="n">
        <v>2031</v>
      </c>
      <c r="J4393" s="0" t="n">
        <v>2.4</v>
      </c>
      <c r="K4393" s="0" t="n">
        <v>50.24</v>
      </c>
    </row>
    <row r="4394" customFormat="false" ht="15" hidden="false" customHeight="false" outlineLevel="0" collapsed="false">
      <c r="I4394" s="0" t="n">
        <v>2031</v>
      </c>
      <c r="J4394" s="0" t="n">
        <v>4.2</v>
      </c>
      <c r="K4394" s="0" t="n">
        <v>87.92</v>
      </c>
    </row>
    <row r="4395" customFormat="false" ht="15" hidden="false" customHeight="false" outlineLevel="0" collapsed="false">
      <c r="I4395" s="0" t="n">
        <v>2031</v>
      </c>
      <c r="J4395" s="0" t="n">
        <v>1.2</v>
      </c>
      <c r="K4395" s="0" t="n">
        <v>25.12</v>
      </c>
    </row>
    <row r="4396" customFormat="false" ht="15" hidden="false" customHeight="false" outlineLevel="0" collapsed="false">
      <c r="I4396" s="0" t="n">
        <v>2031</v>
      </c>
      <c r="J4396" s="0" t="n">
        <v>4.2</v>
      </c>
      <c r="K4396" s="0" t="n">
        <v>87.92</v>
      </c>
    </row>
    <row r="4397" customFormat="false" ht="15" hidden="false" customHeight="false" outlineLevel="0" collapsed="false">
      <c r="I4397" s="0" t="n">
        <v>2031</v>
      </c>
      <c r="J4397" s="0" t="n">
        <v>253.44</v>
      </c>
      <c r="K4397" s="0" t="n">
        <v>5317.44</v>
      </c>
    </row>
    <row r="4398" customFormat="false" ht="15" hidden="false" customHeight="false" outlineLevel="0" collapsed="false">
      <c r="I4398" s="0" t="n">
        <v>2031</v>
      </c>
      <c r="J4398" s="0" t="n">
        <v>84.48</v>
      </c>
      <c r="K4398" s="0" t="n">
        <v>1772.48</v>
      </c>
    </row>
    <row r="4399" customFormat="false" ht="15" hidden="false" customHeight="false" outlineLevel="0" collapsed="false">
      <c r="I4399" s="0" t="n">
        <v>2031</v>
      </c>
      <c r="J4399" s="0" t="n">
        <v>36.96</v>
      </c>
      <c r="K4399" s="0" t="n">
        <v>775.46</v>
      </c>
    </row>
    <row r="4400" customFormat="false" ht="15" hidden="false" customHeight="false" outlineLevel="0" collapsed="false">
      <c r="I4400" s="0" t="n">
        <v>2031</v>
      </c>
      <c r="J4400" s="0" t="n">
        <v>21.12</v>
      </c>
      <c r="K4400" s="0" t="n">
        <v>443.12</v>
      </c>
    </row>
    <row r="4401" customFormat="false" ht="15" hidden="false" customHeight="false" outlineLevel="0" collapsed="false">
      <c r="I4401" s="0" t="n">
        <v>2031</v>
      </c>
      <c r="J4401" s="0" t="n">
        <v>21.12</v>
      </c>
      <c r="K4401" s="0" t="n">
        <v>443.12</v>
      </c>
    </row>
    <row r="4402" customFormat="false" ht="15" hidden="false" customHeight="false" outlineLevel="0" collapsed="false">
      <c r="I4402" s="0" t="n">
        <v>2031</v>
      </c>
      <c r="J4402" s="0" t="n">
        <v>10.56</v>
      </c>
      <c r="K4402" s="0" t="n">
        <v>221.56</v>
      </c>
    </row>
    <row r="4403" customFormat="false" ht="15" hidden="false" customHeight="false" outlineLevel="0" collapsed="false">
      <c r="I4403" s="0" t="n">
        <v>2031</v>
      </c>
      <c r="J4403" s="0" t="n">
        <v>10.56</v>
      </c>
      <c r="K4403" s="0" t="n">
        <v>221.56</v>
      </c>
    </row>
    <row r="4404" customFormat="false" ht="15" hidden="false" customHeight="false" outlineLevel="0" collapsed="false">
      <c r="I4404" s="0" t="n">
        <v>2031</v>
      </c>
      <c r="J4404" s="0" t="n">
        <v>21.12</v>
      </c>
      <c r="K4404" s="0" t="n">
        <v>443.12</v>
      </c>
    </row>
    <row r="4405" customFormat="false" ht="15" hidden="false" customHeight="false" outlineLevel="0" collapsed="false">
      <c r="I4405" s="0" t="n">
        <v>2031</v>
      </c>
      <c r="J4405" s="0" t="n">
        <v>36.96</v>
      </c>
      <c r="K4405" s="0" t="n">
        <v>775.46</v>
      </c>
    </row>
    <row r="4406" customFormat="false" ht="15" hidden="false" customHeight="false" outlineLevel="0" collapsed="false">
      <c r="I4406" s="0" t="n">
        <v>2031</v>
      </c>
      <c r="J4406" s="0" t="n">
        <v>15.84</v>
      </c>
      <c r="K4406" s="0" t="n">
        <v>332.34</v>
      </c>
    </row>
    <row r="4407" customFormat="false" ht="15" hidden="false" customHeight="false" outlineLevel="0" collapsed="false">
      <c r="I4407" s="0" t="n">
        <v>2031</v>
      </c>
      <c r="J4407" s="0" t="n">
        <v>15.84</v>
      </c>
      <c r="K4407" s="0" t="n">
        <v>332.34</v>
      </c>
    </row>
    <row r="4408" customFormat="false" ht="15" hidden="false" customHeight="false" outlineLevel="0" collapsed="false">
      <c r="I4408" s="0" t="n">
        <v>2031</v>
      </c>
      <c r="J4408" s="0" t="n">
        <v>29.12</v>
      </c>
      <c r="K4408" s="0" t="n">
        <v>609.44</v>
      </c>
    </row>
    <row r="4409" customFormat="false" ht="15" hidden="false" customHeight="false" outlineLevel="0" collapsed="false">
      <c r="I4409" s="0" t="n">
        <v>2031</v>
      </c>
      <c r="J4409" s="0" t="n">
        <v>4.48</v>
      </c>
      <c r="K4409" s="0" t="n">
        <v>93.76</v>
      </c>
    </row>
    <row r="4410" customFormat="false" ht="15" hidden="false" customHeight="false" outlineLevel="0" collapsed="false">
      <c r="I4410" s="0" t="n">
        <v>2031</v>
      </c>
      <c r="J4410" s="0" t="n">
        <v>3.36</v>
      </c>
      <c r="K4410" s="0" t="n">
        <v>70.32</v>
      </c>
    </row>
    <row r="4411" customFormat="false" ht="15" hidden="false" customHeight="false" outlineLevel="0" collapsed="false">
      <c r="I4411" s="0" t="n">
        <v>2031</v>
      </c>
      <c r="J4411" s="0" t="n">
        <v>5.6</v>
      </c>
      <c r="K4411" s="0" t="n">
        <v>117.2</v>
      </c>
    </row>
    <row r="4412" customFormat="false" ht="15" hidden="false" customHeight="false" outlineLevel="0" collapsed="false">
      <c r="I4412" s="0" t="n">
        <v>2031</v>
      </c>
      <c r="J4412" s="0" t="n">
        <v>1.12</v>
      </c>
      <c r="K4412" s="0" t="n">
        <v>23.44</v>
      </c>
    </row>
    <row r="4413" customFormat="false" ht="15" hidden="false" customHeight="false" outlineLevel="0" collapsed="false">
      <c r="I4413" s="0" t="n">
        <v>2031</v>
      </c>
      <c r="J4413" s="0" t="n">
        <v>1.12</v>
      </c>
      <c r="K4413" s="0" t="n">
        <v>23.44</v>
      </c>
    </row>
    <row r="4414" customFormat="false" ht="15" hidden="false" customHeight="false" outlineLevel="0" collapsed="false">
      <c r="I4414" s="0" t="n">
        <v>2031</v>
      </c>
      <c r="J4414" s="0" t="n">
        <v>0</v>
      </c>
      <c r="K4414" s="0" t="n">
        <v>0</v>
      </c>
    </row>
    <row r="4415" customFormat="false" ht="15" hidden="false" customHeight="false" outlineLevel="0" collapsed="false">
      <c r="I4415" s="0" t="n">
        <v>2031</v>
      </c>
      <c r="J4415" s="0" t="n">
        <v>2.24</v>
      </c>
      <c r="K4415" s="0" t="n">
        <v>46.88</v>
      </c>
    </row>
    <row r="4416" customFormat="false" ht="15" hidden="false" customHeight="false" outlineLevel="0" collapsed="false">
      <c r="I4416" s="0" t="n">
        <v>2031</v>
      </c>
      <c r="J4416" s="0" t="n">
        <v>3.92</v>
      </c>
      <c r="K4416" s="0" t="n">
        <v>82.04</v>
      </c>
    </row>
    <row r="4417" customFormat="false" ht="15" hidden="false" customHeight="false" outlineLevel="0" collapsed="false">
      <c r="I4417" s="0" t="n">
        <v>2031</v>
      </c>
      <c r="J4417" s="0" t="n">
        <v>1.12</v>
      </c>
      <c r="K4417" s="0" t="n">
        <v>23.44</v>
      </c>
    </row>
    <row r="4418" customFormat="false" ht="15" hidden="false" customHeight="false" outlineLevel="0" collapsed="false">
      <c r="I4418" s="0" t="n">
        <v>2031</v>
      </c>
      <c r="J4418" s="0" t="n">
        <v>3.92</v>
      </c>
      <c r="K4418" s="0" t="n">
        <v>82.04</v>
      </c>
    </row>
    <row r="4419" customFormat="false" ht="15" hidden="false" customHeight="false" outlineLevel="0" collapsed="false">
      <c r="I4419" s="0" t="n">
        <v>2031</v>
      </c>
      <c r="J4419" s="0" t="n">
        <v>22.08</v>
      </c>
      <c r="K4419" s="0" t="n">
        <v>465.12</v>
      </c>
    </row>
    <row r="4420" customFormat="false" ht="15" hidden="false" customHeight="false" outlineLevel="0" collapsed="false">
      <c r="I4420" s="0" t="n">
        <v>2031</v>
      </c>
      <c r="J4420" s="0" t="n">
        <v>7.36</v>
      </c>
      <c r="K4420" s="0" t="n">
        <v>155.04</v>
      </c>
    </row>
    <row r="4421" customFormat="false" ht="15" hidden="false" customHeight="false" outlineLevel="0" collapsed="false">
      <c r="I4421" s="0" t="n">
        <v>2031</v>
      </c>
      <c r="J4421" s="0" t="n">
        <v>3.22</v>
      </c>
      <c r="K4421" s="0" t="n">
        <v>67.83</v>
      </c>
    </row>
    <row r="4422" customFormat="false" ht="15" hidden="false" customHeight="false" outlineLevel="0" collapsed="false">
      <c r="I4422" s="0" t="n">
        <v>2031</v>
      </c>
      <c r="J4422" s="0" t="n">
        <v>1.84</v>
      </c>
      <c r="K4422" s="0" t="n">
        <v>38.76</v>
      </c>
    </row>
    <row r="4423" customFormat="false" ht="15" hidden="false" customHeight="false" outlineLevel="0" collapsed="false">
      <c r="I4423" s="0" t="n">
        <v>2031</v>
      </c>
      <c r="J4423" s="0" t="n">
        <v>1.84</v>
      </c>
      <c r="K4423" s="0" t="n">
        <v>38.76</v>
      </c>
    </row>
    <row r="4424" customFormat="false" ht="15" hidden="false" customHeight="false" outlineLevel="0" collapsed="false">
      <c r="I4424" s="0" t="n">
        <v>2031</v>
      </c>
      <c r="J4424" s="0" t="n">
        <v>0.92</v>
      </c>
      <c r="K4424" s="0" t="n">
        <v>19.38</v>
      </c>
    </row>
    <row r="4425" customFormat="false" ht="15" hidden="false" customHeight="false" outlineLevel="0" collapsed="false">
      <c r="I4425" s="0" t="n">
        <v>2031</v>
      </c>
      <c r="J4425" s="0" t="n">
        <v>0.92</v>
      </c>
      <c r="K4425" s="0" t="n">
        <v>19.38</v>
      </c>
    </row>
    <row r="4426" customFormat="false" ht="15" hidden="false" customHeight="false" outlineLevel="0" collapsed="false">
      <c r="I4426" s="0" t="n">
        <v>2031</v>
      </c>
      <c r="J4426" s="0" t="n">
        <v>1.84</v>
      </c>
      <c r="K4426" s="0" t="n">
        <v>38.76</v>
      </c>
    </row>
    <row r="4427" customFormat="false" ht="15" hidden="false" customHeight="false" outlineLevel="0" collapsed="false">
      <c r="I4427" s="0" t="n">
        <v>2031</v>
      </c>
      <c r="J4427" s="0" t="n">
        <v>3.22</v>
      </c>
      <c r="K4427" s="0" t="n">
        <v>67.83</v>
      </c>
    </row>
    <row r="4428" customFormat="false" ht="15" hidden="false" customHeight="false" outlineLevel="0" collapsed="false">
      <c r="I4428" s="0" t="n">
        <v>2031</v>
      </c>
      <c r="J4428" s="0" t="n">
        <v>1.38</v>
      </c>
      <c r="K4428" s="0" t="n">
        <v>29.07</v>
      </c>
    </row>
    <row r="4429" customFormat="false" ht="15" hidden="false" customHeight="false" outlineLevel="0" collapsed="false">
      <c r="I4429" s="0" t="n">
        <v>2031</v>
      </c>
      <c r="J4429" s="0" t="n">
        <v>1.38</v>
      </c>
      <c r="K4429" s="0" t="n">
        <v>29.07</v>
      </c>
    </row>
    <row r="4430" customFormat="false" ht="15" hidden="false" customHeight="false" outlineLevel="0" collapsed="false">
      <c r="I4430" s="0" t="n">
        <v>2031</v>
      </c>
      <c r="J4430" s="0" t="n">
        <v>8.84</v>
      </c>
      <c r="K4430" s="0" t="n">
        <v>185.64</v>
      </c>
    </row>
    <row r="4431" customFormat="false" ht="15" hidden="false" customHeight="false" outlineLevel="0" collapsed="false">
      <c r="I4431" s="0" t="n">
        <v>2031</v>
      </c>
      <c r="J4431" s="0" t="n">
        <v>1.36</v>
      </c>
      <c r="K4431" s="0" t="n">
        <v>28.56</v>
      </c>
    </row>
    <row r="4432" customFormat="false" ht="15" hidden="false" customHeight="false" outlineLevel="0" collapsed="false">
      <c r="I4432" s="0" t="n">
        <v>2031</v>
      </c>
      <c r="J4432" s="0" t="n">
        <v>1.02</v>
      </c>
      <c r="K4432" s="0" t="n">
        <v>21.42</v>
      </c>
    </row>
    <row r="4433" customFormat="false" ht="15" hidden="false" customHeight="false" outlineLevel="0" collapsed="false">
      <c r="I4433" s="0" t="n">
        <v>2031</v>
      </c>
      <c r="J4433" s="0" t="n">
        <v>1.7</v>
      </c>
      <c r="K4433" s="0" t="n">
        <v>35.7</v>
      </c>
    </row>
    <row r="4434" customFormat="false" ht="15" hidden="false" customHeight="false" outlineLevel="0" collapsed="false">
      <c r="I4434" s="0" t="n">
        <v>2031</v>
      </c>
      <c r="J4434" s="0" t="n">
        <v>0.34</v>
      </c>
      <c r="K4434" s="0" t="n">
        <v>7.14</v>
      </c>
    </row>
    <row r="4435" customFormat="false" ht="15" hidden="false" customHeight="false" outlineLevel="0" collapsed="false">
      <c r="I4435" s="0" t="n">
        <v>2031</v>
      </c>
      <c r="J4435" s="0" t="n">
        <v>0.34</v>
      </c>
      <c r="K4435" s="0" t="n">
        <v>7.14</v>
      </c>
    </row>
    <row r="4436" customFormat="false" ht="15" hidden="false" customHeight="false" outlineLevel="0" collapsed="false">
      <c r="I4436" s="0" t="n">
        <v>2031</v>
      </c>
      <c r="J4436" s="0" t="n">
        <v>0</v>
      </c>
      <c r="K4436" s="0" t="n">
        <v>0</v>
      </c>
    </row>
    <row r="4437" customFormat="false" ht="15" hidden="false" customHeight="false" outlineLevel="0" collapsed="false">
      <c r="I4437" s="0" t="n">
        <v>2031</v>
      </c>
      <c r="J4437" s="0" t="n">
        <v>0.68</v>
      </c>
      <c r="K4437" s="0" t="n">
        <v>14.28</v>
      </c>
    </row>
    <row r="4438" customFormat="false" ht="15" hidden="false" customHeight="false" outlineLevel="0" collapsed="false">
      <c r="I4438" s="0" t="n">
        <v>2031</v>
      </c>
      <c r="J4438" s="0" t="n">
        <v>1.19</v>
      </c>
      <c r="K4438" s="0" t="n">
        <v>24.99</v>
      </c>
    </row>
    <row r="4439" customFormat="false" ht="15" hidden="false" customHeight="false" outlineLevel="0" collapsed="false">
      <c r="I4439" s="0" t="n">
        <v>2031</v>
      </c>
      <c r="J4439" s="0" t="n">
        <v>0.34</v>
      </c>
      <c r="K4439" s="0" t="n">
        <v>7.14</v>
      </c>
    </row>
    <row r="4440" customFormat="false" ht="15" hidden="false" customHeight="false" outlineLevel="0" collapsed="false">
      <c r="I4440" s="0" t="n">
        <v>2031</v>
      </c>
      <c r="J4440" s="0" t="n">
        <v>1.19</v>
      </c>
      <c r="K4440" s="0" t="n">
        <v>24.99</v>
      </c>
    </row>
    <row r="4441" customFormat="false" ht="15" hidden="false" customHeight="false" outlineLevel="0" collapsed="false">
      <c r="I4441" s="0" t="n">
        <v>2031</v>
      </c>
      <c r="J4441" s="0" t="n">
        <v>57.12</v>
      </c>
      <c r="K4441" s="0" t="n">
        <v>1202.88</v>
      </c>
    </row>
    <row r="4442" customFormat="false" ht="15" hidden="false" customHeight="false" outlineLevel="0" collapsed="false">
      <c r="I4442" s="0" t="n">
        <v>2031</v>
      </c>
      <c r="J4442" s="0" t="n">
        <v>19.04</v>
      </c>
      <c r="K4442" s="0" t="n">
        <v>400.96</v>
      </c>
    </row>
    <row r="4443" customFormat="false" ht="15" hidden="false" customHeight="false" outlineLevel="0" collapsed="false">
      <c r="I4443" s="0" t="n">
        <v>2031</v>
      </c>
      <c r="J4443" s="0" t="n">
        <v>8.33</v>
      </c>
      <c r="K4443" s="0" t="n">
        <v>175.42</v>
      </c>
    </row>
    <row r="4444" customFormat="false" ht="15" hidden="false" customHeight="false" outlineLevel="0" collapsed="false">
      <c r="I4444" s="0" t="n">
        <v>2031</v>
      </c>
      <c r="J4444" s="0" t="n">
        <v>4.76</v>
      </c>
      <c r="K4444" s="0" t="n">
        <v>100.24</v>
      </c>
    </row>
    <row r="4445" customFormat="false" ht="15" hidden="false" customHeight="false" outlineLevel="0" collapsed="false">
      <c r="I4445" s="0" t="n">
        <v>2031</v>
      </c>
      <c r="J4445" s="0" t="n">
        <v>4.76</v>
      </c>
      <c r="K4445" s="0" t="n">
        <v>100.24</v>
      </c>
    </row>
    <row r="4446" customFormat="false" ht="15" hidden="false" customHeight="false" outlineLevel="0" collapsed="false">
      <c r="I4446" s="0" t="n">
        <v>2031</v>
      </c>
      <c r="J4446" s="0" t="n">
        <v>2.38</v>
      </c>
      <c r="K4446" s="0" t="n">
        <v>50.12</v>
      </c>
    </row>
    <row r="4447" customFormat="false" ht="15" hidden="false" customHeight="false" outlineLevel="0" collapsed="false">
      <c r="I4447" s="0" t="n">
        <v>2031</v>
      </c>
      <c r="J4447" s="0" t="n">
        <v>2.38</v>
      </c>
      <c r="K4447" s="0" t="n">
        <v>50.12</v>
      </c>
    </row>
    <row r="4448" customFormat="false" ht="15" hidden="false" customHeight="false" outlineLevel="0" collapsed="false">
      <c r="I4448" s="0" t="n">
        <v>2031</v>
      </c>
      <c r="J4448" s="0" t="n">
        <v>4.76</v>
      </c>
      <c r="K4448" s="0" t="n">
        <v>100.24</v>
      </c>
    </row>
    <row r="4449" customFormat="false" ht="15" hidden="false" customHeight="false" outlineLevel="0" collapsed="false">
      <c r="I4449" s="0" t="n">
        <v>2031</v>
      </c>
      <c r="J4449" s="0" t="n">
        <v>8.33</v>
      </c>
      <c r="K4449" s="0" t="n">
        <v>175.42</v>
      </c>
    </row>
    <row r="4450" customFormat="false" ht="15" hidden="false" customHeight="false" outlineLevel="0" collapsed="false">
      <c r="I4450" s="0" t="n">
        <v>2031</v>
      </c>
      <c r="J4450" s="0" t="n">
        <v>3.57</v>
      </c>
      <c r="K4450" s="0" t="n">
        <v>75.18</v>
      </c>
    </row>
    <row r="4451" customFormat="false" ht="15" hidden="false" customHeight="false" outlineLevel="0" collapsed="false">
      <c r="I4451" s="0" t="n">
        <v>2031</v>
      </c>
      <c r="J4451" s="0" t="n">
        <v>3.57</v>
      </c>
      <c r="K4451" s="0" t="n">
        <v>75.18</v>
      </c>
    </row>
    <row r="4452" customFormat="false" ht="15" hidden="false" customHeight="false" outlineLevel="0" collapsed="false">
      <c r="I4452" s="0" t="n">
        <v>2031</v>
      </c>
      <c r="J4452" s="0" t="n">
        <v>14.56</v>
      </c>
      <c r="K4452" s="0" t="n">
        <v>304.72</v>
      </c>
    </row>
    <row r="4453" customFormat="false" ht="15" hidden="false" customHeight="false" outlineLevel="0" collapsed="false">
      <c r="I4453" s="0" t="n">
        <v>2031</v>
      </c>
      <c r="J4453" s="0" t="n">
        <v>2.24</v>
      </c>
      <c r="K4453" s="0" t="n">
        <v>46.88</v>
      </c>
    </row>
    <row r="4454" customFormat="false" ht="15" hidden="false" customHeight="false" outlineLevel="0" collapsed="false">
      <c r="I4454" s="0" t="n">
        <v>2031</v>
      </c>
      <c r="J4454" s="0" t="n">
        <v>1.68</v>
      </c>
      <c r="K4454" s="0" t="n">
        <v>35.16</v>
      </c>
    </row>
    <row r="4455" customFormat="false" ht="15" hidden="false" customHeight="false" outlineLevel="0" collapsed="false">
      <c r="I4455" s="0" t="n">
        <v>2031</v>
      </c>
      <c r="J4455" s="0" t="n">
        <v>2.8</v>
      </c>
      <c r="K4455" s="0" t="n">
        <v>58.6</v>
      </c>
    </row>
    <row r="4456" customFormat="false" ht="15" hidden="false" customHeight="false" outlineLevel="0" collapsed="false">
      <c r="I4456" s="0" t="n">
        <v>2031</v>
      </c>
      <c r="J4456" s="0" t="n">
        <v>0.56</v>
      </c>
      <c r="K4456" s="0" t="n">
        <v>11.72</v>
      </c>
    </row>
    <row r="4457" customFormat="false" ht="15" hidden="false" customHeight="false" outlineLevel="0" collapsed="false">
      <c r="I4457" s="0" t="n">
        <v>2031</v>
      </c>
      <c r="J4457" s="0" t="n">
        <v>0.56</v>
      </c>
      <c r="K4457" s="0" t="n">
        <v>11.72</v>
      </c>
    </row>
    <row r="4458" customFormat="false" ht="15" hidden="false" customHeight="false" outlineLevel="0" collapsed="false">
      <c r="I4458" s="0" t="n">
        <v>2031</v>
      </c>
      <c r="J4458" s="0" t="n">
        <v>0</v>
      </c>
      <c r="K4458" s="0" t="n">
        <v>0</v>
      </c>
    </row>
    <row r="4459" customFormat="false" ht="15" hidden="false" customHeight="false" outlineLevel="0" collapsed="false">
      <c r="I4459" s="0" t="n">
        <v>2031</v>
      </c>
      <c r="J4459" s="0" t="n">
        <v>1.12</v>
      </c>
      <c r="K4459" s="0" t="n">
        <v>23.44</v>
      </c>
    </row>
    <row r="4460" customFormat="false" ht="15" hidden="false" customHeight="false" outlineLevel="0" collapsed="false">
      <c r="I4460" s="0" t="n">
        <v>2031</v>
      </c>
      <c r="J4460" s="0" t="n">
        <v>1.96</v>
      </c>
      <c r="K4460" s="0" t="n">
        <v>41.02</v>
      </c>
    </row>
    <row r="4461" customFormat="false" ht="15" hidden="false" customHeight="false" outlineLevel="0" collapsed="false">
      <c r="I4461" s="0" t="n">
        <v>2031</v>
      </c>
      <c r="J4461" s="0" t="n">
        <v>0.56</v>
      </c>
      <c r="K4461" s="0" t="n">
        <v>11.72</v>
      </c>
    </row>
    <row r="4462" customFormat="false" ht="15" hidden="false" customHeight="false" outlineLevel="0" collapsed="false">
      <c r="I4462" s="0" t="n">
        <v>2031</v>
      </c>
      <c r="J4462" s="0" t="n">
        <v>1.96</v>
      </c>
      <c r="K4462" s="0" t="n">
        <v>41.02</v>
      </c>
    </row>
    <row r="4463" customFormat="false" ht="15" hidden="false" customHeight="false" outlineLevel="0" collapsed="false">
      <c r="I4463" s="0" t="n">
        <v>2031</v>
      </c>
      <c r="J4463" s="0" t="n">
        <v>82.56</v>
      </c>
      <c r="K4463" s="0" t="n">
        <v>1730.88</v>
      </c>
    </row>
    <row r="4464" customFormat="false" ht="15" hidden="false" customHeight="false" outlineLevel="0" collapsed="false">
      <c r="I4464" s="0" t="n">
        <v>2031</v>
      </c>
      <c r="J4464" s="0" t="n">
        <v>27.52</v>
      </c>
      <c r="K4464" s="0" t="n">
        <v>576.96</v>
      </c>
    </row>
    <row r="4465" customFormat="false" ht="15" hidden="false" customHeight="false" outlineLevel="0" collapsed="false">
      <c r="I4465" s="0" t="n">
        <v>2031</v>
      </c>
      <c r="J4465" s="0" t="n">
        <v>12.04</v>
      </c>
      <c r="K4465" s="0" t="n">
        <v>252.42</v>
      </c>
    </row>
    <row r="4466" customFormat="false" ht="15" hidden="false" customHeight="false" outlineLevel="0" collapsed="false">
      <c r="I4466" s="0" t="n">
        <v>2031</v>
      </c>
      <c r="J4466" s="0" t="n">
        <v>6.88</v>
      </c>
      <c r="K4466" s="0" t="n">
        <v>144.24</v>
      </c>
    </row>
    <row r="4467" customFormat="false" ht="15" hidden="false" customHeight="false" outlineLevel="0" collapsed="false">
      <c r="I4467" s="0" t="n">
        <v>2031</v>
      </c>
      <c r="J4467" s="0" t="n">
        <v>6.88</v>
      </c>
      <c r="K4467" s="0" t="n">
        <v>144.24</v>
      </c>
    </row>
    <row r="4468" customFormat="false" ht="15" hidden="false" customHeight="false" outlineLevel="0" collapsed="false">
      <c r="I4468" s="0" t="n">
        <v>2031</v>
      </c>
      <c r="J4468" s="0" t="n">
        <v>3.44</v>
      </c>
      <c r="K4468" s="0" t="n">
        <v>72.12</v>
      </c>
    </row>
    <row r="4469" customFormat="false" ht="15" hidden="false" customHeight="false" outlineLevel="0" collapsed="false">
      <c r="I4469" s="0" t="n">
        <v>2031</v>
      </c>
      <c r="J4469" s="0" t="n">
        <v>3.44</v>
      </c>
      <c r="K4469" s="0" t="n">
        <v>72.12</v>
      </c>
    </row>
    <row r="4470" customFormat="false" ht="15" hidden="false" customHeight="false" outlineLevel="0" collapsed="false">
      <c r="I4470" s="0" t="n">
        <v>2031</v>
      </c>
      <c r="J4470" s="0" t="n">
        <v>6.88</v>
      </c>
      <c r="K4470" s="0" t="n">
        <v>144.24</v>
      </c>
    </row>
    <row r="4471" customFormat="false" ht="15" hidden="false" customHeight="false" outlineLevel="0" collapsed="false">
      <c r="I4471" s="0" t="n">
        <v>2031</v>
      </c>
      <c r="J4471" s="0" t="n">
        <v>12.04</v>
      </c>
      <c r="K4471" s="0" t="n">
        <v>252.42</v>
      </c>
    </row>
    <row r="4472" customFormat="false" ht="15" hidden="false" customHeight="false" outlineLevel="0" collapsed="false">
      <c r="I4472" s="0" t="n">
        <v>2031</v>
      </c>
      <c r="J4472" s="0" t="n">
        <v>5.16</v>
      </c>
      <c r="K4472" s="0" t="n">
        <v>108.18</v>
      </c>
    </row>
    <row r="4473" customFormat="false" ht="15" hidden="false" customHeight="false" outlineLevel="0" collapsed="false">
      <c r="I4473" s="0" t="n">
        <v>2031</v>
      </c>
      <c r="J4473" s="0" t="n">
        <v>5.16</v>
      </c>
      <c r="K4473" s="0" t="n">
        <v>108.18</v>
      </c>
    </row>
    <row r="4474" customFormat="false" ht="15" hidden="false" customHeight="false" outlineLevel="0" collapsed="false">
      <c r="I4474" s="0" t="n">
        <v>2031</v>
      </c>
      <c r="J4474" s="0" t="n">
        <v>8.32</v>
      </c>
      <c r="K4474" s="0" t="n">
        <v>174.2</v>
      </c>
    </row>
    <row r="4475" customFormat="false" ht="15" hidden="false" customHeight="false" outlineLevel="0" collapsed="false">
      <c r="I4475" s="0" t="n">
        <v>2031</v>
      </c>
      <c r="J4475" s="0" t="n">
        <v>1.28</v>
      </c>
      <c r="K4475" s="0" t="n">
        <v>26.8</v>
      </c>
    </row>
    <row r="4476" customFormat="false" ht="15" hidden="false" customHeight="false" outlineLevel="0" collapsed="false">
      <c r="I4476" s="0" t="n">
        <v>2031</v>
      </c>
      <c r="J4476" s="0" t="n">
        <v>0.96</v>
      </c>
      <c r="K4476" s="0" t="n">
        <v>20.1</v>
      </c>
    </row>
    <row r="4477" customFormat="false" ht="15" hidden="false" customHeight="false" outlineLevel="0" collapsed="false">
      <c r="I4477" s="0" t="n">
        <v>2031</v>
      </c>
      <c r="J4477" s="0" t="n">
        <v>1.6</v>
      </c>
      <c r="K4477" s="0" t="n">
        <v>33.5</v>
      </c>
    </row>
    <row r="4478" customFormat="false" ht="15" hidden="false" customHeight="false" outlineLevel="0" collapsed="false">
      <c r="I4478" s="0" t="n">
        <v>2031</v>
      </c>
      <c r="J4478" s="0" t="n">
        <v>0.32</v>
      </c>
      <c r="K4478" s="0" t="n">
        <v>6.7</v>
      </c>
    </row>
    <row r="4479" customFormat="false" ht="15" hidden="false" customHeight="false" outlineLevel="0" collapsed="false">
      <c r="I4479" s="0" t="n">
        <v>2031</v>
      </c>
      <c r="J4479" s="0" t="n">
        <v>0.32</v>
      </c>
      <c r="K4479" s="0" t="n">
        <v>6.7</v>
      </c>
    </row>
    <row r="4480" customFormat="false" ht="15" hidden="false" customHeight="false" outlineLevel="0" collapsed="false">
      <c r="I4480" s="0" t="n">
        <v>2031</v>
      </c>
      <c r="J4480" s="0" t="n">
        <v>0</v>
      </c>
      <c r="K4480" s="0" t="n">
        <v>0</v>
      </c>
    </row>
    <row r="4481" customFormat="false" ht="15" hidden="false" customHeight="false" outlineLevel="0" collapsed="false">
      <c r="I4481" s="0" t="n">
        <v>2031</v>
      </c>
      <c r="J4481" s="0" t="n">
        <v>0.64</v>
      </c>
      <c r="K4481" s="0" t="n">
        <v>13.4</v>
      </c>
    </row>
    <row r="4482" customFormat="false" ht="15" hidden="false" customHeight="false" outlineLevel="0" collapsed="false">
      <c r="I4482" s="0" t="n">
        <v>2031</v>
      </c>
      <c r="J4482" s="0" t="n">
        <v>1.12</v>
      </c>
      <c r="K4482" s="0" t="n">
        <v>23.45</v>
      </c>
    </row>
    <row r="4483" customFormat="false" ht="15" hidden="false" customHeight="false" outlineLevel="0" collapsed="false">
      <c r="I4483" s="0" t="n">
        <v>2031</v>
      </c>
      <c r="J4483" s="0" t="n">
        <v>0.32</v>
      </c>
      <c r="K4483" s="0" t="n">
        <v>6.7</v>
      </c>
    </row>
    <row r="4484" customFormat="false" ht="15" hidden="false" customHeight="false" outlineLevel="0" collapsed="false">
      <c r="I4484" s="0" t="n">
        <v>2031</v>
      </c>
      <c r="J4484" s="0" t="n">
        <v>1.12</v>
      </c>
      <c r="K4484" s="0" t="n">
        <v>23.45</v>
      </c>
    </row>
    <row r="4485" customFormat="false" ht="15" hidden="false" customHeight="false" outlineLevel="0" collapsed="false">
      <c r="I4485" s="0" t="n">
        <v>2031</v>
      </c>
      <c r="J4485" s="0" t="n">
        <v>25.92</v>
      </c>
      <c r="K4485" s="0" t="n">
        <v>541.44</v>
      </c>
    </row>
    <row r="4486" customFormat="false" ht="15" hidden="false" customHeight="false" outlineLevel="0" collapsed="false">
      <c r="I4486" s="0" t="n">
        <v>2031</v>
      </c>
      <c r="J4486" s="0" t="n">
        <v>8.64</v>
      </c>
      <c r="K4486" s="0" t="n">
        <v>180.48</v>
      </c>
    </row>
    <row r="4487" customFormat="false" ht="15" hidden="false" customHeight="false" outlineLevel="0" collapsed="false">
      <c r="I4487" s="0" t="n">
        <v>2031</v>
      </c>
      <c r="J4487" s="0" t="n">
        <v>3.78</v>
      </c>
      <c r="K4487" s="0" t="n">
        <v>78.96</v>
      </c>
    </row>
    <row r="4488" customFormat="false" ht="15" hidden="false" customHeight="false" outlineLevel="0" collapsed="false">
      <c r="I4488" s="0" t="n">
        <v>2031</v>
      </c>
      <c r="J4488" s="0" t="n">
        <v>2.16</v>
      </c>
      <c r="K4488" s="0" t="n">
        <v>45.12</v>
      </c>
    </row>
    <row r="4489" customFormat="false" ht="15" hidden="false" customHeight="false" outlineLevel="0" collapsed="false">
      <c r="I4489" s="0" t="n">
        <v>2031</v>
      </c>
      <c r="J4489" s="0" t="n">
        <v>2.16</v>
      </c>
      <c r="K4489" s="0" t="n">
        <v>45.12</v>
      </c>
    </row>
    <row r="4490" customFormat="false" ht="15" hidden="false" customHeight="false" outlineLevel="0" collapsed="false">
      <c r="I4490" s="0" t="n">
        <v>2031</v>
      </c>
      <c r="J4490" s="0" t="n">
        <v>1.08</v>
      </c>
      <c r="K4490" s="0" t="n">
        <v>22.56</v>
      </c>
    </row>
    <row r="4491" customFormat="false" ht="15" hidden="false" customHeight="false" outlineLevel="0" collapsed="false">
      <c r="I4491" s="0" t="n">
        <v>2031</v>
      </c>
      <c r="J4491" s="0" t="n">
        <v>1.08</v>
      </c>
      <c r="K4491" s="0" t="n">
        <v>22.56</v>
      </c>
    </row>
    <row r="4492" customFormat="false" ht="15" hidden="false" customHeight="false" outlineLevel="0" collapsed="false">
      <c r="I4492" s="0" t="n">
        <v>2031</v>
      </c>
      <c r="J4492" s="0" t="n">
        <v>2.16</v>
      </c>
      <c r="K4492" s="0" t="n">
        <v>45.12</v>
      </c>
    </row>
    <row r="4493" customFormat="false" ht="15" hidden="false" customHeight="false" outlineLevel="0" collapsed="false">
      <c r="I4493" s="0" t="n">
        <v>2031</v>
      </c>
      <c r="J4493" s="0" t="n">
        <v>3.78</v>
      </c>
      <c r="K4493" s="0" t="n">
        <v>78.96</v>
      </c>
    </row>
    <row r="4494" customFormat="false" ht="15" hidden="false" customHeight="false" outlineLevel="0" collapsed="false">
      <c r="I4494" s="0" t="n">
        <v>2031</v>
      </c>
      <c r="J4494" s="0" t="n">
        <v>1.62</v>
      </c>
      <c r="K4494" s="0" t="n">
        <v>33.84</v>
      </c>
    </row>
    <row r="4495" customFormat="false" ht="15" hidden="false" customHeight="false" outlineLevel="0" collapsed="false">
      <c r="I4495" s="0" t="n">
        <v>2031</v>
      </c>
      <c r="J4495" s="0" t="n">
        <v>1.62</v>
      </c>
      <c r="K4495" s="0" t="n">
        <v>33.84</v>
      </c>
    </row>
    <row r="4496" customFormat="false" ht="15" hidden="false" customHeight="false" outlineLevel="0" collapsed="false">
      <c r="I4496" s="0" t="n">
        <v>2031</v>
      </c>
      <c r="J4496" s="0" t="n">
        <v>6.76</v>
      </c>
      <c r="K4496" s="0" t="n">
        <v>141.96</v>
      </c>
    </row>
    <row r="4497" customFormat="false" ht="15" hidden="false" customHeight="false" outlineLevel="0" collapsed="false">
      <c r="I4497" s="0" t="n">
        <v>2031</v>
      </c>
      <c r="J4497" s="0" t="n">
        <v>1.04</v>
      </c>
      <c r="K4497" s="0" t="n">
        <v>21.84</v>
      </c>
    </row>
    <row r="4498" customFormat="false" ht="15" hidden="false" customHeight="false" outlineLevel="0" collapsed="false">
      <c r="I4498" s="0" t="n">
        <v>2031</v>
      </c>
      <c r="J4498" s="0" t="n">
        <v>0.78</v>
      </c>
      <c r="K4498" s="0" t="n">
        <v>16.38</v>
      </c>
    </row>
    <row r="4499" customFormat="false" ht="15" hidden="false" customHeight="false" outlineLevel="0" collapsed="false">
      <c r="I4499" s="0" t="n">
        <v>2031</v>
      </c>
      <c r="J4499" s="0" t="n">
        <v>1.3</v>
      </c>
      <c r="K4499" s="0" t="n">
        <v>27.3</v>
      </c>
    </row>
    <row r="4500" customFormat="false" ht="15" hidden="false" customHeight="false" outlineLevel="0" collapsed="false">
      <c r="I4500" s="0" t="n">
        <v>2031</v>
      </c>
      <c r="J4500" s="0" t="n">
        <v>0.26</v>
      </c>
      <c r="K4500" s="0" t="n">
        <v>5.46</v>
      </c>
    </row>
    <row r="4501" customFormat="false" ht="15" hidden="false" customHeight="false" outlineLevel="0" collapsed="false">
      <c r="I4501" s="0" t="n">
        <v>2031</v>
      </c>
      <c r="J4501" s="0" t="n">
        <v>0.26</v>
      </c>
      <c r="K4501" s="0" t="n">
        <v>5.46</v>
      </c>
    </row>
    <row r="4502" customFormat="false" ht="15" hidden="false" customHeight="false" outlineLevel="0" collapsed="false">
      <c r="I4502" s="0" t="n">
        <v>2031</v>
      </c>
      <c r="J4502" s="0" t="n">
        <v>0</v>
      </c>
      <c r="K4502" s="0" t="n">
        <v>0</v>
      </c>
    </row>
    <row r="4503" customFormat="false" ht="15" hidden="false" customHeight="false" outlineLevel="0" collapsed="false">
      <c r="I4503" s="0" t="n">
        <v>2031</v>
      </c>
      <c r="J4503" s="0" t="n">
        <v>0.52</v>
      </c>
      <c r="K4503" s="0" t="n">
        <v>10.92</v>
      </c>
    </row>
    <row r="4504" customFormat="false" ht="15" hidden="false" customHeight="false" outlineLevel="0" collapsed="false">
      <c r="I4504" s="0" t="n">
        <v>2031</v>
      </c>
      <c r="J4504" s="0" t="n">
        <v>0.91</v>
      </c>
      <c r="K4504" s="0" t="n">
        <v>19.11</v>
      </c>
    </row>
    <row r="4505" customFormat="false" ht="15" hidden="false" customHeight="false" outlineLevel="0" collapsed="false">
      <c r="I4505" s="0" t="n">
        <v>2031</v>
      </c>
      <c r="J4505" s="0" t="n">
        <v>0.26</v>
      </c>
      <c r="K4505" s="0" t="n">
        <v>5.46</v>
      </c>
    </row>
    <row r="4506" customFormat="false" ht="15" hidden="false" customHeight="false" outlineLevel="0" collapsed="false">
      <c r="I4506" s="0" t="n">
        <v>2031</v>
      </c>
      <c r="J4506" s="0" t="n">
        <v>0.91</v>
      </c>
      <c r="K4506" s="0" t="n">
        <v>19.11</v>
      </c>
    </row>
    <row r="4507" customFormat="false" ht="15" hidden="false" customHeight="false" outlineLevel="0" collapsed="false">
      <c r="I4507" s="0" t="n">
        <v>2031</v>
      </c>
      <c r="J4507" s="0" t="n">
        <v>363.36</v>
      </c>
      <c r="K4507" s="0" t="n">
        <v>7629.12</v>
      </c>
    </row>
    <row r="4508" customFormat="false" ht="15" hidden="false" customHeight="false" outlineLevel="0" collapsed="false">
      <c r="I4508" s="0" t="n">
        <v>2031</v>
      </c>
      <c r="J4508" s="0" t="n">
        <v>121.12</v>
      </c>
      <c r="K4508" s="0" t="n">
        <v>2543.04</v>
      </c>
    </row>
    <row r="4509" customFormat="false" ht="15" hidden="false" customHeight="false" outlineLevel="0" collapsed="false">
      <c r="I4509" s="0" t="n">
        <v>2031</v>
      </c>
      <c r="J4509" s="0" t="n">
        <v>52.99</v>
      </c>
      <c r="K4509" s="0" t="n">
        <v>1112.58</v>
      </c>
    </row>
    <row r="4510" customFormat="false" ht="15" hidden="false" customHeight="false" outlineLevel="0" collapsed="false">
      <c r="I4510" s="0" t="n">
        <v>2031</v>
      </c>
      <c r="J4510" s="0" t="n">
        <v>30.28</v>
      </c>
      <c r="K4510" s="0" t="n">
        <v>635.76</v>
      </c>
    </row>
    <row r="4511" customFormat="false" ht="15" hidden="false" customHeight="false" outlineLevel="0" collapsed="false">
      <c r="I4511" s="0" t="n">
        <v>2031</v>
      </c>
      <c r="J4511" s="0" t="n">
        <v>30.28</v>
      </c>
      <c r="K4511" s="0" t="n">
        <v>635.76</v>
      </c>
    </row>
    <row r="4512" customFormat="false" ht="15" hidden="false" customHeight="false" outlineLevel="0" collapsed="false">
      <c r="I4512" s="0" t="n">
        <v>2031</v>
      </c>
      <c r="J4512" s="0" t="n">
        <v>15.14</v>
      </c>
      <c r="K4512" s="0" t="n">
        <v>317.88</v>
      </c>
    </row>
    <row r="4513" customFormat="false" ht="15" hidden="false" customHeight="false" outlineLevel="0" collapsed="false">
      <c r="I4513" s="0" t="n">
        <v>2031</v>
      </c>
      <c r="J4513" s="0" t="n">
        <v>15.14</v>
      </c>
      <c r="K4513" s="0" t="n">
        <v>317.88</v>
      </c>
    </row>
    <row r="4514" customFormat="false" ht="15" hidden="false" customHeight="false" outlineLevel="0" collapsed="false">
      <c r="I4514" s="0" t="n">
        <v>2031</v>
      </c>
      <c r="J4514" s="0" t="n">
        <v>30.28</v>
      </c>
      <c r="K4514" s="0" t="n">
        <v>635.76</v>
      </c>
    </row>
    <row r="4515" customFormat="false" ht="15" hidden="false" customHeight="false" outlineLevel="0" collapsed="false">
      <c r="I4515" s="0" t="n">
        <v>2031</v>
      </c>
      <c r="J4515" s="0" t="n">
        <v>52.99</v>
      </c>
      <c r="K4515" s="0" t="n">
        <v>1112.58</v>
      </c>
    </row>
    <row r="4516" customFormat="false" ht="15" hidden="false" customHeight="false" outlineLevel="0" collapsed="false">
      <c r="I4516" s="0" t="n">
        <v>2031</v>
      </c>
      <c r="J4516" s="0" t="n">
        <v>22.71</v>
      </c>
      <c r="K4516" s="0" t="n">
        <v>476.82</v>
      </c>
    </row>
    <row r="4517" customFormat="false" ht="15" hidden="false" customHeight="false" outlineLevel="0" collapsed="false">
      <c r="I4517" s="0" t="n">
        <v>2031</v>
      </c>
      <c r="J4517" s="0" t="n">
        <v>22.71</v>
      </c>
      <c r="K4517" s="0" t="n">
        <v>476.82</v>
      </c>
    </row>
    <row r="4518" customFormat="false" ht="15" hidden="false" customHeight="false" outlineLevel="0" collapsed="false">
      <c r="I4518" s="0" t="n">
        <v>2031</v>
      </c>
      <c r="J4518" s="0" t="n">
        <v>89.96</v>
      </c>
      <c r="K4518" s="0" t="n">
        <v>1888.64</v>
      </c>
    </row>
    <row r="4519" customFormat="false" ht="15" hidden="false" customHeight="false" outlineLevel="0" collapsed="false">
      <c r="I4519" s="0" t="n">
        <v>2031</v>
      </c>
      <c r="J4519" s="0" t="n">
        <v>13.84</v>
      </c>
      <c r="K4519" s="0" t="n">
        <v>290.56</v>
      </c>
    </row>
    <row r="4520" customFormat="false" ht="15" hidden="false" customHeight="false" outlineLevel="0" collapsed="false">
      <c r="I4520" s="0" t="n">
        <v>2031</v>
      </c>
      <c r="J4520" s="0" t="n">
        <v>10.38</v>
      </c>
      <c r="K4520" s="0" t="n">
        <v>217.92</v>
      </c>
    </row>
    <row r="4521" customFormat="false" ht="15" hidden="false" customHeight="false" outlineLevel="0" collapsed="false">
      <c r="I4521" s="0" t="n">
        <v>2031</v>
      </c>
      <c r="J4521" s="0" t="n">
        <v>17.3</v>
      </c>
      <c r="K4521" s="0" t="n">
        <v>363.2</v>
      </c>
    </row>
    <row r="4522" customFormat="false" ht="15" hidden="false" customHeight="false" outlineLevel="0" collapsed="false">
      <c r="I4522" s="0" t="n">
        <v>2031</v>
      </c>
      <c r="J4522" s="0" t="n">
        <v>3.46</v>
      </c>
      <c r="K4522" s="0" t="n">
        <v>72.64</v>
      </c>
    </row>
    <row r="4523" customFormat="false" ht="15" hidden="false" customHeight="false" outlineLevel="0" collapsed="false">
      <c r="I4523" s="0" t="n">
        <v>2031</v>
      </c>
      <c r="J4523" s="0" t="n">
        <v>3.46</v>
      </c>
      <c r="K4523" s="0" t="n">
        <v>72.64</v>
      </c>
    </row>
    <row r="4524" customFormat="false" ht="15" hidden="false" customHeight="false" outlineLevel="0" collapsed="false">
      <c r="I4524" s="0" t="n">
        <v>2031</v>
      </c>
      <c r="J4524" s="0" t="n">
        <v>0</v>
      </c>
      <c r="K4524" s="0" t="n">
        <v>0</v>
      </c>
    </row>
    <row r="4525" customFormat="false" ht="15" hidden="false" customHeight="false" outlineLevel="0" collapsed="false">
      <c r="I4525" s="0" t="n">
        <v>2031</v>
      </c>
      <c r="J4525" s="0" t="n">
        <v>6.92</v>
      </c>
      <c r="K4525" s="0" t="n">
        <v>145.28</v>
      </c>
    </row>
    <row r="4526" customFormat="false" ht="15" hidden="false" customHeight="false" outlineLevel="0" collapsed="false">
      <c r="I4526" s="0" t="n">
        <v>2031</v>
      </c>
      <c r="J4526" s="0" t="n">
        <v>12.11</v>
      </c>
      <c r="K4526" s="0" t="n">
        <v>254.24</v>
      </c>
    </row>
    <row r="4527" customFormat="false" ht="15" hidden="false" customHeight="false" outlineLevel="0" collapsed="false">
      <c r="I4527" s="0" t="n">
        <v>2031</v>
      </c>
      <c r="J4527" s="0" t="n">
        <v>3.46</v>
      </c>
      <c r="K4527" s="0" t="n">
        <v>72.64</v>
      </c>
    </row>
    <row r="4528" customFormat="false" ht="15" hidden="false" customHeight="false" outlineLevel="0" collapsed="false">
      <c r="I4528" s="0" t="n">
        <v>2031</v>
      </c>
      <c r="J4528" s="0" t="n">
        <v>12.11</v>
      </c>
      <c r="K4528" s="0" t="n">
        <v>254.24</v>
      </c>
    </row>
    <row r="4529" customFormat="false" ht="15" hidden="false" customHeight="false" outlineLevel="0" collapsed="false">
      <c r="I4529" s="0" t="n">
        <v>2031</v>
      </c>
      <c r="J4529" s="0" t="n">
        <v>210.24</v>
      </c>
      <c r="K4529" s="0" t="n">
        <v>4414.08</v>
      </c>
    </row>
    <row r="4530" customFormat="false" ht="15" hidden="false" customHeight="false" outlineLevel="0" collapsed="false">
      <c r="I4530" s="0" t="n">
        <v>2031</v>
      </c>
      <c r="J4530" s="0" t="n">
        <v>70.08</v>
      </c>
      <c r="K4530" s="0" t="n">
        <v>1471.36</v>
      </c>
    </row>
    <row r="4531" customFormat="false" ht="15" hidden="false" customHeight="false" outlineLevel="0" collapsed="false">
      <c r="I4531" s="0" t="n">
        <v>2031</v>
      </c>
      <c r="J4531" s="0" t="n">
        <v>30.66</v>
      </c>
      <c r="K4531" s="0" t="n">
        <v>643.72</v>
      </c>
    </row>
    <row r="4532" customFormat="false" ht="15" hidden="false" customHeight="false" outlineLevel="0" collapsed="false">
      <c r="I4532" s="0" t="n">
        <v>2031</v>
      </c>
      <c r="J4532" s="0" t="n">
        <v>17.52</v>
      </c>
      <c r="K4532" s="0" t="n">
        <v>367.84</v>
      </c>
    </row>
    <row r="4533" customFormat="false" ht="15" hidden="false" customHeight="false" outlineLevel="0" collapsed="false">
      <c r="I4533" s="0" t="n">
        <v>2031</v>
      </c>
      <c r="J4533" s="0" t="n">
        <v>17.52</v>
      </c>
      <c r="K4533" s="0" t="n">
        <v>367.84</v>
      </c>
    </row>
    <row r="4534" customFormat="false" ht="15" hidden="false" customHeight="false" outlineLevel="0" collapsed="false">
      <c r="I4534" s="0" t="n">
        <v>2031</v>
      </c>
      <c r="J4534" s="0" t="n">
        <v>8.76</v>
      </c>
      <c r="K4534" s="0" t="n">
        <v>183.92</v>
      </c>
    </row>
    <row r="4535" customFormat="false" ht="15" hidden="false" customHeight="false" outlineLevel="0" collapsed="false">
      <c r="I4535" s="0" t="n">
        <v>2031</v>
      </c>
      <c r="J4535" s="0" t="n">
        <v>8.76</v>
      </c>
      <c r="K4535" s="0" t="n">
        <v>183.92</v>
      </c>
    </row>
    <row r="4536" customFormat="false" ht="15" hidden="false" customHeight="false" outlineLevel="0" collapsed="false">
      <c r="I4536" s="0" t="n">
        <v>2031</v>
      </c>
      <c r="J4536" s="0" t="n">
        <v>17.52</v>
      </c>
      <c r="K4536" s="0" t="n">
        <v>367.84</v>
      </c>
    </row>
    <row r="4537" customFormat="false" ht="15" hidden="false" customHeight="false" outlineLevel="0" collapsed="false">
      <c r="I4537" s="0" t="n">
        <v>2031</v>
      </c>
      <c r="J4537" s="0" t="n">
        <v>30.66</v>
      </c>
      <c r="K4537" s="0" t="n">
        <v>643.72</v>
      </c>
    </row>
    <row r="4538" customFormat="false" ht="15" hidden="false" customHeight="false" outlineLevel="0" collapsed="false">
      <c r="I4538" s="0" t="n">
        <v>2031</v>
      </c>
      <c r="J4538" s="0" t="n">
        <v>13.14</v>
      </c>
      <c r="K4538" s="0" t="n">
        <v>275.88</v>
      </c>
    </row>
    <row r="4539" customFormat="false" ht="15" hidden="false" customHeight="false" outlineLevel="0" collapsed="false">
      <c r="I4539" s="0" t="n">
        <v>2031</v>
      </c>
      <c r="J4539" s="0" t="n">
        <v>13.14</v>
      </c>
      <c r="K4539" s="0" t="n">
        <v>275.88</v>
      </c>
    </row>
    <row r="4540" customFormat="false" ht="15" hidden="false" customHeight="false" outlineLevel="0" collapsed="false">
      <c r="I4540" s="0" t="n">
        <v>2031</v>
      </c>
      <c r="J4540" s="0" t="n">
        <v>32.24</v>
      </c>
      <c r="K4540" s="0" t="n">
        <v>680.16</v>
      </c>
    </row>
    <row r="4541" customFormat="false" ht="15" hidden="false" customHeight="false" outlineLevel="0" collapsed="false">
      <c r="I4541" s="0" t="n">
        <v>2031</v>
      </c>
      <c r="J4541" s="0" t="n">
        <v>4.96</v>
      </c>
      <c r="K4541" s="0" t="n">
        <v>104.64</v>
      </c>
    </row>
    <row r="4542" customFormat="false" ht="15" hidden="false" customHeight="false" outlineLevel="0" collapsed="false">
      <c r="I4542" s="0" t="n">
        <v>2031</v>
      </c>
      <c r="J4542" s="0" t="n">
        <v>3.72</v>
      </c>
      <c r="K4542" s="0" t="n">
        <v>78.48</v>
      </c>
    </row>
    <row r="4543" customFormat="false" ht="15" hidden="false" customHeight="false" outlineLevel="0" collapsed="false">
      <c r="I4543" s="0" t="n">
        <v>2031</v>
      </c>
      <c r="J4543" s="0" t="n">
        <v>6.2</v>
      </c>
      <c r="K4543" s="0" t="n">
        <v>130.8</v>
      </c>
    </row>
    <row r="4544" customFormat="false" ht="15" hidden="false" customHeight="false" outlineLevel="0" collapsed="false">
      <c r="I4544" s="0" t="n">
        <v>2031</v>
      </c>
      <c r="J4544" s="0" t="n">
        <v>1.24</v>
      </c>
      <c r="K4544" s="0" t="n">
        <v>26.16</v>
      </c>
    </row>
    <row r="4545" customFormat="false" ht="15" hidden="false" customHeight="false" outlineLevel="0" collapsed="false">
      <c r="I4545" s="0" t="n">
        <v>2031</v>
      </c>
      <c r="J4545" s="0" t="n">
        <v>1.24</v>
      </c>
      <c r="K4545" s="0" t="n">
        <v>26.16</v>
      </c>
    </row>
    <row r="4546" customFormat="false" ht="15" hidden="false" customHeight="false" outlineLevel="0" collapsed="false">
      <c r="I4546" s="0" t="n">
        <v>2031</v>
      </c>
      <c r="J4546" s="0" t="n">
        <v>0</v>
      </c>
      <c r="K4546" s="0" t="n">
        <v>0</v>
      </c>
    </row>
    <row r="4547" customFormat="false" ht="15" hidden="false" customHeight="false" outlineLevel="0" collapsed="false">
      <c r="I4547" s="0" t="n">
        <v>2031</v>
      </c>
      <c r="J4547" s="0" t="n">
        <v>2.48</v>
      </c>
      <c r="K4547" s="0" t="n">
        <v>52.32</v>
      </c>
    </row>
    <row r="4548" customFormat="false" ht="15" hidden="false" customHeight="false" outlineLevel="0" collapsed="false">
      <c r="I4548" s="0" t="n">
        <v>2031</v>
      </c>
      <c r="J4548" s="0" t="n">
        <v>4.34</v>
      </c>
      <c r="K4548" s="0" t="n">
        <v>91.56</v>
      </c>
    </row>
    <row r="4549" customFormat="false" ht="15" hidden="false" customHeight="false" outlineLevel="0" collapsed="false">
      <c r="I4549" s="0" t="n">
        <v>2031</v>
      </c>
      <c r="J4549" s="0" t="n">
        <v>1.24</v>
      </c>
      <c r="K4549" s="0" t="n">
        <v>26.16</v>
      </c>
    </row>
    <row r="4550" customFormat="false" ht="15" hidden="false" customHeight="false" outlineLevel="0" collapsed="false">
      <c r="I4550" s="0" t="n">
        <v>2031</v>
      </c>
      <c r="J4550" s="0" t="n">
        <v>4.34</v>
      </c>
      <c r="K4550" s="0" t="n">
        <v>91.56</v>
      </c>
    </row>
    <row r="4551" customFormat="false" ht="15" hidden="false" customHeight="false" outlineLevel="0" collapsed="false">
      <c r="I4551" s="0" t="n">
        <v>2031</v>
      </c>
      <c r="J4551" s="0" t="n">
        <v>124.32</v>
      </c>
      <c r="K4551" s="0" t="n">
        <v>2607.36</v>
      </c>
    </row>
    <row r="4552" customFormat="false" ht="15" hidden="false" customHeight="false" outlineLevel="0" collapsed="false">
      <c r="I4552" s="0" t="n">
        <v>2031</v>
      </c>
      <c r="J4552" s="0" t="n">
        <v>41.44</v>
      </c>
      <c r="K4552" s="0" t="n">
        <v>869.12</v>
      </c>
    </row>
    <row r="4553" customFormat="false" ht="15" hidden="false" customHeight="false" outlineLevel="0" collapsed="false">
      <c r="I4553" s="0" t="n">
        <v>2031</v>
      </c>
      <c r="J4553" s="0" t="n">
        <v>18.13</v>
      </c>
      <c r="K4553" s="0" t="n">
        <v>380.24</v>
      </c>
    </row>
    <row r="4554" customFormat="false" ht="15" hidden="false" customHeight="false" outlineLevel="0" collapsed="false">
      <c r="I4554" s="0" t="n">
        <v>2031</v>
      </c>
      <c r="J4554" s="0" t="n">
        <v>10.36</v>
      </c>
      <c r="K4554" s="0" t="n">
        <v>217.28</v>
      </c>
    </row>
    <row r="4555" customFormat="false" ht="15" hidden="false" customHeight="false" outlineLevel="0" collapsed="false">
      <c r="I4555" s="0" t="n">
        <v>2031</v>
      </c>
      <c r="J4555" s="0" t="n">
        <v>10.36</v>
      </c>
      <c r="K4555" s="0" t="n">
        <v>217.28</v>
      </c>
    </row>
    <row r="4556" customFormat="false" ht="15" hidden="false" customHeight="false" outlineLevel="0" collapsed="false">
      <c r="I4556" s="0" t="n">
        <v>2031</v>
      </c>
      <c r="J4556" s="0" t="n">
        <v>5.18</v>
      </c>
      <c r="K4556" s="0" t="n">
        <v>108.64</v>
      </c>
    </row>
    <row r="4557" customFormat="false" ht="15" hidden="false" customHeight="false" outlineLevel="0" collapsed="false">
      <c r="I4557" s="0" t="n">
        <v>2031</v>
      </c>
      <c r="J4557" s="0" t="n">
        <v>5.18</v>
      </c>
      <c r="K4557" s="0" t="n">
        <v>108.64</v>
      </c>
    </row>
    <row r="4558" customFormat="false" ht="15" hidden="false" customHeight="false" outlineLevel="0" collapsed="false">
      <c r="I4558" s="0" t="n">
        <v>2031</v>
      </c>
      <c r="J4558" s="0" t="n">
        <v>10.36</v>
      </c>
      <c r="K4558" s="0" t="n">
        <v>217.28</v>
      </c>
    </row>
    <row r="4559" customFormat="false" ht="15" hidden="false" customHeight="false" outlineLevel="0" collapsed="false">
      <c r="I4559" s="0" t="n">
        <v>2031</v>
      </c>
      <c r="J4559" s="0" t="n">
        <v>18.13</v>
      </c>
      <c r="K4559" s="0" t="n">
        <v>380.24</v>
      </c>
    </row>
    <row r="4560" customFormat="false" ht="15" hidden="false" customHeight="false" outlineLevel="0" collapsed="false">
      <c r="I4560" s="0" t="n">
        <v>2031</v>
      </c>
      <c r="J4560" s="0" t="n">
        <v>7.77</v>
      </c>
      <c r="K4560" s="0" t="n">
        <v>162.96</v>
      </c>
    </row>
    <row r="4561" customFormat="false" ht="15" hidden="false" customHeight="false" outlineLevel="0" collapsed="false">
      <c r="I4561" s="0" t="n">
        <v>2031</v>
      </c>
      <c r="J4561" s="0" t="n">
        <v>7.77</v>
      </c>
      <c r="K4561" s="0" t="n">
        <v>162.96</v>
      </c>
    </row>
    <row r="4562" customFormat="false" ht="15" hidden="false" customHeight="false" outlineLevel="0" collapsed="false">
      <c r="I4562" s="0" t="n">
        <v>2031</v>
      </c>
      <c r="J4562" s="0" t="n">
        <v>16.64</v>
      </c>
      <c r="K4562" s="0" t="n">
        <v>354.12</v>
      </c>
    </row>
    <row r="4563" customFormat="false" ht="15" hidden="false" customHeight="false" outlineLevel="0" collapsed="false">
      <c r="I4563" s="0" t="n">
        <v>2031</v>
      </c>
      <c r="J4563" s="0" t="n">
        <v>2.56</v>
      </c>
      <c r="K4563" s="0" t="n">
        <v>54.48</v>
      </c>
    </row>
    <row r="4564" customFormat="false" ht="15" hidden="false" customHeight="false" outlineLevel="0" collapsed="false">
      <c r="I4564" s="0" t="n">
        <v>2031</v>
      </c>
      <c r="J4564" s="0" t="n">
        <v>1.92</v>
      </c>
      <c r="K4564" s="0" t="n">
        <v>40.86</v>
      </c>
    </row>
    <row r="4565" customFormat="false" ht="15" hidden="false" customHeight="false" outlineLevel="0" collapsed="false">
      <c r="I4565" s="0" t="n">
        <v>2031</v>
      </c>
      <c r="J4565" s="0" t="n">
        <v>3.2</v>
      </c>
      <c r="K4565" s="0" t="n">
        <v>68.1</v>
      </c>
    </row>
    <row r="4566" customFormat="false" ht="15" hidden="false" customHeight="false" outlineLevel="0" collapsed="false">
      <c r="I4566" s="0" t="n">
        <v>2031</v>
      </c>
      <c r="J4566" s="0" t="n">
        <v>0.64</v>
      </c>
      <c r="K4566" s="0" t="n">
        <v>13.62</v>
      </c>
    </row>
    <row r="4567" customFormat="false" ht="15" hidden="false" customHeight="false" outlineLevel="0" collapsed="false">
      <c r="I4567" s="0" t="n">
        <v>2031</v>
      </c>
      <c r="J4567" s="0" t="n">
        <v>0.64</v>
      </c>
      <c r="K4567" s="0" t="n">
        <v>13.62</v>
      </c>
    </row>
    <row r="4568" customFormat="false" ht="15" hidden="false" customHeight="false" outlineLevel="0" collapsed="false">
      <c r="I4568" s="0" t="n">
        <v>2031</v>
      </c>
      <c r="J4568" s="0" t="n">
        <v>0</v>
      </c>
      <c r="K4568" s="0" t="n">
        <v>0</v>
      </c>
    </row>
    <row r="4569" customFormat="false" ht="15" hidden="false" customHeight="false" outlineLevel="0" collapsed="false">
      <c r="I4569" s="0" t="n">
        <v>2031</v>
      </c>
      <c r="J4569" s="0" t="n">
        <v>1.28</v>
      </c>
      <c r="K4569" s="0" t="n">
        <v>27.24</v>
      </c>
    </row>
    <row r="4570" customFormat="false" ht="15" hidden="false" customHeight="false" outlineLevel="0" collapsed="false">
      <c r="I4570" s="0" t="n">
        <v>2031</v>
      </c>
      <c r="J4570" s="0" t="n">
        <v>2.24</v>
      </c>
      <c r="K4570" s="0" t="n">
        <v>47.67</v>
      </c>
    </row>
    <row r="4571" customFormat="false" ht="15" hidden="false" customHeight="false" outlineLevel="0" collapsed="false">
      <c r="I4571" s="0" t="n">
        <v>2031</v>
      </c>
      <c r="J4571" s="0" t="n">
        <v>0.64</v>
      </c>
      <c r="K4571" s="0" t="n">
        <v>13.62</v>
      </c>
    </row>
    <row r="4572" customFormat="false" ht="15" hidden="false" customHeight="false" outlineLevel="0" collapsed="false">
      <c r="I4572" s="0" t="n">
        <v>2031</v>
      </c>
      <c r="J4572" s="0" t="n">
        <v>2.24</v>
      </c>
      <c r="K4572" s="0" t="n">
        <v>47.67</v>
      </c>
    </row>
    <row r="4573" customFormat="false" ht="15" hidden="false" customHeight="false" outlineLevel="0" collapsed="false">
      <c r="I4573" s="0" t="n">
        <v>2031</v>
      </c>
      <c r="J4573" s="0" t="n">
        <v>107.04</v>
      </c>
      <c r="K4573" s="0" t="n">
        <v>2245.44</v>
      </c>
    </row>
    <row r="4574" customFormat="false" ht="15" hidden="false" customHeight="false" outlineLevel="0" collapsed="false">
      <c r="I4574" s="0" t="n">
        <v>2031</v>
      </c>
      <c r="J4574" s="0" t="n">
        <v>35.68</v>
      </c>
      <c r="K4574" s="0" t="n">
        <v>748.48</v>
      </c>
    </row>
    <row r="4575" customFormat="false" ht="15" hidden="false" customHeight="false" outlineLevel="0" collapsed="false">
      <c r="I4575" s="0" t="n">
        <v>2031</v>
      </c>
      <c r="J4575" s="0" t="n">
        <v>15.61</v>
      </c>
      <c r="K4575" s="0" t="n">
        <v>327.46</v>
      </c>
    </row>
    <row r="4576" customFormat="false" ht="15" hidden="false" customHeight="false" outlineLevel="0" collapsed="false">
      <c r="I4576" s="0" t="n">
        <v>2031</v>
      </c>
      <c r="J4576" s="0" t="n">
        <v>8.92</v>
      </c>
      <c r="K4576" s="0" t="n">
        <v>187.12</v>
      </c>
    </row>
    <row r="4577" customFormat="false" ht="15" hidden="false" customHeight="false" outlineLevel="0" collapsed="false">
      <c r="I4577" s="0" t="n">
        <v>2031</v>
      </c>
      <c r="J4577" s="0" t="n">
        <v>8.92</v>
      </c>
      <c r="K4577" s="0" t="n">
        <v>187.12</v>
      </c>
    </row>
    <row r="4578" customFormat="false" ht="15" hidden="false" customHeight="false" outlineLevel="0" collapsed="false">
      <c r="I4578" s="0" t="n">
        <v>2031</v>
      </c>
      <c r="J4578" s="0" t="n">
        <v>4.46</v>
      </c>
      <c r="K4578" s="0" t="n">
        <v>93.56</v>
      </c>
    </row>
    <row r="4579" customFormat="false" ht="15" hidden="false" customHeight="false" outlineLevel="0" collapsed="false">
      <c r="I4579" s="0" t="n">
        <v>2031</v>
      </c>
      <c r="J4579" s="0" t="n">
        <v>4.46</v>
      </c>
      <c r="K4579" s="0" t="n">
        <v>93.56</v>
      </c>
    </row>
    <row r="4580" customFormat="false" ht="15" hidden="false" customHeight="false" outlineLevel="0" collapsed="false">
      <c r="I4580" s="0" t="n">
        <v>2031</v>
      </c>
      <c r="J4580" s="0" t="n">
        <v>8.92</v>
      </c>
      <c r="K4580" s="0" t="n">
        <v>187.12</v>
      </c>
    </row>
    <row r="4581" customFormat="false" ht="15" hidden="false" customHeight="false" outlineLevel="0" collapsed="false">
      <c r="I4581" s="0" t="n">
        <v>2031</v>
      </c>
      <c r="J4581" s="0" t="n">
        <v>15.61</v>
      </c>
      <c r="K4581" s="0" t="n">
        <v>327.46</v>
      </c>
    </row>
    <row r="4582" customFormat="false" ht="15" hidden="false" customHeight="false" outlineLevel="0" collapsed="false">
      <c r="I4582" s="0" t="n">
        <v>2031</v>
      </c>
      <c r="J4582" s="0" t="n">
        <v>6.69</v>
      </c>
      <c r="K4582" s="0" t="n">
        <v>140.34</v>
      </c>
    </row>
    <row r="4583" customFormat="false" ht="15" hidden="false" customHeight="false" outlineLevel="0" collapsed="false">
      <c r="I4583" s="0" t="n">
        <v>2031</v>
      </c>
      <c r="J4583" s="0" t="n">
        <v>6.69</v>
      </c>
      <c r="K4583" s="0" t="n">
        <v>140.34</v>
      </c>
    </row>
    <row r="4584" customFormat="false" ht="15" hidden="false" customHeight="false" outlineLevel="0" collapsed="false">
      <c r="I4584" s="0" t="n">
        <v>2031</v>
      </c>
      <c r="J4584" s="0" t="n">
        <v>22.36</v>
      </c>
      <c r="K4584" s="0" t="n">
        <v>473.2</v>
      </c>
    </row>
    <row r="4585" customFormat="false" ht="15" hidden="false" customHeight="false" outlineLevel="0" collapsed="false">
      <c r="I4585" s="0" t="n">
        <v>2031</v>
      </c>
      <c r="J4585" s="0" t="n">
        <v>3.44</v>
      </c>
      <c r="K4585" s="0" t="n">
        <v>72.8</v>
      </c>
    </row>
    <row r="4586" customFormat="false" ht="15" hidden="false" customHeight="false" outlineLevel="0" collapsed="false">
      <c r="I4586" s="0" t="n">
        <v>2031</v>
      </c>
      <c r="J4586" s="0" t="n">
        <v>2.58</v>
      </c>
      <c r="K4586" s="0" t="n">
        <v>54.6</v>
      </c>
    </row>
    <row r="4587" customFormat="false" ht="15" hidden="false" customHeight="false" outlineLevel="0" collapsed="false">
      <c r="I4587" s="0" t="n">
        <v>2031</v>
      </c>
      <c r="J4587" s="0" t="n">
        <v>4.3</v>
      </c>
      <c r="K4587" s="0" t="n">
        <v>91</v>
      </c>
    </row>
    <row r="4588" customFormat="false" ht="15" hidden="false" customHeight="false" outlineLevel="0" collapsed="false">
      <c r="I4588" s="0" t="n">
        <v>2031</v>
      </c>
      <c r="J4588" s="0" t="n">
        <v>0.86</v>
      </c>
      <c r="K4588" s="0" t="n">
        <v>18.2</v>
      </c>
    </row>
    <row r="4589" customFormat="false" ht="15" hidden="false" customHeight="false" outlineLevel="0" collapsed="false">
      <c r="I4589" s="0" t="n">
        <v>2031</v>
      </c>
      <c r="J4589" s="0" t="n">
        <v>0.86</v>
      </c>
      <c r="K4589" s="0" t="n">
        <v>18.2</v>
      </c>
    </row>
    <row r="4590" customFormat="false" ht="15" hidden="false" customHeight="false" outlineLevel="0" collapsed="false">
      <c r="I4590" s="0" t="n">
        <v>2031</v>
      </c>
      <c r="J4590" s="0" t="n">
        <v>0</v>
      </c>
      <c r="K4590" s="0" t="n">
        <v>0</v>
      </c>
    </row>
    <row r="4591" customFormat="false" ht="15" hidden="false" customHeight="false" outlineLevel="0" collapsed="false">
      <c r="I4591" s="0" t="n">
        <v>2031</v>
      </c>
      <c r="J4591" s="0" t="n">
        <v>1.72</v>
      </c>
      <c r="K4591" s="0" t="n">
        <v>36.4</v>
      </c>
    </row>
    <row r="4592" customFormat="false" ht="15" hidden="false" customHeight="false" outlineLevel="0" collapsed="false">
      <c r="I4592" s="0" t="n">
        <v>2031</v>
      </c>
      <c r="J4592" s="0" t="n">
        <v>3.01</v>
      </c>
      <c r="K4592" s="0" t="n">
        <v>63.7</v>
      </c>
    </row>
    <row r="4593" customFormat="false" ht="15" hidden="false" customHeight="false" outlineLevel="0" collapsed="false">
      <c r="I4593" s="0" t="n">
        <v>2031</v>
      </c>
      <c r="J4593" s="0" t="n">
        <v>0.86</v>
      </c>
      <c r="K4593" s="0" t="n">
        <v>18.2</v>
      </c>
    </row>
    <row r="4594" customFormat="false" ht="15" hidden="false" customHeight="false" outlineLevel="0" collapsed="false">
      <c r="I4594" s="0" t="n">
        <v>2031</v>
      </c>
      <c r="J4594" s="0" t="n">
        <v>3.01</v>
      </c>
      <c r="K4594" s="0" t="n">
        <v>63.7</v>
      </c>
    </row>
    <row r="4595" customFormat="false" ht="15" hidden="false" customHeight="false" outlineLevel="0" collapsed="false">
      <c r="I4595" s="0" t="n">
        <v>2031</v>
      </c>
      <c r="J4595" s="0" t="n">
        <v>113.76</v>
      </c>
      <c r="K4595" s="0" t="n">
        <v>2388.48</v>
      </c>
    </row>
    <row r="4596" customFormat="false" ht="15" hidden="false" customHeight="false" outlineLevel="0" collapsed="false">
      <c r="I4596" s="0" t="n">
        <v>2031</v>
      </c>
      <c r="J4596" s="0" t="n">
        <v>37.92</v>
      </c>
      <c r="K4596" s="0" t="n">
        <v>796.16</v>
      </c>
    </row>
    <row r="4597" customFormat="false" ht="15" hidden="false" customHeight="false" outlineLevel="0" collapsed="false">
      <c r="I4597" s="0" t="n">
        <v>2031</v>
      </c>
      <c r="J4597" s="0" t="n">
        <v>16.59</v>
      </c>
      <c r="K4597" s="0" t="n">
        <v>348.32</v>
      </c>
    </row>
    <row r="4598" customFormat="false" ht="15" hidden="false" customHeight="false" outlineLevel="0" collapsed="false">
      <c r="I4598" s="0" t="n">
        <v>2031</v>
      </c>
      <c r="J4598" s="0" t="n">
        <v>9.48</v>
      </c>
      <c r="K4598" s="0" t="n">
        <v>199.04</v>
      </c>
    </row>
    <row r="4599" customFormat="false" ht="15" hidden="false" customHeight="false" outlineLevel="0" collapsed="false">
      <c r="I4599" s="0" t="n">
        <v>2031</v>
      </c>
      <c r="J4599" s="0" t="n">
        <v>9.48</v>
      </c>
      <c r="K4599" s="0" t="n">
        <v>199.04</v>
      </c>
    </row>
    <row r="4600" customFormat="false" ht="15" hidden="false" customHeight="false" outlineLevel="0" collapsed="false">
      <c r="I4600" s="0" t="n">
        <v>2031</v>
      </c>
      <c r="J4600" s="0" t="n">
        <v>4.74</v>
      </c>
      <c r="K4600" s="0" t="n">
        <v>99.52</v>
      </c>
    </row>
    <row r="4601" customFormat="false" ht="15" hidden="false" customHeight="false" outlineLevel="0" collapsed="false">
      <c r="I4601" s="0" t="n">
        <v>2031</v>
      </c>
      <c r="J4601" s="0" t="n">
        <v>4.74</v>
      </c>
      <c r="K4601" s="0" t="n">
        <v>99.52</v>
      </c>
    </row>
    <row r="4602" customFormat="false" ht="15" hidden="false" customHeight="false" outlineLevel="0" collapsed="false">
      <c r="I4602" s="0" t="n">
        <v>2031</v>
      </c>
      <c r="J4602" s="0" t="n">
        <v>9.48</v>
      </c>
      <c r="K4602" s="0" t="n">
        <v>199.04</v>
      </c>
    </row>
    <row r="4603" customFormat="false" ht="15" hidden="false" customHeight="false" outlineLevel="0" collapsed="false">
      <c r="I4603" s="0" t="n">
        <v>2031</v>
      </c>
      <c r="J4603" s="0" t="n">
        <v>16.59</v>
      </c>
      <c r="K4603" s="0" t="n">
        <v>348.32</v>
      </c>
    </row>
    <row r="4604" customFormat="false" ht="15" hidden="false" customHeight="false" outlineLevel="0" collapsed="false">
      <c r="I4604" s="0" t="n">
        <v>2031</v>
      </c>
      <c r="J4604" s="0" t="n">
        <v>7.11</v>
      </c>
      <c r="K4604" s="0" t="n">
        <v>149.28</v>
      </c>
    </row>
    <row r="4605" customFormat="false" ht="15" hidden="false" customHeight="false" outlineLevel="0" collapsed="false">
      <c r="I4605" s="0" t="n">
        <v>2031</v>
      </c>
      <c r="J4605" s="0" t="n">
        <v>7.11</v>
      </c>
      <c r="K4605" s="0" t="n">
        <v>149.28</v>
      </c>
    </row>
    <row r="4606" customFormat="false" ht="15" hidden="false" customHeight="false" outlineLevel="0" collapsed="false">
      <c r="I4606" s="0" t="n">
        <v>2031</v>
      </c>
      <c r="J4606" s="0" t="n">
        <v>30.16</v>
      </c>
      <c r="K4606" s="0" t="n">
        <v>636.48</v>
      </c>
    </row>
    <row r="4607" customFormat="false" ht="15" hidden="false" customHeight="false" outlineLevel="0" collapsed="false">
      <c r="I4607" s="0" t="n">
        <v>2031</v>
      </c>
      <c r="J4607" s="0" t="n">
        <v>4.64</v>
      </c>
      <c r="K4607" s="0" t="n">
        <v>97.92</v>
      </c>
    </row>
    <row r="4608" customFormat="false" ht="15" hidden="false" customHeight="false" outlineLevel="0" collapsed="false">
      <c r="I4608" s="0" t="n">
        <v>2031</v>
      </c>
      <c r="J4608" s="0" t="n">
        <v>3.48</v>
      </c>
      <c r="K4608" s="0" t="n">
        <v>73.44</v>
      </c>
    </row>
    <row r="4609" customFormat="false" ht="15" hidden="false" customHeight="false" outlineLevel="0" collapsed="false">
      <c r="I4609" s="0" t="n">
        <v>2031</v>
      </c>
      <c r="J4609" s="0" t="n">
        <v>5.8</v>
      </c>
      <c r="K4609" s="0" t="n">
        <v>122.4</v>
      </c>
    </row>
    <row r="4610" customFormat="false" ht="15" hidden="false" customHeight="false" outlineLevel="0" collapsed="false">
      <c r="I4610" s="0" t="n">
        <v>2031</v>
      </c>
      <c r="J4610" s="0" t="n">
        <v>1.16</v>
      </c>
      <c r="K4610" s="0" t="n">
        <v>24.48</v>
      </c>
    </row>
    <row r="4611" customFormat="false" ht="15" hidden="false" customHeight="false" outlineLevel="0" collapsed="false">
      <c r="I4611" s="0" t="n">
        <v>2031</v>
      </c>
      <c r="J4611" s="0" t="n">
        <v>1.16</v>
      </c>
      <c r="K4611" s="0" t="n">
        <v>24.48</v>
      </c>
    </row>
    <row r="4612" customFormat="false" ht="15" hidden="false" customHeight="false" outlineLevel="0" collapsed="false">
      <c r="I4612" s="0" t="n">
        <v>2031</v>
      </c>
      <c r="J4612" s="0" t="n">
        <v>0</v>
      </c>
      <c r="K4612" s="0" t="n">
        <v>0</v>
      </c>
    </row>
    <row r="4613" customFormat="false" ht="15" hidden="false" customHeight="false" outlineLevel="0" collapsed="false">
      <c r="I4613" s="0" t="n">
        <v>2031</v>
      </c>
      <c r="J4613" s="0" t="n">
        <v>2.32</v>
      </c>
      <c r="K4613" s="0" t="n">
        <v>48.96</v>
      </c>
    </row>
    <row r="4614" customFormat="false" ht="15" hidden="false" customHeight="false" outlineLevel="0" collapsed="false">
      <c r="I4614" s="0" t="n">
        <v>2031</v>
      </c>
      <c r="J4614" s="0" t="n">
        <v>4.06</v>
      </c>
      <c r="K4614" s="0" t="n">
        <v>85.68</v>
      </c>
    </row>
    <row r="4615" customFormat="false" ht="15" hidden="false" customHeight="false" outlineLevel="0" collapsed="false">
      <c r="I4615" s="0" t="n">
        <v>2031</v>
      </c>
      <c r="J4615" s="0" t="n">
        <v>1.16</v>
      </c>
      <c r="K4615" s="0" t="n">
        <v>24.48</v>
      </c>
    </row>
    <row r="4616" customFormat="false" ht="15" hidden="false" customHeight="false" outlineLevel="0" collapsed="false">
      <c r="I4616" s="0" t="n">
        <v>2031</v>
      </c>
      <c r="J4616" s="0" t="n">
        <v>4.06</v>
      </c>
      <c r="K4616" s="0" t="n">
        <v>85.68</v>
      </c>
    </row>
    <row r="4617" customFormat="false" ht="15" hidden="false" customHeight="false" outlineLevel="0" collapsed="false">
      <c r="I4617" s="0" t="n">
        <v>2031</v>
      </c>
      <c r="J4617" s="0" t="n">
        <v>114.72</v>
      </c>
      <c r="K4617" s="0" t="n">
        <v>2406.24</v>
      </c>
    </row>
    <row r="4618" customFormat="false" ht="15" hidden="false" customHeight="false" outlineLevel="0" collapsed="false">
      <c r="I4618" s="0" t="n">
        <v>2031</v>
      </c>
      <c r="J4618" s="0" t="n">
        <v>38.24</v>
      </c>
      <c r="K4618" s="0" t="n">
        <v>802.08</v>
      </c>
    </row>
    <row r="4619" customFormat="false" ht="15" hidden="false" customHeight="false" outlineLevel="0" collapsed="false">
      <c r="I4619" s="0" t="n">
        <v>2031</v>
      </c>
      <c r="J4619" s="0" t="n">
        <v>16.73</v>
      </c>
      <c r="K4619" s="0" t="n">
        <v>350.91</v>
      </c>
    </row>
    <row r="4620" customFormat="false" ht="15" hidden="false" customHeight="false" outlineLevel="0" collapsed="false">
      <c r="I4620" s="0" t="n">
        <v>2031</v>
      </c>
      <c r="J4620" s="0" t="n">
        <v>9.56</v>
      </c>
      <c r="K4620" s="0" t="n">
        <v>200.52</v>
      </c>
    </row>
    <row r="4621" customFormat="false" ht="15" hidden="false" customHeight="false" outlineLevel="0" collapsed="false">
      <c r="I4621" s="0" t="n">
        <v>2031</v>
      </c>
      <c r="J4621" s="0" t="n">
        <v>9.56</v>
      </c>
      <c r="K4621" s="0" t="n">
        <v>200.52</v>
      </c>
    </row>
    <row r="4622" customFormat="false" ht="15" hidden="false" customHeight="false" outlineLevel="0" collapsed="false">
      <c r="I4622" s="0" t="n">
        <v>2031</v>
      </c>
      <c r="J4622" s="0" t="n">
        <v>4.78</v>
      </c>
      <c r="K4622" s="0" t="n">
        <v>100.26</v>
      </c>
    </row>
    <row r="4623" customFormat="false" ht="15" hidden="false" customHeight="false" outlineLevel="0" collapsed="false">
      <c r="I4623" s="0" t="n">
        <v>2031</v>
      </c>
      <c r="J4623" s="0" t="n">
        <v>4.78</v>
      </c>
      <c r="K4623" s="0" t="n">
        <v>100.26</v>
      </c>
    </row>
    <row r="4624" customFormat="false" ht="15" hidden="false" customHeight="false" outlineLevel="0" collapsed="false">
      <c r="I4624" s="0" t="n">
        <v>2031</v>
      </c>
      <c r="J4624" s="0" t="n">
        <v>9.56</v>
      </c>
      <c r="K4624" s="0" t="n">
        <v>200.52</v>
      </c>
    </row>
    <row r="4625" customFormat="false" ht="15" hidden="false" customHeight="false" outlineLevel="0" collapsed="false">
      <c r="I4625" s="0" t="n">
        <v>2031</v>
      </c>
      <c r="J4625" s="0" t="n">
        <v>16.73</v>
      </c>
      <c r="K4625" s="0" t="n">
        <v>350.91</v>
      </c>
    </row>
    <row r="4626" customFormat="false" ht="15" hidden="false" customHeight="false" outlineLevel="0" collapsed="false">
      <c r="I4626" s="0" t="n">
        <v>2031</v>
      </c>
      <c r="J4626" s="0" t="n">
        <v>7.17</v>
      </c>
      <c r="K4626" s="0" t="n">
        <v>150.39</v>
      </c>
    </row>
    <row r="4627" customFormat="false" ht="15" hidden="false" customHeight="false" outlineLevel="0" collapsed="false">
      <c r="I4627" s="0" t="n">
        <v>2031</v>
      </c>
      <c r="J4627" s="0" t="n">
        <v>7.17</v>
      </c>
      <c r="K4627" s="0" t="n">
        <v>150.39</v>
      </c>
    </row>
    <row r="4628" customFormat="false" ht="15" hidden="false" customHeight="false" outlineLevel="0" collapsed="false">
      <c r="I4628" s="0" t="n">
        <v>2031</v>
      </c>
      <c r="J4628" s="0" t="n">
        <v>17.68</v>
      </c>
      <c r="K4628" s="0" t="n">
        <v>375.44</v>
      </c>
    </row>
    <row r="4629" customFormat="false" ht="15" hidden="false" customHeight="false" outlineLevel="0" collapsed="false">
      <c r="I4629" s="0" t="n">
        <v>2031</v>
      </c>
      <c r="J4629" s="0" t="n">
        <v>2.72</v>
      </c>
      <c r="K4629" s="0" t="n">
        <v>57.76</v>
      </c>
    </row>
    <row r="4630" customFormat="false" ht="15" hidden="false" customHeight="false" outlineLevel="0" collapsed="false">
      <c r="I4630" s="0" t="n">
        <v>2031</v>
      </c>
      <c r="J4630" s="0" t="n">
        <v>2.04</v>
      </c>
      <c r="K4630" s="0" t="n">
        <v>43.32</v>
      </c>
    </row>
    <row r="4631" customFormat="false" ht="15" hidden="false" customHeight="false" outlineLevel="0" collapsed="false">
      <c r="I4631" s="0" t="n">
        <v>2031</v>
      </c>
      <c r="J4631" s="0" t="n">
        <v>3.4</v>
      </c>
      <c r="K4631" s="0" t="n">
        <v>72.2</v>
      </c>
    </row>
    <row r="4632" customFormat="false" ht="15" hidden="false" customHeight="false" outlineLevel="0" collapsed="false">
      <c r="I4632" s="0" t="n">
        <v>2031</v>
      </c>
      <c r="J4632" s="0" t="n">
        <v>0.68</v>
      </c>
      <c r="K4632" s="0" t="n">
        <v>14.44</v>
      </c>
    </row>
    <row r="4633" customFormat="false" ht="15" hidden="false" customHeight="false" outlineLevel="0" collapsed="false">
      <c r="I4633" s="0" t="n">
        <v>2031</v>
      </c>
      <c r="J4633" s="0" t="n">
        <v>0.68</v>
      </c>
      <c r="K4633" s="0" t="n">
        <v>14.44</v>
      </c>
    </row>
    <row r="4634" customFormat="false" ht="15" hidden="false" customHeight="false" outlineLevel="0" collapsed="false">
      <c r="I4634" s="0" t="n">
        <v>2031</v>
      </c>
      <c r="J4634" s="0" t="n">
        <v>0</v>
      </c>
      <c r="K4634" s="0" t="n">
        <v>0</v>
      </c>
    </row>
    <row r="4635" customFormat="false" ht="15" hidden="false" customHeight="false" outlineLevel="0" collapsed="false">
      <c r="I4635" s="0" t="n">
        <v>2031</v>
      </c>
      <c r="J4635" s="0" t="n">
        <v>1.36</v>
      </c>
      <c r="K4635" s="0" t="n">
        <v>28.88</v>
      </c>
    </row>
    <row r="4636" customFormat="false" ht="15" hidden="false" customHeight="false" outlineLevel="0" collapsed="false">
      <c r="I4636" s="0" t="n">
        <v>2031</v>
      </c>
      <c r="J4636" s="0" t="n">
        <v>2.38</v>
      </c>
      <c r="K4636" s="0" t="n">
        <v>50.54</v>
      </c>
    </row>
    <row r="4637" customFormat="false" ht="15" hidden="false" customHeight="false" outlineLevel="0" collapsed="false">
      <c r="I4637" s="0" t="n">
        <v>2031</v>
      </c>
      <c r="J4637" s="0" t="n">
        <v>0.68</v>
      </c>
      <c r="K4637" s="0" t="n">
        <v>14.44</v>
      </c>
    </row>
    <row r="4638" customFormat="false" ht="15" hidden="false" customHeight="false" outlineLevel="0" collapsed="false">
      <c r="I4638" s="0" t="n">
        <v>2031</v>
      </c>
      <c r="J4638" s="0" t="n">
        <v>2.38</v>
      </c>
      <c r="K4638" s="0" t="n">
        <v>50.54</v>
      </c>
    </row>
    <row r="4639" customFormat="false" ht="15" hidden="false" customHeight="false" outlineLevel="0" collapsed="false">
      <c r="I4639" s="0" t="n">
        <v>2031</v>
      </c>
      <c r="J4639" s="0" t="n">
        <v>96.96</v>
      </c>
      <c r="K4639" s="0" t="n">
        <v>2035.2</v>
      </c>
    </row>
    <row r="4640" customFormat="false" ht="15" hidden="false" customHeight="false" outlineLevel="0" collapsed="false">
      <c r="I4640" s="0" t="n">
        <v>2031</v>
      </c>
      <c r="J4640" s="0" t="n">
        <v>32.32</v>
      </c>
      <c r="K4640" s="0" t="n">
        <v>678.4</v>
      </c>
    </row>
    <row r="4641" customFormat="false" ht="15" hidden="false" customHeight="false" outlineLevel="0" collapsed="false">
      <c r="I4641" s="0" t="n">
        <v>2031</v>
      </c>
      <c r="J4641" s="0" t="n">
        <v>14.14</v>
      </c>
      <c r="K4641" s="0" t="n">
        <v>296.8</v>
      </c>
    </row>
    <row r="4642" customFormat="false" ht="15" hidden="false" customHeight="false" outlineLevel="0" collapsed="false">
      <c r="I4642" s="0" t="n">
        <v>2031</v>
      </c>
      <c r="J4642" s="0" t="n">
        <v>8.08</v>
      </c>
      <c r="K4642" s="0" t="n">
        <v>169.6</v>
      </c>
    </row>
    <row r="4643" customFormat="false" ht="15" hidden="false" customHeight="false" outlineLevel="0" collapsed="false">
      <c r="I4643" s="0" t="n">
        <v>2031</v>
      </c>
      <c r="J4643" s="0" t="n">
        <v>8.08</v>
      </c>
      <c r="K4643" s="0" t="n">
        <v>169.6</v>
      </c>
    </row>
    <row r="4644" customFormat="false" ht="15" hidden="false" customHeight="false" outlineLevel="0" collapsed="false">
      <c r="I4644" s="0" t="n">
        <v>2031</v>
      </c>
      <c r="J4644" s="0" t="n">
        <v>4.04</v>
      </c>
      <c r="K4644" s="0" t="n">
        <v>84.8</v>
      </c>
    </row>
    <row r="4645" customFormat="false" ht="15" hidden="false" customHeight="false" outlineLevel="0" collapsed="false">
      <c r="I4645" s="0" t="n">
        <v>2031</v>
      </c>
      <c r="J4645" s="0" t="n">
        <v>4.04</v>
      </c>
      <c r="K4645" s="0" t="n">
        <v>84.8</v>
      </c>
    </row>
    <row r="4646" customFormat="false" ht="15" hidden="false" customHeight="false" outlineLevel="0" collapsed="false">
      <c r="I4646" s="0" t="n">
        <v>2031</v>
      </c>
      <c r="J4646" s="0" t="n">
        <v>8.08</v>
      </c>
      <c r="K4646" s="0" t="n">
        <v>169.6</v>
      </c>
    </row>
    <row r="4647" customFormat="false" ht="15" hidden="false" customHeight="false" outlineLevel="0" collapsed="false">
      <c r="I4647" s="0" t="n">
        <v>2031</v>
      </c>
      <c r="J4647" s="0" t="n">
        <v>14.14</v>
      </c>
      <c r="K4647" s="0" t="n">
        <v>296.8</v>
      </c>
    </row>
    <row r="4648" customFormat="false" ht="15" hidden="false" customHeight="false" outlineLevel="0" collapsed="false">
      <c r="I4648" s="0" t="n">
        <v>2031</v>
      </c>
      <c r="J4648" s="0" t="n">
        <v>6.06</v>
      </c>
      <c r="K4648" s="0" t="n">
        <v>127.2</v>
      </c>
    </row>
    <row r="4649" customFormat="false" ht="15" hidden="false" customHeight="false" outlineLevel="0" collapsed="false">
      <c r="I4649" s="0" t="n">
        <v>2031</v>
      </c>
      <c r="J4649" s="0" t="n">
        <v>6.06</v>
      </c>
      <c r="K4649" s="0" t="n">
        <v>127.2</v>
      </c>
    </row>
    <row r="4650" customFormat="false" ht="15" hidden="false" customHeight="false" outlineLevel="0" collapsed="false">
      <c r="I4650" s="0" t="n">
        <v>2031</v>
      </c>
      <c r="J4650" s="0" t="n">
        <v>11.44</v>
      </c>
      <c r="K4650" s="0" t="n">
        <v>244.92</v>
      </c>
    </row>
    <row r="4651" customFormat="false" ht="15" hidden="false" customHeight="false" outlineLevel="0" collapsed="false">
      <c r="I4651" s="0" t="n">
        <v>2031</v>
      </c>
      <c r="J4651" s="0" t="n">
        <v>1.76</v>
      </c>
      <c r="K4651" s="0" t="n">
        <v>37.68</v>
      </c>
    </row>
    <row r="4652" customFormat="false" ht="15" hidden="false" customHeight="false" outlineLevel="0" collapsed="false">
      <c r="I4652" s="0" t="n">
        <v>2031</v>
      </c>
      <c r="J4652" s="0" t="n">
        <v>1.32</v>
      </c>
      <c r="K4652" s="0" t="n">
        <v>28.26</v>
      </c>
    </row>
    <row r="4653" customFormat="false" ht="15" hidden="false" customHeight="false" outlineLevel="0" collapsed="false">
      <c r="I4653" s="0" t="n">
        <v>2031</v>
      </c>
      <c r="J4653" s="0" t="n">
        <v>2.2</v>
      </c>
      <c r="K4653" s="0" t="n">
        <v>47.1</v>
      </c>
    </row>
    <row r="4654" customFormat="false" ht="15" hidden="false" customHeight="false" outlineLevel="0" collapsed="false">
      <c r="I4654" s="0" t="n">
        <v>2031</v>
      </c>
      <c r="J4654" s="0" t="n">
        <v>0.44</v>
      </c>
      <c r="K4654" s="0" t="n">
        <v>9.42</v>
      </c>
    </row>
    <row r="4655" customFormat="false" ht="15" hidden="false" customHeight="false" outlineLevel="0" collapsed="false">
      <c r="I4655" s="0" t="n">
        <v>2031</v>
      </c>
      <c r="J4655" s="0" t="n">
        <v>0.44</v>
      </c>
      <c r="K4655" s="0" t="n">
        <v>9.42</v>
      </c>
    </row>
    <row r="4656" customFormat="false" ht="15" hidden="false" customHeight="false" outlineLevel="0" collapsed="false">
      <c r="I4656" s="0" t="n">
        <v>2031</v>
      </c>
      <c r="J4656" s="0" t="n">
        <v>0</v>
      </c>
      <c r="K4656" s="0" t="n">
        <v>0</v>
      </c>
    </row>
    <row r="4657" customFormat="false" ht="15" hidden="false" customHeight="false" outlineLevel="0" collapsed="false">
      <c r="I4657" s="0" t="n">
        <v>2031</v>
      </c>
      <c r="J4657" s="0" t="n">
        <v>0.88</v>
      </c>
      <c r="K4657" s="0" t="n">
        <v>18.84</v>
      </c>
    </row>
    <row r="4658" customFormat="false" ht="15" hidden="false" customHeight="false" outlineLevel="0" collapsed="false">
      <c r="I4658" s="0" t="n">
        <v>2031</v>
      </c>
      <c r="J4658" s="0" t="n">
        <v>1.54</v>
      </c>
      <c r="K4658" s="0" t="n">
        <v>32.97</v>
      </c>
    </row>
    <row r="4659" customFormat="false" ht="15" hidden="false" customHeight="false" outlineLevel="0" collapsed="false">
      <c r="I4659" s="0" t="n">
        <v>2031</v>
      </c>
      <c r="J4659" s="0" t="n">
        <v>0.44</v>
      </c>
      <c r="K4659" s="0" t="n">
        <v>9.42</v>
      </c>
    </row>
    <row r="4660" customFormat="false" ht="15" hidden="false" customHeight="false" outlineLevel="0" collapsed="false">
      <c r="I4660" s="0" t="n">
        <v>2031</v>
      </c>
      <c r="J4660" s="0" t="n">
        <v>1.54</v>
      </c>
      <c r="K4660" s="0" t="n">
        <v>32.97</v>
      </c>
    </row>
    <row r="4661" customFormat="false" ht="15" hidden="false" customHeight="false" outlineLevel="0" collapsed="false">
      <c r="I4661" s="0" t="n">
        <v>2031</v>
      </c>
      <c r="J4661" s="0" t="n">
        <v>36.96</v>
      </c>
      <c r="K4661" s="0" t="n">
        <v>778.08</v>
      </c>
    </row>
    <row r="4662" customFormat="false" ht="15" hidden="false" customHeight="false" outlineLevel="0" collapsed="false">
      <c r="I4662" s="0" t="n">
        <v>2031</v>
      </c>
      <c r="J4662" s="0" t="n">
        <v>12.32</v>
      </c>
      <c r="K4662" s="0" t="n">
        <v>259.36</v>
      </c>
    </row>
    <row r="4663" customFormat="false" ht="15" hidden="false" customHeight="false" outlineLevel="0" collapsed="false">
      <c r="I4663" s="0" t="n">
        <v>2031</v>
      </c>
      <c r="J4663" s="0" t="n">
        <v>5.39</v>
      </c>
      <c r="K4663" s="0" t="n">
        <v>113.47</v>
      </c>
    </row>
    <row r="4664" customFormat="false" ht="15" hidden="false" customHeight="false" outlineLevel="0" collapsed="false">
      <c r="I4664" s="0" t="n">
        <v>2031</v>
      </c>
      <c r="J4664" s="0" t="n">
        <v>3.08</v>
      </c>
      <c r="K4664" s="0" t="n">
        <v>64.84</v>
      </c>
    </row>
    <row r="4665" customFormat="false" ht="15" hidden="false" customHeight="false" outlineLevel="0" collapsed="false">
      <c r="I4665" s="0" t="n">
        <v>2031</v>
      </c>
      <c r="J4665" s="0" t="n">
        <v>3.08</v>
      </c>
      <c r="K4665" s="0" t="n">
        <v>64.84</v>
      </c>
    </row>
    <row r="4666" customFormat="false" ht="15" hidden="false" customHeight="false" outlineLevel="0" collapsed="false">
      <c r="I4666" s="0" t="n">
        <v>2031</v>
      </c>
      <c r="J4666" s="0" t="n">
        <v>1.54</v>
      </c>
      <c r="K4666" s="0" t="n">
        <v>32.42</v>
      </c>
    </row>
    <row r="4667" customFormat="false" ht="15" hidden="false" customHeight="false" outlineLevel="0" collapsed="false">
      <c r="I4667" s="0" t="n">
        <v>2031</v>
      </c>
      <c r="J4667" s="0" t="n">
        <v>1.54</v>
      </c>
      <c r="K4667" s="0" t="n">
        <v>32.42</v>
      </c>
    </row>
    <row r="4668" customFormat="false" ht="15" hidden="false" customHeight="false" outlineLevel="0" collapsed="false">
      <c r="I4668" s="0" t="n">
        <v>2031</v>
      </c>
      <c r="J4668" s="0" t="n">
        <v>3.08</v>
      </c>
      <c r="K4668" s="0" t="n">
        <v>64.84</v>
      </c>
    </row>
    <row r="4669" customFormat="false" ht="15" hidden="false" customHeight="false" outlineLevel="0" collapsed="false">
      <c r="I4669" s="0" t="n">
        <v>2031</v>
      </c>
      <c r="J4669" s="0" t="n">
        <v>5.39</v>
      </c>
      <c r="K4669" s="0" t="n">
        <v>113.47</v>
      </c>
    </row>
    <row r="4670" customFormat="false" ht="15" hidden="false" customHeight="false" outlineLevel="0" collapsed="false">
      <c r="I4670" s="0" t="n">
        <v>2031</v>
      </c>
      <c r="J4670" s="0" t="n">
        <v>2.31</v>
      </c>
      <c r="K4670" s="0" t="n">
        <v>48.63</v>
      </c>
    </row>
    <row r="4671" customFormat="false" ht="15" hidden="false" customHeight="false" outlineLevel="0" collapsed="false">
      <c r="I4671" s="0" t="n">
        <v>2031</v>
      </c>
      <c r="J4671" s="0" t="n">
        <v>2.31</v>
      </c>
      <c r="K4671" s="0" t="n">
        <v>48.63</v>
      </c>
    </row>
    <row r="4672" customFormat="false" ht="15" hidden="false" customHeight="false" outlineLevel="0" collapsed="false">
      <c r="I4672" s="0" t="n">
        <v>2031</v>
      </c>
      <c r="J4672" s="0" t="n">
        <v>18.72</v>
      </c>
      <c r="K4672" s="0" t="n">
        <v>392.08</v>
      </c>
    </row>
    <row r="4673" customFormat="false" ht="15" hidden="false" customHeight="false" outlineLevel="0" collapsed="false">
      <c r="I4673" s="0" t="n">
        <v>2031</v>
      </c>
      <c r="J4673" s="0" t="n">
        <v>2.88</v>
      </c>
      <c r="K4673" s="0" t="n">
        <v>60.32</v>
      </c>
    </row>
    <row r="4674" customFormat="false" ht="15" hidden="false" customHeight="false" outlineLevel="0" collapsed="false">
      <c r="I4674" s="0" t="n">
        <v>2031</v>
      </c>
      <c r="J4674" s="0" t="n">
        <v>2.16</v>
      </c>
      <c r="K4674" s="0" t="n">
        <v>45.24</v>
      </c>
    </row>
    <row r="4675" customFormat="false" ht="15" hidden="false" customHeight="false" outlineLevel="0" collapsed="false">
      <c r="I4675" s="0" t="n">
        <v>2031</v>
      </c>
      <c r="J4675" s="0" t="n">
        <v>3.6</v>
      </c>
      <c r="K4675" s="0" t="n">
        <v>75.4</v>
      </c>
    </row>
    <row r="4676" customFormat="false" ht="15" hidden="false" customHeight="false" outlineLevel="0" collapsed="false">
      <c r="I4676" s="0" t="n">
        <v>2031</v>
      </c>
      <c r="J4676" s="0" t="n">
        <v>0.72</v>
      </c>
      <c r="K4676" s="0" t="n">
        <v>15.08</v>
      </c>
    </row>
    <row r="4677" customFormat="false" ht="15" hidden="false" customHeight="false" outlineLevel="0" collapsed="false">
      <c r="I4677" s="0" t="n">
        <v>2031</v>
      </c>
      <c r="J4677" s="0" t="n">
        <v>0.72</v>
      </c>
      <c r="K4677" s="0" t="n">
        <v>15.08</v>
      </c>
    </row>
    <row r="4678" customFormat="false" ht="15" hidden="false" customHeight="false" outlineLevel="0" collapsed="false">
      <c r="I4678" s="0" t="n">
        <v>2031</v>
      </c>
      <c r="J4678" s="0" t="n">
        <v>0</v>
      </c>
      <c r="K4678" s="0" t="n">
        <v>0</v>
      </c>
    </row>
    <row r="4679" customFormat="false" ht="15" hidden="false" customHeight="false" outlineLevel="0" collapsed="false">
      <c r="I4679" s="0" t="n">
        <v>2031</v>
      </c>
      <c r="J4679" s="0" t="n">
        <v>1.44</v>
      </c>
      <c r="K4679" s="0" t="n">
        <v>30.16</v>
      </c>
    </row>
    <row r="4680" customFormat="false" ht="15" hidden="false" customHeight="false" outlineLevel="0" collapsed="false">
      <c r="I4680" s="0" t="n">
        <v>2031</v>
      </c>
      <c r="J4680" s="0" t="n">
        <v>2.52</v>
      </c>
      <c r="K4680" s="0" t="n">
        <v>52.78</v>
      </c>
    </row>
    <row r="4681" customFormat="false" ht="15" hidden="false" customHeight="false" outlineLevel="0" collapsed="false">
      <c r="I4681" s="0" t="n">
        <v>2031</v>
      </c>
      <c r="J4681" s="0" t="n">
        <v>0.72</v>
      </c>
      <c r="K4681" s="0" t="n">
        <v>15.08</v>
      </c>
    </row>
    <row r="4682" customFormat="false" ht="15" hidden="false" customHeight="false" outlineLevel="0" collapsed="false">
      <c r="I4682" s="0" t="n">
        <v>2031</v>
      </c>
      <c r="J4682" s="0" t="n">
        <v>2.52</v>
      </c>
      <c r="K4682" s="0" t="n">
        <v>52.78</v>
      </c>
    </row>
    <row r="4683" customFormat="false" ht="15" hidden="false" customHeight="false" outlineLevel="0" collapsed="false">
      <c r="I4683" s="0" t="n">
        <v>2031</v>
      </c>
      <c r="J4683" s="0" t="n">
        <v>1197.6</v>
      </c>
      <c r="K4683" s="0" t="n">
        <v>25145.76</v>
      </c>
    </row>
    <row r="4684" customFormat="false" ht="15" hidden="false" customHeight="false" outlineLevel="0" collapsed="false">
      <c r="I4684" s="0" t="n">
        <v>2031</v>
      </c>
      <c r="J4684" s="0" t="n">
        <v>399.2</v>
      </c>
      <c r="K4684" s="0" t="n">
        <v>8381.92</v>
      </c>
    </row>
    <row r="4685" customFormat="false" ht="15" hidden="false" customHeight="false" outlineLevel="0" collapsed="false">
      <c r="I4685" s="0" t="n">
        <v>2031</v>
      </c>
      <c r="J4685" s="0" t="n">
        <v>174.65</v>
      </c>
      <c r="K4685" s="0" t="n">
        <v>3667.09</v>
      </c>
    </row>
    <row r="4686" customFormat="false" ht="15" hidden="false" customHeight="false" outlineLevel="0" collapsed="false">
      <c r="I4686" s="0" t="n">
        <v>2031</v>
      </c>
      <c r="J4686" s="0" t="n">
        <v>99.8</v>
      </c>
      <c r="K4686" s="0" t="n">
        <v>2095.48</v>
      </c>
    </row>
    <row r="4687" customFormat="false" ht="15" hidden="false" customHeight="false" outlineLevel="0" collapsed="false">
      <c r="I4687" s="0" t="n">
        <v>2031</v>
      </c>
      <c r="J4687" s="0" t="n">
        <v>99.8</v>
      </c>
      <c r="K4687" s="0" t="n">
        <v>2095.48</v>
      </c>
    </row>
    <row r="4688" customFormat="false" ht="15" hidden="false" customHeight="false" outlineLevel="0" collapsed="false">
      <c r="I4688" s="0" t="n">
        <v>2031</v>
      </c>
      <c r="J4688" s="0" t="n">
        <v>49.9</v>
      </c>
      <c r="K4688" s="0" t="n">
        <v>1047.74</v>
      </c>
    </row>
    <row r="4689" customFormat="false" ht="15" hidden="false" customHeight="false" outlineLevel="0" collapsed="false">
      <c r="I4689" s="0" t="n">
        <v>2031</v>
      </c>
      <c r="J4689" s="0" t="n">
        <v>49.9</v>
      </c>
      <c r="K4689" s="0" t="n">
        <v>1047.74</v>
      </c>
    </row>
    <row r="4690" customFormat="false" ht="15" hidden="false" customHeight="false" outlineLevel="0" collapsed="false">
      <c r="I4690" s="0" t="n">
        <v>2031</v>
      </c>
      <c r="J4690" s="0" t="n">
        <v>99.8</v>
      </c>
      <c r="K4690" s="0" t="n">
        <v>2095.48</v>
      </c>
    </row>
    <row r="4691" customFormat="false" ht="15" hidden="false" customHeight="false" outlineLevel="0" collapsed="false">
      <c r="I4691" s="0" t="n">
        <v>2031</v>
      </c>
      <c r="J4691" s="0" t="n">
        <v>174.65</v>
      </c>
      <c r="K4691" s="0" t="n">
        <v>3667.09</v>
      </c>
    </row>
    <row r="4692" customFormat="false" ht="15" hidden="false" customHeight="false" outlineLevel="0" collapsed="false">
      <c r="I4692" s="0" t="n">
        <v>2031</v>
      </c>
      <c r="J4692" s="0" t="n">
        <v>74.85</v>
      </c>
      <c r="K4692" s="0" t="n">
        <v>1571.61</v>
      </c>
    </row>
    <row r="4693" customFormat="false" ht="15" hidden="false" customHeight="false" outlineLevel="0" collapsed="false">
      <c r="I4693" s="0" t="n">
        <v>2031</v>
      </c>
      <c r="J4693" s="0" t="n">
        <v>74.85</v>
      </c>
      <c r="K4693" s="0" t="n">
        <v>1571.61</v>
      </c>
    </row>
    <row r="4694" customFormat="false" ht="15" hidden="false" customHeight="false" outlineLevel="0" collapsed="false">
      <c r="I4694" s="0" t="n">
        <v>2031</v>
      </c>
      <c r="J4694" s="0" t="n">
        <v>197.08</v>
      </c>
      <c r="K4694" s="0" t="n">
        <v>4141.28</v>
      </c>
    </row>
    <row r="4695" customFormat="false" ht="15" hidden="false" customHeight="false" outlineLevel="0" collapsed="false">
      <c r="I4695" s="0" t="n">
        <v>2031</v>
      </c>
      <c r="J4695" s="0" t="n">
        <v>30.32</v>
      </c>
      <c r="K4695" s="0" t="n">
        <v>637.12</v>
      </c>
    </row>
    <row r="4696" customFormat="false" ht="15" hidden="false" customHeight="false" outlineLevel="0" collapsed="false">
      <c r="I4696" s="0" t="n">
        <v>2031</v>
      </c>
      <c r="J4696" s="0" t="n">
        <v>22.74</v>
      </c>
      <c r="K4696" s="0" t="n">
        <v>477.84</v>
      </c>
    </row>
    <row r="4697" customFormat="false" ht="15" hidden="false" customHeight="false" outlineLevel="0" collapsed="false">
      <c r="I4697" s="0" t="n">
        <v>2031</v>
      </c>
      <c r="J4697" s="0" t="n">
        <v>37.9</v>
      </c>
      <c r="K4697" s="0" t="n">
        <v>796.4</v>
      </c>
    </row>
    <row r="4698" customFormat="false" ht="15" hidden="false" customHeight="false" outlineLevel="0" collapsed="false">
      <c r="I4698" s="0" t="n">
        <v>2031</v>
      </c>
      <c r="J4698" s="0" t="n">
        <v>7.58</v>
      </c>
      <c r="K4698" s="0" t="n">
        <v>159.28</v>
      </c>
    </row>
    <row r="4699" customFormat="false" ht="15" hidden="false" customHeight="false" outlineLevel="0" collapsed="false">
      <c r="I4699" s="0" t="n">
        <v>2031</v>
      </c>
      <c r="J4699" s="0" t="n">
        <v>7.58</v>
      </c>
      <c r="K4699" s="0" t="n">
        <v>159.28</v>
      </c>
    </row>
    <row r="4700" customFormat="false" ht="15" hidden="false" customHeight="false" outlineLevel="0" collapsed="false">
      <c r="I4700" s="0" t="n">
        <v>2031</v>
      </c>
      <c r="J4700" s="0" t="n">
        <v>0</v>
      </c>
      <c r="K4700" s="0" t="n">
        <v>0</v>
      </c>
    </row>
    <row r="4701" customFormat="false" ht="15" hidden="false" customHeight="false" outlineLevel="0" collapsed="false">
      <c r="I4701" s="0" t="n">
        <v>2031</v>
      </c>
      <c r="J4701" s="0" t="n">
        <v>15.16</v>
      </c>
      <c r="K4701" s="0" t="n">
        <v>318.56</v>
      </c>
    </row>
    <row r="4702" customFormat="false" ht="15" hidden="false" customHeight="false" outlineLevel="0" collapsed="false">
      <c r="I4702" s="0" t="n">
        <v>2031</v>
      </c>
      <c r="J4702" s="0" t="n">
        <v>26.53</v>
      </c>
      <c r="K4702" s="0" t="n">
        <v>557.48</v>
      </c>
    </row>
    <row r="4703" customFormat="false" ht="15" hidden="false" customHeight="false" outlineLevel="0" collapsed="false">
      <c r="I4703" s="0" t="n">
        <v>2031</v>
      </c>
      <c r="J4703" s="0" t="n">
        <v>7.58</v>
      </c>
      <c r="K4703" s="0" t="n">
        <v>159.28</v>
      </c>
    </row>
    <row r="4704" customFormat="false" ht="15" hidden="false" customHeight="false" outlineLevel="0" collapsed="false">
      <c r="I4704" s="0" t="n">
        <v>2031</v>
      </c>
      <c r="J4704" s="0" t="n">
        <v>26.53</v>
      </c>
      <c r="K4704" s="0" t="n">
        <v>557.48</v>
      </c>
    </row>
    <row r="4705" customFormat="false" ht="15" hidden="false" customHeight="false" outlineLevel="0" collapsed="false">
      <c r="I4705" s="0" t="n">
        <v>2031</v>
      </c>
      <c r="J4705" s="0" t="n">
        <v>48</v>
      </c>
      <c r="K4705" s="0" t="n">
        <v>1006.56</v>
      </c>
    </row>
    <row r="4706" customFormat="false" ht="15" hidden="false" customHeight="false" outlineLevel="0" collapsed="false">
      <c r="I4706" s="0" t="n">
        <v>2031</v>
      </c>
      <c r="J4706" s="0" t="n">
        <v>16</v>
      </c>
      <c r="K4706" s="0" t="n">
        <v>335.52</v>
      </c>
    </row>
    <row r="4707" customFormat="false" ht="15" hidden="false" customHeight="false" outlineLevel="0" collapsed="false">
      <c r="I4707" s="0" t="n">
        <v>2031</v>
      </c>
      <c r="J4707" s="0" t="n">
        <v>7</v>
      </c>
      <c r="K4707" s="0" t="n">
        <v>146.79</v>
      </c>
    </row>
    <row r="4708" customFormat="false" ht="15" hidden="false" customHeight="false" outlineLevel="0" collapsed="false">
      <c r="I4708" s="0" t="n">
        <v>2031</v>
      </c>
      <c r="J4708" s="0" t="n">
        <v>4</v>
      </c>
      <c r="K4708" s="0" t="n">
        <v>83.88</v>
      </c>
    </row>
    <row r="4709" customFormat="false" ht="15" hidden="false" customHeight="false" outlineLevel="0" collapsed="false">
      <c r="I4709" s="0" t="n">
        <v>2031</v>
      </c>
      <c r="J4709" s="0" t="n">
        <v>4</v>
      </c>
      <c r="K4709" s="0" t="n">
        <v>83.88</v>
      </c>
    </row>
    <row r="4710" customFormat="false" ht="15" hidden="false" customHeight="false" outlineLevel="0" collapsed="false">
      <c r="I4710" s="0" t="n">
        <v>2031</v>
      </c>
      <c r="J4710" s="0" t="n">
        <v>2</v>
      </c>
      <c r="K4710" s="0" t="n">
        <v>41.94</v>
      </c>
    </row>
    <row r="4711" customFormat="false" ht="15" hidden="false" customHeight="false" outlineLevel="0" collapsed="false">
      <c r="I4711" s="0" t="n">
        <v>2031</v>
      </c>
      <c r="J4711" s="0" t="n">
        <v>2</v>
      </c>
      <c r="K4711" s="0" t="n">
        <v>41.94</v>
      </c>
    </row>
    <row r="4712" customFormat="false" ht="15" hidden="false" customHeight="false" outlineLevel="0" collapsed="false">
      <c r="I4712" s="0" t="n">
        <v>2031</v>
      </c>
      <c r="J4712" s="0" t="n">
        <v>4</v>
      </c>
      <c r="K4712" s="0" t="n">
        <v>83.88</v>
      </c>
    </row>
    <row r="4713" customFormat="false" ht="15" hidden="false" customHeight="false" outlineLevel="0" collapsed="false">
      <c r="I4713" s="0" t="n">
        <v>2031</v>
      </c>
      <c r="J4713" s="0" t="n">
        <v>7</v>
      </c>
      <c r="K4713" s="0" t="n">
        <v>146.79</v>
      </c>
    </row>
    <row r="4714" customFormat="false" ht="15" hidden="false" customHeight="false" outlineLevel="0" collapsed="false">
      <c r="I4714" s="0" t="n">
        <v>2031</v>
      </c>
      <c r="J4714" s="0" t="n">
        <v>3</v>
      </c>
      <c r="K4714" s="0" t="n">
        <v>62.91</v>
      </c>
    </row>
    <row r="4715" customFormat="false" ht="15" hidden="false" customHeight="false" outlineLevel="0" collapsed="false">
      <c r="I4715" s="0" t="n">
        <v>2031</v>
      </c>
      <c r="J4715" s="0" t="n">
        <v>3</v>
      </c>
      <c r="K4715" s="0" t="n">
        <v>62.91</v>
      </c>
    </row>
    <row r="4716" customFormat="false" ht="15" hidden="false" customHeight="false" outlineLevel="0" collapsed="false">
      <c r="I4716" s="0" t="n">
        <v>2031</v>
      </c>
      <c r="J4716" s="0" t="n">
        <v>9.36</v>
      </c>
      <c r="K4716" s="0" t="n">
        <v>201.24</v>
      </c>
    </row>
    <row r="4717" customFormat="false" ht="15" hidden="false" customHeight="false" outlineLevel="0" collapsed="false">
      <c r="I4717" s="0" t="n">
        <v>2031</v>
      </c>
      <c r="J4717" s="0" t="n">
        <v>1.44</v>
      </c>
      <c r="K4717" s="0" t="n">
        <v>30.96</v>
      </c>
    </row>
    <row r="4718" customFormat="false" ht="15" hidden="false" customHeight="false" outlineLevel="0" collapsed="false">
      <c r="I4718" s="0" t="n">
        <v>2031</v>
      </c>
      <c r="J4718" s="0" t="n">
        <v>1.08</v>
      </c>
      <c r="K4718" s="0" t="n">
        <v>23.22</v>
      </c>
    </row>
    <row r="4719" customFormat="false" ht="15" hidden="false" customHeight="false" outlineLevel="0" collapsed="false">
      <c r="I4719" s="0" t="n">
        <v>2031</v>
      </c>
      <c r="J4719" s="0" t="n">
        <v>1.8</v>
      </c>
      <c r="K4719" s="0" t="n">
        <v>38.7</v>
      </c>
    </row>
    <row r="4720" customFormat="false" ht="15" hidden="false" customHeight="false" outlineLevel="0" collapsed="false">
      <c r="I4720" s="0" t="n">
        <v>2031</v>
      </c>
      <c r="J4720" s="0" t="n">
        <v>0.36</v>
      </c>
      <c r="K4720" s="0" t="n">
        <v>7.74</v>
      </c>
    </row>
    <row r="4721" customFormat="false" ht="15" hidden="false" customHeight="false" outlineLevel="0" collapsed="false">
      <c r="I4721" s="0" t="n">
        <v>2031</v>
      </c>
      <c r="J4721" s="0" t="n">
        <v>0.36</v>
      </c>
      <c r="K4721" s="0" t="n">
        <v>7.74</v>
      </c>
    </row>
    <row r="4722" customFormat="false" ht="15" hidden="false" customHeight="false" outlineLevel="0" collapsed="false">
      <c r="I4722" s="0" t="n">
        <v>2031</v>
      </c>
      <c r="J4722" s="0" t="n">
        <v>0</v>
      </c>
      <c r="K4722" s="0" t="n">
        <v>0</v>
      </c>
    </row>
    <row r="4723" customFormat="false" ht="15" hidden="false" customHeight="false" outlineLevel="0" collapsed="false">
      <c r="I4723" s="0" t="n">
        <v>2031</v>
      </c>
      <c r="J4723" s="0" t="n">
        <v>0.72</v>
      </c>
      <c r="K4723" s="0" t="n">
        <v>15.48</v>
      </c>
    </row>
    <row r="4724" customFormat="false" ht="15" hidden="false" customHeight="false" outlineLevel="0" collapsed="false">
      <c r="I4724" s="0" t="n">
        <v>2031</v>
      </c>
      <c r="J4724" s="0" t="n">
        <v>1.26</v>
      </c>
      <c r="K4724" s="0" t="n">
        <v>27.09</v>
      </c>
    </row>
    <row r="4725" customFormat="false" ht="15" hidden="false" customHeight="false" outlineLevel="0" collapsed="false">
      <c r="I4725" s="0" t="n">
        <v>2031</v>
      </c>
      <c r="J4725" s="0" t="n">
        <v>0.36</v>
      </c>
      <c r="K4725" s="0" t="n">
        <v>7.74</v>
      </c>
    </row>
    <row r="4726" customFormat="false" ht="15" hidden="false" customHeight="false" outlineLevel="0" collapsed="false">
      <c r="I4726" s="0" t="n">
        <v>2031</v>
      </c>
      <c r="J4726" s="0" t="n">
        <v>1.26</v>
      </c>
      <c r="K4726" s="0" t="n">
        <v>27.09</v>
      </c>
    </row>
    <row r="4727" customFormat="false" ht="15" hidden="false" customHeight="false" outlineLevel="0" collapsed="false">
      <c r="I4727" s="0" t="n">
        <v>2031</v>
      </c>
      <c r="J4727" s="0" t="n">
        <v>30.72</v>
      </c>
      <c r="K4727" s="0" t="n">
        <v>648.96</v>
      </c>
    </row>
    <row r="4728" customFormat="false" ht="15" hidden="false" customHeight="false" outlineLevel="0" collapsed="false">
      <c r="I4728" s="0" t="n">
        <v>2031</v>
      </c>
      <c r="J4728" s="0" t="n">
        <v>10.24</v>
      </c>
      <c r="K4728" s="0" t="n">
        <v>216.32</v>
      </c>
    </row>
    <row r="4729" customFormat="false" ht="15" hidden="false" customHeight="false" outlineLevel="0" collapsed="false">
      <c r="I4729" s="0" t="n">
        <v>2031</v>
      </c>
      <c r="J4729" s="0" t="n">
        <v>4.48</v>
      </c>
      <c r="K4729" s="0" t="n">
        <v>94.64</v>
      </c>
    </row>
    <row r="4730" customFormat="false" ht="15" hidden="false" customHeight="false" outlineLevel="0" collapsed="false">
      <c r="I4730" s="0" t="n">
        <v>2031</v>
      </c>
      <c r="J4730" s="0" t="n">
        <v>2.56</v>
      </c>
      <c r="K4730" s="0" t="n">
        <v>54.08</v>
      </c>
    </row>
    <row r="4731" customFormat="false" ht="15" hidden="false" customHeight="false" outlineLevel="0" collapsed="false">
      <c r="I4731" s="0" t="n">
        <v>2031</v>
      </c>
      <c r="J4731" s="0" t="n">
        <v>2.56</v>
      </c>
      <c r="K4731" s="0" t="n">
        <v>54.08</v>
      </c>
    </row>
    <row r="4732" customFormat="false" ht="15" hidden="false" customHeight="false" outlineLevel="0" collapsed="false">
      <c r="I4732" s="0" t="n">
        <v>2031</v>
      </c>
      <c r="J4732" s="0" t="n">
        <v>1.28</v>
      </c>
      <c r="K4732" s="0" t="n">
        <v>27.04</v>
      </c>
    </row>
    <row r="4733" customFormat="false" ht="15" hidden="false" customHeight="false" outlineLevel="0" collapsed="false">
      <c r="I4733" s="0" t="n">
        <v>2031</v>
      </c>
      <c r="J4733" s="0" t="n">
        <v>1.28</v>
      </c>
      <c r="K4733" s="0" t="n">
        <v>27.04</v>
      </c>
    </row>
    <row r="4734" customFormat="false" ht="15" hidden="false" customHeight="false" outlineLevel="0" collapsed="false">
      <c r="I4734" s="0" t="n">
        <v>2031</v>
      </c>
      <c r="J4734" s="0" t="n">
        <v>2.56</v>
      </c>
      <c r="K4734" s="0" t="n">
        <v>54.08</v>
      </c>
    </row>
    <row r="4735" customFormat="false" ht="15" hidden="false" customHeight="false" outlineLevel="0" collapsed="false">
      <c r="I4735" s="0" t="n">
        <v>2031</v>
      </c>
      <c r="J4735" s="0" t="n">
        <v>4.48</v>
      </c>
      <c r="K4735" s="0" t="n">
        <v>94.64</v>
      </c>
    </row>
    <row r="4736" customFormat="false" ht="15" hidden="false" customHeight="false" outlineLevel="0" collapsed="false">
      <c r="I4736" s="0" t="n">
        <v>2031</v>
      </c>
      <c r="J4736" s="0" t="n">
        <v>1.92</v>
      </c>
      <c r="K4736" s="0" t="n">
        <v>40.56</v>
      </c>
    </row>
    <row r="4737" customFormat="false" ht="15" hidden="false" customHeight="false" outlineLevel="0" collapsed="false">
      <c r="I4737" s="0" t="n">
        <v>2031</v>
      </c>
      <c r="J4737" s="0" t="n">
        <v>1.92</v>
      </c>
      <c r="K4737" s="0" t="n">
        <v>40.56</v>
      </c>
    </row>
    <row r="4738" customFormat="false" ht="15" hidden="false" customHeight="false" outlineLevel="0" collapsed="false">
      <c r="I4738" s="0" t="n">
        <v>2031</v>
      </c>
      <c r="J4738" s="0" t="n">
        <v>24.44</v>
      </c>
      <c r="K4738" s="0" t="n">
        <v>516.88</v>
      </c>
    </row>
    <row r="4739" customFormat="false" ht="15" hidden="false" customHeight="false" outlineLevel="0" collapsed="false">
      <c r="I4739" s="0" t="n">
        <v>2031</v>
      </c>
      <c r="J4739" s="0" t="n">
        <v>3.76</v>
      </c>
      <c r="K4739" s="0" t="n">
        <v>79.52</v>
      </c>
    </row>
    <row r="4740" customFormat="false" ht="15" hidden="false" customHeight="false" outlineLevel="0" collapsed="false">
      <c r="I4740" s="0" t="n">
        <v>2031</v>
      </c>
      <c r="J4740" s="0" t="n">
        <v>2.82</v>
      </c>
      <c r="K4740" s="0" t="n">
        <v>59.64</v>
      </c>
    </row>
    <row r="4741" customFormat="false" ht="15" hidden="false" customHeight="false" outlineLevel="0" collapsed="false">
      <c r="I4741" s="0" t="n">
        <v>2031</v>
      </c>
      <c r="J4741" s="0" t="n">
        <v>4.7</v>
      </c>
      <c r="K4741" s="0" t="n">
        <v>99.4</v>
      </c>
    </row>
    <row r="4742" customFormat="false" ht="15" hidden="false" customHeight="false" outlineLevel="0" collapsed="false">
      <c r="I4742" s="0" t="n">
        <v>2031</v>
      </c>
      <c r="J4742" s="0" t="n">
        <v>0.94</v>
      </c>
      <c r="K4742" s="0" t="n">
        <v>19.88</v>
      </c>
    </row>
    <row r="4743" customFormat="false" ht="15" hidden="false" customHeight="false" outlineLevel="0" collapsed="false">
      <c r="I4743" s="0" t="n">
        <v>2031</v>
      </c>
      <c r="J4743" s="0" t="n">
        <v>0.94</v>
      </c>
      <c r="K4743" s="0" t="n">
        <v>19.88</v>
      </c>
    </row>
    <row r="4744" customFormat="false" ht="15" hidden="false" customHeight="false" outlineLevel="0" collapsed="false">
      <c r="I4744" s="0" t="n">
        <v>2031</v>
      </c>
      <c r="J4744" s="0" t="n">
        <v>0</v>
      </c>
      <c r="K4744" s="0" t="n">
        <v>0</v>
      </c>
    </row>
    <row r="4745" customFormat="false" ht="15" hidden="false" customHeight="false" outlineLevel="0" collapsed="false">
      <c r="I4745" s="0" t="n">
        <v>2031</v>
      </c>
      <c r="J4745" s="0" t="n">
        <v>1.88</v>
      </c>
      <c r="K4745" s="0" t="n">
        <v>39.76</v>
      </c>
    </row>
    <row r="4746" customFormat="false" ht="15" hidden="false" customHeight="false" outlineLevel="0" collapsed="false">
      <c r="I4746" s="0" t="n">
        <v>2031</v>
      </c>
      <c r="J4746" s="0" t="n">
        <v>3.29</v>
      </c>
      <c r="K4746" s="0" t="n">
        <v>69.58</v>
      </c>
    </row>
    <row r="4747" customFormat="false" ht="15" hidden="false" customHeight="false" outlineLevel="0" collapsed="false">
      <c r="I4747" s="0" t="n">
        <v>2031</v>
      </c>
      <c r="J4747" s="0" t="n">
        <v>0.94</v>
      </c>
      <c r="K4747" s="0" t="n">
        <v>19.88</v>
      </c>
    </row>
    <row r="4748" customFormat="false" ht="15" hidden="false" customHeight="false" outlineLevel="0" collapsed="false">
      <c r="I4748" s="0" t="n">
        <v>2031</v>
      </c>
      <c r="J4748" s="0" t="n">
        <v>3.29</v>
      </c>
      <c r="K4748" s="0" t="n">
        <v>69.58</v>
      </c>
    </row>
    <row r="4749" customFormat="false" ht="15" hidden="false" customHeight="false" outlineLevel="0" collapsed="false">
      <c r="I4749" s="0" t="n">
        <v>2031</v>
      </c>
      <c r="J4749" s="0" t="n">
        <v>135.84</v>
      </c>
      <c r="K4749" s="0" t="n">
        <v>2849.28</v>
      </c>
    </row>
    <row r="4750" customFormat="false" ht="15" hidden="false" customHeight="false" outlineLevel="0" collapsed="false">
      <c r="I4750" s="0" t="n">
        <v>2031</v>
      </c>
      <c r="J4750" s="0" t="n">
        <v>45.28</v>
      </c>
      <c r="K4750" s="0" t="n">
        <v>949.76</v>
      </c>
    </row>
    <row r="4751" customFormat="false" ht="15" hidden="false" customHeight="false" outlineLevel="0" collapsed="false">
      <c r="I4751" s="0" t="n">
        <v>2031</v>
      </c>
      <c r="J4751" s="0" t="n">
        <v>19.81</v>
      </c>
      <c r="K4751" s="0" t="n">
        <v>415.52</v>
      </c>
    </row>
    <row r="4752" customFormat="false" ht="15" hidden="false" customHeight="false" outlineLevel="0" collapsed="false">
      <c r="I4752" s="0" t="n">
        <v>2031</v>
      </c>
      <c r="J4752" s="0" t="n">
        <v>11.32</v>
      </c>
      <c r="K4752" s="0" t="n">
        <v>237.44</v>
      </c>
    </row>
    <row r="4753" customFormat="false" ht="15" hidden="false" customHeight="false" outlineLevel="0" collapsed="false">
      <c r="I4753" s="0" t="n">
        <v>2031</v>
      </c>
      <c r="J4753" s="0" t="n">
        <v>11.32</v>
      </c>
      <c r="K4753" s="0" t="n">
        <v>237.44</v>
      </c>
    </row>
    <row r="4754" customFormat="false" ht="15" hidden="false" customHeight="false" outlineLevel="0" collapsed="false">
      <c r="I4754" s="0" t="n">
        <v>2031</v>
      </c>
      <c r="J4754" s="0" t="n">
        <v>5.66</v>
      </c>
      <c r="K4754" s="0" t="n">
        <v>118.72</v>
      </c>
    </row>
    <row r="4755" customFormat="false" ht="15" hidden="false" customHeight="false" outlineLevel="0" collapsed="false">
      <c r="I4755" s="0" t="n">
        <v>2031</v>
      </c>
      <c r="J4755" s="0" t="n">
        <v>5.66</v>
      </c>
      <c r="K4755" s="0" t="n">
        <v>118.72</v>
      </c>
    </row>
    <row r="4756" customFormat="false" ht="15" hidden="false" customHeight="false" outlineLevel="0" collapsed="false">
      <c r="I4756" s="0" t="n">
        <v>2031</v>
      </c>
      <c r="J4756" s="0" t="n">
        <v>11.32</v>
      </c>
      <c r="K4756" s="0" t="n">
        <v>237.44</v>
      </c>
    </row>
    <row r="4757" customFormat="false" ht="15" hidden="false" customHeight="false" outlineLevel="0" collapsed="false">
      <c r="I4757" s="0" t="n">
        <v>2031</v>
      </c>
      <c r="J4757" s="0" t="n">
        <v>19.81</v>
      </c>
      <c r="K4757" s="0" t="n">
        <v>415.52</v>
      </c>
    </row>
    <row r="4758" customFormat="false" ht="15" hidden="false" customHeight="false" outlineLevel="0" collapsed="false">
      <c r="I4758" s="0" t="n">
        <v>2031</v>
      </c>
      <c r="J4758" s="0" t="n">
        <v>8.49</v>
      </c>
      <c r="K4758" s="0" t="n">
        <v>178.08</v>
      </c>
    </row>
    <row r="4759" customFormat="false" ht="15" hidden="false" customHeight="false" outlineLevel="0" collapsed="false">
      <c r="I4759" s="0" t="n">
        <v>2031</v>
      </c>
      <c r="J4759" s="0" t="n">
        <v>8.49</v>
      </c>
      <c r="K4759" s="0" t="n">
        <v>178.08</v>
      </c>
    </row>
    <row r="4760" customFormat="false" ht="15" hidden="false" customHeight="false" outlineLevel="0" collapsed="false">
      <c r="I4760" s="0" t="n">
        <v>2031</v>
      </c>
      <c r="J4760" s="0" t="n">
        <v>52</v>
      </c>
      <c r="K4760" s="0" t="n">
        <v>1088.36</v>
      </c>
    </row>
    <row r="4761" customFormat="false" ht="15" hidden="false" customHeight="false" outlineLevel="0" collapsed="false">
      <c r="I4761" s="0" t="n">
        <v>2031</v>
      </c>
      <c r="J4761" s="0" t="n">
        <v>8</v>
      </c>
      <c r="K4761" s="0" t="n">
        <v>167.44</v>
      </c>
    </row>
    <row r="4762" customFormat="false" ht="15" hidden="false" customHeight="false" outlineLevel="0" collapsed="false">
      <c r="I4762" s="0" t="n">
        <v>2031</v>
      </c>
      <c r="J4762" s="0" t="n">
        <v>6</v>
      </c>
      <c r="K4762" s="0" t="n">
        <v>125.58</v>
      </c>
    </row>
    <row r="4763" customFormat="false" ht="15" hidden="false" customHeight="false" outlineLevel="0" collapsed="false">
      <c r="I4763" s="0" t="n">
        <v>2031</v>
      </c>
      <c r="J4763" s="0" t="n">
        <v>10</v>
      </c>
      <c r="K4763" s="0" t="n">
        <v>209.3</v>
      </c>
    </row>
    <row r="4764" customFormat="false" ht="15" hidden="false" customHeight="false" outlineLevel="0" collapsed="false">
      <c r="I4764" s="0" t="n">
        <v>2031</v>
      </c>
      <c r="J4764" s="0" t="n">
        <v>2</v>
      </c>
      <c r="K4764" s="0" t="n">
        <v>41.86</v>
      </c>
    </row>
    <row r="4765" customFormat="false" ht="15" hidden="false" customHeight="false" outlineLevel="0" collapsed="false">
      <c r="I4765" s="0" t="n">
        <v>2031</v>
      </c>
      <c r="J4765" s="0" t="n">
        <v>2</v>
      </c>
      <c r="K4765" s="0" t="n">
        <v>41.86</v>
      </c>
    </row>
    <row r="4766" customFormat="false" ht="15" hidden="false" customHeight="false" outlineLevel="0" collapsed="false">
      <c r="I4766" s="0" t="n">
        <v>2031</v>
      </c>
      <c r="J4766" s="0" t="n">
        <v>0</v>
      </c>
      <c r="K4766" s="0" t="n">
        <v>0</v>
      </c>
    </row>
    <row r="4767" customFormat="false" ht="15" hidden="false" customHeight="false" outlineLevel="0" collapsed="false">
      <c r="I4767" s="0" t="n">
        <v>2031</v>
      </c>
      <c r="J4767" s="0" t="n">
        <v>4</v>
      </c>
      <c r="K4767" s="0" t="n">
        <v>83.72</v>
      </c>
    </row>
    <row r="4768" customFormat="false" ht="15" hidden="false" customHeight="false" outlineLevel="0" collapsed="false">
      <c r="I4768" s="0" t="n">
        <v>2031</v>
      </c>
      <c r="J4768" s="0" t="n">
        <v>7</v>
      </c>
      <c r="K4768" s="0" t="n">
        <v>146.51</v>
      </c>
    </row>
    <row r="4769" customFormat="false" ht="15" hidden="false" customHeight="false" outlineLevel="0" collapsed="false">
      <c r="I4769" s="0" t="n">
        <v>2031</v>
      </c>
      <c r="J4769" s="0" t="n">
        <v>2</v>
      </c>
      <c r="K4769" s="0" t="n">
        <v>41.86</v>
      </c>
    </row>
    <row r="4770" customFormat="false" ht="15" hidden="false" customHeight="false" outlineLevel="0" collapsed="false">
      <c r="I4770" s="0" t="n">
        <v>2031</v>
      </c>
      <c r="J4770" s="0" t="n">
        <v>7</v>
      </c>
      <c r="K4770" s="0" t="n">
        <v>146.51</v>
      </c>
    </row>
    <row r="4771" customFormat="false" ht="15" hidden="false" customHeight="false" outlineLevel="0" collapsed="false">
      <c r="I4771" s="0" t="n">
        <v>2032</v>
      </c>
      <c r="J4771" s="0" t="n">
        <v>857.28</v>
      </c>
      <c r="K4771" s="0" t="n">
        <v>17998.56</v>
      </c>
    </row>
    <row r="4772" customFormat="false" ht="15" hidden="false" customHeight="false" outlineLevel="0" collapsed="false">
      <c r="I4772" s="0" t="n">
        <v>2032</v>
      </c>
      <c r="J4772" s="0" t="n">
        <v>285.76</v>
      </c>
      <c r="K4772" s="0" t="n">
        <v>5999.52</v>
      </c>
    </row>
    <row r="4773" customFormat="false" ht="15" hidden="false" customHeight="false" outlineLevel="0" collapsed="false">
      <c r="I4773" s="0" t="n">
        <v>2032</v>
      </c>
      <c r="J4773" s="0" t="n">
        <v>125.02</v>
      </c>
      <c r="K4773" s="0" t="n">
        <v>2624.79</v>
      </c>
    </row>
    <row r="4774" customFormat="false" ht="15" hidden="false" customHeight="false" outlineLevel="0" collapsed="false">
      <c r="I4774" s="0" t="n">
        <v>2032</v>
      </c>
      <c r="J4774" s="0" t="n">
        <v>71.44</v>
      </c>
      <c r="K4774" s="0" t="n">
        <v>1499.88</v>
      </c>
    </row>
    <row r="4775" customFormat="false" ht="15" hidden="false" customHeight="false" outlineLevel="0" collapsed="false">
      <c r="I4775" s="0" t="n">
        <v>2032</v>
      </c>
      <c r="J4775" s="0" t="n">
        <v>71.44</v>
      </c>
      <c r="K4775" s="0" t="n">
        <v>1499.88</v>
      </c>
    </row>
    <row r="4776" customFormat="false" ht="15" hidden="false" customHeight="false" outlineLevel="0" collapsed="false">
      <c r="I4776" s="0" t="n">
        <v>2032</v>
      </c>
      <c r="J4776" s="0" t="n">
        <v>35.72</v>
      </c>
      <c r="K4776" s="0" t="n">
        <v>749.94</v>
      </c>
    </row>
    <row r="4777" customFormat="false" ht="15" hidden="false" customHeight="false" outlineLevel="0" collapsed="false">
      <c r="I4777" s="0" t="n">
        <v>2032</v>
      </c>
      <c r="J4777" s="0" t="n">
        <v>35.72</v>
      </c>
      <c r="K4777" s="0" t="n">
        <v>749.94</v>
      </c>
    </row>
    <row r="4778" customFormat="false" ht="15" hidden="false" customHeight="false" outlineLevel="0" collapsed="false">
      <c r="I4778" s="0" t="n">
        <v>2032</v>
      </c>
      <c r="J4778" s="0" t="n">
        <v>71.44</v>
      </c>
      <c r="K4778" s="0" t="n">
        <v>1499.88</v>
      </c>
    </row>
    <row r="4779" customFormat="false" ht="15" hidden="false" customHeight="false" outlineLevel="0" collapsed="false">
      <c r="I4779" s="0" t="n">
        <v>2032</v>
      </c>
      <c r="J4779" s="0" t="n">
        <v>125.02</v>
      </c>
      <c r="K4779" s="0" t="n">
        <v>2624.79</v>
      </c>
    </row>
    <row r="4780" customFormat="false" ht="15" hidden="false" customHeight="false" outlineLevel="0" collapsed="false">
      <c r="I4780" s="0" t="n">
        <v>2032</v>
      </c>
      <c r="J4780" s="0" t="n">
        <v>53.58</v>
      </c>
      <c r="K4780" s="0" t="n">
        <v>1124.91</v>
      </c>
    </row>
    <row r="4781" customFormat="false" ht="15" hidden="false" customHeight="false" outlineLevel="0" collapsed="false">
      <c r="I4781" s="0" t="n">
        <v>2032</v>
      </c>
      <c r="J4781" s="0" t="n">
        <v>53.58</v>
      </c>
      <c r="K4781" s="0" t="n">
        <v>1124.91</v>
      </c>
    </row>
    <row r="4782" customFormat="false" ht="15" hidden="false" customHeight="false" outlineLevel="0" collapsed="false">
      <c r="I4782" s="0" t="n">
        <v>2032</v>
      </c>
      <c r="J4782" s="0" t="n">
        <v>57.72</v>
      </c>
      <c r="K4782" s="0" t="n">
        <v>1215.76</v>
      </c>
    </row>
    <row r="4783" customFormat="false" ht="15" hidden="false" customHeight="false" outlineLevel="0" collapsed="false">
      <c r="I4783" s="0" t="n">
        <v>2032</v>
      </c>
      <c r="J4783" s="0" t="n">
        <v>8.88</v>
      </c>
      <c r="K4783" s="0" t="n">
        <v>187.04</v>
      </c>
    </row>
    <row r="4784" customFormat="false" ht="15" hidden="false" customHeight="false" outlineLevel="0" collapsed="false">
      <c r="I4784" s="0" t="n">
        <v>2032</v>
      </c>
      <c r="J4784" s="0" t="n">
        <v>6.66</v>
      </c>
      <c r="K4784" s="0" t="n">
        <v>140.28</v>
      </c>
    </row>
    <row r="4785" customFormat="false" ht="15" hidden="false" customHeight="false" outlineLevel="0" collapsed="false">
      <c r="I4785" s="0" t="n">
        <v>2032</v>
      </c>
      <c r="J4785" s="0" t="n">
        <v>11.1</v>
      </c>
      <c r="K4785" s="0" t="n">
        <v>233.8</v>
      </c>
    </row>
    <row r="4786" customFormat="false" ht="15" hidden="false" customHeight="false" outlineLevel="0" collapsed="false">
      <c r="I4786" s="0" t="n">
        <v>2032</v>
      </c>
      <c r="J4786" s="0" t="n">
        <v>2.22</v>
      </c>
      <c r="K4786" s="0" t="n">
        <v>46.76</v>
      </c>
    </row>
    <row r="4787" customFormat="false" ht="15" hidden="false" customHeight="false" outlineLevel="0" collapsed="false">
      <c r="I4787" s="0" t="n">
        <v>2032</v>
      </c>
      <c r="J4787" s="0" t="n">
        <v>2.22</v>
      </c>
      <c r="K4787" s="0" t="n">
        <v>46.76</v>
      </c>
    </row>
    <row r="4788" customFormat="false" ht="15" hidden="false" customHeight="false" outlineLevel="0" collapsed="false">
      <c r="I4788" s="0" t="n">
        <v>2032</v>
      </c>
      <c r="J4788" s="0" t="n">
        <v>0</v>
      </c>
      <c r="K4788" s="0" t="n">
        <v>0</v>
      </c>
    </row>
    <row r="4789" customFormat="false" ht="15" hidden="false" customHeight="false" outlineLevel="0" collapsed="false">
      <c r="I4789" s="0" t="n">
        <v>2032</v>
      </c>
      <c r="J4789" s="0" t="n">
        <v>4.44</v>
      </c>
      <c r="K4789" s="0" t="n">
        <v>93.52</v>
      </c>
    </row>
    <row r="4790" customFormat="false" ht="15" hidden="false" customHeight="false" outlineLevel="0" collapsed="false">
      <c r="I4790" s="0" t="n">
        <v>2032</v>
      </c>
      <c r="J4790" s="0" t="n">
        <v>7.77</v>
      </c>
      <c r="K4790" s="0" t="n">
        <v>163.66</v>
      </c>
    </row>
    <row r="4791" customFormat="false" ht="15" hidden="false" customHeight="false" outlineLevel="0" collapsed="false">
      <c r="I4791" s="0" t="n">
        <v>2032</v>
      </c>
      <c r="J4791" s="0" t="n">
        <v>2.22</v>
      </c>
      <c r="K4791" s="0" t="n">
        <v>46.76</v>
      </c>
    </row>
    <row r="4792" customFormat="false" ht="15" hidden="false" customHeight="false" outlineLevel="0" collapsed="false">
      <c r="I4792" s="0" t="n">
        <v>2032</v>
      </c>
      <c r="J4792" s="0" t="n">
        <v>7.77</v>
      </c>
      <c r="K4792" s="0" t="n">
        <v>163.66</v>
      </c>
    </row>
    <row r="4793" customFormat="false" ht="15" hidden="false" customHeight="false" outlineLevel="0" collapsed="false">
      <c r="I4793" s="0" t="n">
        <v>2032</v>
      </c>
      <c r="J4793" s="0" t="n">
        <v>363.36</v>
      </c>
      <c r="K4793" s="0" t="n">
        <v>7627.2</v>
      </c>
    </row>
    <row r="4794" customFormat="false" ht="15" hidden="false" customHeight="false" outlineLevel="0" collapsed="false">
      <c r="I4794" s="0" t="n">
        <v>2032</v>
      </c>
      <c r="J4794" s="0" t="n">
        <v>121.12</v>
      </c>
      <c r="K4794" s="0" t="n">
        <v>2542.4</v>
      </c>
    </row>
    <row r="4795" customFormat="false" ht="15" hidden="false" customHeight="false" outlineLevel="0" collapsed="false">
      <c r="I4795" s="0" t="n">
        <v>2032</v>
      </c>
      <c r="J4795" s="0" t="n">
        <v>52.99</v>
      </c>
      <c r="K4795" s="0" t="n">
        <v>1112.3</v>
      </c>
    </row>
    <row r="4796" customFormat="false" ht="15" hidden="false" customHeight="false" outlineLevel="0" collapsed="false">
      <c r="I4796" s="0" t="n">
        <v>2032</v>
      </c>
      <c r="J4796" s="0" t="n">
        <v>30.28</v>
      </c>
      <c r="K4796" s="0" t="n">
        <v>635.6</v>
      </c>
    </row>
    <row r="4797" customFormat="false" ht="15" hidden="false" customHeight="false" outlineLevel="0" collapsed="false">
      <c r="I4797" s="0" t="n">
        <v>2032</v>
      </c>
      <c r="J4797" s="0" t="n">
        <v>30.28</v>
      </c>
      <c r="K4797" s="0" t="n">
        <v>635.6</v>
      </c>
    </row>
    <row r="4798" customFormat="false" ht="15" hidden="false" customHeight="false" outlineLevel="0" collapsed="false">
      <c r="I4798" s="0" t="n">
        <v>2032</v>
      </c>
      <c r="J4798" s="0" t="n">
        <v>15.14</v>
      </c>
      <c r="K4798" s="0" t="n">
        <v>317.8</v>
      </c>
    </row>
    <row r="4799" customFormat="false" ht="15" hidden="false" customHeight="false" outlineLevel="0" collapsed="false">
      <c r="I4799" s="0" t="n">
        <v>2032</v>
      </c>
      <c r="J4799" s="0" t="n">
        <v>15.14</v>
      </c>
      <c r="K4799" s="0" t="n">
        <v>317.8</v>
      </c>
    </row>
    <row r="4800" customFormat="false" ht="15" hidden="false" customHeight="false" outlineLevel="0" collapsed="false">
      <c r="I4800" s="0" t="n">
        <v>2032</v>
      </c>
      <c r="J4800" s="0" t="n">
        <v>30.28</v>
      </c>
      <c r="K4800" s="0" t="n">
        <v>635.6</v>
      </c>
    </row>
    <row r="4801" customFormat="false" ht="15" hidden="false" customHeight="false" outlineLevel="0" collapsed="false">
      <c r="I4801" s="0" t="n">
        <v>2032</v>
      </c>
      <c r="J4801" s="0" t="n">
        <v>52.99</v>
      </c>
      <c r="K4801" s="0" t="n">
        <v>1112.3</v>
      </c>
    </row>
    <row r="4802" customFormat="false" ht="15" hidden="false" customHeight="false" outlineLevel="0" collapsed="false">
      <c r="I4802" s="0" t="n">
        <v>2032</v>
      </c>
      <c r="J4802" s="0" t="n">
        <v>22.71</v>
      </c>
      <c r="K4802" s="0" t="n">
        <v>476.7</v>
      </c>
    </row>
    <row r="4803" customFormat="false" ht="15" hidden="false" customHeight="false" outlineLevel="0" collapsed="false">
      <c r="I4803" s="0" t="n">
        <v>2032</v>
      </c>
      <c r="J4803" s="0" t="n">
        <v>22.71</v>
      </c>
      <c r="K4803" s="0" t="n">
        <v>476.7</v>
      </c>
    </row>
    <row r="4804" customFormat="false" ht="15" hidden="false" customHeight="false" outlineLevel="0" collapsed="false">
      <c r="I4804" s="0" t="n">
        <v>2032</v>
      </c>
      <c r="J4804" s="0" t="n">
        <v>69.68</v>
      </c>
      <c r="K4804" s="0" t="n">
        <v>1458.6</v>
      </c>
    </row>
    <row r="4805" customFormat="false" ht="15" hidden="false" customHeight="false" outlineLevel="0" collapsed="false">
      <c r="I4805" s="0" t="n">
        <v>2032</v>
      </c>
      <c r="J4805" s="0" t="n">
        <v>10.72</v>
      </c>
      <c r="K4805" s="0" t="n">
        <v>224.4</v>
      </c>
    </row>
    <row r="4806" customFormat="false" ht="15" hidden="false" customHeight="false" outlineLevel="0" collapsed="false">
      <c r="I4806" s="0" t="n">
        <v>2032</v>
      </c>
      <c r="J4806" s="0" t="n">
        <v>8.04</v>
      </c>
      <c r="K4806" s="0" t="n">
        <v>168.3</v>
      </c>
    </row>
    <row r="4807" customFormat="false" ht="15" hidden="false" customHeight="false" outlineLevel="0" collapsed="false">
      <c r="I4807" s="0" t="n">
        <v>2032</v>
      </c>
      <c r="J4807" s="0" t="n">
        <v>13.4</v>
      </c>
      <c r="K4807" s="0" t="n">
        <v>280.5</v>
      </c>
    </row>
    <row r="4808" customFormat="false" ht="15" hidden="false" customHeight="false" outlineLevel="0" collapsed="false">
      <c r="I4808" s="0" t="n">
        <v>2032</v>
      </c>
      <c r="J4808" s="0" t="n">
        <v>2.68</v>
      </c>
      <c r="K4808" s="0" t="n">
        <v>56.1</v>
      </c>
    </row>
    <row r="4809" customFormat="false" ht="15" hidden="false" customHeight="false" outlineLevel="0" collapsed="false">
      <c r="I4809" s="0" t="n">
        <v>2032</v>
      </c>
      <c r="J4809" s="0" t="n">
        <v>2.68</v>
      </c>
      <c r="K4809" s="0" t="n">
        <v>56.1</v>
      </c>
    </row>
    <row r="4810" customFormat="false" ht="15" hidden="false" customHeight="false" outlineLevel="0" collapsed="false">
      <c r="I4810" s="0" t="n">
        <v>2032</v>
      </c>
      <c r="J4810" s="0" t="n">
        <v>0</v>
      </c>
      <c r="K4810" s="0" t="n">
        <v>0</v>
      </c>
    </row>
    <row r="4811" customFormat="false" ht="15" hidden="false" customHeight="false" outlineLevel="0" collapsed="false">
      <c r="I4811" s="0" t="n">
        <v>2032</v>
      </c>
      <c r="J4811" s="0" t="n">
        <v>5.36</v>
      </c>
      <c r="K4811" s="0" t="n">
        <v>112.2</v>
      </c>
    </row>
    <row r="4812" customFormat="false" ht="15" hidden="false" customHeight="false" outlineLevel="0" collapsed="false">
      <c r="I4812" s="0" t="n">
        <v>2032</v>
      </c>
      <c r="J4812" s="0" t="n">
        <v>9.38</v>
      </c>
      <c r="K4812" s="0" t="n">
        <v>196.35</v>
      </c>
    </row>
    <row r="4813" customFormat="false" ht="15" hidden="false" customHeight="false" outlineLevel="0" collapsed="false">
      <c r="I4813" s="0" t="n">
        <v>2032</v>
      </c>
      <c r="J4813" s="0" t="n">
        <v>2.68</v>
      </c>
      <c r="K4813" s="0" t="n">
        <v>56.1</v>
      </c>
    </row>
    <row r="4814" customFormat="false" ht="15" hidden="false" customHeight="false" outlineLevel="0" collapsed="false">
      <c r="I4814" s="0" t="n">
        <v>2032</v>
      </c>
      <c r="J4814" s="0" t="n">
        <v>9.38</v>
      </c>
      <c r="K4814" s="0" t="n">
        <v>196.35</v>
      </c>
    </row>
    <row r="4815" customFormat="false" ht="15" hidden="false" customHeight="false" outlineLevel="0" collapsed="false">
      <c r="I4815" s="0" t="n">
        <v>2032</v>
      </c>
      <c r="J4815" s="0" t="n">
        <v>231.84</v>
      </c>
      <c r="K4815" s="0" t="n">
        <v>4864.32</v>
      </c>
    </row>
    <row r="4816" customFormat="false" ht="15" hidden="false" customHeight="false" outlineLevel="0" collapsed="false">
      <c r="I4816" s="0" t="n">
        <v>2032</v>
      </c>
      <c r="J4816" s="0" t="n">
        <v>77.28</v>
      </c>
      <c r="K4816" s="0" t="n">
        <v>1621.44</v>
      </c>
    </row>
    <row r="4817" customFormat="false" ht="15" hidden="false" customHeight="false" outlineLevel="0" collapsed="false">
      <c r="I4817" s="0" t="n">
        <v>2032</v>
      </c>
      <c r="J4817" s="0" t="n">
        <v>33.81</v>
      </c>
      <c r="K4817" s="0" t="n">
        <v>709.38</v>
      </c>
    </row>
    <row r="4818" customFormat="false" ht="15" hidden="false" customHeight="false" outlineLevel="0" collapsed="false">
      <c r="I4818" s="0" t="n">
        <v>2032</v>
      </c>
      <c r="J4818" s="0" t="n">
        <v>19.32</v>
      </c>
      <c r="K4818" s="0" t="n">
        <v>405.36</v>
      </c>
    </row>
    <row r="4819" customFormat="false" ht="15" hidden="false" customHeight="false" outlineLevel="0" collapsed="false">
      <c r="I4819" s="0" t="n">
        <v>2032</v>
      </c>
      <c r="J4819" s="0" t="n">
        <v>19.32</v>
      </c>
      <c r="K4819" s="0" t="n">
        <v>405.36</v>
      </c>
    </row>
    <row r="4820" customFormat="false" ht="15" hidden="false" customHeight="false" outlineLevel="0" collapsed="false">
      <c r="I4820" s="0" t="n">
        <v>2032</v>
      </c>
      <c r="J4820" s="0" t="n">
        <v>9.66</v>
      </c>
      <c r="K4820" s="0" t="n">
        <v>202.68</v>
      </c>
    </row>
    <row r="4821" customFormat="false" ht="15" hidden="false" customHeight="false" outlineLevel="0" collapsed="false">
      <c r="I4821" s="0" t="n">
        <v>2032</v>
      </c>
      <c r="J4821" s="0" t="n">
        <v>9.66</v>
      </c>
      <c r="K4821" s="0" t="n">
        <v>202.68</v>
      </c>
    </row>
    <row r="4822" customFormat="false" ht="15" hidden="false" customHeight="false" outlineLevel="0" collapsed="false">
      <c r="I4822" s="0" t="n">
        <v>2032</v>
      </c>
      <c r="J4822" s="0" t="n">
        <v>19.32</v>
      </c>
      <c r="K4822" s="0" t="n">
        <v>405.36</v>
      </c>
    </row>
    <row r="4823" customFormat="false" ht="15" hidden="false" customHeight="false" outlineLevel="0" collapsed="false">
      <c r="I4823" s="0" t="n">
        <v>2032</v>
      </c>
      <c r="J4823" s="0" t="n">
        <v>33.81</v>
      </c>
      <c r="K4823" s="0" t="n">
        <v>709.38</v>
      </c>
    </row>
    <row r="4824" customFormat="false" ht="15" hidden="false" customHeight="false" outlineLevel="0" collapsed="false">
      <c r="I4824" s="0" t="n">
        <v>2032</v>
      </c>
      <c r="J4824" s="0" t="n">
        <v>14.49</v>
      </c>
      <c r="K4824" s="0" t="n">
        <v>304.02</v>
      </c>
    </row>
    <row r="4825" customFormat="false" ht="15" hidden="false" customHeight="false" outlineLevel="0" collapsed="false">
      <c r="I4825" s="0" t="n">
        <v>2032</v>
      </c>
      <c r="J4825" s="0" t="n">
        <v>14.49</v>
      </c>
      <c r="K4825" s="0" t="n">
        <v>304.02</v>
      </c>
    </row>
    <row r="4826" customFormat="false" ht="15" hidden="false" customHeight="false" outlineLevel="0" collapsed="false">
      <c r="I4826" s="0" t="n">
        <v>2032</v>
      </c>
      <c r="J4826" s="0" t="n">
        <v>57.72</v>
      </c>
      <c r="K4826" s="0" t="n">
        <v>1210.56</v>
      </c>
    </row>
    <row r="4827" customFormat="false" ht="15" hidden="false" customHeight="false" outlineLevel="0" collapsed="false">
      <c r="I4827" s="0" t="n">
        <v>2032</v>
      </c>
      <c r="J4827" s="0" t="n">
        <v>8.88</v>
      </c>
      <c r="K4827" s="0" t="n">
        <v>186.24</v>
      </c>
    </row>
    <row r="4828" customFormat="false" ht="15" hidden="false" customHeight="false" outlineLevel="0" collapsed="false">
      <c r="I4828" s="0" t="n">
        <v>2032</v>
      </c>
      <c r="J4828" s="0" t="n">
        <v>6.66</v>
      </c>
      <c r="K4828" s="0" t="n">
        <v>139.68</v>
      </c>
    </row>
    <row r="4829" customFormat="false" ht="15" hidden="false" customHeight="false" outlineLevel="0" collapsed="false">
      <c r="I4829" s="0" t="n">
        <v>2032</v>
      </c>
      <c r="J4829" s="0" t="n">
        <v>11.1</v>
      </c>
      <c r="K4829" s="0" t="n">
        <v>232.8</v>
      </c>
    </row>
    <row r="4830" customFormat="false" ht="15" hidden="false" customHeight="false" outlineLevel="0" collapsed="false">
      <c r="I4830" s="0" t="n">
        <v>2032</v>
      </c>
      <c r="J4830" s="0" t="n">
        <v>2.22</v>
      </c>
      <c r="K4830" s="0" t="n">
        <v>46.56</v>
      </c>
    </row>
    <row r="4831" customFormat="false" ht="15" hidden="false" customHeight="false" outlineLevel="0" collapsed="false">
      <c r="I4831" s="0" t="n">
        <v>2032</v>
      </c>
      <c r="J4831" s="0" t="n">
        <v>2.22</v>
      </c>
      <c r="K4831" s="0" t="n">
        <v>46.56</v>
      </c>
    </row>
    <row r="4832" customFormat="false" ht="15" hidden="false" customHeight="false" outlineLevel="0" collapsed="false">
      <c r="I4832" s="0" t="n">
        <v>2032</v>
      </c>
      <c r="J4832" s="0" t="n">
        <v>0</v>
      </c>
      <c r="K4832" s="0" t="n">
        <v>0</v>
      </c>
    </row>
    <row r="4833" customFormat="false" ht="15" hidden="false" customHeight="false" outlineLevel="0" collapsed="false">
      <c r="I4833" s="0" t="n">
        <v>2032</v>
      </c>
      <c r="J4833" s="0" t="n">
        <v>4.44</v>
      </c>
      <c r="K4833" s="0" t="n">
        <v>93.12</v>
      </c>
    </row>
    <row r="4834" customFormat="false" ht="15" hidden="false" customHeight="false" outlineLevel="0" collapsed="false">
      <c r="I4834" s="0" t="n">
        <v>2032</v>
      </c>
      <c r="J4834" s="0" t="n">
        <v>7.77</v>
      </c>
      <c r="K4834" s="0" t="n">
        <v>162.96</v>
      </c>
    </row>
    <row r="4835" customFormat="false" ht="15" hidden="false" customHeight="false" outlineLevel="0" collapsed="false">
      <c r="I4835" s="0" t="n">
        <v>2032</v>
      </c>
      <c r="J4835" s="0" t="n">
        <v>2.22</v>
      </c>
      <c r="K4835" s="0" t="n">
        <v>46.56</v>
      </c>
    </row>
    <row r="4836" customFormat="false" ht="15" hidden="false" customHeight="false" outlineLevel="0" collapsed="false">
      <c r="I4836" s="0" t="n">
        <v>2032</v>
      </c>
      <c r="J4836" s="0" t="n">
        <v>7.77</v>
      </c>
      <c r="K4836" s="0" t="n">
        <v>162.96</v>
      </c>
    </row>
    <row r="4837" customFormat="false" ht="15" hidden="false" customHeight="false" outlineLevel="0" collapsed="false">
      <c r="I4837" s="0" t="n">
        <v>2032</v>
      </c>
      <c r="J4837" s="0" t="n">
        <v>1035.84</v>
      </c>
      <c r="K4837" s="0" t="n">
        <v>21747.84</v>
      </c>
    </row>
    <row r="4838" customFormat="false" ht="15" hidden="false" customHeight="false" outlineLevel="0" collapsed="false">
      <c r="I4838" s="0" t="n">
        <v>2032</v>
      </c>
      <c r="J4838" s="0" t="n">
        <v>345.28</v>
      </c>
      <c r="K4838" s="0" t="n">
        <v>7249.28</v>
      </c>
    </row>
    <row r="4839" customFormat="false" ht="15" hidden="false" customHeight="false" outlineLevel="0" collapsed="false">
      <c r="I4839" s="0" t="n">
        <v>2032</v>
      </c>
      <c r="J4839" s="0" t="n">
        <v>151.06</v>
      </c>
      <c r="K4839" s="0" t="n">
        <v>3171.56</v>
      </c>
    </row>
    <row r="4840" customFormat="false" ht="15" hidden="false" customHeight="false" outlineLevel="0" collapsed="false">
      <c r="I4840" s="0" t="n">
        <v>2032</v>
      </c>
      <c r="J4840" s="0" t="n">
        <v>86.32</v>
      </c>
      <c r="K4840" s="0" t="n">
        <v>1812.32</v>
      </c>
    </row>
    <row r="4841" customFormat="false" ht="15" hidden="false" customHeight="false" outlineLevel="0" collapsed="false">
      <c r="I4841" s="0" t="n">
        <v>2032</v>
      </c>
      <c r="J4841" s="0" t="n">
        <v>86.32</v>
      </c>
      <c r="K4841" s="0" t="n">
        <v>1812.32</v>
      </c>
    </row>
    <row r="4842" customFormat="false" ht="15" hidden="false" customHeight="false" outlineLevel="0" collapsed="false">
      <c r="I4842" s="0" t="n">
        <v>2032</v>
      </c>
      <c r="J4842" s="0" t="n">
        <v>43.16</v>
      </c>
      <c r="K4842" s="0" t="n">
        <v>906.16</v>
      </c>
    </row>
    <row r="4843" customFormat="false" ht="15" hidden="false" customHeight="false" outlineLevel="0" collapsed="false">
      <c r="I4843" s="0" t="n">
        <v>2032</v>
      </c>
      <c r="J4843" s="0" t="n">
        <v>43.16</v>
      </c>
      <c r="K4843" s="0" t="n">
        <v>906.16</v>
      </c>
    </row>
    <row r="4844" customFormat="false" ht="15" hidden="false" customHeight="false" outlineLevel="0" collapsed="false">
      <c r="I4844" s="0" t="n">
        <v>2032</v>
      </c>
      <c r="J4844" s="0" t="n">
        <v>86.32</v>
      </c>
      <c r="K4844" s="0" t="n">
        <v>1812.32</v>
      </c>
    </row>
    <row r="4845" customFormat="false" ht="15" hidden="false" customHeight="false" outlineLevel="0" collapsed="false">
      <c r="I4845" s="0" t="n">
        <v>2032</v>
      </c>
      <c r="J4845" s="0" t="n">
        <v>151.06</v>
      </c>
      <c r="K4845" s="0" t="n">
        <v>3171.56</v>
      </c>
    </row>
    <row r="4846" customFormat="false" ht="15" hidden="false" customHeight="false" outlineLevel="0" collapsed="false">
      <c r="I4846" s="0" t="n">
        <v>2032</v>
      </c>
      <c r="J4846" s="0" t="n">
        <v>64.74</v>
      </c>
      <c r="K4846" s="0" t="n">
        <v>1359.24</v>
      </c>
    </row>
    <row r="4847" customFormat="false" ht="15" hidden="false" customHeight="false" outlineLevel="0" collapsed="false">
      <c r="I4847" s="0" t="n">
        <v>2032</v>
      </c>
      <c r="J4847" s="0" t="n">
        <v>64.74</v>
      </c>
      <c r="K4847" s="0" t="n">
        <v>1359.24</v>
      </c>
    </row>
    <row r="4848" customFormat="false" ht="15" hidden="false" customHeight="false" outlineLevel="0" collapsed="false">
      <c r="I4848" s="0" t="n">
        <v>2032</v>
      </c>
      <c r="J4848" s="0" t="n">
        <v>72.8</v>
      </c>
      <c r="K4848" s="0" t="n">
        <v>1526.2</v>
      </c>
    </row>
    <row r="4849" customFormat="false" ht="15" hidden="false" customHeight="false" outlineLevel="0" collapsed="false">
      <c r="I4849" s="0" t="n">
        <v>2032</v>
      </c>
      <c r="J4849" s="0" t="n">
        <v>11.2</v>
      </c>
      <c r="K4849" s="0" t="n">
        <v>234.8</v>
      </c>
    </row>
    <row r="4850" customFormat="false" ht="15" hidden="false" customHeight="false" outlineLevel="0" collapsed="false">
      <c r="I4850" s="0" t="n">
        <v>2032</v>
      </c>
      <c r="J4850" s="0" t="n">
        <v>8.4</v>
      </c>
      <c r="K4850" s="0" t="n">
        <v>176.1</v>
      </c>
    </row>
    <row r="4851" customFormat="false" ht="15" hidden="false" customHeight="false" outlineLevel="0" collapsed="false">
      <c r="I4851" s="0" t="n">
        <v>2032</v>
      </c>
      <c r="J4851" s="0" t="n">
        <v>14</v>
      </c>
      <c r="K4851" s="0" t="n">
        <v>293.5</v>
      </c>
    </row>
    <row r="4852" customFormat="false" ht="15" hidden="false" customHeight="false" outlineLevel="0" collapsed="false">
      <c r="I4852" s="0" t="n">
        <v>2032</v>
      </c>
      <c r="J4852" s="0" t="n">
        <v>2.8</v>
      </c>
      <c r="K4852" s="0" t="n">
        <v>58.7</v>
      </c>
    </row>
    <row r="4853" customFormat="false" ht="15" hidden="false" customHeight="false" outlineLevel="0" collapsed="false">
      <c r="I4853" s="0" t="n">
        <v>2032</v>
      </c>
      <c r="J4853" s="0" t="n">
        <v>2.8</v>
      </c>
      <c r="K4853" s="0" t="n">
        <v>58.7</v>
      </c>
    </row>
    <row r="4854" customFormat="false" ht="15" hidden="false" customHeight="false" outlineLevel="0" collapsed="false">
      <c r="I4854" s="0" t="n">
        <v>2032</v>
      </c>
      <c r="J4854" s="0" t="n">
        <v>0</v>
      </c>
      <c r="K4854" s="0" t="n">
        <v>0</v>
      </c>
    </row>
    <row r="4855" customFormat="false" ht="15" hidden="false" customHeight="false" outlineLevel="0" collapsed="false">
      <c r="I4855" s="0" t="n">
        <v>2032</v>
      </c>
      <c r="J4855" s="0" t="n">
        <v>5.6</v>
      </c>
      <c r="K4855" s="0" t="n">
        <v>117.4</v>
      </c>
    </row>
    <row r="4856" customFormat="false" ht="15" hidden="false" customHeight="false" outlineLevel="0" collapsed="false">
      <c r="I4856" s="0" t="n">
        <v>2032</v>
      </c>
      <c r="J4856" s="0" t="n">
        <v>9.8</v>
      </c>
      <c r="K4856" s="0" t="n">
        <v>205.45</v>
      </c>
    </row>
    <row r="4857" customFormat="false" ht="15" hidden="false" customHeight="false" outlineLevel="0" collapsed="false">
      <c r="I4857" s="0" t="n">
        <v>2032</v>
      </c>
      <c r="J4857" s="0" t="n">
        <v>2.8</v>
      </c>
      <c r="K4857" s="0" t="n">
        <v>58.7</v>
      </c>
    </row>
    <row r="4858" customFormat="false" ht="15" hidden="false" customHeight="false" outlineLevel="0" collapsed="false">
      <c r="I4858" s="0" t="n">
        <v>2032</v>
      </c>
      <c r="J4858" s="0" t="n">
        <v>9.8</v>
      </c>
      <c r="K4858" s="0" t="n">
        <v>205.45</v>
      </c>
    </row>
    <row r="4859" customFormat="false" ht="15" hidden="false" customHeight="false" outlineLevel="0" collapsed="false">
      <c r="I4859" s="0" t="n">
        <v>2032</v>
      </c>
      <c r="J4859" s="0" t="n">
        <v>172.8</v>
      </c>
      <c r="K4859" s="0" t="n">
        <v>3626.4</v>
      </c>
    </row>
    <row r="4860" customFormat="false" ht="15" hidden="false" customHeight="false" outlineLevel="0" collapsed="false">
      <c r="I4860" s="0" t="n">
        <v>2032</v>
      </c>
      <c r="J4860" s="0" t="n">
        <v>57.6</v>
      </c>
      <c r="K4860" s="0" t="n">
        <v>1208.8</v>
      </c>
    </row>
    <row r="4861" customFormat="false" ht="15" hidden="false" customHeight="false" outlineLevel="0" collapsed="false">
      <c r="I4861" s="0" t="n">
        <v>2032</v>
      </c>
      <c r="J4861" s="0" t="n">
        <v>25.2</v>
      </c>
      <c r="K4861" s="0" t="n">
        <v>528.85</v>
      </c>
    </row>
    <row r="4862" customFormat="false" ht="15" hidden="false" customHeight="false" outlineLevel="0" collapsed="false">
      <c r="I4862" s="0" t="n">
        <v>2032</v>
      </c>
      <c r="J4862" s="0" t="n">
        <v>14.4</v>
      </c>
      <c r="K4862" s="0" t="n">
        <v>302.2</v>
      </c>
    </row>
    <row r="4863" customFormat="false" ht="15" hidden="false" customHeight="false" outlineLevel="0" collapsed="false">
      <c r="I4863" s="0" t="n">
        <v>2032</v>
      </c>
      <c r="J4863" s="0" t="n">
        <v>14.4</v>
      </c>
      <c r="K4863" s="0" t="n">
        <v>302.2</v>
      </c>
    </row>
    <row r="4864" customFormat="false" ht="15" hidden="false" customHeight="false" outlineLevel="0" collapsed="false">
      <c r="I4864" s="0" t="n">
        <v>2032</v>
      </c>
      <c r="J4864" s="0" t="n">
        <v>7.2</v>
      </c>
      <c r="K4864" s="0" t="n">
        <v>151.1</v>
      </c>
    </row>
    <row r="4865" customFormat="false" ht="15" hidden="false" customHeight="false" outlineLevel="0" collapsed="false">
      <c r="I4865" s="0" t="n">
        <v>2032</v>
      </c>
      <c r="J4865" s="0" t="n">
        <v>7.2</v>
      </c>
      <c r="K4865" s="0" t="n">
        <v>151.1</v>
      </c>
    </row>
    <row r="4866" customFormat="false" ht="15" hidden="false" customHeight="false" outlineLevel="0" collapsed="false">
      <c r="I4866" s="0" t="n">
        <v>2032</v>
      </c>
      <c r="J4866" s="0" t="n">
        <v>14.4</v>
      </c>
      <c r="K4866" s="0" t="n">
        <v>302.2</v>
      </c>
    </row>
    <row r="4867" customFormat="false" ht="15" hidden="false" customHeight="false" outlineLevel="0" collapsed="false">
      <c r="I4867" s="0" t="n">
        <v>2032</v>
      </c>
      <c r="J4867" s="0" t="n">
        <v>25.2</v>
      </c>
      <c r="K4867" s="0" t="n">
        <v>528.85</v>
      </c>
    </row>
    <row r="4868" customFormat="false" ht="15" hidden="false" customHeight="false" outlineLevel="0" collapsed="false">
      <c r="I4868" s="0" t="n">
        <v>2032</v>
      </c>
      <c r="J4868" s="0" t="n">
        <v>10.8</v>
      </c>
      <c r="K4868" s="0" t="n">
        <v>226.65</v>
      </c>
    </row>
    <row r="4869" customFormat="false" ht="15" hidden="false" customHeight="false" outlineLevel="0" collapsed="false">
      <c r="I4869" s="0" t="n">
        <v>2032</v>
      </c>
      <c r="J4869" s="0" t="n">
        <v>10.8</v>
      </c>
      <c r="K4869" s="0" t="n">
        <v>226.65</v>
      </c>
    </row>
    <row r="4870" customFormat="false" ht="15" hidden="false" customHeight="false" outlineLevel="0" collapsed="false">
      <c r="I4870" s="0" t="n">
        <v>2032</v>
      </c>
      <c r="J4870" s="0" t="n">
        <v>22.88</v>
      </c>
      <c r="K4870" s="0" t="n">
        <v>478.92</v>
      </c>
    </row>
    <row r="4871" customFormat="false" ht="15" hidden="false" customHeight="false" outlineLevel="0" collapsed="false">
      <c r="I4871" s="0" t="n">
        <v>2032</v>
      </c>
      <c r="J4871" s="0" t="n">
        <v>3.52</v>
      </c>
      <c r="K4871" s="0" t="n">
        <v>73.68</v>
      </c>
    </row>
    <row r="4872" customFormat="false" ht="15" hidden="false" customHeight="false" outlineLevel="0" collapsed="false">
      <c r="I4872" s="0" t="n">
        <v>2032</v>
      </c>
      <c r="J4872" s="0" t="n">
        <v>2.64</v>
      </c>
      <c r="K4872" s="0" t="n">
        <v>55.26</v>
      </c>
    </row>
    <row r="4873" customFormat="false" ht="15" hidden="false" customHeight="false" outlineLevel="0" collapsed="false">
      <c r="I4873" s="0" t="n">
        <v>2032</v>
      </c>
      <c r="J4873" s="0" t="n">
        <v>4.4</v>
      </c>
      <c r="K4873" s="0" t="n">
        <v>92.1</v>
      </c>
    </row>
    <row r="4874" customFormat="false" ht="15" hidden="false" customHeight="false" outlineLevel="0" collapsed="false">
      <c r="I4874" s="0" t="n">
        <v>2032</v>
      </c>
      <c r="J4874" s="0" t="n">
        <v>0.88</v>
      </c>
      <c r="K4874" s="0" t="n">
        <v>18.42</v>
      </c>
    </row>
    <row r="4875" customFormat="false" ht="15" hidden="false" customHeight="false" outlineLevel="0" collapsed="false">
      <c r="I4875" s="0" t="n">
        <v>2032</v>
      </c>
      <c r="J4875" s="0" t="n">
        <v>0.88</v>
      </c>
      <c r="K4875" s="0" t="n">
        <v>18.42</v>
      </c>
    </row>
    <row r="4876" customFormat="false" ht="15" hidden="false" customHeight="false" outlineLevel="0" collapsed="false">
      <c r="I4876" s="0" t="n">
        <v>2032</v>
      </c>
      <c r="J4876" s="0" t="n">
        <v>0</v>
      </c>
      <c r="K4876" s="0" t="n">
        <v>0</v>
      </c>
    </row>
    <row r="4877" customFormat="false" ht="15" hidden="false" customHeight="false" outlineLevel="0" collapsed="false">
      <c r="I4877" s="0" t="n">
        <v>2032</v>
      </c>
      <c r="J4877" s="0" t="n">
        <v>1.76</v>
      </c>
      <c r="K4877" s="0" t="n">
        <v>36.84</v>
      </c>
    </row>
    <row r="4878" customFormat="false" ht="15" hidden="false" customHeight="false" outlineLevel="0" collapsed="false">
      <c r="I4878" s="0" t="n">
        <v>2032</v>
      </c>
      <c r="J4878" s="0" t="n">
        <v>3.08</v>
      </c>
      <c r="K4878" s="0" t="n">
        <v>64.47</v>
      </c>
    </row>
    <row r="4879" customFormat="false" ht="15" hidden="false" customHeight="false" outlineLevel="0" collapsed="false">
      <c r="I4879" s="0" t="n">
        <v>2032</v>
      </c>
      <c r="J4879" s="0" t="n">
        <v>0.88</v>
      </c>
      <c r="K4879" s="0" t="n">
        <v>18.42</v>
      </c>
    </row>
    <row r="4880" customFormat="false" ht="15" hidden="false" customHeight="false" outlineLevel="0" collapsed="false">
      <c r="I4880" s="0" t="n">
        <v>2032</v>
      </c>
      <c r="J4880" s="0" t="n">
        <v>3.08</v>
      </c>
      <c r="K4880" s="0" t="n">
        <v>64.47</v>
      </c>
    </row>
    <row r="4881" customFormat="false" ht="15" hidden="false" customHeight="false" outlineLevel="0" collapsed="false">
      <c r="I4881" s="0" t="n">
        <v>2032</v>
      </c>
      <c r="J4881" s="0" t="n">
        <v>51.84</v>
      </c>
      <c r="K4881" s="0" t="n">
        <v>1087.2</v>
      </c>
    </row>
    <row r="4882" customFormat="false" ht="15" hidden="false" customHeight="false" outlineLevel="0" collapsed="false">
      <c r="I4882" s="0" t="n">
        <v>2032</v>
      </c>
      <c r="J4882" s="0" t="n">
        <v>17.28</v>
      </c>
      <c r="K4882" s="0" t="n">
        <v>362.4</v>
      </c>
    </row>
    <row r="4883" customFormat="false" ht="15" hidden="false" customHeight="false" outlineLevel="0" collapsed="false">
      <c r="I4883" s="0" t="n">
        <v>2032</v>
      </c>
      <c r="J4883" s="0" t="n">
        <v>7.56</v>
      </c>
      <c r="K4883" s="0" t="n">
        <v>158.55</v>
      </c>
    </row>
    <row r="4884" customFormat="false" ht="15" hidden="false" customHeight="false" outlineLevel="0" collapsed="false">
      <c r="I4884" s="0" t="n">
        <v>2032</v>
      </c>
      <c r="J4884" s="0" t="n">
        <v>4.32</v>
      </c>
      <c r="K4884" s="0" t="n">
        <v>90.6</v>
      </c>
    </row>
    <row r="4885" customFormat="false" ht="15" hidden="false" customHeight="false" outlineLevel="0" collapsed="false">
      <c r="I4885" s="0" t="n">
        <v>2032</v>
      </c>
      <c r="J4885" s="0" t="n">
        <v>4.32</v>
      </c>
      <c r="K4885" s="0" t="n">
        <v>90.6</v>
      </c>
    </row>
    <row r="4886" customFormat="false" ht="15" hidden="false" customHeight="false" outlineLevel="0" collapsed="false">
      <c r="I4886" s="0" t="n">
        <v>2032</v>
      </c>
      <c r="J4886" s="0" t="n">
        <v>2.16</v>
      </c>
      <c r="K4886" s="0" t="n">
        <v>45.3</v>
      </c>
    </row>
    <row r="4887" customFormat="false" ht="15" hidden="false" customHeight="false" outlineLevel="0" collapsed="false">
      <c r="I4887" s="0" t="n">
        <v>2032</v>
      </c>
      <c r="J4887" s="0" t="n">
        <v>2.16</v>
      </c>
      <c r="K4887" s="0" t="n">
        <v>45.3</v>
      </c>
    </row>
    <row r="4888" customFormat="false" ht="15" hidden="false" customHeight="false" outlineLevel="0" collapsed="false">
      <c r="I4888" s="0" t="n">
        <v>2032</v>
      </c>
      <c r="J4888" s="0" t="n">
        <v>4.32</v>
      </c>
      <c r="K4888" s="0" t="n">
        <v>90.6</v>
      </c>
    </row>
    <row r="4889" customFormat="false" ht="15" hidden="false" customHeight="false" outlineLevel="0" collapsed="false">
      <c r="I4889" s="0" t="n">
        <v>2032</v>
      </c>
      <c r="J4889" s="0" t="n">
        <v>7.56</v>
      </c>
      <c r="K4889" s="0" t="n">
        <v>158.55</v>
      </c>
    </row>
    <row r="4890" customFormat="false" ht="15" hidden="false" customHeight="false" outlineLevel="0" collapsed="false">
      <c r="I4890" s="0" t="n">
        <v>2032</v>
      </c>
      <c r="J4890" s="0" t="n">
        <v>3.24</v>
      </c>
      <c r="K4890" s="0" t="n">
        <v>67.95</v>
      </c>
    </row>
    <row r="4891" customFormat="false" ht="15" hidden="false" customHeight="false" outlineLevel="0" collapsed="false">
      <c r="I4891" s="0" t="n">
        <v>2032</v>
      </c>
      <c r="J4891" s="0" t="n">
        <v>3.24</v>
      </c>
      <c r="K4891" s="0" t="n">
        <v>67.95</v>
      </c>
    </row>
    <row r="4892" customFormat="false" ht="15" hidden="false" customHeight="false" outlineLevel="0" collapsed="false">
      <c r="I4892" s="0" t="n">
        <v>2032</v>
      </c>
      <c r="J4892" s="0" t="n">
        <v>4.68</v>
      </c>
      <c r="K4892" s="0" t="n">
        <v>101.92</v>
      </c>
    </row>
    <row r="4893" customFormat="false" ht="15" hidden="false" customHeight="false" outlineLevel="0" collapsed="false">
      <c r="I4893" s="0" t="n">
        <v>2032</v>
      </c>
      <c r="J4893" s="0" t="n">
        <v>0.72</v>
      </c>
      <c r="K4893" s="0" t="n">
        <v>15.68</v>
      </c>
    </row>
    <row r="4894" customFormat="false" ht="15" hidden="false" customHeight="false" outlineLevel="0" collapsed="false">
      <c r="I4894" s="0" t="n">
        <v>2032</v>
      </c>
      <c r="J4894" s="0" t="n">
        <v>0.54</v>
      </c>
      <c r="K4894" s="0" t="n">
        <v>11.76</v>
      </c>
    </row>
    <row r="4895" customFormat="false" ht="15" hidden="false" customHeight="false" outlineLevel="0" collapsed="false">
      <c r="I4895" s="0" t="n">
        <v>2032</v>
      </c>
      <c r="J4895" s="0" t="n">
        <v>0.9</v>
      </c>
      <c r="K4895" s="0" t="n">
        <v>19.6</v>
      </c>
    </row>
    <row r="4896" customFormat="false" ht="15" hidden="false" customHeight="false" outlineLevel="0" collapsed="false">
      <c r="I4896" s="0" t="n">
        <v>2032</v>
      </c>
      <c r="J4896" s="0" t="n">
        <v>0.18</v>
      </c>
      <c r="K4896" s="0" t="n">
        <v>3.92</v>
      </c>
    </row>
    <row r="4897" customFormat="false" ht="15" hidden="false" customHeight="false" outlineLevel="0" collapsed="false">
      <c r="I4897" s="0" t="n">
        <v>2032</v>
      </c>
      <c r="J4897" s="0" t="n">
        <v>0.18</v>
      </c>
      <c r="K4897" s="0" t="n">
        <v>3.92</v>
      </c>
    </row>
    <row r="4898" customFormat="false" ht="15" hidden="false" customHeight="false" outlineLevel="0" collapsed="false">
      <c r="I4898" s="0" t="n">
        <v>2032</v>
      </c>
      <c r="J4898" s="0" t="n">
        <v>0</v>
      </c>
      <c r="K4898" s="0" t="n">
        <v>0</v>
      </c>
    </row>
    <row r="4899" customFormat="false" ht="15" hidden="false" customHeight="false" outlineLevel="0" collapsed="false">
      <c r="I4899" s="0" t="n">
        <v>2032</v>
      </c>
      <c r="J4899" s="0" t="n">
        <v>0.36</v>
      </c>
      <c r="K4899" s="0" t="n">
        <v>7.84</v>
      </c>
    </row>
    <row r="4900" customFormat="false" ht="15" hidden="false" customHeight="false" outlineLevel="0" collapsed="false">
      <c r="I4900" s="0" t="n">
        <v>2032</v>
      </c>
      <c r="J4900" s="0" t="n">
        <v>0.63</v>
      </c>
      <c r="K4900" s="0" t="n">
        <v>13.72</v>
      </c>
    </row>
    <row r="4901" customFormat="false" ht="15" hidden="false" customHeight="false" outlineLevel="0" collapsed="false">
      <c r="I4901" s="0" t="n">
        <v>2032</v>
      </c>
      <c r="J4901" s="0" t="n">
        <v>0.18</v>
      </c>
      <c r="K4901" s="0" t="n">
        <v>3.92</v>
      </c>
    </row>
    <row r="4902" customFormat="false" ht="15" hidden="false" customHeight="false" outlineLevel="0" collapsed="false">
      <c r="I4902" s="0" t="n">
        <v>2032</v>
      </c>
      <c r="J4902" s="0" t="n">
        <v>0.63</v>
      </c>
      <c r="K4902" s="0" t="n">
        <v>13.72</v>
      </c>
    </row>
    <row r="4903" customFormat="false" ht="15" hidden="false" customHeight="false" outlineLevel="0" collapsed="false">
      <c r="I4903" s="0" t="n">
        <v>2032</v>
      </c>
      <c r="J4903" s="0" t="n">
        <v>623.04</v>
      </c>
      <c r="K4903" s="0" t="n">
        <v>13084.32</v>
      </c>
    </row>
    <row r="4904" customFormat="false" ht="15" hidden="false" customHeight="false" outlineLevel="0" collapsed="false">
      <c r="I4904" s="0" t="n">
        <v>2032</v>
      </c>
      <c r="J4904" s="0" t="n">
        <v>207.68</v>
      </c>
      <c r="K4904" s="0" t="n">
        <v>4361.44</v>
      </c>
    </row>
    <row r="4905" customFormat="false" ht="15" hidden="false" customHeight="false" outlineLevel="0" collapsed="false">
      <c r="I4905" s="0" t="n">
        <v>2032</v>
      </c>
      <c r="J4905" s="0" t="n">
        <v>90.86</v>
      </c>
      <c r="K4905" s="0" t="n">
        <v>1908.13</v>
      </c>
    </row>
    <row r="4906" customFormat="false" ht="15" hidden="false" customHeight="false" outlineLevel="0" collapsed="false">
      <c r="I4906" s="0" t="n">
        <v>2032</v>
      </c>
      <c r="J4906" s="0" t="n">
        <v>51.92</v>
      </c>
      <c r="K4906" s="0" t="n">
        <v>1090.36</v>
      </c>
    </row>
    <row r="4907" customFormat="false" ht="15" hidden="false" customHeight="false" outlineLevel="0" collapsed="false">
      <c r="I4907" s="0" t="n">
        <v>2032</v>
      </c>
      <c r="J4907" s="0" t="n">
        <v>51.92</v>
      </c>
      <c r="K4907" s="0" t="n">
        <v>1090.36</v>
      </c>
    </row>
    <row r="4908" customFormat="false" ht="15" hidden="false" customHeight="false" outlineLevel="0" collapsed="false">
      <c r="I4908" s="0" t="n">
        <v>2032</v>
      </c>
      <c r="J4908" s="0" t="n">
        <v>25.96</v>
      </c>
      <c r="K4908" s="0" t="n">
        <v>545.18</v>
      </c>
    </row>
    <row r="4909" customFormat="false" ht="15" hidden="false" customHeight="false" outlineLevel="0" collapsed="false">
      <c r="I4909" s="0" t="n">
        <v>2032</v>
      </c>
      <c r="J4909" s="0" t="n">
        <v>25.96</v>
      </c>
      <c r="K4909" s="0" t="n">
        <v>545.18</v>
      </c>
    </row>
    <row r="4910" customFormat="false" ht="15" hidden="false" customHeight="false" outlineLevel="0" collapsed="false">
      <c r="I4910" s="0" t="n">
        <v>2032</v>
      </c>
      <c r="J4910" s="0" t="n">
        <v>51.92</v>
      </c>
      <c r="K4910" s="0" t="n">
        <v>1090.36</v>
      </c>
    </row>
    <row r="4911" customFormat="false" ht="15" hidden="false" customHeight="false" outlineLevel="0" collapsed="false">
      <c r="I4911" s="0" t="n">
        <v>2032</v>
      </c>
      <c r="J4911" s="0" t="n">
        <v>90.86</v>
      </c>
      <c r="K4911" s="0" t="n">
        <v>1908.13</v>
      </c>
    </row>
    <row r="4912" customFormat="false" ht="15" hidden="false" customHeight="false" outlineLevel="0" collapsed="false">
      <c r="I4912" s="0" t="n">
        <v>2032</v>
      </c>
      <c r="J4912" s="0" t="n">
        <v>38.94</v>
      </c>
      <c r="K4912" s="0" t="n">
        <v>817.77</v>
      </c>
    </row>
    <row r="4913" customFormat="false" ht="15" hidden="false" customHeight="false" outlineLevel="0" collapsed="false">
      <c r="I4913" s="0" t="n">
        <v>2032</v>
      </c>
      <c r="J4913" s="0" t="n">
        <v>38.94</v>
      </c>
      <c r="K4913" s="0" t="n">
        <v>817.77</v>
      </c>
    </row>
    <row r="4914" customFormat="false" ht="15" hidden="false" customHeight="false" outlineLevel="0" collapsed="false">
      <c r="I4914" s="0" t="n">
        <v>2032</v>
      </c>
      <c r="J4914" s="0" t="n">
        <v>61.88</v>
      </c>
      <c r="K4914" s="0" t="n">
        <v>1300.52</v>
      </c>
    </row>
    <row r="4915" customFormat="false" ht="15" hidden="false" customHeight="false" outlineLevel="0" collapsed="false">
      <c r="I4915" s="0" t="n">
        <v>2032</v>
      </c>
      <c r="J4915" s="0" t="n">
        <v>9.52</v>
      </c>
      <c r="K4915" s="0" t="n">
        <v>200.08</v>
      </c>
    </row>
    <row r="4916" customFormat="false" ht="15" hidden="false" customHeight="false" outlineLevel="0" collapsed="false">
      <c r="I4916" s="0" t="n">
        <v>2032</v>
      </c>
      <c r="J4916" s="0" t="n">
        <v>7.14</v>
      </c>
      <c r="K4916" s="0" t="n">
        <v>150.06</v>
      </c>
    </row>
    <row r="4917" customFormat="false" ht="15" hidden="false" customHeight="false" outlineLevel="0" collapsed="false">
      <c r="I4917" s="0" t="n">
        <v>2032</v>
      </c>
      <c r="J4917" s="0" t="n">
        <v>11.9</v>
      </c>
      <c r="K4917" s="0" t="n">
        <v>250.1</v>
      </c>
    </row>
    <row r="4918" customFormat="false" ht="15" hidden="false" customHeight="false" outlineLevel="0" collapsed="false">
      <c r="I4918" s="0" t="n">
        <v>2032</v>
      </c>
      <c r="J4918" s="0" t="n">
        <v>2.38</v>
      </c>
      <c r="K4918" s="0" t="n">
        <v>50.02</v>
      </c>
    </row>
    <row r="4919" customFormat="false" ht="15" hidden="false" customHeight="false" outlineLevel="0" collapsed="false">
      <c r="I4919" s="0" t="n">
        <v>2032</v>
      </c>
      <c r="J4919" s="0" t="n">
        <v>2.38</v>
      </c>
      <c r="K4919" s="0" t="n">
        <v>50.02</v>
      </c>
    </row>
    <row r="4920" customFormat="false" ht="15" hidden="false" customHeight="false" outlineLevel="0" collapsed="false">
      <c r="I4920" s="0" t="n">
        <v>2032</v>
      </c>
      <c r="J4920" s="0" t="n">
        <v>0</v>
      </c>
      <c r="K4920" s="0" t="n">
        <v>0</v>
      </c>
    </row>
    <row r="4921" customFormat="false" ht="15" hidden="false" customHeight="false" outlineLevel="0" collapsed="false">
      <c r="I4921" s="0" t="n">
        <v>2032</v>
      </c>
      <c r="J4921" s="0" t="n">
        <v>4.76</v>
      </c>
      <c r="K4921" s="0" t="n">
        <v>100.04</v>
      </c>
    </row>
    <row r="4922" customFormat="false" ht="15" hidden="false" customHeight="false" outlineLevel="0" collapsed="false">
      <c r="I4922" s="0" t="n">
        <v>2032</v>
      </c>
      <c r="J4922" s="0" t="n">
        <v>8.33</v>
      </c>
      <c r="K4922" s="0" t="n">
        <v>175.07</v>
      </c>
    </row>
    <row r="4923" customFormat="false" ht="15" hidden="false" customHeight="false" outlineLevel="0" collapsed="false">
      <c r="I4923" s="0" t="n">
        <v>2032</v>
      </c>
      <c r="J4923" s="0" t="n">
        <v>2.38</v>
      </c>
      <c r="K4923" s="0" t="n">
        <v>50.02</v>
      </c>
    </row>
    <row r="4924" customFormat="false" ht="15" hidden="false" customHeight="false" outlineLevel="0" collapsed="false">
      <c r="I4924" s="0" t="n">
        <v>2032</v>
      </c>
      <c r="J4924" s="0" t="n">
        <v>8.33</v>
      </c>
      <c r="K4924" s="0" t="n">
        <v>175.07</v>
      </c>
    </row>
    <row r="4925" customFormat="false" ht="15" hidden="false" customHeight="false" outlineLevel="0" collapsed="false">
      <c r="I4925" s="0" t="n">
        <v>2032</v>
      </c>
      <c r="J4925" s="0" t="n">
        <v>458.4</v>
      </c>
      <c r="K4925" s="0" t="n">
        <v>9623.04</v>
      </c>
    </row>
    <row r="4926" customFormat="false" ht="15" hidden="false" customHeight="false" outlineLevel="0" collapsed="false">
      <c r="I4926" s="0" t="n">
        <v>2032</v>
      </c>
      <c r="J4926" s="0" t="n">
        <v>152.8</v>
      </c>
      <c r="K4926" s="0" t="n">
        <v>3207.68</v>
      </c>
    </row>
    <row r="4927" customFormat="false" ht="15" hidden="false" customHeight="false" outlineLevel="0" collapsed="false">
      <c r="I4927" s="0" t="n">
        <v>2032</v>
      </c>
      <c r="J4927" s="0" t="n">
        <v>66.85</v>
      </c>
      <c r="K4927" s="0" t="n">
        <v>1403.36</v>
      </c>
    </row>
    <row r="4928" customFormat="false" ht="15" hidden="false" customHeight="false" outlineLevel="0" collapsed="false">
      <c r="I4928" s="0" t="n">
        <v>2032</v>
      </c>
      <c r="J4928" s="0" t="n">
        <v>38.2</v>
      </c>
      <c r="K4928" s="0" t="n">
        <v>801.92</v>
      </c>
    </row>
    <row r="4929" customFormat="false" ht="15" hidden="false" customHeight="false" outlineLevel="0" collapsed="false">
      <c r="I4929" s="0" t="n">
        <v>2032</v>
      </c>
      <c r="J4929" s="0" t="n">
        <v>38.2</v>
      </c>
      <c r="K4929" s="0" t="n">
        <v>801.92</v>
      </c>
    </row>
    <row r="4930" customFormat="false" ht="15" hidden="false" customHeight="false" outlineLevel="0" collapsed="false">
      <c r="I4930" s="0" t="n">
        <v>2032</v>
      </c>
      <c r="J4930" s="0" t="n">
        <v>19.1</v>
      </c>
      <c r="K4930" s="0" t="n">
        <v>400.96</v>
      </c>
    </row>
    <row r="4931" customFormat="false" ht="15" hidden="false" customHeight="false" outlineLevel="0" collapsed="false">
      <c r="I4931" s="0" t="n">
        <v>2032</v>
      </c>
      <c r="J4931" s="0" t="n">
        <v>19.1</v>
      </c>
      <c r="K4931" s="0" t="n">
        <v>400.96</v>
      </c>
    </row>
    <row r="4932" customFormat="false" ht="15" hidden="false" customHeight="false" outlineLevel="0" collapsed="false">
      <c r="I4932" s="0" t="n">
        <v>2032</v>
      </c>
      <c r="J4932" s="0" t="n">
        <v>38.2</v>
      </c>
      <c r="K4932" s="0" t="n">
        <v>801.92</v>
      </c>
    </row>
    <row r="4933" customFormat="false" ht="15" hidden="false" customHeight="false" outlineLevel="0" collapsed="false">
      <c r="I4933" s="0" t="n">
        <v>2032</v>
      </c>
      <c r="J4933" s="0" t="n">
        <v>66.85</v>
      </c>
      <c r="K4933" s="0" t="n">
        <v>1403.36</v>
      </c>
    </row>
    <row r="4934" customFormat="false" ht="15" hidden="false" customHeight="false" outlineLevel="0" collapsed="false">
      <c r="I4934" s="0" t="n">
        <v>2032</v>
      </c>
      <c r="J4934" s="0" t="n">
        <v>28.65</v>
      </c>
      <c r="K4934" s="0" t="n">
        <v>601.44</v>
      </c>
    </row>
    <row r="4935" customFormat="false" ht="15" hidden="false" customHeight="false" outlineLevel="0" collapsed="false">
      <c r="I4935" s="0" t="n">
        <v>2032</v>
      </c>
      <c r="J4935" s="0" t="n">
        <v>28.65</v>
      </c>
      <c r="K4935" s="0" t="n">
        <v>601.44</v>
      </c>
    </row>
    <row r="4936" customFormat="false" ht="15" hidden="false" customHeight="false" outlineLevel="0" collapsed="false">
      <c r="I4936" s="0" t="n">
        <v>2032</v>
      </c>
      <c r="J4936" s="0" t="n">
        <v>60.32</v>
      </c>
      <c r="K4936" s="0" t="n">
        <v>1267.24</v>
      </c>
    </row>
    <row r="4937" customFormat="false" ht="15" hidden="false" customHeight="false" outlineLevel="0" collapsed="false">
      <c r="I4937" s="0" t="n">
        <v>2032</v>
      </c>
      <c r="J4937" s="0" t="n">
        <v>9.28</v>
      </c>
      <c r="K4937" s="0" t="n">
        <v>194.96</v>
      </c>
    </row>
    <row r="4938" customFormat="false" ht="15" hidden="false" customHeight="false" outlineLevel="0" collapsed="false">
      <c r="I4938" s="0" t="n">
        <v>2032</v>
      </c>
      <c r="J4938" s="0" t="n">
        <v>6.96</v>
      </c>
      <c r="K4938" s="0" t="n">
        <v>146.22</v>
      </c>
    </row>
    <row r="4939" customFormat="false" ht="15" hidden="false" customHeight="false" outlineLevel="0" collapsed="false">
      <c r="I4939" s="0" t="n">
        <v>2032</v>
      </c>
      <c r="J4939" s="0" t="n">
        <v>11.6</v>
      </c>
      <c r="K4939" s="0" t="n">
        <v>243.7</v>
      </c>
    </row>
    <row r="4940" customFormat="false" ht="15" hidden="false" customHeight="false" outlineLevel="0" collapsed="false">
      <c r="I4940" s="0" t="n">
        <v>2032</v>
      </c>
      <c r="J4940" s="0" t="n">
        <v>2.32</v>
      </c>
      <c r="K4940" s="0" t="n">
        <v>48.74</v>
      </c>
    </row>
    <row r="4941" customFormat="false" ht="15" hidden="false" customHeight="false" outlineLevel="0" collapsed="false">
      <c r="I4941" s="0" t="n">
        <v>2032</v>
      </c>
      <c r="J4941" s="0" t="n">
        <v>2.32</v>
      </c>
      <c r="K4941" s="0" t="n">
        <v>48.74</v>
      </c>
    </row>
    <row r="4942" customFormat="false" ht="15" hidden="false" customHeight="false" outlineLevel="0" collapsed="false">
      <c r="I4942" s="0" t="n">
        <v>2032</v>
      </c>
      <c r="J4942" s="0" t="n">
        <v>0</v>
      </c>
      <c r="K4942" s="0" t="n">
        <v>0</v>
      </c>
    </row>
    <row r="4943" customFormat="false" ht="15" hidden="false" customHeight="false" outlineLevel="0" collapsed="false">
      <c r="I4943" s="0" t="n">
        <v>2032</v>
      </c>
      <c r="J4943" s="0" t="n">
        <v>4.64</v>
      </c>
      <c r="K4943" s="0" t="n">
        <v>97.48</v>
      </c>
    </row>
    <row r="4944" customFormat="false" ht="15" hidden="false" customHeight="false" outlineLevel="0" collapsed="false">
      <c r="I4944" s="0" t="n">
        <v>2032</v>
      </c>
      <c r="J4944" s="0" t="n">
        <v>8.12</v>
      </c>
      <c r="K4944" s="0" t="n">
        <v>170.59</v>
      </c>
    </row>
    <row r="4945" customFormat="false" ht="15" hidden="false" customHeight="false" outlineLevel="0" collapsed="false">
      <c r="I4945" s="0" t="n">
        <v>2032</v>
      </c>
      <c r="J4945" s="0" t="n">
        <v>2.32</v>
      </c>
      <c r="K4945" s="0" t="n">
        <v>48.74</v>
      </c>
    </row>
    <row r="4946" customFormat="false" ht="15" hidden="false" customHeight="false" outlineLevel="0" collapsed="false">
      <c r="I4946" s="0" t="n">
        <v>2032</v>
      </c>
      <c r="J4946" s="0" t="n">
        <v>8.12</v>
      </c>
      <c r="K4946" s="0" t="n">
        <v>170.59</v>
      </c>
    </row>
    <row r="4947" customFormat="false" ht="15" hidden="false" customHeight="false" outlineLevel="0" collapsed="false">
      <c r="I4947" s="0" t="n">
        <v>2032</v>
      </c>
      <c r="J4947" s="0" t="n">
        <v>121.92</v>
      </c>
      <c r="K4947" s="0" t="n">
        <v>2562.24</v>
      </c>
    </row>
    <row r="4948" customFormat="false" ht="15" hidden="false" customHeight="false" outlineLevel="0" collapsed="false">
      <c r="I4948" s="0" t="n">
        <v>2032</v>
      </c>
      <c r="J4948" s="0" t="n">
        <v>40.64</v>
      </c>
      <c r="K4948" s="0" t="n">
        <v>854.08</v>
      </c>
    </row>
    <row r="4949" customFormat="false" ht="15" hidden="false" customHeight="false" outlineLevel="0" collapsed="false">
      <c r="I4949" s="0" t="n">
        <v>2032</v>
      </c>
      <c r="J4949" s="0" t="n">
        <v>17.78</v>
      </c>
      <c r="K4949" s="0" t="n">
        <v>373.66</v>
      </c>
    </row>
    <row r="4950" customFormat="false" ht="15" hidden="false" customHeight="false" outlineLevel="0" collapsed="false">
      <c r="I4950" s="0" t="n">
        <v>2032</v>
      </c>
      <c r="J4950" s="0" t="n">
        <v>10.16</v>
      </c>
      <c r="K4950" s="0" t="n">
        <v>213.52</v>
      </c>
    </row>
    <row r="4951" customFormat="false" ht="15" hidden="false" customHeight="false" outlineLevel="0" collapsed="false">
      <c r="I4951" s="0" t="n">
        <v>2032</v>
      </c>
      <c r="J4951" s="0" t="n">
        <v>10.16</v>
      </c>
      <c r="K4951" s="0" t="n">
        <v>213.52</v>
      </c>
    </row>
    <row r="4952" customFormat="false" ht="15" hidden="false" customHeight="false" outlineLevel="0" collapsed="false">
      <c r="I4952" s="0" t="n">
        <v>2032</v>
      </c>
      <c r="J4952" s="0" t="n">
        <v>5.08</v>
      </c>
      <c r="K4952" s="0" t="n">
        <v>106.76</v>
      </c>
    </row>
    <row r="4953" customFormat="false" ht="15" hidden="false" customHeight="false" outlineLevel="0" collapsed="false">
      <c r="I4953" s="0" t="n">
        <v>2032</v>
      </c>
      <c r="J4953" s="0" t="n">
        <v>5.08</v>
      </c>
      <c r="K4953" s="0" t="n">
        <v>106.76</v>
      </c>
    </row>
    <row r="4954" customFormat="false" ht="15" hidden="false" customHeight="false" outlineLevel="0" collapsed="false">
      <c r="I4954" s="0" t="n">
        <v>2032</v>
      </c>
      <c r="J4954" s="0" t="n">
        <v>10.16</v>
      </c>
      <c r="K4954" s="0" t="n">
        <v>213.52</v>
      </c>
    </row>
    <row r="4955" customFormat="false" ht="15" hidden="false" customHeight="false" outlineLevel="0" collapsed="false">
      <c r="I4955" s="0" t="n">
        <v>2032</v>
      </c>
      <c r="J4955" s="0" t="n">
        <v>17.78</v>
      </c>
      <c r="K4955" s="0" t="n">
        <v>373.66</v>
      </c>
    </row>
    <row r="4956" customFormat="false" ht="15" hidden="false" customHeight="false" outlineLevel="0" collapsed="false">
      <c r="I4956" s="0" t="n">
        <v>2032</v>
      </c>
      <c r="J4956" s="0" t="n">
        <v>7.62</v>
      </c>
      <c r="K4956" s="0" t="n">
        <v>160.14</v>
      </c>
    </row>
    <row r="4957" customFormat="false" ht="15" hidden="false" customHeight="false" outlineLevel="0" collapsed="false">
      <c r="I4957" s="0" t="n">
        <v>2032</v>
      </c>
      <c r="J4957" s="0" t="n">
        <v>7.62</v>
      </c>
      <c r="K4957" s="0" t="n">
        <v>160.14</v>
      </c>
    </row>
    <row r="4958" customFormat="false" ht="15" hidden="false" customHeight="false" outlineLevel="0" collapsed="false">
      <c r="I4958" s="0" t="n">
        <v>2032</v>
      </c>
      <c r="J4958" s="0" t="n">
        <v>34.32</v>
      </c>
      <c r="K4958" s="0" t="n">
        <v>720.72</v>
      </c>
    </row>
    <row r="4959" customFormat="false" ht="15" hidden="false" customHeight="false" outlineLevel="0" collapsed="false">
      <c r="I4959" s="0" t="n">
        <v>2032</v>
      </c>
      <c r="J4959" s="0" t="n">
        <v>5.28</v>
      </c>
      <c r="K4959" s="0" t="n">
        <v>110.88</v>
      </c>
    </row>
    <row r="4960" customFormat="false" ht="15" hidden="false" customHeight="false" outlineLevel="0" collapsed="false">
      <c r="I4960" s="0" t="n">
        <v>2032</v>
      </c>
      <c r="J4960" s="0" t="n">
        <v>3.96</v>
      </c>
      <c r="K4960" s="0" t="n">
        <v>83.16</v>
      </c>
    </row>
    <row r="4961" customFormat="false" ht="15" hidden="false" customHeight="false" outlineLevel="0" collapsed="false">
      <c r="I4961" s="0" t="n">
        <v>2032</v>
      </c>
      <c r="J4961" s="0" t="n">
        <v>6.6</v>
      </c>
      <c r="K4961" s="0" t="n">
        <v>138.6</v>
      </c>
    </row>
    <row r="4962" customFormat="false" ht="15" hidden="false" customHeight="false" outlineLevel="0" collapsed="false">
      <c r="I4962" s="0" t="n">
        <v>2032</v>
      </c>
      <c r="J4962" s="0" t="n">
        <v>1.32</v>
      </c>
      <c r="K4962" s="0" t="n">
        <v>27.72</v>
      </c>
    </row>
    <row r="4963" customFormat="false" ht="15" hidden="false" customHeight="false" outlineLevel="0" collapsed="false">
      <c r="I4963" s="0" t="n">
        <v>2032</v>
      </c>
      <c r="J4963" s="0" t="n">
        <v>1.32</v>
      </c>
      <c r="K4963" s="0" t="n">
        <v>27.72</v>
      </c>
    </row>
    <row r="4964" customFormat="false" ht="15" hidden="false" customHeight="false" outlineLevel="0" collapsed="false">
      <c r="I4964" s="0" t="n">
        <v>2032</v>
      </c>
      <c r="J4964" s="0" t="n">
        <v>0</v>
      </c>
      <c r="K4964" s="0" t="n">
        <v>0</v>
      </c>
    </row>
    <row r="4965" customFormat="false" ht="15" hidden="false" customHeight="false" outlineLevel="0" collapsed="false">
      <c r="I4965" s="0" t="n">
        <v>2032</v>
      </c>
      <c r="J4965" s="0" t="n">
        <v>2.64</v>
      </c>
      <c r="K4965" s="0" t="n">
        <v>55.44</v>
      </c>
    </row>
    <row r="4966" customFormat="false" ht="15" hidden="false" customHeight="false" outlineLevel="0" collapsed="false">
      <c r="I4966" s="0" t="n">
        <v>2032</v>
      </c>
      <c r="J4966" s="0" t="n">
        <v>4.62</v>
      </c>
      <c r="K4966" s="0" t="n">
        <v>97.02</v>
      </c>
    </row>
    <row r="4967" customFormat="false" ht="15" hidden="false" customHeight="false" outlineLevel="0" collapsed="false">
      <c r="I4967" s="0" t="n">
        <v>2032</v>
      </c>
      <c r="J4967" s="0" t="n">
        <v>1.32</v>
      </c>
      <c r="K4967" s="0" t="n">
        <v>27.72</v>
      </c>
    </row>
    <row r="4968" customFormat="false" ht="15" hidden="false" customHeight="false" outlineLevel="0" collapsed="false">
      <c r="I4968" s="0" t="n">
        <v>2032</v>
      </c>
      <c r="J4968" s="0" t="n">
        <v>4.62</v>
      </c>
      <c r="K4968" s="0" t="n">
        <v>97.02</v>
      </c>
    </row>
    <row r="4969" customFormat="false" ht="15" hidden="false" customHeight="false" outlineLevel="0" collapsed="false">
      <c r="I4969" s="0" t="n">
        <v>2032</v>
      </c>
      <c r="J4969" s="0" t="n">
        <v>863.04</v>
      </c>
      <c r="K4969" s="0" t="n">
        <v>18121.92</v>
      </c>
    </row>
    <row r="4970" customFormat="false" ht="15" hidden="false" customHeight="false" outlineLevel="0" collapsed="false">
      <c r="I4970" s="0" t="n">
        <v>2032</v>
      </c>
      <c r="J4970" s="0" t="n">
        <v>287.68</v>
      </c>
      <c r="K4970" s="0" t="n">
        <v>6040.64</v>
      </c>
    </row>
    <row r="4971" customFormat="false" ht="15" hidden="false" customHeight="false" outlineLevel="0" collapsed="false">
      <c r="I4971" s="0" t="n">
        <v>2032</v>
      </c>
      <c r="J4971" s="0" t="n">
        <v>125.86</v>
      </c>
      <c r="K4971" s="0" t="n">
        <v>2642.78</v>
      </c>
    </row>
    <row r="4972" customFormat="false" ht="15" hidden="false" customHeight="false" outlineLevel="0" collapsed="false">
      <c r="I4972" s="0" t="n">
        <v>2032</v>
      </c>
      <c r="J4972" s="0" t="n">
        <v>71.92</v>
      </c>
      <c r="K4972" s="0" t="n">
        <v>1510.16</v>
      </c>
    </row>
    <row r="4973" customFormat="false" ht="15" hidden="false" customHeight="false" outlineLevel="0" collapsed="false">
      <c r="I4973" s="0" t="n">
        <v>2032</v>
      </c>
      <c r="J4973" s="0" t="n">
        <v>71.92</v>
      </c>
      <c r="K4973" s="0" t="n">
        <v>1510.16</v>
      </c>
    </row>
    <row r="4974" customFormat="false" ht="15" hidden="false" customHeight="false" outlineLevel="0" collapsed="false">
      <c r="I4974" s="0" t="n">
        <v>2032</v>
      </c>
      <c r="J4974" s="0" t="n">
        <v>35.96</v>
      </c>
      <c r="K4974" s="0" t="n">
        <v>755.08</v>
      </c>
    </row>
    <row r="4975" customFormat="false" ht="15" hidden="false" customHeight="false" outlineLevel="0" collapsed="false">
      <c r="I4975" s="0" t="n">
        <v>2032</v>
      </c>
      <c r="J4975" s="0" t="n">
        <v>35.96</v>
      </c>
      <c r="K4975" s="0" t="n">
        <v>755.08</v>
      </c>
    </row>
    <row r="4976" customFormat="false" ht="15" hidden="false" customHeight="false" outlineLevel="0" collapsed="false">
      <c r="I4976" s="0" t="n">
        <v>2032</v>
      </c>
      <c r="J4976" s="0" t="n">
        <v>71.92</v>
      </c>
      <c r="K4976" s="0" t="n">
        <v>1510.16</v>
      </c>
    </row>
    <row r="4977" customFormat="false" ht="15" hidden="false" customHeight="false" outlineLevel="0" collapsed="false">
      <c r="I4977" s="0" t="n">
        <v>2032</v>
      </c>
      <c r="J4977" s="0" t="n">
        <v>125.86</v>
      </c>
      <c r="K4977" s="0" t="n">
        <v>2642.78</v>
      </c>
    </row>
    <row r="4978" customFormat="false" ht="15" hidden="false" customHeight="false" outlineLevel="0" collapsed="false">
      <c r="I4978" s="0" t="n">
        <v>2032</v>
      </c>
      <c r="J4978" s="0" t="n">
        <v>53.94</v>
      </c>
      <c r="K4978" s="0" t="n">
        <v>1132.62</v>
      </c>
    </row>
    <row r="4979" customFormat="false" ht="15" hidden="false" customHeight="false" outlineLevel="0" collapsed="false">
      <c r="I4979" s="0" t="n">
        <v>2032</v>
      </c>
      <c r="J4979" s="0" t="n">
        <v>53.94</v>
      </c>
      <c r="K4979" s="0" t="n">
        <v>1132.62</v>
      </c>
    </row>
    <row r="4980" customFormat="false" ht="15" hidden="false" customHeight="false" outlineLevel="0" collapsed="false">
      <c r="I4980" s="0" t="n">
        <v>2032</v>
      </c>
      <c r="J4980" s="0" t="n">
        <v>212.16</v>
      </c>
      <c r="K4980" s="0" t="n">
        <v>4459</v>
      </c>
    </row>
    <row r="4981" customFormat="false" ht="15" hidden="false" customHeight="false" outlineLevel="0" collapsed="false">
      <c r="I4981" s="0" t="n">
        <v>2032</v>
      </c>
      <c r="J4981" s="0" t="n">
        <v>32.64</v>
      </c>
      <c r="K4981" s="0" t="n">
        <v>686</v>
      </c>
    </row>
    <row r="4982" customFormat="false" ht="15" hidden="false" customHeight="false" outlineLevel="0" collapsed="false">
      <c r="I4982" s="0" t="n">
        <v>2032</v>
      </c>
      <c r="J4982" s="0" t="n">
        <v>24.48</v>
      </c>
      <c r="K4982" s="0" t="n">
        <v>514.5</v>
      </c>
    </row>
    <row r="4983" customFormat="false" ht="15" hidden="false" customHeight="false" outlineLevel="0" collapsed="false">
      <c r="I4983" s="0" t="n">
        <v>2032</v>
      </c>
      <c r="J4983" s="0" t="n">
        <v>40.8</v>
      </c>
      <c r="K4983" s="0" t="n">
        <v>857.5</v>
      </c>
    </row>
    <row r="4984" customFormat="false" ht="15" hidden="false" customHeight="false" outlineLevel="0" collapsed="false">
      <c r="I4984" s="0" t="n">
        <v>2032</v>
      </c>
      <c r="J4984" s="0" t="n">
        <v>8.16</v>
      </c>
      <c r="K4984" s="0" t="n">
        <v>171.5</v>
      </c>
    </row>
    <row r="4985" customFormat="false" ht="15" hidden="false" customHeight="false" outlineLevel="0" collapsed="false">
      <c r="I4985" s="0" t="n">
        <v>2032</v>
      </c>
      <c r="J4985" s="0" t="n">
        <v>8.16</v>
      </c>
      <c r="K4985" s="0" t="n">
        <v>171.5</v>
      </c>
    </row>
    <row r="4986" customFormat="false" ht="15" hidden="false" customHeight="false" outlineLevel="0" collapsed="false">
      <c r="I4986" s="0" t="n">
        <v>2032</v>
      </c>
      <c r="J4986" s="0" t="n">
        <v>0</v>
      </c>
      <c r="K4986" s="0" t="n">
        <v>0</v>
      </c>
    </row>
    <row r="4987" customFormat="false" ht="15" hidden="false" customHeight="false" outlineLevel="0" collapsed="false">
      <c r="I4987" s="0" t="n">
        <v>2032</v>
      </c>
      <c r="J4987" s="0" t="n">
        <v>16.32</v>
      </c>
      <c r="K4987" s="0" t="n">
        <v>343</v>
      </c>
    </row>
    <row r="4988" customFormat="false" ht="15" hidden="false" customHeight="false" outlineLevel="0" collapsed="false">
      <c r="I4988" s="0" t="n">
        <v>2032</v>
      </c>
      <c r="J4988" s="0" t="n">
        <v>28.56</v>
      </c>
      <c r="K4988" s="0" t="n">
        <v>600.25</v>
      </c>
    </row>
    <row r="4989" customFormat="false" ht="15" hidden="false" customHeight="false" outlineLevel="0" collapsed="false">
      <c r="I4989" s="0" t="n">
        <v>2032</v>
      </c>
      <c r="J4989" s="0" t="n">
        <v>8.16</v>
      </c>
      <c r="K4989" s="0" t="n">
        <v>171.5</v>
      </c>
    </row>
    <row r="4990" customFormat="false" ht="15" hidden="false" customHeight="false" outlineLevel="0" collapsed="false">
      <c r="I4990" s="0" t="n">
        <v>2032</v>
      </c>
      <c r="J4990" s="0" t="n">
        <v>28.56</v>
      </c>
      <c r="K4990" s="0" t="n">
        <v>600.25</v>
      </c>
    </row>
    <row r="4991" customFormat="false" ht="15" hidden="false" customHeight="false" outlineLevel="0" collapsed="false">
      <c r="I4991" s="0" t="n">
        <v>2032</v>
      </c>
      <c r="J4991" s="0" t="n">
        <v>443.52</v>
      </c>
      <c r="K4991" s="0" t="n">
        <v>9316.8</v>
      </c>
    </row>
    <row r="4992" customFormat="false" ht="15" hidden="false" customHeight="false" outlineLevel="0" collapsed="false">
      <c r="I4992" s="0" t="n">
        <v>2032</v>
      </c>
      <c r="J4992" s="0" t="n">
        <v>147.84</v>
      </c>
      <c r="K4992" s="0" t="n">
        <v>3105.6</v>
      </c>
    </row>
    <row r="4993" customFormat="false" ht="15" hidden="false" customHeight="false" outlineLevel="0" collapsed="false">
      <c r="I4993" s="0" t="n">
        <v>2032</v>
      </c>
      <c r="J4993" s="0" t="n">
        <v>64.68</v>
      </c>
      <c r="K4993" s="0" t="n">
        <v>1358.7</v>
      </c>
    </row>
    <row r="4994" customFormat="false" ht="15" hidden="false" customHeight="false" outlineLevel="0" collapsed="false">
      <c r="I4994" s="0" t="n">
        <v>2032</v>
      </c>
      <c r="J4994" s="0" t="n">
        <v>36.96</v>
      </c>
      <c r="K4994" s="0" t="n">
        <v>776.4</v>
      </c>
    </row>
    <row r="4995" customFormat="false" ht="15" hidden="false" customHeight="false" outlineLevel="0" collapsed="false">
      <c r="I4995" s="0" t="n">
        <v>2032</v>
      </c>
      <c r="J4995" s="0" t="n">
        <v>36.96</v>
      </c>
      <c r="K4995" s="0" t="n">
        <v>776.4</v>
      </c>
    </row>
    <row r="4996" customFormat="false" ht="15" hidden="false" customHeight="false" outlineLevel="0" collapsed="false">
      <c r="I4996" s="0" t="n">
        <v>2032</v>
      </c>
      <c r="J4996" s="0" t="n">
        <v>18.48</v>
      </c>
      <c r="K4996" s="0" t="n">
        <v>388.2</v>
      </c>
    </row>
    <row r="4997" customFormat="false" ht="15" hidden="false" customHeight="false" outlineLevel="0" collapsed="false">
      <c r="I4997" s="0" t="n">
        <v>2032</v>
      </c>
      <c r="J4997" s="0" t="n">
        <v>18.48</v>
      </c>
      <c r="K4997" s="0" t="n">
        <v>388.2</v>
      </c>
    </row>
    <row r="4998" customFormat="false" ht="15" hidden="false" customHeight="false" outlineLevel="0" collapsed="false">
      <c r="I4998" s="0" t="n">
        <v>2032</v>
      </c>
      <c r="J4998" s="0" t="n">
        <v>36.96</v>
      </c>
      <c r="K4998" s="0" t="n">
        <v>776.4</v>
      </c>
    </row>
    <row r="4999" customFormat="false" ht="15" hidden="false" customHeight="false" outlineLevel="0" collapsed="false">
      <c r="I4999" s="0" t="n">
        <v>2032</v>
      </c>
      <c r="J4999" s="0" t="n">
        <v>64.68</v>
      </c>
      <c r="K4999" s="0" t="n">
        <v>1358.7</v>
      </c>
    </row>
    <row r="5000" customFormat="false" ht="15" hidden="false" customHeight="false" outlineLevel="0" collapsed="false">
      <c r="I5000" s="0" t="n">
        <v>2032</v>
      </c>
      <c r="J5000" s="0" t="n">
        <v>27.72</v>
      </c>
      <c r="K5000" s="0" t="n">
        <v>582.3</v>
      </c>
    </row>
    <row r="5001" customFormat="false" ht="15" hidden="false" customHeight="false" outlineLevel="0" collapsed="false">
      <c r="I5001" s="0" t="n">
        <v>2032</v>
      </c>
      <c r="J5001" s="0" t="n">
        <v>27.72</v>
      </c>
      <c r="K5001" s="0" t="n">
        <v>582.3</v>
      </c>
    </row>
    <row r="5002" customFormat="false" ht="15" hidden="false" customHeight="false" outlineLevel="0" collapsed="false">
      <c r="I5002" s="0" t="n">
        <v>2032</v>
      </c>
      <c r="J5002" s="0" t="n">
        <v>217.88</v>
      </c>
      <c r="K5002" s="0" t="n">
        <v>4577.56</v>
      </c>
    </row>
    <row r="5003" customFormat="false" ht="15" hidden="false" customHeight="false" outlineLevel="0" collapsed="false">
      <c r="I5003" s="0" t="n">
        <v>2032</v>
      </c>
      <c r="J5003" s="0" t="n">
        <v>33.52</v>
      </c>
      <c r="K5003" s="0" t="n">
        <v>704.24</v>
      </c>
    </row>
    <row r="5004" customFormat="false" ht="15" hidden="false" customHeight="false" outlineLevel="0" collapsed="false">
      <c r="I5004" s="0" t="n">
        <v>2032</v>
      </c>
      <c r="J5004" s="0" t="n">
        <v>25.14</v>
      </c>
      <c r="K5004" s="0" t="n">
        <v>528.18</v>
      </c>
    </row>
    <row r="5005" customFormat="false" ht="15" hidden="false" customHeight="false" outlineLevel="0" collapsed="false">
      <c r="I5005" s="0" t="n">
        <v>2032</v>
      </c>
      <c r="J5005" s="0" t="n">
        <v>41.9</v>
      </c>
      <c r="K5005" s="0" t="n">
        <v>880.3</v>
      </c>
    </row>
    <row r="5006" customFormat="false" ht="15" hidden="false" customHeight="false" outlineLevel="0" collapsed="false">
      <c r="I5006" s="0" t="n">
        <v>2032</v>
      </c>
      <c r="J5006" s="0" t="n">
        <v>8.38</v>
      </c>
      <c r="K5006" s="0" t="n">
        <v>176.06</v>
      </c>
    </row>
    <row r="5007" customFormat="false" ht="15" hidden="false" customHeight="false" outlineLevel="0" collapsed="false">
      <c r="I5007" s="0" t="n">
        <v>2032</v>
      </c>
      <c r="J5007" s="0" t="n">
        <v>8.38</v>
      </c>
      <c r="K5007" s="0" t="n">
        <v>176.06</v>
      </c>
    </row>
    <row r="5008" customFormat="false" ht="15" hidden="false" customHeight="false" outlineLevel="0" collapsed="false">
      <c r="I5008" s="0" t="n">
        <v>2032</v>
      </c>
      <c r="J5008" s="0" t="n">
        <v>0</v>
      </c>
      <c r="K5008" s="0" t="n">
        <v>0</v>
      </c>
    </row>
    <row r="5009" customFormat="false" ht="15" hidden="false" customHeight="false" outlineLevel="0" collapsed="false">
      <c r="I5009" s="0" t="n">
        <v>2032</v>
      </c>
      <c r="J5009" s="0" t="n">
        <v>16.76</v>
      </c>
      <c r="K5009" s="0" t="n">
        <v>352.12</v>
      </c>
    </row>
    <row r="5010" customFormat="false" ht="15" hidden="false" customHeight="false" outlineLevel="0" collapsed="false">
      <c r="I5010" s="0" t="n">
        <v>2032</v>
      </c>
      <c r="J5010" s="0" t="n">
        <v>29.33</v>
      </c>
      <c r="K5010" s="0" t="n">
        <v>616.21</v>
      </c>
    </row>
    <row r="5011" customFormat="false" ht="15" hidden="false" customHeight="false" outlineLevel="0" collapsed="false">
      <c r="I5011" s="0" t="n">
        <v>2032</v>
      </c>
      <c r="J5011" s="0" t="n">
        <v>8.38</v>
      </c>
      <c r="K5011" s="0" t="n">
        <v>176.06</v>
      </c>
    </row>
    <row r="5012" customFormat="false" ht="15" hidden="false" customHeight="false" outlineLevel="0" collapsed="false">
      <c r="I5012" s="0" t="n">
        <v>2032</v>
      </c>
      <c r="J5012" s="0" t="n">
        <v>29.33</v>
      </c>
      <c r="K5012" s="0" t="n">
        <v>616.21</v>
      </c>
    </row>
    <row r="5013" customFormat="false" ht="15" hidden="false" customHeight="false" outlineLevel="0" collapsed="false">
      <c r="I5013" s="0" t="n">
        <v>2032</v>
      </c>
      <c r="J5013" s="0" t="n">
        <v>350.88</v>
      </c>
      <c r="K5013" s="0" t="n">
        <v>7371.36</v>
      </c>
    </row>
    <row r="5014" customFormat="false" ht="15" hidden="false" customHeight="false" outlineLevel="0" collapsed="false">
      <c r="I5014" s="0" t="n">
        <v>2032</v>
      </c>
      <c r="J5014" s="0" t="n">
        <v>116.96</v>
      </c>
      <c r="K5014" s="0" t="n">
        <v>2457.12</v>
      </c>
    </row>
    <row r="5015" customFormat="false" ht="15" hidden="false" customHeight="false" outlineLevel="0" collapsed="false">
      <c r="I5015" s="0" t="n">
        <v>2032</v>
      </c>
      <c r="J5015" s="0" t="n">
        <v>51.17</v>
      </c>
      <c r="K5015" s="0" t="n">
        <v>1074.99</v>
      </c>
    </row>
    <row r="5016" customFormat="false" ht="15" hidden="false" customHeight="false" outlineLevel="0" collapsed="false">
      <c r="I5016" s="0" t="n">
        <v>2032</v>
      </c>
      <c r="J5016" s="0" t="n">
        <v>29.24</v>
      </c>
      <c r="K5016" s="0" t="n">
        <v>614.28</v>
      </c>
    </row>
    <row r="5017" customFormat="false" ht="15" hidden="false" customHeight="false" outlineLevel="0" collapsed="false">
      <c r="I5017" s="0" t="n">
        <v>2032</v>
      </c>
      <c r="J5017" s="0" t="n">
        <v>29.24</v>
      </c>
      <c r="K5017" s="0" t="n">
        <v>614.28</v>
      </c>
    </row>
    <row r="5018" customFormat="false" ht="15" hidden="false" customHeight="false" outlineLevel="0" collapsed="false">
      <c r="I5018" s="0" t="n">
        <v>2032</v>
      </c>
      <c r="J5018" s="0" t="n">
        <v>14.62</v>
      </c>
      <c r="K5018" s="0" t="n">
        <v>307.14</v>
      </c>
    </row>
    <row r="5019" customFormat="false" ht="15" hidden="false" customHeight="false" outlineLevel="0" collapsed="false">
      <c r="I5019" s="0" t="n">
        <v>2032</v>
      </c>
      <c r="J5019" s="0" t="n">
        <v>14.62</v>
      </c>
      <c r="K5019" s="0" t="n">
        <v>307.14</v>
      </c>
    </row>
    <row r="5020" customFormat="false" ht="15" hidden="false" customHeight="false" outlineLevel="0" collapsed="false">
      <c r="I5020" s="0" t="n">
        <v>2032</v>
      </c>
      <c r="J5020" s="0" t="n">
        <v>29.24</v>
      </c>
      <c r="K5020" s="0" t="n">
        <v>614.28</v>
      </c>
    </row>
    <row r="5021" customFormat="false" ht="15" hidden="false" customHeight="false" outlineLevel="0" collapsed="false">
      <c r="I5021" s="0" t="n">
        <v>2032</v>
      </c>
      <c r="J5021" s="0" t="n">
        <v>51.17</v>
      </c>
      <c r="K5021" s="0" t="n">
        <v>1074.99</v>
      </c>
    </row>
    <row r="5022" customFormat="false" ht="15" hidden="false" customHeight="false" outlineLevel="0" collapsed="false">
      <c r="I5022" s="0" t="n">
        <v>2032</v>
      </c>
      <c r="J5022" s="0" t="n">
        <v>21.93</v>
      </c>
      <c r="K5022" s="0" t="n">
        <v>460.71</v>
      </c>
    </row>
    <row r="5023" customFormat="false" ht="15" hidden="false" customHeight="false" outlineLevel="0" collapsed="false">
      <c r="I5023" s="0" t="n">
        <v>2032</v>
      </c>
      <c r="J5023" s="0" t="n">
        <v>21.93</v>
      </c>
      <c r="K5023" s="0" t="n">
        <v>460.71</v>
      </c>
    </row>
    <row r="5024" customFormat="false" ht="15" hidden="false" customHeight="false" outlineLevel="0" collapsed="false">
      <c r="I5024" s="0" t="n">
        <v>2032</v>
      </c>
      <c r="J5024" s="0" t="n">
        <v>605.28</v>
      </c>
      <c r="K5024" s="0" t="n">
        <v>12707.76</v>
      </c>
    </row>
    <row r="5025" customFormat="false" ht="15" hidden="false" customHeight="false" outlineLevel="0" collapsed="false">
      <c r="I5025" s="0" t="n">
        <v>2032</v>
      </c>
      <c r="J5025" s="0" t="n">
        <v>93.12</v>
      </c>
      <c r="K5025" s="0" t="n">
        <v>1955.04</v>
      </c>
    </row>
    <row r="5026" customFormat="false" ht="15" hidden="false" customHeight="false" outlineLevel="0" collapsed="false">
      <c r="I5026" s="0" t="n">
        <v>2032</v>
      </c>
      <c r="J5026" s="0" t="n">
        <v>69.84</v>
      </c>
      <c r="K5026" s="0" t="n">
        <v>1466.28</v>
      </c>
    </row>
    <row r="5027" customFormat="false" ht="15" hidden="false" customHeight="false" outlineLevel="0" collapsed="false">
      <c r="I5027" s="0" t="n">
        <v>2032</v>
      </c>
      <c r="J5027" s="0" t="n">
        <v>116.4</v>
      </c>
      <c r="K5027" s="0" t="n">
        <v>2443.8</v>
      </c>
    </row>
    <row r="5028" customFormat="false" ht="15" hidden="false" customHeight="false" outlineLevel="0" collapsed="false">
      <c r="I5028" s="0" t="n">
        <v>2032</v>
      </c>
      <c r="J5028" s="0" t="n">
        <v>23.28</v>
      </c>
      <c r="K5028" s="0" t="n">
        <v>488.76</v>
      </c>
    </row>
    <row r="5029" customFormat="false" ht="15" hidden="false" customHeight="false" outlineLevel="0" collapsed="false">
      <c r="I5029" s="0" t="n">
        <v>2032</v>
      </c>
      <c r="J5029" s="0" t="n">
        <v>23.28</v>
      </c>
      <c r="K5029" s="0" t="n">
        <v>488.76</v>
      </c>
    </row>
    <row r="5030" customFormat="false" ht="15" hidden="false" customHeight="false" outlineLevel="0" collapsed="false">
      <c r="I5030" s="0" t="n">
        <v>2032</v>
      </c>
      <c r="J5030" s="0" t="n">
        <v>0</v>
      </c>
      <c r="K5030" s="0" t="n">
        <v>0</v>
      </c>
    </row>
    <row r="5031" customFormat="false" ht="15" hidden="false" customHeight="false" outlineLevel="0" collapsed="false">
      <c r="I5031" s="0" t="n">
        <v>2032</v>
      </c>
      <c r="J5031" s="0" t="n">
        <v>46.56</v>
      </c>
      <c r="K5031" s="0" t="n">
        <v>977.52</v>
      </c>
    </row>
    <row r="5032" customFormat="false" ht="15" hidden="false" customHeight="false" outlineLevel="0" collapsed="false">
      <c r="I5032" s="0" t="n">
        <v>2032</v>
      </c>
      <c r="J5032" s="0" t="n">
        <v>81.48</v>
      </c>
      <c r="K5032" s="0" t="n">
        <v>1710.66</v>
      </c>
    </row>
    <row r="5033" customFormat="false" ht="15" hidden="false" customHeight="false" outlineLevel="0" collapsed="false">
      <c r="I5033" s="0" t="n">
        <v>2032</v>
      </c>
      <c r="J5033" s="0" t="n">
        <v>23.28</v>
      </c>
      <c r="K5033" s="0" t="n">
        <v>488.76</v>
      </c>
    </row>
    <row r="5034" customFormat="false" ht="15" hidden="false" customHeight="false" outlineLevel="0" collapsed="false">
      <c r="I5034" s="0" t="n">
        <v>2032</v>
      </c>
      <c r="J5034" s="0" t="n">
        <v>81.48</v>
      </c>
      <c r="K5034" s="0" t="n">
        <v>1710.66</v>
      </c>
    </row>
    <row r="5035" customFormat="false" ht="15" hidden="false" customHeight="false" outlineLevel="0" collapsed="false">
      <c r="I5035" s="0" t="n">
        <v>2032</v>
      </c>
      <c r="J5035" s="0" t="n">
        <v>479.04</v>
      </c>
      <c r="K5035" s="0" t="n">
        <v>10060.8</v>
      </c>
    </row>
    <row r="5036" customFormat="false" ht="15" hidden="false" customHeight="false" outlineLevel="0" collapsed="false">
      <c r="I5036" s="0" t="n">
        <v>2032</v>
      </c>
      <c r="J5036" s="0" t="n">
        <v>159.68</v>
      </c>
      <c r="K5036" s="0" t="n">
        <v>3353.6</v>
      </c>
    </row>
    <row r="5037" customFormat="false" ht="15" hidden="false" customHeight="false" outlineLevel="0" collapsed="false">
      <c r="I5037" s="0" t="n">
        <v>2032</v>
      </c>
      <c r="J5037" s="0" t="n">
        <v>69.86</v>
      </c>
      <c r="K5037" s="0" t="n">
        <v>1467.2</v>
      </c>
    </row>
    <row r="5038" customFormat="false" ht="15" hidden="false" customHeight="false" outlineLevel="0" collapsed="false">
      <c r="I5038" s="0" t="n">
        <v>2032</v>
      </c>
      <c r="J5038" s="0" t="n">
        <v>39.92</v>
      </c>
      <c r="K5038" s="0" t="n">
        <v>838.4</v>
      </c>
    </row>
    <row r="5039" customFormat="false" ht="15" hidden="false" customHeight="false" outlineLevel="0" collapsed="false">
      <c r="I5039" s="0" t="n">
        <v>2032</v>
      </c>
      <c r="J5039" s="0" t="n">
        <v>39.92</v>
      </c>
      <c r="K5039" s="0" t="n">
        <v>838.4</v>
      </c>
    </row>
    <row r="5040" customFormat="false" ht="15" hidden="false" customHeight="false" outlineLevel="0" collapsed="false">
      <c r="I5040" s="0" t="n">
        <v>2032</v>
      </c>
      <c r="J5040" s="0" t="n">
        <v>19.96</v>
      </c>
      <c r="K5040" s="0" t="n">
        <v>419.2</v>
      </c>
    </row>
    <row r="5041" customFormat="false" ht="15" hidden="false" customHeight="false" outlineLevel="0" collapsed="false">
      <c r="I5041" s="0" t="n">
        <v>2032</v>
      </c>
      <c r="J5041" s="0" t="n">
        <v>19.96</v>
      </c>
      <c r="K5041" s="0" t="n">
        <v>419.2</v>
      </c>
    </row>
    <row r="5042" customFormat="false" ht="15" hidden="false" customHeight="false" outlineLevel="0" collapsed="false">
      <c r="I5042" s="0" t="n">
        <v>2032</v>
      </c>
      <c r="J5042" s="0" t="n">
        <v>39.92</v>
      </c>
      <c r="K5042" s="0" t="n">
        <v>838.4</v>
      </c>
    </row>
    <row r="5043" customFormat="false" ht="15" hidden="false" customHeight="false" outlineLevel="0" collapsed="false">
      <c r="I5043" s="0" t="n">
        <v>2032</v>
      </c>
      <c r="J5043" s="0" t="n">
        <v>69.86</v>
      </c>
      <c r="K5043" s="0" t="n">
        <v>1467.2</v>
      </c>
    </row>
    <row r="5044" customFormat="false" ht="15" hidden="false" customHeight="false" outlineLevel="0" collapsed="false">
      <c r="I5044" s="0" t="n">
        <v>2032</v>
      </c>
      <c r="J5044" s="0" t="n">
        <v>29.94</v>
      </c>
      <c r="K5044" s="0" t="n">
        <v>628.8</v>
      </c>
    </row>
    <row r="5045" customFormat="false" ht="15" hidden="false" customHeight="false" outlineLevel="0" collapsed="false">
      <c r="I5045" s="0" t="n">
        <v>2032</v>
      </c>
      <c r="J5045" s="0" t="n">
        <v>29.94</v>
      </c>
      <c r="K5045" s="0" t="n">
        <v>628.8</v>
      </c>
    </row>
    <row r="5046" customFormat="false" ht="15" hidden="false" customHeight="false" outlineLevel="0" collapsed="false">
      <c r="I5046" s="0" t="n">
        <v>2032</v>
      </c>
      <c r="J5046" s="0" t="n">
        <v>121.16</v>
      </c>
      <c r="K5046" s="0" t="n">
        <v>2539.68</v>
      </c>
    </row>
    <row r="5047" customFormat="false" ht="15" hidden="false" customHeight="false" outlineLevel="0" collapsed="false">
      <c r="I5047" s="0" t="n">
        <v>2032</v>
      </c>
      <c r="J5047" s="0" t="n">
        <v>18.64</v>
      </c>
      <c r="K5047" s="0" t="n">
        <v>390.72</v>
      </c>
    </row>
    <row r="5048" customFormat="false" ht="15" hidden="false" customHeight="false" outlineLevel="0" collapsed="false">
      <c r="I5048" s="0" t="n">
        <v>2032</v>
      </c>
      <c r="J5048" s="0" t="n">
        <v>13.98</v>
      </c>
      <c r="K5048" s="0" t="n">
        <v>293.04</v>
      </c>
    </row>
    <row r="5049" customFormat="false" ht="15" hidden="false" customHeight="false" outlineLevel="0" collapsed="false">
      <c r="I5049" s="0" t="n">
        <v>2032</v>
      </c>
      <c r="J5049" s="0" t="n">
        <v>23.3</v>
      </c>
      <c r="K5049" s="0" t="n">
        <v>488.4</v>
      </c>
    </row>
    <row r="5050" customFormat="false" ht="15" hidden="false" customHeight="false" outlineLevel="0" collapsed="false">
      <c r="I5050" s="0" t="n">
        <v>2032</v>
      </c>
      <c r="J5050" s="0" t="n">
        <v>4.66</v>
      </c>
      <c r="K5050" s="0" t="n">
        <v>97.68</v>
      </c>
    </row>
    <row r="5051" customFormat="false" ht="15" hidden="false" customHeight="false" outlineLevel="0" collapsed="false">
      <c r="I5051" s="0" t="n">
        <v>2032</v>
      </c>
      <c r="J5051" s="0" t="n">
        <v>4.66</v>
      </c>
      <c r="K5051" s="0" t="n">
        <v>97.68</v>
      </c>
    </row>
    <row r="5052" customFormat="false" ht="15" hidden="false" customHeight="false" outlineLevel="0" collapsed="false">
      <c r="I5052" s="0" t="n">
        <v>2032</v>
      </c>
      <c r="J5052" s="0" t="n">
        <v>0</v>
      </c>
      <c r="K5052" s="0" t="n">
        <v>0</v>
      </c>
    </row>
    <row r="5053" customFormat="false" ht="15" hidden="false" customHeight="false" outlineLevel="0" collapsed="false">
      <c r="I5053" s="0" t="n">
        <v>2032</v>
      </c>
      <c r="J5053" s="0" t="n">
        <v>9.32</v>
      </c>
      <c r="K5053" s="0" t="n">
        <v>195.36</v>
      </c>
    </row>
    <row r="5054" customFormat="false" ht="15" hidden="false" customHeight="false" outlineLevel="0" collapsed="false">
      <c r="I5054" s="0" t="n">
        <v>2032</v>
      </c>
      <c r="J5054" s="0" t="n">
        <v>16.31</v>
      </c>
      <c r="K5054" s="0" t="n">
        <v>341.88</v>
      </c>
    </row>
    <row r="5055" customFormat="false" ht="15" hidden="false" customHeight="false" outlineLevel="0" collapsed="false">
      <c r="I5055" s="0" t="n">
        <v>2032</v>
      </c>
      <c r="J5055" s="0" t="n">
        <v>4.66</v>
      </c>
      <c r="K5055" s="0" t="n">
        <v>97.68</v>
      </c>
    </row>
    <row r="5056" customFormat="false" ht="15" hidden="false" customHeight="false" outlineLevel="0" collapsed="false">
      <c r="I5056" s="0" t="n">
        <v>2032</v>
      </c>
      <c r="J5056" s="0" t="n">
        <v>16.31</v>
      </c>
      <c r="K5056" s="0" t="n">
        <v>341.88</v>
      </c>
    </row>
    <row r="5057" customFormat="false" ht="15" hidden="false" customHeight="false" outlineLevel="0" collapsed="false">
      <c r="I5057" s="0" t="n">
        <v>2032</v>
      </c>
      <c r="J5057" s="0" t="n">
        <v>286.56</v>
      </c>
      <c r="K5057" s="0" t="n">
        <v>6014.88</v>
      </c>
    </row>
    <row r="5058" customFormat="false" ht="15" hidden="false" customHeight="false" outlineLevel="0" collapsed="false">
      <c r="I5058" s="0" t="n">
        <v>2032</v>
      </c>
      <c r="J5058" s="0" t="n">
        <v>95.52</v>
      </c>
      <c r="K5058" s="0" t="n">
        <v>2004.96</v>
      </c>
    </row>
    <row r="5059" customFormat="false" ht="15" hidden="false" customHeight="false" outlineLevel="0" collapsed="false">
      <c r="I5059" s="0" t="n">
        <v>2032</v>
      </c>
      <c r="J5059" s="0" t="n">
        <v>41.79</v>
      </c>
      <c r="K5059" s="0" t="n">
        <v>877.17</v>
      </c>
    </row>
    <row r="5060" customFormat="false" ht="15" hidden="false" customHeight="false" outlineLevel="0" collapsed="false">
      <c r="I5060" s="0" t="n">
        <v>2032</v>
      </c>
      <c r="J5060" s="0" t="n">
        <v>23.88</v>
      </c>
      <c r="K5060" s="0" t="n">
        <v>501.24</v>
      </c>
    </row>
    <row r="5061" customFormat="false" ht="15" hidden="false" customHeight="false" outlineLevel="0" collapsed="false">
      <c r="I5061" s="0" t="n">
        <v>2032</v>
      </c>
      <c r="J5061" s="0" t="n">
        <v>23.88</v>
      </c>
      <c r="K5061" s="0" t="n">
        <v>501.24</v>
      </c>
    </row>
    <row r="5062" customFormat="false" ht="15" hidden="false" customHeight="false" outlineLevel="0" collapsed="false">
      <c r="I5062" s="0" t="n">
        <v>2032</v>
      </c>
      <c r="J5062" s="0" t="n">
        <v>11.94</v>
      </c>
      <c r="K5062" s="0" t="n">
        <v>250.62</v>
      </c>
    </row>
    <row r="5063" customFormat="false" ht="15" hidden="false" customHeight="false" outlineLevel="0" collapsed="false">
      <c r="I5063" s="0" t="n">
        <v>2032</v>
      </c>
      <c r="J5063" s="0" t="n">
        <v>11.94</v>
      </c>
      <c r="K5063" s="0" t="n">
        <v>250.62</v>
      </c>
    </row>
    <row r="5064" customFormat="false" ht="15" hidden="false" customHeight="false" outlineLevel="0" collapsed="false">
      <c r="I5064" s="0" t="n">
        <v>2032</v>
      </c>
      <c r="J5064" s="0" t="n">
        <v>23.88</v>
      </c>
      <c r="K5064" s="0" t="n">
        <v>501.24</v>
      </c>
    </row>
    <row r="5065" customFormat="false" ht="15" hidden="false" customHeight="false" outlineLevel="0" collapsed="false">
      <c r="I5065" s="0" t="n">
        <v>2032</v>
      </c>
      <c r="J5065" s="0" t="n">
        <v>41.79</v>
      </c>
      <c r="K5065" s="0" t="n">
        <v>877.17</v>
      </c>
    </row>
    <row r="5066" customFormat="false" ht="15" hidden="false" customHeight="false" outlineLevel="0" collapsed="false">
      <c r="I5066" s="0" t="n">
        <v>2032</v>
      </c>
      <c r="J5066" s="0" t="n">
        <v>17.91</v>
      </c>
      <c r="K5066" s="0" t="n">
        <v>375.93</v>
      </c>
    </row>
    <row r="5067" customFormat="false" ht="15" hidden="false" customHeight="false" outlineLevel="0" collapsed="false">
      <c r="I5067" s="0" t="n">
        <v>2032</v>
      </c>
      <c r="J5067" s="0" t="n">
        <v>17.91</v>
      </c>
      <c r="K5067" s="0" t="n">
        <v>375.93</v>
      </c>
    </row>
    <row r="5068" customFormat="false" ht="15" hidden="false" customHeight="false" outlineLevel="0" collapsed="false">
      <c r="I5068" s="0" t="n">
        <v>2032</v>
      </c>
      <c r="J5068" s="0" t="n">
        <v>121.16</v>
      </c>
      <c r="K5068" s="0" t="n">
        <v>2539.68</v>
      </c>
    </row>
    <row r="5069" customFormat="false" ht="15" hidden="false" customHeight="false" outlineLevel="0" collapsed="false">
      <c r="I5069" s="0" t="n">
        <v>2032</v>
      </c>
      <c r="J5069" s="0" t="n">
        <v>18.64</v>
      </c>
      <c r="K5069" s="0" t="n">
        <v>390.72</v>
      </c>
    </row>
    <row r="5070" customFormat="false" ht="15" hidden="false" customHeight="false" outlineLevel="0" collapsed="false">
      <c r="I5070" s="0" t="n">
        <v>2032</v>
      </c>
      <c r="J5070" s="0" t="n">
        <v>13.98</v>
      </c>
      <c r="K5070" s="0" t="n">
        <v>293.04</v>
      </c>
    </row>
    <row r="5071" customFormat="false" ht="15" hidden="false" customHeight="false" outlineLevel="0" collapsed="false">
      <c r="I5071" s="0" t="n">
        <v>2032</v>
      </c>
      <c r="J5071" s="0" t="n">
        <v>23.3</v>
      </c>
      <c r="K5071" s="0" t="n">
        <v>488.4</v>
      </c>
    </row>
    <row r="5072" customFormat="false" ht="15" hidden="false" customHeight="false" outlineLevel="0" collapsed="false">
      <c r="I5072" s="0" t="n">
        <v>2032</v>
      </c>
      <c r="J5072" s="0" t="n">
        <v>4.66</v>
      </c>
      <c r="K5072" s="0" t="n">
        <v>97.68</v>
      </c>
    </row>
    <row r="5073" customFormat="false" ht="15" hidden="false" customHeight="false" outlineLevel="0" collapsed="false">
      <c r="I5073" s="0" t="n">
        <v>2032</v>
      </c>
      <c r="J5073" s="0" t="n">
        <v>4.66</v>
      </c>
      <c r="K5073" s="0" t="n">
        <v>97.68</v>
      </c>
    </row>
    <row r="5074" customFormat="false" ht="15" hidden="false" customHeight="false" outlineLevel="0" collapsed="false">
      <c r="I5074" s="0" t="n">
        <v>2032</v>
      </c>
      <c r="J5074" s="0" t="n">
        <v>0</v>
      </c>
      <c r="K5074" s="0" t="n">
        <v>0</v>
      </c>
    </row>
    <row r="5075" customFormat="false" ht="15" hidden="false" customHeight="false" outlineLevel="0" collapsed="false">
      <c r="I5075" s="0" t="n">
        <v>2032</v>
      </c>
      <c r="J5075" s="0" t="n">
        <v>9.32</v>
      </c>
      <c r="K5075" s="0" t="n">
        <v>195.36</v>
      </c>
    </row>
    <row r="5076" customFormat="false" ht="15" hidden="false" customHeight="false" outlineLevel="0" collapsed="false">
      <c r="I5076" s="0" t="n">
        <v>2032</v>
      </c>
      <c r="J5076" s="0" t="n">
        <v>16.31</v>
      </c>
      <c r="K5076" s="0" t="n">
        <v>341.88</v>
      </c>
    </row>
    <row r="5077" customFormat="false" ht="15" hidden="false" customHeight="false" outlineLevel="0" collapsed="false">
      <c r="I5077" s="0" t="n">
        <v>2032</v>
      </c>
      <c r="J5077" s="0" t="n">
        <v>4.66</v>
      </c>
      <c r="K5077" s="0" t="n">
        <v>97.68</v>
      </c>
    </row>
    <row r="5078" customFormat="false" ht="15" hidden="false" customHeight="false" outlineLevel="0" collapsed="false">
      <c r="I5078" s="0" t="n">
        <v>2032</v>
      </c>
      <c r="J5078" s="0" t="n">
        <v>16.31</v>
      </c>
      <c r="K5078" s="0" t="n">
        <v>341.88</v>
      </c>
    </row>
    <row r="5079" customFormat="false" ht="15" hidden="false" customHeight="false" outlineLevel="0" collapsed="false">
      <c r="I5079" s="0" t="n">
        <v>2032</v>
      </c>
      <c r="J5079" s="0" t="n">
        <v>30.24</v>
      </c>
      <c r="K5079" s="0" t="n">
        <v>635.52</v>
      </c>
    </row>
    <row r="5080" customFormat="false" ht="15" hidden="false" customHeight="false" outlineLevel="0" collapsed="false">
      <c r="I5080" s="0" t="n">
        <v>2032</v>
      </c>
      <c r="J5080" s="0" t="n">
        <v>10.08</v>
      </c>
      <c r="K5080" s="0" t="n">
        <v>211.84</v>
      </c>
    </row>
    <row r="5081" customFormat="false" ht="15" hidden="false" customHeight="false" outlineLevel="0" collapsed="false">
      <c r="I5081" s="0" t="n">
        <v>2032</v>
      </c>
      <c r="J5081" s="0" t="n">
        <v>4.41</v>
      </c>
      <c r="K5081" s="0" t="n">
        <v>92.68</v>
      </c>
    </row>
    <row r="5082" customFormat="false" ht="15" hidden="false" customHeight="false" outlineLevel="0" collapsed="false">
      <c r="I5082" s="0" t="n">
        <v>2032</v>
      </c>
      <c r="J5082" s="0" t="n">
        <v>2.52</v>
      </c>
      <c r="K5082" s="0" t="n">
        <v>52.96</v>
      </c>
    </row>
    <row r="5083" customFormat="false" ht="15" hidden="false" customHeight="false" outlineLevel="0" collapsed="false">
      <c r="I5083" s="0" t="n">
        <v>2032</v>
      </c>
      <c r="J5083" s="0" t="n">
        <v>2.52</v>
      </c>
      <c r="K5083" s="0" t="n">
        <v>52.96</v>
      </c>
    </row>
    <row r="5084" customFormat="false" ht="15" hidden="false" customHeight="false" outlineLevel="0" collapsed="false">
      <c r="I5084" s="0" t="n">
        <v>2032</v>
      </c>
      <c r="J5084" s="0" t="n">
        <v>1.26</v>
      </c>
      <c r="K5084" s="0" t="n">
        <v>26.48</v>
      </c>
    </row>
    <row r="5085" customFormat="false" ht="15" hidden="false" customHeight="false" outlineLevel="0" collapsed="false">
      <c r="I5085" s="0" t="n">
        <v>2032</v>
      </c>
      <c r="J5085" s="0" t="n">
        <v>1.26</v>
      </c>
      <c r="K5085" s="0" t="n">
        <v>26.48</v>
      </c>
    </row>
    <row r="5086" customFormat="false" ht="15" hidden="false" customHeight="false" outlineLevel="0" collapsed="false">
      <c r="I5086" s="0" t="n">
        <v>2032</v>
      </c>
      <c r="J5086" s="0" t="n">
        <v>2.52</v>
      </c>
      <c r="K5086" s="0" t="n">
        <v>52.96</v>
      </c>
    </row>
    <row r="5087" customFormat="false" ht="15" hidden="false" customHeight="false" outlineLevel="0" collapsed="false">
      <c r="I5087" s="0" t="n">
        <v>2032</v>
      </c>
      <c r="J5087" s="0" t="n">
        <v>4.41</v>
      </c>
      <c r="K5087" s="0" t="n">
        <v>92.68</v>
      </c>
    </row>
    <row r="5088" customFormat="false" ht="15" hidden="false" customHeight="false" outlineLevel="0" collapsed="false">
      <c r="I5088" s="0" t="n">
        <v>2032</v>
      </c>
      <c r="J5088" s="0" t="n">
        <v>1.89</v>
      </c>
      <c r="K5088" s="0" t="n">
        <v>39.72</v>
      </c>
    </row>
    <row r="5089" customFormat="false" ht="15" hidden="false" customHeight="false" outlineLevel="0" collapsed="false">
      <c r="I5089" s="0" t="n">
        <v>2032</v>
      </c>
      <c r="J5089" s="0" t="n">
        <v>1.89</v>
      </c>
      <c r="K5089" s="0" t="n">
        <v>39.72</v>
      </c>
    </row>
    <row r="5090" customFormat="false" ht="15" hidden="false" customHeight="false" outlineLevel="0" collapsed="false">
      <c r="I5090" s="0" t="n">
        <v>2032</v>
      </c>
      <c r="J5090" s="0" t="n">
        <v>10.92</v>
      </c>
      <c r="K5090" s="0" t="n">
        <v>231.4</v>
      </c>
    </row>
    <row r="5091" customFormat="false" ht="15" hidden="false" customHeight="false" outlineLevel="0" collapsed="false">
      <c r="I5091" s="0" t="n">
        <v>2032</v>
      </c>
      <c r="J5091" s="0" t="n">
        <v>1.68</v>
      </c>
      <c r="K5091" s="0" t="n">
        <v>35.6</v>
      </c>
    </row>
    <row r="5092" customFormat="false" ht="15" hidden="false" customHeight="false" outlineLevel="0" collapsed="false">
      <c r="I5092" s="0" t="n">
        <v>2032</v>
      </c>
      <c r="J5092" s="0" t="n">
        <v>1.26</v>
      </c>
      <c r="K5092" s="0" t="n">
        <v>26.7</v>
      </c>
    </row>
    <row r="5093" customFormat="false" ht="15" hidden="false" customHeight="false" outlineLevel="0" collapsed="false">
      <c r="I5093" s="0" t="n">
        <v>2032</v>
      </c>
      <c r="J5093" s="0" t="n">
        <v>2.1</v>
      </c>
      <c r="K5093" s="0" t="n">
        <v>44.5</v>
      </c>
    </row>
    <row r="5094" customFormat="false" ht="15" hidden="false" customHeight="false" outlineLevel="0" collapsed="false">
      <c r="I5094" s="0" t="n">
        <v>2032</v>
      </c>
      <c r="J5094" s="0" t="n">
        <v>0.42</v>
      </c>
      <c r="K5094" s="0" t="n">
        <v>8.9</v>
      </c>
    </row>
    <row r="5095" customFormat="false" ht="15" hidden="false" customHeight="false" outlineLevel="0" collapsed="false">
      <c r="I5095" s="0" t="n">
        <v>2032</v>
      </c>
      <c r="J5095" s="0" t="n">
        <v>0.42</v>
      </c>
      <c r="K5095" s="0" t="n">
        <v>8.9</v>
      </c>
    </row>
    <row r="5096" customFormat="false" ht="15" hidden="false" customHeight="false" outlineLevel="0" collapsed="false">
      <c r="I5096" s="0" t="n">
        <v>2032</v>
      </c>
      <c r="J5096" s="0" t="n">
        <v>0</v>
      </c>
      <c r="K5096" s="0" t="n">
        <v>0</v>
      </c>
    </row>
    <row r="5097" customFormat="false" ht="15" hidden="false" customHeight="false" outlineLevel="0" collapsed="false">
      <c r="I5097" s="0" t="n">
        <v>2032</v>
      </c>
      <c r="J5097" s="0" t="n">
        <v>0.84</v>
      </c>
      <c r="K5097" s="0" t="n">
        <v>17.8</v>
      </c>
    </row>
    <row r="5098" customFormat="false" ht="15" hidden="false" customHeight="false" outlineLevel="0" collapsed="false">
      <c r="I5098" s="0" t="n">
        <v>2032</v>
      </c>
      <c r="J5098" s="0" t="n">
        <v>1.47</v>
      </c>
      <c r="K5098" s="0" t="n">
        <v>31.15</v>
      </c>
    </row>
    <row r="5099" customFormat="false" ht="15" hidden="false" customHeight="false" outlineLevel="0" collapsed="false">
      <c r="I5099" s="0" t="n">
        <v>2032</v>
      </c>
      <c r="J5099" s="0" t="n">
        <v>0.42</v>
      </c>
      <c r="K5099" s="0" t="n">
        <v>8.9</v>
      </c>
    </row>
    <row r="5100" customFormat="false" ht="15" hidden="false" customHeight="false" outlineLevel="0" collapsed="false">
      <c r="I5100" s="0" t="n">
        <v>2032</v>
      </c>
      <c r="J5100" s="0" t="n">
        <v>1.47</v>
      </c>
      <c r="K5100" s="0" t="n">
        <v>31.15</v>
      </c>
    </row>
    <row r="5101" customFormat="false" ht="15" hidden="false" customHeight="false" outlineLevel="0" collapsed="false">
      <c r="I5101" s="0" t="n">
        <v>2032</v>
      </c>
      <c r="J5101" s="0" t="n">
        <v>136.8</v>
      </c>
      <c r="K5101" s="0" t="n">
        <v>2877.12</v>
      </c>
    </row>
    <row r="5102" customFormat="false" ht="15" hidden="false" customHeight="false" outlineLevel="0" collapsed="false">
      <c r="I5102" s="0" t="n">
        <v>2032</v>
      </c>
      <c r="J5102" s="0" t="n">
        <v>45.6</v>
      </c>
      <c r="K5102" s="0" t="n">
        <v>959.04</v>
      </c>
    </row>
    <row r="5103" customFormat="false" ht="15" hidden="false" customHeight="false" outlineLevel="0" collapsed="false">
      <c r="I5103" s="0" t="n">
        <v>2032</v>
      </c>
      <c r="J5103" s="0" t="n">
        <v>19.95</v>
      </c>
      <c r="K5103" s="0" t="n">
        <v>419.58</v>
      </c>
    </row>
    <row r="5104" customFormat="false" ht="15" hidden="false" customHeight="false" outlineLevel="0" collapsed="false">
      <c r="I5104" s="0" t="n">
        <v>2032</v>
      </c>
      <c r="J5104" s="0" t="n">
        <v>11.4</v>
      </c>
      <c r="K5104" s="0" t="n">
        <v>239.76</v>
      </c>
    </row>
    <row r="5105" customFormat="false" ht="15" hidden="false" customHeight="false" outlineLevel="0" collapsed="false">
      <c r="I5105" s="0" t="n">
        <v>2032</v>
      </c>
      <c r="J5105" s="0" t="n">
        <v>11.4</v>
      </c>
      <c r="K5105" s="0" t="n">
        <v>239.76</v>
      </c>
    </row>
    <row r="5106" customFormat="false" ht="15" hidden="false" customHeight="false" outlineLevel="0" collapsed="false">
      <c r="I5106" s="0" t="n">
        <v>2032</v>
      </c>
      <c r="J5106" s="0" t="n">
        <v>5.7</v>
      </c>
      <c r="K5106" s="0" t="n">
        <v>119.88</v>
      </c>
    </row>
    <row r="5107" customFormat="false" ht="15" hidden="false" customHeight="false" outlineLevel="0" collapsed="false">
      <c r="I5107" s="0" t="n">
        <v>2032</v>
      </c>
      <c r="J5107" s="0" t="n">
        <v>5.7</v>
      </c>
      <c r="K5107" s="0" t="n">
        <v>119.88</v>
      </c>
    </row>
    <row r="5108" customFormat="false" ht="15" hidden="false" customHeight="false" outlineLevel="0" collapsed="false">
      <c r="I5108" s="0" t="n">
        <v>2032</v>
      </c>
      <c r="J5108" s="0" t="n">
        <v>11.4</v>
      </c>
      <c r="K5108" s="0" t="n">
        <v>239.76</v>
      </c>
    </row>
    <row r="5109" customFormat="false" ht="15" hidden="false" customHeight="false" outlineLevel="0" collapsed="false">
      <c r="I5109" s="0" t="n">
        <v>2032</v>
      </c>
      <c r="J5109" s="0" t="n">
        <v>19.95</v>
      </c>
      <c r="K5109" s="0" t="n">
        <v>419.58</v>
      </c>
    </row>
    <row r="5110" customFormat="false" ht="15" hidden="false" customHeight="false" outlineLevel="0" collapsed="false">
      <c r="I5110" s="0" t="n">
        <v>2032</v>
      </c>
      <c r="J5110" s="0" t="n">
        <v>8.55</v>
      </c>
      <c r="K5110" s="0" t="n">
        <v>179.82</v>
      </c>
    </row>
    <row r="5111" customFormat="false" ht="15" hidden="false" customHeight="false" outlineLevel="0" collapsed="false">
      <c r="I5111" s="0" t="n">
        <v>2032</v>
      </c>
      <c r="J5111" s="0" t="n">
        <v>8.55</v>
      </c>
      <c r="K5111" s="0" t="n">
        <v>179.82</v>
      </c>
    </row>
    <row r="5112" customFormat="false" ht="15" hidden="false" customHeight="false" outlineLevel="0" collapsed="false">
      <c r="I5112" s="0" t="n">
        <v>2032</v>
      </c>
      <c r="J5112" s="0" t="n">
        <v>18.72</v>
      </c>
      <c r="K5112" s="0" t="n">
        <v>388.96</v>
      </c>
    </row>
    <row r="5113" customFormat="false" ht="15" hidden="false" customHeight="false" outlineLevel="0" collapsed="false">
      <c r="I5113" s="0" t="n">
        <v>2032</v>
      </c>
      <c r="J5113" s="0" t="n">
        <v>2.88</v>
      </c>
      <c r="K5113" s="0" t="n">
        <v>59.84</v>
      </c>
    </row>
    <row r="5114" customFormat="false" ht="15" hidden="false" customHeight="false" outlineLevel="0" collapsed="false">
      <c r="I5114" s="0" t="n">
        <v>2032</v>
      </c>
      <c r="J5114" s="0" t="n">
        <v>2.16</v>
      </c>
      <c r="K5114" s="0" t="n">
        <v>44.88</v>
      </c>
    </row>
    <row r="5115" customFormat="false" ht="15" hidden="false" customHeight="false" outlineLevel="0" collapsed="false">
      <c r="I5115" s="0" t="n">
        <v>2032</v>
      </c>
      <c r="J5115" s="0" t="n">
        <v>3.6</v>
      </c>
      <c r="K5115" s="0" t="n">
        <v>74.8</v>
      </c>
    </row>
    <row r="5116" customFormat="false" ht="15" hidden="false" customHeight="false" outlineLevel="0" collapsed="false">
      <c r="I5116" s="0" t="n">
        <v>2032</v>
      </c>
      <c r="J5116" s="0" t="n">
        <v>0.72</v>
      </c>
      <c r="K5116" s="0" t="n">
        <v>14.96</v>
      </c>
    </row>
    <row r="5117" customFormat="false" ht="15" hidden="false" customHeight="false" outlineLevel="0" collapsed="false">
      <c r="I5117" s="0" t="n">
        <v>2032</v>
      </c>
      <c r="J5117" s="0" t="n">
        <v>0.72</v>
      </c>
      <c r="K5117" s="0" t="n">
        <v>14.96</v>
      </c>
    </row>
    <row r="5118" customFormat="false" ht="15" hidden="false" customHeight="false" outlineLevel="0" collapsed="false">
      <c r="I5118" s="0" t="n">
        <v>2032</v>
      </c>
      <c r="J5118" s="0" t="n">
        <v>0</v>
      </c>
      <c r="K5118" s="0" t="n">
        <v>0</v>
      </c>
    </row>
    <row r="5119" customFormat="false" ht="15" hidden="false" customHeight="false" outlineLevel="0" collapsed="false">
      <c r="I5119" s="0" t="n">
        <v>2032</v>
      </c>
      <c r="J5119" s="0" t="n">
        <v>1.44</v>
      </c>
      <c r="K5119" s="0" t="n">
        <v>29.92</v>
      </c>
    </row>
    <row r="5120" customFormat="false" ht="15" hidden="false" customHeight="false" outlineLevel="0" collapsed="false">
      <c r="I5120" s="0" t="n">
        <v>2032</v>
      </c>
      <c r="J5120" s="0" t="n">
        <v>2.52</v>
      </c>
      <c r="K5120" s="0" t="n">
        <v>52.36</v>
      </c>
    </row>
    <row r="5121" customFormat="false" ht="15" hidden="false" customHeight="false" outlineLevel="0" collapsed="false">
      <c r="I5121" s="0" t="n">
        <v>2032</v>
      </c>
      <c r="J5121" s="0" t="n">
        <v>0.72</v>
      </c>
      <c r="K5121" s="0" t="n">
        <v>14.96</v>
      </c>
    </row>
    <row r="5122" customFormat="false" ht="15" hidden="false" customHeight="false" outlineLevel="0" collapsed="false">
      <c r="I5122" s="0" t="n">
        <v>2032</v>
      </c>
      <c r="J5122" s="0" t="n">
        <v>2.52</v>
      </c>
      <c r="K5122" s="0" t="n">
        <v>52.36</v>
      </c>
    </row>
    <row r="5123" customFormat="false" ht="15" hidden="false" customHeight="false" outlineLevel="0" collapsed="false">
      <c r="I5123" s="0" t="n">
        <v>2032</v>
      </c>
      <c r="J5123" s="0" t="n">
        <v>109.92</v>
      </c>
      <c r="K5123" s="0" t="n">
        <v>2306.4</v>
      </c>
    </row>
    <row r="5124" customFormat="false" ht="15" hidden="false" customHeight="false" outlineLevel="0" collapsed="false">
      <c r="I5124" s="0" t="n">
        <v>2032</v>
      </c>
      <c r="J5124" s="0" t="n">
        <v>36.64</v>
      </c>
      <c r="K5124" s="0" t="n">
        <v>768.8</v>
      </c>
    </row>
    <row r="5125" customFormat="false" ht="15" hidden="false" customHeight="false" outlineLevel="0" collapsed="false">
      <c r="I5125" s="0" t="n">
        <v>2032</v>
      </c>
      <c r="J5125" s="0" t="n">
        <v>16.03</v>
      </c>
      <c r="K5125" s="0" t="n">
        <v>336.35</v>
      </c>
    </row>
    <row r="5126" customFormat="false" ht="15" hidden="false" customHeight="false" outlineLevel="0" collapsed="false">
      <c r="I5126" s="0" t="n">
        <v>2032</v>
      </c>
      <c r="J5126" s="0" t="n">
        <v>9.16</v>
      </c>
      <c r="K5126" s="0" t="n">
        <v>192.2</v>
      </c>
    </row>
    <row r="5127" customFormat="false" ht="15" hidden="false" customHeight="false" outlineLevel="0" collapsed="false">
      <c r="I5127" s="0" t="n">
        <v>2032</v>
      </c>
      <c r="J5127" s="0" t="n">
        <v>9.16</v>
      </c>
      <c r="K5127" s="0" t="n">
        <v>192.2</v>
      </c>
    </row>
    <row r="5128" customFormat="false" ht="15" hidden="false" customHeight="false" outlineLevel="0" collapsed="false">
      <c r="I5128" s="0" t="n">
        <v>2032</v>
      </c>
      <c r="J5128" s="0" t="n">
        <v>4.58</v>
      </c>
      <c r="K5128" s="0" t="n">
        <v>96.1</v>
      </c>
    </row>
    <row r="5129" customFormat="false" ht="15" hidden="false" customHeight="false" outlineLevel="0" collapsed="false">
      <c r="I5129" s="0" t="n">
        <v>2032</v>
      </c>
      <c r="J5129" s="0" t="n">
        <v>4.58</v>
      </c>
      <c r="K5129" s="0" t="n">
        <v>96.1</v>
      </c>
    </row>
    <row r="5130" customFormat="false" ht="15" hidden="false" customHeight="false" outlineLevel="0" collapsed="false">
      <c r="I5130" s="0" t="n">
        <v>2032</v>
      </c>
      <c r="J5130" s="0" t="n">
        <v>9.16</v>
      </c>
      <c r="K5130" s="0" t="n">
        <v>192.2</v>
      </c>
    </row>
    <row r="5131" customFormat="false" ht="15" hidden="false" customHeight="false" outlineLevel="0" collapsed="false">
      <c r="I5131" s="0" t="n">
        <v>2032</v>
      </c>
      <c r="J5131" s="0" t="n">
        <v>16.03</v>
      </c>
      <c r="K5131" s="0" t="n">
        <v>336.35</v>
      </c>
    </row>
    <row r="5132" customFormat="false" ht="15" hidden="false" customHeight="false" outlineLevel="0" collapsed="false">
      <c r="I5132" s="0" t="n">
        <v>2032</v>
      </c>
      <c r="J5132" s="0" t="n">
        <v>6.87</v>
      </c>
      <c r="K5132" s="0" t="n">
        <v>144.15</v>
      </c>
    </row>
    <row r="5133" customFormat="false" ht="15" hidden="false" customHeight="false" outlineLevel="0" collapsed="false">
      <c r="I5133" s="0" t="n">
        <v>2032</v>
      </c>
      <c r="J5133" s="0" t="n">
        <v>6.87</v>
      </c>
      <c r="K5133" s="0" t="n">
        <v>144.15</v>
      </c>
    </row>
    <row r="5134" customFormat="false" ht="15" hidden="false" customHeight="false" outlineLevel="0" collapsed="false">
      <c r="I5134" s="0" t="n">
        <v>2032</v>
      </c>
      <c r="J5134" s="0" t="n">
        <v>45.24</v>
      </c>
      <c r="K5134" s="0" t="n">
        <v>945.88</v>
      </c>
    </row>
    <row r="5135" customFormat="false" ht="15" hidden="false" customHeight="false" outlineLevel="0" collapsed="false">
      <c r="I5135" s="0" t="n">
        <v>2032</v>
      </c>
      <c r="J5135" s="0" t="n">
        <v>6.96</v>
      </c>
      <c r="K5135" s="0" t="n">
        <v>145.52</v>
      </c>
    </row>
    <row r="5136" customFormat="false" ht="15" hidden="false" customHeight="false" outlineLevel="0" collapsed="false">
      <c r="I5136" s="0" t="n">
        <v>2032</v>
      </c>
      <c r="J5136" s="0" t="n">
        <v>5.22</v>
      </c>
      <c r="K5136" s="0" t="n">
        <v>109.14</v>
      </c>
    </row>
    <row r="5137" customFormat="false" ht="15" hidden="false" customHeight="false" outlineLevel="0" collapsed="false">
      <c r="I5137" s="0" t="n">
        <v>2032</v>
      </c>
      <c r="J5137" s="0" t="n">
        <v>8.7</v>
      </c>
      <c r="K5137" s="0" t="n">
        <v>181.9</v>
      </c>
    </row>
    <row r="5138" customFormat="false" ht="15" hidden="false" customHeight="false" outlineLevel="0" collapsed="false">
      <c r="I5138" s="0" t="n">
        <v>2032</v>
      </c>
      <c r="J5138" s="0" t="n">
        <v>1.74</v>
      </c>
      <c r="K5138" s="0" t="n">
        <v>36.38</v>
      </c>
    </row>
    <row r="5139" customFormat="false" ht="15" hidden="false" customHeight="false" outlineLevel="0" collapsed="false">
      <c r="I5139" s="0" t="n">
        <v>2032</v>
      </c>
      <c r="J5139" s="0" t="n">
        <v>1.74</v>
      </c>
      <c r="K5139" s="0" t="n">
        <v>36.38</v>
      </c>
    </row>
    <row r="5140" customFormat="false" ht="15" hidden="false" customHeight="false" outlineLevel="0" collapsed="false">
      <c r="I5140" s="0" t="n">
        <v>2032</v>
      </c>
      <c r="J5140" s="0" t="n">
        <v>0</v>
      </c>
      <c r="K5140" s="0" t="n">
        <v>0</v>
      </c>
    </row>
    <row r="5141" customFormat="false" ht="15" hidden="false" customHeight="false" outlineLevel="0" collapsed="false">
      <c r="I5141" s="0" t="n">
        <v>2032</v>
      </c>
      <c r="J5141" s="0" t="n">
        <v>3.48</v>
      </c>
      <c r="K5141" s="0" t="n">
        <v>72.76</v>
      </c>
    </row>
    <row r="5142" customFormat="false" ht="15" hidden="false" customHeight="false" outlineLevel="0" collapsed="false">
      <c r="I5142" s="0" t="n">
        <v>2032</v>
      </c>
      <c r="J5142" s="0" t="n">
        <v>6.09</v>
      </c>
      <c r="K5142" s="0" t="n">
        <v>127.33</v>
      </c>
    </row>
    <row r="5143" customFormat="false" ht="15" hidden="false" customHeight="false" outlineLevel="0" collapsed="false">
      <c r="I5143" s="0" t="n">
        <v>2032</v>
      </c>
      <c r="J5143" s="0" t="n">
        <v>1.74</v>
      </c>
      <c r="K5143" s="0" t="n">
        <v>36.38</v>
      </c>
    </row>
    <row r="5144" customFormat="false" ht="15" hidden="false" customHeight="false" outlineLevel="0" collapsed="false">
      <c r="I5144" s="0" t="n">
        <v>2032</v>
      </c>
      <c r="J5144" s="0" t="n">
        <v>6.09</v>
      </c>
      <c r="K5144" s="0" t="n">
        <v>127.33</v>
      </c>
    </row>
    <row r="5145" customFormat="false" ht="15" hidden="false" customHeight="false" outlineLevel="0" collapsed="false">
      <c r="I5145" s="0" t="n">
        <v>2032</v>
      </c>
      <c r="J5145" s="0" t="n">
        <v>1075.68</v>
      </c>
      <c r="K5145" s="0" t="n">
        <v>22592.64</v>
      </c>
    </row>
    <row r="5146" customFormat="false" ht="15" hidden="false" customHeight="false" outlineLevel="0" collapsed="false">
      <c r="I5146" s="0" t="n">
        <v>2032</v>
      </c>
      <c r="J5146" s="0" t="n">
        <v>358.56</v>
      </c>
      <c r="K5146" s="0" t="n">
        <v>7530.88</v>
      </c>
    </row>
    <row r="5147" customFormat="false" ht="15" hidden="false" customHeight="false" outlineLevel="0" collapsed="false">
      <c r="I5147" s="0" t="n">
        <v>2032</v>
      </c>
      <c r="J5147" s="0" t="n">
        <v>156.87</v>
      </c>
      <c r="K5147" s="0" t="n">
        <v>3294.76</v>
      </c>
    </row>
    <row r="5148" customFormat="false" ht="15" hidden="false" customHeight="false" outlineLevel="0" collapsed="false">
      <c r="I5148" s="0" t="n">
        <v>2032</v>
      </c>
      <c r="J5148" s="0" t="n">
        <v>89.64</v>
      </c>
      <c r="K5148" s="0" t="n">
        <v>1882.72</v>
      </c>
    </row>
    <row r="5149" customFormat="false" ht="15" hidden="false" customHeight="false" outlineLevel="0" collapsed="false">
      <c r="I5149" s="0" t="n">
        <v>2032</v>
      </c>
      <c r="J5149" s="0" t="n">
        <v>89.64</v>
      </c>
      <c r="K5149" s="0" t="n">
        <v>1882.72</v>
      </c>
    </row>
    <row r="5150" customFormat="false" ht="15" hidden="false" customHeight="false" outlineLevel="0" collapsed="false">
      <c r="I5150" s="0" t="n">
        <v>2032</v>
      </c>
      <c r="J5150" s="0" t="n">
        <v>44.82</v>
      </c>
      <c r="K5150" s="0" t="n">
        <v>941.36</v>
      </c>
    </row>
    <row r="5151" customFormat="false" ht="15" hidden="false" customHeight="false" outlineLevel="0" collapsed="false">
      <c r="I5151" s="0" t="n">
        <v>2032</v>
      </c>
      <c r="J5151" s="0" t="n">
        <v>44.82</v>
      </c>
      <c r="K5151" s="0" t="n">
        <v>941.36</v>
      </c>
    </row>
    <row r="5152" customFormat="false" ht="15" hidden="false" customHeight="false" outlineLevel="0" collapsed="false">
      <c r="I5152" s="0" t="n">
        <v>2032</v>
      </c>
      <c r="J5152" s="0" t="n">
        <v>89.64</v>
      </c>
      <c r="K5152" s="0" t="n">
        <v>1882.72</v>
      </c>
    </row>
    <row r="5153" customFormat="false" ht="15" hidden="false" customHeight="false" outlineLevel="0" collapsed="false">
      <c r="I5153" s="0" t="n">
        <v>2032</v>
      </c>
      <c r="J5153" s="0" t="n">
        <v>156.87</v>
      </c>
      <c r="K5153" s="0" t="n">
        <v>3294.76</v>
      </c>
    </row>
    <row r="5154" customFormat="false" ht="15" hidden="false" customHeight="false" outlineLevel="0" collapsed="false">
      <c r="I5154" s="0" t="n">
        <v>2032</v>
      </c>
      <c r="J5154" s="0" t="n">
        <v>67.23</v>
      </c>
      <c r="K5154" s="0" t="n">
        <v>1412.04</v>
      </c>
    </row>
    <row r="5155" customFormat="false" ht="15" hidden="false" customHeight="false" outlineLevel="0" collapsed="false">
      <c r="I5155" s="0" t="n">
        <v>2032</v>
      </c>
      <c r="J5155" s="0" t="n">
        <v>67.23</v>
      </c>
      <c r="K5155" s="0" t="n">
        <v>1412.04</v>
      </c>
    </row>
    <row r="5156" customFormat="false" ht="15" hidden="false" customHeight="false" outlineLevel="0" collapsed="false">
      <c r="I5156" s="0" t="n">
        <v>2032</v>
      </c>
      <c r="J5156" s="0" t="n">
        <v>131.56</v>
      </c>
      <c r="K5156" s="0" t="n">
        <v>2764.84</v>
      </c>
    </row>
    <row r="5157" customFormat="false" ht="15" hidden="false" customHeight="false" outlineLevel="0" collapsed="false">
      <c r="I5157" s="0" t="n">
        <v>2032</v>
      </c>
      <c r="J5157" s="0" t="n">
        <v>20.24</v>
      </c>
      <c r="K5157" s="0" t="n">
        <v>425.36</v>
      </c>
    </row>
    <row r="5158" customFormat="false" ht="15" hidden="false" customHeight="false" outlineLevel="0" collapsed="false">
      <c r="I5158" s="0" t="n">
        <v>2032</v>
      </c>
      <c r="J5158" s="0" t="n">
        <v>15.18</v>
      </c>
      <c r="K5158" s="0" t="n">
        <v>319.02</v>
      </c>
    </row>
    <row r="5159" customFormat="false" ht="15" hidden="false" customHeight="false" outlineLevel="0" collapsed="false">
      <c r="I5159" s="0" t="n">
        <v>2032</v>
      </c>
      <c r="J5159" s="0" t="n">
        <v>25.3</v>
      </c>
      <c r="K5159" s="0" t="n">
        <v>531.7</v>
      </c>
    </row>
    <row r="5160" customFormat="false" ht="15" hidden="false" customHeight="false" outlineLevel="0" collapsed="false">
      <c r="I5160" s="0" t="n">
        <v>2032</v>
      </c>
      <c r="J5160" s="0" t="n">
        <v>5.06</v>
      </c>
      <c r="K5160" s="0" t="n">
        <v>106.34</v>
      </c>
    </row>
    <row r="5161" customFormat="false" ht="15" hidden="false" customHeight="false" outlineLevel="0" collapsed="false">
      <c r="I5161" s="0" t="n">
        <v>2032</v>
      </c>
      <c r="J5161" s="0" t="n">
        <v>5.06</v>
      </c>
      <c r="K5161" s="0" t="n">
        <v>106.34</v>
      </c>
    </row>
    <row r="5162" customFormat="false" ht="15" hidden="false" customHeight="false" outlineLevel="0" collapsed="false">
      <c r="I5162" s="0" t="n">
        <v>2032</v>
      </c>
      <c r="J5162" s="0" t="n">
        <v>0</v>
      </c>
      <c r="K5162" s="0" t="n">
        <v>0</v>
      </c>
    </row>
    <row r="5163" customFormat="false" ht="15" hidden="false" customHeight="false" outlineLevel="0" collapsed="false">
      <c r="I5163" s="0" t="n">
        <v>2032</v>
      </c>
      <c r="J5163" s="0" t="n">
        <v>10.12</v>
      </c>
      <c r="K5163" s="0" t="n">
        <v>212.68</v>
      </c>
    </row>
    <row r="5164" customFormat="false" ht="15" hidden="false" customHeight="false" outlineLevel="0" collapsed="false">
      <c r="I5164" s="0" t="n">
        <v>2032</v>
      </c>
      <c r="J5164" s="0" t="n">
        <v>17.71</v>
      </c>
      <c r="K5164" s="0" t="n">
        <v>372.19</v>
      </c>
    </row>
    <row r="5165" customFormat="false" ht="15" hidden="false" customHeight="false" outlineLevel="0" collapsed="false">
      <c r="I5165" s="0" t="n">
        <v>2032</v>
      </c>
      <c r="J5165" s="0" t="n">
        <v>5.06</v>
      </c>
      <c r="K5165" s="0" t="n">
        <v>106.34</v>
      </c>
    </row>
    <row r="5166" customFormat="false" ht="15" hidden="false" customHeight="false" outlineLevel="0" collapsed="false">
      <c r="I5166" s="0" t="n">
        <v>2032</v>
      </c>
      <c r="J5166" s="0" t="n">
        <v>17.71</v>
      </c>
      <c r="K5166" s="0" t="n">
        <v>372.19</v>
      </c>
    </row>
    <row r="5167" customFormat="false" ht="15" hidden="false" customHeight="false" outlineLevel="0" collapsed="false">
      <c r="I5167" s="0" t="n">
        <v>2032</v>
      </c>
      <c r="J5167" s="0" t="n">
        <v>106.08</v>
      </c>
      <c r="K5167" s="0" t="n">
        <v>2228.64</v>
      </c>
    </row>
    <row r="5168" customFormat="false" ht="15" hidden="false" customHeight="false" outlineLevel="0" collapsed="false">
      <c r="I5168" s="0" t="n">
        <v>2032</v>
      </c>
      <c r="J5168" s="0" t="n">
        <v>35.36</v>
      </c>
      <c r="K5168" s="0" t="n">
        <v>742.88</v>
      </c>
    </row>
    <row r="5169" customFormat="false" ht="15" hidden="false" customHeight="false" outlineLevel="0" collapsed="false">
      <c r="I5169" s="0" t="n">
        <v>2032</v>
      </c>
      <c r="J5169" s="0" t="n">
        <v>15.47</v>
      </c>
      <c r="K5169" s="0" t="n">
        <v>325.01</v>
      </c>
    </row>
    <row r="5170" customFormat="false" ht="15" hidden="false" customHeight="false" outlineLevel="0" collapsed="false">
      <c r="I5170" s="0" t="n">
        <v>2032</v>
      </c>
      <c r="J5170" s="0" t="n">
        <v>8.84</v>
      </c>
      <c r="K5170" s="0" t="n">
        <v>185.72</v>
      </c>
    </row>
    <row r="5171" customFormat="false" ht="15" hidden="false" customHeight="false" outlineLevel="0" collapsed="false">
      <c r="I5171" s="0" t="n">
        <v>2032</v>
      </c>
      <c r="J5171" s="0" t="n">
        <v>8.84</v>
      </c>
      <c r="K5171" s="0" t="n">
        <v>185.72</v>
      </c>
    </row>
    <row r="5172" customFormat="false" ht="15" hidden="false" customHeight="false" outlineLevel="0" collapsed="false">
      <c r="I5172" s="0" t="n">
        <v>2032</v>
      </c>
      <c r="J5172" s="0" t="n">
        <v>4.42</v>
      </c>
      <c r="K5172" s="0" t="n">
        <v>92.86</v>
      </c>
    </row>
    <row r="5173" customFormat="false" ht="15" hidden="false" customHeight="false" outlineLevel="0" collapsed="false">
      <c r="I5173" s="0" t="n">
        <v>2032</v>
      </c>
      <c r="J5173" s="0" t="n">
        <v>4.42</v>
      </c>
      <c r="K5173" s="0" t="n">
        <v>92.86</v>
      </c>
    </row>
    <row r="5174" customFormat="false" ht="15" hidden="false" customHeight="false" outlineLevel="0" collapsed="false">
      <c r="I5174" s="0" t="n">
        <v>2032</v>
      </c>
      <c r="J5174" s="0" t="n">
        <v>8.84</v>
      </c>
      <c r="K5174" s="0" t="n">
        <v>185.72</v>
      </c>
    </row>
    <row r="5175" customFormat="false" ht="15" hidden="false" customHeight="false" outlineLevel="0" collapsed="false">
      <c r="I5175" s="0" t="n">
        <v>2032</v>
      </c>
      <c r="J5175" s="0" t="n">
        <v>15.47</v>
      </c>
      <c r="K5175" s="0" t="n">
        <v>325.01</v>
      </c>
    </row>
    <row r="5176" customFormat="false" ht="15" hidden="false" customHeight="false" outlineLevel="0" collapsed="false">
      <c r="I5176" s="0" t="n">
        <v>2032</v>
      </c>
      <c r="J5176" s="0" t="n">
        <v>6.63</v>
      </c>
      <c r="K5176" s="0" t="n">
        <v>139.29</v>
      </c>
    </row>
    <row r="5177" customFormat="false" ht="15" hidden="false" customHeight="false" outlineLevel="0" collapsed="false">
      <c r="I5177" s="0" t="n">
        <v>2032</v>
      </c>
      <c r="J5177" s="0" t="n">
        <v>6.63</v>
      </c>
      <c r="K5177" s="0" t="n">
        <v>139.29</v>
      </c>
    </row>
    <row r="5178" customFormat="false" ht="15" hidden="false" customHeight="false" outlineLevel="0" collapsed="false">
      <c r="I5178" s="0" t="n">
        <v>2032</v>
      </c>
      <c r="J5178" s="0" t="n">
        <v>32.24</v>
      </c>
      <c r="K5178" s="0" t="n">
        <v>675.48</v>
      </c>
    </row>
    <row r="5179" customFormat="false" ht="15" hidden="false" customHeight="false" outlineLevel="0" collapsed="false">
      <c r="I5179" s="0" t="n">
        <v>2032</v>
      </c>
      <c r="J5179" s="0" t="n">
        <v>4.96</v>
      </c>
      <c r="K5179" s="0" t="n">
        <v>103.92</v>
      </c>
    </row>
    <row r="5180" customFormat="false" ht="15" hidden="false" customHeight="false" outlineLevel="0" collapsed="false">
      <c r="I5180" s="0" t="n">
        <v>2032</v>
      </c>
      <c r="J5180" s="0" t="n">
        <v>3.72</v>
      </c>
      <c r="K5180" s="0" t="n">
        <v>77.94</v>
      </c>
    </row>
    <row r="5181" customFormat="false" ht="15" hidden="false" customHeight="false" outlineLevel="0" collapsed="false">
      <c r="I5181" s="0" t="n">
        <v>2032</v>
      </c>
      <c r="J5181" s="0" t="n">
        <v>6.2</v>
      </c>
      <c r="K5181" s="0" t="n">
        <v>129.9</v>
      </c>
    </row>
    <row r="5182" customFormat="false" ht="15" hidden="false" customHeight="false" outlineLevel="0" collapsed="false">
      <c r="I5182" s="0" t="n">
        <v>2032</v>
      </c>
      <c r="J5182" s="0" t="n">
        <v>1.24</v>
      </c>
      <c r="K5182" s="0" t="n">
        <v>25.98</v>
      </c>
    </row>
    <row r="5183" customFormat="false" ht="15" hidden="false" customHeight="false" outlineLevel="0" collapsed="false">
      <c r="I5183" s="0" t="n">
        <v>2032</v>
      </c>
      <c r="J5183" s="0" t="n">
        <v>1.24</v>
      </c>
      <c r="K5183" s="0" t="n">
        <v>25.98</v>
      </c>
    </row>
    <row r="5184" customFormat="false" ht="15" hidden="false" customHeight="false" outlineLevel="0" collapsed="false">
      <c r="I5184" s="0" t="n">
        <v>2032</v>
      </c>
      <c r="J5184" s="0" t="n">
        <v>0</v>
      </c>
      <c r="K5184" s="0" t="n">
        <v>0</v>
      </c>
    </row>
    <row r="5185" customFormat="false" ht="15" hidden="false" customHeight="false" outlineLevel="0" collapsed="false">
      <c r="I5185" s="0" t="n">
        <v>2032</v>
      </c>
      <c r="J5185" s="0" t="n">
        <v>2.48</v>
      </c>
      <c r="K5185" s="0" t="n">
        <v>51.96</v>
      </c>
    </row>
    <row r="5186" customFormat="false" ht="15" hidden="false" customHeight="false" outlineLevel="0" collapsed="false">
      <c r="I5186" s="0" t="n">
        <v>2032</v>
      </c>
      <c r="J5186" s="0" t="n">
        <v>4.34</v>
      </c>
      <c r="K5186" s="0" t="n">
        <v>90.93</v>
      </c>
    </row>
    <row r="5187" customFormat="false" ht="15" hidden="false" customHeight="false" outlineLevel="0" collapsed="false">
      <c r="I5187" s="0" t="n">
        <v>2032</v>
      </c>
      <c r="J5187" s="0" t="n">
        <v>1.24</v>
      </c>
      <c r="K5187" s="0" t="n">
        <v>25.98</v>
      </c>
    </row>
    <row r="5188" customFormat="false" ht="15" hidden="false" customHeight="false" outlineLevel="0" collapsed="false">
      <c r="I5188" s="0" t="n">
        <v>2032</v>
      </c>
      <c r="J5188" s="0" t="n">
        <v>4.34</v>
      </c>
      <c r="K5188" s="0" t="n">
        <v>90.93</v>
      </c>
    </row>
    <row r="5189" customFormat="false" ht="15" hidden="false" customHeight="false" outlineLevel="0" collapsed="false">
      <c r="I5189" s="0" t="n">
        <v>2032</v>
      </c>
      <c r="J5189" s="0" t="n">
        <v>258.72</v>
      </c>
      <c r="K5189" s="0" t="n">
        <v>5430.72</v>
      </c>
    </row>
    <row r="5190" customFormat="false" ht="15" hidden="false" customHeight="false" outlineLevel="0" collapsed="false">
      <c r="I5190" s="0" t="n">
        <v>2032</v>
      </c>
      <c r="J5190" s="0" t="n">
        <v>86.24</v>
      </c>
      <c r="K5190" s="0" t="n">
        <v>1810.24</v>
      </c>
    </row>
    <row r="5191" customFormat="false" ht="15" hidden="false" customHeight="false" outlineLevel="0" collapsed="false">
      <c r="I5191" s="0" t="n">
        <v>2032</v>
      </c>
      <c r="J5191" s="0" t="n">
        <v>37.73</v>
      </c>
      <c r="K5191" s="0" t="n">
        <v>791.98</v>
      </c>
    </row>
    <row r="5192" customFormat="false" ht="15" hidden="false" customHeight="false" outlineLevel="0" collapsed="false">
      <c r="I5192" s="0" t="n">
        <v>2032</v>
      </c>
      <c r="J5192" s="0" t="n">
        <v>21.56</v>
      </c>
      <c r="K5192" s="0" t="n">
        <v>452.56</v>
      </c>
    </row>
    <row r="5193" customFormat="false" ht="15" hidden="false" customHeight="false" outlineLevel="0" collapsed="false">
      <c r="I5193" s="0" t="n">
        <v>2032</v>
      </c>
      <c r="J5193" s="0" t="n">
        <v>21.56</v>
      </c>
      <c r="K5193" s="0" t="n">
        <v>452.56</v>
      </c>
    </row>
    <row r="5194" customFormat="false" ht="15" hidden="false" customHeight="false" outlineLevel="0" collapsed="false">
      <c r="I5194" s="0" t="n">
        <v>2032</v>
      </c>
      <c r="J5194" s="0" t="n">
        <v>10.78</v>
      </c>
      <c r="K5194" s="0" t="n">
        <v>226.28</v>
      </c>
    </row>
    <row r="5195" customFormat="false" ht="15" hidden="false" customHeight="false" outlineLevel="0" collapsed="false">
      <c r="I5195" s="0" t="n">
        <v>2032</v>
      </c>
      <c r="J5195" s="0" t="n">
        <v>10.78</v>
      </c>
      <c r="K5195" s="0" t="n">
        <v>226.28</v>
      </c>
    </row>
    <row r="5196" customFormat="false" ht="15" hidden="false" customHeight="false" outlineLevel="0" collapsed="false">
      <c r="I5196" s="0" t="n">
        <v>2032</v>
      </c>
      <c r="J5196" s="0" t="n">
        <v>21.56</v>
      </c>
      <c r="K5196" s="0" t="n">
        <v>452.56</v>
      </c>
    </row>
    <row r="5197" customFormat="false" ht="15" hidden="false" customHeight="false" outlineLevel="0" collapsed="false">
      <c r="I5197" s="0" t="n">
        <v>2032</v>
      </c>
      <c r="J5197" s="0" t="n">
        <v>37.73</v>
      </c>
      <c r="K5197" s="0" t="n">
        <v>791.98</v>
      </c>
    </row>
    <row r="5198" customFormat="false" ht="15" hidden="false" customHeight="false" outlineLevel="0" collapsed="false">
      <c r="I5198" s="0" t="n">
        <v>2032</v>
      </c>
      <c r="J5198" s="0" t="n">
        <v>16.17</v>
      </c>
      <c r="K5198" s="0" t="n">
        <v>339.42</v>
      </c>
    </row>
    <row r="5199" customFormat="false" ht="15" hidden="false" customHeight="false" outlineLevel="0" collapsed="false">
      <c r="I5199" s="0" t="n">
        <v>2032</v>
      </c>
      <c r="J5199" s="0" t="n">
        <v>16.17</v>
      </c>
      <c r="K5199" s="0" t="n">
        <v>339.42</v>
      </c>
    </row>
    <row r="5200" customFormat="false" ht="15" hidden="false" customHeight="false" outlineLevel="0" collapsed="false">
      <c r="I5200" s="0" t="n">
        <v>2032</v>
      </c>
      <c r="J5200" s="0" t="n">
        <v>30.16</v>
      </c>
      <c r="K5200" s="0" t="n">
        <v>630.76</v>
      </c>
    </row>
    <row r="5201" customFormat="false" ht="15" hidden="false" customHeight="false" outlineLevel="0" collapsed="false">
      <c r="I5201" s="0" t="n">
        <v>2032</v>
      </c>
      <c r="J5201" s="0" t="n">
        <v>4.64</v>
      </c>
      <c r="K5201" s="0" t="n">
        <v>97.04</v>
      </c>
    </row>
    <row r="5202" customFormat="false" ht="15" hidden="false" customHeight="false" outlineLevel="0" collapsed="false">
      <c r="I5202" s="0" t="n">
        <v>2032</v>
      </c>
      <c r="J5202" s="0" t="n">
        <v>3.48</v>
      </c>
      <c r="K5202" s="0" t="n">
        <v>72.78</v>
      </c>
    </row>
    <row r="5203" customFormat="false" ht="15" hidden="false" customHeight="false" outlineLevel="0" collapsed="false">
      <c r="I5203" s="0" t="n">
        <v>2032</v>
      </c>
      <c r="J5203" s="0" t="n">
        <v>5.8</v>
      </c>
      <c r="K5203" s="0" t="n">
        <v>121.3</v>
      </c>
    </row>
    <row r="5204" customFormat="false" ht="15" hidden="false" customHeight="false" outlineLevel="0" collapsed="false">
      <c r="I5204" s="0" t="n">
        <v>2032</v>
      </c>
      <c r="J5204" s="0" t="n">
        <v>1.16</v>
      </c>
      <c r="K5204" s="0" t="n">
        <v>24.26</v>
      </c>
    </row>
    <row r="5205" customFormat="false" ht="15" hidden="false" customHeight="false" outlineLevel="0" collapsed="false">
      <c r="I5205" s="0" t="n">
        <v>2032</v>
      </c>
      <c r="J5205" s="0" t="n">
        <v>1.16</v>
      </c>
      <c r="K5205" s="0" t="n">
        <v>24.26</v>
      </c>
    </row>
    <row r="5206" customFormat="false" ht="15" hidden="false" customHeight="false" outlineLevel="0" collapsed="false">
      <c r="I5206" s="0" t="n">
        <v>2032</v>
      </c>
      <c r="J5206" s="0" t="n">
        <v>0</v>
      </c>
      <c r="K5206" s="0" t="n">
        <v>0</v>
      </c>
    </row>
    <row r="5207" customFormat="false" ht="15" hidden="false" customHeight="false" outlineLevel="0" collapsed="false">
      <c r="I5207" s="0" t="n">
        <v>2032</v>
      </c>
      <c r="J5207" s="0" t="n">
        <v>2.32</v>
      </c>
      <c r="K5207" s="0" t="n">
        <v>48.52</v>
      </c>
    </row>
    <row r="5208" customFormat="false" ht="15" hidden="false" customHeight="false" outlineLevel="0" collapsed="false">
      <c r="I5208" s="0" t="n">
        <v>2032</v>
      </c>
      <c r="J5208" s="0" t="n">
        <v>4.06</v>
      </c>
      <c r="K5208" s="0" t="n">
        <v>84.91</v>
      </c>
    </row>
    <row r="5209" customFormat="false" ht="15" hidden="false" customHeight="false" outlineLevel="0" collapsed="false">
      <c r="I5209" s="0" t="n">
        <v>2032</v>
      </c>
      <c r="J5209" s="0" t="n">
        <v>1.16</v>
      </c>
      <c r="K5209" s="0" t="n">
        <v>24.26</v>
      </c>
    </row>
    <row r="5210" customFormat="false" ht="15" hidden="false" customHeight="false" outlineLevel="0" collapsed="false">
      <c r="I5210" s="0" t="n">
        <v>2032</v>
      </c>
      <c r="J5210" s="0" t="n">
        <v>4.06</v>
      </c>
      <c r="K5210" s="0" t="n">
        <v>84.91</v>
      </c>
    </row>
    <row r="5211" customFormat="false" ht="15" hidden="false" customHeight="false" outlineLevel="0" collapsed="false">
      <c r="I5211" s="0" t="n">
        <v>2032</v>
      </c>
      <c r="J5211" s="0" t="n">
        <v>22.56</v>
      </c>
      <c r="K5211" s="0" t="n">
        <v>475.2</v>
      </c>
    </row>
    <row r="5212" customFormat="false" ht="15" hidden="false" customHeight="false" outlineLevel="0" collapsed="false">
      <c r="I5212" s="0" t="n">
        <v>2032</v>
      </c>
      <c r="J5212" s="0" t="n">
        <v>7.52</v>
      </c>
      <c r="K5212" s="0" t="n">
        <v>158.4</v>
      </c>
    </row>
    <row r="5213" customFormat="false" ht="15" hidden="false" customHeight="false" outlineLevel="0" collapsed="false">
      <c r="I5213" s="0" t="n">
        <v>2032</v>
      </c>
      <c r="J5213" s="0" t="n">
        <v>3.29</v>
      </c>
      <c r="K5213" s="0" t="n">
        <v>69.3</v>
      </c>
    </row>
    <row r="5214" customFormat="false" ht="15" hidden="false" customHeight="false" outlineLevel="0" collapsed="false">
      <c r="I5214" s="0" t="n">
        <v>2032</v>
      </c>
      <c r="J5214" s="0" t="n">
        <v>1.88</v>
      </c>
      <c r="K5214" s="0" t="n">
        <v>39.6</v>
      </c>
    </row>
    <row r="5215" customFormat="false" ht="15" hidden="false" customHeight="false" outlineLevel="0" collapsed="false">
      <c r="I5215" s="0" t="n">
        <v>2032</v>
      </c>
      <c r="J5215" s="0" t="n">
        <v>1.88</v>
      </c>
      <c r="K5215" s="0" t="n">
        <v>39.6</v>
      </c>
    </row>
    <row r="5216" customFormat="false" ht="15" hidden="false" customHeight="false" outlineLevel="0" collapsed="false">
      <c r="I5216" s="0" t="n">
        <v>2032</v>
      </c>
      <c r="J5216" s="0" t="n">
        <v>0.94</v>
      </c>
      <c r="K5216" s="0" t="n">
        <v>19.8</v>
      </c>
    </row>
    <row r="5217" customFormat="false" ht="15" hidden="false" customHeight="false" outlineLevel="0" collapsed="false">
      <c r="I5217" s="0" t="n">
        <v>2032</v>
      </c>
      <c r="J5217" s="0" t="n">
        <v>0.94</v>
      </c>
      <c r="K5217" s="0" t="n">
        <v>19.8</v>
      </c>
    </row>
    <row r="5218" customFormat="false" ht="15" hidden="false" customHeight="false" outlineLevel="0" collapsed="false">
      <c r="I5218" s="0" t="n">
        <v>2032</v>
      </c>
      <c r="J5218" s="0" t="n">
        <v>1.88</v>
      </c>
      <c r="K5218" s="0" t="n">
        <v>39.6</v>
      </c>
    </row>
    <row r="5219" customFormat="false" ht="15" hidden="false" customHeight="false" outlineLevel="0" collapsed="false">
      <c r="I5219" s="0" t="n">
        <v>2032</v>
      </c>
      <c r="J5219" s="0" t="n">
        <v>3.29</v>
      </c>
      <c r="K5219" s="0" t="n">
        <v>69.3</v>
      </c>
    </row>
    <row r="5220" customFormat="false" ht="15" hidden="false" customHeight="false" outlineLevel="0" collapsed="false">
      <c r="I5220" s="0" t="n">
        <v>2032</v>
      </c>
      <c r="J5220" s="0" t="n">
        <v>1.41</v>
      </c>
      <c r="K5220" s="0" t="n">
        <v>29.7</v>
      </c>
    </row>
    <row r="5221" customFormat="false" ht="15" hidden="false" customHeight="false" outlineLevel="0" collapsed="false">
      <c r="I5221" s="0" t="n">
        <v>2032</v>
      </c>
      <c r="J5221" s="0" t="n">
        <v>1.41</v>
      </c>
      <c r="K5221" s="0" t="n">
        <v>29.7</v>
      </c>
    </row>
    <row r="5222" customFormat="false" ht="15" hidden="false" customHeight="false" outlineLevel="0" collapsed="false">
      <c r="I5222" s="0" t="n">
        <v>2032</v>
      </c>
      <c r="J5222" s="0" t="n">
        <v>9.36</v>
      </c>
      <c r="K5222" s="0" t="n">
        <v>192.4</v>
      </c>
    </row>
    <row r="5223" customFormat="false" ht="15" hidden="false" customHeight="false" outlineLevel="0" collapsed="false">
      <c r="I5223" s="0" t="n">
        <v>2032</v>
      </c>
      <c r="J5223" s="0" t="n">
        <v>1.44</v>
      </c>
      <c r="K5223" s="0" t="n">
        <v>29.6</v>
      </c>
    </row>
    <row r="5224" customFormat="false" ht="15" hidden="false" customHeight="false" outlineLevel="0" collapsed="false">
      <c r="I5224" s="0" t="n">
        <v>2032</v>
      </c>
      <c r="J5224" s="0" t="n">
        <v>1.08</v>
      </c>
      <c r="K5224" s="0" t="n">
        <v>22.2</v>
      </c>
    </row>
    <row r="5225" customFormat="false" ht="15" hidden="false" customHeight="false" outlineLevel="0" collapsed="false">
      <c r="I5225" s="0" t="n">
        <v>2032</v>
      </c>
      <c r="J5225" s="0" t="n">
        <v>1.8</v>
      </c>
      <c r="K5225" s="0" t="n">
        <v>37</v>
      </c>
    </row>
    <row r="5226" customFormat="false" ht="15" hidden="false" customHeight="false" outlineLevel="0" collapsed="false">
      <c r="I5226" s="0" t="n">
        <v>2032</v>
      </c>
      <c r="J5226" s="0" t="n">
        <v>0.36</v>
      </c>
      <c r="K5226" s="0" t="n">
        <v>7.4</v>
      </c>
    </row>
    <row r="5227" customFormat="false" ht="15" hidden="false" customHeight="false" outlineLevel="0" collapsed="false">
      <c r="I5227" s="0" t="n">
        <v>2032</v>
      </c>
      <c r="J5227" s="0" t="n">
        <v>0.36</v>
      </c>
      <c r="K5227" s="0" t="n">
        <v>7.4</v>
      </c>
    </row>
    <row r="5228" customFormat="false" ht="15" hidden="false" customHeight="false" outlineLevel="0" collapsed="false">
      <c r="I5228" s="0" t="n">
        <v>2032</v>
      </c>
      <c r="J5228" s="0" t="n">
        <v>0</v>
      </c>
      <c r="K5228" s="0" t="n">
        <v>0</v>
      </c>
    </row>
    <row r="5229" customFormat="false" ht="15" hidden="false" customHeight="false" outlineLevel="0" collapsed="false">
      <c r="I5229" s="0" t="n">
        <v>2032</v>
      </c>
      <c r="J5229" s="0" t="n">
        <v>0.72</v>
      </c>
      <c r="K5229" s="0" t="n">
        <v>14.8</v>
      </c>
    </row>
    <row r="5230" customFormat="false" ht="15" hidden="false" customHeight="false" outlineLevel="0" collapsed="false">
      <c r="I5230" s="0" t="n">
        <v>2032</v>
      </c>
      <c r="J5230" s="0" t="n">
        <v>1.26</v>
      </c>
      <c r="K5230" s="0" t="n">
        <v>25.9</v>
      </c>
    </row>
    <row r="5231" customFormat="false" ht="15" hidden="false" customHeight="false" outlineLevel="0" collapsed="false">
      <c r="I5231" s="0" t="n">
        <v>2032</v>
      </c>
      <c r="J5231" s="0" t="n">
        <v>0.36</v>
      </c>
      <c r="K5231" s="0" t="n">
        <v>7.4</v>
      </c>
    </row>
    <row r="5232" customFormat="false" ht="15" hidden="false" customHeight="false" outlineLevel="0" collapsed="false">
      <c r="I5232" s="0" t="n">
        <v>2032</v>
      </c>
      <c r="J5232" s="0" t="n">
        <v>1.26</v>
      </c>
      <c r="K5232" s="0" t="n">
        <v>25.9</v>
      </c>
    </row>
    <row r="5233" customFormat="false" ht="15" hidden="false" customHeight="false" outlineLevel="0" collapsed="false">
      <c r="I5233" s="0" t="n">
        <v>2032</v>
      </c>
      <c r="J5233" s="0" t="n">
        <v>58.56</v>
      </c>
      <c r="K5233" s="0" t="n">
        <v>1228.8</v>
      </c>
    </row>
    <row r="5234" customFormat="false" ht="15" hidden="false" customHeight="false" outlineLevel="0" collapsed="false">
      <c r="I5234" s="0" t="n">
        <v>2032</v>
      </c>
      <c r="J5234" s="0" t="n">
        <v>19.52</v>
      </c>
      <c r="K5234" s="0" t="n">
        <v>409.6</v>
      </c>
    </row>
    <row r="5235" customFormat="false" ht="15" hidden="false" customHeight="false" outlineLevel="0" collapsed="false">
      <c r="I5235" s="0" t="n">
        <v>2032</v>
      </c>
      <c r="J5235" s="0" t="n">
        <v>8.54</v>
      </c>
      <c r="K5235" s="0" t="n">
        <v>179.2</v>
      </c>
    </row>
    <row r="5236" customFormat="false" ht="15" hidden="false" customHeight="false" outlineLevel="0" collapsed="false">
      <c r="I5236" s="0" t="n">
        <v>2032</v>
      </c>
      <c r="J5236" s="0" t="n">
        <v>4.88</v>
      </c>
      <c r="K5236" s="0" t="n">
        <v>102.4</v>
      </c>
    </row>
    <row r="5237" customFormat="false" ht="15" hidden="false" customHeight="false" outlineLevel="0" collapsed="false">
      <c r="I5237" s="0" t="n">
        <v>2032</v>
      </c>
      <c r="J5237" s="0" t="n">
        <v>4.88</v>
      </c>
      <c r="K5237" s="0" t="n">
        <v>102.4</v>
      </c>
    </row>
    <row r="5238" customFormat="false" ht="15" hidden="false" customHeight="false" outlineLevel="0" collapsed="false">
      <c r="I5238" s="0" t="n">
        <v>2032</v>
      </c>
      <c r="J5238" s="0" t="n">
        <v>2.44</v>
      </c>
      <c r="K5238" s="0" t="n">
        <v>51.2</v>
      </c>
    </row>
    <row r="5239" customFormat="false" ht="15" hidden="false" customHeight="false" outlineLevel="0" collapsed="false">
      <c r="I5239" s="0" t="n">
        <v>2032</v>
      </c>
      <c r="J5239" s="0" t="n">
        <v>2.44</v>
      </c>
      <c r="K5239" s="0" t="n">
        <v>51.2</v>
      </c>
    </row>
    <row r="5240" customFormat="false" ht="15" hidden="false" customHeight="false" outlineLevel="0" collapsed="false">
      <c r="I5240" s="0" t="n">
        <v>2032</v>
      </c>
      <c r="J5240" s="0" t="n">
        <v>4.88</v>
      </c>
      <c r="K5240" s="0" t="n">
        <v>102.4</v>
      </c>
    </row>
    <row r="5241" customFormat="false" ht="15" hidden="false" customHeight="false" outlineLevel="0" collapsed="false">
      <c r="I5241" s="0" t="n">
        <v>2032</v>
      </c>
      <c r="J5241" s="0" t="n">
        <v>8.54</v>
      </c>
      <c r="K5241" s="0" t="n">
        <v>179.2</v>
      </c>
    </row>
    <row r="5242" customFormat="false" ht="15" hidden="false" customHeight="false" outlineLevel="0" collapsed="false">
      <c r="I5242" s="0" t="n">
        <v>2032</v>
      </c>
      <c r="J5242" s="0" t="n">
        <v>3.66</v>
      </c>
      <c r="K5242" s="0" t="n">
        <v>76.8</v>
      </c>
    </row>
    <row r="5243" customFormat="false" ht="15" hidden="false" customHeight="false" outlineLevel="0" collapsed="false">
      <c r="I5243" s="0" t="n">
        <v>2032</v>
      </c>
      <c r="J5243" s="0" t="n">
        <v>3.66</v>
      </c>
      <c r="K5243" s="0" t="n">
        <v>76.8</v>
      </c>
    </row>
    <row r="5244" customFormat="false" ht="15" hidden="false" customHeight="false" outlineLevel="0" collapsed="false">
      <c r="I5244" s="0" t="n">
        <v>2032</v>
      </c>
      <c r="J5244" s="0" t="n">
        <v>15.08</v>
      </c>
      <c r="K5244" s="0" t="n">
        <v>315.12</v>
      </c>
    </row>
    <row r="5245" customFormat="false" ht="15" hidden="false" customHeight="false" outlineLevel="0" collapsed="false">
      <c r="I5245" s="0" t="n">
        <v>2032</v>
      </c>
      <c r="J5245" s="0" t="n">
        <v>2.32</v>
      </c>
      <c r="K5245" s="0" t="n">
        <v>48.48</v>
      </c>
    </row>
    <row r="5246" customFormat="false" ht="15" hidden="false" customHeight="false" outlineLevel="0" collapsed="false">
      <c r="I5246" s="0" t="n">
        <v>2032</v>
      </c>
      <c r="J5246" s="0" t="n">
        <v>1.74</v>
      </c>
      <c r="K5246" s="0" t="n">
        <v>36.36</v>
      </c>
    </row>
    <row r="5247" customFormat="false" ht="15" hidden="false" customHeight="false" outlineLevel="0" collapsed="false">
      <c r="I5247" s="0" t="n">
        <v>2032</v>
      </c>
      <c r="J5247" s="0" t="n">
        <v>2.9</v>
      </c>
      <c r="K5247" s="0" t="n">
        <v>60.6</v>
      </c>
    </row>
    <row r="5248" customFormat="false" ht="15" hidden="false" customHeight="false" outlineLevel="0" collapsed="false">
      <c r="I5248" s="0" t="n">
        <v>2032</v>
      </c>
      <c r="J5248" s="0" t="n">
        <v>0.58</v>
      </c>
      <c r="K5248" s="0" t="n">
        <v>12.12</v>
      </c>
    </row>
    <row r="5249" customFormat="false" ht="15" hidden="false" customHeight="false" outlineLevel="0" collapsed="false">
      <c r="I5249" s="0" t="n">
        <v>2032</v>
      </c>
      <c r="J5249" s="0" t="n">
        <v>0.58</v>
      </c>
      <c r="K5249" s="0" t="n">
        <v>12.12</v>
      </c>
    </row>
    <row r="5250" customFormat="false" ht="15" hidden="false" customHeight="false" outlineLevel="0" collapsed="false">
      <c r="I5250" s="0" t="n">
        <v>2032</v>
      </c>
      <c r="J5250" s="0" t="n">
        <v>0</v>
      </c>
      <c r="K5250" s="0" t="n">
        <v>0</v>
      </c>
    </row>
    <row r="5251" customFormat="false" ht="15" hidden="false" customHeight="false" outlineLevel="0" collapsed="false">
      <c r="I5251" s="0" t="n">
        <v>2032</v>
      </c>
      <c r="J5251" s="0" t="n">
        <v>1.16</v>
      </c>
      <c r="K5251" s="0" t="n">
        <v>24.24</v>
      </c>
    </row>
    <row r="5252" customFormat="false" ht="15" hidden="false" customHeight="false" outlineLevel="0" collapsed="false">
      <c r="I5252" s="0" t="n">
        <v>2032</v>
      </c>
      <c r="J5252" s="0" t="n">
        <v>2.03</v>
      </c>
      <c r="K5252" s="0" t="n">
        <v>42.42</v>
      </c>
    </row>
    <row r="5253" customFormat="false" ht="15" hidden="false" customHeight="false" outlineLevel="0" collapsed="false">
      <c r="I5253" s="0" t="n">
        <v>2032</v>
      </c>
      <c r="J5253" s="0" t="n">
        <v>0.58</v>
      </c>
      <c r="K5253" s="0" t="n">
        <v>12.12</v>
      </c>
    </row>
    <row r="5254" customFormat="false" ht="15" hidden="false" customHeight="false" outlineLevel="0" collapsed="false">
      <c r="I5254" s="0" t="n">
        <v>2032</v>
      </c>
      <c r="J5254" s="0" t="n">
        <v>2.03</v>
      </c>
      <c r="K5254" s="0" t="n">
        <v>42.42</v>
      </c>
    </row>
    <row r="5255" customFormat="false" ht="15" hidden="false" customHeight="false" outlineLevel="0" collapsed="false">
      <c r="I5255" s="0" t="n">
        <v>2032</v>
      </c>
      <c r="J5255" s="0" t="n">
        <v>84</v>
      </c>
      <c r="K5255" s="0" t="n">
        <v>1767.36</v>
      </c>
    </row>
    <row r="5256" customFormat="false" ht="15" hidden="false" customHeight="false" outlineLevel="0" collapsed="false">
      <c r="I5256" s="0" t="n">
        <v>2032</v>
      </c>
      <c r="J5256" s="0" t="n">
        <v>28</v>
      </c>
      <c r="K5256" s="0" t="n">
        <v>589.12</v>
      </c>
    </row>
    <row r="5257" customFormat="false" ht="15" hidden="false" customHeight="false" outlineLevel="0" collapsed="false">
      <c r="I5257" s="0" t="n">
        <v>2032</v>
      </c>
      <c r="J5257" s="0" t="n">
        <v>12.25</v>
      </c>
      <c r="K5257" s="0" t="n">
        <v>257.74</v>
      </c>
    </row>
    <row r="5258" customFormat="false" ht="15" hidden="false" customHeight="false" outlineLevel="0" collapsed="false">
      <c r="I5258" s="0" t="n">
        <v>2032</v>
      </c>
      <c r="J5258" s="0" t="n">
        <v>7</v>
      </c>
      <c r="K5258" s="0" t="n">
        <v>147.28</v>
      </c>
    </row>
    <row r="5259" customFormat="false" ht="15" hidden="false" customHeight="false" outlineLevel="0" collapsed="false">
      <c r="I5259" s="0" t="n">
        <v>2032</v>
      </c>
      <c r="J5259" s="0" t="n">
        <v>7</v>
      </c>
      <c r="K5259" s="0" t="n">
        <v>147.28</v>
      </c>
    </row>
    <row r="5260" customFormat="false" ht="15" hidden="false" customHeight="false" outlineLevel="0" collapsed="false">
      <c r="I5260" s="0" t="n">
        <v>2032</v>
      </c>
      <c r="J5260" s="0" t="n">
        <v>3.5</v>
      </c>
      <c r="K5260" s="0" t="n">
        <v>73.64</v>
      </c>
    </row>
    <row r="5261" customFormat="false" ht="15" hidden="false" customHeight="false" outlineLevel="0" collapsed="false">
      <c r="I5261" s="0" t="n">
        <v>2032</v>
      </c>
      <c r="J5261" s="0" t="n">
        <v>3.5</v>
      </c>
      <c r="K5261" s="0" t="n">
        <v>73.64</v>
      </c>
    </row>
    <row r="5262" customFormat="false" ht="15" hidden="false" customHeight="false" outlineLevel="0" collapsed="false">
      <c r="I5262" s="0" t="n">
        <v>2032</v>
      </c>
      <c r="J5262" s="0" t="n">
        <v>7</v>
      </c>
      <c r="K5262" s="0" t="n">
        <v>147.28</v>
      </c>
    </row>
    <row r="5263" customFormat="false" ht="15" hidden="false" customHeight="false" outlineLevel="0" collapsed="false">
      <c r="I5263" s="0" t="n">
        <v>2032</v>
      </c>
      <c r="J5263" s="0" t="n">
        <v>12.25</v>
      </c>
      <c r="K5263" s="0" t="n">
        <v>257.74</v>
      </c>
    </row>
    <row r="5264" customFormat="false" ht="15" hidden="false" customHeight="false" outlineLevel="0" collapsed="false">
      <c r="I5264" s="0" t="n">
        <v>2032</v>
      </c>
      <c r="J5264" s="0" t="n">
        <v>5.25</v>
      </c>
      <c r="K5264" s="0" t="n">
        <v>110.46</v>
      </c>
    </row>
    <row r="5265" customFormat="false" ht="15" hidden="false" customHeight="false" outlineLevel="0" collapsed="false">
      <c r="I5265" s="0" t="n">
        <v>2032</v>
      </c>
      <c r="J5265" s="0" t="n">
        <v>5.25</v>
      </c>
      <c r="K5265" s="0" t="n">
        <v>110.46</v>
      </c>
    </row>
    <row r="5266" customFormat="false" ht="15" hidden="false" customHeight="false" outlineLevel="0" collapsed="false">
      <c r="I5266" s="0" t="n">
        <v>2032</v>
      </c>
      <c r="J5266" s="0" t="n">
        <v>8.32</v>
      </c>
      <c r="K5266" s="0" t="n">
        <v>179.92</v>
      </c>
    </row>
    <row r="5267" customFormat="false" ht="15" hidden="false" customHeight="false" outlineLevel="0" collapsed="false">
      <c r="I5267" s="0" t="n">
        <v>2032</v>
      </c>
      <c r="J5267" s="0" t="n">
        <v>1.28</v>
      </c>
      <c r="K5267" s="0" t="n">
        <v>27.68</v>
      </c>
    </row>
    <row r="5268" customFormat="false" ht="15" hidden="false" customHeight="false" outlineLevel="0" collapsed="false">
      <c r="I5268" s="0" t="n">
        <v>2032</v>
      </c>
      <c r="J5268" s="0" t="n">
        <v>0.96</v>
      </c>
      <c r="K5268" s="0" t="n">
        <v>20.76</v>
      </c>
    </row>
    <row r="5269" customFormat="false" ht="15" hidden="false" customHeight="false" outlineLevel="0" collapsed="false">
      <c r="I5269" s="0" t="n">
        <v>2032</v>
      </c>
      <c r="J5269" s="0" t="n">
        <v>1.6</v>
      </c>
      <c r="K5269" s="0" t="n">
        <v>34.6</v>
      </c>
    </row>
    <row r="5270" customFormat="false" ht="15" hidden="false" customHeight="false" outlineLevel="0" collapsed="false">
      <c r="I5270" s="0" t="n">
        <v>2032</v>
      </c>
      <c r="J5270" s="0" t="n">
        <v>0.32</v>
      </c>
      <c r="K5270" s="0" t="n">
        <v>6.92</v>
      </c>
    </row>
    <row r="5271" customFormat="false" ht="15" hidden="false" customHeight="false" outlineLevel="0" collapsed="false">
      <c r="I5271" s="0" t="n">
        <v>2032</v>
      </c>
      <c r="J5271" s="0" t="n">
        <v>0.32</v>
      </c>
      <c r="K5271" s="0" t="n">
        <v>6.92</v>
      </c>
    </row>
    <row r="5272" customFormat="false" ht="15" hidden="false" customHeight="false" outlineLevel="0" collapsed="false">
      <c r="I5272" s="0" t="n">
        <v>2032</v>
      </c>
      <c r="J5272" s="0" t="n">
        <v>0</v>
      </c>
      <c r="K5272" s="0" t="n">
        <v>0</v>
      </c>
    </row>
    <row r="5273" customFormat="false" ht="15" hidden="false" customHeight="false" outlineLevel="0" collapsed="false">
      <c r="I5273" s="0" t="n">
        <v>2032</v>
      </c>
      <c r="J5273" s="0" t="n">
        <v>0.64</v>
      </c>
      <c r="K5273" s="0" t="n">
        <v>13.84</v>
      </c>
    </row>
    <row r="5274" customFormat="false" ht="15" hidden="false" customHeight="false" outlineLevel="0" collapsed="false">
      <c r="I5274" s="0" t="n">
        <v>2032</v>
      </c>
      <c r="J5274" s="0" t="n">
        <v>1.12</v>
      </c>
      <c r="K5274" s="0" t="n">
        <v>24.22</v>
      </c>
    </row>
    <row r="5275" customFormat="false" ht="15" hidden="false" customHeight="false" outlineLevel="0" collapsed="false">
      <c r="I5275" s="0" t="n">
        <v>2032</v>
      </c>
      <c r="J5275" s="0" t="n">
        <v>0.32</v>
      </c>
      <c r="K5275" s="0" t="n">
        <v>6.92</v>
      </c>
    </row>
    <row r="5276" customFormat="false" ht="15" hidden="false" customHeight="false" outlineLevel="0" collapsed="false">
      <c r="I5276" s="0" t="n">
        <v>2032</v>
      </c>
      <c r="J5276" s="0" t="n">
        <v>1.12</v>
      </c>
      <c r="K5276" s="0" t="n">
        <v>24.22</v>
      </c>
    </row>
    <row r="5277" customFormat="false" ht="15" hidden="false" customHeight="false" outlineLevel="0" collapsed="false">
      <c r="I5277" s="0" t="n">
        <v>2032</v>
      </c>
      <c r="J5277" s="0" t="n">
        <v>26.4</v>
      </c>
      <c r="K5277" s="0" t="n">
        <v>552.96</v>
      </c>
    </row>
    <row r="5278" customFormat="false" ht="15" hidden="false" customHeight="false" outlineLevel="0" collapsed="false">
      <c r="I5278" s="0" t="n">
        <v>2032</v>
      </c>
      <c r="J5278" s="0" t="n">
        <v>8.8</v>
      </c>
      <c r="K5278" s="0" t="n">
        <v>184.32</v>
      </c>
    </row>
    <row r="5279" customFormat="false" ht="15" hidden="false" customHeight="false" outlineLevel="0" collapsed="false">
      <c r="I5279" s="0" t="n">
        <v>2032</v>
      </c>
      <c r="J5279" s="0" t="n">
        <v>3.85</v>
      </c>
      <c r="K5279" s="0" t="n">
        <v>80.64</v>
      </c>
    </row>
    <row r="5280" customFormat="false" ht="15" hidden="false" customHeight="false" outlineLevel="0" collapsed="false">
      <c r="I5280" s="0" t="n">
        <v>2032</v>
      </c>
      <c r="J5280" s="0" t="n">
        <v>2.2</v>
      </c>
      <c r="K5280" s="0" t="n">
        <v>46.08</v>
      </c>
    </row>
    <row r="5281" customFormat="false" ht="15" hidden="false" customHeight="false" outlineLevel="0" collapsed="false">
      <c r="I5281" s="0" t="n">
        <v>2032</v>
      </c>
      <c r="J5281" s="0" t="n">
        <v>2.2</v>
      </c>
      <c r="K5281" s="0" t="n">
        <v>46.08</v>
      </c>
    </row>
    <row r="5282" customFormat="false" ht="15" hidden="false" customHeight="false" outlineLevel="0" collapsed="false">
      <c r="I5282" s="0" t="n">
        <v>2032</v>
      </c>
      <c r="J5282" s="0" t="n">
        <v>1.1</v>
      </c>
      <c r="K5282" s="0" t="n">
        <v>23.04</v>
      </c>
    </row>
    <row r="5283" customFormat="false" ht="15" hidden="false" customHeight="false" outlineLevel="0" collapsed="false">
      <c r="I5283" s="0" t="n">
        <v>2032</v>
      </c>
      <c r="J5283" s="0" t="n">
        <v>1.1</v>
      </c>
      <c r="K5283" s="0" t="n">
        <v>23.04</v>
      </c>
    </row>
    <row r="5284" customFormat="false" ht="15" hidden="false" customHeight="false" outlineLevel="0" collapsed="false">
      <c r="I5284" s="0" t="n">
        <v>2032</v>
      </c>
      <c r="J5284" s="0" t="n">
        <v>2.2</v>
      </c>
      <c r="K5284" s="0" t="n">
        <v>46.08</v>
      </c>
    </row>
    <row r="5285" customFormat="false" ht="15" hidden="false" customHeight="false" outlineLevel="0" collapsed="false">
      <c r="I5285" s="0" t="n">
        <v>2032</v>
      </c>
      <c r="J5285" s="0" t="n">
        <v>3.85</v>
      </c>
      <c r="K5285" s="0" t="n">
        <v>80.64</v>
      </c>
    </row>
    <row r="5286" customFormat="false" ht="15" hidden="false" customHeight="false" outlineLevel="0" collapsed="false">
      <c r="I5286" s="0" t="n">
        <v>2032</v>
      </c>
      <c r="J5286" s="0" t="n">
        <v>1.65</v>
      </c>
      <c r="K5286" s="0" t="n">
        <v>34.56</v>
      </c>
    </row>
    <row r="5287" customFormat="false" ht="15" hidden="false" customHeight="false" outlineLevel="0" collapsed="false">
      <c r="I5287" s="0" t="n">
        <v>2032</v>
      </c>
      <c r="J5287" s="0" t="n">
        <v>1.65</v>
      </c>
      <c r="K5287" s="0" t="n">
        <v>34.56</v>
      </c>
    </row>
    <row r="5288" customFormat="false" ht="15" hidden="false" customHeight="false" outlineLevel="0" collapsed="false">
      <c r="I5288" s="0" t="n">
        <v>2032</v>
      </c>
      <c r="J5288" s="0" t="n">
        <v>6.76</v>
      </c>
      <c r="K5288" s="0" t="n">
        <v>146.64</v>
      </c>
    </row>
    <row r="5289" customFormat="false" ht="15" hidden="false" customHeight="false" outlineLevel="0" collapsed="false">
      <c r="I5289" s="0" t="n">
        <v>2032</v>
      </c>
      <c r="J5289" s="0" t="n">
        <v>1.04</v>
      </c>
      <c r="K5289" s="0" t="n">
        <v>22.56</v>
      </c>
    </row>
    <row r="5290" customFormat="false" ht="15" hidden="false" customHeight="false" outlineLevel="0" collapsed="false">
      <c r="I5290" s="0" t="n">
        <v>2032</v>
      </c>
      <c r="J5290" s="0" t="n">
        <v>0.78</v>
      </c>
      <c r="K5290" s="0" t="n">
        <v>16.92</v>
      </c>
    </row>
    <row r="5291" customFormat="false" ht="15" hidden="false" customHeight="false" outlineLevel="0" collapsed="false">
      <c r="I5291" s="0" t="n">
        <v>2032</v>
      </c>
      <c r="J5291" s="0" t="n">
        <v>1.3</v>
      </c>
      <c r="K5291" s="0" t="n">
        <v>28.2</v>
      </c>
    </row>
    <row r="5292" customFormat="false" ht="15" hidden="false" customHeight="false" outlineLevel="0" collapsed="false">
      <c r="I5292" s="0" t="n">
        <v>2032</v>
      </c>
      <c r="J5292" s="0" t="n">
        <v>0.26</v>
      </c>
      <c r="K5292" s="0" t="n">
        <v>5.64</v>
      </c>
    </row>
    <row r="5293" customFormat="false" ht="15" hidden="false" customHeight="false" outlineLevel="0" collapsed="false">
      <c r="I5293" s="0" t="n">
        <v>2032</v>
      </c>
      <c r="J5293" s="0" t="n">
        <v>0.26</v>
      </c>
      <c r="K5293" s="0" t="n">
        <v>5.64</v>
      </c>
    </row>
    <row r="5294" customFormat="false" ht="15" hidden="false" customHeight="false" outlineLevel="0" collapsed="false">
      <c r="I5294" s="0" t="n">
        <v>2032</v>
      </c>
      <c r="J5294" s="0" t="n">
        <v>0</v>
      </c>
      <c r="K5294" s="0" t="n">
        <v>0</v>
      </c>
    </row>
    <row r="5295" customFormat="false" ht="15" hidden="false" customHeight="false" outlineLevel="0" collapsed="false">
      <c r="I5295" s="0" t="n">
        <v>2032</v>
      </c>
      <c r="J5295" s="0" t="n">
        <v>0.52</v>
      </c>
      <c r="K5295" s="0" t="n">
        <v>11.28</v>
      </c>
    </row>
    <row r="5296" customFormat="false" ht="15" hidden="false" customHeight="false" outlineLevel="0" collapsed="false">
      <c r="I5296" s="0" t="n">
        <v>2032</v>
      </c>
      <c r="J5296" s="0" t="n">
        <v>0.91</v>
      </c>
      <c r="K5296" s="0" t="n">
        <v>19.74</v>
      </c>
    </row>
    <row r="5297" customFormat="false" ht="15" hidden="false" customHeight="false" outlineLevel="0" collapsed="false">
      <c r="I5297" s="0" t="n">
        <v>2032</v>
      </c>
      <c r="J5297" s="0" t="n">
        <v>0.26</v>
      </c>
      <c r="K5297" s="0" t="n">
        <v>5.64</v>
      </c>
    </row>
    <row r="5298" customFormat="false" ht="15" hidden="false" customHeight="false" outlineLevel="0" collapsed="false">
      <c r="I5298" s="0" t="n">
        <v>2032</v>
      </c>
      <c r="J5298" s="0" t="n">
        <v>0.91</v>
      </c>
      <c r="K5298" s="0" t="n">
        <v>19.74</v>
      </c>
    </row>
    <row r="5299" customFormat="false" ht="15" hidden="false" customHeight="false" outlineLevel="0" collapsed="false">
      <c r="I5299" s="0" t="n">
        <v>2032</v>
      </c>
      <c r="J5299" s="0" t="n">
        <v>371.04</v>
      </c>
      <c r="K5299" s="0" t="n">
        <v>7791.36</v>
      </c>
    </row>
    <row r="5300" customFormat="false" ht="15" hidden="false" customHeight="false" outlineLevel="0" collapsed="false">
      <c r="I5300" s="0" t="n">
        <v>2032</v>
      </c>
      <c r="J5300" s="0" t="n">
        <v>123.68</v>
      </c>
      <c r="K5300" s="0" t="n">
        <v>2597.12</v>
      </c>
    </row>
    <row r="5301" customFormat="false" ht="15" hidden="false" customHeight="false" outlineLevel="0" collapsed="false">
      <c r="I5301" s="0" t="n">
        <v>2032</v>
      </c>
      <c r="J5301" s="0" t="n">
        <v>54.11</v>
      </c>
      <c r="K5301" s="0" t="n">
        <v>1136.24</v>
      </c>
    </row>
    <row r="5302" customFormat="false" ht="15" hidden="false" customHeight="false" outlineLevel="0" collapsed="false">
      <c r="I5302" s="0" t="n">
        <v>2032</v>
      </c>
      <c r="J5302" s="0" t="n">
        <v>30.92</v>
      </c>
      <c r="K5302" s="0" t="n">
        <v>649.28</v>
      </c>
    </row>
    <row r="5303" customFormat="false" ht="15" hidden="false" customHeight="false" outlineLevel="0" collapsed="false">
      <c r="I5303" s="0" t="n">
        <v>2032</v>
      </c>
      <c r="J5303" s="0" t="n">
        <v>30.92</v>
      </c>
      <c r="K5303" s="0" t="n">
        <v>649.28</v>
      </c>
    </row>
    <row r="5304" customFormat="false" ht="15" hidden="false" customHeight="false" outlineLevel="0" collapsed="false">
      <c r="I5304" s="0" t="n">
        <v>2032</v>
      </c>
      <c r="J5304" s="0" t="n">
        <v>15.46</v>
      </c>
      <c r="K5304" s="0" t="n">
        <v>324.64</v>
      </c>
    </row>
    <row r="5305" customFormat="false" ht="15" hidden="false" customHeight="false" outlineLevel="0" collapsed="false">
      <c r="I5305" s="0" t="n">
        <v>2032</v>
      </c>
      <c r="J5305" s="0" t="n">
        <v>15.46</v>
      </c>
      <c r="K5305" s="0" t="n">
        <v>324.64</v>
      </c>
    </row>
    <row r="5306" customFormat="false" ht="15" hidden="false" customHeight="false" outlineLevel="0" collapsed="false">
      <c r="I5306" s="0" t="n">
        <v>2032</v>
      </c>
      <c r="J5306" s="0" t="n">
        <v>30.92</v>
      </c>
      <c r="K5306" s="0" t="n">
        <v>649.28</v>
      </c>
    </row>
    <row r="5307" customFormat="false" ht="15" hidden="false" customHeight="false" outlineLevel="0" collapsed="false">
      <c r="I5307" s="0" t="n">
        <v>2032</v>
      </c>
      <c r="J5307" s="0" t="n">
        <v>54.11</v>
      </c>
      <c r="K5307" s="0" t="n">
        <v>1136.24</v>
      </c>
    </row>
    <row r="5308" customFormat="false" ht="15" hidden="false" customHeight="false" outlineLevel="0" collapsed="false">
      <c r="I5308" s="0" t="n">
        <v>2032</v>
      </c>
      <c r="J5308" s="0" t="n">
        <v>23.19</v>
      </c>
      <c r="K5308" s="0" t="n">
        <v>486.96</v>
      </c>
    </row>
    <row r="5309" customFormat="false" ht="15" hidden="false" customHeight="false" outlineLevel="0" collapsed="false">
      <c r="I5309" s="0" t="n">
        <v>2032</v>
      </c>
      <c r="J5309" s="0" t="n">
        <v>23.19</v>
      </c>
      <c r="K5309" s="0" t="n">
        <v>486.96</v>
      </c>
    </row>
    <row r="5310" customFormat="false" ht="15" hidden="false" customHeight="false" outlineLevel="0" collapsed="false">
      <c r="I5310" s="0" t="n">
        <v>2032</v>
      </c>
      <c r="J5310" s="0" t="n">
        <v>93.08</v>
      </c>
      <c r="K5310" s="0" t="n">
        <v>1954.16</v>
      </c>
    </row>
    <row r="5311" customFormat="false" ht="15" hidden="false" customHeight="false" outlineLevel="0" collapsed="false">
      <c r="I5311" s="0" t="n">
        <v>2032</v>
      </c>
      <c r="J5311" s="0" t="n">
        <v>14.32</v>
      </c>
      <c r="K5311" s="0" t="n">
        <v>300.64</v>
      </c>
    </row>
    <row r="5312" customFormat="false" ht="15" hidden="false" customHeight="false" outlineLevel="0" collapsed="false">
      <c r="I5312" s="0" t="n">
        <v>2032</v>
      </c>
      <c r="J5312" s="0" t="n">
        <v>10.74</v>
      </c>
      <c r="K5312" s="0" t="n">
        <v>225.48</v>
      </c>
    </row>
    <row r="5313" customFormat="false" ht="15" hidden="false" customHeight="false" outlineLevel="0" collapsed="false">
      <c r="I5313" s="0" t="n">
        <v>2032</v>
      </c>
      <c r="J5313" s="0" t="n">
        <v>17.9</v>
      </c>
      <c r="K5313" s="0" t="n">
        <v>375.8</v>
      </c>
    </row>
    <row r="5314" customFormat="false" ht="15" hidden="false" customHeight="false" outlineLevel="0" collapsed="false">
      <c r="I5314" s="0" t="n">
        <v>2032</v>
      </c>
      <c r="J5314" s="0" t="n">
        <v>3.58</v>
      </c>
      <c r="K5314" s="0" t="n">
        <v>75.16</v>
      </c>
    </row>
    <row r="5315" customFormat="false" ht="15" hidden="false" customHeight="false" outlineLevel="0" collapsed="false">
      <c r="I5315" s="0" t="n">
        <v>2032</v>
      </c>
      <c r="J5315" s="0" t="n">
        <v>3.58</v>
      </c>
      <c r="K5315" s="0" t="n">
        <v>75.16</v>
      </c>
    </row>
    <row r="5316" customFormat="false" ht="15" hidden="false" customHeight="false" outlineLevel="0" collapsed="false">
      <c r="I5316" s="0" t="n">
        <v>2032</v>
      </c>
      <c r="J5316" s="0" t="n">
        <v>0</v>
      </c>
      <c r="K5316" s="0" t="n">
        <v>0</v>
      </c>
    </row>
    <row r="5317" customFormat="false" ht="15" hidden="false" customHeight="false" outlineLevel="0" collapsed="false">
      <c r="I5317" s="0" t="n">
        <v>2032</v>
      </c>
      <c r="J5317" s="0" t="n">
        <v>7.16</v>
      </c>
      <c r="K5317" s="0" t="n">
        <v>150.32</v>
      </c>
    </row>
    <row r="5318" customFormat="false" ht="15" hidden="false" customHeight="false" outlineLevel="0" collapsed="false">
      <c r="I5318" s="0" t="n">
        <v>2032</v>
      </c>
      <c r="J5318" s="0" t="n">
        <v>12.53</v>
      </c>
      <c r="K5318" s="0" t="n">
        <v>263.06</v>
      </c>
    </row>
    <row r="5319" customFormat="false" ht="15" hidden="false" customHeight="false" outlineLevel="0" collapsed="false">
      <c r="I5319" s="0" t="n">
        <v>2032</v>
      </c>
      <c r="J5319" s="0" t="n">
        <v>3.58</v>
      </c>
      <c r="K5319" s="0" t="n">
        <v>75.16</v>
      </c>
    </row>
    <row r="5320" customFormat="false" ht="15" hidden="false" customHeight="false" outlineLevel="0" collapsed="false">
      <c r="I5320" s="0" t="n">
        <v>2032</v>
      </c>
      <c r="J5320" s="0" t="n">
        <v>12.53</v>
      </c>
      <c r="K5320" s="0" t="n">
        <v>263.06</v>
      </c>
    </row>
    <row r="5321" customFormat="false" ht="15" hidden="false" customHeight="false" outlineLevel="0" collapsed="false">
      <c r="I5321" s="0" t="n">
        <v>2032</v>
      </c>
      <c r="J5321" s="0" t="n">
        <v>214.56</v>
      </c>
      <c r="K5321" s="0" t="n">
        <v>4507.68</v>
      </c>
    </row>
    <row r="5322" customFormat="false" ht="15" hidden="false" customHeight="false" outlineLevel="0" collapsed="false">
      <c r="I5322" s="0" t="n">
        <v>2032</v>
      </c>
      <c r="J5322" s="0" t="n">
        <v>71.52</v>
      </c>
      <c r="K5322" s="0" t="n">
        <v>1502.56</v>
      </c>
    </row>
    <row r="5323" customFormat="false" ht="15" hidden="false" customHeight="false" outlineLevel="0" collapsed="false">
      <c r="I5323" s="0" t="n">
        <v>2032</v>
      </c>
      <c r="J5323" s="0" t="n">
        <v>31.29</v>
      </c>
      <c r="K5323" s="0" t="n">
        <v>657.37</v>
      </c>
    </row>
    <row r="5324" customFormat="false" ht="15" hidden="false" customHeight="false" outlineLevel="0" collapsed="false">
      <c r="I5324" s="0" t="n">
        <v>2032</v>
      </c>
      <c r="J5324" s="0" t="n">
        <v>17.88</v>
      </c>
      <c r="K5324" s="0" t="n">
        <v>375.64</v>
      </c>
    </row>
    <row r="5325" customFormat="false" ht="15" hidden="false" customHeight="false" outlineLevel="0" collapsed="false">
      <c r="I5325" s="0" t="n">
        <v>2032</v>
      </c>
      <c r="J5325" s="0" t="n">
        <v>17.88</v>
      </c>
      <c r="K5325" s="0" t="n">
        <v>375.64</v>
      </c>
    </row>
    <row r="5326" customFormat="false" ht="15" hidden="false" customHeight="false" outlineLevel="0" collapsed="false">
      <c r="I5326" s="0" t="n">
        <v>2032</v>
      </c>
      <c r="J5326" s="0" t="n">
        <v>8.94</v>
      </c>
      <c r="K5326" s="0" t="n">
        <v>187.82</v>
      </c>
    </row>
    <row r="5327" customFormat="false" ht="15" hidden="false" customHeight="false" outlineLevel="0" collapsed="false">
      <c r="I5327" s="0" t="n">
        <v>2032</v>
      </c>
      <c r="J5327" s="0" t="n">
        <v>8.94</v>
      </c>
      <c r="K5327" s="0" t="n">
        <v>187.82</v>
      </c>
    </row>
    <row r="5328" customFormat="false" ht="15" hidden="false" customHeight="false" outlineLevel="0" collapsed="false">
      <c r="I5328" s="0" t="n">
        <v>2032</v>
      </c>
      <c r="J5328" s="0" t="n">
        <v>17.88</v>
      </c>
      <c r="K5328" s="0" t="n">
        <v>375.64</v>
      </c>
    </row>
    <row r="5329" customFormat="false" ht="15" hidden="false" customHeight="false" outlineLevel="0" collapsed="false">
      <c r="I5329" s="0" t="n">
        <v>2032</v>
      </c>
      <c r="J5329" s="0" t="n">
        <v>31.29</v>
      </c>
      <c r="K5329" s="0" t="n">
        <v>657.37</v>
      </c>
    </row>
    <row r="5330" customFormat="false" ht="15" hidden="false" customHeight="false" outlineLevel="0" collapsed="false">
      <c r="I5330" s="0" t="n">
        <v>2032</v>
      </c>
      <c r="J5330" s="0" t="n">
        <v>13.41</v>
      </c>
      <c r="K5330" s="0" t="n">
        <v>281.73</v>
      </c>
    </row>
    <row r="5331" customFormat="false" ht="15" hidden="false" customHeight="false" outlineLevel="0" collapsed="false">
      <c r="I5331" s="0" t="n">
        <v>2032</v>
      </c>
      <c r="J5331" s="0" t="n">
        <v>13.41</v>
      </c>
      <c r="K5331" s="0" t="n">
        <v>281.73</v>
      </c>
    </row>
    <row r="5332" customFormat="false" ht="15" hidden="false" customHeight="false" outlineLevel="0" collapsed="false">
      <c r="I5332" s="0" t="n">
        <v>2032</v>
      </c>
      <c r="J5332" s="0" t="n">
        <v>33.28</v>
      </c>
      <c r="K5332" s="0" t="n">
        <v>703.56</v>
      </c>
    </row>
    <row r="5333" customFormat="false" ht="15" hidden="false" customHeight="false" outlineLevel="0" collapsed="false">
      <c r="I5333" s="0" t="n">
        <v>2032</v>
      </c>
      <c r="J5333" s="0" t="n">
        <v>5.12</v>
      </c>
      <c r="K5333" s="0" t="n">
        <v>108.24</v>
      </c>
    </row>
    <row r="5334" customFormat="false" ht="15" hidden="false" customHeight="false" outlineLevel="0" collapsed="false">
      <c r="I5334" s="0" t="n">
        <v>2032</v>
      </c>
      <c r="J5334" s="0" t="n">
        <v>3.84</v>
      </c>
      <c r="K5334" s="0" t="n">
        <v>81.18</v>
      </c>
    </row>
    <row r="5335" customFormat="false" ht="15" hidden="false" customHeight="false" outlineLevel="0" collapsed="false">
      <c r="I5335" s="0" t="n">
        <v>2032</v>
      </c>
      <c r="J5335" s="0" t="n">
        <v>6.4</v>
      </c>
      <c r="K5335" s="0" t="n">
        <v>135.3</v>
      </c>
    </row>
    <row r="5336" customFormat="false" ht="15" hidden="false" customHeight="false" outlineLevel="0" collapsed="false">
      <c r="I5336" s="0" t="n">
        <v>2032</v>
      </c>
      <c r="J5336" s="0" t="n">
        <v>1.28</v>
      </c>
      <c r="K5336" s="0" t="n">
        <v>27.06</v>
      </c>
    </row>
    <row r="5337" customFormat="false" ht="15" hidden="false" customHeight="false" outlineLevel="0" collapsed="false">
      <c r="I5337" s="0" t="n">
        <v>2032</v>
      </c>
      <c r="J5337" s="0" t="n">
        <v>1.28</v>
      </c>
      <c r="K5337" s="0" t="n">
        <v>27.06</v>
      </c>
    </row>
    <row r="5338" customFormat="false" ht="15" hidden="false" customHeight="false" outlineLevel="0" collapsed="false">
      <c r="I5338" s="0" t="n">
        <v>2032</v>
      </c>
      <c r="J5338" s="0" t="n">
        <v>0</v>
      </c>
      <c r="K5338" s="0" t="n">
        <v>0</v>
      </c>
    </row>
    <row r="5339" customFormat="false" ht="15" hidden="false" customHeight="false" outlineLevel="0" collapsed="false">
      <c r="I5339" s="0" t="n">
        <v>2032</v>
      </c>
      <c r="J5339" s="0" t="n">
        <v>2.56</v>
      </c>
      <c r="K5339" s="0" t="n">
        <v>54.12</v>
      </c>
    </row>
    <row r="5340" customFormat="false" ht="15" hidden="false" customHeight="false" outlineLevel="0" collapsed="false">
      <c r="I5340" s="0" t="n">
        <v>2032</v>
      </c>
      <c r="J5340" s="0" t="n">
        <v>4.48</v>
      </c>
      <c r="K5340" s="0" t="n">
        <v>94.71</v>
      </c>
    </row>
    <row r="5341" customFormat="false" ht="15" hidden="false" customHeight="false" outlineLevel="0" collapsed="false">
      <c r="I5341" s="0" t="n">
        <v>2032</v>
      </c>
      <c r="J5341" s="0" t="n">
        <v>1.28</v>
      </c>
      <c r="K5341" s="0" t="n">
        <v>27.06</v>
      </c>
    </row>
    <row r="5342" customFormat="false" ht="15" hidden="false" customHeight="false" outlineLevel="0" collapsed="false">
      <c r="I5342" s="0" t="n">
        <v>2032</v>
      </c>
      <c r="J5342" s="0" t="n">
        <v>4.48</v>
      </c>
      <c r="K5342" s="0" t="n">
        <v>94.71</v>
      </c>
    </row>
    <row r="5343" customFormat="false" ht="15" hidden="false" customHeight="false" outlineLevel="0" collapsed="false">
      <c r="I5343" s="0" t="n">
        <v>2032</v>
      </c>
      <c r="J5343" s="0" t="n">
        <v>126.72</v>
      </c>
      <c r="K5343" s="0" t="n">
        <v>2662.56</v>
      </c>
    </row>
    <row r="5344" customFormat="false" ht="15" hidden="false" customHeight="false" outlineLevel="0" collapsed="false">
      <c r="I5344" s="0" t="n">
        <v>2032</v>
      </c>
      <c r="J5344" s="0" t="n">
        <v>42.24</v>
      </c>
      <c r="K5344" s="0" t="n">
        <v>887.52</v>
      </c>
    </row>
    <row r="5345" customFormat="false" ht="15" hidden="false" customHeight="false" outlineLevel="0" collapsed="false">
      <c r="I5345" s="0" t="n">
        <v>2032</v>
      </c>
      <c r="J5345" s="0" t="n">
        <v>18.48</v>
      </c>
      <c r="K5345" s="0" t="n">
        <v>388.29</v>
      </c>
    </row>
    <row r="5346" customFormat="false" ht="15" hidden="false" customHeight="false" outlineLevel="0" collapsed="false">
      <c r="I5346" s="0" t="n">
        <v>2032</v>
      </c>
      <c r="J5346" s="0" t="n">
        <v>10.56</v>
      </c>
      <c r="K5346" s="0" t="n">
        <v>221.88</v>
      </c>
    </row>
    <row r="5347" customFormat="false" ht="15" hidden="false" customHeight="false" outlineLevel="0" collapsed="false">
      <c r="I5347" s="0" t="n">
        <v>2032</v>
      </c>
      <c r="J5347" s="0" t="n">
        <v>10.56</v>
      </c>
      <c r="K5347" s="0" t="n">
        <v>221.88</v>
      </c>
    </row>
    <row r="5348" customFormat="false" ht="15" hidden="false" customHeight="false" outlineLevel="0" collapsed="false">
      <c r="I5348" s="0" t="n">
        <v>2032</v>
      </c>
      <c r="J5348" s="0" t="n">
        <v>5.28</v>
      </c>
      <c r="K5348" s="0" t="n">
        <v>110.94</v>
      </c>
    </row>
    <row r="5349" customFormat="false" ht="15" hidden="false" customHeight="false" outlineLevel="0" collapsed="false">
      <c r="I5349" s="0" t="n">
        <v>2032</v>
      </c>
      <c r="J5349" s="0" t="n">
        <v>5.28</v>
      </c>
      <c r="K5349" s="0" t="n">
        <v>110.94</v>
      </c>
    </row>
    <row r="5350" customFormat="false" ht="15" hidden="false" customHeight="false" outlineLevel="0" collapsed="false">
      <c r="I5350" s="0" t="n">
        <v>2032</v>
      </c>
      <c r="J5350" s="0" t="n">
        <v>10.56</v>
      </c>
      <c r="K5350" s="0" t="n">
        <v>221.88</v>
      </c>
    </row>
    <row r="5351" customFormat="false" ht="15" hidden="false" customHeight="false" outlineLevel="0" collapsed="false">
      <c r="I5351" s="0" t="n">
        <v>2032</v>
      </c>
      <c r="J5351" s="0" t="n">
        <v>18.48</v>
      </c>
      <c r="K5351" s="0" t="n">
        <v>388.29</v>
      </c>
    </row>
    <row r="5352" customFormat="false" ht="15" hidden="false" customHeight="false" outlineLevel="0" collapsed="false">
      <c r="I5352" s="0" t="n">
        <v>2032</v>
      </c>
      <c r="J5352" s="0" t="n">
        <v>7.92</v>
      </c>
      <c r="K5352" s="0" t="n">
        <v>166.41</v>
      </c>
    </row>
    <row r="5353" customFormat="false" ht="15" hidden="false" customHeight="false" outlineLevel="0" collapsed="false">
      <c r="I5353" s="0" t="n">
        <v>2032</v>
      </c>
      <c r="J5353" s="0" t="n">
        <v>7.92</v>
      </c>
      <c r="K5353" s="0" t="n">
        <v>166.41</v>
      </c>
    </row>
    <row r="5354" customFormat="false" ht="15" hidden="false" customHeight="false" outlineLevel="0" collapsed="false">
      <c r="I5354" s="0" t="n">
        <v>2032</v>
      </c>
      <c r="J5354" s="0" t="n">
        <v>17.68</v>
      </c>
      <c r="K5354" s="0" t="n">
        <v>366.6</v>
      </c>
    </row>
    <row r="5355" customFormat="false" ht="15" hidden="false" customHeight="false" outlineLevel="0" collapsed="false">
      <c r="I5355" s="0" t="n">
        <v>2032</v>
      </c>
      <c r="J5355" s="0" t="n">
        <v>2.72</v>
      </c>
      <c r="K5355" s="0" t="n">
        <v>56.4</v>
      </c>
    </row>
    <row r="5356" customFormat="false" ht="15" hidden="false" customHeight="false" outlineLevel="0" collapsed="false">
      <c r="I5356" s="0" t="n">
        <v>2032</v>
      </c>
      <c r="J5356" s="0" t="n">
        <v>2.04</v>
      </c>
      <c r="K5356" s="0" t="n">
        <v>42.3</v>
      </c>
    </row>
    <row r="5357" customFormat="false" ht="15" hidden="false" customHeight="false" outlineLevel="0" collapsed="false">
      <c r="I5357" s="0" t="n">
        <v>2032</v>
      </c>
      <c r="J5357" s="0" t="n">
        <v>3.4</v>
      </c>
      <c r="K5357" s="0" t="n">
        <v>70.5</v>
      </c>
    </row>
    <row r="5358" customFormat="false" ht="15" hidden="false" customHeight="false" outlineLevel="0" collapsed="false">
      <c r="I5358" s="0" t="n">
        <v>2032</v>
      </c>
      <c r="J5358" s="0" t="n">
        <v>0.68</v>
      </c>
      <c r="K5358" s="0" t="n">
        <v>14.1</v>
      </c>
    </row>
    <row r="5359" customFormat="false" ht="15" hidden="false" customHeight="false" outlineLevel="0" collapsed="false">
      <c r="I5359" s="0" t="n">
        <v>2032</v>
      </c>
      <c r="J5359" s="0" t="n">
        <v>0.68</v>
      </c>
      <c r="K5359" s="0" t="n">
        <v>14.1</v>
      </c>
    </row>
    <row r="5360" customFormat="false" ht="15" hidden="false" customHeight="false" outlineLevel="0" collapsed="false">
      <c r="I5360" s="0" t="n">
        <v>2032</v>
      </c>
      <c r="J5360" s="0" t="n">
        <v>0</v>
      </c>
      <c r="K5360" s="0" t="n">
        <v>0</v>
      </c>
    </row>
    <row r="5361" customFormat="false" ht="15" hidden="false" customHeight="false" outlineLevel="0" collapsed="false">
      <c r="I5361" s="0" t="n">
        <v>2032</v>
      </c>
      <c r="J5361" s="0" t="n">
        <v>1.36</v>
      </c>
      <c r="K5361" s="0" t="n">
        <v>28.2</v>
      </c>
    </row>
    <row r="5362" customFormat="false" ht="15" hidden="false" customHeight="false" outlineLevel="0" collapsed="false">
      <c r="I5362" s="0" t="n">
        <v>2032</v>
      </c>
      <c r="J5362" s="0" t="n">
        <v>2.38</v>
      </c>
      <c r="K5362" s="0" t="n">
        <v>49.35</v>
      </c>
    </row>
    <row r="5363" customFormat="false" ht="15" hidden="false" customHeight="false" outlineLevel="0" collapsed="false">
      <c r="I5363" s="0" t="n">
        <v>2032</v>
      </c>
      <c r="J5363" s="0" t="n">
        <v>0.68</v>
      </c>
      <c r="K5363" s="0" t="n">
        <v>14.1</v>
      </c>
    </row>
    <row r="5364" customFormat="false" ht="15" hidden="false" customHeight="false" outlineLevel="0" collapsed="false">
      <c r="I5364" s="0" t="n">
        <v>2032</v>
      </c>
      <c r="J5364" s="0" t="n">
        <v>2.38</v>
      </c>
      <c r="K5364" s="0" t="n">
        <v>49.35</v>
      </c>
    </row>
    <row r="5365" customFormat="false" ht="15" hidden="false" customHeight="false" outlineLevel="0" collapsed="false">
      <c r="I5365" s="0" t="n">
        <v>2032</v>
      </c>
      <c r="J5365" s="0" t="n">
        <v>109.44</v>
      </c>
      <c r="K5365" s="0" t="n">
        <v>2293.44</v>
      </c>
    </row>
    <row r="5366" customFormat="false" ht="15" hidden="false" customHeight="false" outlineLevel="0" collapsed="false">
      <c r="I5366" s="0" t="n">
        <v>2032</v>
      </c>
      <c r="J5366" s="0" t="n">
        <v>36.48</v>
      </c>
      <c r="K5366" s="0" t="n">
        <v>764.48</v>
      </c>
    </row>
    <row r="5367" customFormat="false" ht="15" hidden="false" customHeight="false" outlineLevel="0" collapsed="false">
      <c r="I5367" s="0" t="n">
        <v>2032</v>
      </c>
      <c r="J5367" s="0" t="n">
        <v>15.96</v>
      </c>
      <c r="K5367" s="0" t="n">
        <v>334.46</v>
      </c>
    </row>
    <row r="5368" customFormat="false" ht="15" hidden="false" customHeight="false" outlineLevel="0" collapsed="false">
      <c r="I5368" s="0" t="n">
        <v>2032</v>
      </c>
      <c r="J5368" s="0" t="n">
        <v>9.12</v>
      </c>
      <c r="K5368" s="0" t="n">
        <v>191.12</v>
      </c>
    </row>
    <row r="5369" customFormat="false" ht="15" hidden="false" customHeight="false" outlineLevel="0" collapsed="false">
      <c r="I5369" s="0" t="n">
        <v>2032</v>
      </c>
      <c r="J5369" s="0" t="n">
        <v>9.12</v>
      </c>
      <c r="K5369" s="0" t="n">
        <v>191.12</v>
      </c>
    </row>
    <row r="5370" customFormat="false" ht="15" hidden="false" customHeight="false" outlineLevel="0" collapsed="false">
      <c r="I5370" s="0" t="n">
        <v>2032</v>
      </c>
      <c r="J5370" s="0" t="n">
        <v>4.56</v>
      </c>
      <c r="K5370" s="0" t="n">
        <v>95.56</v>
      </c>
    </row>
    <row r="5371" customFormat="false" ht="15" hidden="false" customHeight="false" outlineLevel="0" collapsed="false">
      <c r="I5371" s="0" t="n">
        <v>2032</v>
      </c>
      <c r="J5371" s="0" t="n">
        <v>4.56</v>
      </c>
      <c r="K5371" s="0" t="n">
        <v>95.56</v>
      </c>
    </row>
    <row r="5372" customFormat="false" ht="15" hidden="false" customHeight="false" outlineLevel="0" collapsed="false">
      <c r="I5372" s="0" t="n">
        <v>2032</v>
      </c>
      <c r="J5372" s="0" t="n">
        <v>9.12</v>
      </c>
      <c r="K5372" s="0" t="n">
        <v>191.12</v>
      </c>
    </row>
    <row r="5373" customFormat="false" ht="15" hidden="false" customHeight="false" outlineLevel="0" collapsed="false">
      <c r="I5373" s="0" t="n">
        <v>2032</v>
      </c>
      <c r="J5373" s="0" t="n">
        <v>15.96</v>
      </c>
      <c r="K5373" s="0" t="n">
        <v>334.46</v>
      </c>
    </row>
    <row r="5374" customFormat="false" ht="15" hidden="false" customHeight="false" outlineLevel="0" collapsed="false">
      <c r="I5374" s="0" t="n">
        <v>2032</v>
      </c>
      <c r="J5374" s="0" t="n">
        <v>6.84</v>
      </c>
      <c r="K5374" s="0" t="n">
        <v>143.34</v>
      </c>
    </row>
    <row r="5375" customFormat="false" ht="15" hidden="false" customHeight="false" outlineLevel="0" collapsed="false">
      <c r="I5375" s="0" t="n">
        <v>2032</v>
      </c>
      <c r="J5375" s="0" t="n">
        <v>6.84</v>
      </c>
      <c r="K5375" s="0" t="n">
        <v>143.34</v>
      </c>
    </row>
    <row r="5376" customFormat="false" ht="15" hidden="false" customHeight="false" outlineLevel="0" collapsed="false">
      <c r="I5376" s="0" t="n">
        <v>2032</v>
      </c>
      <c r="J5376" s="0" t="n">
        <v>23.4</v>
      </c>
      <c r="K5376" s="0" t="n">
        <v>489.84</v>
      </c>
    </row>
    <row r="5377" customFormat="false" ht="15" hidden="false" customHeight="false" outlineLevel="0" collapsed="false">
      <c r="I5377" s="0" t="n">
        <v>2032</v>
      </c>
      <c r="J5377" s="0" t="n">
        <v>3.6</v>
      </c>
      <c r="K5377" s="0" t="n">
        <v>75.36</v>
      </c>
    </row>
    <row r="5378" customFormat="false" ht="15" hidden="false" customHeight="false" outlineLevel="0" collapsed="false">
      <c r="I5378" s="0" t="n">
        <v>2032</v>
      </c>
      <c r="J5378" s="0" t="n">
        <v>2.7</v>
      </c>
      <c r="K5378" s="0" t="n">
        <v>56.52</v>
      </c>
    </row>
    <row r="5379" customFormat="false" ht="15" hidden="false" customHeight="false" outlineLevel="0" collapsed="false">
      <c r="I5379" s="0" t="n">
        <v>2032</v>
      </c>
      <c r="J5379" s="0" t="n">
        <v>4.5</v>
      </c>
      <c r="K5379" s="0" t="n">
        <v>94.2</v>
      </c>
    </row>
    <row r="5380" customFormat="false" ht="15" hidden="false" customHeight="false" outlineLevel="0" collapsed="false">
      <c r="I5380" s="0" t="n">
        <v>2032</v>
      </c>
      <c r="J5380" s="0" t="n">
        <v>0.9</v>
      </c>
      <c r="K5380" s="0" t="n">
        <v>18.84</v>
      </c>
    </row>
    <row r="5381" customFormat="false" ht="15" hidden="false" customHeight="false" outlineLevel="0" collapsed="false">
      <c r="I5381" s="0" t="n">
        <v>2032</v>
      </c>
      <c r="J5381" s="0" t="n">
        <v>0.9</v>
      </c>
      <c r="K5381" s="0" t="n">
        <v>18.84</v>
      </c>
    </row>
    <row r="5382" customFormat="false" ht="15" hidden="false" customHeight="false" outlineLevel="0" collapsed="false">
      <c r="I5382" s="0" t="n">
        <v>2032</v>
      </c>
      <c r="J5382" s="0" t="n">
        <v>0</v>
      </c>
      <c r="K5382" s="0" t="n">
        <v>0</v>
      </c>
    </row>
    <row r="5383" customFormat="false" ht="15" hidden="false" customHeight="false" outlineLevel="0" collapsed="false">
      <c r="I5383" s="0" t="n">
        <v>2032</v>
      </c>
      <c r="J5383" s="0" t="n">
        <v>1.8</v>
      </c>
      <c r="K5383" s="0" t="n">
        <v>37.68</v>
      </c>
    </row>
    <row r="5384" customFormat="false" ht="15" hidden="false" customHeight="false" outlineLevel="0" collapsed="false">
      <c r="I5384" s="0" t="n">
        <v>2032</v>
      </c>
      <c r="J5384" s="0" t="n">
        <v>3.15</v>
      </c>
      <c r="K5384" s="0" t="n">
        <v>65.94</v>
      </c>
    </row>
    <row r="5385" customFormat="false" ht="15" hidden="false" customHeight="false" outlineLevel="0" collapsed="false">
      <c r="I5385" s="0" t="n">
        <v>2032</v>
      </c>
      <c r="J5385" s="0" t="n">
        <v>0.9</v>
      </c>
      <c r="K5385" s="0" t="n">
        <v>18.84</v>
      </c>
    </row>
    <row r="5386" customFormat="false" ht="15" hidden="false" customHeight="false" outlineLevel="0" collapsed="false">
      <c r="I5386" s="0" t="n">
        <v>2032</v>
      </c>
      <c r="J5386" s="0" t="n">
        <v>3.15</v>
      </c>
      <c r="K5386" s="0" t="n">
        <v>65.94</v>
      </c>
    </row>
    <row r="5387" customFormat="false" ht="15" hidden="false" customHeight="false" outlineLevel="0" collapsed="false">
      <c r="I5387" s="0" t="n">
        <v>2032</v>
      </c>
      <c r="J5387" s="0" t="n">
        <v>116.16</v>
      </c>
      <c r="K5387" s="0" t="n">
        <v>2438.88</v>
      </c>
    </row>
    <row r="5388" customFormat="false" ht="15" hidden="false" customHeight="false" outlineLevel="0" collapsed="false">
      <c r="I5388" s="0" t="n">
        <v>2032</v>
      </c>
      <c r="J5388" s="0" t="n">
        <v>38.72</v>
      </c>
      <c r="K5388" s="0" t="n">
        <v>812.96</v>
      </c>
    </row>
    <row r="5389" customFormat="false" ht="15" hidden="false" customHeight="false" outlineLevel="0" collapsed="false">
      <c r="I5389" s="0" t="n">
        <v>2032</v>
      </c>
      <c r="J5389" s="0" t="n">
        <v>16.94</v>
      </c>
      <c r="K5389" s="0" t="n">
        <v>355.67</v>
      </c>
    </row>
    <row r="5390" customFormat="false" ht="15" hidden="false" customHeight="false" outlineLevel="0" collapsed="false">
      <c r="I5390" s="0" t="n">
        <v>2032</v>
      </c>
      <c r="J5390" s="0" t="n">
        <v>9.68</v>
      </c>
      <c r="K5390" s="0" t="n">
        <v>203.24</v>
      </c>
    </row>
    <row r="5391" customFormat="false" ht="15" hidden="false" customHeight="false" outlineLevel="0" collapsed="false">
      <c r="I5391" s="0" t="n">
        <v>2032</v>
      </c>
      <c r="J5391" s="0" t="n">
        <v>9.68</v>
      </c>
      <c r="K5391" s="0" t="n">
        <v>203.24</v>
      </c>
    </row>
    <row r="5392" customFormat="false" ht="15" hidden="false" customHeight="false" outlineLevel="0" collapsed="false">
      <c r="I5392" s="0" t="n">
        <v>2032</v>
      </c>
      <c r="J5392" s="0" t="n">
        <v>4.84</v>
      </c>
      <c r="K5392" s="0" t="n">
        <v>101.62</v>
      </c>
    </row>
    <row r="5393" customFormat="false" ht="15" hidden="false" customHeight="false" outlineLevel="0" collapsed="false">
      <c r="I5393" s="0" t="n">
        <v>2032</v>
      </c>
      <c r="J5393" s="0" t="n">
        <v>4.84</v>
      </c>
      <c r="K5393" s="0" t="n">
        <v>101.62</v>
      </c>
    </row>
    <row r="5394" customFormat="false" ht="15" hidden="false" customHeight="false" outlineLevel="0" collapsed="false">
      <c r="I5394" s="0" t="n">
        <v>2032</v>
      </c>
      <c r="J5394" s="0" t="n">
        <v>9.68</v>
      </c>
      <c r="K5394" s="0" t="n">
        <v>203.24</v>
      </c>
    </row>
    <row r="5395" customFormat="false" ht="15" hidden="false" customHeight="false" outlineLevel="0" collapsed="false">
      <c r="I5395" s="0" t="n">
        <v>2032</v>
      </c>
      <c r="J5395" s="0" t="n">
        <v>16.94</v>
      </c>
      <c r="K5395" s="0" t="n">
        <v>355.67</v>
      </c>
    </row>
    <row r="5396" customFormat="false" ht="15" hidden="false" customHeight="false" outlineLevel="0" collapsed="false">
      <c r="I5396" s="0" t="n">
        <v>2032</v>
      </c>
      <c r="J5396" s="0" t="n">
        <v>7.26</v>
      </c>
      <c r="K5396" s="0" t="n">
        <v>152.43</v>
      </c>
    </row>
    <row r="5397" customFormat="false" ht="15" hidden="false" customHeight="false" outlineLevel="0" collapsed="false">
      <c r="I5397" s="0" t="n">
        <v>2032</v>
      </c>
      <c r="J5397" s="0" t="n">
        <v>7.26</v>
      </c>
      <c r="K5397" s="0" t="n">
        <v>152.43</v>
      </c>
    </row>
    <row r="5398" customFormat="false" ht="15" hidden="false" customHeight="false" outlineLevel="0" collapsed="false">
      <c r="I5398" s="0" t="n">
        <v>2032</v>
      </c>
      <c r="J5398" s="0" t="n">
        <v>31.2</v>
      </c>
      <c r="K5398" s="0" t="n">
        <v>658.84</v>
      </c>
    </row>
    <row r="5399" customFormat="false" ht="15" hidden="false" customHeight="false" outlineLevel="0" collapsed="false">
      <c r="I5399" s="0" t="n">
        <v>2032</v>
      </c>
      <c r="J5399" s="0" t="n">
        <v>4.8</v>
      </c>
      <c r="K5399" s="0" t="n">
        <v>101.36</v>
      </c>
    </row>
    <row r="5400" customFormat="false" ht="15" hidden="false" customHeight="false" outlineLevel="0" collapsed="false">
      <c r="I5400" s="0" t="n">
        <v>2032</v>
      </c>
      <c r="J5400" s="0" t="n">
        <v>3.6</v>
      </c>
      <c r="K5400" s="0" t="n">
        <v>76.02</v>
      </c>
    </row>
    <row r="5401" customFormat="false" ht="15" hidden="false" customHeight="false" outlineLevel="0" collapsed="false">
      <c r="I5401" s="0" t="n">
        <v>2032</v>
      </c>
      <c r="J5401" s="0" t="n">
        <v>6</v>
      </c>
      <c r="K5401" s="0" t="n">
        <v>126.7</v>
      </c>
    </row>
    <row r="5402" customFormat="false" ht="15" hidden="false" customHeight="false" outlineLevel="0" collapsed="false">
      <c r="I5402" s="0" t="n">
        <v>2032</v>
      </c>
      <c r="J5402" s="0" t="n">
        <v>1.2</v>
      </c>
      <c r="K5402" s="0" t="n">
        <v>25.34</v>
      </c>
    </row>
    <row r="5403" customFormat="false" ht="15" hidden="false" customHeight="false" outlineLevel="0" collapsed="false">
      <c r="I5403" s="0" t="n">
        <v>2032</v>
      </c>
      <c r="J5403" s="0" t="n">
        <v>1.2</v>
      </c>
      <c r="K5403" s="0" t="n">
        <v>25.34</v>
      </c>
    </row>
    <row r="5404" customFormat="false" ht="15" hidden="false" customHeight="false" outlineLevel="0" collapsed="false">
      <c r="I5404" s="0" t="n">
        <v>2032</v>
      </c>
      <c r="J5404" s="0" t="n">
        <v>0</v>
      </c>
      <c r="K5404" s="0" t="n">
        <v>0</v>
      </c>
    </row>
    <row r="5405" customFormat="false" ht="15" hidden="false" customHeight="false" outlineLevel="0" collapsed="false">
      <c r="I5405" s="0" t="n">
        <v>2032</v>
      </c>
      <c r="J5405" s="0" t="n">
        <v>2.4</v>
      </c>
      <c r="K5405" s="0" t="n">
        <v>50.68</v>
      </c>
    </row>
    <row r="5406" customFormat="false" ht="15" hidden="false" customHeight="false" outlineLevel="0" collapsed="false">
      <c r="I5406" s="0" t="n">
        <v>2032</v>
      </c>
      <c r="J5406" s="0" t="n">
        <v>4.2</v>
      </c>
      <c r="K5406" s="0" t="n">
        <v>88.69</v>
      </c>
    </row>
    <row r="5407" customFormat="false" ht="15" hidden="false" customHeight="false" outlineLevel="0" collapsed="false">
      <c r="I5407" s="0" t="n">
        <v>2032</v>
      </c>
      <c r="J5407" s="0" t="n">
        <v>1.2</v>
      </c>
      <c r="K5407" s="0" t="n">
        <v>25.34</v>
      </c>
    </row>
    <row r="5408" customFormat="false" ht="15" hidden="false" customHeight="false" outlineLevel="0" collapsed="false">
      <c r="I5408" s="0" t="n">
        <v>2032</v>
      </c>
      <c r="J5408" s="0" t="n">
        <v>4.2</v>
      </c>
      <c r="K5408" s="0" t="n">
        <v>88.69</v>
      </c>
    </row>
    <row r="5409" customFormat="false" ht="15" hidden="false" customHeight="false" outlineLevel="0" collapsed="false">
      <c r="I5409" s="0" t="n">
        <v>2032</v>
      </c>
      <c r="J5409" s="0" t="n">
        <v>117.12</v>
      </c>
      <c r="K5409" s="0" t="n">
        <v>2457.12</v>
      </c>
    </row>
    <row r="5410" customFormat="false" ht="15" hidden="false" customHeight="false" outlineLevel="0" collapsed="false">
      <c r="I5410" s="0" t="n">
        <v>2032</v>
      </c>
      <c r="J5410" s="0" t="n">
        <v>39.04</v>
      </c>
      <c r="K5410" s="0" t="n">
        <v>819.04</v>
      </c>
    </row>
    <row r="5411" customFormat="false" ht="15" hidden="false" customHeight="false" outlineLevel="0" collapsed="false">
      <c r="I5411" s="0" t="n">
        <v>2032</v>
      </c>
      <c r="J5411" s="0" t="n">
        <v>17.08</v>
      </c>
      <c r="K5411" s="0" t="n">
        <v>358.33</v>
      </c>
    </row>
    <row r="5412" customFormat="false" ht="15" hidden="false" customHeight="false" outlineLevel="0" collapsed="false">
      <c r="I5412" s="0" t="n">
        <v>2032</v>
      </c>
      <c r="J5412" s="0" t="n">
        <v>9.76</v>
      </c>
      <c r="K5412" s="0" t="n">
        <v>204.76</v>
      </c>
    </row>
    <row r="5413" customFormat="false" ht="15" hidden="false" customHeight="false" outlineLevel="0" collapsed="false">
      <c r="I5413" s="0" t="n">
        <v>2032</v>
      </c>
      <c r="J5413" s="0" t="n">
        <v>9.76</v>
      </c>
      <c r="K5413" s="0" t="n">
        <v>204.76</v>
      </c>
    </row>
    <row r="5414" customFormat="false" ht="15" hidden="false" customHeight="false" outlineLevel="0" collapsed="false">
      <c r="I5414" s="0" t="n">
        <v>2032</v>
      </c>
      <c r="J5414" s="0" t="n">
        <v>4.88</v>
      </c>
      <c r="K5414" s="0" t="n">
        <v>102.38</v>
      </c>
    </row>
    <row r="5415" customFormat="false" ht="15" hidden="false" customHeight="false" outlineLevel="0" collapsed="false">
      <c r="I5415" s="0" t="n">
        <v>2032</v>
      </c>
      <c r="J5415" s="0" t="n">
        <v>4.88</v>
      </c>
      <c r="K5415" s="0" t="n">
        <v>102.38</v>
      </c>
    </row>
    <row r="5416" customFormat="false" ht="15" hidden="false" customHeight="false" outlineLevel="0" collapsed="false">
      <c r="I5416" s="0" t="n">
        <v>2032</v>
      </c>
      <c r="J5416" s="0" t="n">
        <v>9.76</v>
      </c>
      <c r="K5416" s="0" t="n">
        <v>204.76</v>
      </c>
    </row>
    <row r="5417" customFormat="false" ht="15" hidden="false" customHeight="false" outlineLevel="0" collapsed="false">
      <c r="I5417" s="0" t="n">
        <v>2032</v>
      </c>
      <c r="J5417" s="0" t="n">
        <v>17.08</v>
      </c>
      <c r="K5417" s="0" t="n">
        <v>358.33</v>
      </c>
    </row>
    <row r="5418" customFormat="false" ht="15" hidden="false" customHeight="false" outlineLevel="0" collapsed="false">
      <c r="I5418" s="0" t="n">
        <v>2032</v>
      </c>
      <c r="J5418" s="0" t="n">
        <v>7.32</v>
      </c>
      <c r="K5418" s="0" t="n">
        <v>153.57</v>
      </c>
    </row>
    <row r="5419" customFormat="false" ht="15" hidden="false" customHeight="false" outlineLevel="0" collapsed="false">
      <c r="I5419" s="0" t="n">
        <v>2032</v>
      </c>
      <c r="J5419" s="0" t="n">
        <v>7.32</v>
      </c>
      <c r="K5419" s="0" t="n">
        <v>153.57</v>
      </c>
    </row>
    <row r="5420" customFormat="false" ht="15" hidden="false" customHeight="false" outlineLevel="0" collapsed="false">
      <c r="I5420" s="0" t="n">
        <v>2032</v>
      </c>
      <c r="J5420" s="0" t="n">
        <v>18.72</v>
      </c>
      <c r="K5420" s="0" t="n">
        <v>388.96</v>
      </c>
    </row>
    <row r="5421" customFormat="false" ht="15" hidden="false" customHeight="false" outlineLevel="0" collapsed="false">
      <c r="I5421" s="0" t="n">
        <v>2032</v>
      </c>
      <c r="J5421" s="0" t="n">
        <v>2.88</v>
      </c>
      <c r="K5421" s="0" t="n">
        <v>59.84</v>
      </c>
    </row>
    <row r="5422" customFormat="false" ht="15" hidden="false" customHeight="false" outlineLevel="0" collapsed="false">
      <c r="I5422" s="0" t="n">
        <v>2032</v>
      </c>
      <c r="J5422" s="0" t="n">
        <v>2.16</v>
      </c>
      <c r="K5422" s="0" t="n">
        <v>44.88</v>
      </c>
    </row>
    <row r="5423" customFormat="false" ht="15" hidden="false" customHeight="false" outlineLevel="0" collapsed="false">
      <c r="I5423" s="0" t="n">
        <v>2032</v>
      </c>
      <c r="J5423" s="0" t="n">
        <v>3.6</v>
      </c>
      <c r="K5423" s="0" t="n">
        <v>74.8</v>
      </c>
    </row>
    <row r="5424" customFormat="false" ht="15" hidden="false" customHeight="false" outlineLevel="0" collapsed="false">
      <c r="I5424" s="0" t="n">
        <v>2032</v>
      </c>
      <c r="J5424" s="0" t="n">
        <v>0.72</v>
      </c>
      <c r="K5424" s="0" t="n">
        <v>14.96</v>
      </c>
    </row>
    <row r="5425" customFormat="false" ht="15" hidden="false" customHeight="false" outlineLevel="0" collapsed="false">
      <c r="I5425" s="0" t="n">
        <v>2032</v>
      </c>
      <c r="J5425" s="0" t="n">
        <v>0.72</v>
      </c>
      <c r="K5425" s="0" t="n">
        <v>14.96</v>
      </c>
    </row>
    <row r="5426" customFormat="false" ht="15" hidden="false" customHeight="false" outlineLevel="0" collapsed="false">
      <c r="I5426" s="0" t="n">
        <v>2032</v>
      </c>
      <c r="J5426" s="0" t="n">
        <v>0</v>
      </c>
      <c r="K5426" s="0" t="n">
        <v>0</v>
      </c>
    </row>
    <row r="5427" customFormat="false" ht="15" hidden="false" customHeight="false" outlineLevel="0" collapsed="false">
      <c r="I5427" s="0" t="n">
        <v>2032</v>
      </c>
      <c r="J5427" s="0" t="n">
        <v>1.44</v>
      </c>
      <c r="K5427" s="0" t="n">
        <v>29.92</v>
      </c>
    </row>
    <row r="5428" customFormat="false" ht="15" hidden="false" customHeight="false" outlineLevel="0" collapsed="false">
      <c r="I5428" s="0" t="n">
        <v>2032</v>
      </c>
      <c r="J5428" s="0" t="n">
        <v>2.52</v>
      </c>
      <c r="K5428" s="0" t="n">
        <v>52.36</v>
      </c>
    </row>
    <row r="5429" customFormat="false" ht="15" hidden="false" customHeight="false" outlineLevel="0" collapsed="false">
      <c r="I5429" s="0" t="n">
        <v>2032</v>
      </c>
      <c r="J5429" s="0" t="n">
        <v>0.72</v>
      </c>
      <c r="K5429" s="0" t="n">
        <v>14.96</v>
      </c>
    </row>
    <row r="5430" customFormat="false" ht="15" hidden="false" customHeight="false" outlineLevel="0" collapsed="false">
      <c r="I5430" s="0" t="n">
        <v>2032</v>
      </c>
      <c r="J5430" s="0" t="n">
        <v>2.52</v>
      </c>
      <c r="K5430" s="0" t="n">
        <v>52.36</v>
      </c>
    </row>
    <row r="5431" customFormat="false" ht="15" hidden="false" customHeight="false" outlineLevel="0" collapsed="false">
      <c r="I5431" s="0" t="n">
        <v>2032</v>
      </c>
      <c r="J5431" s="0" t="n">
        <v>98.88</v>
      </c>
      <c r="K5431" s="0" t="n">
        <v>2077.92</v>
      </c>
    </row>
    <row r="5432" customFormat="false" ht="15" hidden="false" customHeight="false" outlineLevel="0" collapsed="false">
      <c r="I5432" s="0" t="n">
        <v>2032</v>
      </c>
      <c r="J5432" s="0" t="n">
        <v>32.96</v>
      </c>
      <c r="K5432" s="0" t="n">
        <v>692.64</v>
      </c>
    </row>
    <row r="5433" customFormat="false" ht="15" hidden="false" customHeight="false" outlineLevel="0" collapsed="false">
      <c r="I5433" s="0" t="n">
        <v>2032</v>
      </c>
      <c r="J5433" s="0" t="n">
        <v>14.42</v>
      </c>
      <c r="K5433" s="0" t="n">
        <v>303.03</v>
      </c>
    </row>
    <row r="5434" customFormat="false" ht="15" hidden="false" customHeight="false" outlineLevel="0" collapsed="false">
      <c r="I5434" s="0" t="n">
        <v>2032</v>
      </c>
      <c r="J5434" s="0" t="n">
        <v>8.24</v>
      </c>
      <c r="K5434" s="0" t="n">
        <v>173.16</v>
      </c>
    </row>
    <row r="5435" customFormat="false" ht="15" hidden="false" customHeight="false" outlineLevel="0" collapsed="false">
      <c r="I5435" s="0" t="n">
        <v>2032</v>
      </c>
      <c r="J5435" s="0" t="n">
        <v>8.24</v>
      </c>
      <c r="K5435" s="0" t="n">
        <v>173.16</v>
      </c>
    </row>
    <row r="5436" customFormat="false" ht="15" hidden="false" customHeight="false" outlineLevel="0" collapsed="false">
      <c r="I5436" s="0" t="n">
        <v>2032</v>
      </c>
      <c r="J5436" s="0" t="n">
        <v>4.12</v>
      </c>
      <c r="K5436" s="0" t="n">
        <v>86.58</v>
      </c>
    </row>
    <row r="5437" customFormat="false" ht="15" hidden="false" customHeight="false" outlineLevel="0" collapsed="false">
      <c r="I5437" s="0" t="n">
        <v>2032</v>
      </c>
      <c r="J5437" s="0" t="n">
        <v>4.12</v>
      </c>
      <c r="K5437" s="0" t="n">
        <v>86.58</v>
      </c>
    </row>
    <row r="5438" customFormat="false" ht="15" hidden="false" customHeight="false" outlineLevel="0" collapsed="false">
      <c r="I5438" s="0" t="n">
        <v>2032</v>
      </c>
      <c r="J5438" s="0" t="n">
        <v>8.24</v>
      </c>
      <c r="K5438" s="0" t="n">
        <v>173.16</v>
      </c>
    </row>
    <row r="5439" customFormat="false" ht="15" hidden="false" customHeight="false" outlineLevel="0" collapsed="false">
      <c r="I5439" s="0" t="n">
        <v>2032</v>
      </c>
      <c r="J5439" s="0" t="n">
        <v>14.42</v>
      </c>
      <c r="K5439" s="0" t="n">
        <v>303.03</v>
      </c>
    </row>
    <row r="5440" customFormat="false" ht="15" hidden="false" customHeight="false" outlineLevel="0" collapsed="false">
      <c r="I5440" s="0" t="n">
        <v>2032</v>
      </c>
      <c r="J5440" s="0" t="n">
        <v>6.18</v>
      </c>
      <c r="K5440" s="0" t="n">
        <v>129.87</v>
      </c>
    </row>
    <row r="5441" customFormat="false" ht="15" hidden="false" customHeight="false" outlineLevel="0" collapsed="false">
      <c r="I5441" s="0" t="n">
        <v>2032</v>
      </c>
      <c r="J5441" s="0" t="n">
        <v>6.18</v>
      </c>
      <c r="K5441" s="0" t="n">
        <v>129.87</v>
      </c>
    </row>
    <row r="5442" customFormat="false" ht="15" hidden="false" customHeight="false" outlineLevel="0" collapsed="false">
      <c r="I5442" s="0" t="n">
        <v>2032</v>
      </c>
      <c r="J5442" s="0" t="n">
        <v>11.96</v>
      </c>
      <c r="K5442" s="0" t="n">
        <v>253.24</v>
      </c>
    </row>
    <row r="5443" customFormat="false" ht="15" hidden="false" customHeight="false" outlineLevel="0" collapsed="false">
      <c r="I5443" s="0" t="n">
        <v>2032</v>
      </c>
      <c r="J5443" s="0" t="n">
        <v>1.84</v>
      </c>
      <c r="K5443" s="0" t="n">
        <v>38.96</v>
      </c>
    </row>
    <row r="5444" customFormat="false" ht="15" hidden="false" customHeight="false" outlineLevel="0" collapsed="false">
      <c r="I5444" s="0" t="n">
        <v>2032</v>
      </c>
      <c r="J5444" s="0" t="n">
        <v>1.38</v>
      </c>
      <c r="K5444" s="0" t="n">
        <v>29.22</v>
      </c>
    </row>
    <row r="5445" customFormat="false" ht="15" hidden="false" customHeight="false" outlineLevel="0" collapsed="false">
      <c r="I5445" s="0" t="n">
        <v>2032</v>
      </c>
      <c r="J5445" s="0" t="n">
        <v>2.3</v>
      </c>
      <c r="K5445" s="0" t="n">
        <v>48.7</v>
      </c>
    </row>
    <row r="5446" customFormat="false" ht="15" hidden="false" customHeight="false" outlineLevel="0" collapsed="false">
      <c r="I5446" s="0" t="n">
        <v>2032</v>
      </c>
      <c r="J5446" s="0" t="n">
        <v>0.46</v>
      </c>
      <c r="K5446" s="0" t="n">
        <v>9.74</v>
      </c>
    </row>
    <row r="5447" customFormat="false" ht="15" hidden="false" customHeight="false" outlineLevel="0" collapsed="false">
      <c r="I5447" s="0" t="n">
        <v>2032</v>
      </c>
      <c r="J5447" s="0" t="n">
        <v>0.46</v>
      </c>
      <c r="K5447" s="0" t="n">
        <v>9.74</v>
      </c>
    </row>
    <row r="5448" customFormat="false" ht="15" hidden="false" customHeight="false" outlineLevel="0" collapsed="false">
      <c r="I5448" s="0" t="n">
        <v>2032</v>
      </c>
      <c r="J5448" s="0" t="n">
        <v>0</v>
      </c>
      <c r="K5448" s="0" t="n">
        <v>0</v>
      </c>
    </row>
    <row r="5449" customFormat="false" ht="15" hidden="false" customHeight="false" outlineLevel="0" collapsed="false">
      <c r="I5449" s="0" t="n">
        <v>2032</v>
      </c>
      <c r="J5449" s="0" t="n">
        <v>0.92</v>
      </c>
      <c r="K5449" s="0" t="n">
        <v>19.48</v>
      </c>
    </row>
    <row r="5450" customFormat="false" ht="15" hidden="false" customHeight="false" outlineLevel="0" collapsed="false">
      <c r="I5450" s="0" t="n">
        <v>2032</v>
      </c>
      <c r="J5450" s="0" t="n">
        <v>1.61</v>
      </c>
      <c r="K5450" s="0" t="n">
        <v>34.09</v>
      </c>
    </row>
    <row r="5451" customFormat="false" ht="15" hidden="false" customHeight="false" outlineLevel="0" collapsed="false">
      <c r="I5451" s="0" t="n">
        <v>2032</v>
      </c>
      <c r="J5451" s="0" t="n">
        <v>0.46</v>
      </c>
      <c r="K5451" s="0" t="n">
        <v>9.74</v>
      </c>
    </row>
    <row r="5452" customFormat="false" ht="15" hidden="false" customHeight="false" outlineLevel="0" collapsed="false">
      <c r="I5452" s="0" t="n">
        <v>2032</v>
      </c>
      <c r="J5452" s="0" t="n">
        <v>1.61</v>
      </c>
      <c r="K5452" s="0" t="n">
        <v>34.09</v>
      </c>
    </row>
    <row r="5453" customFormat="false" ht="15" hidden="false" customHeight="false" outlineLevel="0" collapsed="false">
      <c r="I5453" s="0" t="n">
        <v>2032</v>
      </c>
      <c r="J5453" s="0" t="n">
        <v>37.92</v>
      </c>
      <c r="K5453" s="0" t="n">
        <v>794.88</v>
      </c>
    </row>
    <row r="5454" customFormat="false" ht="15" hidden="false" customHeight="false" outlineLevel="0" collapsed="false">
      <c r="I5454" s="0" t="n">
        <v>2032</v>
      </c>
      <c r="J5454" s="0" t="n">
        <v>12.64</v>
      </c>
      <c r="K5454" s="0" t="n">
        <v>264.96</v>
      </c>
    </row>
    <row r="5455" customFormat="false" ht="15" hidden="false" customHeight="false" outlineLevel="0" collapsed="false">
      <c r="I5455" s="0" t="n">
        <v>2032</v>
      </c>
      <c r="J5455" s="0" t="n">
        <v>5.53</v>
      </c>
      <c r="K5455" s="0" t="n">
        <v>115.92</v>
      </c>
    </row>
    <row r="5456" customFormat="false" ht="15" hidden="false" customHeight="false" outlineLevel="0" collapsed="false">
      <c r="I5456" s="0" t="n">
        <v>2032</v>
      </c>
      <c r="J5456" s="0" t="n">
        <v>3.16</v>
      </c>
      <c r="K5456" s="0" t="n">
        <v>66.24</v>
      </c>
    </row>
    <row r="5457" customFormat="false" ht="15" hidden="false" customHeight="false" outlineLevel="0" collapsed="false">
      <c r="I5457" s="0" t="n">
        <v>2032</v>
      </c>
      <c r="J5457" s="0" t="n">
        <v>3.16</v>
      </c>
      <c r="K5457" s="0" t="n">
        <v>66.24</v>
      </c>
    </row>
    <row r="5458" customFormat="false" ht="15" hidden="false" customHeight="false" outlineLevel="0" collapsed="false">
      <c r="I5458" s="0" t="n">
        <v>2032</v>
      </c>
      <c r="J5458" s="0" t="n">
        <v>1.58</v>
      </c>
      <c r="K5458" s="0" t="n">
        <v>33.12</v>
      </c>
    </row>
    <row r="5459" customFormat="false" ht="15" hidden="false" customHeight="false" outlineLevel="0" collapsed="false">
      <c r="I5459" s="0" t="n">
        <v>2032</v>
      </c>
      <c r="J5459" s="0" t="n">
        <v>1.58</v>
      </c>
      <c r="K5459" s="0" t="n">
        <v>33.12</v>
      </c>
    </row>
    <row r="5460" customFormat="false" ht="15" hidden="false" customHeight="false" outlineLevel="0" collapsed="false">
      <c r="I5460" s="0" t="n">
        <v>2032</v>
      </c>
      <c r="J5460" s="0" t="n">
        <v>3.16</v>
      </c>
      <c r="K5460" s="0" t="n">
        <v>66.24</v>
      </c>
    </row>
    <row r="5461" customFormat="false" ht="15" hidden="false" customHeight="false" outlineLevel="0" collapsed="false">
      <c r="I5461" s="0" t="n">
        <v>2032</v>
      </c>
      <c r="J5461" s="0" t="n">
        <v>5.53</v>
      </c>
      <c r="K5461" s="0" t="n">
        <v>115.92</v>
      </c>
    </row>
    <row r="5462" customFormat="false" ht="15" hidden="false" customHeight="false" outlineLevel="0" collapsed="false">
      <c r="I5462" s="0" t="n">
        <v>2032</v>
      </c>
      <c r="J5462" s="0" t="n">
        <v>2.37</v>
      </c>
      <c r="K5462" s="0" t="n">
        <v>49.68</v>
      </c>
    </row>
    <row r="5463" customFormat="false" ht="15" hidden="false" customHeight="false" outlineLevel="0" collapsed="false">
      <c r="I5463" s="0" t="n">
        <v>2032</v>
      </c>
      <c r="J5463" s="0" t="n">
        <v>2.37</v>
      </c>
      <c r="K5463" s="0" t="n">
        <v>49.68</v>
      </c>
    </row>
    <row r="5464" customFormat="false" ht="15" hidden="false" customHeight="false" outlineLevel="0" collapsed="false">
      <c r="I5464" s="0" t="n">
        <v>2032</v>
      </c>
      <c r="J5464" s="0" t="n">
        <v>19.24</v>
      </c>
      <c r="K5464" s="0" t="n">
        <v>405.08</v>
      </c>
    </row>
    <row r="5465" customFormat="false" ht="15" hidden="false" customHeight="false" outlineLevel="0" collapsed="false">
      <c r="I5465" s="0" t="n">
        <v>2032</v>
      </c>
      <c r="J5465" s="0" t="n">
        <v>2.96</v>
      </c>
      <c r="K5465" s="0" t="n">
        <v>62.32</v>
      </c>
    </row>
    <row r="5466" customFormat="false" ht="15" hidden="false" customHeight="false" outlineLevel="0" collapsed="false">
      <c r="I5466" s="0" t="n">
        <v>2032</v>
      </c>
      <c r="J5466" s="0" t="n">
        <v>2.22</v>
      </c>
      <c r="K5466" s="0" t="n">
        <v>46.74</v>
      </c>
    </row>
    <row r="5467" customFormat="false" ht="15" hidden="false" customHeight="false" outlineLevel="0" collapsed="false">
      <c r="I5467" s="0" t="n">
        <v>2032</v>
      </c>
      <c r="J5467" s="0" t="n">
        <v>3.7</v>
      </c>
      <c r="K5467" s="0" t="n">
        <v>77.9</v>
      </c>
    </row>
    <row r="5468" customFormat="false" ht="15" hidden="false" customHeight="false" outlineLevel="0" collapsed="false">
      <c r="I5468" s="0" t="n">
        <v>2032</v>
      </c>
      <c r="J5468" s="0" t="n">
        <v>0.74</v>
      </c>
      <c r="K5468" s="0" t="n">
        <v>15.58</v>
      </c>
    </row>
    <row r="5469" customFormat="false" ht="15" hidden="false" customHeight="false" outlineLevel="0" collapsed="false">
      <c r="I5469" s="0" t="n">
        <v>2032</v>
      </c>
      <c r="J5469" s="0" t="n">
        <v>0.74</v>
      </c>
      <c r="K5469" s="0" t="n">
        <v>15.58</v>
      </c>
    </row>
    <row r="5470" customFormat="false" ht="15" hidden="false" customHeight="false" outlineLevel="0" collapsed="false">
      <c r="I5470" s="0" t="n">
        <v>2032</v>
      </c>
      <c r="J5470" s="0" t="n">
        <v>0</v>
      </c>
      <c r="K5470" s="0" t="n">
        <v>0</v>
      </c>
    </row>
    <row r="5471" customFormat="false" ht="15" hidden="false" customHeight="false" outlineLevel="0" collapsed="false">
      <c r="I5471" s="0" t="n">
        <v>2032</v>
      </c>
      <c r="J5471" s="0" t="n">
        <v>1.48</v>
      </c>
      <c r="K5471" s="0" t="n">
        <v>31.16</v>
      </c>
    </row>
    <row r="5472" customFormat="false" ht="15" hidden="false" customHeight="false" outlineLevel="0" collapsed="false">
      <c r="I5472" s="0" t="n">
        <v>2032</v>
      </c>
      <c r="J5472" s="0" t="n">
        <v>2.59</v>
      </c>
      <c r="K5472" s="0" t="n">
        <v>54.53</v>
      </c>
    </row>
    <row r="5473" customFormat="false" ht="15" hidden="false" customHeight="false" outlineLevel="0" collapsed="false">
      <c r="I5473" s="0" t="n">
        <v>2032</v>
      </c>
      <c r="J5473" s="0" t="n">
        <v>0.74</v>
      </c>
      <c r="K5473" s="0" t="n">
        <v>15.58</v>
      </c>
    </row>
    <row r="5474" customFormat="false" ht="15" hidden="false" customHeight="false" outlineLevel="0" collapsed="false">
      <c r="I5474" s="0" t="n">
        <v>2032</v>
      </c>
      <c r="J5474" s="0" t="n">
        <v>2.59</v>
      </c>
      <c r="K5474" s="0" t="n">
        <v>54.53</v>
      </c>
    </row>
    <row r="5475" customFormat="false" ht="15" hidden="false" customHeight="false" outlineLevel="0" collapsed="false">
      <c r="I5475" s="0" t="n">
        <v>2032</v>
      </c>
      <c r="J5475" s="0" t="n">
        <v>1223.04</v>
      </c>
      <c r="K5475" s="0" t="n">
        <v>25680</v>
      </c>
    </row>
    <row r="5476" customFormat="false" ht="15" hidden="false" customHeight="false" outlineLevel="0" collapsed="false">
      <c r="I5476" s="0" t="n">
        <v>2032</v>
      </c>
      <c r="J5476" s="0" t="n">
        <v>407.68</v>
      </c>
      <c r="K5476" s="0" t="n">
        <v>8560</v>
      </c>
    </row>
    <row r="5477" customFormat="false" ht="15" hidden="false" customHeight="false" outlineLevel="0" collapsed="false">
      <c r="I5477" s="0" t="n">
        <v>2032</v>
      </c>
      <c r="J5477" s="0" t="n">
        <v>178.36</v>
      </c>
      <c r="K5477" s="0" t="n">
        <v>3745</v>
      </c>
    </row>
    <row r="5478" customFormat="false" ht="15" hidden="false" customHeight="false" outlineLevel="0" collapsed="false">
      <c r="I5478" s="0" t="n">
        <v>2032</v>
      </c>
      <c r="J5478" s="0" t="n">
        <v>101.92</v>
      </c>
      <c r="K5478" s="0" t="n">
        <v>2140</v>
      </c>
    </row>
    <row r="5479" customFormat="false" ht="15" hidden="false" customHeight="false" outlineLevel="0" collapsed="false">
      <c r="I5479" s="0" t="n">
        <v>2032</v>
      </c>
      <c r="J5479" s="0" t="n">
        <v>101.92</v>
      </c>
      <c r="K5479" s="0" t="n">
        <v>2140</v>
      </c>
    </row>
    <row r="5480" customFormat="false" ht="15" hidden="false" customHeight="false" outlineLevel="0" collapsed="false">
      <c r="I5480" s="0" t="n">
        <v>2032</v>
      </c>
      <c r="J5480" s="0" t="n">
        <v>50.96</v>
      </c>
      <c r="K5480" s="0" t="n">
        <v>1070</v>
      </c>
    </row>
    <row r="5481" customFormat="false" ht="15" hidden="false" customHeight="false" outlineLevel="0" collapsed="false">
      <c r="I5481" s="0" t="n">
        <v>2032</v>
      </c>
      <c r="J5481" s="0" t="n">
        <v>50.96</v>
      </c>
      <c r="K5481" s="0" t="n">
        <v>1070</v>
      </c>
    </row>
    <row r="5482" customFormat="false" ht="15" hidden="false" customHeight="false" outlineLevel="0" collapsed="false">
      <c r="I5482" s="0" t="n">
        <v>2032</v>
      </c>
      <c r="J5482" s="0" t="n">
        <v>101.92</v>
      </c>
      <c r="K5482" s="0" t="n">
        <v>2140</v>
      </c>
    </row>
    <row r="5483" customFormat="false" ht="15" hidden="false" customHeight="false" outlineLevel="0" collapsed="false">
      <c r="I5483" s="0" t="n">
        <v>2032</v>
      </c>
      <c r="J5483" s="0" t="n">
        <v>178.36</v>
      </c>
      <c r="K5483" s="0" t="n">
        <v>3745</v>
      </c>
    </row>
    <row r="5484" customFormat="false" ht="15" hidden="false" customHeight="false" outlineLevel="0" collapsed="false">
      <c r="I5484" s="0" t="n">
        <v>2032</v>
      </c>
      <c r="J5484" s="0" t="n">
        <v>76.44</v>
      </c>
      <c r="K5484" s="0" t="n">
        <v>1605</v>
      </c>
    </row>
    <row r="5485" customFormat="false" ht="15" hidden="false" customHeight="false" outlineLevel="0" collapsed="false">
      <c r="I5485" s="0" t="n">
        <v>2032</v>
      </c>
      <c r="J5485" s="0" t="n">
        <v>76.44</v>
      </c>
      <c r="K5485" s="0" t="n">
        <v>1605</v>
      </c>
    </row>
    <row r="5486" customFormat="false" ht="15" hidden="false" customHeight="false" outlineLevel="0" collapsed="false">
      <c r="I5486" s="0" t="n">
        <v>2032</v>
      </c>
      <c r="J5486" s="0" t="n">
        <v>203.84</v>
      </c>
      <c r="K5486" s="0" t="n">
        <v>4284.8</v>
      </c>
    </row>
    <row r="5487" customFormat="false" ht="15" hidden="false" customHeight="false" outlineLevel="0" collapsed="false">
      <c r="I5487" s="0" t="n">
        <v>2032</v>
      </c>
      <c r="J5487" s="0" t="n">
        <v>31.36</v>
      </c>
      <c r="K5487" s="0" t="n">
        <v>659.2</v>
      </c>
    </row>
    <row r="5488" customFormat="false" ht="15" hidden="false" customHeight="false" outlineLevel="0" collapsed="false">
      <c r="I5488" s="0" t="n">
        <v>2032</v>
      </c>
      <c r="J5488" s="0" t="n">
        <v>23.52</v>
      </c>
      <c r="K5488" s="0" t="n">
        <v>494.4</v>
      </c>
    </row>
    <row r="5489" customFormat="false" ht="15" hidden="false" customHeight="false" outlineLevel="0" collapsed="false">
      <c r="I5489" s="0" t="n">
        <v>2032</v>
      </c>
      <c r="J5489" s="0" t="n">
        <v>39.2</v>
      </c>
      <c r="K5489" s="0" t="n">
        <v>824</v>
      </c>
    </row>
    <row r="5490" customFormat="false" ht="15" hidden="false" customHeight="false" outlineLevel="0" collapsed="false">
      <c r="I5490" s="0" t="n">
        <v>2032</v>
      </c>
      <c r="J5490" s="0" t="n">
        <v>7.84</v>
      </c>
      <c r="K5490" s="0" t="n">
        <v>164.8</v>
      </c>
    </row>
    <row r="5491" customFormat="false" ht="15" hidden="false" customHeight="false" outlineLevel="0" collapsed="false">
      <c r="I5491" s="0" t="n">
        <v>2032</v>
      </c>
      <c r="J5491" s="0" t="n">
        <v>7.84</v>
      </c>
      <c r="K5491" s="0" t="n">
        <v>164.8</v>
      </c>
    </row>
    <row r="5492" customFormat="false" ht="15" hidden="false" customHeight="false" outlineLevel="0" collapsed="false">
      <c r="I5492" s="0" t="n">
        <v>2032</v>
      </c>
      <c r="J5492" s="0" t="n">
        <v>0</v>
      </c>
      <c r="K5492" s="0" t="n">
        <v>0</v>
      </c>
    </row>
    <row r="5493" customFormat="false" ht="15" hidden="false" customHeight="false" outlineLevel="0" collapsed="false">
      <c r="I5493" s="0" t="n">
        <v>2032</v>
      </c>
      <c r="J5493" s="0" t="n">
        <v>15.68</v>
      </c>
      <c r="K5493" s="0" t="n">
        <v>329.6</v>
      </c>
    </row>
    <row r="5494" customFormat="false" ht="15" hidden="false" customHeight="false" outlineLevel="0" collapsed="false">
      <c r="I5494" s="0" t="n">
        <v>2032</v>
      </c>
      <c r="J5494" s="0" t="n">
        <v>27.44</v>
      </c>
      <c r="K5494" s="0" t="n">
        <v>576.8</v>
      </c>
    </row>
    <row r="5495" customFormat="false" ht="15" hidden="false" customHeight="false" outlineLevel="0" collapsed="false">
      <c r="I5495" s="0" t="n">
        <v>2032</v>
      </c>
      <c r="J5495" s="0" t="n">
        <v>7.84</v>
      </c>
      <c r="K5495" s="0" t="n">
        <v>164.8</v>
      </c>
    </row>
    <row r="5496" customFormat="false" ht="15" hidden="false" customHeight="false" outlineLevel="0" collapsed="false">
      <c r="I5496" s="0" t="n">
        <v>2032</v>
      </c>
      <c r="J5496" s="0" t="n">
        <v>27.44</v>
      </c>
      <c r="K5496" s="0" t="n">
        <v>576.8</v>
      </c>
    </row>
    <row r="5497" customFormat="false" ht="15" hidden="false" customHeight="false" outlineLevel="0" collapsed="false">
      <c r="I5497" s="0" t="n">
        <v>2032</v>
      </c>
      <c r="J5497" s="0" t="n">
        <v>48.96</v>
      </c>
      <c r="K5497" s="0" t="n">
        <v>1027.68</v>
      </c>
    </row>
    <row r="5498" customFormat="false" ht="15" hidden="false" customHeight="false" outlineLevel="0" collapsed="false">
      <c r="I5498" s="0" t="n">
        <v>2032</v>
      </c>
      <c r="J5498" s="0" t="n">
        <v>16.32</v>
      </c>
      <c r="K5498" s="0" t="n">
        <v>342.56</v>
      </c>
    </row>
    <row r="5499" customFormat="false" ht="15" hidden="false" customHeight="false" outlineLevel="0" collapsed="false">
      <c r="I5499" s="0" t="n">
        <v>2032</v>
      </c>
      <c r="J5499" s="0" t="n">
        <v>7.14</v>
      </c>
      <c r="K5499" s="0" t="n">
        <v>149.87</v>
      </c>
    </row>
    <row r="5500" customFormat="false" ht="15" hidden="false" customHeight="false" outlineLevel="0" collapsed="false">
      <c r="I5500" s="0" t="n">
        <v>2032</v>
      </c>
      <c r="J5500" s="0" t="n">
        <v>4.08</v>
      </c>
      <c r="K5500" s="0" t="n">
        <v>85.64</v>
      </c>
    </row>
    <row r="5501" customFormat="false" ht="15" hidden="false" customHeight="false" outlineLevel="0" collapsed="false">
      <c r="I5501" s="0" t="n">
        <v>2032</v>
      </c>
      <c r="J5501" s="0" t="n">
        <v>4.08</v>
      </c>
      <c r="K5501" s="0" t="n">
        <v>85.64</v>
      </c>
    </row>
    <row r="5502" customFormat="false" ht="15" hidden="false" customHeight="false" outlineLevel="0" collapsed="false">
      <c r="I5502" s="0" t="n">
        <v>2032</v>
      </c>
      <c r="J5502" s="0" t="n">
        <v>2.04</v>
      </c>
      <c r="K5502" s="0" t="n">
        <v>42.82</v>
      </c>
    </row>
    <row r="5503" customFormat="false" ht="15" hidden="false" customHeight="false" outlineLevel="0" collapsed="false">
      <c r="I5503" s="0" t="n">
        <v>2032</v>
      </c>
      <c r="J5503" s="0" t="n">
        <v>2.04</v>
      </c>
      <c r="K5503" s="0" t="n">
        <v>42.82</v>
      </c>
    </row>
    <row r="5504" customFormat="false" ht="15" hidden="false" customHeight="false" outlineLevel="0" collapsed="false">
      <c r="I5504" s="0" t="n">
        <v>2032</v>
      </c>
      <c r="J5504" s="0" t="n">
        <v>4.08</v>
      </c>
      <c r="K5504" s="0" t="n">
        <v>85.64</v>
      </c>
    </row>
    <row r="5505" customFormat="false" ht="15" hidden="false" customHeight="false" outlineLevel="0" collapsed="false">
      <c r="I5505" s="0" t="n">
        <v>2032</v>
      </c>
      <c r="J5505" s="0" t="n">
        <v>7.14</v>
      </c>
      <c r="K5505" s="0" t="n">
        <v>149.87</v>
      </c>
    </row>
    <row r="5506" customFormat="false" ht="15" hidden="false" customHeight="false" outlineLevel="0" collapsed="false">
      <c r="I5506" s="0" t="n">
        <v>2032</v>
      </c>
      <c r="J5506" s="0" t="n">
        <v>3.06</v>
      </c>
      <c r="K5506" s="0" t="n">
        <v>64.23</v>
      </c>
    </row>
    <row r="5507" customFormat="false" ht="15" hidden="false" customHeight="false" outlineLevel="0" collapsed="false">
      <c r="I5507" s="0" t="n">
        <v>2032</v>
      </c>
      <c r="J5507" s="0" t="n">
        <v>3.06</v>
      </c>
      <c r="K5507" s="0" t="n">
        <v>64.23</v>
      </c>
    </row>
    <row r="5508" customFormat="false" ht="15" hidden="false" customHeight="false" outlineLevel="0" collapsed="false">
      <c r="I5508" s="0" t="n">
        <v>2032</v>
      </c>
      <c r="J5508" s="0" t="n">
        <v>9.88</v>
      </c>
      <c r="K5508" s="0" t="n">
        <v>208.52</v>
      </c>
    </row>
    <row r="5509" customFormat="false" ht="15" hidden="false" customHeight="false" outlineLevel="0" collapsed="false">
      <c r="I5509" s="0" t="n">
        <v>2032</v>
      </c>
      <c r="J5509" s="0" t="n">
        <v>1.52</v>
      </c>
      <c r="K5509" s="0" t="n">
        <v>32.08</v>
      </c>
    </row>
    <row r="5510" customFormat="false" ht="15" hidden="false" customHeight="false" outlineLevel="0" collapsed="false">
      <c r="I5510" s="0" t="n">
        <v>2032</v>
      </c>
      <c r="J5510" s="0" t="n">
        <v>1.14</v>
      </c>
      <c r="K5510" s="0" t="n">
        <v>24.06</v>
      </c>
    </row>
    <row r="5511" customFormat="false" ht="15" hidden="false" customHeight="false" outlineLevel="0" collapsed="false">
      <c r="I5511" s="0" t="n">
        <v>2032</v>
      </c>
      <c r="J5511" s="0" t="n">
        <v>1.9</v>
      </c>
      <c r="K5511" s="0" t="n">
        <v>40.1</v>
      </c>
    </row>
    <row r="5512" customFormat="false" ht="15" hidden="false" customHeight="false" outlineLevel="0" collapsed="false">
      <c r="I5512" s="0" t="n">
        <v>2032</v>
      </c>
      <c r="J5512" s="0" t="n">
        <v>0.38</v>
      </c>
      <c r="K5512" s="0" t="n">
        <v>8.02</v>
      </c>
    </row>
    <row r="5513" customFormat="false" ht="15" hidden="false" customHeight="false" outlineLevel="0" collapsed="false">
      <c r="I5513" s="0" t="n">
        <v>2032</v>
      </c>
      <c r="J5513" s="0" t="n">
        <v>0.38</v>
      </c>
      <c r="K5513" s="0" t="n">
        <v>8.02</v>
      </c>
    </row>
    <row r="5514" customFormat="false" ht="15" hidden="false" customHeight="false" outlineLevel="0" collapsed="false">
      <c r="I5514" s="0" t="n">
        <v>2032</v>
      </c>
      <c r="J5514" s="0" t="n">
        <v>0</v>
      </c>
      <c r="K5514" s="0" t="n">
        <v>0</v>
      </c>
    </row>
    <row r="5515" customFormat="false" ht="15" hidden="false" customHeight="false" outlineLevel="0" collapsed="false">
      <c r="I5515" s="0" t="n">
        <v>2032</v>
      </c>
      <c r="J5515" s="0" t="n">
        <v>0.76</v>
      </c>
      <c r="K5515" s="0" t="n">
        <v>16.04</v>
      </c>
    </row>
    <row r="5516" customFormat="false" ht="15" hidden="false" customHeight="false" outlineLevel="0" collapsed="false">
      <c r="I5516" s="0" t="n">
        <v>2032</v>
      </c>
      <c r="J5516" s="0" t="n">
        <v>1.33</v>
      </c>
      <c r="K5516" s="0" t="n">
        <v>28.07</v>
      </c>
    </row>
    <row r="5517" customFormat="false" ht="15" hidden="false" customHeight="false" outlineLevel="0" collapsed="false">
      <c r="I5517" s="0" t="n">
        <v>2032</v>
      </c>
      <c r="J5517" s="0" t="n">
        <v>0.38</v>
      </c>
      <c r="K5517" s="0" t="n">
        <v>8.02</v>
      </c>
    </row>
    <row r="5518" customFormat="false" ht="15" hidden="false" customHeight="false" outlineLevel="0" collapsed="false">
      <c r="I5518" s="0" t="n">
        <v>2032</v>
      </c>
      <c r="J5518" s="0" t="n">
        <v>1.33</v>
      </c>
      <c r="K5518" s="0" t="n">
        <v>28.07</v>
      </c>
    </row>
    <row r="5519" customFormat="false" ht="15" hidden="false" customHeight="false" outlineLevel="0" collapsed="false">
      <c r="I5519" s="0" t="n">
        <v>2032</v>
      </c>
      <c r="J5519" s="0" t="n">
        <v>31.68</v>
      </c>
      <c r="K5519" s="0" t="n">
        <v>662.88</v>
      </c>
    </row>
    <row r="5520" customFormat="false" ht="15" hidden="false" customHeight="false" outlineLevel="0" collapsed="false">
      <c r="I5520" s="0" t="n">
        <v>2032</v>
      </c>
      <c r="J5520" s="0" t="n">
        <v>10.56</v>
      </c>
      <c r="K5520" s="0" t="n">
        <v>220.96</v>
      </c>
    </row>
    <row r="5521" customFormat="false" ht="15" hidden="false" customHeight="false" outlineLevel="0" collapsed="false">
      <c r="I5521" s="0" t="n">
        <v>2032</v>
      </c>
      <c r="J5521" s="0" t="n">
        <v>4.62</v>
      </c>
      <c r="K5521" s="0" t="n">
        <v>96.67</v>
      </c>
    </row>
    <row r="5522" customFormat="false" ht="15" hidden="false" customHeight="false" outlineLevel="0" collapsed="false">
      <c r="I5522" s="0" t="n">
        <v>2032</v>
      </c>
      <c r="J5522" s="0" t="n">
        <v>2.64</v>
      </c>
      <c r="K5522" s="0" t="n">
        <v>55.24</v>
      </c>
    </row>
    <row r="5523" customFormat="false" ht="15" hidden="false" customHeight="false" outlineLevel="0" collapsed="false">
      <c r="I5523" s="0" t="n">
        <v>2032</v>
      </c>
      <c r="J5523" s="0" t="n">
        <v>2.64</v>
      </c>
      <c r="K5523" s="0" t="n">
        <v>55.24</v>
      </c>
    </row>
    <row r="5524" customFormat="false" ht="15" hidden="false" customHeight="false" outlineLevel="0" collapsed="false">
      <c r="I5524" s="0" t="n">
        <v>2032</v>
      </c>
      <c r="J5524" s="0" t="n">
        <v>1.32</v>
      </c>
      <c r="K5524" s="0" t="n">
        <v>27.62</v>
      </c>
    </row>
    <row r="5525" customFormat="false" ht="15" hidden="false" customHeight="false" outlineLevel="0" collapsed="false">
      <c r="I5525" s="0" t="n">
        <v>2032</v>
      </c>
      <c r="J5525" s="0" t="n">
        <v>1.32</v>
      </c>
      <c r="K5525" s="0" t="n">
        <v>27.62</v>
      </c>
    </row>
    <row r="5526" customFormat="false" ht="15" hidden="false" customHeight="false" outlineLevel="0" collapsed="false">
      <c r="I5526" s="0" t="n">
        <v>2032</v>
      </c>
      <c r="J5526" s="0" t="n">
        <v>2.64</v>
      </c>
      <c r="K5526" s="0" t="n">
        <v>55.24</v>
      </c>
    </row>
    <row r="5527" customFormat="false" ht="15" hidden="false" customHeight="false" outlineLevel="0" collapsed="false">
      <c r="I5527" s="0" t="n">
        <v>2032</v>
      </c>
      <c r="J5527" s="0" t="n">
        <v>4.62</v>
      </c>
      <c r="K5527" s="0" t="n">
        <v>96.67</v>
      </c>
    </row>
    <row r="5528" customFormat="false" ht="15" hidden="false" customHeight="false" outlineLevel="0" collapsed="false">
      <c r="I5528" s="0" t="n">
        <v>2032</v>
      </c>
      <c r="J5528" s="0" t="n">
        <v>1.98</v>
      </c>
      <c r="K5528" s="0" t="n">
        <v>41.43</v>
      </c>
    </row>
    <row r="5529" customFormat="false" ht="15" hidden="false" customHeight="false" outlineLevel="0" collapsed="false">
      <c r="I5529" s="0" t="n">
        <v>2032</v>
      </c>
      <c r="J5529" s="0" t="n">
        <v>1.98</v>
      </c>
      <c r="K5529" s="0" t="n">
        <v>41.43</v>
      </c>
    </row>
    <row r="5530" customFormat="false" ht="15" hidden="false" customHeight="false" outlineLevel="0" collapsed="false">
      <c r="I5530" s="0" t="n">
        <v>2032</v>
      </c>
      <c r="J5530" s="0" t="n">
        <v>25.48</v>
      </c>
      <c r="K5530" s="0" t="n">
        <v>535.08</v>
      </c>
    </row>
    <row r="5531" customFormat="false" ht="15" hidden="false" customHeight="false" outlineLevel="0" collapsed="false">
      <c r="I5531" s="0" t="n">
        <v>2032</v>
      </c>
      <c r="J5531" s="0" t="n">
        <v>3.92</v>
      </c>
      <c r="K5531" s="0" t="n">
        <v>82.32</v>
      </c>
    </row>
    <row r="5532" customFormat="false" ht="15" hidden="false" customHeight="false" outlineLevel="0" collapsed="false">
      <c r="I5532" s="0" t="n">
        <v>2032</v>
      </c>
      <c r="J5532" s="0" t="n">
        <v>2.94</v>
      </c>
      <c r="K5532" s="0" t="n">
        <v>61.74</v>
      </c>
    </row>
    <row r="5533" customFormat="false" ht="15" hidden="false" customHeight="false" outlineLevel="0" collapsed="false">
      <c r="I5533" s="0" t="n">
        <v>2032</v>
      </c>
      <c r="J5533" s="0" t="n">
        <v>4.9</v>
      </c>
      <c r="K5533" s="0" t="n">
        <v>102.9</v>
      </c>
    </row>
    <row r="5534" customFormat="false" ht="15" hidden="false" customHeight="false" outlineLevel="0" collapsed="false">
      <c r="I5534" s="0" t="n">
        <v>2032</v>
      </c>
      <c r="J5534" s="0" t="n">
        <v>0.98</v>
      </c>
      <c r="K5534" s="0" t="n">
        <v>20.58</v>
      </c>
    </row>
    <row r="5535" customFormat="false" ht="15" hidden="false" customHeight="false" outlineLevel="0" collapsed="false">
      <c r="I5535" s="0" t="n">
        <v>2032</v>
      </c>
      <c r="J5535" s="0" t="n">
        <v>0.98</v>
      </c>
      <c r="K5535" s="0" t="n">
        <v>20.58</v>
      </c>
    </row>
    <row r="5536" customFormat="false" ht="15" hidden="false" customHeight="false" outlineLevel="0" collapsed="false">
      <c r="I5536" s="0" t="n">
        <v>2032</v>
      </c>
      <c r="J5536" s="0" t="n">
        <v>0</v>
      </c>
      <c r="K5536" s="0" t="n">
        <v>0</v>
      </c>
    </row>
    <row r="5537" customFormat="false" ht="15" hidden="false" customHeight="false" outlineLevel="0" collapsed="false">
      <c r="I5537" s="0" t="n">
        <v>2032</v>
      </c>
      <c r="J5537" s="0" t="n">
        <v>1.96</v>
      </c>
      <c r="K5537" s="0" t="n">
        <v>41.16</v>
      </c>
    </row>
    <row r="5538" customFormat="false" ht="15" hidden="false" customHeight="false" outlineLevel="0" collapsed="false">
      <c r="I5538" s="0" t="n">
        <v>2032</v>
      </c>
      <c r="J5538" s="0" t="n">
        <v>3.43</v>
      </c>
      <c r="K5538" s="0" t="n">
        <v>72.03</v>
      </c>
    </row>
    <row r="5539" customFormat="false" ht="15" hidden="false" customHeight="false" outlineLevel="0" collapsed="false">
      <c r="I5539" s="0" t="n">
        <v>2032</v>
      </c>
      <c r="J5539" s="0" t="n">
        <v>0.98</v>
      </c>
      <c r="K5539" s="0" t="n">
        <v>20.58</v>
      </c>
    </row>
    <row r="5540" customFormat="false" ht="15" hidden="false" customHeight="false" outlineLevel="0" collapsed="false">
      <c r="I5540" s="0" t="n">
        <v>2032</v>
      </c>
      <c r="J5540" s="0" t="n">
        <v>3.43</v>
      </c>
      <c r="K5540" s="0" t="n">
        <v>72.03</v>
      </c>
    </row>
    <row r="5541" customFormat="false" ht="15" hidden="false" customHeight="false" outlineLevel="0" collapsed="false">
      <c r="I5541" s="0" t="n">
        <v>2032</v>
      </c>
      <c r="J5541" s="0" t="n">
        <v>138.72</v>
      </c>
      <c r="K5541" s="0" t="n">
        <v>2909.76</v>
      </c>
    </row>
    <row r="5542" customFormat="false" ht="15" hidden="false" customHeight="false" outlineLevel="0" collapsed="false">
      <c r="I5542" s="0" t="n">
        <v>2032</v>
      </c>
      <c r="J5542" s="0" t="n">
        <v>46.24</v>
      </c>
      <c r="K5542" s="0" t="n">
        <v>969.92</v>
      </c>
    </row>
    <row r="5543" customFormat="false" ht="15" hidden="false" customHeight="false" outlineLevel="0" collapsed="false">
      <c r="I5543" s="0" t="n">
        <v>2032</v>
      </c>
      <c r="J5543" s="0" t="n">
        <v>20.23</v>
      </c>
      <c r="K5543" s="0" t="n">
        <v>424.34</v>
      </c>
    </row>
    <row r="5544" customFormat="false" ht="15" hidden="false" customHeight="false" outlineLevel="0" collapsed="false">
      <c r="I5544" s="0" t="n">
        <v>2032</v>
      </c>
      <c r="J5544" s="0" t="n">
        <v>11.56</v>
      </c>
      <c r="K5544" s="0" t="n">
        <v>242.48</v>
      </c>
    </row>
    <row r="5545" customFormat="false" ht="15" hidden="false" customHeight="false" outlineLevel="0" collapsed="false">
      <c r="I5545" s="0" t="n">
        <v>2032</v>
      </c>
      <c r="J5545" s="0" t="n">
        <v>11.56</v>
      </c>
      <c r="K5545" s="0" t="n">
        <v>242.48</v>
      </c>
    </row>
    <row r="5546" customFormat="false" ht="15" hidden="false" customHeight="false" outlineLevel="0" collapsed="false">
      <c r="I5546" s="0" t="n">
        <v>2032</v>
      </c>
      <c r="J5546" s="0" t="n">
        <v>5.78</v>
      </c>
      <c r="K5546" s="0" t="n">
        <v>121.24</v>
      </c>
    </row>
    <row r="5547" customFormat="false" ht="15" hidden="false" customHeight="false" outlineLevel="0" collapsed="false">
      <c r="I5547" s="0" t="n">
        <v>2032</v>
      </c>
      <c r="J5547" s="0" t="n">
        <v>5.78</v>
      </c>
      <c r="K5547" s="0" t="n">
        <v>121.24</v>
      </c>
    </row>
    <row r="5548" customFormat="false" ht="15" hidden="false" customHeight="false" outlineLevel="0" collapsed="false">
      <c r="I5548" s="0" t="n">
        <v>2032</v>
      </c>
      <c r="J5548" s="0" t="n">
        <v>11.56</v>
      </c>
      <c r="K5548" s="0" t="n">
        <v>242.48</v>
      </c>
    </row>
    <row r="5549" customFormat="false" ht="15" hidden="false" customHeight="false" outlineLevel="0" collapsed="false">
      <c r="I5549" s="0" t="n">
        <v>2032</v>
      </c>
      <c r="J5549" s="0" t="n">
        <v>20.23</v>
      </c>
      <c r="K5549" s="0" t="n">
        <v>424.34</v>
      </c>
    </row>
    <row r="5550" customFormat="false" ht="15" hidden="false" customHeight="false" outlineLevel="0" collapsed="false">
      <c r="I5550" s="0" t="n">
        <v>2032</v>
      </c>
      <c r="J5550" s="0" t="n">
        <v>8.67</v>
      </c>
      <c r="K5550" s="0" t="n">
        <v>181.86</v>
      </c>
    </row>
    <row r="5551" customFormat="false" ht="15" hidden="false" customHeight="false" outlineLevel="0" collapsed="false">
      <c r="I5551" s="0" t="n">
        <v>2032</v>
      </c>
      <c r="J5551" s="0" t="n">
        <v>8.67</v>
      </c>
      <c r="K5551" s="0" t="n">
        <v>181.86</v>
      </c>
    </row>
    <row r="5552" customFormat="false" ht="15" hidden="false" customHeight="false" outlineLevel="0" collapsed="false">
      <c r="I5552" s="0" t="n">
        <v>2032</v>
      </c>
      <c r="J5552" s="0" t="n">
        <v>53.56</v>
      </c>
      <c r="K5552" s="0" t="n">
        <v>1125.8</v>
      </c>
    </row>
    <row r="5553" customFormat="false" ht="15" hidden="false" customHeight="false" outlineLevel="0" collapsed="false">
      <c r="I5553" s="0" t="n">
        <v>2032</v>
      </c>
      <c r="J5553" s="0" t="n">
        <v>8.24</v>
      </c>
      <c r="K5553" s="0" t="n">
        <v>173.2</v>
      </c>
    </row>
    <row r="5554" customFormat="false" ht="15" hidden="false" customHeight="false" outlineLevel="0" collapsed="false">
      <c r="I5554" s="0" t="n">
        <v>2032</v>
      </c>
      <c r="J5554" s="0" t="n">
        <v>6.18</v>
      </c>
      <c r="K5554" s="0" t="n">
        <v>129.9</v>
      </c>
    </row>
    <row r="5555" customFormat="false" ht="15" hidden="false" customHeight="false" outlineLevel="0" collapsed="false">
      <c r="I5555" s="0" t="n">
        <v>2032</v>
      </c>
      <c r="J5555" s="0" t="n">
        <v>10.3</v>
      </c>
      <c r="K5555" s="0" t="n">
        <v>216.5</v>
      </c>
    </row>
    <row r="5556" customFormat="false" ht="15" hidden="false" customHeight="false" outlineLevel="0" collapsed="false">
      <c r="I5556" s="0" t="n">
        <v>2032</v>
      </c>
      <c r="J5556" s="0" t="n">
        <v>2.06</v>
      </c>
      <c r="K5556" s="0" t="n">
        <v>43.3</v>
      </c>
    </row>
    <row r="5557" customFormat="false" ht="15" hidden="false" customHeight="false" outlineLevel="0" collapsed="false">
      <c r="I5557" s="0" t="n">
        <v>2032</v>
      </c>
      <c r="J5557" s="0" t="n">
        <v>2.06</v>
      </c>
      <c r="K5557" s="0" t="n">
        <v>43.3</v>
      </c>
    </row>
    <row r="5558" customFormat="false" ht="15" hidden="false" customHeight="false" outlineLevel="0" collapsed="false">
      <c r="I5558" s="0" t="n">
        <v>2032</v>
      </c>
      <c r="J5558" s="0" t="n">
        <v>0</v>
      </c>
      <c r="K5558" s="0" t="n">
        <v>0</v>
      </c>
    </row>
    <row r="5559" customFormat="false" ht="15" hidden="false" customHeight="false" outlineLevel="0" collapsed="false">
      <c r="I5559" s="0" t="n">
        <v>2032</v>
      </c>
      <c r="J5559" s="0" t="n">
        <v>4.12</v>
      </c>
      <c r="K5559" s="0" t="n">
        <v>86.6</v>
      </c>
    </row>
    <row r="5560" customFormat="false" ht="15" hidden="false" customHeight="false" outlineLevel="0" collapsed="false">
      <c r="I5560" s="0" t="n">
        <v>2032</v>
      </c>
      <c r="J5560" s="0" t="n">
        <v>7.21</v>
      </c>
      <c r="K5560" s="0" t="n">
        <v>151.55</v>
      </c>
    </row>
    <row r="5561" customFormat="false" ht="15" hidden="false" customHeight="false" outlineLevel="0" collapsed="false">
      <c r="I5561" s="0" t="n">
        <v>2032</v>
      </c>
      <c r="J5561" s="0" t="n">
        <v>2.06</v>
      </c>
      <c r="K5561" s="0" t="n">
        <v>43.3</v>
      </c>
    </row>
    <row r="5562" customFormat="false" ht="15" hidden="false" customHeight="false" outlineLevel="0" collapsed="false">
      <c r="I5562" s="0" t="n">
        <v>2032</v>
      </c>
      <c r="J5562" s="0" t="n">
        <v>7.21</v>
      </c>
      <c r="K5562" s="0" t="n">
        <v>151.55</v>
      </c>
    </row>
    <row r="5563" customFormat="false" ht="15" hidden="false" customHeight="false" outlineLevel="0" collapsed="false">
      <c r="I5563" s="0" t="n">
        <v>2033</v>
      </c>
      <c r="J5563" s="0" t="n">
        <v>875.52</v>
      </c>
      <c r="K5563" s="0" t="n">
        <v>18381.12</v>
      </c>
    </row>
    <row r="5564" customFormat="false" ht="15" hidden="false" customHeight="false" outlineLevel="0" collapsed="false">
      <c r="I5564" s="0" t="n">
        <v>2033</v>
      </c>
      <c r="J5564" s="0" t="n">
        <v>291.84</v>
      </c>
      <c r="K5564" s="0" t="n">
        <v>6127.04</v>
      </c>
    </row>
    <row r="5565" customFormat="false" ht="15" hidden="false" customHeight="false" outlineLevel="0" collapsed="false">
      <c r="I5565" s="0" t="n">
        <v>2033</v>
      </c>
      <c r="J5565" s="0" t="n">
        <v>127.68</v>
      </c>
      <c r="K5565" s="0" t="n">
        <v>2680.58</v>
      </c>
    </row>
    <row r="5566" customFormat="false" ht="15" hidden="false" customHeight="false" outlineLevel="0" collapsed="false">
      <c r="I5566" s="0" t="n">
        <v>2033</v>
      </c>
      <c r="J5566" s="0" t="n">
        <v>72.96</v>
      </c>
      <c r="K5566" s="0" t="n">
        <v>1531.76</v>
      </c>
    </row>
    <row r="5567" customFormat="false" ht="15" hidden="false" customHeight="false" outlineLevel="0" collapsed="false">
      <c r="I5567" s="0" t="n">
        <v>2033</v>
      </c>
      <c r="J5567" s="0" t="n">
        <v>72.96</v>
      </c>
      <c r="K5567" s="0" t="n">
        <v>1531.76</v>
      </c>
    </row>
    <row r="5568" customFormat="false" ht="15" hidden="false" customHeight="false" outlineLevel="0" collapsed="false">
      <c r="I5568" s="0" t="n">
        <v>2033</v>
      </c>
      <c r="J5568" s="0" t="n">
        <v>36.48</v>
      </c>
      <c r="K5568" s="0" t="n">
        <v>765.88</v>
      </c>
    </row>
    <row r="5569" customFormat="false" ht="15" hidden="false" customHeight="false" outlineLevel="0" collapsed="false">
      <c r="I5569" s="0" t="n">
        <v>2033</v>
      </c>
      <c r="J5569" s="0" t="n">
        <v>36.48</v>
      </c>
      <c r="K5569" s="0" t="n">
        <v>765.88</v>
      </c>
    </row>
    <row r="5570" customFormat="false" ht="15" hidden="false" customHeight="false" outlineLevel="0" collapsed="false">
      <c r="I5570" s="0" t="n">
        <v>2033</v>
      </c>
      <c r="J5570" s="0" t="n">
        <v>72.96</v>
      </c>
      <c r="K5570" s="0" t="n">
        <v>1531.76</v>
      </c>
    </row>
    <row r="5571" customFormat="false" ht="15" hidden="false" customHeight="false" outlineLevel="0" collapsed="false">
      <c r="I5571" s="0" t="n">
        <v>2033</v>
      </c>
      <c r="J5571" s="0" t="n">
        <v>127.68</v>
      </c>
      <c r="K5571" s="0" t="n">
        <v>2680.58</v>
      </c>
    </row>
    <row r="5572" customFormat="false" ht="15" hidden="false" customHeight="false" outlineLevel="0" collapsed="false">
      <c r="I5572" s="0" t="n">
        <v>2033</v>
      </c>
      <c r="J5572" s="0" t="n">
        <v>54.72</v>
      </c>
      <c r="K5572" s="0" t="n">
        <v>1148.82</v>
      </c>
    </row>
    <row r="5573" customFormat="false" ht="15" hidden="false" customHeight="false" outlineLevel="0" collapsed="false">
      <c r="I5573" s="0" t="n">
        <v>2033</v>
      </c>
      <c r="J5573" s="0" t="n">
        <v>54.72</v>
      </c>
      <c r="K5573" s="0" t="n">
        <v>1148.82</v>
      </c>
    </row>
    <row r="5574" customFormat="false" ht="15" hidden="false" customHeight="false" outlineLevel="0" collapsed="false">
      <c r="I5574" s="0" t="n">
        <v>2033</v>
      </c>
      <c r="J5574" s="0" t="n">
        <v>59.8</v>
      </c>
      <c r="K5574" s="0" t="n">
        <v>1257.88</v>
      </c>
    </row>
    <row r="5575" customFormat="false" ht="15" hidden="false" customHeight="false" outlineLevel="0" collapsed="false">
      <c r="I5575" s="0" t="n">
        <v>2033</v>
      </c>
      <c r="J5575" s="0" t="n">
        <v>9.2</v>
      </c>
      <c r="K5575" s="0" t="n">
        <v>193.52</v>
      </c>
    </row>
    <row r="5576" customFormat="false" ht="15" hidden="false" customHeight="false" outlineLevel="0" collapsed="false">
      <c r="I5576" s="0" t="n">
        <v>2033</v>
      </c>
      <c r="J5576" s="0" t="n">
        <v>6.9</v>
      </c>
      <c r="K5576" s="0" t="n">
        <v>145.14</v>
      </c>
    </row>
    <row r="5577" customFormat="false" ht="15" hidden="false" customHeight="false" outlineLevel="0" collapsed="false">
      <c r="I5577" s="0" t="n">
        <v>2033</v>
      </c>
      <c r="J5577" s="0" t="n">
        <v>11.5</v>
      </c>
      <c r="K5577" s="0" t="n">
        <v>241.9</v>
      </c>
    </row>
    <row r="5578" customFormat="false" ht="15" hidden="false" customHeight="false" outlineLevel="0" collapsed="false">
      <c r="I5578" s="0" t="n">
        <v>2033</v>
      </c>
      <c r="J5578" s="0" t="n">
        <v>2.3</v>
      </c>
      <c r="K5578" s="0" t="n">
        <v>48.38</v>
      </c>
    </row>
    <row r="5579" customFormat="false" ht="15" hidden="false" customHeight="false" outlineLevel="0" collapsed="false">
      <c r="I5579" s="0" t="n">
        <v>2033</v>
      </c>
      <c r="J5579" s="0" t="n">
        <v>2.3</v>
      </c>
      <c r="K5579" s="0" t="n">
        <v>48.38</v>
      </c>
    </row>
    <row r="5580" customFormat="false" ht="15" hidden="false" customHeight="false" outlineLevel="0" collapsed="false">
      <c r="I5580" s="0" t="n">
        <v>2033</v>
      </c>
      <c r="J5580" s="0" t="n">
        <v>0</v>
      </c>
      <c r="K5580" s="0" t="n">
        <v>0</v>
      </c>
    </row>
    <row r="5581" customFormat="false" ht="15" hidden="false" customHeight="false" outlineLevel="0" collapsed="false">
      <c r="I5581" s="0" t="n">
        <v>2033</v>
      </c>
      <c r="J5581" s="0" t="n">
        <v>4.6</v>
      </c>
      <c r="K5581" s="0" t="n">
        <v>96.76</v>
      </c>
    </row>
    <row r="5582" customFormat="false" ht="15" hidden="false" customHeight="false" outlineLevel="0" collapsed="false">
      <c r="I5582" s="0" t="n">
        <v>2033</v>
      </c>
      <c r="J5582" s="0" t="n">
        <v>8.05</v>
      </c>
      <c r="K5582" s="0" t="n">
        <v>169.33</v>
      </c>
    </row>
    <row r="5583" customFormat="false" ht="15" hidden="false" customHeight="false" outlineLevel="0" collapsed="false">
      <c r="I5583" s="0" t="n">
        <v>2033</v>
      </c>
      <c r="J5583" s="0" t="n">
        <v>2.3</v>
      </c>
      <c r="K5583" s="0" t="n">
        <v>48.38</v>
      </c>
    </row>
    <row r="5584" customFormat="false" ht="15" hidden="false" customHeight="false" outlineLevel="0" collapsed="false">
      <c r="I5584" s="0" t="n">
        <v>2033</v>
      </c>
      <c r="J5584" s="0" t="n">
        <v>8.05</v>
      </c>
      <c r="K5584" s="0" t="n">
        <v>169.33</v>
      </c>
    </row>
    <row r="5585" customFormat="false" ht="15" hidden="false" customHeight="false" outlineLevel="0" collapsed="false">
      <c r="I5585" s="0" t="n">
        <v>2033</v>
      </c>
      <c r="J5585" s="0" t="n">
        <v>371.04</v>
      </c>
      <c r="K5585" s="0" t="n">
        <v>7789.44</v>
      </c>
    </row>
    <row r="5586" customFormat="false" ht="15" hidden="false" customHeight="false" outlineLevel="0" collapsed="false">
      <c r="I5586" s="0" t="n">
        <v>2033</v>
      </c>
      <c r="J5586" s="0" t="n">
        <v>123.68</v>
      </c>
      <c r="K5586" s="0" t="n">
        <v>2596.48</v>
      </c>
    </row>
    <row r="5587" customFormat="false" ht="15" hidden="false" customHeight="false" outlineLevel="0" collapsed="false">
      <c r="I5587" s="0" t="n">
        <v>2033</v>
      </c>
      <c r="J5587" s="0" t="n">
        <v>54.11</v>
      </c>
      <c r="K5587" s="0" t="n">
        <v>1135.96</v>
      </c>
    </row>
    <row r="5588" customFormat="false" ht="15" hidden="false" customHeight="false" outlineLevel="0" collapsed="false">
      <c r="I5588" s="0" t="n">
        <v>2033</v>
      </c>
      <c r="J5588" s="0" t="n">
        <v>30.92</v>
      </c>
      <c r="K5588" s="0" t="n">
        <v>649.12</v>
      </c>
    </row>
    <row r="5589" customFormat="false" ht="15" hidden="false" customHeight="false" outlineLevel="0" collapsed="false">
      <c r="I5589" s="0" t="n">
        <v>2033</v>
      </c>
      <c r="J5589" s="0" t="n">
        <v>30.92</v>
      </c>
      <c r="K5589" s="0" t="n">
        <v>649.12</v>
      </c>
    </row>
    <row r="5590" customFormat="false" ht="15" hidden="false" customHeight="false" outlineLevel="0" collapsed="false">
      <c r="I5590" s="0" t="n">
        <v>2033</v>
      </c>
      <c r="J5590" s="0" t="n">
        <v>15.46</v>
      </c>
      <c r="K5590" s="0" t="n">
        <v>324.56</v>
      </c>
    </row>
    <row r="5591" customFormat="false" ht="15" hidden="false" customHeight="false" outlineLevel="0" collapsed="false">
      <c r="I5591" s="0" t="n">
        <v>2033</v>
      </c>
      <c r="J5591" s="0" t="n">
        <v>15.46</v>
      </c>
      <c r="K5591" s="0" t="n">
        <v>324.56</v>
      </c>
    </row>
    <row r="5592" customFormat="false" ht="15" hidden="false" customHeight="false" outlineLevel="0" collapsed="false">
      <c r="I5592" s="0" t="n">
        <v>2033</v>
      </c>
      <c r="J5592" s="0" t="n">
        <v>30.92</v>
      </c>
      <c r="K5592" s="0" t="n">
        <v>649.12</v>
      </c>
    </row>
    <row r="5593" customFormat="false" ht="15" hidden="false" customHeight="false" outlineLevel="0" collapsed="false">
      <c r="I5593" s="0" t="n">
        <v>2033</v>
      </c>
      <c r="J5593" s="0" t="n">
        <v>54.11</v>
      </c>
      <c r="K5593" s="0" t="n">
        <v>1135.96</v>
      </c>
    </row>
    <row r="5594" customFormat="false" ht="15" hidden="false" customHeight="false" outlineLevel="0" collapsed="false">
      <c r="I5594" s="0" t="n">
        <v>2033</v>
      </c>
      <c r="J5594" s="0" t="n">
        <v>23.19</v>
      </c>
      <c r="K5594" s="0" t="n">
        <v>486.84</v>
      </c>
    </row>
    <row r="5595" customFormat="false" ht="15" hidden="false" customHeight="false" outlineLevel="0" collapsed="false">
      <c r="I5595" s="0" t="n">
        <v>2033</v>
      </c>
      <c r="J5595" s="0" t="n">
        <v>23.19</v>
      </c>
      <c r="K5595" s="0" t="n">
        <v>486.84</v>
      </c>
    </row>
    <row r="5596" customFormat="false" ht="15" hidden="false" customHeight="false" outlineLevel="0" collapsed="false">
      <c r="I5596" s="0" t="n">
        <v>2033</v>
      </c>
      <c r="J5596" s="0" t="n">
        <v>71.76</v>
      </c>
      <c r="K5596" s="0" t="n">
        <v>1509.04</v>
      </c>
    </row>
    <row r="5597" customFormat="false" ht="15" hidden="false" customHeight="false" outlineLevel="0" collapsed="false">
      <c r="I5597" s="0" t="n">
        <v>2033</v>
      </c>
      <c r="J5597" s="0" t="n">
        <v>11.04</v>
      </c>
      <c r="K5597" s="0" t="n">
        <v>232.16</v>
      </c>
    </row>
    <row r="5598" customFormat="false" ht="15" hidden="false" customHeight="false" outlineLevel="0" collapsed="false">
      <c r="I5598" s="0" t="n">
        <v>2033</v>
      </c>
      <c r="J5598" s="0" t="n">
        <v>8.28</v>
      </c>
      <c r="K5598" s="0" t="n">
        <v>174.12</v>
      </c>
    </row>
    <row r="5599" customFormat="false" ht="15" hidden="false" customHeight="false" outlineLevel="0" collapsed="false">
      <c r="I5599" s="0" t="n">
        <v>2033</v>
      </c>
      <c r="J5599" s="0" t="n">
        <v>13.8</v>
      </c>
      <c r="K5599" s="0" t="n">
        <v>290.2</v>
      </c>
    </row>
    <row r="5600" customFormat="false" ht="15" hidden="false" customHeight="false" outlineLevel="0" collapsed="false">
      <c r="I5600" s="0" t="n">
        <v>2033</v>
      </c>
      <c r="J5600" s="0" t="n">
        <v>2.76</v>
      </c>
      <c r="K5600" s="0" t="n">
        <v>58.04</v>
      </c>
    </row>
    <row r="5601" customFormat="false" ht="15" hidden="false" customHeight="false" outlineLevel="0" collapsed="false">
      <c r="I5601" s="0" t="n">
        <v>2033</v>
      </c>
      <c r="J5601" s="0" t="n">
        <v>2.76</v>
      </c>
      <c r="K5601" s="0" t="n">
        <v>58.04</v>
      </c>
    </row>
    <row r="5602" customFormat="false" ht="15" hidden="false" customHeight="false" outlineLevel="0" collapsed="false">
      <c r="I5602" s="0" t="n">
        <v>2033</v>
      </c>
      <c r="J5602" s="0" t="n">
        <v>0</v>
      </c>
      <c r="K5602" s="0" t="n">
        <v>0</v>
      </c>
    </row>
    <row r="5603" customFormat="false" ht="15" hidden="false" customHeight="false" outlineLevel="0" collapsed="false">
      <c r="I5603" s="0" t="n">
        <v>2033</v>
      </c>
      <c r="J5603" s="0" t="n">
        <v>5.52</v>
      </c>
      <c r="K5603" s="0" t="n">
        <v>116.08</v>
      </c>
    </row>
    <row r="5604" customFormat="false" ht="15" hidden="false" customHeight="false" outlineLevel="0" collapsed="false">
      <c r="I5604" s="0" t="n">
        <v>2033</v>
      </c>
      <c r="J5604" s="0" t="n">
        <v>9.66</v>
      </c>
      <c r="K5604" s="0" t="n">
        <v>203.14</v>
      </c>
    </row>
    <row r="5605" customFormat="false" ht="15" hidden="false" customHeight="false" outlineLevel="0" collapsed="false">
      <c r="I5605" s="0" t="n">
        <v>2033</v>
      </c>
      <c r="J5605" s="0" t="n">
        <v>2.76</v>
      </c>
      <c r="K5605" s="0" t="n">
        <v>58.04</v>
      </c>
    </row>
    <row r="5606" customFormat="false" ht="15" hidden="false" customHeight="false" outlineLevel="0" collapsed="false">
      <c r="I5606" s="0" t="n">
        <v>2033</v>
      </c>
      <c r="J5606" s="0" t="n">
        <v>9.66</v>
      </c>
      <c r="K5606" s="0" t="n">
        <v>203.14</v>
      </c>
    </row>
    <row r="5607" customFormat="false" ht="15" hidden="false" customHeight="false" outlineLevel="0" collapsed="false">
      <c r="I5607" s="0" t="n">
        <v>2033</v>
      </c>
      <c r="J5607" s="0" t="n">
        <v>236.64</v>
      </c>
      <c r="K5607" s="0" t="n">
        <v>4967.52</v>
      </c>
    </row>
    <row r="5608" customFormat="false" ht="15" hidden="false" customHeight="false" outlineLevel="0" collapsed="false">
      <c r="I5608" s="0" t="n">
        <v>2033</v>
      </c>
      <c r="J5608" s="0" t="n">
        <v>78.88</v>
      </c>
      <c r="K5608" s="0" t="n">
        <v>1655.84</v>
      </c>
    </row>
    <row r="5609" customFormat="false" ht="15" hidden="false" customHeight="false" outlineLevel="0" collapsed="false">
      <c r="I5609" s="0" t="n">
        <v>2033</v>
      </c>
      <c r="J5609" s="0" t="n">
        <v>34.51</v>
      </c>
      <c r="K5609" s="0" t="n">
        <v>724.43</v>
      </c>
    </row>
    <row r="5610" customFormat="false" ht="15" hidden="false" customHeight="false" outlineLevel="0" collapsed="false">
      <c r="I5610" s="0" t="n">
        <v>2033</v>
      </c>
      <c r="J5610" s="0" t="n">
        <v>19.72</v>
      </c>
      <c r="K5610" s="0" t="n">
        <v>413.96</v>
      </c>
    </row>
    <row r="5611" customFormat="false" ht="15" hidden="false" customHeight="false" outlineLevel="0" collapsed="false">
      <c r="I5611" s="0" t="n">
        <v>2033</v>
      </c>
      <c r="J5611" s="0" t="n">
        <v>19.72</v>
      </c>
      <c r="K5611" s="0" t="n">
        <v>413.96</v>
      </c>
    </row>
    <row r="5612" customFormat="false" ht="15" hidden="false" customHeight="false" outlineLevel="0" collapsed="false">
      <c r="I5612" s="0" t="n">
        <v>2033</v>
      </c>
      <c r="J5612" s="0" t="n">
        <v>9.86</v>
      </c>
      <c r="K5612" s="0" t="n">
        <v>206.98</v>
      </c>
    </row>
    <row r="5613" customFormat="false" ht="15" hidden="false" customHeight="false" outlineLevel="0" collapsed="false">
      <c r="I5613" s="0" t="n">
        <v>2033</v>
      </c>
      <c r="J5613" s="0" t="n">
        <v>9.86</v>
      </c>
      <c r="K5613" s="0" t="n">
        <v>206.98</v>
      </c>
    </row>
    <row r="5614" customFormat="false" ht="15" hidden="false" customHeight="false" outlineLevel="0" collapsed="false">
      <c r="I5614" s="0" t="n">
        <v>2033</v>
      </c>
      <c r="J5614" s="0" t="n">
        <v>19.72</v>
      </c>
      <c r="K5614" s="0" t="n">
        <v>413.96</v>
      </c>
    </row>
    <row r="5615" customFormat="false" ht="15" hidden="false" customHeight="false" outlineLevel="0" collapsed="false">
      <c r="I5615" s="0" t="n">
        <v>2033</v>
      </c>
      <c r="J5615" s="0" t="n">
        <v>34.51</v>
      </c>
      <c r="K5615" s="0" t="n">
        <v>724.43</v>
      </c>
    </row>
    <row r="5616" customFormat="false" ht="15" hidden="false" customHeight="false" outlineLevel="0" collapsed="false">
      <c r="I5616" s="0" t="n">
        <v>2033</v>
      </c>
      <c r="J5616" s="0" t="n">
        <v>14.79</v>
      </c>
      <c r="K5616" s="0" t="n">
        <v>310.47</v>
      </c>
    </row>
    <row r="5617" customFormat="false" ht="15" hidden="false" customHeight="false" outlineLevel="0" collapsed="false">
      <c r="I5617" s="0" t="n">
        <v>2033</v>
      </c>
      <c r="J5617" s="0" t="n">
        <v>14.79</v>
      </c>
      <c r="K5617" s="0" t="n">
        <v>310.47</v>
      </c>
    </row>
    <row r="5618" customFormat="false" ht="15" hidden="false" customHeight="false" outlineLevel="0" collapsed="false">
      <c r="I5618" s="0" t="n">
        <v>2033</v>
      </c>
      <c r="J5618" s="0" t="n">
        <v>59.8</v>
      </c>
      <c r="K5618" s="0" t="n">
        <v>1252.68</v>
      </c>
    </row>
    <row r="5619" customFormat="false" ht="15" hidden="false" customHeight="false" outlineLevel="0" collapsed="false">
      <c r="I5619" s="0" t="n">
        <v>2033</v>
      </c>
      <c r="J5619" s="0" t="n">
        <v>9.2</v>
      </c>
      <c r="K5619" s="0" t="n">
        <v>192.72</v>
      </c>
    </row>
    <row r="5620" customFormat="false" ht="15" hidden="false" customHeight="false" outlineLevel="0" collapsed="false">
      <c r="I5620" s="0" t="n">
        <v>2033</v>
      </c>
      <c r="J5620" s="0" t="n">
        <v>6.9</v>
      </c>
      <c r="K5620" s="0" t="n">
        <v>144.54</v>
      </c>
    </row>
    <row r="5621" customFormat="false" ht="15" hidden="false" customHeight="false" outlineLevel="0" collapsed="false">
      <c r="I5621" s="0" t="n">
        <v>2033</v>
      </c>
      <c r="J5621" s="0" t="n">
        <v>11.5</v>
      </c>
      <c r="K5621" s="0" t="n">
        <v>240.9</v>
      </c>
    </row>
    <row r="5622" customFormat="false" ht="15" hidden="false" customHeight="false" outlineLevel="0" collapsed="false">
      <c r="I5622" s="0" t="n">
        <v>2033</v>
      </c>
      <c r="J5622" s="0" t="n">
        <v>2.3</v>
      </c>
      <c r="K5622" s="0" t="n">
        <v>48.18</v>
      </c>
    </row>
    <row r="5623" customFormat="false" ht="15" hidden="false" customHeight="false" outlineLevel="0" collapsed="false">
      <c r="I5623" s="0" t="n">
        <v>2033</v>
      </c>
      <c r="J5623" s="0" t="n">
        <v>2.3</v>
      </c>
      <c r="K5623" s="0" t="n">
        <v>48.18</v>
      </c>
    </row>
    <row r="5624" customFormat="false" ht="15" hidden="false" customHeight="false" outlineLevel="0" collapsed="false">
      <c r="I5624" s="0" t="n">
        <v>2033</v>
      </c>
      <c r="J5624" s="0" t="n">
        <v>0</v>
      </c>
      <c r="K5624" s="0" t="n">
        <v>0</v>
      </c>
    </row>
    <row r="5625" customFormat="false" ht="15" hidden="false" customHeight="false" outlineLevel="0" collapsed="false">
      <c r="I5625" s="0" t="n">
        <v>2033</v>
      </c>
      <c r="J5625" s="0" t="n">
        <v>4.6</v>
      </c>
      <c r="K5625" s="0" t="n">
        <v>96.36</v>
      </c>
    </row>
    <row r="5626" customFormat="false" ht="15" hidden="false" customHeight="false" outlineLevel="0" collapsed="false">
      <c r="I5626" s="0" t="n">
        <v>2033</v>
      </c>
      <c r="J5626" s="0" t="n">
        <v>8.05</v>
      </c>
      <c r="K5626" s="0" t="n">
        <v>168.63</v>
      </c>
    </row>
    <row r="5627" customFormat="false" ht="15" hidden="false" customHeight="false" outlineLevel="0" collapsed="false">
      <c r="I5627" s="0" t="n">
        <v>2033</v>
      </c>
      <c r="J5627" s="0" t="n">
        <v>2.3</v>
      </c>
      <c r="K5627" s="0" t="n">
        <v>48.18</v>
      </c>
    </row>
    <row r="5628" customFormat="false" ht="15" hidden="false" customHeight="false" outlineLevel="0" collapsed="false">
      <c r="I5628" s="0" t="n">
        <v>2033</v>
      </c>
      <c r="J5628" s="0" t="n">
        <v>8.05</v>
      </c>
      <c r="K5628" s="0" t="n">
        <v>168.63</v>
      </c>
    </row>
    <row r="5629" customFormat="false" ht="15" hidden="false" customHeight="false" outlineLevel="0" collapsed="false">
      <c r="I5629" s="0" t="n">
        <v>2033</v>
      </c>
      <c r="J5629" s="0" t="n">
        <v>1057.44</v>
      </c>
      <c r="K5629" s="0" t="n">
        <v>22209.6</v>
      </c>
    </row>
    <row r="5630" customFormat="false" ht="15" hidden="false" customHeight="false" outlineLevel="0" collapsed="false">
      <c r="I5630" s="0" t="n">
        <v>2033</v>
      </c>
      <c r="J5630" s="0" t="n">
        <v>352.48</v>
      </c>
      <c r="K5630" s="0" t="n">
        <v>7403.2</v>
      </c>
    </row>
    <row r="5631" customFormat="false" ht="15" hidden="false" customHeight="false" outlineLevel="0" collapsed="false">
      <c r="I5631" s="0" t="n">
        <v>2033</v>
      </c>
      <c r="J5631" s="0" t="n">
        <v>154.21</v>
      </c>
      <c r="K5631" s="0" t="n">
        <v>3238.9</v>
      </c>
    </row>
    <row r="5632" customFormat="false" ht="15" hidden="false" customHeight="false" outlineLevel="0" collapsed="false">
      <c r="I5632" s="0" t="n">
        <v>2033</v>
      </c>
      <c r="J5632" s="0" t="n">
        <v>88.12</v>
      </c>
      <c r="K5632" s="0" t="n">
        <v>1850.8</v>
      </c>
    </row>
    <row r="5633" customFormat="false" ht="15" hidden="false" customHeight="false" outlineLevel="0" collapsed="false">
      <c r="I5633" s="0" t="n">
        <v>2033</v>
      </c>
      <c r="J5633" s="0" t="n">
        <v>88.12</v>
      </c>
      <c r="K5633" s="0" t="n">
        <v>1850.8</v>
      </c>
    </row>
    <row r="5634" customFormat="false" ht="15" hidden="false" customHeight="false" outlineLevel="0" collapsed="false">
      <c r="I5634" s="0" t="n">
        <v>2033</v>
      </c>
      <c r="J5634" s="0" t="n">
        <v>44.06</v>
      </c>
      <c r="K5634" s="0" t="n">
        <v>925.4</v>
      </c>
    </row>
    <row r="5635" customFormat="false" ht="15" hidden="false" customHeight="false" outlineLevel="0" collapsed="false">
      <c r="I5635" s="0" t="n">
        <v>2033</v>
      </c>
      <c r="J5635" s="0" t="n">
        <v>44.06</v>
      </c>
      <c r="K5635" s="0" t="n">
        <v>925.4</v>
      </c>
    </row>
    <row r="5636" customFormat="false" ht="15" hidden="false" customHeight="false" outlineLevel="0" collapsed="false">
      <c r="I5636" s="0" t="n">
        <v>2033</v>
      </c>
      <c r="J5636" s="0" t="n">
        <v>88.12</v>
      </c>
      <c r="K5636" s="0" t="n">
        <v>1850.8</v>
      </c>
    </row>
    <row r="5637" customFormat="false" ht="15" hidden="false" customHeight="false" outlineLevel="0" collapsed="false">
      <c r="I5637" s="0" t="n">
        <v>2033</v>
      </c>
      <c r="J5637" s="0" t="n">
        <v>154.21</v>
      </c>
      <c r="K5637" s="0" t="n">
        <v>3238.9</v>
      </c>
    </row>
    <row r="5638" customFormat="false" ht="15" hidden="false" customHeight="false" outlineLevel="0" collapsed="false">
      <c r="I5638" s="0" t="n">
        <v>2033</v>
      </c>
      <c r="J5638" s="0" t="n">
        <v>66.09</v>
      </c>
      <c r="K5638" s="0" t="n">
        <v>1388.1</v>
      </c>
    </row>
    <row r="5639" customFormat="false" ht="15" hidden="false" customHeight="false" outlineLevel="0" collapsed="false">
      <c r="I5639" s="0" t="n">
        <v>2033</v>
      </c>
      <c r="J5639" s="0" t="n">
        <v>66.09</v>
      </c>
      <c r="K5639" s="0" t="n">
        <v>1388.1</v>
      </c>
    </row>
    <row r="5640" customFormat="false" ht="15" hidden="false" customHeight="false" outlineLevel="0" collapsed="false">
      <c r="I5640" s="0" t="n">
        <v>2033</v>
      </c>
      <c r="J5640" s="0" t="n">
        <v>75.4</v>
      </c>
      <c r="K5640" s="0" t="n">
        <v>1578.72</v>
      </c>
    </row>
    <row r="5641" customFormat="false" ht="15" hidden="false" customHeight="false" outlineLevel="0" collapsed="false">
      <c r="I5641" s="0" t="n">
        <v>2033</v>
      </c>
      <c r="J5641" s="0" t="n">
        <v>11.6</v>
      </c>
      <c r="K5641" s="0" t="n">
        <v>242.88</v>
      </c>
    </row>
    <row r="5642" customFormat="false" ht="15" hidden="false" customHeight="false" outlineLevel="0" collapsed="false">
      <c r="I5642" s="0" t="n">
        <v>2033</v>
      </c>
      <c r="J5642" s="0" t="n">
        <v>8.7</v>
      </c>
      <c r="K5642" s="0" t="n">
        <v>182.16</v>
      </c>
    </row>
    <row r="5643" customFormat="false" ht="15" hidden="false" customHeight="false" outlineLevel="0" collapsed="false">
      <c r="I5643" s="0" t="n">
        <v>2033</v>
      </c>
      <c r="J5643" s="0" t="n">
        <v>14.5</v>
      </c>
      <c r="K5643" s="0" t="n">
        <v>303.6</v>
      </c>
    </row>
    <row r="5644" customFormat="false" ht="15" hidden="false" customHeight="false" outlineLevel="0" collapsed="false">
      <c r="I5644" s="0" t="n">
        <v>2033</v>
      </c>
      <c r="J5644" s="0" t="n">
        <v>2.9</v>
      </c>
      <c r="K5644" s="0" t="n">
        <v>60.72</v>
      </c>
    </row>
    <row r="5645" customFormat="false" ht="15" hidden="false" customHeight="false" outlineLevel="0" collapsed="false">
      <c r="I5645" s="0" t="n">
        <v>2033</v>
      </c>
      <c r="J5645" s="0" t="n">
        <v>2.9</v>
      </c>
      <c r="K5645" s="0" t="n">
        <v>60.72</v>
      </c>
    </row>
    <row r="5646" customFormat="false" ht="15" hidden="false" customHeight="false" outlineLevel="0" collapsed="false">
      <c r="I5646" s="0" t="n">
        <v>2033</v>
      </c>
      <c r="J5646" s="0" t="n">
        <v>0</v>
      </c>
      <c r="K5646" s="0" t="n">
        <v>0</v>
      </c>
    </row>
    <row r="5647" customFormat="false" ht="15" hidden="false" customHeight="false" outlineLevel="0" collapsed="false">
      <c r="I5647" s="0" t="n">
        <v>2033</v>
      </c>
      <c r="J5647" s="0" t="n">
        <v>5.8</v>
      </c>
      <c r="K5647" s="0" t="n">
        <v>121.44</v>
      </c>
    </row>
    <row r="5648" customFormat="false" ht="15" hidden="false" customHeight="false" outlineLevel="0" collapsed="false">
      <c r="I5648" s="0" t="n">
        <v>2033</v>
      </c>
      <c r="J5648" s="0" t="n">
        <v>10.15</v>
      </c>
      <c r="K5648" s="0" t="n">
        <v>212.52</v>
      </c>
    </row>
    <row r="5649" customFormat="false" ht="15" hidden="false" customHeight="false" outlineLevel="0" collapsed="false">
      <c r="I5649" s="0" t="n">
        <v>2033</v>
      </c>
      <c r="J5649" s="0" t="n">
        <v>2.9</v>
      </c>
      <c r="K5649" s="0" t="n">
        <v>60.72</v>
      </c>
    </row>
    <row r="5650" customFormat="false" ht="15" hidden="false" customHeight="false" outlineLevel="0" collapsed="false">
      <c r="I5650" s="0" t="n">
        <v>2033</v>
      </c>
      <c r="J5650" s="0" t="n">
        <v>10.15</v>
      </c>
      <c r="K5650" s="0" t="n">
        <v>212.52</v>
      </c>
    </row>
    <row r="5651" customFormat="false" ht="15" hidden="false" customHeight="false" outlineLevel="0" collapsed="false">
      <c r="I5651" s="0" t="n">
        <v>2033</v>
      </c>
      <c r="J5651" s="0" t="n">
        <v>176.16</v>
      </c>
      <c r="K5651" s="0" t="n">
        <v>3702.72</v>
      </c>
    </row>
    <row r="5652" customFormat="false" ht="15" hidden="false" customHeight="false" outlineLevel="0" collapsed="false">
      <c r="I5652" s="0" t="n">
        <v>2033</v>
      </c>
      <c r="J5652" s="0" t="n">
        <v>58.72</v>
      </c>
      <c r="K5652" s="0" t="n">
        <v>1234.24</v>
      </c>
    </row>
    <row r="5653" customFormat="false" ht="15" hidden="false" customHeight="false" outlineLevel="0" collapsed="false">
      <c r="I5653" s="0" t="n">
        <v>2033</v>
      </c>
      <c r="J5653" s="0" t="n">
        <v>25.69</v>
      </c>
      <c r="K5653" s="0" t="n">
        <v>539.98</v>
      </c>
    </row>
    <row r="5654" customFormat="false" ht="15" hidden="false" customHeight="false" outlineLevel="0" collapsed="false">
      <c r="I5654" s="0" t="n">
        <v>2033</v>
      </c>
      <c r="J5654" s="0" t="n">
        <v>14.68</v>
      </c>
      <c r="K5654" s="0" t="n">
        <v>308.56</v>
      </c>
    </row>
    <row r="5655" customFormat="false" ht="15" hidden="false" customHeight="false" outlineLevel="0" collapsed="false">
      <c r="I5655" s="0" t="n">
        <v>2033</v>
      </c>
      <c r="J5655" s="0" t="n">
        <v>14.68</v>
      </c>
      <c r="K5655" s="0" t="n">
        <v>308.56</v>
      </c>
    </row>
    <row r="5656" customFormat="false" ht="15" hidden="false" customHeight="false" outlineLevel="0" collapsed="false">
      <c r="I5656" s="0" t="n">
        <v>2033</v>
      </c>
      <c r="J5656" s="0" t="n">
        <v>7.34</v>
      </c>
      <c r="K5656" s="0" t="n">
        <v>154.28</v>
      </c>
    </row>
    <row r="5657" customFormat="false" ht="15" hidden="false" customHeight="false" outlineLevel="0" collapsed="false">
      <c r="I5657" s="0" t="n">
        <v>2033</v>
      </c>
      <c r="J5657" s="0" t="n">
        <v>7.34</v>
      </c>
      <c r="K5657" s="0" t="n">
        <v>154.28</v>
      </c>
    </row>
    <row r="5658" customFormat="false" ht="15" hidden="false" customHeight="false" outlineLevel="0" collapsed="false">
      <c r="I5658" s="0" t="n">
        <v>2033</v>
      </c>
      <c r="J5658" s="0" t="n">
        <v>14.68</v>
      </c>
      <c r="K5658" s="0" t="n">
        <v>308.56</v>
      </c>
    </row>
    <row r="5659" customFormat="false" ht="15" hidden="false" customHeight="false" outlineLevel="0" collapsed="false">
      <c r="I5659" s="0" t="n">
        <v>2033</v>
      </c>
      <c r="J5659" s="0" t="n">
        <v>25.69</v>
      </c>
      <c r="K5659" s="0" t="n">
        <v>539.98</v>
      </c>
    </row>
    <row r="5660" customFormat="false" ht="15" hidden="false" customHeight="false" outlineLevel="0" collapsed="false">
      <c r="I5660" s="0" t="n">
        <v>2033</v>
      </c>
      <c r="J5660" s="0" t="n">
        <v>11.01</v>
      </c>
      <c r="K5660" s="0" t="n">
        <v>231.42</v>
      </c>
    </row>
    <row r="5661" customFormat="false" ht="15" hidden="false" customHeight="false" outlineLevel="0" collapsed="false">
      <c r="I5661" s="0" t="n">
        <v>2033</v>
      </c>
      <c r="J5661" s="0" t="n">
        <v>11.01</v>
      </c>
      <c r="K5661" s="0" t="n">
        <v>231.42</v>
      </c>
    </row>
    <row r="5662" customFormat="false" ht="15" hidden="false" customHeight="false" outlineLevel="0" collapsed="false">
      <c r="I5662" s="0" t="n">
        <v>2033</v>
      </c>
      <c r="J5662" s="0" t="n">
        <v>23.4</v>
      </c>
      <c r="K5662" s="0" t="n">
        <v>495.04</v>
      </c>
    </row>
    <row r="5663" customFormat="false" ht="15" hidden="false" customHeight="false" outlineLevel="0" collapsed="false">
      <c r="I5663" s="0" t="n">
        <v>2033</v>
      </c>
      <c r="J5663" s="0" t="n">
        <v>3.6</v>
      </c>
      <c r="K5663" s="0" t="n">
        <v>76.16</v>
      </c>
    </row>
    <row r="5664" customFormat="false" ht="15" hidden="false" customHeight="false" outlineLevel="0" collapsed="false">
      <c r="I5664" s="0" t="n">
        <v>2033</v>
      </c>
      <c r="J5664" s="0" t="n">
        <v>2.7</v>
      </c>
      <c r="K5664" s="0" t="n">
        <v>57.12</v>
      </c>
    </row>
    <row r="5665" customFormat="false" ht="15" hidden="false" customHeight="false" outlineLevel="0" collapsed="false">
      <c r="I5665" s="0" t="n">
        <v>2033</v>
      </c>
      <c r="J5665" s="0" t="n">
        <v>4.5</v>
      </c>
      <c r="K5665" s="0" t="n">
        <v>95.2</v>
      </c>
    </row>
    <row r="5666" customFormat="false" ht="15" hidden="false" customHeight="false" outlineLevel="0" collapsed="false">
      <c r="I5666" s="0" t="n">
        <v>2033</v>
      </c>
      <c r="J5666" s="0" t="n">
        <v>0.9</v>
      </c>
      <c r="K5666" s="0" t="n">
        <v>19.04</v>
      </c>
    </row>
    <row r="5667" customFormat="false" ht="15" hidden="false" customHeight="false" outlineLevel="0" collapsed="false">
      <c r="I5667" s="0" t="n">
        <v>2033</v>
      </c>
      <c r="J5667" s="0" t="n">
        <v>0.9</v>
      </c>
      <c r="K5667" s="0" t="n">
        <v>19.04</v>
      </c>
    </row>
    <row r="5668" customFormat="false" ht="15" hidden="false" customHeight="false" outlineLevel="0" collapsed="false">
      <c r="I5668" s="0" t="n">
        <v>2033</v>
      </c>
      <c r="J5668" s="0" t="n">
        <v>0</v>
      </c>
      <c r="K5668" s="0" t="n">
        <v>0</v>
      </c>
    </row>
    <row r="5669" customFormat="false" ht="15" hidden="false" customHeight="false" outlineLevel="0" collapsed="false">
      <c r="I5669" s="0" t="n">
        <v>2033</v>
      </c>
      <c r="J5669" s="0" t="n">
        <v>1.8</v>
      </c>
      <c r="K5669" s="0" t="n">
        <v>38.08</v>
      </c>
    </row>
    <row r="5670" customFormat="false" ht="15" hidden="false" customHeight="false" outlineLevel="0" collapsed="false">
      <c r="I5670" s="0" t="n">
        <v>2033</v>
      </c>
      <c r="J5670" s="0" t="n">
        <v>3.15</v>
      </c>
      <c r="K5670" s="0" t="n">
        <v>66.64</v>
      </c>
    </row>
    <row r="5671" customFormat="false" ht="15" hidden="false" customHeight="false" outlineLevel="0" collapsed="false">
      <c r="I5671" s="0" t="n">
        <v>2033</v>
      </c>
      <c r="J5671" s="0" t="n">
        <v>0.9</v>
      </c>
      <c r="K5671" s="0" t="n">
        <v>19.04</v>
      </c>
    </row>
    <row r="5672" customFormat="false" ht="15" hidden="false" customHeight="false" outlineLevel="0" collapsed="false">
      <c r="I5672" s="0" t="n">
        <v>2033</v>
      </c>
      <c r="J5672" s="0" t="n">
        <v>3.15</v>
      </c>
      <c r="K5672" s="0" t="n">
        <v>66.64</v>
      </c>
    </row>
    <row r="5673" customFormat="false" ht="15" hidden="false" customHeight="false" outlineLevel="0" collapsed="false">
      <c r="I5673" s="0" t="n">
        <v>2033</v>
      </c>
      <c r="J5673" s="0" t="n">
        <v>52.8</v>
      </c>
      <c r="K5673" s="0" t="n">
        <v>1110.24</v>
      </c>
    </row>
    <row r="5674" customFormat="false" ht="15" hidden="false" customHeight="false" outlineLevel="0" collapsed="false">
      <c r="I5674" s="0" t="n">
        <v>2033</v>
      </c>
      <c r="J5674" s="0" t="n">
        <v>17.6</v>
      </c>
      <c r="K5674" s="0" t="n">
        <v>370.08</v>
      </c>
    </row>
    <row r="5675" customFormat="false" ht="15" hidden="false" customHeight="false" outlineLevel="0" collapsed="false">
      <c r="I5675" s="0" t="n">
        <v>2033</v>
      </c>
      <c r="J5675" s="0" t="n">
        <v>7.7</v>
      </c>
      <c r="K5675" s="0" t="n">
        <v>161.91</v>
      </c>
    </row>
    <row r="5676" customFormat="false" ht="15" hidden="false" customHeight="false" outlineLevel="0" collapsed="false">
      <c r="I5676" s="0" t="n">
        <v>2033</v>
      </c>
      <c r="J5676" s="0" t="n">
        <v>4.4</v>
      </c>
      <c r="K5676" s="0" t="n">
        <v>92.52</v>
      </c>
    </row>
    <row r="5677" customFormat="false" ht="15" hidden="false" customHeight="false" outlineLevel="0" collapsed="false">
      <c r="I5677" s="0" t="n">
        <v>2033</v>
      </c>
      <c r="J5677" s="0" t="n">
        <v>4.4</v>
      </c>
      <c r="K5677" s="0" t="n">
        <v>92.52</v>
      </c>
    </row>
    <row r="5678" customFormat="false" ht="15" hidden="false" customHeight="false" outlineLevel="0" collapsed="false">
      <c r="I5678" s="0" t="n">
        <v>2033</v>
      </c>
      <c r="J5678" s="0" t="n">
        <v>2.2</v>
      </c>
      <c r="K5678" s="0" t="n">
        <v>46.26</v>
      </c>
    </row>
    <row r="5679" customFormat="false" ht="15" hidden="false" customHeight="false" outlineLevel="0" collapsed="false">
      <c r="I5679" s="0" t="n">
        <v>2033</v>
      </c>
      <c r="J5679" s="0" t="n">
        <v>2.2</v>
      </c>
      <c r="K5679" s="0" t="n">
        <v>46.26</v>
      </c>
    </row>
    <row r="5680" customFormat="false" ht="15" hidden="false" customHeight="false" outlineLevel="0" collapsed="false">
      <c r="I5680" s="0" t="n">
        <v>2033</v>
      </c>
      <c r="J5680" s="0" t="n">
        <v>4.4</v>
      </c>
      <c r="K5680" s="0" t="n">
        <v>92.52</v>
      </c>
    </row>
    <row r="5681" customFormat="false" ht="15" hidden="false" customHeight="false" outlineLevel="0" collapsed="false">
      <c r="I5681" s="0" t="n">
        <v>2033</v>
      </c>
      <c r="J5681" s="0" t="n">
        <v>7.7</v>
      </c>
      <c r="K5681" s="0" t="n">
        <v>161.91</v>
      </c>
    </row>
    <row r="5682" customFormat="false" ht="15" hidden="false" customHeight="false" outlineLevel="0" collapsed="false">
      <c r="I5682" s="0" t="n">
        <v>2033</v>
      </c>
      <c r="J5682" s="0" t="n">
        <v>3.3</v>
      </c>
      <c r="K5682" s="0" t="n">
        <v>69.39</v>
      </c>
    </row>
    <row r="5683" customFormat="false" ht="15" hidden="false" customHeight="false" outlineLevel="0" collapsed="false">
      <c r="I5683" s="0" t="n">
        <v>2033</v>
      </c>
      <c r="J5683" s="0" t="n">
        <v>3.3</v>
      </c>
      <c r="K5683" s="0" t="n">
        <v>69.39</v>
      </c>
    </row>
    <row r="5684" customFormat="false" ht="15" hidden="false" customHeight="false" outlineLevel="0" collapsed="false">
      <c r="I5684" s="0" t="n">
        <v>2033</v>
      </c>
      <c r="J5684" s="0" t="n">
        <v>5.2</v>
      </c>
      <c r="K5684" s="0" t="n">
        <v>105.56</v>
      </c>
    </row>
    <row r="5685" customFormat="false" ht="15" hidden="false" customHeight="false" outlineLevel="0" collapsed="false">
      <c r="I5685" s="0" t="n">
        <v>2033</v>
      </c>
      <c r="J5685" s="0" t="n">
        <v>0.8</v>
      </c>
      <c r="K5685" s="0" t="n">
        <v>16.24</v>
      </c>
    </row>
    <row r="5686" customFormat="false" ht="15" hidden="false" customHeight="false" outlineLevel="0" collapsed="false">
      <c r="I5686" s="0" t="n">
        <v>2033</v>
      </c>
      <c r="J5686" s="0" t="n">
        <v>0.6</v>
      </c>
      <c r="K5686" s="0" t="n">
        <v>12.18</v>
      </c>
    </row>
    <row r="5687" customFormat="false" ht="15" hidden="false" customHeight="false" outlineLevel="0" collapsed="false">
      <c r="I5687" s="0" t="n">
        <v>2033</v>
      </c>
      <c r="J5687" s="0" t="n">
        <v>1</v>
      </c>
      <c r="K5687" s="0" t="n">
        <v>20.3</v>
      </c>
    </row>
    <row r="5688" customFormat="false" ht="15" hidden="false" customHeight="false" outlineLevel="0" collapsed="false">
      <c r="I5688" s="0" t="n">
        <v>2033</v>
      </c>
      <c r="J5688" s="0" t="n">
        <v>0.2</v>
      </c>
      <c r="K5688" s="0" t="n">
        <v>4.06</v>
      </c>
    </row>
    <row r="5689" customFormat="false" ht="15" hidden="false" customHeight="false" outlineLevel="0" collapsed="false">
      <c r="I5689" s="0" t="n">
        <v>2033</v>
      </c>
      <c r="J5689" s="0" t="n">
        <v>0.2</v>
      </c>
      <c r="K5689" s="0" t="n">
        <v>4.06</v>
      </c>
    </row>
    <row r="5690" customFormat="false" ht="15" hidden="false" customHeight="false" outlineLevel="0" collapsed="false">
      <c r="I5690" s="0" t="n">
        <v>2033</v>
      </c>
      <c r="J5690" s="0" t="n">
        <v>0</v>
      </c>
      <c r="K5690" s="0" t="n">
        <v>0</v>
      </c>
    </row>
    <row r="5691" customFormat="false" ht="15" hidden="false" customHeight="false" outlineLevel="0" collapsed="false">
      <c r="I5691" s="0" t="n">
        <v>2033</v>
      </c>
      <c r="J5691" s="0" t="n">
        <v>0.4</v>
      </c>
      <c r="K5691" s="0" t="n">
        <v>8.12</v>
      </c>
    </row>
    <row r="5692" customFormat="false" ht="15" hidden="false" customHeight="false" outlineLevel="0" collapsed="false">
      <c r="I5692" s="0" t="n">
        <v>2033</v>
      </c>
      <c r="J5692" s="0" t="n">
        <v>0.7</v>
      </c>
      <c r="K5692" s="0" t="n">
        <v>14.21</v>
      </c>
    </row>
    <row r="5693" customFormat="false" ht="15" hidden="false" customHeight="false" outlineLevel="0" collapsed="false">
      <c r="I5693" s="0" t="n">
        <v>2033</v>
      </c>
      <c r="J5693" s="0" t="n">
        <v>0.2</v>
      </c>
      <c r="K5693" s="0" t="n">
        <v>4.06</v>
      </c>
    </row>
    <row r="5694" customFormat="false" ht="15" hidden="false" customHeight="false" outlineLevel="0" collapsed="false">
      <c r="I5694" s="0" t="n">
        <v>2033</v>
      </c>
      <c r="J5694" s="0" t="n">
        <v>0.7</v>
      </c>
      <c r="K5694" s="0" t="n">
        <v>14.21</v>
      </c>
    </row>
    <row r="5695" customFormat="false" ht="15" hidden="false" customHeight="false" outlineLevel="0" collapsed="false">
      <c r="I5695" s="0" t="n">
        <v>2033</v>
      </c>
      <c r="J5695" s="0" t="n">
        <v>636.48</v>
      </c>
      <c r="K5695" s="0" t="n">
        <v>13362.72</v>
      </c>
    </row>
    <row r="5696" customFormat="false" ht="15" hidden="false" customHeight="false" outlineLevel="0" collapsed="false">
      <c r="I5696" s="0" t="n">
        <v>2033</v>
      </c>
      <c r="J5696" s="0" t="n">
        <v>212.16</v>
      </c>
      <c r="K5696" s="0" t="n">
        <v>4454.24</v>
      </c>
    </row>
    <row r="5697" customFormat="false" ht="15" hidden="false" customHeight="false" outlineLevel="0" collapsed="false">
      <c r="I5697" s="0" t="n">
        <v>2033</v>
      </c>
      <c r="J5697" s="0" t="n">
        <v>92.82</v>
      </c>
      <c r="K5697" s="0" t="n">
        <v>1948.73</v>
      </c>
    </row>
    <row r="5698" customFormat="false" ht="15" hidden="false" customHeight="false" outlineLevel="0" collapsed="false">
      <c r="I5698" s="0" t="n">
        <v>2033</v>
      </c>
      <c r="J5698" s="0" t="n">
        <v>53.04</v>
      </c>
      <c r="K5698" s="0" t="n">
        <v>1113.56</v>
      </c>
    </row>
    <row r="5699" customFormat="false" ht="15" hidden="false" customHeight="false" outlineLevel="0" collapsed="false">
      <c r="I5699" s="0" t="n">
        <v>2033</v>
      </c>
      <c r="J5699" s="0" t="n">
        <v>53.04</v>
      </c>
      <c r="K5699" s="0" t="n">
        <v>1113.56</v>
      </c>
    </row>
    <row r="5700" customFormat="false" ht="15" hidden="false" customHeight="false" outlineLevel="0" collapsed="false">
      <c r="I5700" s="0" t="n">
        <v>2033</v>
      </c>
      <c r="J5700" s="0" t="n">
        <v>26.52</v>
      </c>
      <c r="K5700" s="0" t="n">
        <v>556.78</v>
      </c>
    </row>
    <row r="5701" customFormat="false" ht="15" hidden="false" customHeight="false" outlineLevel="0" collapsed="false">
      <c r="I5701" s="0" t="n">
        <v>2033</v>
      </c>
      <c r="J5701" s="0" t="n">
        <v>26.52</v>
      </c>
      <c r="K5701" s="0" t="n">
        <v>556.78</v>
      </c>
    </row>
    <row r="5702" customFormat="false" ht="15" hidden="false" customHeight="false" outlineLevel="0" collapsed="false">
      <c r="I5702" s="0" t="n">
        <v>2033</v>
      </c>
      <c r="J5702" s="0" t="n">
        <v>53.04</v>
      </c>
      <c r="K5702" s="0" t="n">
        <v>1113.56</v>
      </c>
    </row>
    <row r="5703" customFormat="false" ht="15" hidden="false" customHeight="false" outlineLevel="0" collapsed="false">
      <c r="I5703" s="0" t="n">
        <v>2033</v>
      </c>
      <c r="J5703" s="0" t="n">
        <v>92.82</v>
      </c>
      <c r="K5703" s="0" t="n">
        <v>1948.73</v>
      </c>
    </row>
    <row r="5704" customFormat="false" ht="15" hidden="false" customHeight="false" outlineLevel="0" collapsed="false">
      <c r="I5704" s="0" t="n">
        <v>2033</v>
      </c>
      <c r="J5704" s="0" t="n">
        <v>39.78</v>
      </c>
      <c r="K5704" s="0" t="n">
        <v>835.17</v>
      </c>
    </row>
    <row r="5705" customFormat="false" ht="15" hidden="false" customHeight="false" outlineLevel="0" collapsed="false">
      <c r="I5705" s="0" t="n">
        <v>2033</v>
      </c>
      <c r="J5705" s="0" t="n">
        <v>39.78</v>
      </c>
      <c r="K5705" s="0" t="n">
        <v>835.17</v>
      </c>
    </row>
    <row r="5706" customFormat="false" ht="15" hidden="false" customHeight="false" outlineLevel="0" collapsed="false">
      <c r="I5706" s="0" t="n">
        <v>2033</v>
      </c>
      <c r="J5706" s="0" t="n">
        <v>63.96</v>
      </c>
      <c r="K5706" s="0" t="n">
        <v>1345.76</v>
      </c>
    </row>
    <row r="5707" customFormat="false" ht="15" hidden="false" customHeight="false" outlineLevel="0" collapsed="false">
      <c r="I5707" s="0" t="n">
        <v>2033</v>
      </c>
      <c r="J5707" s="0" t="n">
        <v>9.84</v>
      </c>
      <c r="K5707" s="0" t="n">
        <v>207.04</v>
      </c>
    </row>
    <row r="5708" customFormat="false" ht="15" hidden="false" customHeight="false" outlineLevel="0" collapsed="false">
      <c r="I5708" s="0" t="n">
        <v>2033</v>
      </c>
      <c r="J5708" s="0" t="n">
        <v>7.38</v>
      </c>
      <c r="K5708" s="0" t="n">
        <v>155.28</v>
      </c>
    </row>
    <row r="5709" customFormat="false" ht="15" hidden="false" customHeight="false" outlineLevel="0" collapsed="false">
      <c r="I5709" s="0" t="n">
        <v>2033</v>
      </c>
      <c r="J5709" s="0" t="n">
        <v>12.3</v>
      </c>
      <c r="K5709" s="0" t="n">
        <v>258.8</v>
      </c>
    </row>
    <row r="5710" customFormat="false" ht="15" hidden="false" customHeight="false" outlineLevel="0" collapsed="false">
      <c r="I5710" s="0" t="n">
        <v>2033</v>
      </c>
      <c r="J5710" s="0" t="n">
        <v>2.46</v>
      </c>
      <c r="K5710" s="0" t="n">
        <v>51.76</v>
      </c>
    </row>
    <row r="5711" customFormat="false" ht="15" hidden="false" customHeight="false" outlineLevel="0" collapsed="false">
      <c r="I5711" s="0" t="n">
        <v>2033</v>
      </c>
      <c r="J5711" s="0" t="n">
        <v>2.46</v>
      </c>
      <c r="K5711" s="0" t="n">
        <v>51.76</v>
      </c>
    </row>
    <row r="5712" customFormat="false" ht="15" hidden="false" customHeight="false" outlineLevel="0" collapsed="false">
      <c r="I5712" s="0" t="n">
        <v>2033</v>
      </c>
      <c r="J5712" s="0" t="n">
        <v>0</v>
      </c>
      <c r="K5712" s="0" t="n">
        <v>0</v>
      </c>
    </row>
    <row r="5713" customFormat="false" ht="15" hidden="false" customHeight="false" outlineLevel="0" collapsed="false">
      <c r="I5713" s="0" t="n">
        <v>2033</v>
      </c>
      <c r="J5713" s="0" t="n">
        <v>4.92</v>
      </c>
      <c r="K5713" s="0" t="n">
        <v>103.52</v>
      </c>
    </row>
    <row r="5714" customFormat="false" ht="15" hidden="false" customHeight="false" outlineLevel="0" collapsed="false">
      <c r="I5714" s="0" t="n">
        <v>2033</v>
      </c>
      <c r="J5714" s="0" t="n">
        <v>8.61</v>
      </c>
      <c r="K5714" s="0" t="n">
        <v>181.16</v>
      </c>
    </row>
    <row r="5715" customFormat="false" ht="15" hidden="false" customHeight="false" outlineLevel="0" collapsed="false">
      <c r="I5715" s="0" t="n">
        <v>2033</v>
      </c>
      <c r="J5715" s="0" t="n">
        <v>2.46</v>
      </c>
      <c r="K5715" s="0" t="n">
        <v>51.76</v>
      </c>
    </row>
    <row r="5716" customFormat="false" ht="15" hidden="false" customHeight="false" outlineLevel="0" collapsed="false">
      <c r="I5716" s="0" t="n">
        <v>2033</v>
      </c>
      <c r="J5716" s="0" t="n">
        <v>8.61</v>
      </c>
      <c r="K5716" s="0" t="n">
        <v>181.16</v>
      </c>
    </row>
    <row r="5717" customFormat="false" ht="15" hidden="false" customHeight="false" outlineLevel="0" collapsed="false">
      <c r="I5717" s="0" t="n">
        <v>2033</v>
      </c>
      <c r="J5717" s="0" t="n">
        <v>468</v>
      </c>
      <c r="K5717" s="0" t="n">
        <v>9827.52</v>
      </c>
    </row>
    <row r="5718" customFormat="false" ht="15" hidden="false" customHeight="false" outlineLevel="0" collapsed="false">
      <c r="I5718" s="0" t="n">
        <v>2033</v>
      </c>
      <c r="J5718" s="0" t="n">
        <v>156</v>
      </c>
      <c r="K5718" s="0" t="n">
        <v>3275.84</v>
      </c>
    </row>
    <row r="5719" customFormat="false" ht="15" hidden="false" customHeight="false" outlineLevel="0" collapsed="false">
      <c r="I5719" s="0" t="n">
        <v>2033</v>
      </c>
      <c r="J5719" s="0" t="n">
        <v>68.25</v>
      </c>
      <c r="K5719" s="0" t="n">
        <v>1433.18</v>
      </c>
    </row>
    <row r="5720" customFormat="false" ht="15" hidden="false" customHeight="false" outlineLevel="0" collapsed="false">
      <c r="I5720" s="0" t="n">
        <v>2033</v>
      </c>
      <c r="J5720" s="0" t="n">
        <v>39</v>
      </c>
      <c r="K5720" s="0" t="n">
        <v>818.96</v>
      </c>
    </row>
    <row r="5721" customFormat="false" ht="15" hidden="false" customHeight="false" outlineLevel="0" collapsed="false">
      <c r="I5721" s="0" t="n">
        <v>2033</v>
      </c>
      <c r="J5721" s="0" t="n">
        <v>39</v>
      </c>
      <c r="K5721" s="0" t="n">
        <v>818.96</v>
      </c>
    </row>
    <row r="5722" customFormat="false" ht="15" hidden="false" customHeight="false" outlineLevel="0" collapsed="false">
      <c r="I5722" s="0" t="n">
        <v>2033</v>
      </c>
      <c r="J5722" s="0" t="n">
        <v>19.5</v>
      </c>
      <c r="K5722" s="0" t="n">
        <v>409.48</v>
      </c>
    </row>
    <row r="5723" customFormat="false" ht="15" hidden="false" customHeight="false" outlineLevel="0" collapsed="false">
      <c r="I5723" s="0" t="n">
        <v>2033</v>
      </c>
      <c r="J5723" s="0" t="n">
        <v>19.5</v>
      </c>
      <c r="K5723" s="0" t="n">
        <v>409.48</v>
      </c>
    </row>
    <row r="5724" customFormat="false" ht="15" hidden="false" customHeight="false" outlineLevel="0" collapsed="false">
      <c r="I5724" s="0" t="n">
        <v>2033</v>
      </c>
      <c r="J5724" s="0" t="n">
        <v>39</v>
      </c>
      <c r="K5724" s="0" t="n">
        <v>818.96</v>
      </c>
    </row>
    <row r="5725" customFormat="false" ht="15" hidden="false" customHeight="false" outlineLevel="0" collapsed="false">
      <c r="I5725" s="0" t="n">
        <v>2033</v>
      </c>
      <c r="J5725" s="0" t="n">
        <v>68.25</v>
      </c>
      <c r="K5725" s="0" t="n">
        <v>1433.18</v>
      </c>
    </row>
    <row r="5726" customFormat="false" ht="15" hidden="false" customHeight="false" outlineLevel="0" collapsed="false">
      <c r="I5726" s="0" t="n">
        <v>2033</v>
      </c>
      <c r="J5726" s="0" t="n">
        <v>29.25</v>
      </c>
      <c r="K5726" s="0" t="n">
        <v>614.22</v>
      </c>
    </row>
    <row r="5727" customFormat="false" ht="15" hidden="false" customHeight="false" outlineLevel="0" collapsed="false">
      <c r="I5727" s="0" t="n">
        <v>2033</v>
      </c>
      <c r="J5727" s="0" t="n">
        <v>29.25</v>
      </c>
      <c r="K5727" s="0" t="n">
        <v>614.22</v>
      </c>
    </row>
    <row r="5728" customFormat="false" ht="15" hidden="false" customHeight="false" outlineLevel="0" collapsed="false">
      <c r="I5728" s="0" t="n">
        <v>2033</v>
      </c>
      <c r="J5728" s="0" t="n">
        <v>62.4</v>
      </c>
      <c r="K5728" s="0" t="n">
        <v>1311.44</v>
      </c>
    </row>
    <row r="5729" customFormat="false" ht="15" hidden="false" customHeight="false" outlineLevel="0" collapsed="false">
      <c r="I5729" s="0" t="n">
        <v>2033</v>
      </c>
      <c r="J5729" s="0" t="n">
        <v>9.6</v>
      </c>
      <c r="K5729" s="0" t="n">
        <v>201.76</v>
      </c>
    </row>
    <row r="5730" customFormat="false" ht="15" hidden="false" customHeight="false" outlineLevel="0" collapsed="false">
      <c r="I5730" s="0" t="n">
        <v>2033</v>
      </c>
      <c r="J5730" s="0" t="n">
        <v>7.2</v>
      </c>
      <c r="K5730" s="0" t="n">
        <v>151.32</v>
      </c>
    </row>
    <row r="5731" customFormat="false" ht="15" hidden="false" customHeight="false" outlineLevel="0" collapsed="false">
      <c r="I5731" s="0" t="n">
        <v>2033</v>
      </c>
      <c r="J5731" s="0" t="n">
        <v>12</v>
      </c>
      <c r="K5731" s="0" t="n">
        <v>252.2</v>
      </c>
    </row>
    <row r="5732" customFormat="false" ht="15" hidden="false" customHeight="false" outlineLevel="0" collapsed="false">
      <c r="I5732" s="0" t="n">
        <v>2033</v>
      </c>
      <c r="J5732" s="0" t="n">
        <v>2.4</v>
      </c>
      <c r="K5732" s="0" t="n">
        <v>50.44</v>
      </c>
    </row>
    <row r="5733" customFormat="false" ht="15" hidden="false" customHeight="false" outlineLevel="0" collapsed="false">
      <c r="I5733" s="0" t="n">
        <v>2033</v>
      </c>
      <c r="J5733" s="0" t="n">
        <v>2.4</v>
      </c>
      <c r="K5733" s="0" t="n">
        <v>50.44</v>
      </c>
    </row>
    <row r="5734" customFormat="false" ht="15" hidden="false" customHeight="false" outlineLevel="0" collapsed="false">
      <c r="I5734" s="0" t="n">
        <v>2033</v>
      </c>
      <c r="J5734" s="0" t="n">
        <v>0</v>
      </c>
      <c r="K5734" s="0" t="n">
        <v>0</v>
      </c>
    </row>
    <row r="5735" customFormat="false" ht="15" hidden="false" customHeight="false" outlineLevel="0" collapsed="false">
      <c r="I5735" s="0" t="n">
        <v>2033</v>
      </c>
      <c r="J5735" s="0" t="n">
        <v>4.8</v>
      </c>
      <c r="K5735" s="0" t="n">
        <v>100.88</v>
      </c>
    </row>
    <row r="5736" customFormat="false" ht="15" hidden="false" customHeight="false" outlineLevel="0" collapsed="false">
      <c r="I5736" s="0" t="n">
        <v>2033</v>
      </c>
      <c r="J5736" s="0" t="n">
        <v>8.4</v>
      </c>
      <c r="K5736" s="0" t="n">
        <v>176.54</v>
      </c>
    </row>
    <row r="5737" customFormat="false" ht="15" hidden="false" customHeight="false" outlineLevel="0" collapsed="false">
      <c r="I5737" s="0" t="n">
        <v>2033</v>
      </c>
      <c r="J5737" s="0" t="n">
        <v>2.4</v>
      </c>
      <c r="K5737" s="0" t="n">
        <v>50.44</v>
      </c>
    </row>
    <row r="5738" customFormat="false" ht="15" hidden="false" customHeight="false" outlineLevel="0" collapsed="false">
      <c r="I5738" s="0" t="n">
        <v>2033</v>
      </c>
      <c r="J5738" s="0" t="n">
        <v>8.4</v>
      </c>
      <c r="K5738" s="0" t="n">
        <v>176.54</v>
      </c>
    </row>
    <row r="5739" customFormat="false" ht="15" hidden="false" customHeight="false" outlineLevel="0" collapsed="false">
      <c r="I5739" s="0" t="n">
        <v>2033</v>
      </c>
      <c r="J5739" s="0" t="n">
        <v>124.8</v>
      </c>
      <c r="K5739" s="0" t="n">
        <v>2616.96</v>
      </c>
    </row>
    <row r="5740" customFormat="false" ht="15" hidden="false" customHeight="false" outlineLevel="0" collapsed="false">
      <c r="I5740" s="0" t="n">
        <v>2033</v>
      </c>
      <c r="J5740" s="0" t="n">
        <v>41.6</v>
      </c>
      <c r="K5740" s="0" t="n">
        <v>872.32</v>
      </c>
    </row>
    <row r="5741" customFormat="false" ht="15" hidden="false" customHeight="false" outlineLevel="0" collapsed="false">
      <c r="I5741" s="0" t="n">
        <v>2033</v>
      </c>
      <c r="J5741" s="0" t="n">
        <v>18.2</v>
      </c>
      <c r="K5741" s="0" t="n">
        <v>381.64</v>
      </c>
    </row>
    <row r="5742" customFormat="false" ht="15" hidden="false" customHeight="false" outlineLevel="0" collapsed="false">
      <c r="I5742" s="0" t="n">
        <v>2033</v>
      </c>
      <c r="J5742" s="0" t="n">
        <v>10.4</v>
      </c>
      <c r="K5742" s="0" t="n">
        <v>218.08</v>
      </c>
    </row>
    <row r="5743" customFormat="false" ht="15" hidden="false" customHeight="false" outlineLevel="0" collapsed="false">
      <c r="I5743" s="0" t="n">
        <v>2033</v>
      </c>
      <c r="J5743" s="0" t="n">
        <v>10.4</v>
      </c>
      <c r="K5743" s="0" t="n">
        <v>218.08</v>
      </c>
    </row>
    <row r="5744" customFormat="false" ht="15" hidden="false" customHeight="false" outlineLevel="0" collapsed="false">
      <c r="I5744" s="0" t="n">
        <v>2033</v>
      </c>
      <c r="J5744" s="0" t="n">
        <v>5.2</v>
      </c>
      <c r="K5744" s="0" t="n">
        <v>109.04</v>
      </c>
    </row>
    <row r="5745" customFormat="false" ht="15" hidden="false" customHeight="false" outlineLevel="0" collapsed="false">
      <c r="I5745" s="0" t="n">
        <v>2033</v>
      </c>
      <c r="J5745" s="0" t="n">
        <v>5.2</v>
      </c>
      <c r="K5745" s="0" t="n">
        <v>109.04</v>
      </c>
    </row>
    <row r="5746" customFormat="false" ht="15" hidden="false" customHeight="false" outlineLevel="0" collapsed="false">
      <c r="I5746" s="0" t="n">
        <v>2033</v>
      </c>
      <c r="J5746" s="0" t="n">
        <v>10.4</v>
      </c>
      <c r="K5746" s="0" t="n">
        <v>218.08</v>
      </c>
    </row>
    <row r="5747" customFormat="false" ht="15" hidden="false" customHeight="false" outlineLevel="0" collapsed="false">
      <c r="I5747" s="0" t="n">
        <v>2033</v>
      </c>
      <c r="J5747" s="0" t="n">
        <v>18.2</v>
      </c>
      <c r="K5747" s="0" t="n">
        <v>381.64</v>
      </c>
    </row>
    <row r="5748" customFormat="false" ht="15" hidden="false" customHeight="false" outlineLevel="0" collapsed="false">
      <c r="I5748" s="0" t="n">
        <v>2033</v>
      </c>
      <c r="J5748" s="0" t="n">
        <v>7.8</v>
      </c>
      <c r="K5748" s="0" t="n">
        <v>163.56</v>
      </c>
    </row>
    <row r="5749" customFormat="false" ht="15" hidden="false" customHeight="false" outlineLevel="0" collapsed="false">
      <c r="I5749" s="0" t="n">
        <v>2033</v>
      </c>
      <c r="J5749" s="0" t="n">
        <v>7.8</v>
      </c>
      <c r="K5749" s="0" t="n">
        <v>163.56</v>
      </c>
    </row>
    <row r="5750" customFormat="false" ht="15" hidden="false" customHeight="false" outlineLevel="0" collapsed="false">
      <c r="I5750" s="0" t="n">
        <v>2033</v>
      </c>
      <c r="J5750" s="0" t="n">
        <v>35.36</v>
      </c>
      <c r="K5750" s="0" t="n">
        <v>745.68</v>
      </c>
    </row>
    <row r="5751" customFormat="false" ht="15" hidden="false" customHeight="false" outlineLevel="0" collapsed="false">
      <c r="I5751" s="0" t="n">
        <v>2033</v>
      </c>
      <c r="J5751" s="0" t="n">
        <v>5.44</v>
      </c>
      <c r="K5751" s="0" t="n">
        <v>114.72</v>
      </c>
    </row>
    <row r="5752" customFormat="false" ht="15" hidden="false" customHeight="false" outlineLevel="0" collapsed="false">
      <c r="I5752" s="0" t="n">
        <v>2033</v>
      </c>
      <c r="J5752" s="0" t="n">
        <v>4.08</v>
      </c>
      <c r="K5752" s="0" t="n">
        <v>86.04</v>
      </c>
    </row>
    <row r="5753" customFormat="false" ht="15" hidden="false" customHeight="false" outlineLevel="0" collapsed="false">
      <c r="I5753" s="0" t="n">
        <v>2033</v>
      </c>
      <c r="J5753" s="0" t="n">
        <v>6.8</v>
      </c>
      <c r="K5753" s="0" t="n">
        <v>143.4</v>
      </c>
    </row>
    <row r="5754" customFormat="false" ht="15" hidden="false" customHeight="false" outlineLevel="0" collapsed="false">
      <c r="I5754" s="0" t="n">
        <v>2033</v>
      </c>
      <c r="J5754" s="0" t="n">
        <v>1.36</v>
      </c>
      <c r="K5754" s="0" t="n">
        <v>28.68</v>
      </c>
    </row>
    <row r="5755" customFormat="false" ht="15" hidden="false" customHeight="false" outlineLevel="0" collapsed="false">
      <c r="I5755" s="0" t="n">
        <v>2033</v>
      </c>
      <c r="J5755" s="0" t="n">
        <v>1.36</v>
      </c>
      <c r="K5755" s="0" t="n">
        <v>28.68</v>
      </c>
    </row>
    <row r="5756" customFormat="false" ht="15" hidden="false" customHeight="false" outlineLevel="0" collapsed="false">
      <c r="I5756" s="0" t="n">
        <v>2033</v>
      </c>
      <c r="J5756" s="0" t="n">
        <v>0</v>
      </c>
      <c r="K5756" s="0" t="n">
        <v>0</v>
      </c>
    </row>
    <row r="5757" customFormat="false" ht="15" hidden="false" customHeight="false" outlineLevel="0" collapsed="false">
      <c r="I5757" s="0" t="n">
        <v>2033</v>
      </c>
      <c r="J5757" s="0" t="n">
        <v>2.72</v>
      </c>
      <c r="K5757" s="0" t="n">
        <v>57.36</v>
      </c>
    </row>
    <row r="5758" customFormat="false" ht="15" hidden="false" customHeight="false" outlineLevel="0" collapsed="false">
      <c r="I5758" s="0" t="n">
        <v>2033</v>
      </c>
      <c r="J5758" s="0" t="n">
        <v>4.76</v>
      </c>
      <c r="K5758" s="0" t="n">
        <v>100.38</v>
      </c>
    </row>
    <row r="5759" customFormat="false" ht="15" hidden="false" customHeight="false" outlineLevel="0" collapsed="false">
      <c r="I5759" s="0" t="n">
        <v>2033</v>
      </c>
      <c r="J5759" s="0" t="n">
        <v>1.36</v>
      </c>
      <c r="K5759" s="0" t="n">
        <v>28.68</v>
      </c>
    </row>
    <row r="5760" customFormat="false" ht="15" hidden="false" customHeight="false" outlineLevel="0" collapsed="false">
      <c r="I5760" s="0" t="n">
        <v>2033</v>
      </c>
      <c r="J5760" s="0" t="n">
        <v>4.76</v>
      </c>
      <c r="K5760" s="0" t="n">
        <v>100.38</v>
      </c>
    </row>
    <row r="5761" customFormat="false" ht="15" hidden="false" customHeight="false" outlineLevel="0" collapsed="false">
      <c r="I5761" s="0" t="n">
        <v>2033</v>
      </c>
      <c r="J5761" s="0" t="n">
        <v>881.28</v>
      </c>
      <c r="K5761" s="0" t="n">
        <v>18506.88</v>
      </c>
    </row>
    <row r="5762" customFormat="false" ht="15" hidden="false" customHeight="false" outlineLevel="0" collapsed="false">
      <c r="I5762" s="0" t="n">
        <v>2033</v>
      </c>
      <c r="J5762" s="0" t="n">
        <v>293.76</v>
      </c>
      <c r="K5762" s="0" t="n">
        <v>6168.96</v>
      </c>
    </row>
    <row r="5763" customFormat="false" ht="15" hidden="false" customHeight="false" outlineLevel="0" collapsed="false">
      <c r="I5763" s="0" t="n">
        <v>2033</v>
      </c>
      <c r="J5763" s="0" t="n">
        <v>128.52</v>
      </c>
      <c r="K5763" s="0" t="n">
        <v>2698.92</v>
      </c>
    </row>
    <row r="5764" customFormat="false" ht="15" hidden="false" customHeight="false" outlineLevel="0" collapsed="false">
      <c r="I5764" s="0" t="n">
        <v>2033</v>
      </c>
      <c r="J5764" s="0" t="n">
        <v>73.44</v>
      </c>
      <c r="K5764" s="0" t="n">
        <v>1542.24</v>
      </c>
    </row>
    <row r="5765" customFormat="false" ht="15" hidden="false" customHeight="false" outlineLevel="0" collapsed="false">
      <c r="I5765" s="0" t="n">
        <v>2033</v>
      </c>
      <c r="J5765" s="0" t="n">
        <v>73.44</v>
      </c>
      <c r="K5765" s="0" t="n">
        <v>1542.24</v>
      </c>
    </row>
    <row r="5766" customFormat="false" ht="15" hidden="false" customHeight="false" outlineLevel="0" collapsed="false">
      <c r="I5766" s="0" t="n">
        <v>2033</v>
      </c>
      <c r="J5766" s="0" t="n">
        <v>36.72</v>
      </c>
      <c r="K5766" s="0" t="n">
        <v>771.12</v>
      </c>
    </row>
    <row r="5767" customFormat="false" ht="15" hidden="false" customHeight="false" outlineLevel="0" collapsed="false">
      <c r="I5767" s="0" t="n">
        <v>2033</v>
      </c>
      <c r="J5767" s="0" t="n">
        <v>36.72</v>
      </c>
      <c r="K5767" s="0" t="n">
        <v>771.12</v>
      </c>
    </row>
    <row r="5768" customFormat="false" ht="15" hidden="false" customHeight="false" outlineLevel="0" collapsed="false">
      <c r="I5768" s="0" t="n">
        <v>2033</v>
      </c>
      <c r="J5768" s="0" t="n">
        <v>73.44</v>
      </c>
      <c r="K5768" s="0" t="n">
        <v>1542.24</v>
      </c>
    </row>
    <row r="5769" customFormat="false" ht="15" hidden="false" customHeight="false" outlineLevel="0" collapsed="false">
      <c r="I5769" s="0" t="n">
        <v>2033</v>
      </c>
      <c r="J5769" s="0" t="n">
        <v>128.52</v>
      </c>
      <c r="K5769" s="0" t="n">
        <v>2698.92</v>
      </c>
    </row>
    <row r="5770" customFormat="false" ht="15" hidden="false" customHeight="false" outlineLevel="0" collapsed="false">
      <c r="I5770" s="0" t="n">
        <v>2033</v>
      </c>
      <c r="J5770" s="0" t="n">
        <v>55.08</v>
      </c>
      <c r="K5770" s="0" t="n">
        <v>1156.68</v>
      </c>
    </row>
    <row r="5771" customFormat="false" ht="15" hidden="false" customHeight="false" outlineLevel="0" collapsed="false">
      <c r="I5771" s="0" t="n">
        <v>2033</v>
      </c>
      <c r="J5771" s="0" t="n">
        <v>55.08</v>
      </c>
      <c r="K5771" s="0" t="n">
        <v>1156.68</v>
      </c>
    </row>
    <row r="5772" customFormat="false" ht="15" hidden="false" customHeight="false" outlineLevel="0" collapsed="false">
      <c r="I5772" s="0" t="n">
        <v>2033</v>
      </c>
      <c r="J5772" s="0" t="n">
        <v>219.44</v>
      </c>
      <c r="K5772" s="0" t="n">
        <v>4612.92</v>
      </c>
    </row>
    <row r="5773" customFormat="false" ht="15" hidden="false" customHeight="false" outlineLevel="0" collapsed="false">
      <c r="I5773" s="0" t="n">
        <v>2033</v>
      </c>
      <c r="J5773" s="0" t="n">
        <v>33.76</v>
      </c>
      <c r="K5773" s="0" t="n">
        <v>709.68</v>
      </c>
    </row>
    <row r="5774" customFormat="false" ht="15" hidden="false" customHeight="false" outlineLevel="0" collapsed="false">
      <c r="I5774" s="0" t="n">
        <v>2033</v>
      </c>
      <c r="J5774" s="0" t="n">
        <v>25.32</v>
      </c>
      <c r="K5774" s="0" t="n">
        <v>532.26</v>
      </c>
    </row>
    <row r="5775" customFormat="false" ht="15" hidden="false" customHeight="false" outlineLevel="0" collapsed="false">
      <c r="I5775" s="0" t="n">
        <v>2033</v>
      </c>
      <c r="J5775" s="0" t="n">
        <v>42.2</v>
      </c>
      <c r="K5775" s="0" t="n">
        <v>887.1</v>
      </c>
    </row>
    <row r="5776" customFormat="false" ht="15" hidden="false" customHeight="false" outlineLevel="0" collapsed="false">
      <c r="I5776" s="0" t="n">
        <v>2033</v>
      </c>
      <c r="J5776" s="0" t="n">
        <v>8.44</v>
      </c>
      <c r="K5776" s="0" t="n">
        <v>177.42</v>
      </c>
    </row>
    <row r="5777" customFormat="false" ht="15" hidden="false" customHeight="false" outlineLevel="0" collapsed="false">
      <c r="I5777" s="0" t="n">
        <v>2033</v>
      </c>
      <c r="J5777" s="0" t="n">
        <v>8.44</v>
      </c>
      <c r="K5777" s="0" t="n">
        <v>177.42</v>
      </c>
    </row>
    <row r="5778" customFormat="false" ht="15" hidden="false" customHeight="false" outlineLevel="0" collapsed="false">
      <c r="I5778" s="0" t="n">
        <v>2033</v>
      </c>
      <c r="J5778" s="0" t="n">
        <v>0</v>
      </c>
      <c r="K5778" s="0" t="n">
        <v>0</v>
      </c>
    </row>
    <row r="5779" customFormat="false" ht="15" hidden="false" customHeight="false" outlineLevel="0" collapsed="false">
      <c r="I5779" s="0" t="n">
        <v>2033</v>
      </c>
      <c r="J5779" s="0" t="n">
        <v>16.88</v>
      </c>
      <c r="K5779" s="0" t="n">
        <v>354.84</v>
      </c>
    </row>
    <row r="5780" customFormat="false" ht="15" hidden="false" customHeight="false" outlineLevel="0" collapsed="false">
      <c r="I5780" s="0" t="n">
        <v>2033</v>
      </c>
      <c r="J5780" s="0" t="n">
        <v>29.54</v>
      </c>
      <c r="K5780" s="0" t="n">
        <v>620.97</v>
      </c>
    </row>
    <row r="5781" customFormat="false" ht="15" hidden="false" customHeight="false" outlineLevel="0" collapsed="false">
      <c r="I5781" s="0" t="n">
        <v>2033</v>
      </c>
      <c r="J5781" s="0" t="n">
        <v>8.44</v>
      </c>
      <c r="K5781" s="0" t="n">
        <v>177.42</v>
      </c>
    </row>
    <row r="5782" customFormat="false" ht="15" hidden="false" customHeight="false" outlineLevel="0" collapsed="false">
      <c r="I5782" s="0" t="n">
        <v>2033</v>
      </c>
      <c r="J5782" s="0" t="n">
        <v>29.54</v>
      </c>
      <c r="K5782" s="0" t="n">
        <v>620.97</v>
      </c>
    </row>
    <row r="5783" customFormat="false" ht="15" hidden="false" customHeight="false" outlineLevel="0" collapsed="false">
      <c r="I5783" s="0" t="n">
        <v>2033</v>
      </c>
      <c r="J5783" s="0" t="n">
        <v>453.12</v>
      </c>
      <c r="K5783" s="0" t="n">
        <v>9515.04</v>
      </c>
    </row>
    <row r="5784" customFormat="false" ht="15" hidden="false" customHeight="false" outlineLevel="0" collapsed="false">
      <c r="I5784" s="0" t="n">
        <v>2033</v>
      </c>
      <c r="J5784" s="0" t="n">
        <v>151.04</v>
      </c>
      <c r="K5784" s="0" t="n">
        <v>3171.68</v>
      </c>
    </row>
    <row r="5785" customFormat="false" ht="15" hidden="false" customHeight="false" outlineLevel="0" collapsed="false">
      <c r="I5785" s="0" t="n">
        <v>2033</v>
      </c>
      <c r="J5785" s="0" t="n">
        <v>66.08</v>
      </c>
      <c r="K5785" s="0" t="n">
        <v>1387.61</v>
      </c>
    </row>
    <row r="5786" customFormat="false" ht="15" hidden="false" customHeight="false" outlineLevel="0" collapsed="false">
      <c r="I5786" s="0" t="n">
        <v>2033</v>
      </c>
      <c r="J5786" s="0" t="n">
        <v>37.76</v>
      </c>
      <c r="K5786" s="0" t="n">
        <v>792.92</v>
      </c>
    </row>
    <row r="5787" customFormat="false" ht="15" hidden="false" customHeight="false" outlineLevel="0" collapsed="false">
      <c r="I5787" s="0" t="n">
        <v>2033</v>
      </c>
      <c r="J5787" s="0" t="n">
        <v>37.76</v>
      </c>
      <c r="K5787" s="0" t="n">
        <v>792.92</v>
      </c>
    </row>
    <row r="5788" customFormat="false" ht="15" hidden="false" customHeight="false" outlineLevel="0" collapsed="false">
      <c r="I5788" s="0" t="n">
        <v>2033</v>
      </c>
      <c r="J5788" s="0" t="n">
        <v>18.88</v>
      </c>
      <c r="K5788" s="0" t="n">
        <v>396.46</v>
      </c>
    </row>
    <row r="5789" customFormat="false" ht="15" hidden="false" customHeight="false" outlineLevel="0" collapsed="false">
      <c r="I5789" s="0" t="n">
        <v>2033</v>
      </c>
      <c r="J5789" s="0" t="n">
        <v>18.88</v>
      </c>
      <c r="K5789" s="0" t="n">
        <v>396.46</v>
      </c>
    </row>
    <row r="5790" customFormat="false" ht="15" hidden="false" customHeight="false" outlineLevel="0" collapsed="false">
      <c r="I5790" s="0" t="n">
        <v>2033</v>
      </c>
      <c r="J5790" s="0" t="n">
        <v>37.76</v>
      </c>
      <c r="K5790" s="0" t="n">
        <v>792.92</v>
      </c>
    </row>
    <row r="5791" customFormat="false" ht="15" hidden="false" customHeight="false" outlineLevel="0" collapsed="false">
      <c r="I5791" s="0" t="n">
        <v>2033</v>
      </c>
      <c r="J5791" s="0" t="n">
        <v>66.08</v>
      </c>
      <c r="K5791" s="0" t="n">
        <v>1387.61</v>
      </c>
    </row>
    <row r="5792" customFormat="false" ht="15" hidden="false" customHeight="false" outlineLevel="0" collapsed="false">
      <c r="I5792" s="0" t="n">
        <v>2033</v>
      </c>
      <c r="J5792" s="0" t="n">
        <v>28.32</v>
      </c>
      <c r="K5792" s="0" t="n">
        <v>594.69</v>
      </c>
    </row>
    <row r="5793" customFormat="false" ht="15" hidden="false" customHeight="false" outlineLevel="0" collapsed="false">
      <c r="I5793" s="0" t="n">
        <v>2033</v>
      </c>
      <c r="J5793" s="0" t="n">
        <v>28.32</v>
      </c>
      <c r="K5793" s="0" t="n">
        <v>594.69</v>
      </c>
    </row>
    <row r="5794" customFormat="false" ht="15" hidden="false" customHeight="false" outlineLevel="0" collapsed="false">
      <c r="I5794" s="0" t="n">
        <v>2033</v>
      </c>
      <c r="J5794" s="0" t="n">
        <v>225.68</v>
      </c>
      <c r="K5794" s="0" t="n">
        <v>4736.16</v>
      </c>
    </row>
    <row r="5795" customFormat="false" ht="15" hidden="false" customHeight="false" outlineLevel="0" collapsed="false">
      <c r="I5795" s="0" t="n">
        <v>2033</v>
      </c>
      <c r="J5795" s="0" t="n">
        <v>34.72</v>
      </c>
      <c r="K5795" s="0" t="n">
        <v>728.64</v>
      </c>
    </row>
    <row r="5796" customFormat="false" ht="15" hidden="false" customHeight="false" outlineLevel="0" collapsed="false">
      <c r="I5796" s="0" t="n">
        <v>2033</v>
      </c>
      <c r="J5796" s="0" t="n">
        <v>26.04</v>
      </c>
      <c r="K5796" s="0" t="n">
        <v>546.48</v>
      </c>
    </row>
    <row r="5797" customFormat="false" ht="15" hidden="false" customHeight="false" outlineLevel="0" collapsed="false">
      <c r="I5797" s="0" t="n">
        <v>2033</v>
      </c>
      <c r="J5797" s="0" t="n">
        <v>43.4</v>
      </c>
      <c r="K5797" s="0" t="n">
        <v>910.8</v>
      </c>
    </row>
    <row r="5798" customFormat="false" ht="15" hidden="false" customHeight="false" outlineLevel="0" collapsed="false">
      <c r="I5798" s="0" t="n">
        <v>2033</v>
      </c>
      <c r="J5798" s="0" t="n">
        <v>8.68</v>
      </c>
      <c r="K5798" s="0" t="n">
        <v>182.16</v>
      </c>
    </row>
    <row r="5799" customFormat="false" ht="15" hidden="false" customHeight="false" outlineLevel="0" collapsed="false">
      <c r="I5799" s="0" t="n">
        <v>2033</v>
      </c>
      <c r="J5799" s="0" t="n">
        <v>8.68</v>
      </c>
      <c r="K5799" s="0" t="n">
        <v>182.16</v>
      </c>
    </row>
    <row r="5800" customFormat="false" ht="15" hidden="false" customHeight="false" outlineLevel="0" collapsed="false">
      <c r="I5800" s="0" t="n">
        <v>2033</v>
      </c>
      <c r="J5800" s="0" t="n">
        <v>0</v>
      </c>
      <c r="K5800" s="0" t="n">
        <v>0</v>
      </c>
    </row>
    <row r="5801" customFormat="false" ht="15" hidden="false" customHeight="false" outlineLevel="0" collapsed="false">
      <c r="I5801" s="0" t="n">
        <v>2033</v>
      </c>
      <c r="J5801" s="0" t="n">
        <v>17.36</v>
      </c>
      <c r="K5801" s="0" t="n">
        <v>364.32</v>
      </c>
    </row>
    <row r="5802" customFormat="false" ht="15" hidden="false" customHeight="false" outlineLevel="0" collapsed="false">
      <c r="I5802" s="0" t="n">
        <v>2033</v>
      </c>
      <c r="J5802" s="0" t="n">
        <v>30.38</v>
      </c>
      <c r="K5802" s="0" t="n">
        <v>637.56</v>
      </c>
    </row>
    <row r="5803" customFormat="false" ht="15" hidden="false" customHeight="false" outlineLevel="0" collapsed="false">
      <c r="I5803" s="0" t="n">
        <v>2033</v>
      </c>
      <c r="J5803" s="0" t="n">
        <v>8.68</v>
      </c>
      <c r="K5803" s="0" t="n">
        <v>182.16</v>
      </c>
    </row>
    <row r="5804" customFormat="false" ht="15" hidden="false" customHeight="false" outlineLevel="0" collapsed="false">
      <c r="I5804" s="0" t="n">
        <v>2033</v>
      </c>
      <c r="J5804" s="0" t="n">
        <v>30.38</v>
      </c>
      <c r="K5804" s="0" t="n">
        <v>637.56</v>
      </c>
    </row>
    <row r="5805" customFormat="false" ht="15" hidden="false" customHeight="false" outlineLevel="0" collapsed="false">
      <c r="I5805" s="0" t="n">
        <v>2033</v>
      </c>
      <c r="J5805" s="0" t="n">
        <v>358.56</v>
      </c>
      <c r="K5805" s="0" t="n">
        <v>7527.84</v>
      </c>
    </row>
    <row r="5806" customFormat="false" ht="15" hidden="false" customHeight="false" outlineLevel="0" collapsed="false">
      <c r="I5806" s="0" t="n">
        <v>2033</v>
      </c>
      <c r="J5806" s="0" t="n">
        <v>119.52</v>
      </c>
      <c r="K5806" s="0" t="n">
        <v>2509.28</v>
      </c>
    </row>
    <row r="5807" customFormat="false" ht="15" hidden="false" customHeight="false" outlineLevel="0" collapsed="false">
      <c r="I5807" s="0" t="n">
        <v>2033</v>
      </c>
      <c r="J5807" s="0" t="n">
        <v>52.29</v>
      </c>
      <c r="K5807" s="0" t="n">
        <v>1097.81</v>
      </c>
    </row>
    <row r="5808" customFormat="false" ht="15" hidden="false" customHeight="false" outlineLevel="0" collapsed="false">
      <c r="I5808" s="0" t="n">
        <v>2033</v>
      </c>
      <c r="J5808" s="0" t="n">
        <v>29.88</v>
      </c>
      <c r="K5808" s="0" t="n">
        <v>627.32</v>
      </c>
    </row>
    <row r="5809" customFormat="false" ht="15" hidden="false" customHeight="false" outlineLevel="0" collapsed="false">
      <c r="I5809" s="0" t="n">
        <v>2033</v>
      </c>
      <c r="J5809" s="0" t="n">
        <v>29.88</v>
      </c>
      <c r="K5809" s="0" t="n">
        <v>627.32</v>
      </c>
    </row>
    <row r="5810" customFormat="false" ht="15" hidden="false" customHeight="false" outlineLevel="0" collapsed="false">
      <c r="I5810" s="0" t="n">
        <v>2033</v>
      </c>
      <c r="J5810" s="0" t="n">
        <v>14.94</v>
      </c>
      <c r="K5810" s="0" t="n">
        <v>313.66</v>
      </c>
    </row>
    <row r="5811" customFormat="false" ht="15" hidden="false" customHeight="false" outlineLevel="0" collapsed="false">
      <c r="I5811" s="0" t="n">
        <v>2033</v>
      </c>
      <c r="J5811" s="0" t="n">
        <v>14.94</v>
      </c>
      <c r="K5811" s="0" t="n">
        <v>313.66</v>
      </c>
    </row>
    <row r="5812" customFormat="false" ht="15" hidden="false" customHeight="false" outlineLevel="0" collapsed="false">
      <c r="I5812" s="0" t="n">
        <v>2033</v>
      </c>
      <c r="J5812" s="0" t="n">
        <v>29.88</v>
      </c>
      <c r="K5812" s="0" t="n">
        <v>627.32</v>
      </c>
    </row>
    <row r="5813" customFormat="false" ht="15" hidden="false" customHeight="false" outlineLevel="0" collapsed="false">
      <c r="I5813" s="0" t="n">
        <v>2033</v>
      </c>
      <c r="J5813" s="0" t="n">
        <v>52.29</v>
      </c>
      <c r="K5813" s="0" t="n">
        <v>1097.81</v>
      </c>
    </row>
    <row r="5814" customFormat="false" ht="15" hidden="false" customHeight="false" outlineLevel="0" collapsed="false">
      <c r="I5814" s="0" t="n">
        <v>2033</v>
      </c>
      <c r="J5814" s="0" t="n">
        <v>22.41</v>
      </c>
      <c r="K5814" s="0" t="n">
        <v>470.49</v>
      </c>
    </row>
    <row r="5815" customFormat="false" ht="15" hidden="false" customHeight="false" outlineLevel="0" collapsed="false">
      <c r="I5815" s="0" t="n">
        <v>2033</v>
      </c>
      <c r="J5815" s="0" t="n">
        <v>22.41</v>
      </c>
      <c r="K5815" s="0" t="n">
        <v>470.49</v>
      </c>
    </row>
    <row r="5816" customFormat="false" ht="15" hidden="false" customHeight="false" outlineLevel="0" collapsed="false">
      <c r="I5816" s="0" t="n">
        <v>2033</v>
      </c>
      <c r="J5816" s="0" t="n">
        <v>626.08</v>
      </c>
      <c r="K5816" s="0" t="n">
        <v>13147.16</v>
      </c>
    </row>
    <row r="5817" customFormat="false" ht="15" hidden="false" customHeight="false" outlineLevel="0" collapsed="false">
      <c r="I5817" s="0" t="n">
        <v>2033</v>
      </c>
      <c r="J5817" s="0" t="n">
        <v>96.32</v>
      </c>
      <c r="K5817" s="0" t="n">
        <v>2022.64</v>
      </c>
    </row>
    <row r="5818" customFormat="false" ht="15" hidden="false" customHeight="false" outlineLevel="0" collapsed="false">
      <c r="I5818" s="0" t="n">
        <v>2033</v>
      </c>
      <c r="J5818" s="0" t="n">
        <v>72.24</v>
      </c>
      <c r="K5818" s="0" t="n">
        <v>1516.98</v>
      </c>
    </row>
    <row r="5819" customFormat="false" ht="15" hidden="false" customHeight="false" outlineLevel="0" collapsed="false">
      <c r="I5819" s="0" t="n">
        <v>2033</v>
      </c>
      <c r="J5819" s="0" t="n">
        <v>120.4</v>
      </c>
      <c r="K5819" s="0" t="n">
        <v>2528.3</v>
      </c>
    </row>
    <row r="5820" customFormat="false" ht="15" hidden="false" customHeight="false" outlineLevel="0" collapsed="false">
      <c r="I5820" s="0" t="n">
        <v>2033</v>
      </c>
      <c r="J5820" s="0" t="n">
        <v>24.08</v>
      </c>
      <c r="K5820" s="0" t="n">
        <v>505.66</v>
      </c>
    </row>
    <row r="5821" customFormat="false" ht="15" hidden="false" customHeight="false" outlineLevel="0" collapsed="false">
      <c r="I5821" s="0" t="n">
        <v>2033</v>
      </c>
      <c r="J5821" s="0" t="n">
        <v>24.08</v>
      </c>
      <c r="K5821" s="0" t="n">
        <v>505.66</v>
      </c>
    </row>
    <row r="5822" customFormat="false" ht="15" hidden="false" customHeight="false" outlineLevel="0" collapsed="false">
      <c r="I5822" s="0" t="n">
        <v>2033</v>
      </c>
      <c r="J5822" s="0" t="n">
        <v>0</v>
      </c>
      <c r="K5822" s="0" t="n">
        <v>0</v>
      </c>
    </row>
    <row r="5823" customFormat="false" ht="15" hidden="false" customHeight="false" outlineLevel="0" collapsed="false">
      <c r="I5823" s="0" t="n">
        <v>2033</v>
      </c>
      <c r="J5823" s="0" t="n">
        <v>48.16</v>
      </c>
      <c r="K5823" s="0" t="n">
        <v>1011.32</v>
      </c>
    </row>
    <row r="5824" customFormat="false" ht="15" hidden="false" customHeight="false" outlineLevel="0" collapsed="false">
      <c r="I5824" s="0" t="n">
        <v>2033</v>
      </c>
      <c r="J5824" s="0" t="n">
        <v>84.28</v>
      </c>
      <c r="K5824" s="0" t="n">
        <v>1769.81</v>
      </c>
    </row>
    <row r="5825" customFormat="false" ht="15" hidden="false" customHeight="false" outlineLevel="0" collapsed="false">
      <c r="I5825" s="0" t="n">
        <v>2033</v>
      </c>
      <c r="J5825" s="0" t="n">
        <v>24.08</v>
      </c>
      <c r="K5825" s="0" t="n">
        <v>505.66</v>
      </c>
    </row>
    <row r="5826" customFormat="false" ht="15" hidden="false" customHeight="false" outlineLevel="0" collapsed="false">
      <c r="I5826" s="0" t="n">
        <v>2033</v>
      </c>
      <c r="J5826" s="0" t="n">
        <v>84.28</v>
      </c>
      <c r="K5826" s="0" t="n">
        <v>1769.81</v>
      </c>
    </row>
    <row r="5827" customFormat="false" ht="15" hidden="false" customHeight="false" outlineLevel="0" collapsed="false">
      <c r="I5827" s="0" t="n">
        <v>2033</v>
      </c>
      <c r="J5827" s="0" t="n">
        <v>489.12</v>
      </c>
      <c r="K5827" s="0" t="n">
        <v>10274.4</v>
      </c>
    </row>
    <row r="5828" customFormat="false" ht="15" hidden="false" customHeight="false" outlineLevel="0" collapsed="false">
      <c r="I5828" s="0" t="n">
        <v>2033</v>
      </c>
      <c r="J5828" s="0" t="n">
        <v>163.04</v>
      </c>
      <c r="K5828" s="0" t="n">
        <v>3424.8</v>
      </c>
    </row>
    <row r="5829" customFormat="false" ht="15" hidden="false" customHeight="false" outlineLevel="0" collapsed="false">
      <c r="I5829" s="0" t="n">
        <v>2033</v>
      </c>
      <c r="J5829" s="0" t="n">
        <v>71.33</v>
      </c>
      <c r="K5829" s="0" t="n">
        <v>1498.35</v>
      </c>
    </row>
    <row r="5830" customFormat="false" ht="15" hidden="false" customHeight="false" outlineLevel="0" collapsed="false">
      <c r="I5830" s="0" t="n">
        <v>2033</v>
      </c>
      <c r="J5830" s="0" t="n">
        <v>40.76</v>
      </c>
      <c r="K5830" s="0" t="n">
        <v>856.2</v>
      </c>
    </row>
    <row r="5831" customFormat="false" ht="15" hidden="false" customHeight="false" outlineLevel="0" collapsed="false">
      <c r="I5831" s="0" t="n">
        <v>2033</v>
      </c>
      <c r="J5831" s="0" t="n">
        <v>40.76</v>
      </c>
      <c r="K5831" s="0" t="n">
        <v>856.2</v>
      </c>
    </row>
    <row r="5832" customFormat="false" ht="15" hidden="false" customHeight="false" outlineLevel="0" collapsed="false">
      <c r="I5832" s="0" t="n">
        <v>2033</v>
      </c>
      <c r="J5832" s="0" t="n">
        <v>20.38</v>
      </c>
      <c r="K5832" s="0" t="n">
        <v>428.1</v>
      </c>
    </row>
    <row r="5833" customFormat="false" ht="15" hidden="false" customHeight="false" outlineLevel="0" collapsed="false">
      <c r="I5833" s="0" t="n">
        <v>2033</v>
      </c>
      <c r="J5833" s="0" t="n">
        <v>20.38</v>
      </c>
      <c r="K5833" s="0" t="n">
        <v>428.1</v>
      </c>
    </row>
    <row r="5834" customFormat="false" ht="15" hidden="false" customHeight="false" outlineLevel="0" collapsed="false">
      <c r="I5834" s="0" t="n">
        <v>2033</v>
      </c>
      <c r="J5834" s="0" t="n">
        <v>40.76</v>
      </c>
      <c r="K5834" s="0" t="n">
        <v>856.2</v>
      </c>
    </row>
    <row r="5835" customFormat="false" ht="15" hidden="false" customHeight="false" outlineLevel="0" collapsed="false">
      <c r="I5835" s="0" t="n">
        <v>2033</v>
      </c>
      <c r="J5835" s="0" t="n">
        <v>71.33</v>
      </c>
      <c r="K5835" s="0" t="n">
        <v>1498.35</v>
      </c>
    </row>
    <row r="5836" customFormat="false" ht="15" hidden="false" customHeight="false" outlineLevel="0" collapsed="false">
      <c r="I5836" s="0" t="n">
        <v>2033</v>
      </c>
      <c r="J5836" s="0" t="n">
        <v>30.57</v>
      </c>
      <c r="K5836" s="0" t="n">
        <v>642.15</v>
      </c>
    </row>
    <row r="5837" customFormat="false" ht="15" hidden="false" customHeight="false" outlineLevel="0" collapsed="false">
      <c r="I5837" s="0" t="n">
        <v>2033</v>
      </c>
      <c r="J5837" s="0" t="n">
        <v>30.57</v>
      </c>
      <c r="K5837" s="0" t="n">
        <v>642.15</v>
      </c>
    </row>
    <row r="5838" customFormat="false" ht="15" hidden="false" customHeight="false" outlineLevel="0" collapsed="false">
      <c r="I5838" s="0" t="n">
        <v>2033</v>
      </c>
      <c r="J5838" s="0" t="n">
        <v>125.32</v>
      </c>
      <c r="K5838" s="0" t="n">
        <v>2627.56</v>
      </c>
    </row>
    <row r="5839" customFormat="false" ht="15" hidden="false" customHeight="false" outlineLevel="0" collapsed="false">
      <c r="I5839" s="0" t="n">
        <v>2033</v>
      </c>
      <c r="J5839" s="0" t="n">
        <v>19.28</v>
      </c>
      <c r="K5839" s="0" t="n">
        <v>404.24</v>
      </c>
    </row>
    <row r="5840" customFormat="false" ht="15" hidden="false" customHeight="false" outlineLevel="0" collapsed="false">
      <c r="I5840" s="0" t="n">
        <v>2033</v>
      </c>
      <c r="J5840" s="0" t="n">
        <v>14.46</v>
      </c>
      <c r="K5840" s="0" t="n">
        <v>303.18</v>
      </c>
    </row>
    <row r="5841" customFormat="false" ht="15" hidden="false" customHeight="false" outlineLevel="0" collapsed="false">
      <c r="I5841" s="0" t="n">
        <v>2033</v>
      </c>
      <c r="J5841" s="0" t="n">
        <v>24.1</v>
      </c>
      <c r="K5841" s="0" t="n">
        <v>505.3</v>
      </c>
    </row>
    <row r="5842" customFormat="false" ht="15" hidden="false" customHeight="false" outlineLevel="0" collapsed="false">
      <c r="I5842" s="0" t="n">
        <v>2033</v>
      </c>
      <c r="J5842" s="0" t="n">
        <v>4.82</v>
      </c>
      <c r="K5842" s="0" t="n">
        <v>101.06</v>
      </c>
    </row>
    <row r="5843" customFormat="false" ht="15" hidden="false" customHeight="false" outlineLevel="0" collapsed="false">
      <c r="I5843" s="0" t="n">
        <v>2033</v>
      </c>
      <c r="J5843" s="0" t="n">
        <v>4.82</v>
      </c>
      <c r="K5843" s="0" t="n">
        <v>101.06</v>
      </c>
    </row>
    <row r="5844" customFormat="false" ht="15" hidden="false" customHeight="false" outlineLevel="0" collapsed="false">
      <c r="I5844" s="0" t="n">
        <v>2033</v>
      </c>
      <c r="J5844" s="0" t="n">
        <v>0</v>
      </c>
      <c r="K5844" s="0" t="n">
        <v>0</v>
      </c>
    </row>
    <row r="5845" customFormat="false" ht="15" hidden="false" customHeight="false" outlineLevel="0" collapsed="false">
      <c r="I5845" s="0" t="n">
        <v>2033</v>
      </c>
      <c r="J5845" s="0" t="n">
        <v>9.64</v>
      </c>
      <c r="K5845" s="0" t="n">
        <v>202.12</v>
      </c>
    </row>
    <row r="5846" customFormat="false" ht="15" hidden="false" customHeight="false" outlineLevel="0" collapsed="false">
      <c r="I5846" s="0" t="n">
        <v>2033</v>
      </c>
      <c r="J5846" s="0" t="n">
        <v>16.87</v>
      </c>
      <c r="K5846" s="0" t="n">
        <v>353.71</v>
      </c>
    </row>
    <row r="5847" customFormat="false" ht="15" hidden="false" customHeight="false" outlineLevel="0" collapsed="false">
      <c r="I5847" s="0" t="n">
        <v>2033</v>
      </c>
      <c r="J5847" s="0" t="n">
        <v>4.82</v>
      </c>
      <c r="K5847" s="0" t="n">
        <v>101.06</v>
      </c>
    </row>
    <row r="5848" customFormat="false" ht="15" hidden="false" customHeight="false" outlineLevel="0" collapsed="false">
      <c r="I5848" s="0" t="n">
        <v>2033</v>
      </c>
      <c r="J5848" s="0" t="n">
        <v>16.87</v>
      </c>
      <c r="K5848" s="0" t="n">
        <v>353.71</v>
      </c>
    </row>
    <row r="5849" customFormat="false" ht="15" hidden="false" customHeight="false" outlineLevel="0" collapsed="false">
      <c r="I5849" s="0" t="n">
        <v>2033</v>
      </c>
      <c r="J5849" s="0" t="n">
        <v>292.32</v>
      </c>
      <c r="K5849" s="0" t="n">
        <v>6142.56</v>
      </c>
    </row>
    <row r="5850" customFormat="false" ht="15" hidden="false" customHeight="false" outlineLevel="0" collapsed="false">
      <c r="I5850" s="0" t="n">
        <v>2033</v>
      </c>
      <c r="J5850" s="0" t="n">
        <v>97.44</v>
      </c>
      <c r="K5850" s="0" t="n">
        <v>2047.52</v>
      </c>
    </row>
    <row r="5851" customFormat="false" ht="15" hidden="false" customHeight="false" outlineLevel="0" collapsed="false">
      <c r="I5851" s="0" t="n">
        <v>2033</v>
      </c>
      <c r="J5851" s="0" t="n">
        <v>42.63</v>
      </c>
      <c r="K5851" s="0" t="n">
        <v>895.79</v>
      </c>
    </row>
    <row r="5852" customFormat="false" ht="15" hidden="false" customHeight="false" outlineLevel="0" collapsed="false">
      <c r="I5852" s="0" t="n">
        <v>2033</v>
      </c>
      <c r="J5852" s="0" t="n">
        <v>24.36</v>
      </c>
      <c r="K5852" s="0" t="n">
        <v>511.88</v>
      </c>
    </row>
    <row r="5853" customFormat="false" ht="15" hidden="false" customHeight="false" outlineLevel="0" collapsed="false">
      <c r="I5853" s="0" t="n">
        <v>2033</v>
      </c>
      <c r="J5853" s="0" t="n">
        <v>24.36</v>
      </c>
      <c r="K5853" s="0" t="n">
        <v>511.88</v>
      </c>
    </row>
    <row r="5854" customFormat="false" ht="15" hidden="false" customHeight="false" outlineLevel="0" collapsed="false">
      <c r="I5854" s="0" t="n">
        <v>2033</v>
      </c>
      <c r="J5854" s="0" t="n">
        <v>12.18</v>
      </c>
      <c r="K5854" s="0" t="n">
        <v>255.94</v>
      </c>
    </row>
    <row r="5855" customFormat="false" ht="15" hidden="false" customHeight="false" outlineLevel="0" collapsed="false">
      <c r="I5855" s="0" t="n">
        <v>2033</v>
      </c>
      <c r="J5855" s="0" t="n">
        <v>12.18</v>
      </c>
      <c r="K5855" s="0" t="n">
        <v>255.94</v>
      </c>
    </row>
    <row r="5856" customFormat="false" ht="15" hidden="false" customHeight="false" outlineLevel="0" collapsed="false">
      <c r="I5856" s="0" t="n">
        <v>2033</v>
      </c>
      <c r="J5856" s="0" t="n">
        <v>24.36</v>
      </c>
      <c r="K5856" s="0" t="n">
        <v>511.88</v>
      </c>
    </row>
    <row r="5857" customFormat="false" ht="15" hidden="false" customHeight="false" outlineLevel="0" collapsed="false">
      <c r="I5857" s="0" t="n">
        <v>2033</v>
      </c>
      <c r="J5857" s="0" t="n">
        <v>42.63</v>
      </c>
      <c r="K5857" s="0" t="n">
        <v>895.79</v>
      </c>
    </row>
    <row r="5858" customFormat="false" ht="15" hidden="false" customHeight="false" outlineLevel="0" collapsed="false">
      <c r="I5858" s="0" t="n">
        <v>2033</v>
      </c>
      <c r="J5858" s="0" t="n">
        <v>18.27</v>
      </c>
      <c r="K5858" s="0" t="n">
        <v>383.91</v>
      </c>
    </row>
    <row r="5859" customFormat="false" ht="15" hidden="false" customHeight="false" outlineLevel="0" collapsed="false">
      <c r="I5859" s="0" t="n">
        <v>2033</v>
      </c>
      <c r="J5859" s="0" t="n">
        <v>18.27</v>
      </c>
      <c r="K5859" s="0" t="n">
        <v>383.91</v>
      </c>
    </row>
    <row r="5860" customFormat="false" ht="15" hidden="false" customHeight="false" outlineLevel="0" collapsed="false">
      <c r="I5860" s="0" t="n">
        <v>2033</v>
      </c>
      <c r="J5860" s="0" t="n">
        <v>125.32</v>
      </c>
      <c r="K5860" s="0" t="n">
        <v>2627.56</v>
      </c>
    </row>
    <row r="5861" customFormat="false" ht="15" hidden="false" customHeight="false" outlineLevel="0" collapsed="false">
      <c r="I5861" s="0" t="n">
        <v>2033</v>
      </c>
      <c r="J5861" s="0" t="n">
        <v>19.28</v>
      </c>
      <c r="K5861" s="0" t="n">
        <v>404.24</v>
      </c>
    </row>
    <row r="5862" customFormat="false" ht="15" hidden="false" customHeight="false" outlineLevel="0" collapsed="false">
      <c r="I5862" s="0" t="n">
        <v>2033</v>
      </c>
      <c r="J5862" s="0" t="n">
        <v>14.46</v>
      </c>
      <c r="K5862" s="0" t="n">
        <v>303.18</v>
      </c>
    </row>
    <row r="5863" customFormat="false" ht="15" hidden="false" customHeight="false" outlineLevel="0" collapsed="false">
      <c r="I5863" s="0" t="n">
        <v>2033</v>
      </c>
      <c r="J5863" s="0" t="n">
        <v>24.1</v>
      </c>
      <c r="K5863" s="0" t="n">
        <v>505.3</v>
      </c>
    </row>
    <row r="5864" customFormat="false" ht="15" hidden="false" customHeight="false" outlineLevel="0" collapsed="false">
      <c r="I5864" s="0" t="n">
        <v>2033</v>
      </c>
      <c r="J5864" s="0" t="n">
        <v>4.82</v>
      </c>
      <c r="K5864" s="0" t="n">
        <v>101.06</v>
      </c>
    </row>
    <row r="5865" customFormat="false" ht="15" hidden="false" customHeight="false" outlineLevel="0" collapsed="false">
      <c r="I5865" s="0" t="n">
        <v>2033</v>
      </c>
      <c r="J5865" s="0" t="n">
        <v>4.82</v>
      </c>
      <c r="K5865" s="0" t="n">
        <v>101.06</v>
      </c>
    </row>
    <row r="5866" customFormat="false" ht="15" hidden="false" customHeight="false" outlineLevel="0" collapsed="false">
      <c r="I5866" s="0" t="n">
        <v>2033</v>
      </c>
      <c r="J5866" s="0" t="n">
        <v>0</v>
      </c>
      <c r="K5866" s="0" t="n">
        <v>0</v>
      </c>
    </row>
    <row r="5867" customFormat="false" ht="15" hidden="false" customHeight="false" outlineLevel="0" collapsed="false">
      <c r="I5867" s="0" t="n">
        <v>2033</v>
      </c>
      <c r="J5867" s="0" t="n">
        <v>9.64</v>
      </c>
      <c r="K5867" s="0" t="n">
        <v>202.12</v>
      </c>
    </row>
    <row r="5868" customFormat="false" ht="15" hidden="false" customHeight="false" outlineLevel="0" collapsed="false">
      <c r="I5868" s="0" t="n">
        <v>2033</v>
      </c>
      <c r="J5868" s="0" t="n">
        <v>16.87</v>
      </c>
      <c r="K5868" s="0" t="n">
        <v>353.71</v>
      </c>
    </row>
    <row r="5869" customFormat="false" ht="15" hidden="false" customHeight="false" outlineLevel="0" collapsed="false">
      <c r="I5869" s="0" t="n">
        <v>2033</v>
      </c>
      <c r="J5869" s="0" t="n">
        <v>4.82</v>
      </c>
      <c r="K5869" s="0" t="n">
        <v>101.06</v>
      </c>
    </row>
    <row r="5870" customFormat="false" ht="15" hidden="false" customHeight="false" outlineLevel="0" collapsed="false">
      <c r="I5870" s="0" t="n">
        <v>2033</v>
      </c>
      <c r="J5870" s="0" t="n">
        <v>16.87</v>
      </c>
      <c r="K5870" s="0" t="n">
        <v>353.71</v>
      </c>
    </row>
    <row r="5871" customFormat="false" ht="15" hidden="false" customHeight="false" outlineLevel="0" collapsed="false">
      <c r="I5871" s="0" t="n">
        <v>2033</v>
      </c>
      <c r="J5871" s="0" t="n">
        <v>30.72</v>
      </c>
      <c r="K5871" s="0" t="n">
        <v>648.48</v>
      </c>
    </row>
    <row r="5872" customFormat="false" ht="15" hidden="false" customHeight="false" outlineLevel="0" collapsed="false">
      <c r="I5872" s="0" t="n">
        <v>2033</v>
      </c>
      <c r="J5872" s="0" t="n">
        <v>10.24</v>
      </c>
      <c r="K5872" s="0" t="n">
        <v>216.16</v>
      </c>
    </row>
    <row r="5873" customFormat="false" ht="15" hidden="false" customHeight="false" outlineLevel="0" collapsed="false">
      <c r="I5873" s="0" t="n">
        <v>2033</v>
      </c>
      <c r="J5873" s="0" t="n">
        <v>4.48</v>
      </c>
      <c r="K5873" s="0" t="n">
        <v>94.57</v>
      </c>
    </row>
    <row r="5874" customFormat="false" ht="15" hidden="false" customHeight="false" outlineLevel="0" collapsed="false">
      <c r="I5874" s="0" t="n">
        <v>2033</v>
      </c>
      <c r="J5874" s="0" t="n">
        <v>2.56</v>
      </c>
      <c r="K5874" s="0" t="n">
        <v>54.04</v>
      </c>
    </row>
    <row r="5875" customFormat="false" ht="15" hidden="false" customHeight="false" outlineLevel="0" collapsed="false">
      <c r="I5875" s="0" t="n">
        <v>2033</v>
      </c>
      <c r="J5875" s="0" t="n">
        <v>2.56</v>
      </c>
      <c r="K5875" s="0" t="n">
        <v>54.04</v>
      </c>
    </row>
    <row r="5876" customFormat="false" ht="15" hidden="false" customHeight="false" outlineLevel="0" collapsed="false">
      <c r="I5876" s="0" t="n">
        <v>2033</v>
      </c>
      <c r="J5876" s="0" t="n">
        <v>1.28</v>
      </c>
      <c r="K5876" s="0" t="n">
        <v>27.02</v>
      </c>
    </row>
    <row r="5877" customFormat="false" ht="15" hidden="false" customHeight="false" outlineLevel="0" collapsed="false">
      <c r="I5877" s="0" t="n">
        <v>2033</v>
      </c>
      <c r="J5877" s="0" t="n">
        <v>1.28</v>
      </c>
      <c r="K5877" s="0" t="n">
        <v>27.02</v>
      </c>
    </row>
    <row r="5878" customFormat="false" ht="15" hidden="false" customHeight="false" outlineLevel="0" collapsed="false">
      <c r="I5878" s="0" t="n">
        <v>2033</v>
      </c>
      <c r="J5878" s="0" t="n">
        <v>2.56</v>
      </c>
      <c r="K5878" s="0" t="n">
        <v>54.04</v>
      </c>
    </row>
    <row r="5879" customFormat="false" ht="15" hidden="false" customHeight="false" outlineLevel="0" collapsed="false">
      <c r="I5879" s="0" t="n">
        <v>2033</v>
      </c>
      <c r="J5879" s="0" t="n">
        <v>4.48</v>
      </c>
      <c r="K5879" s="0" t="n">
        <v>94.57</v>
      </c>
    </row>
    <row r="5880" customFormat="false" ht="15" hidden="false" customHeight="false" outlineLevel="0" collapsed="false">
      <c r="I5880" s="0" t="n">
        <v>2033</v>
      </c>
      <c r="J5880" s="0" t="n">
        <v>1.92</v>
      </c>
      <c r="K5880" s="0" t="n">
        <v>40.53</v>
      </c>
    </row>
    <row r="5881" customFormat="false" ht="15" hidden="false" customHeight="false" outlineLevel="0" collapsed="false">
      <c r="I5881" s="0" t="n">
        <v>2033</v>
      </c>
      <c r="J5881" s="0" t="n">
        <v>1.92</v>
      </c>
      <c r="K5881" s="0" t="n">
        <v>40.53</v>
      </c>
    </row>
    <row r="5882" customFormat="false" ht="15" hidden="false" customHeight="false" outlineLevel="0" collapsed="false">
      <c r="I5882" s="0" t="n">
        <v>2033</v>
      </c>
      <c r="J5882" s="0" t="n">
        <v>11.44</v>
      </c>
      <c r="K5882" s="0" t="n">
        <v>239.72</v>
      </c>
    </row>
    <row r="5883" customFormat="false" ht="15" hidden="false" customHeight="false" outlineLevel="0" collapsed="false">
      <c r="I5883" s="0" t="n">
        <v>2033</v>
      </c>
      <c r="J5883" s="0" t="n">
        <v>1.76</v>
      </c>
      <c r="K5883" s="0" t="n">
        <v>36.88</v>
      </c>
    </row>
    <row r="5884" customFormat="false" ht="15" hidden="false" customHeight="false" outlineLevel="0" collapsed="false">
      <c r="I5884" s="0" t="n">
        <v>2033</v>
      </c>
      <c r="J5884" s="0" t="n">
        <v>1.32</v>
      </c>
      <c r="K5884" s="0" t="n">
        <v>27.66</v>
      </c>
    </row>
    <row r="5885" customFormat="false" ht="15" hidden="false" customHeight="false" outlineLevel="0" collapsed="false">
      <c r="I5885" s="0" t="n">
        <v>2033</v>
      </c>
      <c r="J5885" s="0" t="n">
        <v>2.2</v>
      </c>
      <c r="K5885" s="0" t="n">
        <v>46.1</v>
      </c>
    </row>
    <row r="5886" customFormat="false" ht="15" hidden="false" customHeight="false" outlineLevel="0" collapsed="false">
      <c r="I5886" s="0" t="n">
        <v>2033</v>
      </c>
      <c r="J5886" s="0" t="n">
        <v>0.44</v>
      </c>
      <c r="K5886" s="0" t="n">
        <v>9.22</v>
      </c>
    </row>
    <row r="5887" customFormat="false" ht="15" hidden="false" customHeight="false" outlineLevel="0" collapsed="false">
      <c r="I5887" s="0" t="n">
        <v>2033</v>
      </c>
      <c r="J5887" s="0" t="n">
        <v>0.44</v>
      </c>
      <c r="K5887" s="0" t="n">
        <v>9.22</v>
      </c>
    </row>
    <row r="5888" customFormat="false" ht="15" hidden="false" customHeight="false" outlineLevel="0" collapsed="false">
      <c r="I5888" s="0" t="n">
        <v>2033</v>
      </c>
      <c r="J5888" s="0" t="n">
        <v>0</v>
      </c>
      <c r="K5888" s="0" t="n">
        <v>0</v>
      </c>
    </row>
    <row r="5889" customFormat="false" ht="15" hidden="false" customHeight="false" outlineLevel="0" collapsed="false">
      <c r="I5889" s="0" t="n">
        <v>2033</v>
      </c>
      <c r="J5889" s="0" t="n">
        <v>0.88</v>
      </c>
      <c r="K5889" s="0" t="n">
        <v>18.44</v>
      </c>
    </row>
    <row r="5890" customFormat="false" ht="15" hidden="false" customHeight="false" outlineLevel="0" collapsed="false">
      <c r="I5890" s="0" t="n">
        <v>2033</v>
      </c>
      <c r="J5890" s="0" t="n">
        <v>1.54</v>
      </c>
      <c r="K5890" s="0" t="n">
        <v>32.27</v>
      </c>
    </row>
    <row r="5891" customFormat="false" ht="15" hidden="false" customHeight="false" outlineLevel="0" collapsed="false">
      <c r="I5891" s="0" t="n">
        <v>2033</v>
      </c>
      <c r="J5891" s="0" t="n">
        <v>0.44</v>
      </c>
      <c r="K5891" s="0" t="n">
        <v>9.22</v>
      </c>
    </row>
    <row r="5892" customFormat="false" ht="15" hidden="false" customHeight="false" outlineLevel="0" collapsed="false">
      <c r="I5892" s="0" t="n">
        <v>2033</v>
      </c>
      <c r="J5892" s="0" t="n">
        <v>1.54</v>
      </c>
      <c r="K5892" s="0" t="n">
        <v>32.27</v>
      </c>
    </row>
    <row r="5893" customFormat="false" ht="15" hidden="false" customHeight="false" outlineLevel="0" collapsed="false">
      <c r="I5893" s="0" t="n">
        <v>2033</v>
      </c>
      <c r="J5893" s="0" t="n">
        <v>140.16</v>
      </c>
      <c r="K5893" s="0" t="n">
        <v>2939.04</v>
      </c>
    </row>
    <row r="5894" customFormat="false" ht="15" hidden="false" customHeight="false" outlineLevel="0" collapsed="false">
      <c r="I5894" s="0" t="n">
        <v>2033</v>
      </c>
      <c r="J5894" s="0" t="n">
        <v>46.72</v>
      </c>
      <c r="K5894" s="0" t="n">
        <v>979.68</v>
      </c>
    </row>
    <row r="5895" customFormat="false" ht="15" hidden="false" customHeight="false" outlineLevel="0" collapsed="false">
      <c r="I5895" s="0" t="n">
        <v>2033</v>
      </c>
      <c r="J5895" s="0" t="n">
        <v>20.44</v>
      </c>
      <c r="K5895" s="0" t="n">
        <v>428.61</v>
      </c>
    </row>
    <row r="5896" customFormat="false" ht="15" hidden="false" customHeight="false" outlineLevel="0" collapsed="false">
      <c r="I5896" s="0" t="n">
        <v>2033</v>
      </c>
      <c r="J5896" s="0" t="n">
        <v>11.68</v>
      </c>
      <c r="K5896" s="0" t="n">
        <v>244.92</v>
      </c>
    </row>
    <row r="5897" customFormat="false" ht="15" hidden="false" customHeight="false" outlineLevel="0" collapsed="false">
      <c r="I5897" s="0" t="n">
        <v>2033</v>
      </c>
      <c r="J5897" s="0" t="n">
        <v>11.68</v>
      </c>
      <c r="K5897" s="0" t="n">
        <v>244.92</v>
      </c>
    </row>
    <row r="5898" customFormat="false" ht="15" hidden="false" customHeight="false" outlineLevel="0" collapsed="false">
      <c r="I5898" s="0" t="n">
        <v>2033</v>
      </c>
      <c r="J5898" s="0" t="n">
        <v>5.84</v>
      </c>
      <c r="K5898" s="0" t="n">
        <v>122.46</v>
      </c>
    </row>
    <row r="5899" customFormat="false" ht="15" hidden="false" customHeight="false" outlineLevel="0" collapsed="false">
      <c r="I5899" s="0" t="n">
        <v>2033</v>
      </c>
      <c r="J5899" s="0" t="n">
        <v>5.84</v>
      </c>
      <c r="K5899" s="0" t="n">
        <v>122.46</v>
      </c>
    </row>
    <row r="5900" customFormat="false" ht="15" hidden="false" customHeight="false" outlineLevel="0" collapsed="false">
      <c r="I5900" s="0" t="n">
        <v>2033</v>
      </c>
      <c r="J5900" s="0" t="n">
        <v>11.68</v>
      </c>
      <c r="K5900" s="0" t="n">
        <v>244.92</v>
      </c>
    </row>
    <row r="5901" customFormat="false" ht="15" hidden="false" customHeight="false" outlineLevel="0" collapsed="false">
      <c r="I5901" s="0" t="n">
        <v>2033</v>
      </c>
      <c r="J5901" s="0" t="n">
        <v>20.44</v>
      </c>
      <c r="K5901" s="0" t="n">
        <v>428.61</v>
      </c>
    </row>
    <row r="5902" customFormat="false" ht="15" hidden="false" customHeight="false" outlineLevel="0" collapsed="false">
      <c r="I5902" s="0" t="n">
        <v>2033</v>
      </c>
      <c r="J5902" s="0" t="n">
        <v>8.76</v>
      </c>
      <c r="K5902" s="0" t="n">
        <v>183.69</v>
      </c>
    </row>
    <row r="5903" customFormat="false" ht="15" hidden="false" customHeight="false" outlineLevel="0" collapsed="false">
      <c r="I5903" s="0" t="n">
        <v>2033</v>
      </c>
      <c r="J5903" s="0" t="n">
        <v>8.76</v>
      </c>
      <c r="K5903" s="0" t="n">
        <v>183.69</v>
      </c>
    </row>
    <row r="5904" customFormat="false" ht="15" hidden="false" customHeight="false" outlineLevel="0" collapsed="false">
      <c r="I5904" s="0" t="n">
        <v>2033</v>
      </c>
      <c r="J5904" s="0" t="n">
        <v>19.24</v>
      </c>
      <c r="K5904" s="0" t="n">
        <v>402.48</v>
      </c>
    </row>
    <row r="5905" customFormat="false" ht="15" hidden="false" customHeight="false" outlineLevel="0" collapsed="false">
      <c r="I5905" s="0" t="n">
        <v>2033</v>
      </c>
      <c r="J5905" s="0" t="n">
        <v>2.96</v>
      </c>
      <c r="K5905" s="0" t="n">
        <v>61.92</v>
      </c>
    </row>
    <row r="5906" customFormat="false" ht="15" hidden="false" customHeight="false" outlineLevel="0" collapsed="false">
      <c r="I5906" s="0" t="n">
        <v>2033</v>
      </c>
      <c r="J5906" s="0" t="n">
        <v>2.22</v>
      </c>
      <c r="K5906" s="0" t="n">
        <v>46.44</v>
      </c>
    </row>
    <row r="5907" customFormat="false" ht="15" hidden="false" customHeight="false" outlineLevel="0" collapsed="false">
      <c r="I5907" s="0" t="n">
        <v>2033</v>
      </c>
      <c r="J5907" s="0" t="n">
        <v>3.7</v>
      </c>
      <c r="K5907" s="0" t="n">
        <v>77.4</v>
      </c>
    </row>
    <row r="5908" customFormat="false" ht="15" hidden="false" customHeight="false" outlineLevel="0" collapsed="false">
      <c r="I5908" s="0" t="n">
        <v>2033</v>
      </c>
      <c r="J5908" s="0" t="n">
        <v>0.74</v>
      </c>
      <c r="K5908" s="0" t="n">
        <v>15.48</v>
      </c>
    </row>
    <row r="5909" customFormat="false" ht="15" hidden="false" customHeight="false" outlineLevel="0" collapsed="false">
      <c r="I5909" s="0" t="n">
        <v>2033</v>
      </c>
      <c r="J5909" s="0" t="n">
        <v>0.74</v>
      </c>
      <c r="K5909" s="0" t="n">
        <v>15.48</v>
      </c>
    </row>
    <row r="5910" customFormat="false" ht="15" hidden="false" customHeight="false" outlineLevel="0" collapsed="false">
      <c r="I5910" s="0" t="n">
        <v>2033</v>
      </c>
      <c r="J5910" s="0" t="n">
        <v>0</v>
      </c>
      <c r="K5910" s="0" t="n">
        <v>0</v>
      </c>
    </row>
    <row r="5911" customFormat="false" ht="15" hidden="false" customHeight="false" outlineLevel="0" collapsed="false">
      <c r="I5911" s="0" t="n">
        <v>2033</v>
      </c>
      <c r="J5911" s="0" t="n">
        <v>1.48</v>
      </c>
      <c r="K5911" s="0" t="n">
        <v>30.96</v>
      </c>
    </row>
    <row r="5912" customFormat="false" ht="15" hidden="false" customHeight="false" outlineLevel="0" collapsed="false">
      <c r="I5912" s="0" t="n">
        <v>2033</v>
      </c>
      <c r="J5912" s="0" t="n">
        <v>2.59</v>
      </c>
      <c r="K5912" s="0" t="n">
        <v>54.18</v>
      </c>
    </row>
    <row r="5913" customFormat="false" ht="15" hidden="false" customHeight="false" outlineLevel="0" collapsed="false">
      <c r="I5913" s="0" t="n">
        <v>2033</v>
      </c>
      <c r="J5913" s="0" t="n">
        <v>0.74</v>
      </c>
      <c r="K5913" s="0" t="n">
        <v>15.48</v>
      </c>
    </row>
    <row r="5914" customFormat="false" ht="15" hidden="false" customHeight="false" outlineLevel="0" collapsed="false">
      <c r="I5914" s="0" t="n">
        <v>2033</v>
      </c>
      <c r="J5914" s="0" t="n">
        <v>2.59</v>
      </c>
      <c r="K5914" s="0" t="n">
        <v>54.18</v>
      </c>
    </row>
    <row r="5915" customFormat="false" ht="15" hidden="false" customHeight="false" outlineLevel="0" collapsed="false">
      <c r="I5915" s="0" t="n">
        <v>2033</v>
      </c>
      <c r="J5915" s="0" t="n">
        <v>112.32</v>
      </c>
      <c r="K5915" s="0" t="n">
        <v>2355.84</v>
      </c>
    </row>
    <row r="5916" customFormat="false" ht="15" hidden="false" customHeight="false" outlineLevel="0" collapsed="false">
      <c r="I5916" s="0" t="n">
        <v>2033</v>
      </c>
      <c r="J5916" s="0" t="n">
        <v>37.44</v>
      </c>
      <c r="K5916" s="0" t="n">
        <v>785.28</v>
      </c>
    </row>
    <row r="5917" customFormat="false" ht="15" hidden="false" customHeight="false" outlineLevel="0" collapsed="false">
      <c r="I5917" s="0" t="n">
        <v>2033</v>
      </c>
      <c r="J5917" s="0" t="n">
        <v>16.38</v>
      </c>
      <c r="K5917" s="0" t="n">
        <v>343.56</v>
      </c>
    </row>
    <row r="5918" customFormat="false" ht="15" hidden="false" customHeight="false" outlineLevel="0" collapsed="false">
      <c r="I5918" s="0" t="n">
        <v>2033</v>
      </c>
      <c r="J5918" s="0" t="n">
        <v>9.36</v>
      </c>
      <c r="K5918" s="0" t="n">
        <v>196.32</v>
      </c>
    </row>
    <row r="5919" customFormat="false" ht="15" hidden="false" customHeight="false" outlineLevel="0" collapsed="false">
      <c r="I5919" s="0" t="n">
        <v>2033</v>
      </c>
      <c r="J5919" s="0" t="n">
        <v>9.36</v>
      </c>
      <c r="K5919" s="0" t="n">
        <v>196.32</v>
      </c>
    </row>
    <row r="5920" customFormat="false" ht="15" hidden="false" customHeight="false" outlineLevel="0" collapsed="false">
      <c r="I5920" s="0" t="n">
        <v>2033</v>
      </c>
      <c r="J5920" s="0" t="n">
        <v>4.68</v>
      </c>
      <c r="K5920" s="0" t="n">
        <v>98.16</v>
      </c>
    </row>
    <row r="5921" customFormat="false" ht="15" hidden="false" customHeight="false" outlineLevel="0" collapsed="false">
      <c r="I5921" s="0" t="n">
        <v>2033</v>
      </c>
      <c r="J5921" s="0" t="n">
        <v>4.68</v>
      </c>
      <c r="K5921" s="0" t="n">
        <v>98.16</v>
      </c>
    </row>
    <row r="5922" customFormat="false" ht="15" hidden="false" customHeight="false" outlineLevel="0" collapsed="false">
      <c r="I5922" s="0" t="n">
        <v>2033</v>
      </c>
      <c r="J5922" s="0" t="n">
        <v>9.36</v>
      </c>
      <c r="K5922" s="0" t="n">
        <v>196.32</v>
      </c>
    </row>
    <row r="5923" customFormat="false" ht="15" hidden="false" customHeight="false" outlineLevel="0" collapsed="false">
      <c r="I5923" s="0" t="n">
        <v>2033</v>
      </c>
      <c r="J5923" s="0" t="n">
        <v>16.38</v>
      </c>
      <c r="K5923" s="0" t="n">
        <v>343.56</v>
      </c>
    </row>
    <row r="5924" customFormat="false" ht="15" hidden="false" customHeight="false" outlineLevel="0" collapsed="false">
      <c r="I5924" s="0" t="n">
        <v>2033</v>
      </c>
      <c r="J5924" s="0" t="n">
        <v>7.02</v>
      </c>
      <c r="K5924" s="0" t="n">
        <v>147.24</v>
      </c>
    </row>
    <row r="5925" customFormat="false" ht="15" hidden="false" customHeight="false" outlineLevel="0" collapsed="false">
      <c r="I5925" s="0" t="n">
        <v>2033</v>
      </c>
      <c r="J5925" s="0" t="n">
        <v>7.02</v>
      </c>
      <c r="K5925" s="0" t="n">
        <v>147.24</v>
      </c>
    </row>
    <row r="5926" customFormat="false" ht="15" hidden="false" customHeight="false" outlineLevel="0" collapsed="false">
      <c r="I5926" s="0" t="n">
        <v>2033</v>
      </c>
      <c r="J5926" s="0" t="n">
        <v>46.8</v>
      </c>
      <c r="K5926" s="0" t="n">
        <v>978.64</v>
      </c>
    </row>
    <row r="5927" customFormat="false" ht="15" hidden="false" customHeight="false" outlineLevel="0" collapsed="false">
      <c r="I5927" s="0" t="n">
        <v>2033</v>
      </c>
      <c r="J5927" s="0" t="n">
        <v>7.2</v>
      </c>
      <c r="K5927" s="0" t="n">
        <v>150.56</v>
      </c>
    </row>
    <row r="5928" customFormat="false" ht="15" hidden="false" customHeight="false" outlineLevel="0" collapsed="false">
      <c r="I5928" s="0" t="n">
        <v>2033</v>
      </c>
      <c r="J5928" s="0" t="n">
        <v>5.4</v>
      </c>
      <c r="K5928" s="0" t="n">
        <v>112.92</v>
      </c>
    </row>
    <row r="5929" customFormat="false" ht="15" hidden="false" customHeight="false" outlineLevel="0" collapsed="false">
      <c r="I5929" s="0" t="n">
        <v>2033</v>
      </c>
      <c r="J5929" s="0" t="n">
        <v>9</v>
      </c>
      <c r="K5929" s="0" t="n">
        <v>188.2</v>
      </c>
    </row>
    <row r="5930" customFormat="false" ht="15" hidden="false" customHeight="false" outlineLevel="0" collapsed="false">
      <c r="I5930" s="0" t="n">
        <v>2033</v>
      </c>
      <c r="J5930" s="0" t="n">
        <v>1.8</v>
      </c>
      <c r="K5930" s="0" t="n">
        <v>37.64</v>
      </c>
    </row>
    <row r="5931" customFormat="false" ht="15" hidden="false" customHeight="false" outlineLevel="0" collapsed="false">
      <c r="I5931" s="0" t="n">
        <v>2033</v>
      </c>
      <c r="J5931" s="0" t="n">
        <v>1.8</v>
      </c>
      <c r="K5931" s="0" t="n">
        <v>37.64</v>
      </c>
    </row>
    <row r="5932" customFormat="false" ht="15" hidden="false" customHeight="false" outlineLevel="0" collapsed="false">
      <c r="I5932" s="0" t="n">
        <v>2033</v>
      </c>
      <c r="J5932" s="0" t="n">
        <v>0</v>
      </c>
      <c r="K5932" s="0" t="n">
        <v>0</v>
      </c>
    </row>
    <row r="5933" customFormat="false" ht="15" hidden="false" customHeight="false" outlineLevel="0" collapsed="false">
      <c r="I5933" s="0" t="n">
        <v>2033</v>
      </c>
      <c r="J5933" s="0" t="n">
        <v>3.6</v>
      </c>
      <c r="K5933" s="0" t="n">
        <v>75.28</v>
      </c>
    </row>
    <row r="5934" customFormat="false" ht="15" hidden="false" customHeight="false" outlineLevel="0" collapsed="false">
      <c r="I5934" s="0" t="n">
        <v>2033</v>
      </c>
      <c r="J5934" s="0" t="n">
        <v>6.3</v>
      </c>
      <c r="K5934" s="0" t="n">
        <v>131.74</v>
      </c>
    </row>
    <row r="5935" customFormat="false" ht="15" hidden="false" customHeight="false" outlineLevel="0" collapsed="false">
      <c r="I5935" s="0" t="n">
        <v>2033</v>
      </c>
      <c r="J5935" s="0" t="n">
        <v>1.8</v>
      </c>
      <c r="K5935" s="0" t="n">
        <v>37.64</v>
      </c>
    </row>
    <row r="5936" customFormat="false" ht="15" hidden="false" customHeight="false" outlineLevel="0" collapsed="false">
      <c r="I5936" s="0" t="n">
        <v>2033</v>
      </c>
      <c r="J5936" s="0" t="n">
        <v>6.3</v>
      </c>
      <c r="K5936" s="0" t="n">
        <v>131.74</v>
      </c>
    </row>
    <row r="5937" customFormat="false" ht="15" hidden="false" customHeight="false" outlineLevel="0" collapsed="false">
      <c r="I5937" s="0" t="n">
        <v>2033</v>
      </c>
      <c r="J5937" s="0" t="n">
        <v>1098.72</v>
      </c>
      <c r="K5937" s="0" t="n">
        <v>23072.64</v>
      </c>
    </row>
    <row r="5938" customFormat="false" ht="15" hidden="false" customHeight="false" outlineLevel="0" collapsed="false">
      <c r="I5938" s="0" t="n">
        <v>2033</v>
      </c>
      <c r="J5938" s="0" t="n">
        <v>366.24</v>
      </c>
      <c r="K5938" s="0" t="n">
        <v>7690.88</v>
      </c>
    </row>
    <row r="5939" customFormat="false" ht="15" hidden="false" customHeight="false" outlineLevel="0" collapsed="false">
      <c r="I5939" s="0" t="n">
        <v>2033</v>
      </c>
      <c r="J5939" s="0" t="n">
        <v>160.23</v>
      </c>
      <c r="K5939" s="0" t="n">
        <v>3364.76</v>
      </c>
    </row>
    <row r="5940" customFormat="false" ht="15" hidden="false" customHeight="false" outlineLevel="0" collapsed="false">
      <c r="I5940" s="0" t="n">
        <v>2033</v>
      </c>
      <c r="J5940" s="0" t="n">
        <v>91.56</v>
      </c>
      <c r="K5940" s="0" t="n">
        <v>1922.72</v>
      </c>
    </row>
    <row r="5941" customFormat="false" ht="15" hidden="false" customHeight="false" outlineLevel="0" collapsed="false">
      <c r="I5941" s="0" t="n">
        <v>2033</v>
      </c>
      <c r="J5941" s="0" t="n">
        <v>91.56</v>
      </c>
      <c r="K5941" s="0" t="n">
        <v>1922.72</v>
      </c>
    </row>
    <row r="5942" customFormat="false" ht="15" hidden="false" customHeight="false" outlineLevel="0" collapsed="false">
      <c r="I5942" s="0" t="n">
        <v>2033</v>
      </c>
      <c r="J5942" s="0" t="n">
        <v>45.78</v>
      </c>
      <c r="K5942" s="0" t="n">
        <v>961.36</v>
      </c>
    </row>
    <row r="5943" customFormat="false" ht="15" hidden="false" customHeight="false" outlineLevel="0" collapsed="false">
      <c r="I5943" s="0" t="n">
        <v>2033</v>
      </c>
      <c r="J5943" s="0" t="n">
        <v>45.78</v>
      </c>
      <c r="K5943" s="0" t="n">
        <v>961.36</v>
      </c>
    </row>
    <row r="5944" customFormat="false" ht="15" hidden="false" customHeight="false" outlineLevel="0" collapsed="false">
      <c r="I5944" s="0" t="n">
        <v>2033</v>
      </c>
      <c r="J5944" s="0" t="n">
        <v>91.56</v>
      </c>
      <c r="K5944" s="0" t="n">
        <v>1922.72</v>
      </c>
    </row>
    <row r="5945" customFormat="false" ht="15" hidden="false" customHeight="false" outlineLevel="0" collapsed="false">
      <c r="I5945" s="0" t="n">
        <v>2033</v>
      </c>
      <c r="J5945" s="0" t="n">
        <v>160.23</v>
      </c>
      <c r="K5945" s="0" t="n">
        <v>3364.76</v>
      </c>
    </row>
    <row r="5946" customFormat="false" ht="15" hidden="false" customHeight="false" outlineLevel="0" collapsed="false">
      <c r="I5946" s="0" t="n">
        <v>2033</v>
      </c>
      <c r="J5946" s="0" t="n">
        <v>68.67</v>
      </c>
      <c r="K5946" s="0" t="n">
        <v>1442.04</v>
      </c>
    </row>
    <row r="5947" customFormat="false" ht="15" hidden="false" customHeight="false" outlineLevel="0" collapsed="false">
      <c r="I5947" s="0" t="n">
        <v>2033</v>
      </c>
      <c r="J5947" s="0" t="n">
        <v>68.67</v>
      </c>
      <c r="K5947" s="0" t="n">
        <v>1442.04</v>
      </c>
    </row>
    <row r="5948" customFormat="false" ht="15" hidden="false" customHeight="false" outlineLevel="0" collapsed="false">
      <c r="I5948" s="0" t="n">
        <v>2033</v>
      </c>
      <c r="J5948" s="0" t="n">
        <v>136.24</v>
      </c>
      <c r="K5948" s="0" t="n">
        <v>2860.52</v>
      </c>
    </row>
    <row r="5949" customFormat="false" ht="15" hidden="false" customHeight="false" outlineLevel="0" collapsed="false">
      <c r="I5949" s="0" t="n">
        <v>2033</v>
      </c>
      <c r="J5949" s="0" t="n">
        <v>20.96</v>
      </c>
      <c r="K5949" s="0" t="n">
        <v>440.08</v>
      </c>
    </row>
    <row r="5950" customFormat="false" ht="15" hidden="false" customHeight="false" outlineLevel="0" collapsed="false">
      <c r="I5950" s="0" t="n">
        <v>2033</v>
      </c>
      <c r="J5950" s="0" t="n">
        <v>15.72</v>
      </c>
      <c r="K5950" s="0" t="n">
        <v>330.06</v>
      </c>
    </row>
    <row r="5951" customFormat="false" ht="15" hidden="false" customHeight="false" outlineLevel="0" collapsed="false">
      <c r="I5951" s="0" t="n">
        <v>2033</v>
      </c>
      <c r="J5951" s="0" t="n">
        <v>26.2</v>
      </c>
      <c r="K5951" s="0" t="n">
        <v>550.1</v>
      </c>
    </row>
    <row r="5952" customFormat="false" ht="15" hidden="false" customHeight="false" outlineLevel="0" collapsed="false">
      <c r="I5952" s="0" t="n">
        <v>2033</v>
      </c>
      <c r="J5952" s="0" t="n">
        <v>5.24</v>
      </c>
      <c r="K5952" s="0" t="n">
        <v>110.02</v>
      </c>
    </row>
    <row r="5953" customFormat="false" ht="15" hidden="false" customHeight="false" outlineLevel="0" collapsed="false">
      <c r="I5953" s="0" t="n">
        <v>2033</v>
      </c>
      <c r="J5953" s="0" t="n">
        <v>5.24</v>
      </c>
      <c r="K5953" s="0" t="n">
        <v>110.02</v>
      </c>
    </row>
    <row r="5954" customFormat="false" ht="15" hidden="false" customHeight="false" outlineLevel="0" collapsed="false">
      <c r="I5954" s="0" t="n">
        <v>2033</v>
      </c>
      <c r="J5954" s="0" t="n">
        <v>0</v>
      </c>
      <c r="K5954" s="0" t="n">
        <v>0</v>
      </c>
    </row>
    <row r="5955" customFormat="false" ht="15" hidden="false" customHeight="false" outlineLevel="0" collapsed="false">
      <c r="I5955" s="0" t="n">
        <v>2033</v>
      </c>
      <c r="J5955" s="0" t="n">
        <v>10.48</v>
      </c>
      <c r="K5955" s="0" t="n">
        <v>220.04</v>
      </c>
    </row>
    <row r="5956" customFormat="false" ht="15" hidden="false" customHeight="false" outlineLevel="0" collapsed="false">
      <c r="I5956" s="0" t="n">
        <v>2033</v>
      </c>
      <c r="J5956" s="0" t="n">
        <v>18.34</v>
      </c>
      <c r="K5956" s="0" t="n">
        <v>385.07</v>
      </c>
    </row>
    <row r="5957" customFormat="false" ht="15" hidden="false" customHeight="false" outlineLevel="0" collapsed="false">
      <c r="I5957" s="0" t="n">
        <v>2033</v>
      </c>
      <c r="J5957" s="0" t="n">
        <v>5.24</v>
      </c>
      <c r="K5957" s="0" t="n">
        <v>110.02</v>
      </c>
    </row>
    <row r="5958" customFormat="false" ht="15" hidden="false" customHeight="false" outlineLevel="0" collapsed="false">
      <c r="I5958" s="0" t="n">
        <v>2033</v>
      </c>
      <c r="J5958" s="0" t="n">
        <v>18.34</v>
      </c>
      <c r="K5958" s="0" t="n">
        <v>385.07</v>
      </c>
    </row>
    <row r="5959" customFormat="false" ht="15" hidden="false" customHeight="false" outlineLevel="0" collapsed="false">
      <c r="I5959" s="0" t="n">
        <v>2033</v>
      </c>
      <c r="J5959" s="0" t="n">
        <v>108.48</v>
      </c>
      <c r="K5959" s="0" t="n">
        <v>2276.16</v>
      </c>
    </row>
    <row r="5960" customFormat="false" ht="15" hidden="false" customHeight="false" outlineLevel="0" collapsed="false">
      <c r="I5960" s="0" t="n">
        <v>2033</v>
      </c>
      <c r="J5960" s="0" t="n">
        <v>36.16</v>
      </c>
      <c r="K5960" s="0" t="n">
        <v>758.72</v>
      </c>
    </row>
    <row r="5961" customFormat="false" ht="15" hidden="false" customHeight="false" outlineLevel="0" collapsed="false">
      <c r="I5961" s="0" t="n">
        <v>2033</v>
      </c>
      <c r="J5961" s="0" t="n">
        <v>15.82</v>
      </c>
      <c r="K5961" s="0" t="n">
        <v>331.94</v>
      </c>
    </row>
    <row r="5962" customFormat="false" ht="15" hidden="false" customHeight="false" outlineLevel="0" collapsed="false">
      <c r="I5962" s="0" t="n">
        <v>2033</v>
      </c>
      <c r="J5962" s="0" t="n">
        <v>9.04</v>
      </c>
      <c r="K5962" s="0" t="n">
        <v>189.68</v>
      </c>
    </row>
    <row r="5963" customFormat="false" ht="15" hidden="false" customHeight="false" outlineLevel="0" collapsed="false">
      <c r="I5963" s="0" t="n">
        <v>2033</v>
      </c>
      <c r="J5963" s="0" t="n">
        <v>9.04</v>
      </c>
      <c r="K5963" s="0" t="n">
        <v>189.68</v>
      </c>
    </row>
    <row r="5964" customFormat="false" ht="15" hidden="false" customHeight="false" outlineLevel="0" collapsed="false">
      <c r="I5964" s="0" t="n">
        <v>2033</v>
      </c>
      <c r="J5964" s="0" t="n">
        <v>4.52</v>
      </c>
      <c r="K5964" s="0" t="n">
        <v>94.84</v>
      </c>
    </row>
    <row r="5965" customFormat="false" ht="15" hidden="false" customHeight="false" outlineLevel="0" collapsed="false">
      <c r="I5965" s="0" t="n">
        <v>2033</v>
      </c>
      <c r="J5965" s="0" t="n">
        <v>4.52</v>
      </c>
      <c r="K5965" s="0" t="n">
        <v>94.84</v>
      </c>
    </row>
    <row r="5966" customFormat="false" ht="15" hidden="false" customHeight="false" outlineLevel="0" collapsed="false">
      <c r="I5966" s="0" t="n">
        <v>2033</v>
      </c>
      <c r="J5966" s="0" t="n">
        <v>9.04</v>
      </c>
      <c r="K5966" s="0" t="n">
        <v>189.68</v>
      </c>
    </row>
    <row r="5967" customFormat="false" ht="15" hidden="false" customHeight="false" outlineLevel="0" collapsed="false">
      <c r="I5967" s="0" t="n">
        <v>2033</v>
      </c>
      <c r="J5967" s="0" t="n">
        <v>15.82</v>
      </c>
      <c r="K5967" s="0" t="n">
        <v>331.94</v>
      </c>
    </row>
    <row r="5968" customFormat="false" ht="15" hidden="false" customHeight="false" outlineLevel="0" collapsed="false">
      <c r="I5968" s="0" t="n">
        <v>2033</v>
      </c>
      <c r="J5968" s="0" t="n">
        <v>6.78</v>
      </c>
      <c r="K5968" s="0" t="n">
        <v>142.26</v>
      </c>
    </row>
    <row r="5969" customFormat="false" ht="15" hidden="false" customHeight="false" outlineLevel="0" collapsed="false">
      <c r="I5969" s="0" t="n">
        <v>2033</v>
      </c>
      <c r="J5969" s="0" t="n">
        <v>6.78</v>
      </c>
      <c r="K5969" s="0" t="n">
        <v>142.26</v>
      </c>
    </row>
    <row r="5970" customFormat="false" ht="15" hidden="false" customHeight="false" outlineLevel="0" collapsed="false">
      <c r="I5970" s="0" t="n">
        <v>2033</v>
      </c>
      <c r="J5970" s="0" t="n">
        <v>33.28</v>
      </c>
      <c r="K5970" s="0" t="n">
        <v>698.88</v>
      </c>
    </row>
    <row r="5971" customFormat="false" ht="15" hidden="false" customHeight="false" outlineLevel="0" collapsed="false">
      <c r="I5971" s="0" t="n">
        <v>2033</v>
      </c>
      <c r="J5971" s="0" t="n">
        <v>5.12</v>
      </c>
      <c r="K5971" s="0" t="n">
        <v>107.52</v>
      </c>
    </row>
    <row r="5972" customFormat="false" ht="15" hidden="false" customHeight="false" outlineLevel="0" collapsed="false">
      <c r="I5972" s="0" t="n">
        <v>2033</v>
      </c>
      <c r="J5972" s="0" t="n">
        <v>3.84</v>
      </c>
      <c r="K5972" s="0" t="n">
        <v>80.64</v>
      </c>
    </row>
    <row r="5973" customFormat="false" ht="15" hidden="false" customHeight="false" outlineLevel="0" collapsed="false">
      <c r="I5973" s="0" t="n">
        <v>2033</v>
      </c>
      <c r="J5973" s="0" t="n">
        <v>6.4</v>
      </c>
      <c r="K5973" s="0" t="n">
        <v>134.4</v>
      </c>
    </row>
    <row r="5974" customFormat="false" ht="15" hidden="false" customHeight="false" outlineLevel="0" collapsed="false">
      <c r="I5974" s="0" t="n">
        <v>2033</v>
      </c>
      <c r="J5974" s="0" t="n">
        <v>1.28</v>
      </c>
      <c r="K5974" s="0" t="n">
        <v>26.88</v>
      </c>
    </row>
    <row r="5975" customFormat="false" ht="15" hidden="false" customHeight="false" outlineLevel="0" collapsed="false">
      <c r="I5975" s="0" t="n">
        <v>2033</v>
      </c>
      <c r="J5975" s="0" t="n">
        <v>1.28</v>
      </c>
      <c r="K5975" s="0" t="n">
        <v>26.88</v>
      </c>
    </row>
    <row r="5976" customFormat="false" ht="15" hidden="false" customHeight="false" outlineLevel="0" collapsed="false">
      <c r="I5976" s="0" t="n">
        <v>2033</v>
      </c>
      <c r="J5976" s="0" t="n">
        <v>0</v>
      </c>
      <c r="K5976" s="0" t="n">
        <v>0</v>
      </c>
    </row>
    <row r="5977" customFormat="false" ht="15" hidden="false" customHeight="false" outlineLevel="0" collapsed="false">
      <c r="I5977" s="0" t="n">
        <v>2033</v>
      </c>
      <c r="J5977" s="0" t="n">
        <v>2.56</v>
      </c>
      <c r="K5977" s="0" t="n">
        <v>53.76</v>
      </c>
    </row>
    <row r="5978" customFormat="false" ht="15" hidden="false" customHeight="false" outlineLevel="0" collapsed="false">
      <c r="I5978" s="0" t="n">
        <v>2033</v>
      </c>
      <c r="J5978" s="0" t="n">
        <v>4.48</v>
      </c>
      <c r="K5978" s="0" t="n">
        <v>94.08</v>
      </c>
    </row>
    <row r="5979" customFormat="false" ht="15" hidden="false" customHeight="false" outlineLevel="0" collapsed="false">
      <c r="I5979" s="0" t="n">
        <v>2033</v>
      </c>
      <c r="J5979" s="0" t="n">
        <v>1.28</v>
      </c>
      <c r="K5979" s="0" t="n">
        <v>26.88</v>
      </c>
    </row>
    <row r="5980" customFormat="false" ht="15" hidden="false" customHeight="false" outlineLevel="0" collapsed="false">
      <c r="I5980" s="0" t="n">
        <v>2033</v>
      </c>
      <c r="J5980" s="0" t="n">
        <v>4.48</v>
      </c>
      <c r="K5980" s="0" t="n">
        <v>94.08</v>
      </c>
    </row>
    <row r="5981" customFormat="false" ht="15" hidden="false" customHeight="false" outlineLevel="0" collapsed="false">
      <c r="I5981" s="0" t="n">
        <v>2033</v>
      </c>
      <c r="J5981" s="0" t="n">
        <v>264</v>
      </c>
      <c r="K5981" s="0" t="n">
        <v>5545.44</v>
      </c>
    </row>
    <row r="5982" customFormat="false" ht="15" hidden="false" customHeight="false" outlineLevel="0" collapsed="false">
      <c r="I5982" s="0" t="n">
        <v>2033</v>
      </c>
      <c r="J5982" s="0" t="n">
        <v>88</v>
      </c>
      <c r="K5982" s="0" t="n">
        <v>1848.48</v>
      </c>
    </row>
    <row r="5983" customFormat="false" ht="15" hidden="false" customHeight="false" outlineLevel="0" collapsed="false">
      <c r="I5983" s="0" t="n">
        <v>2033</v>
      </c>
      <c r="J5983" s="0" t="n">
        <v>38.5</v>
      </c>
      <c r="K5983" s="0" t="n">
        <v>808.71</v>
      </c>
    </row>
    <row r="5984" customFormat="false" ht="15" hidden="false" customHeight="false" outlineLevel="0" collapsed="false">
      <c r="I5984" s="0" t="n">
        <v>2033</v>
      </c>
      <c r="J5984" s="0" t="n">
        <v>22</v>
      </c>
      <c r="K5984" s="0" t="n">
        <v>462.12</v>
      </c>
    </row>
    <row r="5985" customFormat="false" ht="15" hidden="false" customHeight="false" outlineLevel="0" collapsed="false">
      <c r="I5985" s="0" t="n">
        <v>2033</v>
      </c>
      <c r="J5985" s="0" t="n">
        <v>22</v>
      </c>
      <c r="K5985" s="0" t="n">
        <v>462.12</v>
      </c>
    </row>
    <row r="5986" customFormat="false" ht="15" hidden="false" customHeight="false" outlineLevel="0" collapsed="false">
      <c r="I5986" s="0" t="n">
        <v>2033</v>
      </c>
      <c r="J5986" s="0" t="n">
        <v>11</v>
      </c>
      <c r="K5986" s="0" t="n">
        <v>231.06</v>
      </c>
    </row>
    <row r="5987" customFormat="false" ht="15" hidden="false" customHeight="false" outlineLevel="0" collapsed="false">
      <c r="I5987" s="0" t="n">
        <v>2033</v>
      </c>
      <c r="J5987" s="0" t="n">
        <v>11</v>
      </c>
      <c r="K5987" s="0" t="n">
        <v>231.06</v>
      </c>
    </row>
    <row r="5988" customFormat="false" ht="15" hidden="false" customHeight="false" outlineLevel="0" collapsed="false">
      <c r="I5988" s="0" t="n">
        <v>2033</v>
      </c>
      <c r="J5988" s="0" t="n">
        <v>22</v>
      </c>
      <c r="K5988" s="0" t="n">
        <v>462.12</v>
      </c>
    </row>
    <row r="5989" customFormat="false" ht="15" hidden="false" customHeight="false" outlineLevel="0" collapsed="false">
      <c r="I5989" s="0" t="n">
        <v>2033</v>
      </c>
      <c r="J5989" s="0" t="n">
        <v>38.5</v>
      </c>
      <c r="K5989" s="0" t="n">
        <v>808.71</v>
      </c>
    </row>
    <row r="5990" customFormat="false" ht="15" hidden="false" customHeight="false" outlineLevel="0" collapsed="false">
      <c r="I5990" s="0" t="n">
        <v>2033</v>
      </c>
      <c r="J5990" s="0" t="n">
        <v>16.5</v>
      </c>
      <c r="K5990" s="0" t="n">
        <v>346.59</v>
      </c>
    </row>
    <row r="5991" customFormat="false" ht="15" hidden="false" customHeight="false" outlineLevel="0" collapsed="false">
      <c r="I5991" s="0" t="n">
        <v>2033</v>
      </c>
      <c r="J5991" s="0" t="n">
        <v>16.5</v>
      </c>
      <c r="K5991" s="0" t="n">
        <v>346.59</v>
      </c>
    </row>
    <row r="5992" customFormat="false" ht="15" hidden="false" customHeight="false" outlineLevel="0" collapsed="false">
      <c r="I5992" s="0" t="n">
        <v>2033</v>
      </c>
      <c r="J5992" s="0" t="n">
        <v>31.2</v>
      </c>
      <c r="K5992" s="0" t="n">
        <v>652.6</v>
      </c>
    </row>
    <row r="5993" customFormat="false" ht="15" hidden="false" customHeight="false" outlineLevel="0" collapsed="false">
      <c r="I5993" s="0" t="n">
        <v>2033</v>
      </c>
      <c r="J5993" s="0" t="n">
        <v>4.8</v>
      </c>
      <c r="K5993" s="0" t="n">
        <v>100.4</v>
      </c>
    </row>
    <row r="5994" customFormat="false" ht="15" hidden="false" customHeight="false" outlineLevel="0" collapsed="false">
      <c r="I5994" s="0" t="n">
        <v>2033</v>
      </c>
      <c r="J5994" s="0" t="n">
        <v>3.6</v>
      </c>
      <c r="K5994" s="0" t="n">
        <v>75.3</v>
      </c>
    </row>
    <row r="5995" customFormat="false" ht="15" hidden="false" customHeight="false" outlineLevel="0" collapsed="false">
      <c r="I5995" s="0" t="n">
        <v>2033</v>
      </c>
      <c r="J5995" s="0" t="n">
        <v>6</v>
      </c>
      <c r="K5995" s="0" t="n">
        <v>125.5</v>
      </c>
    </row>
    <row r="5996" customFormat="false" ht="15" hidden="false" customHeight="false" outlineLevel="0" collapsed="false">
      <c r="I5996" s="0" t="n">
        <v>2033</v>
      </c>
      <c r="J5996" s="0" t="n">
        <v>1.2</v>
      </c>
      <c r="K5996" s="0" t="n">
        <v>25.1</v>
      </c>
    </row>
    <row r="5997" customFormat="false" ht="15" hidden="false" customHeight="false" outlineLevel="0" collapsed="false">
      <c r="I5997" s="0" t="n">
        <v>2033</v>
      </c>
      <c r="J5997" s="0" t="n">
        <v>1.2</v>
      </c>
      <c r="K5997" s="0" t="n">
        <v>25.1</v>
      </c>
    </row>
    <row r="5998" customFormat="false" ht="15" hidden="false" customHeight="false" outlineLevel="0" collapsed="false">
      <c r="I5998" s="0" t="n">
        <v>2033</v>
      </c>
      <c r="J5998" s="0" t="n">
        <v>0</v>
      </c>
      <c r="K5998" s="0" t="n">
        <v>0</v>
      </c>
    </row>
    <row r="5999" customFormat="false" ht="15" hidden="false" customHeight="false" outlineLevel="0" collapsed="false">
      <c r="I5999" s="0" t="n">
        <v>2033</v>
      </c>
      <c r="J5999" s="0" t="n">
        <v>2.4</v>
      </c>
      <c r="K5999" s="0" t="n">
        <v>50.2</v>
      </c>
    </row>
    <row r="6000" customFormat="false" ht="15" hidden="false" customHeight="false" outlineLevel="0" collapsed="false">
      <c r="I6000" s="0" t="n">
        <v>2033</v>
      </c>
      <c r="J6000" s="0" t="n">
        <v>4.2</v>
      </c>
      <c r="K6000" s="0" t="n">
        <v>87.85</v>
      </c>
    </row>
    <row r="6001" customFormat="false" ht="15" hidden="false" customHeight="false" outlineLevel="0" collapsed="false">
      <c r="I6001" s="0" t="n">
        <v>2033</v>
      </c>
      <c r="J6001" s="0" t="n">
        <v>1.2</v>
      </c>
      <c r="K6001" s="0" t="n">
        <v>25.1</v>
      </c>
    </row>
    <row r="6002" customFormat="false" ht="15" hidden="false" customHeight="false" outlineLevel="0" collapsed="false">
      <c r="I6002" s="0" t="n">
        <v>2033</v>
      </c>
      <c r="J6002" s="0" t="n">
        <v>4.2</v>
      </c>
      <c r="K6002" s="0" t="n">
        <v>87.85</v>
      </c>
    </row>
    <row r="6003" customFormat="false" ht="15" hidden="false" customHeight="false" outlineLevel="0" collapsed="false">
      <c r="I6003" s="0" t="n">
        <v>2033</v>
      </c>
      <c r="J6003" s="0" t="n">
        <v>23.04</v>
      </c>
      <c r="K6003" s="0" t="n">
        <v>485.28</v>
      </c>
    </row>
    <row r="6004" customFormat="false" ht="15" hidden="false" customHeight="false" outlineLevel="0" collapsed="false">
      <c r="I6004" s="0" t="n">
        <v>2033</v>
      </c>
      <c r="J6004" s="0" t="n">
        <v>7.68</v>
      </c>
      <c r="K6004" s="0" t="n">
        <v>161.76</v>
      </c>
    </row>
    <row r="6005" customFormat="false" ht="15" hidden="false" customHeight="false" outlineLevel="0" collapsed="false">
      <c r="I6005" s="0" t="n">
        <v>2033</v>
      </c>
      <c r="J6005" s="0" t="n">
        <v>3.36</v>
      </c>
      <c r="K6005" s="0" t="n">
        <v>70.77</v>
      </c>
    </row>
    <row r="6006" customFormat="false" ht="15" hidden="false" customHeight="false" outlineLevel="0" collapsed="false">
      <c r="I6006" s="0" t="n">
        <v>2033</v>
      </c>
      <c r="J6006" s="0" t="n">
        <v>1.92</v>
      </c>
      <c r="K6006" s="0" t="n">
        <v>40.44</v>
      </c>
    </row>
    <row r="6007" customFormat="false" ht="15" hidden="false" customHeight="false" outlineLevel="0" collapsed="false">
      <c r="I6007" s="0" t="n">
        <v>2033</v>
      </c>
      <c r="J6007" s="0" t="n">
        <v>1.92</v>
      </c>
      <c r="K6007" s="0" t="n">
        <v>40.44</v>
      </c>
    </row>
    <row r="6008" customFormat="false" ht="15" hidden="false" customHeight="false" outlineLevel="0" collapsed="false">
      <c r="I6008" s="0" t="n">
        <v>2033</v>
      </c>
      <c r="J6008" s="0" t="n">
        <v>0.96</v>
      </c>
      <c r="K6008" s="0" t="n">
        <v>20.22</v>
      </c>
    </row>
    <row r="6009" customFormat="false" ht="15" hidden="false" customHeight="false" outlineLevel="0" collapsed="false">
      <c r="I6009" s="0" t="n">
        <v>2033</v>
      </c>
      <c r="J6009" s="0" t="n">
        <v>0.96</v>
      </c>
      <c r="K6009" s="0" t="n">
        <v>20.22</v>
      </c>
    </row>
    <row r="6010" customFormat="false" ht="15" hidden="false" customHeight="false" outlineLevel="0" collapsed="false">
      <c r="I6010" s="0" t="n">
        <v>2033</v>
      </c>
      <c r="J6010" s="0" t="n">
        <v>1.92</v>
      </c>
      <c r="K6010" s="0" t="n">
        <v>40.44</v>
      </c>
    </row>
    <row r="6011" customFormat="false" ht="15" hidden="false" customHeight="false" outlineLevel="0" collapsed="false">
      <c r="I6011" s="0" t="n">
        <v>2033</v>
      </c>
      <c r="J6011" s="0" t="n">
        <v>3.36</v>
      </c>
      <c r="K6011" s="0" t="n">
        <v>70.77</v>
      </c>
    </row>
    <row r="6012" customFormat="false" ht="15" hidden="false" customHeight="false" outlineLevel="0" collapsed="false">
      <c r="I6012" s="0" t="n">
        <v>2033</v>
      </c>
      <c r="J6012" s="0" t="n">
        <v>1.44</v>
      </c>
      <c r="K6012" s="0" t="n">
        <v>30.33</v>
      </c>
    </row>
    <row r="6013" customFormat="false" ht="15" hidden="false" customHeight="false" outlineLevel="0" collapsed="false">
      <c r="I6013" s="0" t="n">
        <v>2033</v>
      </c>
      <c r="J6013" s="0" t="n">
        <v>1.44</v>
      </c>
      <c r="K6013" s="0" t="n">
        <v>30.33</v>
      </c>
    </row>
    <row r="6014" customFormat="false" ht="15" hidden="false" customHeight="false" outlineLevel="0" collapsed="false">
      <c r="I6014" s="0" t="n">
        <v>2033</v>
      </c>
      <c r="J6014" s="0" t="n">
        <v>9.36</v>
      </c>
      <c r="K6014" s="0" t="n">
        <v>198.64</v>
      </c>
    </row>
    <row r="6015" customFormat="false" ht="15" hidden="false" customHeight="false" outlineLevel="0" collapsed="false">
      <c r="I6015" s="0" t="n">
        <v>2033</v>
      </c>
      <c r="J6015" s="0" t="n">
        <v>1.44</v>
      </c>
      <c r="K6015" s="0" t="n">
        <v>30.56</v>
      </c>
    </row>
    <row r="6016" customFormat="false" ht="15" hidden="false" customHeight="false" outlineLevel="0" collapsed="false">
      <c r="I6016" s="0" t="n">
        <v>2033</v>
      </c>
      <c r="J6016" s="0" t="n">
        <v>1.08</v>
      </c>
      <c r="K6016" s="0" t="n">
        <v>22.92</v>
      </c>
    </row>
    <row r="6017" customFormat="false" ht="15" hidden="false" customHeight="false" outlineLevel="0" collapsed="false">
      <c r="I6017" s="0" t="n">
        <v>2033</v>
      </c>
      <c r="J6017" s="0" t="n">
        <v>1.8</v>
      </c>
      <c r="K6017" s="0" t="n">
        <v>38.2</v>
      </c>
    </row>
    <row r="6018" customFormat="false" ht="15" hidden="false" customHeight="false" outlineLevel="0" collapsed="false">
      <c r="I6018" s="0" t="n">
        <v>2033</v>
      </c>
      <c r="J6018" s="0" t="n">
        <v>0.36</v>
      </c>
      <c r="K6018" s="0" t="n">
        <v>7.64</v>
      </c>
    </row>
    <row r="6019" customFormat="false" ht="15" hidden="false" customHeight="false" outlineLevel="0" collapsed="false">
      <c r="I6019" s="0" t="n">
        <v>2033</v>
      </c>
      <c r="J6019" s="0" t="n">
        <v>0.36</v>
      </c>
      <c r="K6019" s="0" t="n">
        <v>7.64</v>
      </c>
    </row>
    <row r="6020" customFormat="false" ht="15" hidden="false" customHeight="false" outlineLevel="0" collapsed="false">
      <c r="I6020" s="0" t="n">
        <v>2033</v>
      </c>
      <c r="J6020" s="0" t="n">
        <v>0</v>
      </c>
      <c r="K6020" s="0" t="n">
        <v>0</v>
      </c>
    </row>
    <row r="6021" customFormat="false" ht="15" hidden="false" customHeight="false" outlineLevel="0" collapsed="false">
      <c r="I6021" s="0" t="n">
        <v>2033</v>
      </c>
      <c r="J6021" s="0" t="n">
        <v>0.72</v>
      </c>
      <c r="K6021" s="0" t="n">
        <v>15.28</v>
      </c>
    </row>
    <row r="6022" customFormat="false" ht="15" hidden="false" customHeight="false" outlineLevel="0" collapsed="false">
      <c r="I6022" s="0" t="n">
        <v>2033</v>
      </c>
      <c r="J6022" s="0" t="n">
        <v>1.26</v>
      </c>
      <c r="K6022" s="0" t="n">
        <v>26.74</v>
      </c>
    </row>
    <row r="6023" customFormat="false" ht="15" hidden="false" customHeight="false" outlineLevel="0" collapsed="false">
      <c r="I6023" s="0" t="n">
        <v>2033</v>
      </c>
      <c r="J6023" s="0" t="n">
        <v>0.36</v>
      </c>
      <c r="K6023" s="0" t="n">
        <v>7.64</v>
      </c>
    </row>
    <row r="6024" customFormat="false" ht="15" hidden="false" customHeight="false" outlineLevel="0" collapsed="false">
      <c r="I6024" s="0" t="n">
        <v>2033</v>
      </c>
      <c r="J6024" s="0" t="n">
        <v>1.26</v>
      </c>
      <c r="K6024" s="0" t="n">
        <v>26.74</v>
      </c>
    </row>
    <row r="6025" customFormat="false" ht="15" hidden="false" customHeight="false" outlineLevel="0" collapsed="false">
      <c r="I6025" s="0" t="n">
        <v>2033</v>
      </c>
      <c r="J6025" s="0" t="n">
        <v>59.52</v>
      </c>
      <c r="K6025" s="0" t="n">
        <v>1254.24</v>
      </c>
    </row>
    <row r="6026" customFormat="false" ht="15" hidden="false" customHeight="false" outlineLevel="0" collapsed="false">
      <c r="I6026" s="0" t="n">
        <v>2033</v>
      </c>
      <c r="J6026" s="0" t="n">
        <v>19.84</v>
      </c>
      <c r="K6026" s="0" t="n">
        <v>418.08</v>
      </c>
    </row>
    <row r="6027" customFormat="false" ht="15" hidden="false" customHeight="false" outlineLevel="0" collapsed="false">
      <c r="I6027" s="0" t="n">
        <v>2033</v>
      </c>
      <c r="J6027" s="0" t="n">
        <v>8.68</v>
      </c>
      <c r="K6027" s="0" t="n">
        <v>182.91</v>
      </c>
    </row>
    <row r="6028" customFormat="false" ht="15" hidden="false" customHeight="false" outlineLevel="0" collapsed="false">
      <c r="I6028" s="0" t="n">
        <v>2033</v>
      </c>
      <c r="J6028" s="0" t="n">
        <v>4.96</v>
      </c>
      <c r="K6028" s="0" t="n">
        <v>104.52</v>
      </c>
    </row>
    <row r="6029" customFormat="false" ht="15" hidden="false" customHeight="false" outlineLevel="0" collapsed="false">
      <c r="I6029" s="0" t="n">
        <v>2033</v>
      </c>
      <c r="J6029" s="0" t="n">
        <v>4.96</v>
      </c>
      <c r="K6029" s="0" t="n">
        <v>104.52</v>
      </c>
    </row>
    <row r="6030" customFormat="false" ht="15" hidden="false" customHeight="false" outlineLevel="0" collapsed="false">
      <c r="I6030" s="0" t="n">
        <v>2033</v>
      </c>
      <c r="J6030" s="0" t="n">
        <v>2.48</v>
      </c>
      <c r="K6030" s="0" t="n">
        <v>52.26</v>
      </c>
    </row>
    <row r="6031" customFormat="false" ht="15" hidden="false" customHeight="false" outlineLevel="0" collapsed="false">
      <c r="I6031" s="0" t="n">
        <v>2033</v>
      </c>
      <c r="J6031" s="0" t="n">
        <v>2.48</v>
      </c>
      <c r="K6031" s="0" t="n">
        <v>52.26</v>
      </c>
    </row>
    <row r="6032" customFormat="false" ht="15" hidden="false" customHeight="false" outlineLevel="0" collapsed="false">
      <c r="I6032" s="0" t="n">
        <v>2033</v>
      </c>
      <c r="J6032" s="0" t="n">
        <v>4.96</v>
      </c>
      <c r="K6032" s="0" t="n">
        <v>104.52</v>
      </c>
    </row>
    <row r="6033" customFormat="false" ht="15" hidden="false" customHeight="false" outlineLevel="0" collapsed="false">
      <c r="I6033" s="0" t="n">
        <v>2033</v>
      </c>
      <c r="J6033" s="0" t="n">
        <v>8.68</v>
      </c>
      <c r="K6033" s="0" t="n">
        <v>182.91</v>
      </c>
    </row>
    <row r="6034" customFormat="false" ht="15" hidden="false" customHeight="false" outlineLevel="0" collapsed="false">
      <c r="I6034" s="0" t="n">
        <v>2033</v>
      </c>
      <c r="J6034" s="0" t="n">
        <v>3.72</v>
      </c>
      <c r="K6034" s="0" t="n">
        <v>78.39</v>
      </c>
    </row>
    <row r="6035" customFormat="false" ht="15" hidden="false" customHeight="false" outlineLevel="0" collapsed="false">
      <c r="I6035" s="0" t="n">
        <v>2033</v>
      </c>
      <c r="J6035" s="0" t="n">
        <v>3.72</v>
      </c>
      <c r="K6035" s="0" t="n">
        <v>78.39</v>
      </c>
    </row>
    <row r="6036" customFormat="false" ht="15" hidden="false" customHeight="false" outlineLevel="0" collapsed="false">
      <c r="I6036" s="0" t="n">
        <v>2033</v>
      </c>
      <c r="J6036" s="0" t="n">
        <v>15.6</v>
      </c>
      <c r="K6036" s="0" t="n">
        <v>326.04</v>
      </c>
    </row>
    <row r="6037" customFormat="false" ht="15" hidden="false" customHeight="false" outlineLevel="0" collapsed="false">
      <c r="I6037" s="0" t="n">
        <v>2033</v>
      </c>
      <c r="J6037" s="0" t="n">
        <v>2.4</v>
      </c>
      <c r="K6037" s="0" t="n">
        <v>50.16</v>
      </c>
    </row>
    <row r="6038" customFormat="false" ht="15" hidden="false" customHeight="false" outlineLevel="0" collapsed="false">
      <c r="I6038" s="0" t="n">
        <v>2033</v>
      </c>
      <c r="J6038" s="0" t="n">
        <v>1.8</v>
      </c>
      <c r="K6038" s="0" t="n">
        <v>37.62</v>
      </c>
    </row>
    <row r="6039" customFormat="false" ht="15" hidden="false" customHeight="false" outlineLevel="0" collapsed="false">
      <c r="I6039" s="0" t="n">
        <v>2033</v>
      </c>
      <c r="J6039" s="0" t="n">
        <v>3</v>
      </c>
      <c r="K6039" s="0" t="n">
        <v>62.7</v>
      </c>
    </row>
    <row r="6040" customFormat="false" ht="15" hidden="false" customHeight="false" outlineLevel="0" collapsed="false">
      <c r="I6040" s="0" t="n">
        <v>2033</v>
      </c>
      <c r="J6040" s="0" t="n">
        <v>0.6</v>
      </c>
      <c r="K6040" s="0" t="n">
        <v>12.54</v>
      </c>
    </row>
    <row r="6041" customFormat="false" ht="15" hidden="false" customHeight="false" outlineLevel="0" collapsed="false">
      <c r="I6041" s="0" t="n">
        <v>2033</v>
      </c>
      <c r="J6041" s="0" t="n">
        <v>0.6</v>
      </c>
      <c r="K6041" s="0" t="n">
        <v>12.54</v>
      </c>
    </row>
    <row r="6042" customFormat="false" ht="15" hidden="false" customHeight="false" outlineLevel="0" collapsed="false">
      <c r="I6042" s="0" t="n">
        <v>2033</v>
      </c>
      <c r="J6042" s="0" t="n">
        <v>0</v>
      </c>
      <c r="K6042" s="0" t="n">
        <v>0</v>
      </c>
    </row>
    <row r="6043" customFormat="false" ht="15" hidden="false" customHeight="false" outlineLevel="0" collapsed="false">
      <c r="I6043" s="0" t="n">
        <v>2033</v>
      </c>
      <c r="J6043" s="0" t="n">
        <v>1.2</v>
      </c>
      <c r="K6043" s="0" t="n">
        <v>25.08</v>
      </c>
    </row>
    <row r="6044" customFormat="false" ht="15" hidden="false" customHeight="false" outlineLevel="0" collapsed="false">
      <c r="I6044" s="0" t="n">
        <v>2033</v>
      </c>
      <c r="J6044" s="0" t="n">
        <v>2.1</v>
      </c>
      <c r="K6044" s="0" t="n">
        <v>43.89</v>
      </c>
    </row>
    <row r="6045" customFormat="false" ht="15" hidden="false" customHeight="false" outlineLevel="0" collapsed="false">
      <c r="I6045" s="0" t="n">
        <v>2033</v>
      </c>
      <c r="J6045" s="0" t="n">
        <v>0.6</v>
      </c>
      <c r="K6045" s="0" t="n">
        <v>12.54</v>
      </c>
    </row>
    <row r="6046" customFormat="false" ht="15" hidden="false" customHeight="false" outlineLevel="0" collapsed="false">
      <c r="I6046" s="0" t="n">
        <v>2033</v>
      </c>
      <c r="J6046" s="0" t="n">
        <v>2.1</v>
      </c>
      <c r="K6046" s="0" t="n">
        <v>43.89</v>
      </c>
    </row>
    <row r="6047" customFormat="false" ht="15" hidden="false" customHeight="false" outlineLevel="0" collapsed="false">
      <c r="I6047" s="0" t="n">
        <v>2033</v>
      </c>
      <c r="J6047" s="0" t="n">
        <v>85.92</v>
      </c>
      <c r="K6047" s="0" t="n">
        <v>1804.8</v>
      </c>
    </row>
    <row r="6048" customFormat="false" ht="15" hidden="false" customHeight="false" outlineLevel="0" collapsed="false">
      <c r="I6048" s="0" t="n">
        <v>2033</v>
      </c>
      <c r="J6048" s="0" t="n">
        <v>28.64</v>
      </c>
      <c r="K6048" s="0" t="n">
        <v>601.6</v>
      </c>
    </row>
    <row r="6049" customFormat="false" ht="15" hidden="false" customHeight="false" outlineLevel="0" collapsed="false">
      <c r="I6049" s="0" t="n">
        <v>2033</v>
      </c>
      <c r="J6049" s="0" t="n">
        <v>12.53</v>
      </c>
      <c r="K6049" s="0" t="n">
        <v>263.2</v>
      </c>
    </row>
    <row r="6050" customFormat="false" ht="15" hidden="false" customHeight="false" outlineLevel="0" collapsed="false">
      <c r="I6050" s="0" t="n">
        <v>2033</v>
      </c>
      <c r="J6050" s="0" t="n">
        <v>7.16</v>
      </c>
      <c r="K6050" s="0" t="n">
        <v>150.4</v>
      </c>
    </row>
    <row r="6051" customFormat="false" ht="15" hidden="false" customHeight="false" outlineLevel="0" collapsed="false">
      <c r="I6051" s="0" t="n">
        <v>2033</v>
      </c>
      <c r="J6051" s="0" t="n">
        <v>7.16</v>
      </c>
      <c r="K6051" s="0" t="n">
        <v>150.4</v>
      </c>
    </row>
    <row r="6052" customFormat="false" ht="15" hidden="false" customHeight="false" outlineLevel="0" collapsed="false">
      <c r="I6052" s="0" t="n">
        <v>2033</v>
      </c>
      <c r="J6052" s="0" t="n">
        <v>3.58</v>
      </c>
      <c r="K6052" s="0" t="n">
        <v>75.2</v>
      </c>
    </row>
    <row r="6053" customFormat="false" ht="15" hidden="false" customHeight="false" outlineLevel="0" collapsed="false">
      <c r="I6053" s="0" t="n">
        <v>2033</v>
      </c>
      <c r="J6053" s="0" t="n">
        <v>3.58</v>
      </c>
      <c r="K6053" s="0" t="n">
        <v>75.2</v>
      </c>
    </row>
    <row r="6054" customFormat="false" ht="15" hidden="false" customHeight="false" outlineLevel="0" collapsed="false">
      <c r="I6054" s="0" t="n">
        <v>2033</v>
      </c>
      <c r="J6054" s="0" t="n">
        <v>7.16</v>
      </c>
      <c r="K6054" s="0" t="n">
        <v>150.4</v>
      </c>
    </row>
    <row r="6055" customFormat="false" ht="15" hidden="false" customHeight="false" outlineLevel="0" collapsed="false">
      <c r="I6055" s="0" t="n">
        <v>2033</v>
      </c>
      <c r="J6055" s="0" t="n">
        <v>12.53</v>
      </c>
      <c r="K6055" s="0" t="n">
        <v>263.2</v>
      </c>
    </row>
    <row r="6056" customFormat="false" ht="15" hidden="false" customHeight="false" outlineLevel="0" collapsed="false">
      <c r="I6056" s="0" t="n">
        <v>2033</v>
      </c>
      <c r="J6056" s="0" t="n">
        <v>5.37</v>
      </c>
      <c r="K6056" s="0" t="n">
        <v>112.8</v>
      </c>
    </row>
    <row r="6057" customFormat="false" ht="15" hidden="false" customHeight="false" outlineLevel="0" collapsed="false">
      <c r="I6057" s="0" t="n">
        <v>2033</v>
      </c>
      <c r="J6057" s="0" t="n">
        <v>5.37</v>
      </c>
      <c r="K6057" s="0" t="n">
        <v>112.8</v>
      </c>
    </row>
    <row r="6058" customFormat="false" ht="15" hidden="false" customHeight="false" outlineLevel="0" collapsed="false">
      <c r="I6058" s="0" t="n">
        <v>2033</v>
      </c>
      <c r="J6058" s="0" t="n">
        <v>8.84</v>
      </c>
      <c r="K6058" s="0" t="n">
        <v>186.16</v>
      </c>
    </row>
    <row r="6059" customFormat="false" ht="15" hidden="false" customHeight="false" outlineLevel="0" collapsed="false">
      <c r="I6059" s="0" t="n">
        <v>2033</v>
      </c>
      <c r="J6059" s="0" t="n">
        <v>1.36</v>
      </c>
      <c r="K6059" s="0" t="n">
        <v>28.64</v>
      </c>
    </row>
    <row r="6060" customFormat="false" ht="15" hidden="false" customHeight="false" outlineLevel="0" collapsed="false">
      <c r="I6060" s="0" t="n">
        <v>2033</v>
      </c>
      <c r="J6060" s="0" t="n">
        <v>1.02</v>
      </c>
      <c r="K6060" s="0" t="n">
        <v>21.48</v>
      </c>
    </row>
    <row r="6061" customFormat="false" ht="15" hidden="false" customHeight="false" outlineLevel="0" collapsed="false">
      <c r="I6061" s="0" t="n">
        <v>2033</v>
      </c>
      <c r="J6061" s="0" t="n">
        <v>1.7</v>
      </c>
      <c r="K6061" s="0" t="n">
        <v>35.8</v>
      </c>
    </row>
    <row r="6062" customFormat="false" ht="15" hidden="false" customHeight="false" outlineLevel="0" collapsed="false">
      <c r="I6062" s="0" t="n">
        <v>2033</v>
      </c>
      <c r="J6062" s="0" t="n">
        <v>0.34</v>
      </c>
      <c r="K6062" s="0" t="n">
        <v>7.16</v>
      </c>
    </row>
    <row r="6063" customFormat="false" ht="15" hidden="false" customHeight="false" outlineLevel="0" collapsed="false">
      <c r="I6063" s="0" t="n">
        <v>2033</v>
      </c>
      <c r="J6063" s="0" t="n">
        <v>0.34</v>
      </c>
      <c r="K6063" s="0" t="n">
        <v>7.16</v>
      </c>
    </row>
    <row r="6064" customFormat="false" ht="15" hidden="false" customHeight="false" outlineLevel="0" collapsed="false">
      <c r="I6064" s="0" t="n">
        <v>2033</v>
      </c>
      <c r="J6064" s="0" t="n">
        <v>0</v>
      </c>
      <c r="K6064" s="0" t="n">
        <v>0</v>
      </c>
    </row>
    <row r="6065" customFormat="false" ht="15" hidden="false" customHeight="false" outlineLevel="0" collapsed="false">
      <c r="I6065" s="0" t="n">
        <v>2033</v>
      </c>
      <c r="J6065" s="0" t="n">
        <v>0.68</v>
      </c>
      <c r="K6065" s="0" t="n">
        <v>14.32</v>
      </c>
    </row>
    <row r="6066" customFormat="false" ht="15" hidden="false" customHeight="false" outlineLevel="0" collapsed="false">
      <c r="I6066" s="0" t="n">
        <v>2033</v>
      </c>
      <c r="J6066" s="0" t="n">
        <v>1.19</v>
      </c>
      <c r="K6066" s="0" t="n">
        <v>25.06</v>
      </c>
    </row>
    <row r="6067" customFormat="false" ht="15" hidden="false" customHeight="false" outlineLevel="0" collapsed="false">
      <c r="I6067" s="0" t="n">
        <v>2033</v>
      </c>
      <c r="J6067" s="0" t="n">
        <v>0.34</v>
      </c>
      <c r="K6067" s="0" t="n">
        <v>7.16</v>
      </c>
    </row>
    <row r="6068" customFormat="false" ht="15" hidden="false" customHeight="false" outlineLevel="0" collapsed="false">
      <c r="I6068" s="0" t="n">
        <v>2033</v>
      </c>
      <c r="J6068" s="0" t="n">
        <v>1.19</v>
      </c>
      <c r="K6068" s="0" t="n">
        <v>25.06</v>
      </c>
    </row>
    <row r="6069" customFormat="false" ht="15" hidden="false" customHeight="false" outlineLevel="0" collapsed="false">
      <c r="I6069" s="0" t="n">
        <v>2033</v>
      </c>
      <c r="J6069" s="0" t="n">
        <v>26.88</v>
      </c>
      <c r="K6069" s="0" t="n">
        <v>564.48</v>
      </c>
    </row>
    <row r="6070" customFormat="false" ht="15" hidden="false" customHeight="false" outlineLevel="0" collapsed="false">
      <c r="I6070" s="0" t="n">
        <v>2033</v>
      </c>
      <c r="J6070" s="0" t="n">
        <v>8.96</v>
      </c>
      <c r="K6070" s="0" t="n">
        <v>188.16</v>
      </c>
    </row>
    <row r="6071" customFormat="false" ht="15" hidden="false" customHeight="false" outlineLevel="0" collapsed="false">
      <c r="I6071" s="0" t="n">
        <v>2033</v>
      </c>
      <c r="J6071" s="0" t="n">
        <v>3.92</v>
      </c>
      <c r="K6071" s="0" t="n">
        <v>82.32</v>
      </c>
    </row>
    <row r="6072" customFormat="false" ht="15" hidden="false" customHeight="false" outlineLevel="0" collapsed="false">
      <c r="I6072" s="0" t="n">
        <v>2033</v>
      </c>
      <c r="J6072" s="0" t="n">
        <v>2.24</v>
      </c>
      <c r="K6072" s="0" t="n">
        <v>47.04</v>
      </c>
    </row>
    <row r="6073" customFormat="false" ht="15" hidden="false" customHeight="false" outlineLevel="0" collapsed="false">
      <c r="I6073" s="0" t="n">
        <v>2033</v>
      </c>
      <c r="J6073" s="0" t="n">
        <v>2.24</v>
      </c>
      <c r="K6073" s="0" t="n">
        <v>47.04</v>
      </c>
    </row>
    <row r="6074" customFormat="false" ht="15" hidden="false" customHeight="false" outlineLevel="0" collapsed="false">
      <c r="I6074" s="0" t="n">
        <v>2033</v>
      </c>
      <c r="J6074" s="0" t="n">
        <v>1.12</v>
      </c>
      <c r="K6074" s="0" t="n">
        <v>23.52</v>
      </c>
    </row>
    <row r="6075" customFormat="false" ht="15" hidden="false" customHeight="false" outlineLevel="0" collapsed="false">
      <c r="I6075" s="0" t="n">
        <v>2033</v>
      </c>
      <c r="J6075" s="0" t="n">
        <v>1.12</v>
      </c>
      <c r="K6075" s="0" t="n">
        <v>23.52</v>
      </c>
    </row>
    <row r="6076" customFormat="false" ht="15" hidden="false" customHeight="false" outlineLevel="0" collapsed="false">
      <c r="I6076" s="0" t="n">
        <v>2033</v>
      </c>
      <c r="J6076" s="0" t="n">
        <v>2.24</v>
      </c>
      <c r="K6076" s="0" t="n">
        <v>47.04</v>
      </c>
    </row>
    <row r="6077" customFormat="false" ht="15" hidden="false" customHeight="false" outlineLevel="0" collapsed="false">
      <c r="I6077" s="0" t="n">
        <v>2033</v>
      </c>
      <c r="J6077" s="0" t="n">
        <v>3.92</v>
      </c>
      <c r="K6077" s="0" t="n">
        <v>82.32</v>
      </c>
    </row>
    <row r="6078" customFormat="false" ht="15" hidden="false" customHeight="false" outlineLevel="0" collapsed="false">
      <c r="I6078" s="0" t="n">
        <v>2033</v>
      </c>
      <c r="J6078" s="0" t="n">
        <v>1.68</v>
      </c>
      <c r="K6078" s="0" t="n">
        <v>35.28</v>
      </c>
    </row>
    <row r="6079" customFormat="false" ht="15" hidden="false" customHeight="false" outlineLevel="0" collapsed="false">
      <c r="I6079" s="0" t="n">
        <v>2033</v>
      </c>
      <c r="J6079" s="0" t="n">
        <v>1.68</v>
      </c>
      <c r="K6079" s="0" t="n">
        <v>35.28</v>
      </c>
    </row>
    <row r="6080" customFormat="false" ht="15" hidden="false" customHeight="false" outlineLevel="0" collapsed="false">
      <c r="I6080" s="0" t="n">
        <v>2033</v>
      </c>
      <c r="J6080" s="0" t="n">
        <v>7.28</v>
      </c>
      <c r="K6080" s="0" t="n">
        <v>151.84</v>
      </c>
    </row>
    <row r="6081" customFormat="false" ht="15" hidden="false" customHeight="false" outlineLevel="0" collapsed="false">
      <c r="I6081" s="0" t="n">
        <v>2033</v>
      </c>
      <c r="J6081" s="0" t="n">
        <v>1.12</v>
      </c>
      <c r="K6081" s="0" t="n">
        <v>23.36</v>
      </c>
    </row>
    <row r="6082" customFormat="false" ht="15" hidden="false" customHeight="false" outlineLevel="0" collapsed="false">
      <c r="I6082" s="0" t="n">
        <v>2033</v>
      </c>
      <c r="J6082" s="0" t="n">
        <v>0.84</v>
      </c>
      <c r="K6082" s="0" t="n">
        <v>17.52</v>
      </c>
    </row>
    <row r="6083" customFormat="false" ht="15" hidden="false" customHeight="false" outlineLevel="0" collapsed="false">
      <c r="I6083" s="0" t="n">
        <v>2033</v>
      </c>
      <c r="J6083" s="0" t="n">
        <v>1.4</v>
      </c>
      <c r="K6083" s="0" t="n">
        <v>29.2</v>
      </c>
    </row>
    <row r="6084" customFormat="false" ht="15" hidden="false" customHeight="false" outlineLevel="0" collapsed="false">
      <c r="I6084" s="0" t="n">
        <v>2033</v>
      </c>
      <c r="J6084" s="0" t="n">
        <v>0.28</v>
      </c>
      <c r="K6084" s="0" t="n">
        <v>5.84</v>
      </c>
    </row>
    <row r="6085" customFormat="false" ht="15" hidden="false" customHeight="false" outlineLevel="0" collapsed="false">
      <c r="I6085" s="0" t="n">
        <v>2033</v>
      </c>
      <c r="J6085" s="0" t="n">
        <v>0.28</v>
      </c>
      <c r="K6085" s="0" t="n">
        <v>5.84</v>
      </c>
    </row>
    <row r="6086" customFormat="false" ht="15" hidden="false" customHeight="false" outlineLevel="0" collapsed="false">
      <c r="I6086" s="0" t="n">
        <v>2033</v>
      </c>
      <c r="J6086" s="0" t="n">
        <v>0</v>
      </c>
      <c r="K6086" s="0" t="n">
        <v>0</v>
      </c>
    </row>
    <row r="6087" customFormat="false" ht="15" hidden="false" customHeight="false" outlineLevel="0" collapsed="false">
      <c r="I6087" s="0" t="n">
        <v>2033</v>
      </c>
      <c r="J6087" s="0" t="n">
        <v>0.56</v>
      </c>
      <c r="K6087" s="0" t="n">
        <v>11.68</v>
      </c>
    </row>
    <row r="6088" customFormat="false" ht="15" hidden="false" customHeight="false" outlineLevel="0" collapsed="false">
      <c r="I6088" s="0" t="n">
        <v>2033</v>
      </c>
      <c r="J6088" s="0" t="n">
        <v>0.98</v>
      </c>
      <c r="K6088" s="0" t="n">
        <v>20.44</v>
      </c>
    </row>
    <row r="6089" customFormat="false" ht="15" hidden="false" customHeight="false" outlineLevel="0" collapsed="false">
      <c r="I6089" s="0" t="n">
        <v>2033</v>
      </c>
      <c r="J6089" s="0" t="n">
        <v>0.28</v>
      </c>
      <c r="K6089" s="0" t="n">
        <v>5.84</v>
      </c>
    </row>
    <row r="6090" customFormat="false" ht="15" hidden="false" customHeight="false" outlineLevel="0" collapsed="false">
      <c r="I6090" s="0" t="n">
        <v>2033</v>
      </c>
      <c r="J6090" s="0" t="n">
        <v>0.98</v>
      </c>
      <c r="K6090" s="0" t="n">
        <v>20.44</v>
      </c>
    </row>
    <row r="6091" customFormat="false" ht="15" hidden="false" customHeight="false" outlineLevel="0" collapsed="false">
      <c r="I6091" s="0" t="n">
        <v>2033</v>
      </c>
      <c r="J6091" s="0" t="n">
        <v>378.72</v>
      </c>
      <c r="K6091" s="0" t="n">
        <v>7956.48</v>
      </c>
    </row>
    <row r="6092" customFormat="false" ht="15" hidden="false" customHeight="false" outlineLevel="0" collapsed="false">
      <c r="I6092" s="0" t="n">
        <v>2033</v>
      </c>
      <c r="J6092" s="0" t="n">
        <v>126.24</v>
      </c>
      <c r="K6092" s="0" t="n">
        <v>2652.16</v>
      </c>
    </row>
    <row r="6093" customFormat="false" ht="15" hidden="false" customHeight="false" outlineLevel="0" collapsed="false">
      <c r="I6093" s="0" t="n">
        <v>2033</v>
      </c>
      <c r="J6093" s="0" t="n">
        <v>55.23</v>
      </c>
      <c r="K6093" s="0" t="n">
        <v>1160.32</v>
      </c>
    </row>
    <row r="6094" customFormat="false" ht="15" hidden="false" customHeight="false" outlineLevel="0" collapsed="false">
      <c r="I6094" s="0" t="n">
        <v>2033</v>
      </c>
      <c r="J6094" s="0" t="n">
        <v>31.56</v>
      </c>
      <c r="K6094" s="0" t="n">
        <v>663.04</v>
      </c>
    </row>
    <row r="6095" customFormat="false" ht="15" hidden="false" customHeight="false" outlineLevel="0" collapsed="false">
      <c r="I6095" s="0" t="n">
        <v>2033</v>
      </c>
      <c r="J6095" s="0" t="n">
        <v>31.56</v>
      </c>
      <c r="K6095" s="0" t="n">
        <v>663.04</v>
      </c>
    </row>
    <row r="6096" customFormat="false" ht="15" hidden="false" customHeight="false" outlineLevel="0" collapsed="false">
      <c r="I6096" s="0" t="n">
        <v>2033</v>
      </c>
      <c r="J6096" s="0" t="n">
        <v>15.78</v>
      </c>
      <c r="K6096" s="0" t="n">
        <v>331.52</v>
      </c>
    </row>
    <row r="6097" customFormat="false" ht="15" hidden="false" customHeight="false" outlineLevel="0" collapsed="false">
      <c r="I6097" s="0" t="n">
        <v>2033</v>
      </c>
      <c r="J6097" s="0" t="n">
        <v>15.78</v>
      </c>
      <c r="K6097" s="0" t="n">
        <v>331.52</v>
      </c>
    </row>
    <row r="6098" customFormat="false" ht="15" hidden="false" customHeight="false" outlineLevel="0" collapsed="false">
      <c r="I6098" s="0" t="n">
        <v>2033</v>
      </c>
      <c r="J6098" s="0" t="n">
        <v>31.56</v>
      </c>
      <c r="K6098" s="0" t="n">
        <v>663.04</v>
      </c>
    </row>
    <row r="6099" customFormat="false" ht="15" hidden="false" customHeight="false" outlineLevel="0" collapsed="false">
      <c r="I6099" s="0" t="n">
        <v>2033</v>
      </c>
      <c r="J6099" s="0" t="n">
        <v>55.23</v>
      </c>
      <c r="K6099" s="0" t="n">
        <v>1160.32</v>
      </c>
    </row>
    <row r="6100" customFormat="false" ht="15" hidden="false" customHeight="false" outlineLevel="0" collapsed="false">
      <c r="I6100" s="0" t="n">
        <v>2033</v>
      </c>
      <c r="J6100" s="0" t="n">
        <v>23.67</v>
      </c>
      <c r="K6100" s="0" t="n">
        <v>497.28</v>
      </c>
    </row>
    <row r="6101" customFormat="false" ht="15" hidden="false" customHeight="false" outlineLevel="0" collapsed="false">
      <c r="I6101" s="0" t="n">
        <v>2033</v>
      </c>
      <c r="J6101" s="0" t="n">
        <v>23.67</v>
      </c>
      <c r="K6101" s="0" t="n">
        <v>497.28</v>
      </c>
    </row>
    <row r="6102" customFormat="false" ht="15" hidden="false" customHeight="false" outlineLevel="0" collapsed="false">
      <c r="I6102" s="0" t="n">
        <v>2033</v>
      </c>
      <c r="J6102" s="0" t="n">
        <v>96.2</v>
      </c>
      <c r="K6102" s="0" t="n">
        <v>2021.76</v>
      </c>
    </row>
    <row r="6103" customFormat="false" ht="15" hidden="false" customHeight="false" outlineLevel="0" collapsed="false">
      <c r="I6103" s="0" t="n">
        <v>2033</v>
      </c>
      <c r="J6103" s="0" t="n">
        <v>14.8</v>
      </c>
      <c r="K6103" s="0" t="n">
        <v>311.04</v>
      </c>
    </row>
    <row r="6104" customFormat="false" ht="15" hidden="false" customHeight="false" outlineLevel="0" collapsed="false">
      <c r="I6104" s="0" t="n">
        <v>2033</v>
      </c>
      <c r="J6104" s="0" t="n">
        <v>11.1</v>
      </c>
      <c r="K6104" s="0" t="n">
        <v>233.28</v>
      </c>
    </row>
    <row r="6105" customFormat="false" ht="15" hidden="false" customHeight="false" outlineLevel="0" collapsed="false">
      <c r="I6105" s="0" t="n">
        <v>2033</v>
      </c>
      <c r="J6105" s="0" t="n">
        <v>18.5</v>
      </c>
      <c r="K6105" s="0" t="n">
        <v>388.8</v>
      </c>
    </row>
    <row r="6106" customFormat="false" ht="15" hidden="false" customHeight="false" outlineLevel="0" collapsed="false">
      <c r="I6106" s="0" t="n">
        <v>2033</v>
      </c>
      <c r="J6106" s="0" t="n">
        <v>3.7</v>
      </c>
      <c r="K6106" s="0" t="n">
        <v>77.76</v>
      </c>
    </row>
    <row r="6107" customFormat="false" ht="15" hidden="false" customHeight="false" outlineLevel="0" collapsed="false">
      <c r="I6107" s="0" t="n">
        <v>2033</v>
      </c>
      <c r="J6107" s="0" t="n">
        <v>3.7</v>
      </c>
      <c r="K6107" s="0" t="n">
        <v>77.76</v>
      </c>
    </row>
    <row r="6108" customFormat="false" ht="15" hidden="false" customHeight="false" outlineLevel="0" collapsed="false">
      <c r="I6108" s="0" t="n">
        <v>2033</v>
      </c>
      <c r="J6108" s="0" t="n">
        <v>0</v>
      </c>
      <c r="K6108" s="0" t="n">
        <v>0</v>
      </c>
    </row>
    <row r="6109" customFormat="false" ht="15" hidden="false" customHeight="false" outlineLevel="0" collapsed="false">
      <c r="I6109" s="0" t="n">
        <v>2033</v>
      </c>
      <c r="J6109" s="0" t="n">
        <v>7.4</v>
      </c>
      <c r="K6109" s="0" t="n">
        <v>155.52</v>
      </c>
    </row>
    <row r="6110" customFormat="false" ht="15" hidden="false" customHeight="false" outlineLevel="0" collapsed="false">
      <c r="I6110" s="0" t="n">
        <v>2033</v>
      </c>
      <c r="J6110" s="0" t="n">
        <v>12.95</v>
      </c>
      <c r="K6110" s="0" t="n">
        <v>272.16</v>
      </c>
    </row>
    <row r="6111" customFormat="false" ht="15" hidden="false" customHeight="false" outlineLevel="0" collapsed="false">
      <c r="I6111" s="0" t="n">
        <v>2033</v>
      </c>
      <c r="J6111" s="0" t="n">
        <v>3.7</v>
      </c>
      <c r="K6111" s="0" t="n">
        <v>77.76</v>
      </c>
    </row>
    <row r="6112" customFormat="false" ht="15" hidden="false" customHeight="false" outlineLevel="0" collapsed="false">
      <c r="I6112" s="0" t="n">
        <v>2033</v>
      </c>
      <c r="J6112" s="0" t="n">
        <v>12.95</v>
      </c>
      <c r="K6112" s="0" t="n">
        <v>272.16</v>
      </c>
    </row>
    <row r="6113" customFormat="false" ht="15" hidden="false" customHeight="false" outlineLevel="0" collapsed="false">
      <c r="I6113" s="0" t="n">
        <v>2033</v>
      </c>
      <c r="J6113" s="0" t="n">
        <v>219.36</v>
      </c>
      <c r="K6113" s="0" t="n">
        <v>4603.68</v>
      </c>
    </row>
    <row r="6114" customFormat="false" ht="15" hidden="false" customHeight="false" outlineLevel="0" collapsed="false">
      <c r="I6114" s="0" t="n">
        <v>2033</v>
      </c>
      <c r="J6114" s="0" t="n">
        <v>73.12</v>
      </c>
      <c r="K6114" s="0" t="n">
        <v>1534.56</v>
      </c>
    </row>
    <row r="6115" customFormat="false" ht="15" hidden="false" customHeight="false" outlineLevel="0" collapsed="false">
      <c r="I6115" s="0" t="n">
        <v>2033</v>
      </c>
      <c r="J6115" s="0" t="n">
        <v>31.99</v>
      </c>
      <c r="K6115" s="0" t="n">
        <v>671.37</v>
      </c>
    </row>
    <row r="6116" customFormat="false" ht="15" hidden="false" customHeight="false" outlineLevel="0" collapsed="false">
      <c r="I6116" s="0" t="n">
        <v>2033</v>
      </c>
      <c r="J6116" s="0" t="n">
        <v>18.28</v>
      </c>
      <c r="K6116" s="0" t="n">
        <v>383.64</v>
      </c>
    </row>
    <row r="6117" customFormat="false" ht="15" hidden="false" customHeight="false" outlineLevel="0" collapsed="false">
      <c r="I6117" s="0" t="n">
        <v>2033</v>
      </c>
      <c r="J6117" s="0" t="n">
        <v>18.28</v>
      </c>
      <c r="K6117" s="0" t="n">
        <v>383.64</v>
      </c>
    </row>
    <row r="6118" customFormat="false" ht="15" hidden="false" customHeight="false" outlineLevel="0" collapsed="false">
      <c r="I6118" s="0" t="n">
        <v>2033</v>
      </c>
      <c r="J6118" s="0" t="n">
        <v>9.14</v>
      </c>
      <c r="K6118" s="0" t="n">
        <v>191.82</v>
      </c>
    </row>
    <row r="6119" customFormat="false" ht="15" hidden="false" customHeight="false" outlineLevel="0" collapsed="false">
      <c r="I6119" s="0" t="n">
        <v>2033</v>
      </c>
      <c r="J6119" s="0" t="n">
        <v>9.14</v>
      </c>
      <c r="K6119" s="0" t="n">
        <v>191.82</v>
      </c>
    </row>
    <row r="6120" customFormat="false" ht="15" hidden="false" customHeight="false" outlineLevel="0" collapsed="false">
      <c r="I6120" s="0" t="n">
        <v>2033</v>
      </c>
      <c r="J6120" s="0" t="n">
        <v>18.28</v>
      </c>
      <c r="K6120" s="0" t="n">
        <v>383.64</v>
      </c>
    </row>
    <row r="6121" customFormat="false" ht="15" hidden="false" customHeight="false" outlineLevel="0" collapsed="false">
      <c r="I6121" s="0" t="n">
        <v>2033</v>
      </c>
      <c r="J6121" s="0" t="n">
        <v>31.99</v>
      </c>
      <c r="K6121" s="0" t="n">
        <v>671.37</v>
      </c>
    </row>
    <row r="6122" customFormat="false" ht="15" hidden="false" customHeight="false" outlineLevel="0" collapsed="false">
      <c r="I6122" s="0" t="n">
        <v>2033</v>
      </c>
      <c r="J6122" s="0" t="n">
        <v>13.71</v>
      </c>
      <c r="K6122" s="0" t="n">
        <v>287.73</v>
      </c>
    </row>
    <row r="6123" customFormat="false" ht="15" hidden="false" customHeight="false" outlineLevel="0" collapsed="false">
      <c r="I6123" s="0" t="n">
        <v>2033</v>
      </c>
      <c r="J6123" s="0" t="n">
        <v>13.71</v>
      </c>
      <c r="K6123" s="0" t="n">
        <v>287.73</v>
      </c>
    </row>
    <row r="6124" customFormat="false" ht="15" hidden="false" customHeight="false" outlineLevel="0" collapsed="false">
      <c r="I6124" s="0" t="n">
        <v>2033</v>
      </c>
      <c r="J6124" s="0" t="n">
        <v>34.84</v>
      </c>
      <c r="K6124" s="0" t="n">
        <v>728.52</v>
      </c>
    </row>
    <row r="6125" customFormat="false" ht="15" hidden="false" customHeight="false" outlineLevel="0" collapsed="false">
      <c r="I6125" s="0" t="n">
        <v>2033</v>
      </c>
      <c r="J6125" s="0" t="n">
        <v>5.36</v>
      </c>
      <c r="K6125" s="0" t="n">
        <v>112.08</v>
      </c>
    </row>
    <row r="6126" customFormat="false" ht="15" hidden="false" customHeight="false" outlineLevel="0" collapsed="false">
      <c r="I6126" s="0" t="n">
        <v>2033</v>
      </c>
      <c r="J6126" s="0" t="n">
        <v>4.02</v>
      </c>
      <c r="K6126" s="0" t="n">
        <v>84.06</v>
      </c>
    </row>
    <row r="6127" customFormat="false" ht="15" hidden="false" customHeight="false" outlineLevel="0" collapsed="false">
      <c r="I6127" s="0" t="n">
        <v>2033</v>
      </c>
      <c r="J6127" s="0" t="n">
        <v>6.7</v>
      </c>
      <c r="K6127" s="0" t="n">
        <v>140.1</v>
      </c>
    </row>
    <row r="6128" customFormat="false" ht="15" hidden="false" customHeight="false" outlineLevel="0" collapsed="false">
      <c r="I6128" s="0" t="n">
        <v>2033</v>
      </c>
      <c r="J6128" s="0" t="n">
        <v>1.34</v>
      </c>
      <c r="K6128" s="0" t="n">
        <v>28.02</v>
      </c>
    </row>
    <row r="6129" customFormat="false" ht="15" hidden="false" customHeight="false" outlineLevel="0" collapsed="false">
      <c r="I6129" s="0" t="n">
        <v>2033</v>
      </c>
      <c r="J6129" s="0" t="n">
        <v>1.34</v>
      </c>
      <c r="K6129" s="0" t="n">
        <v>28.02</v>
      </c>
    </row>
    <row r="6130" customFormat="false" ht="15" hidden="false" customHeight="false" outlineLevel="0" collapsed="false">
      <c r="I6130" s="0" t="n">
        <v>2033</v>
      </c>
      <c r="J6130" s="0" t="n">
        <v>0</v>
      </c>
      <c r="K6130" s="0" t="n">
        <v>0</v>
      </c>
    </row>
    <row r="6131" customFormat="false" ht="15" hidden="false" customHeight="false" outlineLevel="0" collapsed="false">
      <c r="I6131" s="0" t="n">
        <v>2033</v>
      </c>
      <c r="J6131" s="0" t="n">
        <v>2.68</v>
      </c>
      <c r="K6131" s="0" t="n">
        <v>56.04</v>
      </c>
    </row>
    <row r="6132" customFormat="false" ht="15" hidden="false" customHeight="false" outlineLevel="0" collapsed="false">
      <c r="I6132" s="0" t="n">
        <v>2033</v>
      </c>
      <c r="J6132" s="0" t="n">
        <v>4.69</v>
      </c>
      <c r="K6132" s="0" t="n">
        <v>98.07</v>
      </c>
    </row>
    <row r="6133" customFormat="false" ht="15" hidden="false" customHeight="false" outlineLevel="0" collapsed="false">
      <c r="I6133" s="0" t="n">
        <v>2033</v>
      </c>
      <c r="J6133" s="0" t="n">
        <v>1.34</v>
      </c>
      <c r="K6133" s="0" t="n">
        <v>28.02</v>
      </c>
    </row>
    <row r="6134" customFormat="false" ht="15" hidden="false" customHeight="false" outlineLevel="0" collapsed="false">
      <c r="I6134" s="0" t="n">
        <v>2033</v>
      </c>
      <c r="J6134" s="0" t="n">
        <v>4.69</v>
      </c>
      <c r="K6134" s="0" t="n">
        <v>98.07</v>
      </c>
    </row>
    <row r="6135" customFormat="false" ht="15" hidden="false" customHeight="false" outlineLevel="0" collapsed="false">
      <c r="I6135" s="0" t="n">
        <v>2033</v>
      </c>
      <c r="J6135" s="0" t="n">
        <v>129.6</v>
      </c>
      <c r="K6135" s="0" t="n">
        <v>2719.2</v>
      </c>
    </row>
    <row r="6136" customFormat="false" ht="15" hidden="false" customHeight="false" outlineLevel="0" collapsed="false">
      <c r="I6136" s="0" t="n">
        <v>2033</v>
      </c>
      <c r="J6136" s="0" t="n">
        <v>43.2</v>
      </c>
      <c r="K6136" s="0" t="n">
        <v>906.4</v>
      </c>
    </row>
    <row r="6137" customFormat="false" ht="15" hidden="false" customHeight="false" outlineLevel="0" collapsed="false">
      <c r="I6137" s="0" t="n">
        <v>2033</v>
      </c>
      <c r="J6137" s="0" t="n">
        <v>18.9</v>
      </c>
      <c r="K6137" s="0" t="n">
        <v>396.55</v>
      </c>
    </row>
    <row r="6138" customFormat="false" ht="15" hidden="false" customHeight="false" outlineLevel="0" collapsed="false">
      <c r="I6138" s="0" t="n">
        <v>2033</v>
      </c>
      <c r="J6138" s="0" t="n">
        <v>10.8</v>
      </c>
      <c r="K6138" s="0" t="n">
        <v>226.6</v>
      </c>
    </row>
    <row r="6139" customFormat="false" ht="15" hidden="false" customHeight="false" outlineLevel="0" collapsed="false">
      <c r="I6139" s="0" t="n">
        <v>2033</v>
      </c>
      <c r="J6139" s="0" t="n">
        <v>10.8</v>
      </c>
      <c r="K6139" s="0" t="n">
        <v>226.6</v>
      </c>
    </row>
    <row r="6140" customFormat="false" ht="15" hidden="false" customHeight="false" outlineLevel="0" collapsed="false">
      <c r="I6140" s="0" t="n">
        <v>2033</v>
      </c>
      <c r="J6140" s="0" t="n">
        <v>5.4</v>
      </c>
      <c r="K6140" s="0" t="n">
        <v>113.3</v>
      </c>
    </row>
    <row r="6141" customFormat="false" ht="15" hidden="false" customHeight="false" outlineLevel="0" collapsed="false">
      <c r="I6141" s="0" t="n">
        <v>2033</v>
      </c>
      <c r="J6141" s="0" t="n">
        <v>5.4</v>
      </c>
      <c r="K6141" s="0" t="n">
        <v>113.3</v>
      </c>
    </row>
    <row r="6142" customFormat="false" ht="15" hidden="false" customHeight="false" outlineLevel="0" collapsed="false">
      <c r="I6142" s="0" t="n">
        <v>2033</v>
      </c>
      <c r="J6142" s="0" t="n">
        <v>10.8</v>
      </c>
      <c r="K6142" s="0" t="n">
        <v>226.6</v>
      </c>
    </row>
    <row r="6143" customFormat="false" ht="15" hidden="false" customHeight="false" outlineLevel="0" collapsed="false">
      <c r="I6143" s="0" t="n">
        <v>2033</v>
      </c>
      <c r="J6143" s="0" t="n">
        <v>18.9</v>
      </c>
      <c r="K6143" s="0" t="n">
        <v>396.55</v>
      </c>
    </row>
    <row r="6144" customFormat="false" ht="15" hidden="false" customHeight="false" outlineLevel="0" collapsed="false">
      <c r="I6144" s="0" t="n">
        <v>2033</v>
      </c>
      <c r="J6144" s="0" t="n">
        <v>8.1</v>
      </c>
      <c r="K6144" s="0" t="n">
        <v>169.95</v>
      </c>
    </row>
    <row r="6145" customFormat="false" ht="15" hidden="false" customHeight="false" outlineLevel="0" collapsed="false">
      <c r="I6145" s="0" t="n">
        <v>2033</v>
      </c>
      <c r="J6145" s="0" t="n">
        <v>8.1</v>
      </c>
      <c r="K6145" s="0" t="n">
        <v>169.95</v>
      </c>
    </row>
    <row r="6146" customFormat="false" ht="15" hidden="false" customHeight="false" outlineLevel="0" collapsed="false">
      <c r="I6146" s="0" t="n">
        <v>2033</v>
      </c>
      <c r="J6146" s="0" t="n">
        <v>18.2</v>
      </c>
      <c r="K6146" s="0" t="n">
        <v>379.6</v>
      </c>
    </row>
    <row r="6147" customFormat="false" ht="15" hidden="false" customHeight="false" outlineLevel="0" collapsed="false">
      <c r="I6147" s="0" t="n">
        <v>2033</v>
      </c>
      <c r="J6147" s="0" t="n">
        <v>2.8</v>
      </c>
      <c r="K6147" s="0" t="n">
        <v>58.4</v>
      </c>
    </row>
    <row r="6148" customFormat="false" ht="15" hidden="false" customHeight="false" outlineLevel="0" collapsed="false">
      <c r="I6148" s="0" t="n">
        <v>2033</v>
      </c>
      <c r="J6148" s="0" t="n">
        <v>2.1</v>
      </c>
      <c r="K6148" s="0" t="n">
        <v>43.8</v>
      </c>
    </row>
    <row r="6149" customFormat="false" ht="15" hidden="false" customHeight="false" outlineLevel="0" collapsed="false">
      <c r="I6149" s="0" t="n">
        <v>2033</v>
      </c>
      <c r="J6149" s="0" t="n">
        <v>3.5</v>
      </c>
      <c r="K6149" s="0" t="n">
        <v>73</v>
      </c>
    </row>
    <row r="6150" customFormat="false" ht="15" hidden="false" customHeight="false" outlineLevel="0" collapsed="false">
      <c r="I6150" s="0" t="n">
        <v>2033</v>
      </c>
      <c r="J6150" s="0" t="n">
        <v>0.7</v>
      </c>
      <c r="K6150" s="0" t="n">
        <v>14.6</v>
      </c>
    </row>
    <row r="6151" customFormat="false" ht="15" hidden="false" customHeight="false" outlineLevel="0" collapsed="false">
      <c r="I6151" s="0" t="n">
        <v>2033</v>
      </c>
      <c r="J6151" s="0" t="n">
        <v>0.7</v>
      </c>
      <c r="K6151" s="0" t="n">
        <v>14.6</v>
      </c>
    </row>
    <row r="6152" customFormat="false" ht="15" hidden="false" customHeight="false" outlineLevel="0" collapsed="false">
      <c r="I6152" s="0" t="n">
        <v>2033</v>
      </c>
      <c r="J6152" s="0" t="n">
        <v>0</v>
      </c>
      <c r="K6152" s="0" t="n">
        <v>0</v>
      </c>
    </row>
    <row r="6153" customFormat="false" ht="15" hidden="false" customHeight="false" outlineLevel="0" collapsed="false">
      <c r="I6153" s="0" t="n">
        <v>2033</v>
      </c>
      <c r="J6153" s="0" t="n">
        <v>1.4</v>
      </c>
      <c r="K6153" s="0" t="n">
        <v>29.2</v>
      </c>
    </row>
    <row r="6154" customFormat="false" ht="15" hidden="false" customHeight="false" outlineLevel="0" collapsed="false">
      <c r="I6154" s="0" t="n">
        <v>2033</v>
      </c>
      <c r="J6154" s="0" t="n">
        <v>2.45</v>
      </c>
      <c r="K6154" s="0" t="n">
        <v>51.1</v>
      </c>
    </row>
    <row r="6155" customFormat="false" ht="15" hidden="false" customHeight="false" outlineLevel="0" collapsed="false">
      <c r="I6155" s="0" t="n">
        <v>2033</v>
      </c>
      <c r="J6155" s="0" t="n">
        <v>0.7</v>
      </c>
      <c r="K6155" s="0" t="n">
        <v>14.6</v>
      </c>
    </row>
    <row r="6156" customFormat="false" ht="15" hidden="false" customHeight="false" outlineLevel="0" collapsed="false">
      <c r="I6156" s="0" t="n">
        <v>2033</v>
      </c>
      <c r="J6156" s="0" t="n">
        <v>2.45</v>
      </c>
      <c r="K6156" s="0" t="n">
        <v>51.1</v>
      </c>
    </row>
    <row r="6157" customFormat="false" ht="15" hidden="false" customHeight="false" outlineLevel="0" collapsed="false">
      <c r="I6157" s="0" t="n">
        <v>2033</v>
      </c>
      <c r="J6157" s="0" t="n">
        <v>111.36</v>
      </c>
      <c r="K6157" s="0" t="n">
        <v>2341.44</v>
      </c>
    </row>
    <row r="6158" customFormat="false" ht="15" hidden="false" customHeight="false" outlineLevel="0" collapsed="false">
      <c r="I6158" s="0" t="n">
        <v>2033</v>
      </c>
      <c r="J6158" s="0" t="n">
        <v>37.12</v>
      </c>
      <c r="K6158" s="0" t="n">
        <v>780.48</v>
      </c>
    </row>
    <row r="6159" customFormat="false" ht="15" hidden="false" customHeight="false" outlineLevel="0" collapsed="false">
      <c r="I6159" s="0" t="n">
        <v>2033</v>
      </c>
      <c r="J6159" s="0" t="n">
        <v>16.24</v>
      </c>
      <c r="K6159" s="0" t="n">
        <v>341.46</v>
      </c>
    </row>
    <row r="6160" customFormat="false" ht="15" hidden="false" customHeight="false" outlineLevel="0" collapsed="false">
      <c r="I6160" s="0" t="n">
        <v>2033</v>
      </c>
      <c r="J6160" s="0" t="n">
        <v>9.28</v>
      </c>
      <c r="K6160" s="0" t="n">
        <v>195.12</v>
      </c>
    </row>
    <row r="6161" customFormat="false" ht="15" hidden="false" customHeight="false" outlineLevel="0" collapsed="false">
      <c r="I6161" s="0" t="n">
        <v>2033</v>
      </c>
      <c r="J6161" s="0" t="n">
        <v>9.28</v>
      </c>
      <c r="K6161" s="0" t="n">
        <v>195.12</v>
      </c>
    </row>
    <row r="6162" customFormat="false" ht="15" hidden="false" customHeight="false" outlineLevel="0" collapsed="false">
      <c r="I6162" s="0" t="n">
        <v>2033</v>
      </c>
      <c r="J6162" s="0" t="n">
        <v>4.64</v>
      </c>
      <c r="K6162" s="0" t="n">
        <v>97.56</v>
      </c>
    </row>
    <row r="6163" customFormat="false" ht="15" hidden="false" customHeight="false" outlineLevel="0" collapsed="false">
      <c r="I6163" s="0" t="n">
        <v>2033</v>
      </c>
      <c r="J6163" s="0" t="n">
        <v>4.64</v>
      </c>
      <c r="K6163" s="0" t="n">
        <v>97.56</v>
      </c>
    </row>
    <row r="6164" customFormat="false" ht="15" hidden="false" customHeight="false" outlineLevel="0" collapsed="false">
      <c r="I6164" s="0" t="n">
        <v>2033</v>
      </c>
      <c r="J6164" s="0" t="n">
        <v>9.28</v>
      </c>
      <c r="K6164" s="0" t="n">
        <v>195.12</v>
      </c>
    </row>
    <row r="6165" customFormat="false" ht="15" hidden="false" customHeight="false" outlineLevel="0" collapsed="false">
      <c r="I6165" s="0" t="n">
        <v>2033</v>
      </c>
      <c r="J6165" s="0" t="n">
        <v>16.24</v>
      </c>
      <c r="K6165" s="0" t="n">
        <v>341.46</v>
      </c>
    </row>
    <row r="6166" customFormat="false" ht="15" hidden="false" customHeight="false" outlineLevel="0" collapsed="false">
      <c r="I6166" s="0" t="n">
        <v>2033</v>
      </c>
      <c r="J6166" s="0" t="n">
        <v>6.96</v>
      </c>
      <c r="K6166" s="0" t="n">
        <v>146.34</v>
      </c>
    </row>
    <row r="6167" customFormat="false" ht="15" hidden="false" customHeight="false" outlineLevel="0" collapsed="false">
      <c r="I6167" s="0" t="n">
        <v>2033</v>
      </c>
      <c r="J6167" s="0" t="n">
        <v>6.96</v>
      </c>
      <c r="K6167" s="0" t="n">
        <v>146.34</v>
      </c>
    </row>
    <row r="6168" customFormat="false" ht="15" hidden="false" customHeight="false" outlineLevel="0" collapsed="false">
      <c r="I6168" s="0" t="n">
        <v>2033</v>
      </c>
      <c r="J6168" s="0" t="n">
        <v>23.92</v>
      </c>
      <c r="K6168" s="0" t="n">
        <v>506.48</v>
      </c>
    </row>
    <row r="6169" customFormat="false" ht="15" hidden="false" customHeight="false" outlineLevel="0" collapsed="false">
      <c r="I6169" s="0" t="n">
        <v>2033</v>
      </c>
      <c r="J6169" s="0" t="n">
        <v>3.68</v>
      </c>
      <c r="K6169" s="0" t="n">
        <v>77.92</v>
      </c>
    </row>
    <row r="6170" customFormat="false" ht="15" hidden="false" customHeight="false" outlineLevel="0" collapsed="false">
      <c r="I6170" s="0" t="n">
        <v>2033</v>
      </c>
      <c r="J6170" s="0" t="n">
        <v>2.76</v>
      </c>
      <c r="K6170" s="0" t="n">
        <v>58.44</v>
      </c>
    </row>
    <row r="6171" customFormat="false" ht="15" hidden="false" customHeight="false" outlineLevel="0" collapsed="false">
      <c r="I6171" s="0" t="n">
        <v>2033</v>
      </c>
      <c r="J6171" s="0" t="n">
        <v>4.6</v>
      </c>
      <c r="K6171" s="0" t="n">
        <v>97.4</v>
      </c>
    </row>
    <row r="6172" customFormat="false" ht="15" hidden="false" customHeight="false" outlineLevel="0" collapsed="false">
      <c r="I6172" s="0" t="n">
        <v>2033</v>
      </c>
      <c r="J6172" s="0" t="n">
        <v>0.92</v>
      </c>
      <c r="K6172" s="0" t="n">
        <v>19.48</v>
      </c>
    </row>
    <row r="6173" customFormat="false" ht="15" hidden="false" customHeight="false" outlineLevel="0" collapsed="false">
      <c r="I6173" s="0" t="n">
        <v>2033</v>
      </c>
      <c r="J6173" s="0" t="n">
        <v>0.92</v>
      </c>
      <c r="K6173" s="0" t="n">
        <v>19.48</v>
      </c>
    </row>
    <row r="6174" customFormat="false" ht="15" hidden="false" customHeight="false" outlineLevel="0" collapsed="false">
      <c r="I6174" s="0" t="n">
        <v>2033</v>
      </c>
      <c r="J6174" s="0" t="n">
        <v>0</v>
      </c>
      <c r="K6174" s="0" t="n">
        <v>0</v>
      </c>
    </row>
    <row r="6175" customFormat="false" ht="15" hidden="false" customHeight="false" outlineLevel="0" collapsed="false">
      <c r="I6175" s="0" t="n">
        <v>2033</v>
      </c>
      <c r="J6175" s="0" t="n">
        <v>1.84</v>
      </c>
      <c r="K6175" s="0" t="n">
        <v>38.96</v>
      </c>
    </row>
    <row r="6176" customFormat="false" ht="15" hidden="false" customHeight="false" outlineLevel="0" collapsed="false">
      <c r="I6176" s="0" t="n">
        <v>2033</v>
      </c>
      <c r="J6176" s="0" t="n">
        <v>3.22</v>
      </c>
      <c r="K6176" s="0" t="n">
        <v>68.18</v>
      </c>
    </row>
    <row r="6177" customFormat="false" ht="15" hidden="false" customHeight="false" outlineLevel="0" collapsed="false">
      <c r="I6177" s="0" t="n">
        <v>2033</v>
      </c>
      <c r="J6177" s="0" t="n">
        <v>0.92</v>
      </c>
      <c r="K6177" s="0" t="n">
        <v>19.48</v>
      </c>
    </row>
    <row r="6178" customFormat="false" ht="15" hidden="false" customHeight="false" outlineLevel="0" collapsed="false">
      <c r="I6178" s="0" t="n">
        <v>2033</v>
      </c>
      <c r="J6178" s="0" t="n">
        <v>3.22</v>
      </c>
      <c r="K6178" s="0" t="n">
        <v>68.18</v>
      </c>
    </row>
    <row r="6179" customFormat="false" ht="15" hidden="false" customHeight="false" outlineLevel="0" collapsed="false">
      <c r="I6179" s="0" t="n">
        <v>2033</v>
      </c>
      <c r="J6179" s="0" t="n">
        <v>118.56</v>
      </c>
      <c r="K6179" s="0" t="n">
        <v>2490.72</v>
      </c>
    </row>
    <row r="6180" customFormat="false" ht="15" hidden="false" customHeight="false" outlineLevel="0" collapsed="false">
      <c r="I6180" s="0" t="n">
        <v>2033</v>
      </c>
      <c r="J6180" s="0" t="n">
        <v>39.52</v>
      </c>
      <c r="K6180" s="0" t="n">
        <v>830.24</v>
      </c>
    </row>
    <row r="6181" customFormat="false" ht="15" hidden="false" customHeight="false" outlineLevel="0" collapsed="false">
      <c r="I6181" s="0" t="n">
        <v>2033</v>
      </c>
      <c r="J6181" s="0" t="n">
        <v>17.29</v>
      </c>
      <c r="K6181" s="0" t="n">
        <v>363.23</v>
      </c>
    </row>
    <row r="6182" customFormat="false" ht="15" hidden="false" customHeight="false" outlineLevel="0" collapsed="false">
      <c r="I6182" s="0" t="n">
        <v>2033</v>
      </c>
      <c r="J6182" s="0" t="n">
        <v>9.88</v>
      </c>
      <c r="K6182" s="0" t="n">
        <v>207.56</v>
      </c>
    </row>
    <row r="6183" customFormat="false" ht="15" hidden="false" customHeight="false" outlineLevel="0" collapsed="false">
      <c r="I6183" s="0" t="n">
        <v>2033</v>
      </c>
      <c r="J6183" s="0" t="n">
        <v>9.88</v>
      </c>
      <c r="K6183" s="0" t="n">
        <v>207.56</v>
      </c>
    </row>
    <row r="6184" customFormat="false" ht="15" hidden="false" customHeight="false" outlineLevel="0" collapsed="false">
      <c r="I6184" s="0" t="n">
        <v>2033</v>
      </c>
      <c r="J6184" s="0" t="n">
        <v>4.94</v>
      </c>
      <c r="K6184" s="0" t="n">
        <v>103.78</v>
      </c>
    </row>
    <row r="6185" customFormat="false" ht="15" hidden="false" customHeight="false" outlineLevel="0" collapsed="false">
      <c r="I6185" s="0" t="n">
        <v>2033</v>
      </c>
      <c r="J6185" s="0" t="n">
        <v>4.94</v>
      </c>
      <c r="K6185" s="0" t="n">
        <v>103.78</v>
      </c>
    </row>
    <row r="6186" customFormat="false" ht="15" hidden="false" customHeight="false" outlineLevel="0" collapsed="false">
      <c r="I6186" s="0" t="n">
        <v>2033</v>
      </c>
      <c r="J6186" s="0" t="n">
        <v>9.88</v>
      </c>
      <c r="K6186" s="0" t="n">
        <v>207.56</v>
      </c>
    </row>
    <row r="6187" customFormat="false" ht="15" hidden="false" customHeight="false" outlineLevel="0" collapsed="false">
      <c r="I6187" s="0" t="n">
        <v>2033</v>
      </c>
      <c r="J6187" s="0" t="n">
        <v>17.29</v>
      </c>
      <c r="K6187" s="0" t="n">
        <v>363.23</v>
      </c>
    </row>
    <row r="6188" customFormat="false" ht="15" hidden="false" customHeight="false" outlineLevel="0" collapsed="false">
      <c r="I6188" s="0" t="n">
        <v>2033</v>
      </c>
      <c r="J6188" s="0" t="n">
        <v>7.41</v>
      </c>
      <c r="K6188" s="0" t="n">
        <v>155.67</v>
      </c>
    </row>
    <row r="6189" customFormat="false" ht="15" hidden="false" customHeight="false" outlineLevel="0" collapsed="false">
      <c r="I6189" s="0" t="n">
        <v>2033</v>
      </c>
      <c r="J6189" s="0" t="n">
        <v>7.41</v>
      </c>
      <c r="K6189" s="0" t="n">
        <v>155.67</v>
      </c>
    </row>
    <row r="6190" customFormat="false" ht="15" hidden="false" customHeight="false" outlineLevel="0" collapsed="false">
      <c r="I6190" s="0" t="n">
        <v>2033</v>
      </c>
      <c r="J6190" s="0" t="n">
        <v>32.24</v>
      </c>
      <c r="K6190" s="0" t="n">
        <v>681.72</v>
      </c>
    </row>
    <row r="6191" customFormat="false" ht="15" hidden="false" customHeight="false" outlineLevel="0" collapsed="false">
      <c r="I6191" s="0" t="n">
        <v>2033</v>
      </c>
      <c r="J6191" s="0" t="n">
        <v>4.96</v>
      </c>
      <c r="K6191" s="0" t="n">
        <v>104.88</v>
      </c>
    </row>
    <row r="6192" customFormat="false" ht="15" hidden="false" customHeight="false" outlineLevel="0" collapsed="false">
      <c r="I6192" s="0" t="n">
        <v>2033</v>
      </c>
      <c r="J6192" s="0" t="n">
        <v>3.72</v>
      </c>
      <c r="K6192" s="0" t="n">
        <v>78.66</v>
      </c>
    </row>
    <row r="6193" customFormat="false" ht="15" hidden="false" customHeight="false" outlineLevel="0" collapsed="false">
      <c r="I6193" s="0" t="n">
        <v>2033</v>
      </c>
      <c r="J6193" s="0" t="n">
        <v>6.2</v>
      </c>
      <c r="K6193" s="0" t="n">
        <v>131.1</v>
      </c>
    </row>
    <row r="6194" customFormat="false" ht="15" hidden="false" customHeight="false" outlineLevel="0" collapsed="false">
      <c r="I6194" s="0" t="n">
        <v>2033</v>
      </c>
      <c r="J6194" s="0" t="n">
        <v>1.24</v>
      </c>
      <c r="K6194" s="0" t="n">
        <v>26.22</v>
      </c>
    </row>
    <row r="6195" customFormat="false" ht="15" hidden="false" customHeight="false" outlineLevel="0" collapsed="false">
      <c r="I6195" s="0" t="n">
        <v>2033</v>
      </c>
      <c r="J6195" s="0" t="n">
        <v>1.24</v>
      </c>
      <c r="K6195" s="0" t="n">
        <v>26.22</v>
      </c>
    </row>
    <row r="6196" customFormat="false" ht="15" hidden="false" customHeight="false" outlineLevel="0" collapsed="false">
      <c r="I6196" s="0" t="n">
        <v>2033</v>
      </c>
      <c r="J6196" s="0" t="n">
        <v>0</v>
      </c>
      <c r="K6196" s="0" t="n">
        <v>0</v>
      </c>
    </row>
    <row r="6197" customFormat="false" ht="15" hidden="false" customHeight="false" outlineLevel="0" collapsed="false">
      <c r="I6197" s="0" t="n">
        <v>2033</v>
      </c>
      <c r="J6197" s="0" t="n">
        <v>2.48</v>
      </c>
      <c r="K6197" s="0" t="n">
        <v>52.44</v>
      </c>
    </row>
    <row r="6198" customFormat="false" ht="15" hidden="false" customHeight="false" outlineLevel="0" collapsed="false">
      <c r="I6198" s="0" t="n">
        <v>2033</v>
      </c>
      <c r="J6198" s="0" t="n">
        <v>4.34</v>
      </c>
      <c r="K6198" s="0" t="n">
        <v>91.77</v>
      </c>
    </row>
    <row r="6199" customFormat="false" ht="15" hidden="false" customHeight="false" outlineLevel="0" collapsed="false">
      <c r="I6199" s="0" t="n">
        <v>2033</v>
      </c>
      <c r="J6199" s="0" t="n">
        <v>1.24</v>
      </c>
      <c r="K6199" s="0" t="n">
        <v>26.22</v>
      </c>
    </row>
    <row r="6200" customFormat="false" ht="15" hidden="false" customHeight="false" outlineLevel="0" collapsed="false">
      <c r="I6200" s="0" t="n">
        <v>2033</v>
      </c>
      <c r="J6200" s="0" t="n">
        <v>4.34</v>
      </c>
      <c r="K6200" s="0" t="n">
        <v>91.77</v>
      </c>
    </row>
    <row r="6201" customFormat="false" ht="15" hidden="false" customHeight="false" outlineLevel="0" collapsed="false">
      <c r="I6201" s="0" t="n">
        <v>2033</v>
      </c>
      <c r="J6201" s="0" t="n">
        <v>119.52</v>
      </c>
      <c r="K6201" s="0" t="n">
        <v>2509.44</v>
      </c>
    </row>
    <row r="6202" customFormat="false" ht="15" hidden="false" customHeight="false" outlineLevel="0" collapsed="false">
      <c r="I6202" s="0" t="n">
        <v>2033</v>
      </c>
      <c r="J6202" s="0" t="n">
        <v>39.84</v>
      </c>
      <c r="K6202" s="0" t="n">
        <v>836.48</v>
      </c>
    </row>
    <row r="6203" customFormat="false" ht="15" hidden="false" customHeight="false" outlineLevel="0" collapsed="false">
      <c r="I6203" s="0" t="n">
        <v>2033</v>
      </c>
      <c r="J6203" s="0" t="n">
        <v>17.43</v>
      </c>
      <c r="K6203" s="0" t="n">
        <v>365.96</v>
      </c>
    </row>
    <row r="6204" customFormat="false" ht="15" hidden="false" customHeight="false" outlineLevel="0" collapsed="false">
      <c r="I6204" s="0" t="n">
        <v>2033</v>
      </c>
      <c r="J6204" s="0" t="n">
        <v>9.96</v>
      </c>
      <c r="K6204" s="0" t="n">
        <v>209.12</v>
      </c>
    </row>
    <row r="6205" customFormat="false" ht="15" hidden="false" customHeight="false" outlineLevel="0" collapsed="false">
      <c r="I6205" s="0" t="n">
        <v>2033</v>
      </c>
      <c r="J6205" s="0" t="n">
        <v>9.96</v>
      </c>
      <c r="K6205" s="0" t="n">
        <v>209.12</v>
      </c>
    </row>
    <row r="6206" customFormat="false" ht="15" hidden="false" customHeight="false" outlineLevel="0" collapsed="false">
      <c r="I6206" s="0" t="n">
        <v>2033</v>
      </c>
      <c r="J6206" s="0" t="n">
        <v>4.98</v>
      </c>
      <c r="K6206" s="0" t="n">
        <v>104.56</v>
      </c>
    </row>
    <row r="6207" customFormat="false" ht="15" hidden="false" customHeight="false" outlineLevel="0" collapsed="false">
      <c r="I6207" s="0" t="n">
        <v>2033</v>
      </c>
      <c r="J6207" s="0" t="n">
        <v>4.98</v>
      </c>
      <c r="K6207" s="0" t="n">
        <v>104.56</v>
      </c>
    </row>
    <row r="6208" customFormat="false" ht="15" hidden="false" customHeight="false" outlineLevel="0" collapsed="false">
      <c r="I6208" s="0" t="n">
        <v>2033</v>
      </c>
      <c r="J6208" s="0" t="n">
        <v>9.96</v>
      </c>
      <c r="K6208" s="0" t="n">
        <v>209.12</v>
      </c>
    </row>
    <row r="6209" customFormat="false" ht="15" hidden="false" customHeight="false" outlineLevel="0" collapsed="false">
      <c r="I6209" s="0" t="n">
        <v>2033</v>
      </c>
      <c r="J6209" s="0" t="n">
        <v>17.43</v>
      </c>
      <c r="K6209" s="0" t="n">
        <v>365.96</v>
      </c>
    </row>
    <row r="6210" customFormat="false" ht="15" hidden="false" customHeight="false" outlineLevel="0" collapsed="false">
      <c r="I6210" s="0" t="n">
        <v>2033</v>
      </c>
      <c r="J6210" s="0" t="n">
        <v>7.47</v>
      </c>
      <c r="K6210" s="0" t="n">
        <v>156.84</v>
      </c>
    </row>
    <row r="6211" customFormat="false" ht="15" hidden="false" customHeight="false" outlineLevel="0" collapsed="false">
      <c r="I6211" s="0" t="n">
        <v>2033</v>
      </c>
      <c r="J6211" s="0" t="n">
        <v>7.47</v>
      </c>
      <c r="K6211" s="0" t="n">
        <v>156.84</v>
      </c>
    </row>
    <row r="6212" customFormat="false" ht="15" hidden="false" customHeight="false" outlineLevel="0" collapsed="false">
      <c r="I6212" s="0" t="n">
        <v>2033</v>
      </c>
      <c r="J6212" s="0" t="n">
        <v>19.24</v>
      </c>
      <c r="K6212" s="0" t="n">
        <v>402.48</v>
      </c>
    </row>
    <row r="6213" customFormat="false" ht="15" hidden="false" customHeight="false" outlineLevel="0" collapsed="false">
      <c r="I6213" s="0" t="n">
        <v>2033</v>
      </c>
      <c r="J6213" s="0" t="n">
        <v>2.96</v>
      </c>
      <c r="K6213" s="0" t="n">
        <v>61.92</v>
      </c>
    </row>
    <row r="6214" customFormat="false" ht="15" hidden="false" customHeight="false" outlineLevel="0" collapsed="false">
      <c r="I6214" s="0" t="n">
        <v>2033</v>
      </c>
      <c r="J6214" s="0" t="n">
        <v>2.22</v>
      </c>
      <c r="K6214" s="0" t="n">
        <v>46.44</v>
      </c>
    </row>
    <row r="6215" customFormat="false" ht="15" hidden="false" customHeight="false" outlineLevel="0" collapsed="false">
      <c r="I6215" s="0" t="n">
        <v>2033</v>
      </c>
      <c r="J6215" s="0" t="n">
        <v>3.7</v>
      </c>
      <c r="K6215" s="0" t="n">
        <v>77.4</v>
      </c>
    </row>
    <row r="6216" customFormat="false" ht="15" hidden="false" customHeight="false" outlineLevel="0" collapsed="false">
      <c r="I6216" s="0" t="n">
        <v>2033</v>
      </c>
      <c r="J6216" s="0" t="n">
        <v>0.74</v>
      </c>
      <c r="K6216" s="0" t="n">
        <v>15.48</v>
      </c>
    </row>
    <row r="6217" customFormat="false" ht="15" hidden="false" customHeight="false" outlineLevel="0" collapsed="false">
      <c r="I6217" s="0" t="n">
        <v>2033</v>
      </c>
      <c r="J6217" s="0" t="n">
        <v>0.74</v>
      </c>
      <c r="K6217" s="0" t="n">
        <v>15.48</v>
      </c>
    </row>
    <row r="6218" customFormat="false" ht="15" hidden="false" customHeight="false" outlineLevel="0" collapsed="false">
      <c r="I6218" s="0" t="n">
        <v>2033</v>
      </c>
      <c r="J6218" s="0" t="n">
        <v>0</v>
      </c>
      <c r="K6218" s="0" t="n">
        <v>0</v>
      </c>
    </row>
    <row r="6219" customFormat="false" ht="15" hidden="false" customHeight="false" outlineLevel="0" collapsed="false">
      <c r="I6219" s="0" t="n">
        <v>2033</v>
      </c>
      <c r="J6219" s="0" t="n">
        <v>1.48</v>
      </c>
      <c r="K6219" s="0" t="n">
        <v>30.96</v>
      </c>
    </row>
    <row r="6220" customFormat="false" ht="15" hidden="false" customHeight="false" outlineLevel="0" collapsed="false">
      <c r="I6220" s="0" t="n">
        <v>2033</v>
      </c>
      <c r="J6220" s="0" t="n">
        <v>2.59</v>
      </c>
      <c r="K6220" s="0" t="n">
        <v>54.18</v>
      </c>
    </row>
    <row r="6221" customFormat="false" ht="15" hidden="false" customHeight="false" outlineLevel="0" collapsed="false">
      <c r="I6221" s="0" t="n">
        <v>2033</v>
      </c>
      <c r="J6221" s="0" t="n">
        <v>0.74</v>
      </c>
      <c r="K6221" s="0" t="n">
        <v>15.48</v>
      </c>
    </row>
    <row r="6222" customFormat="false" ht="15" hidden="false" customHeight="false" outlineLevel="0" collapsed="false">
      <c r="I6222" s="0" t="n">
        <v>2033</v>
      </c>
      <c r="J6222" s="0" t="n">
        <v>2.59</v>
      </c>
      <c r="K6222" s="0" t="n">
        <v>54.18</v>
      </c>
    </row>
    <row r="6223" customFormat="false" ht="15" hidden="false" customHeight="false" outlineLevel="0" collapsed="false">
      <c r="I6223" s="0" t="n">
        <v>2033</v>
      </c>
      <c r="J6223" s="0" t="n">
        <v>101.28</v>
      </c>
      <c r="K6223" s="0" t="n">
        <v>2122.56</v>
      </c>
    </row>
    <row r="6224" customFormat="false" ht="15" hidden="false" customHeight="false" outlineLevel="0" collapsed="false">
      <c r="I6224" s="0" t="n">
        <v>2033</v>
      </c>
      <c r="J6224" s="0" t="n">
        <v>33.76</v>
      </c>
      <c r="K6224" s="0" t="n">
        <v>707.52</v>
      </c>
    </row>
    <row r="6225" customFormat="false" ht="15" hidden="false" customHeight="false" outlineLevel="0" collapsed="false">
      <c r="I6225" s="0" t="n">
        <v>2033</v>
      </c>
      <c r="J6225" s="0" t="n">
        <v>14.77</v>
      </c>
      <c r="K6225" s="0" t="n">
        <v>309.54</v>
      </c>
    </row>
    <row r="6226" customFormat="false" ht="15" hidden="false" customHeight="false" outlineLevel="0" collapsed="false">
      <c r="I6226" s="0" t="n">
        <v>2033</v>
      </c>
      <c r="J6226" s="0" t="n">
        <v>8.44</v>
      </c>
      <c r="K6226" s="0" t="n">
        <v>176.88</v>
      </c>
    </row>
    <row r="6227" customFormat="false" ht="15" hidden="false" customHeight="false" outlineLevel="0" collapsed="false">
      <c r="I6227" s="0" t="n">
        <v>2033</v>
      </c>
      <c r="J6227" s="0" t="n">
        <v>8.44</v>
      </c>
      <c r="K6227" s="0" t="n">
        <v>176.88</v>
      </c>
    </row>
    <row r="6228" customFormat="false" ht="15" hidden="false" customHeight="false" outlineLevel="0" collapsed="false">
      <c r="I6228" s="0" t="n">
        <v>2033</v>
      </c>
      <c r="J6228" s="0" t="n">
        <v>4.22</v>
      </c>
      <c r="K6228" s="0" t="n">
        <v>88.44</v>
      </c>
    </row>
    <row r="6229" customFormat="false" ht="15" hidden="false" customHeight="false" outlineLevel="0" collapsed="false">
      <c r="I6229" s="0" t="n">
        <v>2033</v>
      </c>
      <c r="J6229" s="0" t="n">
        <v>4.22</v>
      </c>
      <c r="K6229" s="0" t="n">
        <v>88.44</v>
      </c>
    </row>
    <row r="6230" customFormat="false" ht="15" hidden="false" customHeight="false" outlineLevel="0" collapsed="false">
      <c r="I6230" s="0" t="n">
        <v>2033</v>
      </c>
      <c r="J6230" s="0" t="n">
        <v>8.44</v>
      </c>
      <c r="K6230" s="0" t="n">
        <v>176.88</v>
      </c>
    </row>
    <row r="6231" customFormat="false" ht="15" hidden="false" customHeight="false" outlineLevel="0" collapsed="false">
      <c r="I6231" s="0" t="n">
        <v>2033</v>
      </c>
      <c r="J6231" s="0" t="n">
        <v>14.77</v>
      </c>
      <c r="K6231" s="0" t="n">
        <v>309.54</v>
      </c>
    </row>
    <row r="6232" customFormat="false" ht="15" hidden="false" customHeight="false" outlineLevel="0" collapsed="false">
      <c r="I6232" s="0" t="n">
        <v>2033</v>
      </c>
      <c r="J6232" s="0" t="n">
        <v>6.33</v>
      </c>
      <c r="K6232" s="0" t="n">
        <v>132.66</v>
      </c>
    </row>
    <row r="6233" customFormat="false" ht="15" hidden="false" customHeight="false" outlineLevel="0" collapsed="false">
      <c r="I6233" s="0" t="n">
        <v>2033</v>
      </c>
      <c r="J6233" s="0" t="n">
        <v>6.33</v>
      </c>
      <c r="K6233" s="0" t="n">
        <v>132.66</v>
      </c>
    </row>
    <row r="6234" customFormat="false" ht="15" hidden="false" customHeight="false" outlineLevel="0" collapsed="false">
      <c r="I6234" s="0" t="n">
        <v>2033</v>
      </c>
      <c r="J6234" s="0" t="n">
        <v>12.48</v>
      </c>
      <c r="K6234" s="0" t="n">
        <v>262.6</v>
      </c>
    </row>
    <row r="6235" customFormat="false" ht="15" hidden="false" customHeight="false" outlineLevel="0" collapsed="false">
      <c r="I6235" s="0" t="n">
        <v>2033</v>
      </c>
      <c r="J6235" s="0" t="n">
        <v>1.92</v>
      </c>
      <c r="K6235" s="0" t="n">
        <v>40.4</v>
      </c>
    </row>
    <row r="6236" customFormat="false" ht="15" hidden="false" customHeight="false" outlineLevel="0" collapsed="false">
      <c r="I6236" s="0" t="n">
        <v>2033</v>
      </c>
      <c r="J6236" s="0" t="n">
        <v>1.44</v>
      </c>
      <c r="K6236" s="0" t="n">
        <v>30.3</v>
      </c>
    </row>
    <row r="6237" customFormat="false" ht="15" hidden="false" customHeight="false" outlineLevel="0" collapsed="false">
      <c r="I6237" s="0" t="n">
        <v>2033</v>
      </c>
      <c r="J6237" s="0" t="n">
        <v>2.4</v>
      </c>
      <c r="K6237" s="0" t="n">
        <v>50.5</v>
      </c>
    </row>
    <row r="6238" customFormat="false" ht="15" hidden="false" customHeight="false" outlineLevel="0" collapsed="false">
      <c r="I6238" s="0" t="n">
        <v>2033</v>
      </c>
      <c r="J6238" s="0" t="n">
        <v>0.48</v>
      </c>
      <c r="K6238" s="0" t="n">
        <v>10.1</v>
      </c>
    </row>
    <row r="6239" customFormat="false" ht="15" hidden="false" customHeight="false" outlineLevel="0" collapsed="false">
      <c r="I6239" s="0" t="n">
        <v>2033</v>
      </c>
      <c r="J6239" s="0" t="n">
        <v>0.48</v>
      </c>
      <c r="K6239" s="0" t="n">
        <v>10.1</v>
      </c>
    </row>
    <row r="6240" customFormat="false" ht="15" hidden="false" customHeight="false" outlineLevel="0" collapsed="false">
      <c r="I6240" s="0" t="n">
        <v>2033</v>
      </c>
      <c r="J6240" s="0" t="n">
        <v>0</v>
      </c>
      <c r="K6240" s="0" t="n">
        <v>0</v>
      </c>
    </row>
    <row r="6241" customFormat="false" ht="15" hidden="false" customHeight="false" outlineLevel="0" collapsed="false">
      <c r="I6241" s="0" t="n">
        <v>2033</v>
      </c>
      <c r="J6241" s="0" t="n">
        <v>0.96</v>
      </c>
      <c r="K6241" s="0" t="n">
        <v>20.2</v>
      </c>
    </row>
    <row r="6242" customFormat="false" ht="15" hidden="false" customHeight="false" outlineLevel="0" collapsed="false">
      <c r="I6242" s="0" t="n">
        <v>2033</v>
      </c>
      <c r="J6242" s="0" t="n">
        <v>1.68</v>
      </c>
      <c r="K6242" s="0" t="n">
        <v>35.35</v>
      </c>
    </row>
    <row r="6243" customFormat="false" ht="15" hidden="false" customHeight="false" outlineLevel="0" collapsed="false">
      <c r="I6243" s="0" t="n">
        <v>2033</v>
      </c>
      <c r="J6243" s="0" t="n">
        <v>0.48</v>
      </c>
      <c r="K6243" s="0" t="n">
        <v>10.1</v>
      </c>
    </row>
    <row r="6244" customFormat="false" ht="15" hidden="false" customHeight="false" outlineLevel="0" collapsed="false">
      <c r="I6244" s="0" t="n">
        <v>2033</v>
      </c>
      <c r="J6244" s="0" t="n">
        <v>1.68</v>
      </c>
      <c r="K6244" s="0" t="n">
        <v>35.35</v>
      </c>
    </row>
    <row r="6245" customFormat="false" ht="15" hidden="false" customHeight="false" outlineLevel="0" collapsed="false">
      <c r="I6245" s="0" t="n">
        <v>2033</v>
      </c>
      <c r="J6245" s="0" t="n">
        <v>38.4</v>
      </c>
      <c r="K6245" s="0" t="n">
        <v>811.2</v>
      </c>
    </row>
    <row r="6246" customFormat="false" ht="15" hidden="false" customHeight="false" outlineLevel="0" collapsed="false">
      <c r="I6246" s="0" t="n">
        <v>2033</v>
      </c>
      <c r="J6246" s="0" t="n">
        <v>12.8</v>
      </c>
      <c r="K6246" s="0" t="n">
        <v>270.4</v>
      </c>
    </row>
    <row r="6247" customFormat="false" ht="15" hidden="false" customHeight="false" outlineLevel="0" collapsed="false">
      <c r="I6247" s="0" t="n">
        <v>2033</v>
      </c>
      <c r="J6247" s="0" t="n">
        <v>5.6</v>
      </c>
      <c r="K6247" s="0" t="n">
        <v>118.3</v>
      </c>
    </row>
    <row r="6248" customFormat="false" ht="15" hidden="false" customHeight="false" outlineLevel="0" collapsed="false">
      <c r="I6248" s="0" t="n">
        <v>2033</v>
      </c>
      <c r="J6248" s="0" t="n">
        <v>3.2</v>
      </c>
      <c r="K6248" s="0" t="n">
        <v>67.6</v>
      </c>
    </row>
    <row r="6249" customFormat="false" ht="15" hidden="false" customHeight="false" outlineLevel="0" collapsed="false">
      <c r="I6249" s="0" t="n">
        <v>2033</v>
      </c>
      <c r="J6249" s="0" t="n">
        <v>3.2</v>
      </c>
      <c r="K6249" s="0" t="n">
        <v>67.6</v>
      </c>
    </row>
    <row r="6250" customFormat="false" ht="15" hidden="false" customHeight="false" outlineLevel="0" collapsed="false">
      <c r="I6250" s="0" t="n">
        <v>2033</v>
      </c>
      <c r="J6250" s="0" t="n">
        <v>1.6</v>
      </c>
      <c r="K6250" s="0" t="n">
        <v>33.8</v>
      </c>
    </row>
    <row r="6251" customFormat="false" ht="15" hidden="false" customHeight="false" outlineLevel="0" collapsed="false">
      <c r="I6251" s="0" t="n">
        <v>2033</v>
      </c>
      <c r="J6251" s="0" t="n">
        <v>1.6</v>
      </c>
      <c r="K6251" s="0" t="n">
        <v>33.8</v>
      </c>
    </row>
    <row r="6252" customFormat="false" ht="15" hidden="false" customHeight="false" outlineLevel="0" collapsed="false">
      <c r="I6252" s="0" t="n">
        <v>2033</v>
      </c>
      <c r="J6252" s="0" t="n">
        <v>3.2</v>
      </c>
      <c r="K6252" s="0" t="n">
        <v>67.6</v>
      </c>
    </row>
    <row r="6253" customFormat="false" ht="15" hidden="false" customHeight="false" outlineLevel="0" collapsed="false">
      <c r="I6253" s="0" t="n">
        <v>2033</v>
      </c>
      <c r="J6253" s="0" t="n">
        <v>5.6</v>
      </c>
      <c r="K6253" s="0" t="n">
        <v>118.3</v>
      </c>
    </row>
    <row r="6254" customFormat="false" ht="15" hidden="false" customHeight="false" outlineLevel="0" collapsed="false">
      <c r="I6254" s="0" t="n">
        <v>2033</v>
      </c>
      <c r="J6254" s="0" t="n">
        <v>2.4</v>
      </c>
      <c r="K6254" s="0" t="n">
        <v>50.7</v>
      </c>
    </row>
    <row r="6255" customFormat="false" ht="15" hidden="false" customHeight="false" outlineLevel="0" collapsed="false">
      <c r="I6255" s="0" t="n">
        <v>2033</v>
      </c>
      <c r="J6255" s="0" t="n">
        <v>2.4</v>
      </c>
      <c r="K6255" s="0" t="n">
        <v>50.7</v>
      </c>
    </row>
    <row r="6256" customFormat="false" ht="15" hidden="false" customHeight="false" outlineLevel="0" collapsed="false">
      <c r="I6256" s="0" t="n">
        <v>2033</v>
      </c>
      <c r="J6256" s="0" t="n">
        <v>19.76</v>
      </c>
      <c r="K6256" s="0" t="n">
        <v>419.12</v>
      </c>
    </row>
    <row r="6257" customFormat="false" ht="15" hidden="false" customHeight="false" outlineLevel="0" collapsed="false">
      <c r="I6257" s="0" t="n">
        <v>2033</v>
      </c>
      <c r="J6257" s="0" t="n">
        <v>3.04</v>
      </c>
      <c r="K6257" s="0" t="n">
        <v>64.48</v>
      </c>
    </row>
    <row r="6258" customFormat="false" ht="15" hidden="false" customHeight="false" outlineLevel="0" collapsed="false">
      <c r="I6258" s="0" t="n">
        <v>2033</v>
      </c>
      <c r="J6258" s="0" t="n">
        <v>2.28</v>
      </c>
      <c r="K6258" s="0" t="n">
        <v>48.36</v>
      </c>
    </row>
    <row r="6259" customFormat="false" ht="15" hidden="false" customHeight="false" outlineLevel="0" collapsed="false">
      <c r="I6259" s="0" t="n">
        <v>2033</v>
      </c>
      <c r="J6259" s="0" t="n">
        <v>3.8</v>
      </c>
      <c r="K6259" s="0" t="n">
        <v>80.6</v>
      </c>
    </row>
    <row r="6260" customFormat="false" ht="15" hidden="false" customHeight="false" outlineLevel="0" collapsed="false">
      <c r="I6260" s="0" t="n">
        <v>2033</v>
      </c>
      <c r="J6260" s="0" t="n">
        <v>0.76</v>
      </c>
      <c r="K6260" s="0" t="n">
        <v>16.12</v>
      </c>
    </row>
    <row r="6261" customFormat="false" ht="15" hidden="false" customHeight="false" outlineLevel="0" collapsed="false">
      <c r="I6261" s="0" t="n">
        <v>2033</v>
      </c>
      <c r="J6261" s="0" t="n">
        <v>0.76</v>
      </c>
      <c r="K6261" s="0" t="n">
        <v>16.12</v>
      </c>
    </row>
    <row r="6262" customFormat="false" ht="15" hidden="false" customHeight="false" outlineLevel="0" collapsed="false">
      <c r="I6262" s="0" t="n">
        <v>2033</v>
      </c>
      <c r="J6262" s="0" t="n">
        <v>0</v>
      </c>
      <c r="K6262" s="0" t="n">
        <v>0</v>
      </c>
    </row>
    <row r="6263" customFormat="false" ht="15" hidden="false" customHeight="false" outlineLevel="0" collapsed="false">
      <c r="I6263" s="0" t="n">
        <v>2033</v>
      </c>
      <c r="J6263" s="0" t="n">
        <v>1.52</v>
      </c>
      <c r="K6263" s="0" t="n">
        <v>32.24</v>
      </c>
    </row>
    <row r="6264" customFormat="false" ht="15" hidden="false" customHeight="false" outlineLevel="0" collapsed="false">
      <c r="I6264" s="0" t="n">
        <v>2033</v>
      </c>
      <c r="J6264" s="0" t="n">
        <v>2.66</v>
      </c>
      <c r="K6264" s="0" t="n">
        <v>56.42</v>
      </c>
    </row>
    <row r="6265" customFormat="false" ht="15" hidden="false" customHeight="false" outlineLevel="0" collapsed="false">
      <c r="I6265" s="0" t="n">
        <v>2033</v>
      </c>
      <c r="J6265" s="0" t="n">
        <v>0.76</v>
      </c>
      <c r="K6265" s="0" t="n">
        <v>16.12</v>
      </c>
    </row>
    <row r="6266" customFormat="false" ht="15" hidden="false" customHeight="false" outlineLevel="0" collapsed="false">
      <c r="I6266" s="0" t="n">
        <v>2033</v>
      </c>
      <c r="J6266" s="0" t="n">
        <v>2.66</v>
      </c>
      <c r="K6266" s="0" t="n">
        <v>56.42</v>
      </c>
    </row>
    <row r="6267" customFormat="false" ht="15" hidden="false" customHeight="false" outlineLevel="0" collapsed="false">
      <c r="I6267" s="0" t="n">
        <v>2033</v>
      </c>
      <c r="J6267" s="0" t="n">
        <v>1248.96</v>
      </c>
      <c r="K6267" s="0" t="n">
        <v>26225.76</v>
      </c>
    </row>
    <row r="6268" customFormat="false" ht="15" hidden="false" customHeight="false" outlineLevel="0" collapsed="false">
      <c r="I6268" s="0" t="n">
        <v>2033</v>
      </c>
      <c r="J6268" s="0" t="n">
        <v>416.32</v>
      </c>
      <c r="K6268" s="0" t="n">
        <v>8741.92</v>
      </c>
    </row>
    <row r="6269" customFormat="false" ht="15" hidden="false" customHeight="false" outlineLevel="0" collapsed="false">
      <c r="I6269" s="0" t="n">
        <v>2033</v>
      </c>
      <c r="J6269" s="0" t="n">
        <v>182.14</v>
      </c>
      <c r="K6269" s="0" t="n">
        <v>3824.59</v>
      </c>
    </row>
    <row r="6270" customFormat="false" ht="15" hidden="false" customHeight="false" outlineLevel="0" collapsed="false">
      <c r="I6270" s="0" t="n">
        <v>2033</v>
      </c>
      <c r="J6270" s="0" t="n">
        <v>104.08</v>
      </c>
      <c r="K6270" s="0" t="n">
        <v>2185.48</v>
      </c>
    </row>
    <row r="6271" customFormat="false" ht="15" hidden="false" customHeight="false" outlineLevel="0" collapsed="false">
      <c r="I6271" s="0" t="n">
        <v>2033</v>
      </c>
      <c r="J6271" s="0" t="n">
        <v>104.08</v>
      </c>
      <c r="K6271" s="0" t="n">
        <v>2185.48</v>
      </c>
    </row>
    <row r="6272" customFormat="false" ht="15" hidden="false" customHeight="false" outlineLevel="0" collapsed="false">
      <c r="I6272" s="0" t="n">
        <v>2033</v>
      </c>
      <c r="J6272" s="0" t="n">
        <v>52.04</v>
      </c>
      <c r="K6272" s="0" t="n">
        <v>1092.74</v>
      </c>
    </row>
    <row r="6273" customFormat="false" ht="15" hidden="false" customHeight="false" outlineLevel="0" collapsed="false">
      <c r="I6273" s="0" t="n">
        <v>2033</v>
      </c>
      <c r="J6273" s="0" t="n">
        <v>52.04</v>
      </c>
      <c r="K6273" s="0" t="n">
        <v>1092.74</v>
      </c>
    </row>
    <row r="6274" customFormat="false" ht="15" hidden="false" customHeight="false" outlineLevel="0" collapsed="false">
      <c r="I6274" s="0" t="n">
        <v>2033</v>
      </c>
      <c r="J6274" s="0" t="n">
        <v>104.08</v>
      </c>
      <c r="K6274" s="0" t="n">
        <v>2185.48</v>
      </c>
    </row>
    <row r="6275" customFormat="false" ht="15" hidden="false" customHeight="false" outlineLevel="0" collapsed="false">
      <c r="I6275" s="0" t="n">
        <v>2033</v>
      </c>
      <c r="J6275" s="0" t="n">
        <v>182.14</v>
      </c>
      <c r="K6275" s="0" t="n">
        <v>3824.59</v>
      </c>
    </row>
    <row r="6276" customFormat="false" ht="15" hidden="false" customHeight="false" outlineLevel="0" collapsed="false">
      <c r="I6276" s="0" t="n">
        <v>2033</v>
      </c>
      <c r="J6276" s="0" t="n">
        <v>78.06</v>
      </c>
      <c r="K6276" s="0" t="n">
        <v>1639.11</v>
      </c>
    </row>
    <row r="6277" customFormat="false" ht="15" hidden="false" customHeight="false" outlineLevel="0" collapsed="false">
      <c r="I6277" s="0" t="n">
        <v>2033</v>
      </c>
      <c r="J6277" s="0" t="n">
        <v>78.06</v>
      </c>
      <c r="K6277" s="0" t="n">
        <v>1639.11</v>
      </c>
    </row>
    <row r="6278" customFormat="false" ht="15" hidden="false" customHeight="false" outlineLevel="0" collapsed="false">
      <c r="I6278" s="0" t="n">
        <v>2033</v>
      </c>
      <c r="J6278" s="0" t="n">
        <v>211.12</v>
      </c>
      <c r="K6278" s="0" t="n">
        <v>4433.52</v>
      </c>
    </row>
    <row r="6279" customFormat="false" ht="15" hidden="false" customHeight="false" outlineLevel="0" collapsed="false">
      <c r="I6279" s="0" t="n">
        <v>2033</v>
      </c>
      <c r="J6279" s="0" t="n">
        <v>32.48</v>
      </c>
      <c r="K6279" s="0" t="n">
        <v>682.08</v>
      </c>
    </row>
    <row r="6280" customFormat="false" ht="15" hidden="false" customHeight="false" outlineLevel="0" collapsed="false">
      <c r="I6280" s="0" t="n">
        <v>2033</v>
      </c>
      <c r="J6280" s="0" t="n">
        <v>24.36</v>
      </c>
      <c r="K6280" s="0" t="n">
        <v>511.56</v>
      </c>
    </row>
    <row r="6281" customFormat="false" ht="15" hidden="false" customHeight="false" outlineLevel="0" collapsed="false">
      <c r="I6281" s="0" t="n">
        <v>2033</v>
      </c>
      <c r="J6281" s="0" t="n">
        <v>40.6</v>
      </c>
      <c r="K6281" s="0" t="n">
        <v>852.6</v>
      </c>
    </row>
    <row r="6282" customFormat="false" ht="15" hidden="false" customHeight="false" outlineLevel="0" collapsed="false">
      <c r="I6282" s="0" t="n">
        <v>2033</v>
      </c>
      <c r="J6282" s="0" t="n">
        <v>8.12</v>
      </c>
      <c r="K6282" s="0" t="n">
        <v>170.52</v>
      </c>
    </row>
    <row r="6283" customFormat="false" ht="15" hidden="false" customHeight="false" outlineLevel="0" collapsed="false">
      <c r="I6283" s="0" t="n">
        <v>2033</v>
      </c>
      <c r="J6283" s="0" t="n">
        <v>8.12</v>
      </c>
      <c r="K6283" s="0" t="n">
        <v>170.52</v>
      </c>
    </row>
    <row r="6284" customFormat="false" ht="15" hidden="false" customHeight="false" outlineLevel="0" collapsed="false">
      <c r="I6284" s="0" t="n">
        <v>2033</v>
      </c>
      <c r="J6284" s="0" t="n">
        <v>0</v>
      </c>
      <c r="K6284" s="0" t="n">
        <v>0</v>
      </c>
    </row>
    <row r="6285" customFormat="false" ht="15" hidden="false" customHeight="false" outlineLevel="0" collapsed="false">
      <c r="I6285" s="0" t="n">
        <v>2033</v>
      </c>
      <c r="J6285" s="0" t="n">
        <v>16.24</v>
      </c>
      <c r="K6285" s="0" t="n">
        <v>341.04</v>
      </c>
    </row>
    <row r="6286" customFormat="false" ht="15" hidden="false" customHeight="false" outlineLevel="0" collapsed="false">
      <c r="I6286" s="0" t="n">
        <v>2033</v>
      </c>
      <c r="J6286" s="0" t="n">
        <v>28.42</v>
      </c>
      <c r="K6286" s="0" t="n">
        <v>596.82</v>
      </c>
    </row>
    <row r="6287" customFormat="false" ht="15" hidden="false" customHeight="false" outlineLevel="0" collapsed="false">
      <c r="I6287" s="0" t="n">
        <v>2033</v>
      </c>
      <c r="J6287" s="0" t="n">
        <v>8.12</v>
      </c>
      <c r="K6287" s="0" t="n">
        <v>170.52</v>
      </c>
    </row>
    <row r="6288" customFormat="false" ht="15" hidden="false" customHeight="false" outlineLevel="0" collapsed="false">
      <c r="I6288" s="0" t="n">
        <v>2033</v>
      </c>
      <c r="J6288" s="0" t="n">
        <v>28.42</v>
      </c>
      <c r="K6288" s="0" t="n">
        <v>596.82</v>
      </c>
    </row>
    <row r="6289" customFormat="false" ht="15" hidden="false" customHeight="false" outlineLevel="0" collapsed="false">
      <c r="I6289" s="0" t="n">
        <v>2033</v>
      </c>
      <c r="J6289" s="0" t="n">
        <v>49.92</v>
      </c>
      <c r="K6289" s="0" t="n">
        <v>1049.28</v>
      </c>
    </row>
    <row r="6290" customFormat="false" ht="15" hidden="false" customHeight="false" outlineLevel="0" collapsed="false">
      <c r="I6290" s="0" t="n">
        <v>2033</v>
      </c>
      <c r="J6290" s="0" t="n">
        <v>16.64</v>
      </c>
      <c r="K6290" s="0" t="n">
        <v>349.76</v>
      </c>
    </row>
    <row r="6291" customFormat="false" ht="15" hidden="false" customHeight="false" outlineLevel="0" collapsed="false">
      <c r="I6291" s="0" t="n">
        <v>2033</v>
      </c>
      <c r="J6291" s="0" t="n">
        <v>7.28</v>
      </c>
      <c r="K6291" s="0" t="n">
        <v>153.02</v>
      </c>
    </row>
    <row r="6292" customFormat="false" ht="15" hidden="false" customHeight="false" outlineLevel="0" collapsed="false">
      <c r="I6292" s="0" t="n">
        <v>2033</v>
      </c>
      <c r="J6292" s="0" t="n">
        <v>4.16</v>
      </c>
      <c r="K6292" s="0" t="n">
        <v>87.44</v>
      </c>
    </row>
    <row r="6293" customFormat="false" ht="15" hidden="false" customHeight="false" outlineLevel="0" collapsed="false">
      <c r="I6293" s="0" t="n">
        <v>2033</v>
      </c>
      <c r="J6293" s="0" t="n">
        <v>4.16</v>
      </c>
      <c r="K6293" s="0" t="n">
        <v>87.44</v>
      </c>
    </row>
    <row r="6294" customFormat="false" ht="15" hidden="false" customHeight="false" outlineLevel="0" collapsed="false">
      <c r="I6294" s="0" t="n">
        <v>2033</v>
      </c>
      <c r="J6294" s="0" t="n">
        <v>2.08</v>
      </c>
      <c r="K6294" s="0" t="n">
        <v>43.72</v>
      </c>
    </row>
    <row r="6295" customFormat="false" ht="15" hidden="false" customHeight="false" outlineLevel="0" collapsed="false">
      <c r="I6295" s="0" t="n">
        <v>2033</v>
      </c>
      <c r="J6295" s="0" t="n">
        <v>2.08</v>
      </c>
      <c r="K6295" s="0" t="n">
        <v>43.72</v>
      </c>
    </row>
    <row r="6296" customFormat="false" ht="15" hidden="false" customHeight="false" outlineLevel="0" collapsed="false">
      <c r="I6296" s="0" t="n">
        <v>2033</v>
      </c>
      <c r="J6296" s="0" t="n">
        <v>4.16</v>
      </c>
      <c r="K6296" s="0" t="n">
        <v>87.44</v>
      </c>
    </row>
    <row r="6297" customFormat="false" ht="15" hidden="false" customHeight="false" outlineLevel="0" collapsed="false">
      <c r="I6297" s="0" t="n">
        <v>2033</v>
      </c>
      <c r="J6297" s="0" t="n">
        <v>7.28</v>
      </c>
      <c r="K6297" s="0" t="n">
        <v>153.02</v>
      </c>
    </row>
    <row r="6298" customFormat="false" ht="15" hidden="false" customHeight="false" outlineLevel="0" collapsed="false">
      <c r="I6298" s="0" t="n">
        <v>2033</v>
      </c>
      <c r="J6298" s="0" t="n">
        <v>3.12</v>
      </c>
      <c r="K6298" s="0" t="n">
        <v>65.58</v>
      </c>
    </row>
    <row r="6299" customFormat="false" ht="15" hidden="false" customHeight="false" outlineLevel="0" collapsed="false">
      <c r="I6299" s="0" t="n">
        <v>2033</v>
      </c>
      <c r="J6299" s="0" t="n">
        <v>3.12</v>
      </c>
      <c r="K6299" s="0" t="n">
        <v>65.58</v>
      </c>
    </row>
    <row r="6300" customFormat="false" ht="15" hidden="false" customHeight="false" outlineLevel="0" collapsed="false">
      <c r="I6300" s="0" t="n">
        <v>2033</v>
      </c>
      <c r="J6300" s="0" t="n">
        <v>10.4</v>
      </c>
      <c r="K6300" s="0" t="n">
        <v>215.8</v>
      </c>
    </row>
    <row r="6301" customFormat="false" ht="15" hidden="false" customHeight="false" outlineLevel="0" collapsed="false">
      <c r="I6301" s="0" t="n">
        <v>2033</v>
      </c>
      <c r="J6301" s="0" t="n">
        <v>1.6</v>
      </c>
      <c r="K6301" s="0" t="n">
        <v>33.2</v>
      </c>
    </row>
    <row r="6302" customFormat="false" ht="15" hidden="false" customHeight="false" outlineLevel="0" collapsed="false">
      <c r="I6302" s="0" t="n">
        <v>2033</v>
      </c>
      <c r="J6302" s="0" t="n">
        <v>1.2</v>
      </c>
      <c r="K6302" s="0" t="n">
        <v>24.9</v>
      </c>
    </row>
    <row r="6303" customFormat="false" ht="15" hidden="false" customHeight="false" outlineLevel="0" collapsed="false">
      <c r="I6303" s="0" t="n">
        <v>2033</v>
      </c>
      <c r="J6303" s="0" t="n">
        <v>2</v>
      </c>
      <c r="K6303" s="0" t="n">
        <v>41.5</v>
      </c>
    </row>
    <row r="6304" customFormat="false" ht="15" hidden="false" customHeight="false" outlineLevel="0" collapsed="false">
      <c r="I6304" s="0" t="n">
        <v>2033</v>
      </c>
      <c r="J6304" s="0" t="n">
        <v>0.4</v>
      </c>
      <c r="K6304" s="0" t="n">
        <v>8.3</v>
      </c>
    </row>
    <row r="6305" customFormat="false" ht="15" hidden="false" customHeight="false" outlineLevel="0" collapsed="false">
      <c r="I6305" s="0" t="n">
        <v>2033</v>
      </c>
      <c r="J6305" s="0" t="n">
        <v>0.4</v>
      </c>
      <c r="K6305" s="0" t="n">
        <v>8.3</v>
      </c>
    </row>
    <row r="6306" customFormat="false" ht="15" hidden="false" customHeight="false" outlineLevel="0" collapsed="false">
      <c r="I6306" s="0" t="n">
        <v>2033</v>
      </c>
      <c r="J6306" s="0" t="n">
        <v>0</v>
      </c>
      <c r="K6306" s="0" t="n">
        <v>0</v>
      </c>
    </row>
    <row r="6307" customFormat="false" ht="15" hidden="false" customHeight="false" outlineLevel="0" collapsed="false">
      <c r="I6307" s="0" t="n">
        <v>2033</v>
      </c>
      <c r="J6307" s="0" t="n">
        <v>0.8</v>
      </c>
      <c r="K6307" s="0" t="n">
        <v>16.6</v>
      </c>
    </row>
    <row r="6308" customFormat="false" ht="15" hidden="false" customHeight="false" outlineLevel="0" collapsed="false">
      <c r="I6308" s="0" t="n">
        <v>2033</v>
      </c>
      <c r="J6308" s="0" t="n">
        <v>1.4</v>
      </c>
      <c r="K6308" s="0" t="n">
        <v>29.05</v>
      </c>
    </row>
    <row r="6309" customFormat="false" ht="15" hidden="false" customHeight="false" outlineLevel="0" collapsed="false">
      <c r="I6309" s="0" t="n">
        <v>2033</v>
      </c>
      <c r="J6309" s="0" t="n">
        <v>0.4</v>
      </c>
      <c r="K6309" s="0" t="n">
        <v>8.3</v>
      </c>
    </row>
    <row r="6310" customFormat="false" ht="15" hidden="false" customHeight="false" outlineLevel="0" collapsed="false">
      <c r="I6310" s="0" t="n">
        <v>2033</v>
      </c>
      <c r="J6310" s="0" t="n">
        <v>1.4</v>
      </c>
      <c r="K6310" s="0" t="n">
        <v>29.05</v>
      </c>
    </row>
    <row r="6311" customFormat="false" ht="15" hidden="false" customHeight="false" outlineLevel="0" collapsed="false">
      <c r="I6311" s="0" t="n">
        <v>2033</v>
      </c>
      <c r="J6311" s="0" t="n">
        <v>32.16</v>
      </c>
      <c r="K6311" s="0" t="n">
        <v>676.8</v>
      </c>
    </row>
    <row r="6312" customFormat="false" ht="15" hidden="false" customHeight="false" outlineLevel="0" collapsed="false">
      <c r="I6312" s="0" t="n">
        <v>2033</v>
      </c>
      <c r="J6312" s="0" t="n">
        <v>10.72</v>
      </c>
      <c r="K6312" s="0" t="n">
        <v>225.6</v>
      </c>
    </row>
    <row r="6313" customFormat="false" ht="15" hidden="false" customHeight="false" outlineLevel="0" collapsed="false">
      <c r="I6313" s="0" t="n">
        <v>2033</v>
      </c>
      <c r="J6313" s="0" t="n">
        <v>4.69</v>
      </c>
      <c r="K6313" s="0" t="n">
        <v>98.7</v>
      </c>
    </row>
    <row r="6314" customFormat="false" ht="15" hidden="false" customHeight="false" outlineLevel="0" collapsed="false">
      <c r="I6314" s="0" t="n">
        <v>2033</v>
      </c>
      <c r="J6314" s="0" t="n">
        <v>2.68</v>
      </c>
      <c r="K6314" s="0" t="n">
        <v>56.4</v>
      </c>
    </row>
    <row r="6315" customFormat="false" ht="15" hidden="false" customHeight="false" outlineLevel="0" collapsed="false">
      <c r="I6315" s="0" t="n">
        <v>2033</v>
      </c>
      <c r="J6315" s="0" t="n">
        <v>2.68</v>
      </c>
      <c r="K6315" s="0" t="n">
        <v>56.4</v>
      </c>
    </row>
    <row r="6316" customFormat="false" ht="15" hidden="false" customHeight="false" outlineLevel="0" collapsed="false">
      <c r="I6316" s="0" t="n">
        <v>2033</v>
      </c>
      <c r="J6316" s="0" t="n">
        <v>1.34</v>
      </c>
      <c r="K6316" s="0" t="n">
        <v>28.2</v>
      </c>
    </row>
    <row r="6317" customFormat="false" ht="15" hidden="false" customHeight="false" outlineLevel="0" collapsed="false">
      <c r="I6317" s="0" t="n">
        <v>2033</v>
      </c>
      <c r="J6317" s="0" t="n">
        <v>1.34</v>
      </c>
      <c r="K6317" s="0" t="n">
        <v>28.2</v>
      </c>
    </row>
    <row r="6318" customFormat="false" ht="15" hidden="false" customHeight="false" outlineLevel="0" collapsed="false">
      <c r="I6318" s="0" t="n">
        <v>2033</v>
      </c>
      <c r="J6318" s="0" t="n">
        <v>2.68</v>
      </c>
      <c r="K6318" s="0" t="n">
        <v>56.4</v>
      </c>
    </row>
    <row r="6319" customFormat="false" ht="15" hidden="false" customHeight="false" outlineLevel="0" collapsed="false">
      <c r="I6319" s="0" t="n">
        <v>2033</v>
      </c>
      <c r="J6319" s="0" t="n">
        <v>4.69</v>
      </c>
      <c r="K6319" s="0" t="n">
        <v>98.7</v>
      </c>
    </row>
    <row r="6320" customFormat="false" ht="15" hidden="false" customHeight="false" outlineLevel="0" collapsed="false">
      <c r="I6320" s="0" t="n">
        <v>2033</v>
      </c>
      <c r="J6320" s="0" t="n">
        <v>2.01</v>
      </c>
      <c r="K6320" s="0" t="n">
        <v>42.3</v>
      </c>
    </row>
    <row r="6321" customFormat="false" ht="15" hidden="false" customHeight="false" outlineLevel="0" collapsed="false">
      <c r="I6321" s="0" t="n">
        <v>2033</v>
      </c>
      <c r="J6321" s="0" t="n">
        <v>2.01</v>
      </c>
      <c r="K6321" s="0" t="n">
        <v>42.3</v>
      </c>
    </row>
    <row r="6322" customFormat="false" ht="15" hidden="false" customHeight="false" outlineLevel="0" collapsed="false">
      <c r="I6322" s="0" t="n">
        <v>2033</v>
      </c>
      <c r="J6322" s="0" t="n">
        <v>26.52</v>
      </c>
      <c r="K6322" s="0" t="n">
        <v>553.8</v>
      </c>
    </row>
    <row r="6323" customFormat="false" ht="15" hidden="false" customHeight="false" outlineLevel="0" collapsed="false">
      <c r="I6323" s="0" t="n">
        <v>2033</v>
      </c>
      <c r="J6323" s="0" t="n">
        <v>4.08</v>
      </c>
      <c r="K6323" s="0" t="n">
        <v>85.2</v>
      </c>
    </row>
    <row r="6324" customFormat="false" ht="15" hidden="false" customHeight="false" outlineLevel="0" collapsed="false">
      <c r="I6324" s="0" t="n">
        <v>2033</v>
      </c>
      <c r="J6324" s="0" t="n">
        <v>3.06</v>
      </c>
      <c r="K6324" s="0" t="n">
        <v>63.9</v>
      </c>
    </row>
    <row r="6325" customFormat="false" ht="15" hidden="false" customHeight="false" outlineLevel="0" collapsed="false">
      <c r="I6325" s="0" t="n">
        <v>2033</v>
      </c>
      <c r="J6325" s="0" t="n">
        <v>5.1</v>
      </c>
      <c r="K6325" s="0" t="n">
        <v>106.5</v>
      </c>
    </row>
    <row r="6326" customFormat="false" ht="15" hidden="false" customHeight="false" outlineLevel="0" collapsed="false">
      <c r="I6326" s="0" t="n">
        <v>2033</v>
      </c>
      <c r="J6326" s="0" t="n">
        <v>1.02</v>
      </c>
      <c r="K6326" s="0" t="n">
        <v>21.3</v>
      </c>
    </row>
    <row r="6327" customFormat="false" ht="15" hidden="false" customHeight="false" outlineLevel="0" collapsed="false">
      <c r="I6327" s="0" t="n">
        <v>2033</v>
      </c>
      <c r="J6327" s="0" t="n">
        <v>1.02</v>
      </c>
      <c r="K6327" s="0" t="n">
        <v>21.3</v>
      </c>
    </row>
    <row r="6328" customFormat="false" ht="15" hidden="false" customHeight="false" outlineLevel="0" collapsed="false">
      <c r="I6328" s="0" t="n">
        <v>2033</v>
      </c>
      <c r="J6328" s="0" t="n">
        <v>0</v>
      </c>
      <c r="K6328" s="0" t="n">
        <v>0</v>
      </c>
    </row>
    <row r="6329" customFormat="false" ht="15" hidden="false" customHeight="false" outlineLevel="0" collapsed="false">
      <c r="I6329" s="0" t="n">
        <v>2033</v>
      </c>
      <c r="J6329" s="0" t="n">
        <v>2.04</v>
      </c>
      <c r="K6329" s="0" t="n">
        <v>42.6</v>
      </c>
    </row>
    <row r="6330" customFormat="false" ht="15" hidden="false" customHeight="false" outlineLevel="0" collapsed="false">
      <c r="I6330" s="0" t="n">
        <v>2033</v>
      </c>
      <c r="J6330" s="0" t="n">
        <v>3.57</v>
      </c>
      <c r="K6330" s="0" t="n">
        <v>74.55</v>
      </c>
    </row>
    <row r="6331" customFormat="false" ht="15" hidden="false" customHeight="false" outlineLevel="0" collapsed="false">
      <c r="I6331" s="0" t="n">
        <v>2033</v>
      </c>
      <c r="J6331" s="0" t="n">
        <v>1.02</v>
      </c>
      <c r="K6331" s="0" t="n">
        <v>21.3</v>
      </c>
    </row>
    <row r="6332" customFormat="false" ht="15" hidden="false" customHeight="false" outlineLevel="0" collapsed="false">
      <c r="I6332" s="0" t="n">
        <v>2033</v>
      </c>
      <c r="J6332" s="0" t="n">
        <v>3.57</v>
      </c>
      <c r="K6332" s="0" t="n">
        <v>74.55</v>
      </c>
    </row>
    <row r="6333" customFormat="false" ht="15" hidden="false" customHeight="false" outlineLevel="0" collapsed="false">
      <c r="I6333" s="0" t="n">
        <v>2033</v>
      </c>
      <c r="J6333" s="0" t="n">
        <v>141.6</v>
      </c>
      <c r="K6333" s="0" t="n">
        <v>2971.68</v>
      </c>
    </row>
    <row r="6334" customFormat="false" ht="15" hidden="false" customHeight="false" outlineLevel="0" collapsed="false">
      <c r="I6334" s="0" t="n">
        <v>2033</v>
      </c>
      <c r="J6334" s="0" t="n">
        <v>47.2</v>
      </c>
      <c r="K6334" s="0" t="n">
        <v>990.56</v>
      </c>
    </row>
    <row r="6335" customFormat="false" ht="15" hidden="false" customHeight="false" outlineLevel="0" collapsed="false">
      <c r="I6335" s="0" t="n">
        <v>2033</v>
      </c>
      <c r="J6335" s="0" t="n">
        <v>20.65</v>
      </c>
      <c r="K6335" s="0" t="n">
        <v>433.37</v>
      </c>
    </row>
    <row r="6336" customFormat="false" ht="15" hidden="false" customHeight="false" outlineLevel="0" collapsed="false">
      <c r="I6336" s="0" t="n">
        <v>2033</v>
      </c>
      <c r="J6336" s="0" t="n">
        <v>11.8</v>
      </c>
      <c r="K6336" s="0" t="n">
        <v>247.64</v>
      </c>
    </row>
    <row r="6337" customFormat="false" ht="15" hidden="false" customHeight="false" outlineLevel="0" collapsed="false">
      <c r="I6337" s="0" t="n">
        <v>2033</v>
      </c>
      <c r="J6337" s="0" t="n">
        <v>11.8</v>
      </c>
      <c r="K6337" s="0" t="n">
        <v>247.64</v>
      </c>
    </row>
    <row r="6338" customFormat="false" ht="15" hidden="false" customHeight="false" outlineLevel="0" collapsed="false">
      <c r="I6338" s="0" t="n">
        <v>2033</v>
      </c>
      <c r="J6338" s="0" t="n">
        <v>5.9</v>
      </c>
      <c r="K6338" s="0" t="n">
        <v>123.82</v>
      </c>
    </row>
    <row r="6339" customFormat="false" ht="15" hidden="false" customHeight="false" outlineLevel="0" collapsed="false">
      <c r="I6339" s="0" t="n">
        <v>2033</v>
      </c>
      <c r="J6339" s="0" t="n">
        <v>5.9</v>
      </c>
      <c r="K6339" s="0" t="n">
        <v>123.82</v>
      </c>
    </row>
    <row r="6340" customFormat="false" ht="15" hidden="false" customHeight="false" outlineLevel="0" collapsed="false">
      <c r="I6340" s="0" t="n">
        <v>2033</v>
      </c>
      <c r="J6340" s="0" t="n">
        <v>11.8</v>
      </c>
      <c r="K6340" s="0" t="n">
        <v>247.64</v>
      </c>
    </row>
    <row r="6341" customFormat="false" ht="15" hidden="false" customHeight="false" outlineLevel="0" collapsed="false">
      <c r="I6341" s="0" t="n">
        <v>2033</v>
      </c>
      <c r="J6341" s="0" t="n">
        <v>20.65</v>
      </c>
      <c r="K6341" s="0" t="n">
        <v>433.37</v>
      </c>
    </row>
    <row r="6342" customFormat="false" ht="15" hidden="false" customHeight="false" outlineLevel="0" collapsed="false">
      <c r="I6342" s="0" t="n">
        <v>2033</v>
      </c>
      <c r="J6342" s="0" t="n">
        <v>8.85</v>
      </c>
      <c r="K6342" s="0" t="n">
        <v>185.73</v>
      </c>
    </row>
    <row r="6343" customFormat="false" ht="15" hidden="false" customHeight="false" outlineLevel="0" collapsed="false">
      <c r="I6343" s="0" t="n">
        <v>2033</v>
      </c>
      <c r="J6343" s="0" t="n">
        <v>8.85</v>
      </c>
      <c r="K6343" s="0" t="n">
        <v>185.73</v>
      </c>
    </row>
    <row r="6344" customFormat="false" ht="15" hidden="false" customHeight="false" outlineLevel="0" collapsed="false">
      <c r="I6344" s="0" t="n">
        <v>2033</v>
      </c>
      <c r="J6344" s="0" t="n">
        <v>55.64</v>
      </c>
      <c r="K6344" s="0" t="n">
        <v>1165.32</v>
      </c>
    </row>
    <row r="6345" customFormat="false" ht="15" hidden="false" customHeight="false" outlineLevel="0" collapsed="false">
      <c r="I6345" s="0" t="n">
        <v>2033</v>
      </c>
      <c r="J6345" s="0" t="n">
        <v>8.56</v>
      </c>
      <c r="K6345" s="0" t="n">
        <v>179.28</v>
      </c>
    </row>
    <row r="6346" customFormat="false" ht="15" hidden="false" customHeight="false" outlineLevel="0" collapsed="false">
      <c r="I6346" s="0" t="n">
        <v>2033</v>
      </c>
      <c r="J6346" s="0" t="n">
        <v>6.42</v>
      </c>
      <c r="K6346" s="0" t="n">
        <v>134.46</v>
      </c>
    </row>
    <row r="6347" customFormat="false" ht="15" hidden="false" customHeight="false" outlineLevel="0" collapsed="false">
      <c r="I6347" s="0" t="n">
        <v>2033</v>
      </c>
      <c r="J6347" s="0" t="n">
        <v>10.7</v>
      </c>
      <c r="K6347" s="0" t="n">
        <v>224.1</v>
      </c>
    </row>
    <row r="6348" customFormat="false" ht="15" hidden="false" customHeight="false" outlineLevel="0" collapsed="false">
      <c r="I6348" s="0" t="n">
        <v>2033</v>
      </c>
      <c r="J6348" s="0" t="n">
        <v>2.14</v>
      </c>
      <c r="K6348" s="0" t="n">
        <v>44.82</v>
      </c>
    </row>
    <row r="6349" customFormat="false" ht="15" hidden="false" customHeight="false" outlineLevel="0" collapsed="false">
      <c r="I6349" s="0" t="n">
        <v>2033</v>
      </c>
      <c r="J6349" s="0" t="n">
        <v>2.14</v>
      </c>
      <c r="K6349" s="0" t="n">
        <v>44.82</v>
      </c>
    </row>
    <row r="6350" customFormat="false" ht="15" hidden="false" customHeight="false" outlineLevel="0" collapsed="false">
      <c r="I6350" s="0" t="n">
        <v>2033</v>
      </c>
      <c r="J6350" s="0" t="n">
        <v>0</v>
      </c>
      <c r="K6350" s="0" t="n">
        <v>0</v>
      </c>
    </row>
    <row r="6351" customFormat="false" ht="15" hidden="false" customHeight="false" outlineLevel="0" collapsed="false">
      <c r="I6351" s="0" t="n">
        <v>2033</v>
      </c>
      <c r="J6351" s="0" t="n">
        <v>4.28</v>
      </c>
      <c r="K6351" s="0" t="n">
        <v>89.64</v>
      </c>
    </row>
    <row r="6352" customFormat="false" ht="15" hidden="false" customHeight="false" outlineLevel="0" collapsed="false">
      <c r="I6352" s="0" t="n">
        <v>2033</v>
      </c>
      <c r="J6352" s="0" t="n">
        <v>7.49</v>
      </c>
      <c r="K6352" s="0" t="n">
        <v>156.87</v>
      </c>
    </row>
    <row r="6353" customFormat="false" ht="15" hidden="false" customHeight="false" outlineLevel="0" collapsed="false">
      <c r="I6353" s="0" t="n">
        <v>2033</v>
      </c>
      <c r="J6353" s="0" t="n">
        <v>2.14</v>
      </c>
      <c r="K6353" s="0" t="n">
        <v>44.82</v>
      </c>
    </row>
    <row r="6354" customFormat="false" ht="15" hidden="false" customHeight="false" outlineLevel="0" collapsed="false">
      <c r="I6354" s="0" t="n">
        <v>2033</v>
      </c>
      <c r="J6354" s="0" t="n">
        <v>7.49</v>
      </c>
      <c r="K6354" s="0" t="n">
        <v>156.87</v>
      </c>
    </row>
    <row r="6355" customFormat="false" ht="15" hidden="false" customHeight="false" outlineLevel="0" collapsed="false">
      <c r="I6355" s="0" t="n">
        <v>2034</v>
      </c>
      <c r="J6355" s="0" t="n">
        <v>893.76</v>
      </c>
      <c r="K6355" s="0" t="n">
        <v>18771.36</v>
      </c>
    </row>
    <row r="6356" customFormat="false" ht="15" hidden="false" customHeight="false" outlineLevel="0" collapsed="false">
      <c r="I6356" s="0" t="n">
        <v>2034</v>
      </c>
      <c r="J6356" s="0" t="n">
        <v>297.92</v>
      </c>
      <c r="K6356" s="0" t="n">
        <v>6257.12</v>
      </c>
    </row>
    <row r="6357" customFormat="false" ht="15" hidden="false" customHeight="false" outlineLevel="0" collapsed="false">
      <c r="I6357" s="0" t="n">
        <v>2034</v>
      </c>
      <c r="J6357" s="0" t="n">
        <v>130.34</v>
      </c>
      <c r="K6357" s="0" t="n">
        <v>2737.49</v>
      </c>
    </row>
    <row r="6358" customFormat="false" ht="15" hidden="false" customHeight="false" outlineLevel="0" collapsed="false">
      <c r="I6358" s="0" t="n">
        <v>2034</v>
      </c>
      <c r="J6358" s="0" t="n">
        <v>74.48</v>
      </c>
      <c r="K6358" s="0" t="n">
        <v>1564.28</v>
      </c>
    </row>
    <row r="6359" customFormat="false" ht="15" hidden="false" customHeight="false" outlineLevel="0" collapsed="false">
      <c r="I6359" s="0" t="n">
        <v>2034</v>
      </c>
      <c r="J6359" s="0" t="n">
        <v>74.48</v>
      </c>
      <c r="K6359" s="0" t="n">
        <v>1564.28</v>
      </c>
    </row>
    <row r="6360" customFormat="false" ht="15" hidden="false" customHeight="false" outlineLevel="0" collapsed="false">
      <c r="I6360" s="0" t="n">
        <v>2034</v>
      </c>
      <c r="J6360" s="0" t="n">
        <v>37.24</v>
      </c>
      <c r="K6360" s="0" t="n">
        <v>782.14</v>
      </c>
    </row>
    <row r="6361" customFormat="false" ht="15" hidden="false" customHeight="false" outlineLevel="0" collapsed="false">
      <c r="I6361" s="0" t="n">
        <v>2034</v>
      </c>
      <c r="J6361" s="0" t="n">
        <v>37.24</v>
      </c>
      <c r="K6361" s="0" t="n">
        <v>782.14</v>
      </c>
    </row>
    <row r="6362" customFormat="false" ht="15" hidden="false" customHeight="false" outlineLevel="0" collapsed="false">
      <c r="I6362" s="0" t="n">
        <v>2034</v>
      </c>
      <c r="J6362" s="0" t="n">
        <v>74.48</v>
      </c>
      <c r="K6362" s="0" t="n">
        <v>1564.28</v>
      </c>
    </row>
    <row r="6363" customFormat="false" ht="15" hidden="false" customHeight="false" outlineLevel="0" collapsed="false">
      <c r="I6363" s="0" t="n">
        <v>2034</v>
      </c>
      <c r="J6363" s="0" t="n">
        <v>130.34</v>
      </c>
      <c r="K6363" s="0" t="n">
        <v>2737.49</v>
      </c>
    </row>
    <row r="6364" customFormat="false" ht="15" hidden="false" customHeight="false" outlineLevel="0" collapsed="false">
      <c r="I6364" s="0" t="n">
        <v>2034</v>
      </c>
      <c r="J6364" s="0" t="n">
        <v>55.86</v>
      </c>
      <c r="K6364" s="0" t="n">
        <v>1173.21</v>
      </c>
    </row>
    <row r="6365" customFormat="false" ht="15" hidden="false" customHeight="false" outlineLevel="0" collapsed="false">
      <c r="I6365" s="0" t="n">
        <v>2034</v>
      </c>
      <c r="J6365" s="0" t="n">
        <v>55.86</v>
      </c>
      <c r="K6365" s="0" t="n">
        <v>1173.21</v>
      </c>
    </row>
    <row r="6366" customFormat="false" ht="15" hidden="false" customHeight="false" outlineLevel="0" collapsed="false">
      <c r="I6366" s="0" t="n">
        <v>2034</v>
      </c>
      <c r="J6366" s="0" t="n">
        <v>61.88</v>
      </c>
      <c r="K6366" s="0" t="n">
        <v>1301.56</v>
      </c>
    </row>
    <row r="6367" customFormat="false" ht="15" hidden="false" customHeight="false" outlineLevel="0" collapsed="false">
      <c r="I6367" s="0" t="n">
        <v>2034</v>
      </c>
      <c r="J6367" s="0" t="n">
        <v>9.52</v>
      </c>
      <c r="K6367" s="0" t="n">
        <v>200.24</v>
      </c>
    </row>
    <row r="6368" customFormat="false" ht="15" hidden="false" customHeight="false" outlineLevel="0" collapsed="false">
      <c r="I6368" s="0" t="n">
        <v>2034</v>
      </c>
      <c r="J6368" s="0" t="n">
        <v>7.14</v>
      </c>
      <c r="K6368" s="0" t="n">
        <v>150.18</v>
      </c>
    </row>
    <row r="6369" customFormat="false" ht="15" hidden="false" customHeight="false" outlineLevel="0" collapsed="false">
      <c r="I6369" s="0" t="n">
        <v>2034</v>
      </c>
      <c r="J6369" s="0" t="n">
        <v>11.9</v>
      </c>
      <c r="K6369" s="0" t="n">
        <v>250.3</v>
      </c>
    </row>
    <row r="6370" customFormat="false" ht="15" hidden="false" customHeight="false" outlineLevel="0" collapsed="false">
      <c r="I6370" s="0" t="n">
        <v>2034</v>
      </c>
      <c r="J6370" s="0" t="n">
        <v>2.38</v>
      </c>
      <c r="K6370" s="0" t="n">
        <v>50.06</v>
      </c>
    </row>
    <row r="6371" customFormat="false" ht="15" hidden="false" customHeight="false" outlineLevel="0" collapsed="false">
      <c r="I6371" s="0" t="n">
        <v>2034</v>
      </c>
      <c r="J6371" s="0" t="n">
        <v>2.38</v>
      </c>
      <c r="K6371" s="0" t="n">
        <v>50.06</v>
      </c>
    </row>
    <row r="6372" customFormat="false" ht="15" hidden="false" customHeight="false" outlineLevel="0" collapsed="false">
      <c r="I6372" s="0" t="n">
        <v>2034</v>
      </c>
      <c r="J6372" s="0" t="n">
        <v>0</v>
      </c>
      <c r="K6372" s="0" t="n">
        <v>0</v>
      </c>
    </row>
    <row r="6373" customFormat="false" ht="15" hidden="false" customHeight="false" outlineLevel="0" collapsed="false">
      <c r="I6373" s="0" t="n">
        <v>2034</v>
      </c>
      <c r="J6373" s="0" t="n">
        <v>4.76</v>
      </c>
      <c r="K6373" s="0" t="n">
        <v>100.12</v>
      </c>
    </row>
    <row r="6374" customFormat="false" ht="15" hidden="false" customHeight="false" outlineLevel="0" collapsed="false">
      <c r="I6374" s="0" t="n">
        <v>2034</v>
      </c>
      <c r="J6374" s="0" t="n">
        <v>8.33</v>
      </c>
      <c r="K6374" s="0" t="n">
        <v>175.21</v>
      </c>
    </row>
    <row r="6375" customFormat="false" ht="15" hidden="false" customHeight="false" outlineLevel="0" collapsed="false">
      <c r="I6375" s="0" t="n">
        <v>2034</v>
      </c>
      <c r="J6375" s="0" t="n">
        <v>2.38</v>
      </c>
      <c r="K6375" s="0" t="n">
        <v>50.06</v>
      </c>
    </row>
    <row r="6376" customFormat="false" ht="15" hidden="false" customHeight="false" outlineLevel="0" collapsed="false">
      <c r="I6376" s="0" t="n">
        <v>2034</v>
      </c>
      <c r="J6376" s="0" t="n">
        <v>8.33</v>
      </c>
      <c r="K6376" s="0" t="n">
        <v>175.21</v>
      </c>
    </row>
    <row r="6377" customFormat="false" ht="15" hidden="false" customHeight="false" outlineLevel="0" collapsed="false">
      <c r="I6377" s="0" t="n">
        <v>2034</v>
      </c>
      <c r="J6377" s="0" t="n">
        <v>378.72</v>
      </c>
      <c r="K6377" s="0" t="n">
        <v>7954.56</v>
      </c>
    </row>
    <row r="6378" customFormat="false" ht="15" hidden="false" customHeight="false" outlineLevel="0" collapsed="false">
      <c r="I6378" s="0" t="n">
        <v>2034</v>
      </c>
      <c r="J6378" s="0" t="n">
        <v>126.24</v>
      </c>
      <c r="K6378" s="0" t="n">
        <v>2651.52</v>
      </c>
    </row>
    <row r="6379" customFormat="false" ht="15" hidden="false" customHeight="false" outlineLevel="0" collapsed="false">
      <c r="I6379" s="0" t="n">
        <v>2034</v>
      </c>
      <c r="J6379" s="0" t="n">
        <v>55.23</v>
      </c>
      <c r="K6379" s="0" t="n">
        <v>1160.04</v>
      </c>
    </row>
    <row r="6380" customFormat="false" ht="15" hidden="false" customHeight="false" outlineLevel="0" collapsed="false">
      <c r="I6380" s="0" t="n">
        <v>2034</v>
      </c>
      <c r="J6380" s="0" t="n">
        <v>31.56</v>
      </c>
      <c r="K6380" s="0" t="n">
        <v>662.88</v>
      </c>
    </row>
    <row r="6381" customFormat="false" ht="15" hidden="false" customHeight="false" outlineLevel="0" collapsed="false">
      <c r="I6381" s="0" t="n">
        <v>2034</v>
      </c>
      <c r="J6381" s="0" t="n">
        <v>31.56</v>
      </c>
      <c r="K6381" s="0" t="n">
        <v>662.88</v>
      </c>
    </row>
    <row r="6382" customFormat="false" ht="15" hidden="false" customHeight="false" outlineLevel="0" collapsed="false">
      <c r="I6382" s="0" t="n">
        <v>2034</v>
      </c>
      <c r="J6382" s="0" t="n">
        <v>15.78</v>
      </c>
      <c r="K6382" s="0" t="n">
        <v>331.44</v>
      </c>
    </row>
    <row r="6383" customFormat="false" ht="15" hidden="false" customHeight="false" outlineLevel="0" collapsed="false">
      <c r="I6383" s="0" t="n">
        <v>2034</v>
      </c>
      <c r="J6383" s="0" t="n">
        <v>15.78</v>
      </c>
      <c r="K6383" s="0" t="n">
        <v>331.44</v>
      </c>
    </row>
    <row r="6384" customFormat="false" ht="15" hidden="false" customHeight="false" outlineLevel="0" collapsed="false">
      <c r="I6384" s="0" t="n">
        <v>2034</v>
      </c>
      <c r="J6384" s="0" t="n">
        <v>31.56</v>
      </c>
      <c r="K6384" s="0" t="n">
        <v>662.88</v>
      </c>
    </row>
    <row r="6385" customFormat="false" ht="15" hidden="false" customHeight="false" outlineLevel="0" collapsed="false">
      <c r="I6385" s="0" t="n">
        <v>2034</v>
      </c>
      <c r="J6385" s="0" t="n">
        <v>55.23</v>
      </c>
      <c r="K6385" s="0" t="n">
        <v>1160.04</v>
      </c>
    </row>
    <row r="6386" customFormat="false" ht="15" hidden="false" customHeight="false" outlineLevel="0" collapsed="false">
      <c r="I6386" s="0" t="n">
        <v>2034</v>
      </c>
      <c r="J6386" s="0" t="n">
        <v>23.67</v>
      </c>
      <c r="K6386" s="0" t="n">
        <v>497.16</v>
      </c>
    </row>
    <row r="6387" customFormat="false" ht="15" hidden="false" customHeight="false" outlineLevel="0" collapsed="false">
      <c r="I6387" s="0" t="n">
        <v>2034</v>
      </c>
      <c r="J6387" s="0" t="n">
        <v>23.67</v>
      </c>
      <c r="K6387" s="0" t="n">
        <v>497.16</v>
      </c>
    </row>
    <row r="6388" customFormat="false" ht="15" hidden="false" customHeight="false" outlineLevel="0" collapsed="false">
      <c r="I6388" s="0" t="n">
        <v>2034</v>
      </c>
      <c r="J6388" s="0" t="n">
        <v>74.36</v>
      </c>
      <c r="K6388" s="0" t="n">
        <v>1561.56</v>
      </c>
    </row>
    <row r="6389" customFormat="false" ht="15" hidden="false" customHeight="false" outlineLevel="0" collapsed="false">
      <c r="I6389" s="0" t="n">
        <v>2034</v>
      </c>
      <c r="J6389" s="0" t="n">
        <v>11.44</v>
      </c>
      <c r="K6389" s="0" t="n">
        <v>240.24</v>
      </c>
    </row>
    <row r="6390" customFormat="false" ht="15" hidden="false" customHeight="false" outlineLevel="0" collapsed="false">
      <c r="I6390" s="0" t="n">
        <v>2034</v>
      </c>
      <c r="J6390" s="0" t="n">
        <v>8.58</v>
      </c>
      <c r="K6390" s="0" t="n">
        <v>180.18</v>
      </c>
    </row>
    <row r="6391" customFormat="false" ht="15" hidden="false" customHeight="false" outlineLevel="0" collapsed="false">
      <c r="I6391" s="0" t="n">
        <v>2034</v>
      </c>
      <c r="J6391" s="0" t="n">
        <v>14.3</v>
      </c>
      <c r="K6391" s="0" t="n">
        <v>300.3</v>
      </c>
    </row>
    <row r="6392" customFormat="false" ht="15" hidden="false" customHeight="false" outlineLevel="0" collapsed="false">
      <c r="I6392" s="0" t="n">
        <v>2034</v>
      </c>
      <c r="J6392" s="0" t="n">
        <v>2.86</v>
      </c>
      <c r="K6392" s="0" t="n">
        <v>60.06</v>
      </c>
    </row>
    <row r="6393" customFormat="false" ht="15" hidden="false" customHeight="false" outlineLevel="0" collapsed="false">
      <c r="I6393" s="0" t="n">
        <v>2034</v>
      </c>
      <c r="J6393" s="0" t="n">
        <v>2.86</v>
      </c>
      <c r="K6393" s="0" t="n">
        <v>60.06</v>
      </c>
    </row>
    <row r="6394" customFormat="false" ht="15" hidden="false" customHeight="false" outlineLevel="0" collapsed="false">
      <c r="I6394" s="0" t="n">
        <v>2034</v>
      </c>
      <c r="J6394" s="0" t="n">
        <v>0</v>
      </c>
      <c r="K6394" s="0" t="n">
        <v>0</v>
      </c>
    </row>
    <row r="6395" customFormat="false" ht="15" hidden="false" customHeight="false" outlineLevel="0" collapsed="false">
      <c r="I6395" s="0" t="n">
        <v>2034</v>
      </c>
      <c r="J6395" s="0" t="n">
        <v>5.72</v>
      </c>
      <c r="K6395" s="0" t="n">
        <v>120.12</v>
      </c>
    </row>
    <row r="6396" customFormat="false" ht="15" hidden="false" customHeight="false" outlineLevel="0" collapsed="false">
      <c r="I6396" s="0" t="n">
        <v>2034</v>
      </c>
      <c r="J6396" s="0" t="n">
        <v>10.01</v>
      </c>
      <c r="K6396" s="0" t="n">
        <v>210.21</v>
      </c>
    </row>
    <row r="6397" customFormat="false" ht="15" hidden="false" customHeight="false" outlineLevel="0" collapsed="false">
      <c r="I6397" s="0" t="n">
        <v>2034</v>
      </c>
      <c r="J6397" s="0" t="n">
        <v>2.86</v>
      </c>
      <c r="K6397" s="0" t="n">
        <v>60.06</v>
      </c>
    </row>
    <row r="6398" customFormat="false" ht="15" hidden="false" customHeight="false" outlineLevel="0" collapsed="false">
      <c r="I6398" s="0" t="n">
        <v>2034</v>
      </c>
      <c r="J6398" s="0" t="n">
        <v>10.01</v>
      </c>
      <c r="K6398" s="0" t="n">
        <v>210.21</v>
      </c>
    </row>
    <row r="6399" customFormat="false" ht="15" hidden="false" customHeight="false" outlineLevel="0" collapsed="false">
      <c r="I6399" s="0" t="n">
        <v>2034</v>
      </c>
      <c r="J6399" s="0" t="n">
        <v>241.44</v>
      </c>
      <c r="K6399" s="0" t="n">
        <v>5072.64</v>
      </c>
    </row>
    <row r="6400" customFormat="false" ht="15" hidden="false" customHeight="false" outlineLevel="0" collapsed="false">
      <c r="I6400" s="0" t="n">
        <v>2034</v>
      </c>
      <c r="J6400" s="0" t="n">
        <v>80.48</v>
      </c>
      <c r="K6400" s="0" t="n">
        <v>1690.88</v>
      </c>
    </row>
    <row r="6401" customFormat="false" ht="15" hidden="false" customHeight="false" outlineLevel="0" collapsed="false">
      <c r="I6401" s="0" t="n">
        <v>2034</v>
      </c>
      <c r="J6401" s="0" t="n">
        <v>35.21</v>
      </c>
      <c r="K6401" s="0" t="n">
        <v>739.76</v>
      </c>
    </row>
    <row r="6402" customFormat="false" ht="15" hidden="false" customHeight="false" outlineLevel="0" collapsed="false">
      <c r="I6402" s="0" t="n">
        <v>2034</v>
      </c>
      <c r="J6402" s="0" t="n">
        <v>20.12</v>
      </c>
      <c r="K6402" s="0" t="n">
        <v>422.72</v>
      </c>
    </row>
    <row r="6403" customFormat="false" ht="15" hidden="false" customHeight="false" outlineLevel="0" collapsed="false">
      <c r="I6403" s="0" t="n">
        <v>2034</v>
      </c>
      <c r="J6403" s="0" t="n">
        <v>20.12</v>
      </c>
      <c r="K6403" s="0" t="n">
        <v>422.72</v>
      </c>
    </row>
    <row r="6404" customFormat="false" ht="15" hidden="false" customHeight="false" outlineLevel="0" collapsed="false">
      <c r="I6404" s="0" t="n">
        <v>2034</v>
      </c>
      <c r="J6404" s="0" t="n">
        <v>10.06</v>
      </c>
      <c r="K6404" s="0" t="n">
        <v>211.36</v>
      </c>
    </row>
    <row r="6405" customFormat="false" ht="15" hidden="false" customHeight="false" outlineLevel="0" collapsed="false">
      <c r="I6405" s="0" t="n">
        <v>2034</v>
      </c>
      <c r="J6405" s="0" t="n">
        <v>10.06</v>
      </c>
      <c r="K6405" s="0" t="n">
        <v>211.36</v>
      </c>
    </row>
    <row r="6406" customFormat="false" ht="15" hidden="false" customHeight="false" outlineLevel="0" collapsed="false">
      <c r="I6406" s="0" t="n">
        <v>2034</v>
      </c>
      <c r="J6406" s="0" t="n">
        <v>20.12</v>
      </c>
      <c r="K6406" s="0" t="n">
        <v>422.72</v>
      </c>
    </row>
    <row r="6407" customFormat="false" ht="15" hidden="false" customHeight="false" outlineLevel="0" collapsed="false">
      <c r="I6407" s="0" t="n">
        <v>2034</v>
      </c>
      <c r="J6407" s="0" t="n">
        <v>35.21</v>
      </c>
      <c r="K6407" s="0" t="n">
        <v>739.76</v>
      </c>
    </row>
    <row r="6408" customFormat="false" ht="15" hidden="false" customHeight="false" outlineLevel="0" collapsed="false">
      <c r="I6408" s="0" t="n">
        <v>2034</v>
      </c>
      <c r="J6408" s="0" t="n">
        <v>15.09</v>
      </c>
      <c r="K6408" s="0" t="n">
        <v>317.04</v>
      </c>
    </row>
    <row r="6409" customFormat="false" ht="15" hidden="false" customHeight="false" outlineLevel="0" collapsed="false">
      <c r="I6409" s="0" t="n">
        <v>2034</v>
      </c>
      <c r="J6409" s="0" t="n">
        <v>15.09</v>
      </c>
      <c r="K6409" s="0" t="n">
        <v>317.04</v>
      </c>
    </row>
    <row r="6410" customFormat="false" ht="15" hidden="false" customHeight="false" outlineLevel="0" collapsed="false">
      <c r="I6410" s="0" t="n">
        <v>2034</v>
      </c>
      <c r="J6410" s="0" t="n">
        <v>61.88</v>
      </c>
      <c r="K6410" s="0" t="n">
        <v>1295.84</v>
      </c>
    </row>
    <row r="6411" customFormat="false" ht="15" hidden="false" customHeight="false" outlineLevel="0" collapsed="false">
      <c r="I6411" s="0" t="n">
        <v>2034</v>
      </c>
      <c r="J6411" s="0" t="n">
        <v>9.52</v>
      </c>
      <c r="K6411" s="0" t="n">
        <v>199.36</v>
      </c>
    </row>
    <row r="6412" customFormat="false" ht="15" hidden="false" customHeight="false" outlineLevel="0" collapsed="false">
      <c r="I6412" s="0" t="n">
        <v>2034</v>
      </c>
      <c r="J6412" s="0" t="n">
        <v>7.14</v>
      </c>
      <c r="K6412" s="0" t="n">
        <v>149.52</v>
      </c>
    </row>
    <row r="6413" customFormat="false" ht="15" hidden="false" customHeight="false" outlineLevel="0" collapsed="false">
      <c r="I6413" s="0" t="n">
        <v>2034</v>
      </c>
      <c r="J6413" s="0" t="n">
        <v>11.9</v>
      </c>
      <c r="K6413" s="0" t="n">
        <v>249.2</v>
      </c>
    </row>
    <row r="6414" customFormat="false" ht="15" hidden="false" customHeight="false" outlineLevel="0" collapsed="false">
      <c r="I6414" s="0" t="n">
        <v>2034</v>
      </c>
      <c r="J6414" s="0" t="n">
        <v>2.38</v>
      </c>
      <c r="K6414" s="0" t="n">
        <v>49.84</v>
      </c>
    </row>
    <row r="6415" customFormat="false" ht="15" hidden="false" customHeight="false" outlineLevel="0" collapsed="false">
      <c r="I6415" s="0" t="n">
        <v>2034</v>
      </c>
      <c r="J6415" s="0" t="n">
        <v>2.38</v>
      </c>
      <c r="K6415" s="0" t="n">
        <v>49.84</v>
      </c>
    </row>
    <row r="6416" customFormat="false" ht="15" hidden="false" customHeight="false" outlineLevel="0" collapsed="false">
      <c r="I6416" s="0" t="n">
        <v>2034</v>
      </c>
      <c r="J6416" s="0" t="n">
        <v>0</v>
      </c>
      <c r="K6416" s="0" t="n">
        <v>0</v>
      </c>
    </row>
    <row r="6417" customFormat="false" ht="15" hidden="false" customHeight="false" outlineLevel="0" collapsed="false">
      <c r="I6417" s="0" t="n">
        <v>2034</v>
      </c>
      <c r="J6417" s="0" t="n">
        <v>4.76</v>
      </c>
      <c r="K6417" s="0" t="n">
        <v>99.68</v>
      </c>
    </row>
    <row r="6418" customFormat="false" ht="15" hidden="false" customHeight="false" outlineLevel="0" collapsed="false">
      <c r="I6418" s="0" t="n">
        <v>2034</v>
      </c>
      <c r="J6418" s="0" t="n">
        <v>8.33</v>
      </c>
      <c r="K6418" s="0" t="n">
        <v>174.44</v>
      </c>
    </row>
    <row r="6419" customFormat="false" ht="15" hidden="false" customHeight="false" outlineLevel="0" collapsed="false">
      <c r="I6419" s="0" t="n">
        <v>2034</v>
      </c>
      <c r="J6419" s="0" t="n">
        <v>2.38</v>
      </c>
      <c r="K6419" s="0" t="n">
        <v>49.84</v>
      </c>
    </row>
    <row r="6420" customFormat="false" ht="15" hidden="false" customHeight="false" outlineLevel="0" collapsed="false">
      <c r="I6420" s="0" t="n">
        <v>2034</v>
      </c>
      <c r="J6420" s="0" t="n">
        <v>8.33</v>
      </c>
      <c r="K6420" s="0" t="n">
        <v>174.44</v>
      </c>
    </row>
    <row r="6421" customFormat="false" ht="15" hidden="false" customHeight="false" outlineLevel="0" collapsed="false">
      <c r="I6421" s="0" t="n">
        <v>2034</v>
      </c>
      <c r="J6421" s="0" t="n">
        <v>1080</v>
      </c>
      <c r="K6421" s="0" t="n">
        <v>22681.92</v>
      </c>
    </row>
    <row r="6422" customFormat="false" ht="15" hidden="false" customHeight="false" outlineLevel="0" collapsed="false">
      <c r="I6422" s="0" t="n">
        <v>2034</v>
      </c>
      <c r="J6422" s="0" t="n">
        <v>360</v>
      </c>
      <c r="K6422" s="0" t="n">
        <v>7560.64</v>
      </c>
    </row>
    <row r="6423" customFormat="false" ht="15" hidden="false" customHeight="false" outlineLevel="0" collapsed="false">
      <c r="I6423" s="0" t="n">
        <v>2034</v>
      </c>
      <c r="J6423" s="0" t="n">
        <v>157.5</v>
      </c>
      <c r="K6423" s="0" t="n">
        <v>3307.78</v>
      </c>
    </row>
    <row r="6424" customFormat="false" ht="15" hidden="false" customHeight="false" outlineLevel="0" collapsed="false">
      <c r="I6424" s="0" t="n">
        <v>2034</v>
      </c>
      <c r="J6424" s="0" t="n">
        <v>90</v>
      </c>
      <c r="K6424" s="0" t="n">
        <v>1890.16</v>
      </c>
    </row>
    <row r="6425" customFormat="false" ht="15" hidden="false" customHeight="false" outlineLevel="0" collapsed="false">
      <c r="I6425" s="0" t="n">
        <v>2034</v>
      </c>
      <c r="J6425" s="0" t="n">
        <v>90</v>
      </c>
      <c r="K6425" s="0" t="n">
        <v>1890.16</v>
      </c>
    </row>
    <row r="6426" customFormat="false" ht="15" hidden="false" customHeight="false" outlineLevel="0" collapsed="false">
      <c r="I6426" s="0" t="n">
        <v>2034</v>
      </c>
      <c r="J6426" s="0" t="n">
        <v>45</v>
      </c>
      <c r="K6426" s="0" t="n">
        <v>945.08</v>
      </c>
    </row>
    <row r="6427" customFormat="false" ht="15" hidden="false" customHeight="false" outlineLevel="0" collapsed="false">
      <c r="I6427" s="0" t="n">
        <v>2034</v>
      </c>
      <c r="J6427" s="0" t="n">
        <v>45</v>
      </c>
      <c r="K6427" s="0" t="n">
        <v>945.08</v>
      </c>
    </row>
    <row r="6428" customFormat="false" ht="15" hidden="false" customHeight="false" outlineLevel="0" collapsed="false">
      <c r="I6428" s="0" t="n">
        <v>2034</v>
      </c>
      <c r="J6428" s="0" t="n">
        <v>90</v>
      </c>
      <c r="K6428" s="0" t="n">
        <v>1890.16</v>
      </c>
    </row>
    <row r="6429" customFormat="false" ht="15" hidden="false" customHeight="false" outlineLevel="0" collapsed="false">
      <c r="I6429" s="0" t="n">
        <v>2034</v>
      </c>
      <c r="J6429" s="0" t="n">
        <v>157.5</v>
      </c>
      <c r="K6429" s="0" t="n">
        <v>3307.78</v>
      </c>
    </row>
    <row r="6430" customFormat="false" ht="15" hidden="false" customHeight="false" outlineLevel="0" collapsed="false">
      <c r="I6430" s="0" t="n">
        <v>2034</v>
      </c>
      <c r="J6430" s="0" t="n">
        <v>67.5</v>
      </c>
      <c r="K6430" s="0" t="n">
        <v>1417.62</v>
      </c>
    </row>
    <row r="6431" customFormat="false" ht="15" hidden="false" customHeight="false" outlineLevel="0" collapsed="false">
      <c r="I6431" s="0" t="n">
        <v>2034</v>
      </c>
      <c r="J6431" s="0" t="n">
        <v>67.5</v>
      </c>
      <c r="K6431" s="0" t="n">
        <v>1417.62</v>
      </c>
    </row>
    <row r="6432" customFormat="false" ht="15" hidden="false" customHeight="false" outlineLevel="0" collapsed="false">
      <c r="I6432" s="0" t="n">
        <v>2034</v>
      </c>
      <c r="J6432" s="0" t="n">
        <v>78</v>
      </c>
      <c r="K6432" s="0" t="n">
        <v>1633.32</v>
      </c>
    </row>
    <row r="6433" customFormat="false" ht="15" hidden="false" customHeight="false" outlineLevel="0" collapsed="false">
      <c r="I6433" s="0" t="n">
        <v>2034</v>
      </c>
      <c r="J6433" s="0" t="n">
        <v>12</v>
      </c>
      <c r="K6433" s="0" t="n">
        <v>251.28</v>
      </c>
    </row>
    <row r="6434" customFormat="false" ht="15" hidden="false" customHeight="false" outlineLevel="0" collapsed="false">
      <c r="I6434" s="0" t="n">
        <v>2034</v>
      </c>
      <c r="J6434" s="0" t="n">
        <v>9</v>
      </c>
      <c r="K6434" s="0" t="n">
        <v>188.46</v>
      </c>
    </row>
    <row r="6435" customFormat="false" ht="15" hidden="false" customHeight="false" outlineLevel="0" collapsed="false">
      <c r="I6435" s="0" t="n">
        <v>2034</v>
      </c>
      <c r="J6435" s="0" t="n">
        <v>15</v>
      </c>
      <c r="K6435" s="0" t="n">
        <v>314.1</v>
      </c>
    </row>
    <row r="6436" customFormat="false" ht="15" hidden="false" customHeight="false" outlineLevel="0" collapsed="false">
      <c r="I6436" s="0" t="n">
        <v>2034</v>
      </c>
      <c r="J6436" s="0" t="n">
        <v>3</v>
      </c>
      <c r="K6436" s="0" t="n">
        <v>62.82</v>
      </c>
    </row>
    <row r="6437" customFormat="false" ht="15" hidden="false" customHeight="false" outlineLevel="0" collapsed="false">
      <c r="I6437" s="0" t="n">
        <v>2034</v>
      </c>
      <c r="J6437" s="0" t="n">
        <v>3</v>
      </c>
      <c r="K6437" s="0" t="n">
        <v>62.82</v>
      </c>
    </row>
    <row r="6438" customFormat="false" ht="15" hidden="false" customHeight="false" outlineLevel="0" collapsed="false">
      <c r="I6438" s="0" t="n">
        <v>2034</v>
      </c>
      <c r="J6438" s="0" t="n">
        <v>0</v>
      </c>
      <c r="K6438" s="0" t="n">
        <v>0</v>
      </c>
    </row>
    <row r="6439" customFormat="false" ht="15" hidden="false" customHeight="false" outlineLevel="0" collapsed="false">
      <c r="I6439" s="0" t="n">
        <v>2034</v>
      </c>
      <c r="J6439" s="0" t="n">
        <v>6</v>
      </c>
      <c r="K6439" s="0" t="n">
        <v>125.64</v>
      </c>
    </row>
    <row r="6440" customFormat="false" ht="15" hidden="false" customHeight="false" outlineLevel="0" collapsed="false">
      <c r="I6440" s="0" t="n">
        <v>2034</v>
      </c>
      <c r="J6440" s="0" t="n">
        <v>10.5</v>
      </c>
      <c r="K6440" s="0" t="n">
        <v>219.87</v>
      </c>
    </row>
    <row r="6441" customFormat="false" ht="15" hidden="false" customHeight="false" outlineLevel="0" collapsed="false">
      <c r="I6441" s="0" t="n">
        <v>2034</v>
      </c>
      <c r="J6441" s="0" t="n">
        <v>3</v>
      </c>
      <c r="K6441" s="0" t="n">
        <v>62.82</v>
      </c>
    </row>
    <row r="6442" customFormat="false" ht="15" hidden="false" customHeight="false" outlineLevel="0" collapsed="false">
      <c r="I6442" s="0" t="n">
        <v>2034</v>
      </c>
      <c r="J6442" s="0" t="n">
        <v>10.5</v>
      </c>
      <c r="K6442" s="0" t="n">
        <v>219.87</v>
      </c>
    </row>
    <row r="6443" customFormat="false" ht="15" hidden="false" customHeight="false" outlineLevel="0" collapsed="false">
      <c r="I6443" s="0" t="n">
        <v>2034</v>
      </c>
      <c r="J6443" s="0" t="n">
        <v>180</v>
      </c>
      <c r="K6443" s="0" t="n">
        <v>3781.92</v>
      </c>
    </row>
    <row r="6444" customFormat="false" ht="15" hidden="false" customHeight="false" outlineLevel="0" collapsed="false">
      <c r="I6444" s="0" t="n">
        <v>2034</v>
      </c>
      <c r="J6444" s="0" t="n">
        <v>60</v>
      </c>
      <c r="K6444" s="0" t="n">
        <v>1260.64</v>
      </c>
    </row>
    <row r="6445" customFormat="false" ht="15" hidden="false" customHeight="false" outlineLevel="0" collapsed="false">
      <c r="I6445" s="0" t="n">
        <v>2034</v>
      </c>
      <c r="J6445" s="0" t="n">
        <v>26.25</v>
      </c>
      <c r="K6445" s="0" t="n">
        <v>551.53</v>
      </c>
    </row>
    <row r="6446" customFormat="false" ht="15" hidden="false" customHeight="false" outlineLevel="0" collapsed="false">
      <c r="I6446" s="0" t="n">
        <v>2034</v>
      </c>
      <c r="J6446" s="0" t="n">
        <v>15</v>
      </c>
      <c r="K6446" s="0" t="n">
        <v>315.16</v>
      </c>
    </row>
    <row r="6447" customFormat="false" ht="15" hidden="false" customHeight="false" outlineLevel="0" collapsed="false">
      <c r="I6447" s="0" t="n">
        <v>2034</v>
      </c>
      <c r="J6447" s="0" t="n">
        <v>15</v>
      </c>
      <c r="K6447" s="0" t="n">
        <v>315.16</v>
      </c>
    </row>
    <row r="6448" customFormat="false" ht="15" hidden="false" customHeight="false" outlineLevel="0" collapsed="false">
      <c r="I6448" s="0" t="n">
        <v>2034</v>
      </c>
      <c r="J6448" s="0" t="n">
        <v>7.5</v>
      </c>
      <c r="K6448" s="0" t="n">
        <v>157.58</v>
      </c>
    </row>
    <row r="6449" customFormat="false" ht="15" hidden="false" customHeight="false" outlineLevel="0" collapsed="false">
      <c r="I6449" s="0" t="n">
        <v>2034</v>
      </c>
      <c r="J6449" s="0" t="n">
        <v>7.5</v>
      </c>
      <c r="K6449" s="0" t="n">
        <v>157.58</v>
      </c>
    </row>
    <row r="6450" customFormat="false" ht="15" hidden="false" customHeight="false" outlineLevel="0" collapsed="false">
      <c r="I6450" s="0" t="n">
        <v>2034</v>
      </c>
      <c r="J6450" s="0" t="n">
        <v>15</v>
      </c>
      <c r="K6450" s="0" t="n">
        <v>315.16</v>
      </c>
    </row>
    <row r="6451" customFormat="false" ht="15" hidden="false" customHeight="false" outlineLevel="0" collapsed="false">
      <c r="I6451" s="0" t="n">
        <v>2034</v>
      </c>
      <c r="J6451" s="0" t="n">
        <v>26.25</v>
      </c>
      <c r="K6451" s="0" t="n">
        <v>551.53</v>
      </c>
    </row>
    <row r="6452" customFormat="false" ht="15" hidden="false" customHeight="false" outlineLevel="0" collapsed="false">
      <c r="I6452" s="0" t="n">
        <v>2034</v>
      </c>
      <c r="J6452" s="0" t="n">
        <v>11.25</v>
      </c>
      <c r="K6452" s="0" t="n">
        <v>236.37</v>
      </c>
    </row>
    <row r="6453" customFormat="false" ht="15" hidden="false" customHeight="false" outlineLevel="0" collapsed="false">
      <c r="I6453" s="0" t="n">
        <v>2034</v>
      </c>
      <c r="J6453" s="0" t="n">
        <v>11.25</v>
      </c>
      <c r="K6453" s="0" t="n">
        <v>236.37</v>
      </c>
    </row>
    <row r="6454" customFormat="false" ht="15" hidden="false" customHeight="false" outlineLevel="0" collapsed="false">
      <c r="I6454" s="0" t="n">
        <v>2034</v>
      </c>
      <c r="J6454" s="0" t="n">
        <v>24.44</v>
      </c>
      <c r="K6454" s="0" t="n">
        <v>512.72</v>
      </c>
    </row>
    <row r="6455" customFormat="false" ht="15" hidden="false" customHeight="false" outlineLevel="0" collapsed="false">
      <c r="I6455" s="0" t="n">
        <v>2034</v>
      </c>
      <c r="J6455" s="0" t="n">
        <v>3.76</v>
      </c>
      <c r="K6455" s="0" t="n">
        <v>78.88</v>
      </c>
    </row>
    <row r="6456" customFormat="false" ht="15" hidden="false" customHeight="false" outlineLevel="0" collapsed="false">
      <c r="I6456" s="0" t="n">
        <v>2034</v>
      </c>
      <c r="J6456" s="0" t="n">
        <v>2.82</v>
      </c>
      <c r="K6456" s="0" t="n">
        <v>59.16</v>
      </c>
    </row>
    <row r="6457" customFormat="false" ht="15" hidden="false" customHeight="false" outlineLevel="0" collapsed="false">
      <c r="I6457" s="0" t="n">
        <v>2034</v>
      </c>
      <c r="J6457" s="0" t="n">
        <v>4.7</v>
      </c>
      <c r="K6457" s="0" t="n">
        <v>98.6</v>
      </c>
    </row>
    <row r="6458" customFormat="false" ht="15" hidden="false" customHeight="false" outlineLevel="0" collapsed="false">
      <c r="I6458" s="0" t="n">
        <v>2034</v>
      </c>
      <c r="J6458" s="0" t="n">
        <v>0.94</v>
      </c>
      <c r="K6458" s="0" t="n">
        <v>19.72</v>
      </c>
    </row>
    <row r="6459" customFormat="false" ht="15" hidden="false" customHeight="false" outlineLevel="0" collapsed="false">
      <c r="I6459" s="0" t="n">
        <v>2034</v>
      </c>
      <c r="J6459" s="0" t="n">
        <v>0.94</v>
      </c>
      <c r="K6459" s="0" t="n">
        <v>19.72</v>
      </c>
    </row>
    <row r="6460" customFormat="false" ht="15" hidden="false" customHeight="false" outlineLevel="0" collapsed="false">
      <c r="I6460" s="0" t="n">
        <v>2034</v>
      </c>
      <c r="J6460" s="0" t="n">
        <v>0</v>
      </c>
      <c r="K6460" s="0" t="n">
        <v>0</v>
      </c>
    </row>
    <row r="6461" customFormat="false" ht="15" hidden="false" customHeight="false" outlineLevel="0" collapsed="false">
      <c r="I6461" s="0" t="n">
        <v>2034</v>
      </c>
      <c r="J6461" s="0" t="n">
        <v>1.88</v>
      </c>
      <c r="K6461" s="0" t="n">
        <v>39.44</v>
      </c>
    </row>
    <row r="6462" customFormat="false" ht="15" hidden="false" customHeight="false" outlineLevel="0" collapsed="false">
      <c r="I6462" s="0" t="n">
        <v>2034</v>
      </c>
      <c r="J6462" s="0" t="n">
        <v>3.29</v>
      </c>
      <c r="K6462" s="0" t="n">
        <v>69.02</v>
      </c>
    </row>
    <row r="6463" customFormat="false" ht="15" hidden="false" customHeight="false" outlineLevel="0" collapsed="false">
      <c r="I6463" s="0" t="n">
        <v>2034</v>
      </c>
      <c r="J6463" s="0" t="n">
        <v>0.94</v>
      </c>
      <c r="K6463" s="0" t="n">
        <v>19.72</v>
      </c>
    </row>
    <row r="6464" customFormat="false" ht="15" hidden="false" customHeight="false" outlineLevel="0" collapsed="false">
      <c r="I6464" s="0" t="n">
        <v>2034</v>
      </c>
      <c r="J6464" s="0" t="n">
        <v>3.29</v>
      </c>
      <c r="K6464" s="0" t="n">
        <v>69.02</v>
      </c>
    </row>
    <row r="6465" customFormat="false" ht="15" hidden="false" customHeight="false" outlineLevel="0" collapsed="false">
      <c r="I6465" s="0" t="n">
        <v>2034</v>
      </c>
      <c r="J6465" s="0" t="n">
        <v>53.76</v>
      </c>
      <c r="K6465" s="0" t="n">
        <v>1133.76</v>
      </c>
    </row>
    <row r="6466" customFormat="false" ht="15" hidden="false" customHeight="false" outlineLevel="0" collapsed="false">
      <c r="I6466" s="0" t="n">
        <v>2034</v>
      </c>
      <c r="J6466" s="0" t="n">
        <v>17.92</v>
      </c>
      <c r="K6466" s="0" t="n">
        <v>377.92</v>
      </c>
    </row>
    <row r="6467" customFormat="false" ht="15" hidden="false" customHeight="false" outlineLevel="0" collapsed="false">
      <c r="I6467" s="0" t="n">
        <v>2034</v>
      </c>
      <c r="J6467" s="0" t="n">
        <v>7.84</v>
      </c>
      <c r="K6467" s="0" t="n">
        <v>165.34</v>
      </c>
    </row>
    <row r="6468" customFormat="false" ht="15" hidden="false" customHeight="false" outlineLevel="0" collapsed="false">
      <c r="I6468" s="0" t="n">
        <v>2034</v>
      </c>
      <c r="J6468" s="0" t="n">
        <v>4.48</v>
      </c>
      <c r="K6468" s="0" t="n">
        <v>94.48</v>
      </c>
    </row>
    <row r="6469" customFormat="false" ht="15" hidden="false" customHeight="false" outlineLevel="0" collapsed="false">
      <c r="I6469" s="0" t="n">
        <v>2034</v>
      </c>
      <c r="J6469" s="0" t="n">
        <v>4.48</v>
      </c>
      <c r="K6469" s="0" t="n">
        <v>94.48</v>
      </c>
    </row>
    <row r="6470" customFormat="false" ht="15" hidden="false" customHeight="false" outlineLevel="0" collapsed="false">
      <c r="I6470" s="0" t="n">
        <v>2034</v>
      </c>
      <c r="J6470" s="0" t="n">
        <v>2.24</v>
      </c>
      <c r="K6470" s="0" t="n">
        <v>47.24</v>
      </c>
    </row>
    <row r="6471" customFormat="false" ht="15" hidden="false" customHeight="false" outlineLevel="0" collapsed="false">
      <c r="I6471" s="0" t="n">
        <v>2034</v>
      </c>
      <c r="J6471" s="0" t="n">
        <v>2.24</v>
      </c>
      <c r="K6471" s="0" t="n">
        <v>47.24</v>
      </c>
    </row>
    <row r="6472" customFormat="false" ht="15" hidden="false" customHeight="false" outlineLevel="0" collapsed="false">
      <c r="I6472" s="0" t="n">
        <v>2034</v>
      </c>
      <c r="J6472" s="0" t="n">
        <v>4.48</v>
      </c>
      <c r="K6472" s="0" t="n">
        <v>94.48</v>
      </c>
    </row>
    <row r="6473" customFormat="false" ht="15" hidden="false" customHeight="false" outlineLevel="0" collapsed="false">
      <c r="I6473" s="0" t="n">
        <v>2034</v>
      </c>
      <c r="J6473" s="0" t="n">
        <v>7.84</v>
      </c>
      <c r="K6473" s="0" t="n">
        <v>165.34</v>
      </c>
    </row>
    <row r="6474" customFormat="false" ht="15" hidden="false" customHeight="false" outlineLevel="0" collapsed="false">
      <c r="I6474" s="0" t="n">
        <v>2034</v>
      </c>
      <c r="J6474" s="0" t="n">
        <v>3.36</v>
      </c>
      <c r="K6474" s="0" t="n">
        <v>70.86</v>
      </c>
    </row>
    <row r="6475" customFormat="false" ht="15" hidden="false" customHeight="false" outlineLevel="0" collapsed="false">
      <c r="I6475" s="0" t="n">
        <v>2034</v>
      </c>
      <c r="J6475" s="0" t="n">
        <v>3.36</v>
      </c>
      <c r="K6475" s="0" t="n">
        <v>70.86</v>
      </c>
    </row>
    <row r="6476" customFormat="false" ht="15" hidden="false" customHeight="false" outlineLevel="0" collapsed="false">
      <c r="I6476" s="0" t="n">
        <v>2034</v>
      </c>
      <c r="J6476" s="0" t="n">
        <v>5.2</v>
      </c>
      <c r="K6476" s="0" t="n">
        <v>109.2</v>
      </c>
    </row>
    <row r="6477" customFormat="false" ht="15" hidden="false" customHeight="false" outlineLevel="0" collapsed="false">
      <c r="I6477" s="0" t="n">
        <v>2034</v>
      </c>
      <c r="J6477" s="0" t="n">
        <v>0.8</v>
      </c>
      <c r="K6477" s="0" t="n">
        <v>16.8</v>
      </c>
    </row>
    <row r="6478" customFormat="false" ht="15" hidden="false" customHeight="false" outlineLevel="0" collapsed="false">
      <c r="I6478" s="0" t="n">
        <v>2034</v>
      </c>
      <c r="J6478" s="0" t="n">
        <v>0.6</v>
      </c>
      <c r="K6478" s="0" t="n">
        <v>12.6</v>
      </c>
    </row>
    <row r="6479" customFormat="false" ht="15" hidden="false" customHeight="false" outlineLevel="0" collapsed="false">
      <c r="I6479" s="0" t="n">
        <v>2034</v>
      </c>
      <c r="J6479" s="0" t="n">
        <v>1</v>
      </c>
      <c r="K6479" s="0" t="n">
        <v>21</v>
      </c>
    </row>
    <row r="6480" customFormat="false" ht="15" hidden="false" customHeight="false" outlineLevel="0" collapsed="false">
      <c r="I6480" s="0" t="n">
        <v>2034</v>
      </c>
      <c r="J6480" s="0" t="n">
        <v>0.2</v>
      </c>
      <c r="K6480" s="0" t="n">
        <v>4.2</v>
      </c>
    </row>
    <row r="6481" customFormat="false" ht="15" hidden="false" customHeight="false" outlineLevel="0" collapsed="false">
      <c r="I6481" s="0" t="n">
        <v>2034</v>
      </c>
      <c r="J6481" s="0" t="n">
        <v>0.2</v>
      </c>
      <c r="K6481" s="0" t="n">
        <v>4.2</v>
      </c>
    </row>
    <row r="6482" customFormat="false" ht="15" hidden="false" customHeight="false" outlineLevel="0" collapsed="false">
      <c r="I6482" s="0" t="n">
        <v>2034</v>
      </c>
      <c r="J6482" s="0" t="n">
        <v>0</v>
      </c>
      <c r="K6482" s="0" t="n">
        <v>0</v>
      </c>
    </row>
    <row r="6483" customFormat="false" ht="15" hidden="false" customHeight="false" outlineLevel="0" collapsed="false">
      <c r="I6483" s="0" t="n">
        <v>2034</v>
      </c>
      <c r="J6483" s="0" t="n">
        <v>0.4</v>
      </c>
      <c r="K6483" s="0" t="n">
        <v>8.4</v>
      </c>
    </row>
    <row r="6484" customFormat="false" ht="15" hidden="false" customHeight="false" outlineLevel="0" collapsed="false">
      <c r="I6484" s="0" t="n">
        <v>2034</v>
      </c>
      <c r="J6484" s="0" t="n">
        <v>0.7</v>
      </c>
      <c r="K6484" s="0" t="n">
        <v>14.7</v>
      </c>
    </row>
    <row r="6485" customFormat="false" ht="15" hidden="false" customHeight="false" outlineLevel="0" collapsed="false">
      <c r="I6485" s="0" t="n">
        <v>2034</v>
      </c>
      <c r="J6485" s="0" t="n">
        <v>0.2</v>
      </c>
      <c r="K6485" s="0" t="n">
        <v>4.2</v>
      </c>
    </row>
    <row r="6486" customFormat="false" ht="15" hidden="false" customHeight="false" outlineLevel="0" collapsed="false">
      <c r="I6486" s="0" t="n">
        <v>2034</v>
      </c>
      <c r="J6486" s="0" t="n">
        <v>0.7</v>
      </c>
      <c r="K6486" s="0" t="n">
        <v>14.7</v>
      </c>
    </row>
    <row r="6487" customFormat="false" ht="15" hidden="false" customHeight="false" outlineLevel="0" collapsed="false">
      <c r="I6487" s="0" t="n">
        <v>2034</v>
      </c>
      <c r="J6487" s="0" t="n">
        <v>649.92</v>
      </c>
      <c r="K6487" s="0" t="n">
        <v>13646.4</v>
      </c>
    </row>
    <row r="6488" customFormat="false" ht="15" hidden="false" customHeight="false" outlineLevel="0" collapsed="false">
      <c r="I6488" s="0" t="n">
        <v>2034</v>
      </c>
      <c r="J6488" s="0" t="n">
        <v>216.64</v>
      </c>
      <c r="K6488" s="0" t="n">
        <v>4548.8</v>
      </c>
    </row>
    <row r="6489" customFormat="false" ht="15" hidden="false" customHeight="false" outlineLevel="0" collapsed="false">
      <c r="I6489" s="0" t="n">
        <v>2034</v>
      </c>
      <c r="J6489" s="0" t="n">
        <v>94.78</v>
      </c>
      <c r="K6489" s="0" t="n">
        <v>1990.1</v>
      </c>
    </row>
    <row r="6490" customFormat="false" ht="15" hidden="false" customHeight="false" outlineLevel="0" collapsed="false">
      <c r="I6490" s="0" t="n">
        <v>2034</v>
      </c>
      <c r="J6490" s="0" t="n">
        <v>54.16</v>
      </c>
      <c r="K6490" s="0" t="n">
        <v>1137.2</v>
      </c>
    </row>
    <row r="6491" customFormat="false" ht="15" hidden="false" customHeight="false" outlineLevel="0" collapsed="false">
      <c r="I6491" s="0" t="n">
        <v>2034</v>
      </c>
      <c r="J6491" s="0" t="n">
        <v>54.16</v>
      </c>
      <c r="K6491" s="0" t="n">
        <v>1137.2</v>
      </c>
    </row>
    <row r="6492" customFormat="false" ht="15" hidden="false" customHeight="false" outlineLevel="0" collapsed="false">
      <c r="I6492" s="0" t="n">
        <v>2034</v>
      </c>
      <c r="J6492" s="0" t="n">
        <v>27.08</v>
      </c>
      <c r="K6492" s="0" t="n">
        <v>568.6</v>
      </c>
    </row>
    <row r="6493" customFormat="false" ht="15" hidden="false" customHeight="false" outlineLevel="0" collapsed="false">
      <c r="I6493" s="0" t="n">
        <v>2034</v>
      </c>
      <c r="J6493" s="0" t="n">
        <v>27.08</v>
      </c>
      <c r="K6493" s="0" t="n">
        <v>568.6</v>
      </c>
    </row>
    <row r="6494" customFormat="false" ht="15" hidden="false" customHeight="false" outlineLevel="0" collapsed="false">
      <c r="I6494" s="0" t="n">
        <v>2034</v>
      </c>
      <c r="J6494" s="0" t="n">
        <v>54.16</v>
      </c>
      <c r="K6494" s="0" t="n">
        <v>1137.2</v>
      </c>
    </row>
    <row r="6495" customFormat="false" ht="15" hidden="false" customHeight="false" outlineLevel="0" collapsed="false">
      <c r="I6495" s="0" t="n">
        <v>2034</v>
      </c>
      <c r="J6495" s="0" t="n">
        <v>94.78</v>
      </c>
      <c r="K6495" s="0" t="n">
        <v>1990.1</v>
      </c>
    </row>
    <row r="6496" customFormat="false" ht="15" hidden="false" customHeight="false" outlineLevel="0" collapsed="false">
      <c r="I6496" s="0" t="n">
        <v>2034</v>
      </c>
      <c r="J6496" s="0" t="n">
        <v>40.62</v>
      </c>
      <c r="K6496" s="0" t="n">
        <v>852.9</v>
      </c>
    </row>
    <row r="6497" customFormat="false" ht="15" hidden="false" customHeight="false" outlineLevel="0" collapsed="false">
      <c r="I6497" s="0" t="n">
        <v>2034</v>
      </c>
      <c r="J6497" s="0" t="n">
        <v>40.62</v>
      </c>
      <c r="K6497" s="0" t="n">
        <v>852.9</v>
      </c>
    </row>
    <row r="6498" customFormat="false" ht="15" hidden="false" customHeight="false" outlineLevel="0" collapsed="false">
      <c r="I6498" s="0" t="n">
        <v>2034</v>
      </c>
      <c r="J6498" s="0" t="n">
        <v>66.56</v>
      </c>
      <c r="K6498" s="0" t="n">
        <v>1392.56</v>
      </c>
    </row>
    <row r="6499" customFormat="false" ht="15" hidden="false" customHeight="false" outlineLevel="0" collapsed="false">
      <c r="I6499" s="0" t="n">
        <v>2034</v>
      </c>
      <c r="J6499" s="0" t="n">
        <v>10.24</v>
      </c>
      <c r="K6499" s="0" t="n">
        <v>214.24</v>
      </c>
    </row>
    <row r="6500" customFormat="false" ht="15" hidden="false" customHeight="false" outlineLevel="0" collapsed="false">
      <c r="I6500" s="0" t="n">
        <v>2034</v>
      </c>
      <c r="J6500" s="0" t="n">
        <v>7.68</v>
      </c>
      <c r="K6500" s="0" t="n">
        <v>160.68</v>
      </c>
    </row>
    <row r="6501" customFormat="false" ht="15" hidden="false" customHeight="false" outlineLevel="0" collapsed="false">
      <c r="I6501" s="0" t="n">
        <v>2034</v>
      </c>
      <c r="J6501" s="0" t="n">
        <v>12.8</v>
      </c>
      <c r="K6501" s="0" t="n">
        <v>267.8</v>
      </c>
    </row>
    <row r="6502" customFormat="false" ht="15" hidden="false" customHeight="false" outlineLevel="0" collapsed="false">
      <c r="I6502" s="0" t="n">
        <v>2034</v>
      </c>
      <c r="J6502" s="0" t="n">
        <v>2.56</v>
      </c>
      <c r="K6502" s="0" t="n">
        <v>53.56</v>
      </c>
    </row>
    <row r="6503" customFormat="false" ht="15" hidden="false" customHeight="false" outlineLevel="0" collapsed="false">
      <c r="I6503" s="0" t="n">
        <v>2034</v>
      </c>
      <c r="J6503" s="0" t="n">
        <v>2.56</v>
      </c>
      <c r="K6503" s="0" t="n">
        <v>53.56</v>
      </c>
    </row>
    <row r="6504" customFormat="false" ht="15" hidden="false" customHeight="false" outlineLevel="0" collapsed="false">
      <c r="I6504" s="0" t="n">
        <v>2034</v>
      </c>
      <c r="J6504" s="0" t="n">
        <v>0</v>
      </c>
      <c r="K6504" s="0" t="n">
        <v>0</v>
      </c>
    </row>
    <row r="6505" customFormat="false" ht="15" hidden="false" customHeight="false" outlineLevel="0" collapsed="false">
      <c r="I6505" s="0" t="n">
        <v>2034</v>
      </c>
      <c r="J6505" s="0" t="n">
        <v>5.12</v>
      </c>
      <c r="K6505" s="0" t="n">
        <v>107.12</v>
      </c>
    </row>
    <row r="6506" customFormat="false" ht="15" hidden="false" customHeight="false" outlineLevel="0" collapsed="false">
      <c r="I6506" s="0" t="n">
        <v>2034</v>
      </c>
      <c r="J6506" s="0" t="n">
        <v>8.96</v>
      </c>
      <c r="K6506" s="0" t="n">
        <v>187.46</v>
      </c>
    </row>
    <row r="6507" customFormat="false" ht="15" hidden="false" customHeight="false" outlineLevel="0" collapsed="false">
      <c r="I6507" s="0" t="n">
        <v>2034</v>
      </c>
      <c r="J6507" s="0" t="n">
        <v>2.56</v>
      </c>
      <c r="K6507" s="0" t="n">
        <v>53.56</v>
      </c>
    </row>
    <row r="6508" customFormat="false" ht="15" hidden="false" customHeight="false" outlineLevel="0" collapsed="false">
      <c r="I6508" s="0" t="n">
        <v>2034</v>
      </c>
      <c r="J6508" s="0" t="n">
        <v>8.96</v>
      </c>
      <c r="K6508" s="0" t="n">
        <v>187.46</v>
      </c>
    </row>
    <row r="6509" customFormat="false" ht="15" hidden="false" customHeight="false" outlineLevel="0" collapsed="false">
      <c r="I6509" s="0" t="n">
        <v>2034</v>
      </c>
      <c r="J6509" s="0" t="n">
        <v>478.08</v>
      </c>
      <c r="K6509" s="0" t="n">
        <v>10036.32</v>
      </c>
    </row>
    <row r="6510" customFormat="false" ht="15" hidden="false" customHeight="false" outlineLevel="0" collapsed="false">
      <c r="I6510" s="0" t="n">
        <v>2034</v>
      </c>
      <c r="J6510" s="0" t="n">
        <v>159.36</v>
      </c>
      <c r="K6510" s="0" t="n">
        <v>3345.44</v>
      </c>
    </row>
    <row r="6511" customFormat="false" ht="15" hidden="false" customHeight="false" outlineLevel="0" collapsed="false">
      <c r="I6511" s="0" t="n">
        <v>2034</v>
      </c>
      <c r="J6511" s="0" t="n">
        <v>69.72</v>
      </c>
      <c r="K6511" s="0" t="n">
        <v>1463.63</v>
      </c>
    </row>
    <row r="6512" customFormat="false" ht="15" hidden="false" customHeight="false" outlineLevel="0" collapsed="false">
      <c r="I6512" s="0" t="n">
        <v>2034</v>
      </c>
      <c r="J6512" s="0" t="n">
        <v>39.84</v>
      </c>
      <c r="K6512" s="0" t="n">
        <v>836.36</v>
      </c>
    </row>
    <row r="6513" customFormat="false" ht="15" hidden="false" customHeight="false" outlineLevel="0" collapsed="false">
      <c r="I6513" s="0" t="n">
        <v>2034</v>
      </c>
      <c r="J6513" s="0" t="n">
        <v>39.84</v>
      </c>
      <c r="K6513" s="0" t="n">
        <v>836.36</v>
      </c>
    </row>
    <row r="6514" customFormat="false" ht="15" hidden="false" customHeight="false" outlineLevel="0" collapsed="false">
      <c r="I6514" s="0" t="n">
        <v>2034</v>
      </c>
      <c r="J6514" s="0" t="n">
        <v>19.92</v>
      </c>
      <c r="K6514" s="0" t="n">
        <v>418.18</v>
      </c>
    </row>
    <row r="6515" customFormat="false" ht="15" hidden="false" customHeight="false" outlineLevel="0" collapsed="false">
      <c r="I6515" s="0" t="n">
        <v>2034</v>
      </c>
      <c r="J6515" s="0" t="n">
        <v>19.92</v>
      </c>
      <c r="K6515" s="0" t="n">
        <v>418.18</v>
      </c>
    </row>
    <row r="6516" customFormat="false" ht="15" hidden="false" customHeight="false" outlineLevel="0" collapsed="false">
      <c r="I6516" s="0" t="n">
        <v>2034</v>
      </c>
      <c r="J6516" s="0" t="n">
        <v>39.84</v>
      </c>
      <c r="K6516" s="0" t="n">
        <v>836.36</v>
      </c>
    </row>
    <row r="6517" customFormat="false" ht="15" hidden="false" customHeight="false" outlineLevel="0" collapsed="false">
      <c r="I6517" s="0" t="n">
        <v>2034</v>
      </c>
      <c r="J6517" s="0" t="n">
        <v>69.72</v>
      </c>
      <c r="K6517" s="0" t="n">
        <v>1463.63</v>
      </c>
    </row>
    <row r="6518" customFormat="false" ht="15" hidden="false" customHeight="false" outlineLevel="0" collapsed="false">
      <c r="I6518" s="0" t="n">
        <v>2034</v>
      </c>
      <c r="J6518" s="0" t="n">
        <v>29.88</v>
      </c>
      <c r="K6518" s="0" t="n">
        <v>627.27</v>
      </c>
    </row>
    <row r="6519" customFormat="false" ht="15" hidden="false" customHeight="false" outlineLevel="0" collapsed="false">
      <c r="I6519" s="0" t="n">
        <v>2034</v>
      </c>
      <c r="J6519" s="0" t="n">
        <v>29.88</v>
      </c>
      <c r="K6519" s="0" t="n">
        <v>627.27</v>
      </c>
    </row>
    <row r="6520" customFormat="false" ht="15" hidden="false" customHeight="false" outlineLevel="0" collapsed="false">
      <c r="I6520" s="0" t="n">
        <v>2034</v>
      </c>
      <c r="J6520" s="0" t="n">
        <v>64.48</v>
      </c>
      <c r="K6520" s="0" t="n">
        <v>1356.68</v>
      </c>
    </row>
    <row r="6521" customFormat="false" ht="15" hidden="false" customHeight="false" outlineLevel="0" collapsed="false">
      <c r="I6521" s="0" t="n">
        <v>2034</v>
      </c>
      <c r="J6521" s="0" t="n">
        <v>9.92</v>
      </c>
      <c r="K6521" s="0" t="n">
        <v>208.72</v>
      </c>
    </row>
    <row r="6522" customFormat="false" ht="15" hidden="false" customHeight="false" outlineLevel="0" collapsed="false">
      <c r="I6522" s="0" t="n">
        <v>2034</v>
      </c>
      <c r="J6522" s="0" t="n">
        <v>7.44</v>
      </c>
      <c r="K6522" s="0" t="n">
        <v>156.54</v>
      </c>
    </row>
    <row r="6523" customFormat="false" ht="15" hidden="false" customHeight="false" outlineLevel="0" collapsed="false">
      <c r="I6523" s="0" t="n">
        <v>2034</v>
      </c>
      <c r="J6523" s="0" t="n">
        <v>12.4</v>
      </c>
      <c r="K6523" s="0" t="n">
        <v>260.9</v>
      </c>
    </row>
    <row r="6524" customFormat="false" ht="15" hidden="false" customHeight="false" outlineLevel="0" collapsed="false">
      <c r="I6524" s="0" t="n">
        <v>2034</v>
      </c>
      <c r="J6524" s="0" t="n">
        <v>2.48</v>
      </c>
      <c r="K6524" s="0" t="n">
        <v>52.18</v>
      </c>
    </row>
    <row r="6525" customFormat="false" ht="15" hidden="false" customHeight="false" outlineLevel="0" collapsed="false">
      <c r="I6525" s="0" t="n">
        <v>2034</v>
      </c>
      <c r="J6525" s="0" t="n">
        <v>2.48</v>
      </c>
      <c r="K6525" s="0" t="n">
        <v>52.18</v>
      </c>
    </row>
    <row r="6526" customFormat="false" ht="15" hidden="false" customHeight="false" outlineLevel="0" collapsed="false">
      <c r="I6526" s="0" t="n">
        <v>2034</v>
      </c>
      <c r="J6526" s="0" t="n">
        <v>0</v>
      </c>
      <c r="K6526" s="0" t="n">
        <v>0</v>
      </c>
    </row>
    <row r="6527" customFormat="false" ht="15" hidden="false" customHeight="false" outlineLevel="0" collapsed="false">
      <c r="I6527" s="0" t="n">
        <v>2034</v>
      </c>
      <c r="J6527" s="0" t="n">
        <v>4.96</v>
      </c>
      <c r="K6527" s="0" t="n">
        <v>104.36</v>
      </c>
    </row>
    <row r="6528" customFormat="false" ht="15" hidden="false" customHeight="false" outlineLevel="0" collapsed="false">
      <c r="I6528" s="0" t="n">
        <v>2034</v>
      </c>
      <c r="J6528" s="0" t="n">
        <v>8.68</v>
      </c>
      <c r="K6528" s="0" t="n">
        <v>182.63</v>
      </c>
    </row>
    <row r="6529" customFormat="false" ht="15" hidden="false" customHeight="false" outlineLevel="0" collapsed="false">
      <c r="I6529" s="0" t="n">
        <v>2034</v>
      </c>
      <c r="J6529" s="0" t="n">
        <v>2.48</v>
      </c>
      <c r="K6529" s="0" t="n">
        <v>52.18</v>
      </c>
    </row>
    <row r="6530" customFormat="false" ht="15" hidden="false" customHeight="false" outlineLevel="0" collapsed="false">
      <c r="I6530" s="0" t="n">
        <v>2034</v>
      </c>
      <c r="J6530" s="0" t="n">
        <v>8.68</v>
      </c>
      <c r="K6530" s="0" t="n">
        <v>182.63</v>
      </c>
    </row>
    <row r="6531" customFormat="false" ht="15" hidden="false" customHeight="false" outlineLevel="0" collapsed="false">
      <c r="I6531" s="0" t="n">
        <v>2034</v>
      </c>
      <c r="J6531" s="0" t="n">
        <v>127.2</v>
      </c>
      <c r="K6531" s="0" t="n">
        <v>2672.16</v>
      </c>
    </row>
    <row r="6532" customFormat="false" ht="15" hidden="false" customHeight="false" outlineLevel="0" collapsed="false">
      <c r="I6532" s="0" t="n">
        <v>2034</v>
      </c>
      <c r="J6532" s="0" t="n">
        <v>42.4</v>
      </c>
      <c r="K6532" s="0" t="n">
        <v>890.72</v>
      </c>
    </row>
    <row r="6533" customFormat="false" ht="15" hidden="false" customHeight="false" outlineLevel="0" collapsed="false">
      <c r="I6533" s="0" t="n">
        <v>2034</v>
      </c>
      <c r="J6533" s="0" t="n">
        <v>18.55</v>
      </c>
      <c r="K6533" s="0" t="n">
        <v>389.69</v>
      </c>
    </row>
    <row r="6534" customFormat="false" ht="15" hidden="false" customHeight="false" outlineLevel="0" collapsed="false">
      <c r="I6534" s="0" t="n">
        <v>2034</v>
      </c>
      <c r="J6534" s="0" t="n">
        <v>10.6</v>
      </c>
      <c r="K6534" s="0" t="n">
        <v>222.68</v>
      </c>
    </row>
    <row r="6535" customFormat="false" ht="15" hidden="false" customHeight="false" outlineLevel="0" collapsed="false">
      <c r="I6535" s="0" t="n">
        <v>2034</v>
      </c>
      <c r="J6535" s="0" t="n">
        <v>10.6</v>
      </c>
      <c r="K6535" s="0" t="n">
        <v>222.68</v>
      </c>
    </row>
    <row r="6536" customFormat="false" ht="15" hidden="false" customHeight="false" outlineLevel="0" collapsed="false">
      <c r="I6536" s="0" t="n">
        <v>2034</v>
      </c>
      <c r="J6536" s="0" t="n">
        <v>5.3</v>
      </c>
      <c r="K6536" s="0" t="n">
        <v>111.34</v>
      </c>
    </row>
    <row r="6537" customFormat="false" ht="15" hidden="false" customHeight="false" outlineLevel="0" collapsed="false">
      <c r="I6537" s="0" t="n">
        <v>2034</v>
      </c>
      <c r="J6537" s="0" t="n">
        <v>5.3</v>
      </c>
      <c r="K6537" s="0" t="n">
        <v>111.34</v>
      </c>
    </row>
    <row r="6538" customFormat="false" ht="15" hidden="false" customHeight="false" outlineLevel="0" collapsed="false">
      <c r="I6538" s="0" t="n">
        <v>2034</v>
      </c>
      <c r="J6538" s="0" t="n">
        <v>10.6</v>
      </c>
      <c r="K6538" s="0" t="n">
        <v>222.68</v>
      </c>
    </row>
    <row r="6539" customFormat="false" ht="15" hidden="false" customHeight="false" outlineLevel="0" collapsed="false">
      <c r="I6539" s="0" t="n">
        <v>2034</v>
      </c>
      <c r="J6539" s="0" t="n">
        <v>18.55</v>
      </c>
      <c r="K6539" s="0" t="n">
        <v>389.69</v>
      </c>
    </row>
    <row r="6540" customFormat="false" ht="15" hidden="false" customHeight="false" outlineLevel="0" collapsed="false">
      <c r="I6540" s="0" t="n">
        <v>2034</v>
      </c>
      <c r="J6540" s="0" t="n">
        <v>7.95</v>
      </c>
      <c r="K6540" s="0" t="n">
        <v>167.01</v>
      </c>
    </row>
    <row r="6541" customFormat="false" ht="15" hidden="false" customHeight="false" outlineLevel="0" collapsed="false">
      <c r="I6541" s="0" t="n">
        <v>2034</v>
      </c>
      <c r="J6541" s="0" t="n">
        <v>7.95</v>
      </c>
      <c r="K6541" s="0" t="n">
        <v>167.01</v>
      </c>
    </row>
    <row r="6542" customFormat="false" ht="15" hidden="false" customHeight="false" outlineLevel="0" collapsed="false">
      <c r="I6542" s="0" t="n">
        <v>2034</v>
      </c>
      <c r="J6542" s="0" t="n">
        <v>36.92</v>
      </c>
      <c r="K6542" s="0" t="n">
        <v>771.68</v>
      </c>
    </row>
    <row r="6543" customFormat="false" ht="15" hidden="false" customHeight="false" outlineLevel="0" collapsed="false">
      <c r="I6543" s="0" t="n">
        <v>2034</v>
      </c>
      <c r="J6543" s="0" t="n">
        <v>5.68</v>
      </c>
      <c r="K6543" s="0" t="n">
        <v>118.72</v>
      </c>
    </row>
    <row r="6544" customFormat="false" ht="15" hidden="false" customHeight="false" outlineLevel="0" collapsed="false">
      <c r="I6544" s="0" t="n">
        <v>2034</v>
      </c>
      <c r="J6544" s="0" t="n">
        <v>4.26</v>
      </c>
      <c r="K6544" s="0" t="n">
        <v>89.04</v>
      </c>
    </row>
    <row r="6545" customFormat="false" ht="15" hidden="false" customHeight="false" outlineLevel="0" collapsed="false">
      <c r="I6545" s="0" t="n">
        <v>2034</v>
      </c>
      <c r="J6545" s="0" t="n">
        <v>7.1</v>
      </c>
      <c r="K6545" s="0" t="n">
        <v>148.4</v>
      </c>
    </row>
    <row r="6546" customFormat="false" ht="15" hidden="false" customHeight="false" outlineLevel="0" collapsed="false">
      <c r="I6546" s="0" t="n">
        <v>2034</v>
      </c>
      <c r="J6546" s="0" t="n">
        <v>1.42</v>
      </c>
      <c r="K6546" s="0" t="n">
        <v>29.68</v>
      </c>
    </row>
    <row r="6547" customFormat="false" ht="15" hidden="false" customHeight="false" outlineLevel="0" collapsed="false">
      <c r="I6547" s="0" t="n">
        <v>2034</v>
      </c>
      <c r="J6547" s="0" t="n">
        <v>1.42</v>
      </c>
      <c r="K6547" s="0" t="n">
        <v>29.68</v>
      </c>
    </row>
    <row r="6548" customFormat="false" ht="15" hidden="false" customHeight="false" outlineLevel="0" collapsed="false">
      <c r="I6548" s="0" t="n">
        <v>2034</v>
      </c>
      <c r="J6548" s="0" t="n">
        <v>0</v>
      </c>
      <c r="K6548" s="0" t="n">
        <v>0</v>
      </c>
    </row>
    <row r="6549" customFormat="false" ht="15" hidden="false" customHeight="false" outlineLevel="0" collapsed="false">
      <c r="I6549" s="0" t="n">
        <v>2034</v>
      </c>
      <c r="J6549" s="0" t="n">
        <v>2.84</v>
      </c>
      <c r="K6549" s="0" t="n">
        <v>59.36</v>
      </c>
    </row>
    <row r="6550" customFormat="false" ht="15" hidden="false" customHeight="false" outlineLevel="0" collapsed="false">
      <c r="I6550" s="0" t="n">
        <v>2034</v>
      </c>
      <c r="J6550" s="0" t="n">
        <v>4.97</v>
      </c>
      <c r="K6550" s="0" t="n">
        <v>103.88</v>
      </c>
    </row>
    <row r="6551" customFormat="false" ht="15" hidden="false" customHeight="false" outlineLevel="0" collapsed="false">
      <c r="I6551" s="0" t="n">
        <v>2034</v>
      </c>
      <c r="J6551" s="0" t="n">
        <v>1.42</v>
      </c>
      <c r="K6551" s="0" t="n">
        <v>29.68</v>
      </c>
    </row>
    <row r="6552" customFormat="false" ht="15" hidden="false" customHeight="false" outlineLevel="0" collapsed="false">
      <c r="I6552" s="0" t="n">
        <v>2034</v>
      </c>
      <c r="J6552" s="0" t="n">
        <v>4.97</v>
      </c>
      <c r="K6552" s="0" t="n">
        <v>103.88</v>
      </c>
    </row>
    <row r="6553" customFormat="false" ht="15" hidden="false" customHeight="false" outlineLevel="0" collapsed="false">
      <c r="I6553" s="0" t="n">
        <v>2034</v>
      </c>
      <c r="J6553" s="0" t="n">
        <v>900</v>
      </c>
      <c r="K6553" s="0" t="n">
        <v>18900</v>
      </c>
    </row>
    <row r="6554" customFormat="false" ht="15" hidden="false" customHeight="false" outlineLevel="0" collapsed="false">
      <c r="I6554" s="0" t="n">
        <v>2034</v>
      </c>
      <c r="J6554" s="0" t="n">
        <v>300</v>
      </c>
      <c r="K6554" s="0" t="n">
        <v>6300</v>
      </c>
    </row>
    <row r="6555" customFormat="false" ht="15" hidden="false" customHeight="false" outlineLevel="0" collapsed="false">
      <c r="I6555" s="0" t="n">
        <v>2034</v>
      </c>
      <c r="J6555" s="0" t="n">
        <v>131.25</v>
      </c>
      <c r="K6555" s="0" t="n">
        <v>2756.25</v>
      </c>
    </row>
    <row r="6556" customFormat="false" ht="15" hidden="false" customHeight="false" outlineLevel="0" collapsed="false">
      <c r="I6556" s="0" t="n">
        <v>2034</v>
      </c>
      <c r="J6556" s="0" t="n">
        <v>75</v>
      </c>
      <c r="K6556" s="0" t="n">
        <v>1575</v>
      </c>
    </row>
    <row r="6557" customFormat="false" ht="15" hidden="false" customHeight="false" outlineLevel="0" collapsed="false">
      <c r="I6557" s="0" t="n">
        <v>2034</v>
      </c>
      <c r="J6557" s="0" t="n">
        <v>75</v>
      </c>
      <c r="K6557" s="0" t="n">
        <v>1575</v>
      </c>
    </row>
    <row r="6558" customFormat="false" ht="15" hidden="false" customHeight="false" outlineLevel="0" collapsed="false">
      <c r="I6558" s="0" t="n">
        <v>2034</v>
      </c>
      <c r="J6558" s="0" t="n">
        <v>37.5</v>
      </c>
      <c r="K6558" s="0" t="n">
        <v>787.5</v>
      </c>
    </row>
    <row r="6559" customFormat="false" ht="15" hidden="false" customHeight="false" outlineLevel="0" collapsed="false">
      <c r="I6559" s="0" t="n">
        <v>2034</v>
      </c>
      <c r="J6559" s="0" t="n">
        <v>37.5</v>
      </c>
      <c r="K6559" s="0" t="n">
        <v>787.5</v>
      </c>
    </row>
    <row r="6560" customFormat="false" ht="15" hidden="false" customHeight="false" outlineLevel="0" collapsed="false">
      <c r="I6560" s="0" t="n">
        <v>2034</v>
      </c>
      <c r="J6560" s="0" t="n">
        <v>75</v>
      </c>
      <c r="K6560" s="0" t="n">
        <v>1575</v>
      </c>
    </row>
    <row r="6561" customFormat="false" ht="15" hidden="false" customHeight="false" outlineLevel="0" collapsed="false">
      <c r="I6561" s="0" t="n">
        <v>2034</v>
      </c>
      <c r="J6561" s="0" t="n">
        <v>131.25</v>
      </c>
      <c r="K6561" s="0" t="n">
        <v>2756.25</v>
      </c>
    </row>
    <row r="6562" customFormat="false" ht="15" hidden="false" customHeight="false" outlineLevel="0" collapsed="false">
      <c r="I6562" s="0" t="n">
        <v>2034</v>
      </c>
      <c r="J6562" s="0" t="n">
        <v>56.25</v>
      </c>
      <c r="K6562" s="0" t="n">
        <v>1181.25</v>
      </c>
    </row>
    <row r="6563" customFormat="false" ht="15" hidden="false" customHeight="false" outlineLevel="0" collapsed="false">
      <c r="I6563" s="0" t="n">
        <v>2034</v>
      </c>
      <c r="J6563" s="0" t="n">
        <v>56.25</v>
      </c>
      <c r="K6563" s="0" t="n">
        <v>1181.25</v>
      </c>
    </row>
    <row r="6564" customFormat="false" ht="15" hidden="false" customHeight="false" outlineLevel="0" collapsed="false">
      <c r="I6564" s="0" t="n">
        <v>2034</v>
      </c>
      <c r="J6564" s="0" t="n">
        <v>227.24</v>
      </c>
      <c r="K6564" s="0" t="n">
        <v>4773.08</v>
      </c>
    </row>
    <row r="6565" customFormat="false" ht="15" hidden="false" customHeight="false" outlineLevel="0" collapsed="false">
      <c r="I6565" s="0" t="n">
        <v>2034</v>
      </c>
      <c r="J6565" s="0" t="n">
        <v>34.96</v>
      </c>
      <c r="K6565" s="0" t="n">
        <v>734.32</v>
      </c>
    </row>
    <row r="6566" customFormat="false" ht="15" hidden="false" customHeight="false" outlineLevel="0" collapsed="false">
      <c r="I6566" s="0" t="n">
        <v>2034</v>
      </c>
      <c r="J6566" s="0" t="n">
        <v>26.22</v>
      </c>
      <c r="K6566" s="0" t="n">
        <v>550.74</v>
      </c>
    </row>
    <row r="6567" customFormat="false" ht="15" hidden="false" customHeight="false" outlineLevel="0" collapsed="false">
      <c r="I6567" s="0" t="n">
        <v>2034</v>
      </c>
      <c r="J6567" s="0" t="n">
        <v>43.7</v>
      </c>
      <c r="K6567" s="0" t="n">
        <v>917.9</v>
      </c>
    </row>
    <row r="6568" customFormat="false" ht="15" hidden="false" customHeight="false" outlineLevel="0" collapsed="false">
      <c r="I6568" s="0" t="n">
        <v>2034</v>
      </c>
      <c r="J6568" s="0" t="n">
        <v>8.74</v>
      </c>
      <c r="K6568" s="0" t="n">
        <v>183.58</v>
      </c>
    </row>
    <row r="6569" customFormat="false" ht="15" hidden="false" customHeight="false" outlineLevel="0" collapsed="false">
      <c r="I6569" s="0" t="n">
        <v>2034</v>
      </c>
      <c r="J6569" s="0" t="n">
        <v>8.74</v>
      </c>
      <c r="K6569" s="0" t="n">
        <v>183.58</v>
      </c>
    </row>
    <row r="6570" customFormat="false" ht="15" hidden="false" customHeight="false" outlineLevel="0" collapsed="false">
      <c r="I6570" s="0" t="n">
        <v>2034</v>
      </c>
      <c r="J6570" s="0" t="n">
        <v>0</v>
      </c>
      <c r="K6570" s="0" t="n">
        <v>0</v>
      </c>
    </row>
    <row r="6571" customFormat="false" ht="15" hidden="false" customHeight="false" outlineLevel="0" collapsed="false">
      <c r="I6571" s="0" t="n">
        <v>2034</v>
      </c>
      <c r="J6571" s="0" t="n">
        <v>17.48</v>
      </c>
      <c r="K6571" s="0" t="n">
        <v>367.16</v>
      </c>
    </row>
    <row r="6572" customFormat="false" ht="15" hidden="false" customHeight="false" outlineLevel="0" collapsed="false">
      <c r="I6572" s="0" t="n">
        <v>2034</v>
      </c>
      <c r="J6572" s="0" t="n">
        <v>30.59</v>
      </c>
      <c r="K6572" s="0" t="n">
        <v>642.53</v>
      </c>
    </row>
    <row r="6573" customFormat="false" ht="15" hidden="false" customHeight="false" outlineLevel="0" collapsed="false">
      <c r="I6573" s="0" t="n">
        <v>2034</v>
      </c>
      <c r="J6573" s="0" t="n">
        <v>8.74</v>
      </c>
      <c r="K6573" s="0" t="n">
        <v>183.58</v>
      </c>
    </row>
    <row r="6574" customFormat="false" ht="15" hidden="false" customHeight="false" outlineLevel="0" collapsed="false">
      <c r="I6574" s="0" t="n">
        <v>2034</v>
      </c>
      <c r="J6574" s="0" t="n">
        <v>30.59</v>
      </c>
      <c r="K6574" s="0" t="n">
        <v>642.53</v>
      </c>
    </row>
    <row r="6575" customFormat="false" ht="15" hidden="false" customHeight="false" outlineLevel="0" collapsed="false">
      <c r="I6575" s="0" t="n">
        <v>2034</v>
      </c>
      <c r="J6575" s="0" t="n">
        <v>462.72</v>
      </c>
      <c r="K6575" s="0" t="n">
        <v>9717.12</v>
      </c>
    </row>
    <row r="6576" customFormat="false" ht="15" hidden="false" customHeight="false" outlineLevel="0" collapsed="false">
      <c r="I6576" s="0" t="n">
        <v>2034</v>
      </c>
      <c r="J6576" s="0" t="n">
        <v>154.24</v>
      </c>
      <c r="K6576" s="0" t="n">
        <v>3239.04</v>
      </c>
    </row>
    <row r="6577" customFormat="false" ht="15" hidden="false" customHeight="false" outlineLevel="0" collapsed="false">
      <c r="I6577" s="0" t="n">
        <v>2034</v>
      </c>
      <c r="J6577" s="0" t="n">
        <v>67.48</v>
      </c>
      <c r="K6577" s="0" t="n">
        <v>1417.08</v>
      </c>
    </row>
    <row r="6578" customFormat="false" ht="15" hidden="false" customHeight="false" outlineLevel="0" collapsed="false">
      <c r="I6578" s="0" t="n">
        <v>2034</v>
      </c>
      <c r="J6578" s="0" t="n">
        <v>38.56</v>
      </c>
      <c r="K6578" s="0" t="n">
        <v>809.76</v>
      </c>
    </row>
    <row r="6579" customFormat="false" ht="15" hidden="false" customHeight="false" outlineLevel="0" collapsed="false">
      <c r="I6579" s="0" t="n">
        <v>2034</v>
      </c>
      <c r="J6579" s="0" t="n">
        <v>38.56</v>
      </c>
      <c r="K6579" s="0" t="n">
        <v>809.76</v>
      </c>
    </row>
    <row r="6580" customFormat="false" ht="15" hidden="false" customHeight="false" outlineLevel="0" collapsed="false">
      <c r="I6580" s="0" t="n">
        <v>2034</v>
      </c>
      <c r="J6580" s="0" t="n">
        <v>19.28</v>
      </c>
      <c r="K6580" s="0" t="n">
        <v>404.88</v>
      </c>
    </row>
    <row r="6581" customFormat="false" ht="15" hidden="false" customHeight="false" outlineLevel="0" collapsed="false">
      <c r="I6581" s="0" t="n">
        <v>2034</v>
      </c>
      <c r="J6581" s="0" t="n">
        <v>19.28</v>
      </c>
      <c r="K6581" s="0" t="n">
        <v>404.88</v>
      </c>
    </row>
    <row r="6582" customFormat="false" ht="15" hidden="false" customHeight="false" outlineLevel="0" collapsed="false">
      <c r="I6582" s="0" t="n">
        <v>2034</v>
      </c>
      <c r="J6582" s="0" t="n">
        <v>38.56</v>
      </c>
      <c r="K6582" s="0" t="n">
        <v>809.76</v>
      </c>
    </row>
    <row r="6583" customFormat="false" ht="15" hidden="false" customHeight="false" outlineLevel="0" collapsed="false">
      <c r="I6583" s="0" t="n">
        <v>2034</v>
      </c>
      <c r="J6583" s="0" t="n">
        <v>67.48</v>
      </c>
      <c r="K6583" s="0" t="n">
        <v>1417.08</v>
      </c>
    </row>
    <row r="6584" customFormat="false" ht="15" hidden="false" customHeight="false" outlineLevel="0" collapsed="false">
      <c r="I6584" s="0" t="n">
        <v>2034</v>
      </c>
      <c r="J6584" s="0" t="n">
        <v>28.92</v>
      </c>
      <c r="K6584" s="0" t="n">
        <v>607.32</v>
      </c>
    </row>
    <row r="6585" customFormat="false" ht="15" hidden="false" customHeight="false" outlineLevel="0" collapsed="false">
      <c r="I6585" s="0" t="n">
        <v>2034</v>
      </c>
      <c r="J6585" s="0" t="n">
        <v>28.92</v>
      </c>
      <c r="K6585" s="0" t="n">
        <v>607.32</v>
      </c>
    </row>
    <row r="6586" customFormat="false" ht="15" hidden="false" customHeight="false" outlineLevel="0" collapsed="false">
      <c r="I6586" s="0" t="n">
        <v>2034</v>
      </c>
      <c r="J6586" s="0" t="n">
        <v>233.48</v>
      </c>
      <c r="K6586" s="0" t="n">
        <v>4899.96</v>
      </c>
    </row>
    <row r="6587" customFormat="false" ht="15" hidden="false" customHeight="false" outlineLevel="0" collapsed="false">
      <c r="I6587" s="0" t="n">
        <v>2034</v>
      </c>
      <c r="J6587" s="0" t="n">
        <v>35.92</v>
      </c>
      <c r="K6587" s="0" t="n">
        <v>753.84</v>
      </c>
    </row>
    <row r="6588" customFormat="false" ht="15" hidden="false" customHeight="false" outlineLevel="0" collapsed="false">
      <c r="I6588" s="0" t="n">
        <v>2034</v>
      </c>
      <c r="J6588" s="0" t="n">
        <v>26.94</v>
      </c>
      <c r="K6588" s="0" t="n">
        <v>565.38</v>
      </c>
    </row>
    <row r="6589" customFormat="false" ht="15" hidden="false" customHeight="false" outlineLevel="0" collapsed="false">
      <c r="I6589" s="0" t="n">
        <v>2034</v>
      </c>
      <c r="J6589" s="0" t="n">
        <v>44.9</v>
      </c>
      <c r="K6589" s="0" t="n">
        <v>942.3</v>
      </c>
    </row>
    <row r="6590" customFormat="false" ht="15" hidden="false" customHeight="false" outlineLevel="0" collapsed="false">
      <c r="I6590" s="0" t="n">
        <v>2034</v>
      </c>
      <c r="J6590" s="0" t="n">
        <v>8.98</v>
      </c>
      <c r="K6590" s="0" t="n">
        <v>188.46</v>
      </c>
    </row>
    <row r="6591" customFormat="false" ht="15" hidden="false" customHeight="false" outlineLevel="0" collapsed="false">
      <c r="I6591" s="0" t="n">
        <v>2034</v>
      </c>
      <c r="J6591" s="0" t="n">
        <v>8.98</v>
      </c>
      <c r="K6591" s="0" t="n">
        <v>188.46</v>
      </c>
    </row>
    <row r="6592" customFormat="false" ht="15" hidden="false" customHeight="false" outlineLevel="0" collapsed="false">
      <c r="I6592" s="0" t="n">
        <v>2034</v>
      </c>
      <c r="J6592" s="0" t="n">
        <v>0</v>
      </c>
      <c r="K6592" s="0" t="n">
        <v>0</v>
      </c>
    </row>
    <row r="6593" customFormat="false" ht="15" hidden="false" customHeight="false" outlineLevel="0" collapsed="false">
      <c r="I6593" s="0" t="n">
        <v>2034</v>
      </c>
      <c r="J6593" s="0" t="n">
        <v>17.96</v>
      </c>
      <c r="K6593" s="0" t="n">
        <v>376.92</v>
      </c>
    </row>
    <row r="6594" customFormat="false" ht="15" hidden="false" customHeight="false" outlineLevel="0" collapsed="false">
      <c r="I6594" s="0" t="n">
        <v>2034</v>
      </c>
      <c r="J6594" s="0" t="n">
        <v>31.43</v>
      </c>
      <c r="K6594" s="0" t="n">
        <v>659.61</v>
      </c>
    </row>
    <row r="6595" customFormat="false" ht="15" hidden="false" customHeight="false" outlineLevel="0" collapsed="false">
      <c r="I6595" s="0" t="n">
        <v>2034</v>
      </c>
      <c r="J6595" s="0" t="n">
        <v>8.98</v>
      </c>
      <c r="K6595" s="0" t="n">
        <v>188.46</v>
      </c>
    </row>
    <row r="6596" customFormat="false" ht="15" hidden="false" customHeight="false" outlineLevel="0" collapsed="false">
      <c r="I6596" s="0" t="n">
        <v>2034</v>
      </c>
      <c r="J6596" s="0" t="n">
        <v>31.43</v>
      </c>
      <c r="K6596" s="0" t="n">
        <v>659.61</v>
      </c>
    </row>
    <row r="6597" customFormat="false" ht="15" hidden="false" customHeight="false" outlineLevel="0" collapsed="false">
      <c r="I6597" s="0" t="n">
        <v>2034</v>
      </c>
      <c r="J6597" s="0" t="n">
        <v>366.24</v>
      </c>
      <c r="K6597" s="0" t="n">
        <v>7688.16</v>
      </c>
    </row>
    <row r="6598" customFormat="false" ht="15" hidden="false" customHeight="false" outlineLevel="0" collapsed="false">
      <c r="I6598" s="0" t="n">
        <v>2034</v>
      </c>
      <c r="J6598" s="0" t="n">
        <v>122.08</v>
      </c>
      <c r="K6598" s="0" t="n">
        <v>2562.72</v>
      </c>
    </row>
    <row r="6599" customFormat="false" ht="15" hidden="false" customHeight="false" outlineLevel="0" collapsed="false">
      <c r="I6599" s="0" t="n">
        <v>2034</v>
      </c>
      <c r="J6599" s="0" t="n">
        <v>53.41</v>
      </c>
      <c r="K6599" s="0" t="n">
        <v>1121.19</v>
      </c>
    </row>
    <row r="6600" customFormat="false" ht="15" hidden="false" customHeight="false" outlineLevel="0" collapsed="false">
      <c r="I6600" s="0" t="n">
        <v>2034</v>
      </c>
      <c r="J6600" s="0" t="n">
        <v>30.52</v>
      </c>
      <c r="K6600" s="0" t="n">
        <v>640.68</v>
      </c>
    </row>
    <row r="6601" customFormat="false" ht="15" hidden="false" customHeight="false" outlineLevel="0" collapsed="false">
      <c r="I6601" s="0" t="n">
        <v>2034</v>
      </c>
      <c r="J6601" s="0" t="n">
        <v>30.52</v>
      </c>
      <c r="K6601" s="0" t="n">
        <v>640.68</v>
      </c>
    </row>
    <row r="6602" customFormat="false" ht="15" hidden="false" customHeight="false" outlineLevel="0" collapsed="false">
      <c r="I6602" s="0" t="n">
        <v>2034</v>
      </c>
      <c r="J6602" s="0" t="n">
        <v>15.26</v>
      </c>
      <c r="K6602" s="0" t="n">
        <v>320.34</v>
      </c>
    </row>
    <row r="6603" customFormat="false" ht="15" hidden="false" customHeight="false" outlineLevel="0" collapsed="false">
      <c r="I6603" s="0" t="n">
        <v>2034</v>
      </c>
      <c r="J6603" s="0" t="n">
        <v>15.26</v>
      </c>
      <c r="K6603" s="0" t="n">
        <v>320.34</v>
      </c>
    </row>
    <row r="6604" customFormat="false" ht="15" hidden="false" customHeight="false" outlineLevel="0" collapsed="false">
      <c r="I6604" s="0" t="n">
        <v>2034</v>
      </c>
      <c r="J6604" s="0" t="n">
        <v>30.52</v>
      </c>
      <c r="K6604" s="0" t="n">
        <v>640.68</v>
      </c>
    </row>
    <row r="6605" customFormat="false" ht="15" hidden="false" customHeight="false" outlineLevel="0" collapsed="false">
      <c r="I6605" s="0" t="n">
        <v>2034</v>
      </c>
      <c r="J6605" s="0" t="n">
        <v>53.41</v>
      </c>
      <c r="K6605" s="0" t="n">
        <v>1121.19</v>
      </c>
    </row>
    <row r="6606" customFormat="false" ht="15" hidden="false" customHeight="false" outlineLevel="0" collapsed="false">
      <c r="I6606" s="0" t="n">
        <v>2034</v>
      </c>
      <c r="J6606" s="0" t="n">
        <v>22.89</v>
      </c>
      <c r="K6606" s="0" t="n">
        <v>480.51</v>
      </c>
    </row>
    <row r="6607" customFormat="false" ht="15" hidden="false" customHeight="false" outlineLevel="0" collapsed="false">
      <c r="I6607" s="0" t="n">
        <v>2034</v>
      </c>
      <c r="J6607" s="0" t="n">
        <v>22.89</v>
      </c>
      <c r="K6607" s="0" t="n">
        <v>480.51</v>
      </c>
    </row>
    <row r="6608" customFormat="false" ht="15" hidden="false" customHeight="false" outlineLevel="0" collapsed="false">
      <c r="I6608" s="0" t="n">
        <v>2034</v>
      </c>
      <c r="J6608" s="0" t="n">
        <v>647.92</v>
      </c>
      <c r="K6608" s="0" t="n">
        <v>13602.68</v>
      </c>
    </row>
    <row r="6609" customFormat="false" ht="15" hidden="false" customHeight="false" outlineLevel="0" collapsed="false">
      <c r="I6609" s="0" t="n">
        <v>2034</v>
      </c>
      <c r="J6609" s="0" t="n">
        <v>99.68</v>
      </c>
      <c r="K6609" s="0" t="n">
        <v>2092.72</v>
      </c>
    </row>
    <row r="6610" customFormat="false" ht="15" hidden="false" customHeight="false" outlineLevel="0" collapsed="false">
      <c r="I6610" s="0" t="n">
        <v>2034</v>
      </c>
      <c r="J6610" s="0" t="n">
        <v>74.76</v>
      </c>
      <c r="K6610" s="0" t="n">
        <v>1569.54</v>
      </c>
    </row>
    <row r="6611" customFormat="false" ht="15" hidden="false" customHeight="false" outlineLevel="0" collapsed="false">
      <c r="I6611" s="0" t="n">
        <v>2034</v>
      </c>
      <c r="J6611" s="0" t="n">
        <v>124.6</v>
      </c>
      <c r="K6611" s="0" t="n">
        <v>2615.9</v>
      </c>
    </row>
    <row r="6612" customFormat="false" ht="15" hidden="false" customHeight="false" outlineLevel="0" collapsed="false">
      <c r="I6612" s="0" t="n">
        <v>2034</v>
      </c>
      <c r="J6612" s="0" t="n">
        <v>24.92</v>
      </c>
      <c r="K6612" s="0" t="n">
        <v>523.18</v>
      </c>
    </row>
    <row r="6613" customFormat="false" ht="15" hidden="false" customHeight="false" outlineLevel="0" collapsed="false">
      <c r="I6613" s="0" t="n">
        <v>2034</v>
      </c>
      <c r="J6613" s="0" t="n">
        <v>24.92</v>
      </c>
      <c r="K6613" s="0" t="n">
        <v>523.18</v>
      </c>
    </row>
    <row r="6614" customFormat="false" ht="15" hidden="false" customHeight="false" outlineLevel="0" collapsed="false">
      <c r="I6614" s="0" t="n">
        <v>2034</v>
      </c>
      <c r="J6614" s="0" t="n">
        <v>0</v>
      </c>
      <c r="K6614" s="0" t="n">
        <v>0</v>
      </c>
    </row>
    <row r="6615" customFormat="false" ht="15" hidden="false" customHeight="false" outlineLevel="0" collapsed="false">
      <c r="I6615" s="0" t="n">
        <v>2034</v>
      </c>
      <c r="J6615" s="0" t="n">
        <v>49.84</v>
      </c>
      <c r="K6615" s="0" t="n">
        <v>1046.36</v>
      </c>
    </row>
    <row r="6616" customFormat="false" ht="15" hidden="false" customHeight="false" outlineLevel="0" collapsed="false">
      <c r="I6616" s="0" t="n">
        <v>2034</v>
      </c>
      <c r="J6616" s="0" t="n">
        <v>87.22</v>
      </c>
      <c r="K6616" s="0" t="n">
        <v>1831.13</v>
      </c>
    </row>
    <row r="6617" customFormat="false" ht="15" hidden="false" customHeight="false" outlineLevel="0" collapsed="false">
      <c r="I6617" s="0" t="n">
        <v>2034</v>
      </c>
      <c r="J6617" s="0" t="n">
        <v>24.92</v>
      </c>
      <c r="K6617" s="0" t="n">
        <v>523.18</v>
      </c>
    </row>
    <row r="6618" customFormat="false" ht="15" hidden="false" customHeight="false" outlineLevel="0" collapsed="false">
      <c r="I6618" s="0" t="n">
        <v>2034</v>
      </c>
      <c r="J6618" s="0" t="n">
        <v>87.22</v>
      </c>
      <c r="K6618" s="0" t="n">
        <v>1831.13</v>
      </c>
    </row>
    <row r="6619" customFormat="false" ht="15" hidden="false" customHeight="false" outlineLevel="0" collapsed="false">
      <c r="I6619" s="0" t="n">
        <v>2034</v>
      </c>
      <c r="J6619" s="0" t="n">
        <v>499.68</v>
      </c>
      <c r="K6619" s="0" t="n">
        <v>10492.8</v>
      </c>
    </row>
    <row r="6620" customFormat="false" ht="15" hidden="false" customHeight="false" outlineLevel="0" collapsed="false">
      <c r="I6620" s="0" t="n">
        <v>2034</v>
      </c>
      <c r="J6620" s="0" t="n">
        <v>166.56</v>
      </c>
      <c r="K6620" s="0" t="n">
        <v>3497.6</v>
      </c>
    </row>
    <row r="6621" customFormat="false" ht="15" hidden="false" customHeight="false" outlineLevel="0" collapsed="false">
      <c r="I6621" s="0" t="n">
        <v>2034</v>
      </c>
      <c r="J6621" s="0" t="n">
        <v>72.87</v>
      </c>
      <c r="K6621" s="0" t="n">
        <v>1530.2</v>
      </c>
    </row>
    <row r="6622" customFormat="false" ht="15" hidden="false" customHeight="false" outlineLevel="0" collapsed="false">
      <c r="I6622" s="0" t="n">
        <v>2034</v>
      </c>
      <c r="J6622" s="0" t="n">
        <v>41.64</v>
      </c>
      <c r="K6622" s="0" t="n">
        <v>874.4</v>
      </c>
    </row>
    <row r="6623" customFormat="false" ht="15" hidden="false" customHeight="false" outlineLevel="0" collapsed="false">
      <c r="I6623" s="0" t="n">
        <v>2034</v>
      </c>
      <c r="J6623" s="0" t="n">
        <v>41.64</v>
      </c>
      <c r="K6623" s="0" t="n">
        <v>874.4</v>
      </c>
    </row>
    <row r="6624" customFormat="false" ht="15" hidden="false" customHeight="false" outlineLevel="0" collapsed="false">
      <c r="I6624" s="0" t="n">
        <v>2034</v>
      </c>
      <c r="J6624" s="0" t="n">
        <v>20.82</v>
      </c>
      <c r="K6624" s="0" t="n">
        <v>437.2</v>
      </c>
    </row>
    <row r="6625" customFormat="false" ht="15" hidden="false" customHeight="false" outlineLevel="0" collapsed="false">
      <c r="I6625" s="0" t="n">
        <v>2034</v>
      </c>
      <c r="J6625" s="0" t="n">
        <v>20.82</v>
      </c>
      <c r="K6625" s="0" t="n">
        <v>437.2</v>
      </c>
    </row>
    <row r="6626" customFormat="false" ht="15" hidden="false" customHeight="false" outlineLevel="0" collapsed="false">
      <c r="I6626" s="0" t="n">
        <v>2034</v>
      </c>
      <c r="J6626" s="0" t="n">
        <v>41.64</v>
      </c>
      <c r="K6626" s="0" t="n">
        <v>874.4</v>
      </c>
    </row>
    <row r="6627" customFormat="false" ht="15" hidden="false" customHeight="false" outlineLevel="0" collapsed="false">
      <c r="I6627" s="0" t="n">
        <v>2034</v>
      </c>
      <c r="J6627" s="0" t="n">
        <v>72.87</v>
      </c>
      <c r="K6627" s="0" t="n">
        <v>1530.2</v>
      </c>
    </row>
    <row r="6628" customFormat="false" ht="15" hidden="false" customHeight="false" outlineLevel="0" collapsed="false">
      <c r="I6628" s="0" t="n">
        <v>2034</v>
      </c>
      <c r="J6628" s="0" t="n">
        <v>31.23</v>
      </c>
      <c r="K6628" s="0" t="n">
        <v>655.8</v>
      </c>
    </row>
    <row r="6629" customFormat="false" ht="15" hidden="false" customHeight="false" outlineLevel="0" collapsed="false">
      <c r="I6629" s="0" t="n">
        <v>2034</v>
      </c>
      <c r="J6629" s="0" t="n">
        <v>31.23</v>
      </c>
      <c r="K6629" s="0" t="n">
        <v>655.8</v>
      </c>
    </row>
    <row r="6630" customFormat="false" ht="15" hidden="false" customHeight="false" outlineLevel="0" collapsed="false">
      <c r="I6630" s="0" t="n">
        <v>2034</v>
      </c>
      <c r="J6630" s="0" t="n">
        <v>129.48</v>
      </c>
      <c r="K6630" s="0" t="n">
        <v>2718.56</v>
      </c>
    </row>
    <row r="6631" customFormat="false" ht="15" hidden="false" customHeight="false" outlineLevel="0" collapsed="false">
      <c r="I6631" s="0" t="n">
        <v>2034</v>
      </c>
      <c r="J6631" s="0" t="n">
        <v>19.92</v>
      </c>
      <c r="K6631" s="0" t="n">
        <v>418.24</v>
      </c>
    </row>
    <row r="6632" customFormat="false" ht="15" hidden="false" customHeight="false" outlineLevel="0" collapsed="false">
      <c r="I6632" s="0" t="n">
        <v>2034</v>
      </c>
      <c r="J6632" s="0" t="n">
        <v>14.94</v>
      </c>
      <c r="K6632" s="0" t="n">
        <v>313.68</v>
      </c>
    </row>
    <row r="6633" customFormat="false" ht="15" hidden="false" customHeight="false" outlineLevel="0" collapsed="false">
      <c r="I6633" s="0" t="n">
        <v>2034</v>
      </c>
      <c r="J6633" s="0" t="n">
        <v>24.9</v>
      </c>
      <c r="K6633" s="0" t="n">
        <v>522.8</v>
      </c>
    </row>
    <row r="6634" customFormat="false" ht="15" hidden="false" customHeight="false" outlineLevel="0" collapsed="false">
      <c r="I6634" s="0" t="n">
        <v>2034</v>
      </c>
      <c r="J6634" s="0" t="n">
        <v>4.98</v>
      </c>
      <c r="K6634" s="0" t="n">
        <v>104.56</v>
      </c>
    </row>
    <row r="6635" customFormat="false" ht="15" hidden="false" customHeight="false" outlineLevel="0" collapsed="false">
      <c r="I6635" s="0" t="n">
        <v>2034</v>
      </c>
      <c r="J6635" s="0" t="n">
        <v>4.98</v>
      </c>
      <c r="K6635" s="0" t="n">
        <v>104.56</v>
      </c>
    </row>
    <row r="6636" customFormat="false" ht="15" hidden="false" customHeight="false" outlineLevel="0" collapsed="false">
      <c r="I6636" s="0" t="n">
        <v>2034</v>
      </c>
      <c r="J6636" s="0" t="n">
        <v>0</v>
      </c>
      <c r="K6636" s="0" t="n">
        <v>0</v>
      </c>
    </row>
    <row r="6637" customFormat="false" ht="15" hidden="false" customHeight="false" outlineLevel="0" collapsed="false">
      <c r="I6637" s="0" t="n">
        <v>2034</v>
      </c>
      <c r="J6637" s="0" t="n">
        <v>9.96</v>
      </c>
      <c r="K6637" s="0" t="n">
        <v>209.12</v>
      </c>
    </row>
    <row r="6638" customFormat="false" ht="15" hidden="false" customHeight="false" outlineLevel="0" collapsed="false">
      <c r="I6638" s="0" t="n">
        <v>2034</v>
      </c>
      <c r="J6638" s="0" t="n">
        <v>17.43</v>
      </c>
      <c r="K6638" s="0" t="n">
        <v>365.96</v>
      </c>
    </row>
    <row r="6639" customFormat="false" ht="15" hidden="false" customHeight="false" outlineLevel="0" collapsed="false">
      <c r="I6639" s="0" t="n">
        <v>2034</v>
      </c>
      <c r="J6639" s="0" t="n">
        <v>4.98</v>
      </c>
      <c r="K6639" s="0" t="n">
        <v>104.56</v>
      </c>
    </row>
    <row r="6640" customFormat="false" ht="15" hidden="false" customHeight="false" outlineLevel="0" collapsed="false">
      <c r="I6640" s="0" t="n">
        <v>2034</v>
      </c>
      <c r="J6640" s="0" t="n">
        <v>17.43</v>
      </c>
      <c r="K6640" s="0" t="n">
        <v>365.96</v>
      </c>
    </row>
    <row r="6641" customFormat="false" ht="15" hidden="false" customHeight="false" outlineLevel="0" collapsed="false">
      <c r="I6641" s="0" t="n">
        <v>2034</v>
      </c>
      <c r="J6641" s="0" t="n">
        <v>298.56</v>
      </c>
      <c r="K6641" s="0" t="n">
        <v>6273.12</v>
      </c>
    </row>
    <row r="6642" customFormat="false" ht="15" hidden="false" customHeight="false" outlineLevel="0" collapsed="false">
      <c r="I6642" s="0" t="n">
        <v>2034</v>
      </c>
      <c r="J6642" s="0" t="n">
        <v>99.52</v>
      </c>
      <c r="K6642" s="0" t="n">
        <v>2091.04</v>
      </c>
    </row>
    <row r="6643" customFormat="false" ht="15" hidden="false" customHeight="false" outlineLevel="0" collapsed="false">
      <c r="I6643" s="0" t="n">
        <v>2034</v>
      </c>
      <c r="J6643" s="0" t="n">
        <v>43.54</v>
      </c>
      <c r="K6643" s="0" t="n">
        <v>914.83</v>
      </c>
    </row>
    <row r="6644" customFormat="false" ht="15" hidden="false" customHeight="false" outlineLevel="0" collapsed="false">
      <c r="I6644" s="0" t="n">
        <v>2034</v>
      </c>
      <c r="J6644" s="0" t="n">
        <v>24.88</v>
      </c>
      <c r="K6644" s="0" t="n">
        <v>522.76</v>
      </c>
    </row>
    <row r="6645" customFormat="false" ht="15" hidden="false" customHeight="false" outlineLevel="0" collapsed="false">
      <c r="I6645" s="0" t="n">
        <v>2034</v>
      </c>
      <c r="J6645" s="0" t="n">
        <v>24.88</v>
      </c>
      <c r="K6645" s="0" t="n">
        <v>522.76</v>
      </c>
    </row>
    <row r="6646" customFormat="false" ht="15" hidden="false" customHeight="false" outlineLevel="0" collapsed="false">
      <c r="I6646" s="0" t="n">
        <v>2034</v>
      </c>
      <c r="J6646" s="0" t="n">
        <v>12.44</v>
      </c>
      <c r="K6646" s="0" t="n">
        <v>261.38</v>
      </c>
    </row>
    <row r="6647" customFormat="false" ht="15" hidden="false" customHeight="false" outlineLevel="0" collapsed="false">
      <c r="I6647" s="0" t="n">
        <v>2034</v>
      </c>
      <c r="J6647" s="0" t="n">
        <v>12.44</v>
      </c>
      <c r="K6647" s="0" t="n">
        <v>261.38</v>
      </c>
    </row>
    <row r="6648" customFormat="false" ht="15" hidden="false" customHeight="false" outlineLevel="0" collapsed="false">
      <c r="I6648" s="0" t="n">
        <v>2034</v>
      </c>
      <c r="J6648" s="0" t="n">
        <v>24.88</v>
      </c>
      <c r="K6648" s="0" t="n">
        <v>522.76</v>
      </c>
    </row>
    <row r="6649" customFormat="false" ht="15" hidden="false" customHeight="false" outlineLevel="0" collapsed="false">
      <c r="I6649" s="0" t="n">
        <v>2034</v>
      </c>
      <c r="J6649" s="0" t="n">
        <v>43.54</v>
      </c>
      <c r="K6649" s="0" t="n">
        <v>914.83</v>
      </c>
    </row>
    <row r="6650" customFormat="false" ht="15" hidden="false" customHeight="false" outlineLevel="0" collapsed="false">
      <c r="I6650" s="0" t="n">
        <v>2034</v>
      </c>
      <c r="J6650" s="0" t="n">
        <v>18.66</v>
      </c>
      <c r="K6650" s="0" t="n">
        <v>392.07</v>
      </c>
    </row>
    <row r="6651" customFormat="false" ht="15" hidden="false" customHeight="false" outlineLevel="0" collapsed="false">
      <c r="I6651" s="0" t="n">
        <v>2034</v>
      </c>
      <c r="J6651" s="0" t="n">
        <v>18.66</v>
      </c>
      <c r="K6651" s="0" t="n">
        <v>392.07</v>
      </c>
    </row>
    <row r="6652" customFormat="false" ht="15" hidden="false" customHeight="false" outlineLevel="0" collapsed="false">
      <c r="I6652" s="0" t="n">
        <v>2034</v>
      </c>
      <c r="J6652" s="0" t="n">
        <v>129.48</v>
      </c>
      <c r="K6652" s="0" t="n">
        <v>2718.56</v>
      </c>
    </row>
    <row r="6653" customFormat="false" ht="15" hidden="false" customHeight="false" outlineLevel="0" collapsed="false">
      <c r="I6653" s="0" t="n">
        <v>2034</v>
      </c>
      <c r="J6653" s="0" t="n">
        <v>19.92</v>
      </c>
      <c r="K6653" s="0" t="n">
        <v>418.24</v>
      </c>
    </row>
    <row r="6654" customFormat="false" ht="15" hidden="false" customHeight="false" outlineLevel="0" collapsed="false">
      <c r="I6654" s="0" t="n">
        <v>2034</v>
      </c>
      <c r="J6654" s="0" t="n">
        <v>14.94</v>
      </c>
      <c r="K6654" s="0" t="n">
        <v>313.68</v>
      </c>
    </row>
    <row r="6655" customFormat="false" ht="15" hidden="false" customHeight="false" outlineLevel="0" collapsed="false">
      <c r="I6655" s="0" t="n">
        <v>2034</v>
      </c>
      <c r="J6655" s="0" t="n">
        <v>24.9</v>
      </c>
      <c r="K6655" s="0" t="n">
        <v>522.8</v>
      </c>
    </row>
    <row r="6656" customFormat="false" ht="15" hidden="false" customHeight="false" outlineLevel="0" collapsed="false">
      <c r="I6656" s="0" t="n">
        <v>2034</v>
      </c>
      <c r="J6656" s="0" t="n">
        <v>4.98</v>
      </c>
      <c r="K6656" s="0" t="n">
        <v>104.56</v>
      </c>
    </row>
    <row r="6657" customFormat="false" ht="15" hidden="false" customHeight="false" outlineLevel="0" collapsed="false">
      <c r="I6657" s="0" t="n">
        <v>2034</v>
      </c>
      <c r="J6657" s="0" t="n">
        <v>4.98</v>
      </c>
      <c r="K6657" s="0" t="n">
        <v>104.56</v>
      </c>
    </row>
    <row r="6658" customFormat="false" ht="15" hidden="false" customHeight="false" outlineLevel="0" collapsed="false">
      <c r="I6658" s="0" t="n">
        <v>2034</v>
      </c>
      <c r="J6658" s="0" t="n">
        <v>0</v>
      </c>
      <c r="K6658" s="0" t="n">
        <v>0</v>
      </c>
    </row>
    <row r="6659" customFormat="false" ht="15" hidden="false" customHeight="false" outlineLevel="0" collapsed="false">
      <c r="I6659" s="0" t="n">
        <v>2034</v>
      </c>
      <c r="J6659" s="0" t="n">
        <v>9.96</v>
      </c>
      <c r="K6659" s="0" t="n">
        <v>209.12</v>
      </c>
    </row>
    <row r="6660" customFormat="false" ht="15" hidden="false" customHeight="false" outlineLevel="0" collapsed="false">
      <c r="I6660" s="0" t="n">
        <v>2034</v>
      </c>
      <c r="J6660" s="0" t="n">
        <v>17.43</v>
      </c>
      <c r="K6660" s="0" t="n">
        <v>365.96</v>
      </c>
    </row>
    <row r="6661" customFormat="false" ht="15" hidden="false" customHeight="false" outlineLevel="0" collapsed="false">
      <c r="I6661" s="0" t="n">
        <v>2034</v>
      </c>
      <c r="J6661" s="0" t="n">
        <v>4.98</v>
      </c>
      <c r="K6661" s="0" t="n">
        <v>104.56</v>
      </c>
    </row>
    <row r="6662" customFormat="false" ht="15" hidden="false" customHeight="false" outlineLevel="0" collapsed="false">
      <c r="I6662" s="0" t="n">
        <v>2034</v>
      </c>
      <c r="J6662" s="0" t="n">
        <v>17.43</v>
      </c>
      <c r="K6662" s="0" t="n">
        <v>365.96</v>
      </c>
    </row>
    <row r="6663" customFormat="false" ht="15" hidden="false" customHeight="false" outlineLevel="0" collapsed="false">
      <c r="I6663" s="0" t="n">
        <v>2034</v>
      </c>
      <c r="J6663" s="0" t="n">
        <v>31.68</v>
      </c>
      <c r="K6663" s="0" t="n">
        <v>662.88</v>
      </c>
    </row>
    <row r="6664" customFormat="false" ht="15" hidden="false" customHeight="false" outlineLevel="0" collapsed="false">
      <c r="I6664" s="0" t="n">
        <v>2034</v>
      </c>
      <c r="J6664" s="0" t="n">
        <v>10.56</v>
      </c>
      <c r="K6664" s="0" t="n">
        <v>220.96</v>
      </c>
    </row>
    <row r="6665" customFormat="false" ht="15" hidden="false" customHeight="false" outlineLevel="0" collapsed="false">
      <c r="I6665" s="0" t="n">
        <v>2034</v>
      </c>
      <c r="J6665" s="0" t="n">
        <v>4.62</v>
      </c>
      <c r="K6665" s="0" t="n">
        <v>96.67</v>
      </c>
    </row>
    <row r="6666" customFormat="false" ht="15" hidden="false" customHeight="false" outlineLevel="0" collapsed="false">
      <c r="I6666" s="0" t="n">
        <v>2034</v>
      </c>
      <c r="J6666" s="0" t="n">
        <v>2.64</v>
      </c>
      <c r="K6666" s="0" t="n">
        <v>55.24</v>
      </c>
    </row>
    <row r="6667" customFormat="false" ht="15" hidden="false" customHeight="false" outlineLevel="0" collapsed="false">
      <c r="I6667" s="0" t="n">
        <v>2034</v>
      </c>
      <c r="J6667" s="0" t="n">
        <v>2.64</v>
      </c>
      <c r="K6667" s="0" t="n">
        <v>55.24</v>
      </c>
    </row>
    <row r="6668" customFormat="false" ht="15" hidden="false" customHeight="false" outlineLevel="0" collapsed="false">
      <c r="I6668" s="0" t="n">
        <v>2034</v>
      </c>
      <c r="J6668" s="0" t="n">
        <v>1.32</v>
      </c>
      <c r="K6668" s="0" t="n">
        <v>27.62</v>
      </c>
    </row>
    <row r="6669" customFormat="false" ht="15" hidden="false" customHeight="false" outlineLevel="0" collapsed="false">
      <c r="I6669" s="0" t="n">
        <v>2034</v>
      </c>
      <c r="J6669" s="0" t="n">
        <v>1.32</v>
      </c>
      <c r="K6669" s="0" t="n">
        <v>27.62</v>
      </c>
    </row>
    <row r="6670" customFormat="false" ht="15" hidden="false" customHeight="false" outlineLevel="0" collapsed="false">
      <c r="I6670" s="0" t="n">
        <v>2034</v>
      </c>
      <c r="J6670" s="0" t="n">
        <v>2.64</v>
      </c>
      <c r="K6670" s="0" t="n">
        <v>55.24</v>
      </c>
    </row>
    <row r="6671" customFormat="false" ht="15" hidden="false" customHeight="false" outlineLevel="0" collapsed="false">
      <c r="I6671" s="0" t="n">
        <v>2034</v>
      </c>
      <c r="J6671" s="0" t="n">
        <v>4.62</v>
      </c>
      <c r="K6671" s="0" t="n">
        <v>96.67</v>
      </c>
    </row>
    <row r="6672" customFormat="false" ht="15" hidden="false" customHeight="false" outlineLevel="0" collapsed="false">
      <c r="I6672" s="0" t="n">
        <v>2034</v>
      </c>
      <c r="J6672" s="0" t="n">
        <v>1.98</v>
      </c>
      <c r="K6672" s="0" t="n">
        <v>41.43</v>
      </c>
    </row>
    <row r="6673" customFormat="false" ht="15" hidden="false" customHeight="false" outlineLevel="0" collapsed="false">
      <c r="I6673" s="0" t="n">
        <v>2034</v>
      </c>
      <c r="J6673" s="0" t="n">
        <v>1.98</v>
      </c>
      <c r="K6673" s="0" t="n">
        <v>41.43</v>
      </c>
    </row>
    <row r="6674" customFormat="false" ht="15" hidden="false" customHeight="false" outlineLevel="0" collapsed="false">
      <c r="I6674" s="0" t="n">
        <v>2034</v>
      </c>
      <c r="J6674" s="0" t="n">
        <v>11.96</v>
      </c>
      <c r="K6674" s="0" t="n">
        <v>248.04</v>
      </c>
    </row>
    <row r="6675" customFormat="false" ht="15" hidden="false" customHeight="false" outlineLevel="0" collapsed="false">
      <c r="I6675" s="0" t="n">
        <v>2034</v>
      </c>
      <c r="J6675" s="0" t="n">
        <v>1.84</v>
      </c>
      <c r="K6675" s="0" t="n">
        <v>38.16</v>
      </c>
    </row>
    <row r="6676" customFormat="false" ht="15" hidden="false" customHeight="false" outlineLevel="0" collapsed="false">
      <c r="I6676" s="0" t="n">
        <v>2034</v>
      </c>
      <c r="J6676" s="0" t="n">
        <v>1.38</v>
      </c>
      <c r="K6676" s="0" t="n">
        <v>28.62</v>
      </c>
    </row>
    <row r="6677" customFormat="false" ht="15" hidden="false" customHeight="false" outlineLevel="0" collapsed="false">
      <c r="I6677" s="0" t="n">
        <v>2034</v>
      </c>
      <c r="J6677" s="0" t="n">
        <v>2.3</v>
      </c>
      <c r="K6677" s="0" t="n">
        <v>47.7</v>
      </c>
    </row>
    <row r="6678" customFormat="false" ht="15" hidden="false" customHeight="false" outlineLevel="0" collapsed="false">
      <c r="I6678" s="0" t="n">
        <v>2034</v>
      </c>
      <c r="J6678" s="0" t="n">
        <v>0.46</v>
      </c>
      <c r="K6678" s="0" t="n">
        <v>9.54</v>
      </c>
    </row>
    <row r="6679" customFormat="false" ht="15" hidden="false" customHeight="false" outlineLevel="0" collapsed="false">
      <c r="I6679" s="0" t="n">
        <v>2034</v>
      </c>
      <c r="J6679" s="0" t="n">
        <v>0.46</v>
      </c>
      <c r="K6679" s="0" t="n">
        <v>9.54</v>
      </c>
    </row>
    <row r="6680" customFormat="false" ht="15" hidden="false" customHeight="false" outlineLevel="0" collapsed="false">
      <c r="I6680" s="0" t="n">
        <v>2034</v>
      </c>
      <c r="J6680" s="0" t="n">
        <v>0</v>
      </c>
      <c r="K6680" s="0" t="n">
        <v>0</v>
      </c>
    </row>
    <row r="6681" customFormat="false" ht="15" hidden="false" customHeight="false" outlineLevel="0" collapsed="false">
      <c r="I6681" s="0" t="n">
        <v>2034</v>
      </c>
      <c r="J6681" s="0" t="n">
        <v>0.92</v>
      </c>
      <c r="K6681" s="0" t="n">
        <v>19.08</v>
      </c>
    </row>
    <row r="6682" customFormat="false" ht="15" hidden="false" customHeight="false" outlineLevel="0" collapsed="false">
      <c r="I6682" s="0" t="n">
        <v>2034</v>
      </c>
      <c r="J6682" s="0" t="n">
        <v>1.61</v>
      </c>
      <c r="K6682" s="0" t="n">
        <v>33.39</v>
      </c>
    </row>
    <row r="6683" customFormat="false" ht="15" hidden="false" customHeight="false" outlineLevel="0" collapsed="false">
      <c r="I6683" s="0" t="n">
        <v>2034</v>
      </c>
      <c r="J6683" s="0" t="n">
        <v>0.46</v>
      </c>
      <c r="K6683" s="0" t="n">
        <v>9.54</v>
      </c>
    </row>
    <row r="6684" customFormat="false" ht="15" hidden="false" customHeight="false" outlineLevel="0" collapsed="false">
      <c r="I6684" s="0" t="n">
        <v>2034</v>
      </c>
      <c r="J6684" s="0" t="n">
        <v>1.61</v>
      </c>
      <c r="K6684" s="0" t="n">
        <v>33.39</v>
      </c>
    </row>
    <row r="6685" customFormat="false" ht="15" hidden="false" customHeight="false" outlineLevel="0" collapsed="false">
      <c r="I6685" s="0" t="n">
        <v>2034</v>
      </c>
      <c r="J6685" s="0" t="n">
        <v>143.04</v>
      </c>
      <c r="K6685" s="0" t="n">
        <v>3001.44</v>
      </c>
    </row>
    <row r="6686" customFormat="false" ht="15" hidden="false" customHeight="false" outlineLevel="0" collapsed="false">
      <c r="I6686" s="0" t="n">
        <v>2034</v>
      </c>
      <c r="J6686" s="0" t="n">
        <v>47.68</v>
      </c>
      <c r="K6686" s="0" t="n">
        <v>1000.48</v>
      </c>
    </row>
    <row r="6687" customFormat="false" ht="15" hidden="false" customHeight="false" outlineLevel="0" collapsed="false">
      <c r="I6687" s="0" t="n">
        <v>2034</v>
      </c>
      <c r="J6687" s="0" t="n">
        <v>20.86</v>
      </c>
      <c r="K6687" s="0" t="n">
        <v>437.71</v>
      </c>
    </row>
    <row r="6688" customFormat="false" ht="15" hidden="false" customHeight="false" outlineLevel="0" collapsed="false">
      <c r="I6688" s="0" t="n">
        <v>2034</v>
      </c>
      <c r="J6688" s="0" t="n">
        <v>11.92</v>
      </c>
      <c r="K6688" s="0" t="n">
        <v>250.12</v>
      </c>
    </row>
    <row r="6689" customFormat="false" ht="15" hidden="false" customHeight="false" outlineLevel="0" collapsed="false">
      <c r="I6689" s="0" t="n">
        <v>2034</v>
      </c>
      <c r="J6689" s="0" t="n">
        <v>11.92</v>
      </c>
      <c r="K6689" s="0" t="n">
        <v>250.12</v>
      </c>
    </row>
    <row r="6690" customFormat="false" ht="15" hidden="false" customHeight="false" outlineLevel="0" collapsed="false">
      <c r="I6690" s="0" t="n">
        <v>2034</v>
      </c>
      <c r="J6690" s="0" t="n">
        <v>5.96</v>
      </c>
      <c r="K6690" s="0" t="n">
        <v>125.06</v>
      </c>
    </row>
    <row r="6691" customFormat="false" ht="15" hidden="false" customHeight="false" outlineLevel="0" collapsed="false">
      <c r="I6691" s="0" t="n">
        <v>2034</v>
      </c>
      <c r="J6691" s="0" t="n">
        <v>5.96</v>
      </c>
      <c r="K6691" s="0" t="n">
        <v>125.06</v>
      </c>
    </row>
    <row r="6692" customFormat="false" ht="15" hidden="false" customHeight="false" outlineLevel="0" collapsed="false">
      <c r="I6692" s="0" t="n">
        <v>2034</v>
      </c>
      <c r="J6692" s="0" t="n">
        <v>11.92</v>
      </c>
      <c r="K6692" s="0" t="n">
        <v>250.12</v>
      </c>
    </row>
    <row r="6693" customFormat="false" ht="15" hidden="false" customHeight="false" outlineLevel="0" collapsed="false">
      <c r="I6693" s="0" t="n">
        <v>2034</v>
      </c>
      <c r="J6693" s="0" t="n">
        <v>20.86</v>
      </c>
      <c r="K6693" s="0" t="n">
        <v>437.71</v>
      </c>
    </row>
    <row r="6694" customFormat="false" ht="15" hidden="false" customHeight="false" outlineLevel="0" collapsed="false">
      <c r="I6694" s="0" t="n">
        <v>2034</v>
      </c>
      <c r="J6694" s="0" t="n">
        <v>8.94</v>
      </c>
      <c r="K6694" s="0" t="n">
        <v>187.59</v>
      </c>
    </row>
    <row r="6695" customFormat="false" ht="15" hidden="false" customHeight="false" outlineLevel="0" collapsed="false">
      <c r="I6695" s="0" t="n">
        <v>2034</v>
      </c>
      <c r="J6695" s="0" t="n">
        <v>8.94</v>
      </c>
      <c r="K6695" s="0" t="n">
        <v>187.59</v>
      </c>
    </row>
    <row r="6696" customFormat="false" ht="15" hidden="false" customHeight="false" outlineLevel="0" collapsed="false">
      <c r="I6696" s="0" t="n">
        <v>2034</v>
      </c>
      <c r="J6696" s="0" t="n">
        <v>19.76</v>
      </c>
      <c r="K6696" s="0" t="n">
        <v>416</v>
      </c>
    </row>
    <row r="6697" customFormat="false" ht="15" hidden="false" customHeight="false" outlineLevel="0" collapsed="false">
      <c r="I6697" s="0" t="n">
        <v>2034</v>
      </c>
      <c r="J6697" s="0" t="n">
        <v>3.04</v>
      </c>
      <c r="K6697" s="0" t="n">
        <v>64</v>
      </c>
    </row>
    <row r="6698" customFormat="false" ht="15" hidden="false" customHeight="false" outlineLevel="0" collapsed="false">
      <c r="I6698" s="0" t="n">
        <v>2034</v>
      </c>
      <c r="J6698" s="0" t="n">
        <v>2.28</v>
      </c>
      <c r="K6698" s="0" t="n">
        <v>48</v>
      </c>
    </row>
    <row r="6699" customFormat="false" ht="15" hidden="false" customHeight="false" outlineLevel="0" collapsed="false">
      <c r="I6699" s="0" t="n">
        <v>2034</v>
      </c>
      <c r="J6699" s="0" t="n">
        <v>3.8</v>
      </c>
      <c r="K6699" s="0" t="n">
        <v>80</v>
      </c>
    </row>
    <row r="6700" customFormat="false" ht="15" hidden="false" customHeight="false" outlineLevel="0" collapsed="false">
      <c r="I6700" s="0" t="n">
        <v>2034</v>
      </c>
      <c r="J6700" s="0" t="n">
        <v>0.76</v>
      </c>
      <c r="K6700" s="0" t="n">
        <v>16</v>
      </c>
    </row>
    <row r="6701" customFormat="false" ht="15" hidden="false" customHeight="false" outlineLevel="0" collapsed="false">
      <c r="I6701" s="0" t="n">
        <v>2034</v>
      </c>
      <c r="J6701" s="0" t="n">
        <v>0.76</v>
      </c>
      <c r="K6701" s="0" t="n">
        <v>16</v>
      </c>
    </row>
    <row r="6702" customFormat="false" ht="15" hidden="false" customHeight="false" outlineLevel="0" collapsed="false">
      <c r="I6702" s="0" t="n">
        <v>2034</v>
      </c>
      <c r="J6702" s="0" t="n">
        <v>0</v>
      </c>
      <c r="K6702" s="0" t="n">
        <v>0</v>
      </c>
    </row>
    <row r="6703" customFormat="false" ht="15" hidden="false" customHeight="false" outlineLevel="0" collapsed="false">
      <c r="I6703" s="0" t="n">
        <v>2034</v>
      </c>
      <c r="J6703" s="0" t="n">
        <v>1.52</v>
      </c>
      <c r="K6703" s="0" t="n">
        <v>32</v>
      </c>
    </row>
    <row r="6704" customFormat="false" ht="15" hidden="false" customHeight="false" outlineLevel="0" collapsed="false">
      <c r="I6704" s="0" t="n">
        <v>2034</v>
      </c>
      <c r="J6704" s="0" t="n">
        <v>2.66</v>
      </c>
      <c r="K6704" s="0" t="n">
        <v>56</v>
      </c>
    </row>
    <row r="6705" customFormat="false" ht="15" hidden="false" customHeight="false" outlineLevel="0" collapsed="false">
      <c r="I6705" s="0" t="n">
        <v>2034</v>
      </c>
      <c r="J6705" s="0" t="n">
        <v>0.76</v>
      </c>
      <c r="K6705" s="0" t="n">
        <v>16</v>
      </c>
    </row>
    <row r="6706" customFormat="false" ht="15" hidden="false" customHeight="false" outlineLevel="0" collapsed="false">
      <c r="I6706" s="0" t="n">
        <v>2034</v>
      </c>
      <c r="J6706" s="0" t="n">
        <v>2.66</v>
      </c>
      <c r="K6706" s="0" t="n">
        <v>56</v>
      </c>
    </row>
    <row r="6707" customFormat="false" ht="15" hidden="false" customHeight="false" outlineLevel="0" collapsed="false">
      <c r="I6707" s="0" t="n">
        <v>2034</v>
      </c>
      <c r="J6707" s="0" t="n">
        <v>114.72</v>
      </c>
      <c r="K6707" s="0" t="n">
        <v>2405.76</v>
      </c>
    </row>
    <row r="6708" customFormat="false" ht="15" hidden="false" customHeight="false" outlineLevel="0" collapsed="false">
      <c r="I6708" s="0" t="n">
        <v>2034</v>
      </c>
      <c r="J6708" s="0" t="n">
        <v>38.24</v>
      </c>
      <c r="K6708" s="0" t="n">
        <v>801.92</v>
      </c>
    </row>
    <row r="6709" customFormat="false" ht="15" hidden="false" customHeight="false" outlineLevel="0" collapsed="false">
      <c r="I6709" s="0" t="n">
        <v>2034</v>
      </c>
      <c r="J6709" s="0" t="n">
        <v>16.73</v>
      </c>
      <c r="K6709" s="0" t="n">
        <v>350.84</v>
      </c>
    </row>
    <row r="6710" customFormat="false" ht="15" hidden="false" customHeight="false" outlineLevel="0" collapsed="false">
      <c r="I6710" s="0" t="n">
        <v>2034</v>
      </c>
      <c r="J6710" s="0" t="n">
        <v>9.56</v>
      </c>
      <c r="K6710" s="0" t="n">
        <v>200.48</v>
      </c>
    </row>
    <row r="6711" customFormat="false" ht="15" hidden="false" customHeight="false" outlineLevel="0" collapsed="false">
      <c r="I6711" s="0" t="n">
        <v>2034</v>
      </c>
      <c r="J6711" s="0" t="n">
        <v>9.56</v>
      </c>
      <c r="K6711" s="0" t="n">
        <v>200.48</v>
      </c>
    </row>
    <row r="6712" customFormat="false" ht="15" hidden="false" customHeight="false" outlineLevel="0" collapsed="false">
      <c r="I6712" s="0" t="n">
        <v>2034</v>
      </c>
      <c r="J6712" s="0" t="n">
        <v>4.78</v>
      </c>
      <c r="K6712" s="0" t="n">
        <v>100.24</v>
      </c>
    </row>
    <row r="6713" customFormat="false" ht="15" hidden="false" customHeight="false" outlineLevel="0" collapsed="false">
      <c r="I6713" s="0" t="n">
        <v>2034</v>
      </c>
      <c r="J6713" s="0" t="n">
        <v>4.78</v>
      </c>
      <c r="K6713" s="0" t="n">
        <v>100.24</v>
      </c>
    </row>
    <row r="6714" customFormat="false" ht="15" hidden="false" customHeight="false" outlineLevel="0" collapsed="false">
      <c r="I6714" s="0" t="n">
        <v>2034</v>
      </c>
      <c r="J6714" s="0" t="n">
        <v>9.56</v>
      </c>
      <c r="K6714" s="0" t="n">
        <v>200.48</v>
      </c>
    </row>
    <row r="6715" customFormat="false" ht="15" hidden="false" customHeight="false" outlineLevel="0" collapsed="false">
      <c r="I6715" s="0" t="n">
        <v>2034</v>
      </c>
      <c r="J6715" s="0" t="n">
        <v>16.73</v>
      </c>
      <c r="K6715" s="0" t="n">
        <v>350.84</v>
      </c>
    </row>
    <row r="6716" customFormat="false" ht="15" hidden="false" customHeight="false" outlineLevel="0" collapsed="false">
      <c r="I6716" s="0" t="n">
        <v>2034</v>
      </c>
      <c r="J6716" s="0" t="n">
        <v>7.17</v>
      </c>
      <c r="K6716" s="0" t="n">
        <v>150.36</v>
      </c>
    </row>
    <row r="6717" customFormat="false" ht="15" hidden="false" customHeight="false" outlineLevel="0" collapsed="false">
      <c r="I6717" s="0" t="n">
        <v>2034</v>
      </c>
      <c r="J6717" s="0" t="n">
        <v>7.17</v>
      </c>
      <c r="K6717" s="0" t="n">
        <v>150.36</v>
      </c>
    </row>
    <row r="6718" customFormat="false" ht="15" hidden="false" customHeight="false" outlineLevel="0" collapsed="false">
      <c r="I6718" s="0" t="n">
        <v>2034</v>
      </c>
      <c r="J6718" s="0" t="n">
        <v>48.36</v>
      </c>
      <c r="K6718" s="0" t="n">
        <v>1012.44</v>
      </c>
    </row>
    <row r="6719" customFormat="false" ht="15" hidden="false" customHeight="false" outlineLevel="0" collapsed="false">
      <c r="I6719" s="0" t="n">
        <v>2034</v>
      </c>
      <c r="J6719" s="0" t="n">
        <v>7.44</v>
      </c>
      <c r="K6719" s="0" t="n">
        <v>155.76</v>
      </c>
    </row>
    <row r="6720" customFormat="false" ht="15" hidden="false" customHeight="false" outlineLevel="0" collapsed="false">
      <c r="I6720" s="0" t="n">
        <v>2034</v>
      </c>
      <c r="J6720" s="0" t="n">
        <v>5.58</v>
      </c>
      <c r="K6720" s="0" t="n">
        <v>116.82</v>
      </c>
    </row>
    <row r="6721" customFormat="false" ht="15" hidden="false" customHeight="false" outlineLevel="0" collapsed="false">
      <c r="I6721" s="0" t="n">
        <v>2034</v>
      </c>
      <c r="J6721" s="0" t="n">
        <v>9.3</v>
      </c>
      <c r="K6721" s="0" t="n">
        <v>194.7</v>
      </c>
    </row>
    <row r="6722" customFormat="false" ht="15" hidden="false" customHeight="false" outlineLevel="0" collapsed="false">
      <c r="I6722" s="0" t="n">
        <v>2034</v>
      </c>
      <c r="J6722" s="0" t="n">
        <v>1.86</v>
      </c>
      <c r="K6722" s="0" t="n">
        <v>38.94</v>
      </c>
    </row>
    <row r="6723" customFormat="false" ht="15" hidden="false" customHeight="false" outlineLevel="0" collapsed="false">
      <c r="I6723" s="0" t="n">
        <v>2034</v>
      </c>
      <c r="J6723" s="0" t="n">
        <v>1.86</v>
      </c>
      <c r="K6723" s="0" t="n">
        <v>38.94</v>
      </c>
    </row>
    <row r="6724" customFormat="false" ht="15" hidden="false" customHeight="false" outlineLevel="0" collapsed="false">
      <c r="I6724" s="0" t="n">
        <v>2034</v>
      </c>
      <c r="J6724" s="0" t="n">
        <v>0</v>
      </c>
      <c r="K6724" s="0" t="n">
        <v>0</v>
      </c>
    </row>
    <row r="6725" customFormat="false" ht="15" hidden="false" customHeight="false" outlineLevel="0" collapsed="false">
      <c r="I6725" s="0" t="n">
        <v>2034</v>
      </c>
      <c r="J6725" s="0" t="n">
        <v>3.72</v>
      </c>
      <c r="K6725" s="0" t="n">
        <v>77.88</v>
      </c>
    </row>
    <row r="6726" customFormat="false" ht="15" hidden="false" customHeight="false" outlineLevel="0" collapsed="false">
      <c r="I6726" s="0" t="n">
        <v>2034</v>
      </c>
      <c r="J6726" s="0" t="n">
        <v>6.51</v>
      </c>
      <c r="K6726" s="0" t="n">
        <v>136.29</v>
      </c>
    </row>
    <row r="6727" customFormat="false" ht="15" hidden="false" customHeight="false" outlineLevel="0" collapsed="false">
      <c r="I6727" s="0" t="n">
        <v>2034</v>
      </c>
      <c r="J6727" s="0" t="n">
        <v>1.86</v>
      </c>
      <c r="K6727" s="0" t="n">
        <v>38.94</v>
      </c>
    </row>
    <row r="6728" customFormat="false" ht="15" hidden="false" customHeight="false" outlineLevel="0" collapsed="false">
      <c r="I6728" s="0" t="n">
        <v>2034</v>
      </c>
      <c r="J6728" s="0" t="n">
        <v>6.51</v>
      </c>
      <c r="K6728" s="0" t="n">
        <v>136.29</v>
      </c>
    </row>
    <row r="6729" customFormat="false" ht="15" hidden="false" customHeight="false" outlineLevel="0" collapsed="false">
      <c r="I6729" s="0" t="n">
        <v>2034</v>
      </c>
      <c r="J6729" s="0" t="n">
        <v>1122.24</v>
      </c>
      <c r="K6729" s="0" t="n">
        <v>23563.2</v>
      </c>
    </row>
    <row r="6730" customFormat="false" ht="15" hidden="false" customHeight="false" outlineLevel="0" collapsed="false">
      <c r="I6730" s="0" t="n">
        <v>2034</v>
      </c>
      <c r="J6730" s="0" t="n">
        <v>374.08</v>
      </c>
      <c r="K6730" s="0" t="n">
        <v>7854.4</v>
      </c>
    </row>
    <row r="6731" customFormat="false" ht="15" hidden="false" customHeight="false" outlineLevel="0" collapsed="false">
      <c r="I6731" s="0" t="n">
        <v>2034</v>
      </c>
      <c r="J6731" s="0" t="n">
        <v>163.66</v>
      </c>
      <c r="K6731" s="0" t="n">
        <v>3436.3</v>
      </c>
    </row>
    <row r="6732" customFormat="false" ht="15" hidden="false" customHeight="false" outlineLevel="0" collapsed="false">
      <c r="I6732" s="0" t="n">
        <v>2034</v>
      </c>
      <c r="J6732" s="0" t="n">
        <v>93.52</v>
      </c>
      <c r="K6732" s="0" t="n">
        <v>1963.6</v>
      </c>
    </row>
    <row r="6733" customFormat="false" ht="15" hidden="false" customHeight="false" outlineLevel="0" collapsed="false">
      <c r="I6733" s="0" t="n">
        <v>2034</v>
      </c>
      <c r="J6733" s="0" t="n">
        <v>93.52</v>
      </c>
      <c r="K6733" s="0" t="n">
        <v>1963.6</v>
      </c>
    </row>
    <row r="6734" customFormat="false" ht="15" hidden="false" customHeight="false" outlineLevel="0" collapsed="false">
      <c r="I6734" s="0" t="n">
        <v>2034</v>
      </c>
      <c r="J6734" s="0" t="n">
        <v>46.76</v>
      </c>
      <c r="K6734" s="0" t="n">
        <v>981.8</v>
      </c>
    </row>
    <row r="6735" customFormat="false" ht="15" hidden="false" customHeight="false" outlineLevel="0" collapsed="false">
      <c r="I6735" s="0" t="n">
        <v>2034</v>
      </c>
      <c r="J6735" s="0" t="n">
        <v>46.76</v>
      </c>
      <c r="K6735" s="0" t="n">
        <v>981.8</v>
      </c>
    </row>
    <row r="6736" customFormat="false" ht="15" hidden="false" customHeight="false" outlineLevel="0" collapsed="false">
      <c r="I6736" s="0" t="n">
        <v>2034</v>
      </c>
      <c r="J6736" s="0" t="n">
        <v>93.52</v>
      </c>
      <c r="K6736" s="0" t="n">
        <v>1963.6</v>
      </c>
    </row>
    <row r="6737" customFormat="false" ht="15" hidden="false" customHeight="false" outlineLevel="0" collapsed="false">
      <c r="I6737" s="0" t="n">
        <v>2034</v>
      </c>
      <c r="J6737" s="0" t="n">
        <v>163.66</v>
      </c>
      <c r="K6737" s="0" t="n">
        <v>3436.3</v>
      </c>
    </row>
    <row r="6738" customFormat="false" ht="15" hidden="false" customHeight="false" outlineLevel="0" collapsed="false">
      <c r="I6738" s="0" t="n">
        <v>2034</v>
      </c>
      <c r="J6738" s="0" t="n">
        <v>70.14</v>
      </c>
      <c r="K6738" s="0" t="n">
        <v>1472.7</v>
      </c>
    </row>
    <row r="6739" customFormat="false" ht="15" hidden="false" customHeight="false" outlineLevel="0" collapsed="false">
      <c r="I6739" s="0" t="n">
        <v>2034</v>
      </c>
      <c r="J6739" s="0" t="n">
        <v>70.14</v>
      </c>
      <c r="K6739" s="0" t="n">
        <v>1472.7</v>
      </c>
    </row>
    <row r="6740" customFormat="false" ht="15" hidden="false" customHeight="false" outlineLevel="0" collapsed="false">
      <c r="I6740" s="0" t="n">
        <v>2034</v>
      </c>
      <c r="J6740" s="0" t="n">
        <v>140.92</v>
      </c>
      <c r="K6740" s="0" t="n">
        <v>2959.32</v>
      </c>
    </row>
    <row r="6741" customFormat="false" ht="15" hidden="false" customHeight="false" outlineLevel="0" collapsed="false">
      <c r="I6741" s="0" t="n">
        <v>2034</v>
      </c>
      <c r="J6741" s="0" t="n">
        <v>21.68</v>
      </c>
      <c r="K6741" s="0" t="n">
        <v>455.28</v>
      </c>
    </row>
    <row r="6742" customFormat="false" ht="15" hidden="false" customHeight="false" outlineLevel="0" collapsed="false">
      <c r="I6742" s="0" t="n">
        <v>2034</v>
      </c>
      <c r="J6742" s="0" t="n">
        <v>16.26</v>
      </c>
      <c r="K6742" s="0" t="n">
        <v>341.46</v>
      </c>
    </row>
    <row r="6743" customFormat="false" ht="15" hidden="false" customHeight="false" outlineLevel="0" collapsed="false">
      <c r="I6743" s="0" t="n">
        <v>2034</v>
      </c>
      <c r="J6743" s="0" t="n">
        <v>27.1</v>
      </c>
      <c r="K6743" s="0" t="n">
        <v>569.1</v>
      </c>
    </row>
    <row r="6744" customFormat="false" ht="15" hidden="false" customHeight="false" outlineLevel="0" collapsed="false">
      <c r="I6744" s="0" t="n">
        <v>2034</v>
      </c>
      <c r="J6744" s="0" t="n">
        <v>5.42</v>
      </c>
      <c r="K6744" s="0" t="n">
        <v>113.82</v>
      </c>
    </row>
    <row r="6745" customFormat="false" ht="15" hidden="false" customHeight="false" outlineLevel="0" collapsed="false">
      <c r="I6745" s="0" t="n">
        <v>2034</v>
      </c>
      <c r="J6745" s="0" t="n">
        <v>5.42</v>
      </c>
      <c r="K6745" s="0" t="n">
        <v>113.82</v>
      </c>
    </row>
    <row r="6746" customFormat="false" ht="15" hidden="false" customHeight="false" outlineLevel="0" collapsed="false">
      <c r="I6746" s="0" t="n">
        <v>2034</v>
      </c>
      <c r="J6746" s="0" t="n">
        <v>0</v>
      </c>
      <c r="K6746" s="0" t="n">
        <v>0</v>
      </c>
    </row>
    <row r="6747" customFormat="false" ht="15" hidden="false" customHeight="false" outlineLevel="0" collapsed="false">
      <c r="I6747" s="0" t="n">
        <v>2034</v>
      </c>
      <c r="J6747" s="0" t="n">
        <v>10.84</v>
      </c>
      <c r="K6747" s="0" t="n">
        <v>227.64</v>
      </c>
    </row>
    <row r="6748" customFormat="false" ht="15" hidden="false" customHeight="false" outlineLevel="0" collapsed="false">
      <c r="I6748" s="0" t="n">
        <v>2034</v>
      </c>
      <c r="J6748" s="0" t="n">
        <v>18.97</v>
      </c>
      <c r="K6748" s="0" t="n">
        <v>398.37</v>
      </c>
    </row>
    <row r="6749" customFormat="false" ht="15" hidden="false" customHeight="false" outlineLevel="0" collapsed="false">
      <c r="I6749" s="0" t="n">
        <v>2034</v>
      </c>
      <c r="J6749" s="0" t="n">
        <v>5.42</v>
      </c>
      <c r="K6749" s="0" t="n">
        <v>113.82</v>
      </c>
    </row>
    <row r="6750" customFormat="false" ht="15" hidden="false" customHeight="false" outlineLevel="0" collapsed="false">
      <c r="I6750" s="0" t="n">
        <v>2034</v>
      </c>
      <c r="J6750" s="0" t="n">
        <v>18.97</v>
      </c>
      <c r="K6750" s="0" t="n">
        <v>398.37</v>
      </c>
    </row>
    <row r="6751" customFormat="false" ht="15" hidden="false" customHeight="false" outlineLevel="0" collapsed="false">
      <c r="I6751" s="0" t="n">
        <v>2034</v>
      </c>
      <c r="J6751" s="0" t="n">
        <v>110.88</v>
      </c>
      <c r="K6751" s="0" t="n">
        <v>2324.64</v>
      </c>
    </row>
    <row r="6752" customFormat="false" ht="15" hidden="false" customHeight="false" outlineLevel="0" collapsed="false">
      <c r="I6752" s="0" t="n">
        <v>2034</v>
      </c>
      <c r="J6752" s="0" t="n">
        <v>36.96</v>
      </c>
      <c r="K6752" s="0" t="n">
        <v>774.88</v>
      </c>
    </row>
    <row r="6753" customFormat="false" ht="15" hidden="false" customHeight="false" outlineLevel="0" collapsed="false">
      <c r="I6753" s="0" t="n">
        <v>2034</v>
      </c>
      <c r="J6753" s="0" t="n">
        <v>16.17</v>
      </c>
      <c r="K6753" s="0" t="n">
        <v>339.01</v>
      </c>
    </row>
    <row r="6754" customFormat="false" ht="15" hidden="false" customHeight="false" outlineLevel="0" collapsed="false">
      <c r="I6754" s="0" t="n">
        <v>2034</v>
      </c>
      <c r="J6754" s="0" t="n">
        <v>9.24</v>
      </c>
      <c r="K6754" s="0" t="n">
        <v>193.72</v>
      </c>
    </row>
    <row r="6755" customFormat="false" ht="15" hidden="false" customHeight="false" outlineLevel="0" collapsed="false">
      <c r="I6755" s="0" t="n">
        <v>2034</v>
      </c>
      <c r="J6755" s="0" t="n">
        <v>9.24</v>
      </c>
      <c r="K6755" s="0" t="n">
        <v>193.72</v>
      </c>
    </row>
    <row r="6756" customFormat="false" ht="15" hidden="false" customHeight="false" outlineLevel="0" collapsed="false">
      <c r="I6756" s="0" t="n">
        <v>2034</v>
      </c>
      <c r="J6756" s="0" t="n">
        <v>4.62</v>
      </c>
      <c r="K6756" s="0" t="n">
        <v>96.86</v>
      </c>
    </row>
    <row r="6757" customFormat="false" ht="15" hidden="false" customHeight="false" outlineLevel="0" collapsed="false">
      <c r="I6757" s="0" t="n">
        <v>2034</v>
      </c>
      <c r="J6757" s="0" t="n">
        <v>4.62</v>
      </c>
      <c r="K6757" s="0" t="n">
        <v>96.86</v>
      </c>
    </row>
    <row r="6758" customFormat="false" ht="15" hidden="false" customHeight="false" outlineLevel="0" collapsed="false">
      <c r="I6758" s="0" t="n">
        <v>2034</v>
      </c>
      <c r="J6758" s="0" t="n">
        <v>9.24</v>
      </c>
      <c r="K6758" s="0" t="n">
        <v>193.72</v>
      </c>
    </row>
    <row r="6759" customFormat="false" ht="15" hidden="false" customHeight="false" outlineLevel="0" collapsed="false">
      <c r="I6759" s="0" t="n">
        <v>2034</v>
      </c>
      <c r="J6759" s="0" t="n">
        <v>16.17</v>
      </c>
      <c r="K6759" s="0" t="n">
        <v>339.01</v>
      </c>
    </row>
    <row r="6760" customFormat="false" ht="15" hidden="false" customHeight="false" outlineLevel="0" collapsed="false">
      <c r="I6760" s="0" t="n">
        <v>2034</v>
      </c>
      <c r="J6760" s="0" t="n">
        <v>6.93</v>
      </c>
      <c r="K6760" s="0" t="n">
        <v>145.29</v>
      </c>
    </row>
    <row r="6761" customFormat="false" ht="15" hidden="false" customHeight="false" outlineLevel="0" collapsed="false">
      <c r="I6761" s="0" t="n">
        <v>2034</v>
      </c>
      <c r="J6761" s="0" t="n">
        <v>6.93</v>
      </c>
      <c r="K6761" s="0" t="n">
        <v>145.29</v>
      </c>
    </row>
    <row r="6762" customFormat="false" ht="15" hidden="false" customHeight="false" outlineLevel="0" collapsed="false">
      <c r="I6762" s="0" t="n">
        <v>2034</v>
      </c>
      <c r="J6762" s="0" t="n">
        <v>34.32</v>
      </c>
      <c r="K6762" s="0" t="n">
        <v>723.32</v>
      </c>
    </row>
    <row r="6763" customFormat="false" ht="15" hidden="false" customHeight="false" outlineLevel="0" collapsed="false">
      <c r="I6763" s="0" t="n">
        <v>2034</v>
      </c>
      <c r="J6763" s="0" t="n">
        <v>5.28</v>
      </c>
      <c r="K6763" s="0" t="n">
        <v>111.28</v>
      </c>
    </row>
    <row r="6764" customFormat="false" ht="15" hidden="false" customHeight="false" outlineLevel="0" collapsed="false">
      <c r="I6764" s="0" t="n">
        <v>2034</v>
      </c>
      <c r="J6764" s="0" t="n">
        <v>3.96</v>
      </c>
      <c r="K6764" s="0" t="n">
        <v>83.46</v>
      </c>
    </row>
    <row r="6765" customFormat="false" ht="15" hidden="false" customHeight="false" outlineLevel="0" collapsed="false">
      <c r="I6765" s="0" t="n">
        <v>2034</v>
      </c>
      <c r="J6765" s="0" t="n">
        <v>6.6</v>
      </c>
      <c r="K6765" s="0" t="n">
        <v>139.1</v>
      </c>
    </row>
    <row r="6766" customFormat="false" ht="15" hidden="false" customHeight="false" outlineLevel="0" collapsed="false">
      <c r="I6766" s="0" t="n">
        <v>2034</v>
      </c>
      <c r="J6766" s="0" t="n">
        <v>1.32</v>
      </c>
      <c r="K6766" s="0" t="n">
        <v>27.82</v>
      </c>
    </row>
    <row r="6767" customFormat="false" ht="15" hidden="false" customHeight="false" outlineLevel="0" collapsed="false">
      <c r="I6767" s="0" t="n">
        <v>2034</v>
      </c>
      <c r="J6767" s="0" t="n">
        <v>1.32</v>
      </c>
      <c r="K6767" s="0" t="n">
        <v>27.82</v>
      </c>
    </row>
    <row r="6768" customFormat="false" ht="15" hidden="false" customHeight="false" outlineLevel="0" collapsed="false">
      <c r="I6768" s="0" t="n">
        <v>2034</v>
      </c>
      <c r="J6768" s="0" t="n">
        <v>0</v>
      </c>
      <c r="K6768" s="0" t="n">
        <v>0</v>
      </c>
    </row>
    <row r="6769" customFormat="false" ht="15" hidden="false" customHeight="false" outlineLevel="0" collapsed="false">
      <c r="I6769" s="0" t="n">
        <v>2034</v>
      </c>
      <c r="J6769" s="0" t="n">
        <v>2.64</v>
      </c>
      <c r="K6769" s="0" t="n">
        <v>55.64</v>
      </c>
    </row>
    <row r="6770" customFormat="false" ht="15" hidden="false" customHeight="false" outlineLevel="0" collapsed="false">
      <c r="I6770" s="0" t="n">
        <v>2034</v>
      </c>
      <c r="J6770" s="0" t="n">
        <v>4.62</v>
      </c>
      <c r="K6770" s="0" t="n">
        <v>97.37</v>
      </c>
    </row>
    <row r="6771" customFormat="false" ht="15" hidden="false" customHeight="false" outlineLevel="0" collapsed="false">
      <c r="I6771" s="0" t="n">
        <v>2034</v>
      </c>
      <c r="J6771" s="0" t="n">
        <v>1.32</v>
      </c>
      <c r="K6771" s="0" t="n">
        <v>27.82</v>
      </c>
    </row>
    <row r="6772" customFormat="false" ht="15" hidden="false" customHeight="false" outlineLevel="0" collapsed="false">
      <c r="I6772" s="0" t="n">
        <v>2034</v>
      </c>
      <c r="J6772" s="0" t="n">
        <v>4.62</v>
      </c>
      <c r="K6772" s="0" t="n">
        <v>97.37</v>
      </c>
    </row>
    <row r="6773" customFormat="false" ht="15" hidden="false" customHeight="false" outlineLevel="0" collapsed="false">
      <c r="I6773" s="0" t="n">
        <v>2034</v>
      </c>
      <c r="J6773" s="0" t="n">
        <v>269.76</v>
      </c>
      <c r="K6773" s="0" t="n">
        <v>5663.52</v>
      </c>
    </row>
    <row r="6774" customFormat="false" ht="15" hidden="false" customHeight="false" outlineLevel="0" collapsed="false">
      <c r="I6774" s="0" t="n">
        <v>2034</v>
      </c>
      <c r="J6774" s="0" t="n">
        <v>89.92</v>
      </c>
      <c r="K6774" s="0" t="n">
        <v>1887.84</v>
      </c>
    </row>
    <row r="6775" customFormat="false" ht="15" hidden="false" customHeight="false" outlineLevel="0" collapsed="false">
      <c r="I6775" s="0" t="n">
        <v>2034</v>
      </c>
      <c r="J6775" s="0" t="n">
        <v>39.34</v>
      </c>
      <c r="K6775" s="0" t="n">
        <v>825.93</v>
      </c>
    </row>
    <row r="6776" customFormat="false" ht="15" hidden="false" customHeight="false" outlineLevel="0" collapsed="false">
      <c r="I6776" s="0" t="n">
        <v>2034</v>
      </c>
      <c r="J6776" s="0" t="n">
        <v>22.48</v>
      </c>
      <c r="K6776" s="0" t="n">
        <v>471.96</v>
      </c>
    </row>
    <row r="6777" customFormat="false" ht="15" hidden="false" customHeight="false" outlineLevel="0" collapsed="false">
      <c r="I6777" s="0" t="n">
        <v>2034</v>
      </c>
      <c r="J6777" s="0" t="n">
        <v>22.48</v>
      </c>
      <c r="K6777" s="0" t="n">
        <v>471.96</v>
      </c>
    </row>
    <row r="6778" customFormat="false" ht="15" hidden="false" customHeight="false" outlineLevel="0" collapsed="false">
      <c r="I6778" s="0" t="n">
        <v>2034</v>
      </c>
      <c r="J6778" s="0" t="n">
        <v>11.24</v>
      </c>
      <c r="K6778" s="0" t="n">
        <v>235.98</v>
      </c>
    </row>
    <row r="6779" customFormat="false" ht="15" hidden="false" customHeight="false" outlineLevel="0" collapsed="false">
      <c r="I6779" s="0" t="n">
        <v>2034</v>
      </c>
      <c r="J6779" s="0" t="n">
        <v>11.24</v>
      </c>
      <c r="K6779" s="0" t="n">
        <v>235.98</v>
      </c>
    </row>
    <row r="6780" customFormat="false" ht="15" hidden="false" customHeight="false" outlineLevel="0" collapsed="false">
      <c r="I6780" s="0" t="n">
        <v>2034</v>
      </c>
      <c r="J6780" s="0" t="n">
        <v>22.48</v>
      </c>
      <c r="K6780" s="0" t="n">
        <v>471.96</v>
      </c>
    </row>
    <row r="6781" customFormat="false" ht="15" hidden="false" customHeight="false" outlineLevel="0" collapsed="false">
      <c r="I6781" s="0" t="n">
        <v>2034</v>
      </c>
      <c r="J6781" s="0" t="n">
        <v>39.34</v>
      </c>
      <c r="K6781" s="0" t="n">
        <v>825.93</v>
      </c>
    </row>
    <row r="6782" customFormat="false" ht="15" hidden="false" customHeight="false" outlineLevel="0" collapsed="false">
      <c r="I6782" s="0" t="n">
        <v>2034</v>
      </c>
      <c r="J6782" s="0" t="n">
        <v>16.86</v>
      </c>
      <c r="K6782" s="0" t="n">
        <v>353.97</v>
      </c>
    </row>
    <row r="6783" customFormat="false" ht="15" hidden="false" customHeight="false" outlineLevel="0" collapsed="false">
      <c r="I6783" s="0" t="n">
        <v>2034</v>
      </c>
      <c r="J6783" s="0" t="n">
        <v>16.86</v>
      </c>
      <c r="K6783" s="0" t="n">
        <v>353.97</v>
      </c>
    </row>
    <row r="6784" customFormat="false" ht="15" hidden="false" customHeight="false" outlineLevel="0" collapsed="false">
      <c r="I6784" s="0" t="n">
        <v>2034</v>
      </c>
      <c r="J6784" s="0" t="n">
        <v>32.24</v>
      </c>
      <c r="K6784" s="0" t="n">
        <v>674.96</v>
      </c>
    </row>
    <row r="6785" customFormat="false" ht="15" hidden="false" customHeight="false" outlineLevel="0" collapsed="false">
      <c r="I6785" s="0" t="n">
        <v>2034</v>
      </c>
      <c r="J6785" s="0" t="n">
        <v>4.96</v>
      </c>
      <c r="K6785" s="0" t="n">
        <v>103.84</v>
      </c>
    </row>
    <row r="6786" customFormat="false" ht="15" hidden="false" customHeight="false" outlineLevel="0" collapsed="false">
      <c r="I6786" s="0" t="n">
        <v>2034</v>
      </c>
      <c r="J6786" s="0" t="n">
        <v>3.72</v>
      </c>
      <c r="K6786" s="0" t="n">
        <v>77.88</v>
      </c>
    </row>
    <row r="6787" customFormat="false" ht="15" hidden="false" customHeight="false" outlineLevel="0" collapsed="false">
      <c r="I6787" s="0" t="n">
        <v>2034</v>
      </c>
      <c r="J6787" s="0" t="n">
        <v>6.2</v>
      </c>
      <c r="K6787" s="0" t="n">
        <v>129.8</v>
      </c>
    </row>
    <row r="6788" customFormat="false" ht="15" hidden="false" customHeight="false" outlineLevel="0" collapsed="false">
      <c r="I6788" s="0" t="n">
        <v>2034</v>
      </c>
      <c r="J6788" s="0" t="n">
        <v>1.24</v>
      </c>
      <c r="K6788" s="0" t="n">
        <v>25.96</v>
      </c>
    </row>
    <row r="6789" customFormat="false" ht="15" hidden="false" customHeight="false" outlineLevel="0" collapsed="false">
      <c r="I6789" s="0" t="n">
        <v>2034</v>
      </c>
      <c r="J6789" s="0" t="n">
        <v>1.24</v>
      </c>
      <c r="K6789" s="0" t="n">
        <v>25.96</v>
      </c>
    </row>
    <row r="6790" customFormat="false" ht="15" hidden="false" customHeight="false" outlineLevel="0" collapsed="false">
      <c r="I6790" s="0" t="n">
        <v>2034</v>
      </c>
      <c r="J6790" s="0" t="n">
        <v>0</v>
      </c>
      <c r="K6790" s="0" t="n">
        <v>0</v>
      </c>
    </row>
    <row r="6791" customFormat="false" ht="15" hidden="false" customHeight="false" outlineLevel="0" collapsed="false">
      <c r="I6791" s="0" t="n">
        <v>2034</v>
      </c>
      <c r="J6791" s="0" t="n">
        <v>2.48</v>
      </c>
      <c r="K6791" s="0" t="n">
        <v>51.92</v>
      </c>
    </row>
    <row r="6792" customFormat="false" ht="15" hidden="false" customHeight="false" outlineLevel="0" collapsed="false">
      <c r="I6792" s="0" t="n">
        <v>2034</v>
      </c>
      <c r="J6792" s="0" t="n">
        <v>4.34</v>
      </c>
      <c r="K6792" s="0" t="n">
        <v>90.86</v>
      </c>
    </row>
    <row r="6793" customFormat="false" ht="15" hidden="false" customHeight="false" outlineLevel="0" collapsed="false">
      <c r="I6793" s="0" t="n">
        <v>2034</v>
      </c>
      <c r="J6793" s="0" t="n">
        <v>1.24</v>
      </c>
      <c r="K6793" s="0" t="n">
        <v>25.96</v>
      </c>
    </row>
    <row r="6794" customFormat="false" ht="15" hidden="false" customHeight="false" outlineLevel="0" collapsed="false">
      <c r="I6794" s="0" t="n">
        <v>2034</v>
      </c>
      <c r="J6794" s="0" t="n">
        <v>4.34</v>
      </c>
      <c r="K6794" s="0" t="n">
        <v>90.86</v>
      </c>
    </row>
    <row r="6795" customFormat="false" ht="15" hidden="false" customHeight="false" outlineLevel="0" collapsed="false">
      <c r="I6795" s="0" t="n">
        <v>2034</v>
      </c>
      <c r="J6795" s="0" t="n">
        <v>23.52</v>
      </c>
      <c r="K6795" s="0" t="n">
        <v>495.84</v>
      </c>
    </row>
    <row r="6796" customFormat="false" ht="15" hidden="false" customHeight="false" outlineLevel="0" collapsed="false">
      <c r="I6796" s="0" t="n">
        <v>2034</v>
      </c>
      <c r="J6796" s="0" t="n">
        <v>7.84</v>
      </c>
      <c r="K6796" s="0" t="n">
        <v>165.28</v>
      </c>
    </row>
    <row r="6797" customFormat="false" ht="15" hidden="false" customHeight="false" outlineLevel="0" collapsed="false">
      <c r="I6797" s="0" t="n">
        <v>2034</v>
      </c>
      <c r="J6797" s="0" t="n">
        <v>3.43</v>
      </c>
      <c r="K6797" s="0" t="n">
        <v>72.31</v>
      </c>
    </row>
    <row r="6798" customFormat="false" ht="15" hidden="false" customHeight="false" outlineLevel="0" collapsed="false">
      <c r="I6798" s="0" t="n">
        <v>2034</v>
      </c>
      <c r="J6798" s="0" t="n">
        <v>1.96</v>
      </c>
      <c r="K6798" s="0" t="n">
        <v>41.32</v>
      </c>
    </row>
    <row r="6799" customFormat="false" ht="15" hidden="false" customHeight="false" outlineLevel="0" collapsed="false">
      <c r="I6799" s="0" t="n">
        <v>2034</v>
      </c>
      <c r="J6799" s="0" t="n">
        <v>1.96</v>
      </c>
      <c r="K6799" s="0" t="n">
        <v>41.32</v>
      </c>
    </row>
    <row r="6800" customFormat="false" ht="15" hidden="false" customHeight="false" outlineLevel="0" collapsed="false">
      <c r="I6800" s="0" t="n">
        <v>2034</v>
      </c>
      <c r="J6800" s="0" t="n">
        <v>0.98</v>
      </c>
      <c r="K6800" s="0" t="n">
        <v>20.66</v>
      </c>
    </row>
    <row r="6801" customFormat="false" ht="15" hidden="false" customHeight="false" outlineLevel="0" collapsed="false">
      <c r="I6801" s="0" t="n">
        <v>2034</v>
      </c>
      <c r="J6801" s="0" t="n">
        <v>0.98</v>
      </c>
      <c r="K6801" s="0" t="n">
        <v>20.66</v>
      </c>
    </row>
    <row r="6802" customFormat="false" ht="15" hidden="false" customHeight="false" outlineLevel="0" collapsed="false">
      <c r="I6802" s="0" t="n">
        <v>2034</v>
      </c>
      <c r="J6802" s="0" t="n">
        <v>1.96</v>
      </c>
      <c r="K6802" s="0" t="n">
        <v>41.32</v>
      </c>
    </row>
    <row r="6803" customFormat="false" ht="15" hidden="false" customHeight="false" outlineLevel="0" collapsed="false">
      <c r="I6803" s="0" t="n">
        <v>2034</v>
      </c>
      <c r="J6803" s="0" t="n">
        <v>3.43</v>
      </c>
      <c r="K6803" s="0" t="n">
        <v>72.31</v>
      </c>
    </row>
    <row r="6804" customFormat="false" ht="15" hidden="false" customHeight="false" outlineLevel="0" collapsed="false">
      <c r="I6804" s="0" t="n">
        <v>2034</v>
      </c>
      <c r="J6804" s="0" t="n">
        <v>1.47</v>
      </c>
      <c r="K6804" s="0" t="n">
        <v>30.99</v>
      </c>
    </row>
    <row r="6805" customFormat="false" ht="15" hidden="false" customHeight="false" outlineLevel="0" collapsed="false">
      <c r="I6805" s="0" t="n">
        <v>2034</v>
      </c>
      <c r="J6805" s="0" t="n">
        <v>1.47</v>
      </c>
      <c r="K6805" s="0" t="n">
        <v>30.99</v>
      </c>
    </row>
    <row r="6806" customFormat="false" ht="15" hidden="false" customHeight="false" outlineLevel="0" collapsed="false">
      <c r="I6806" s="0" t="n">
        <v>2034</v>
      </c>
      <c r="J6806" s="0" t="n">
        <v>9.88</v>
      </c>
      <c r="K6806" s="0" t="n">
        <v>205.4</v>
      </c>
    </row>
    <row r="6807" customFormat="false" ht="15" hidden="false" customHeight="false" outlineLevel="0" collapsed="false">
      <c r="I6807" s="0" t="n">
        <v>2034</v>
      </c>
      <c r="J6807" s="0" t="n">
        <v>1.52</v>
      </c>
      <c r="K6807" s="0" t="n">
        <v>31.6</v>
      </c>
    </row>
    <row r="6808" customFormat="false" ht="15" hidden="false" customHeight="false" outlineLevel="0" collapsed="false">
      <c r="I6808" s="0" t="n">
        <v>2034</v>
      </c>
      <c r="J6808" s="0" t="n">
        <v>1.14</v>
      </c>
      <c r="K6808" s="0" t="n">
        <v>23.7</v>
      </c>
    </row>
    <row r="6809" customFormat="false" ht="15" hidden="false" customHeight="false" outlineLevel="0" collapsed="false">
      <c r="I6809" s="0" t="n">
        <v>2034</v>
      </c>
      <c r="J6809" s="0" t="n">
        <v>1.9</v>
      </c>
      <c r="K6809" s="0" t="n">
        <v>39.5</v>
      </c>
    </row>
    <row r="6810" customFormat="false" ht="15" hidden="false" customHeight="false" outlineLevel="0" collapsed="false">
      <c r="I6810" s="0" t="n">
        <v>2034</v>
      </c>
      <c r="J6810" s="0" t="n">
        <v>0.38</v>
      </c>
      <c r="K6810" s="0" t="n">
        <v>7.9</v>
      </c>
    </row>
    <row r="6811" customFormat="false" ht="15" hidden="false" customHeight="false" outlineLevel="0" collapsed="false">
      <c r="I6811" s="0" t="n">
        <v>2034</v>
      </c>
      <c r="J6811" s="0" t="n">
        <v>0.38</v>
      </c>
      <c r="K6811" s="0" t="n">
        <v>7.9</v>
      </c>
    </row>
    <row r="6812" customFormat="false" ht="15" hidden="false" customHeight="false" outlineLevel="0" collapsed="false">
      <c r="I6812" s="0" t="n">
        <v>2034</v>
      </c>
      <c r="J6812" s="0" t="n">
        <v>0</v>
      </c>
      <c r="K6812" s="0" t="n">
        <v>0</v>
      </c>
    </row>
    <row r="6813" customFormat="false" ht="15" hidden="false" customHeight="false" outlineLevel="0" collapsed="false">
      <c r="I6813" s="0" t="n">
        <v>2034</v>
      </c>
      <c r="J6813" s="0" t="n">
        <v>0.76</v>
      </c>
      <c r="K6813" s="0" t="n">
        <v>15.8</v>
      </c>
    </row>
    <row r="6814" customFormat="false" ht="15" hidden="false" customHeight="false" outlineLevel="0" collapsed="false">
      <c r="I6814" s="0" t="n">
        <v>2034</v>
      </c>
      <c r="J6814" s="0" t="n">
        <v>1.33</v>
      </c>
      <c r="K6814" s="0" t="n">
        <v>27.65</v>
      </c>
    </row>
    <row r="6815" customFormat="false" ht="15" hidden="false" customHeight="false" outlineLevel="0" collapsed="false">
      <c r="I6815" s="0" t="n">
        <v>2034</v>
      </c>
      <c r="J6815" s="0" t="n">
        <v>0.38</v>
      </c>
      <c r="K6815" s="0" t="n">
        <v>7.9</v>
      </c>
    </row>
    <row r="6816" customFormat="false" ht="15" hidden="false" customHeight="false" outlineLevel="0" collapsed="false">
      <c r="I6816" s="0" t="n">
        <v>2034</v>
      </c>
      <c r="J6816" s="0" t="n">
        <v>1.33</v>
      </c>
      <c r="K6816" s="0" t="n">
        <v>27.65</v>
      </c>
    </row>
    <row r="6817" customFormat="false" ht="15" hidden="false" customHeight="false" outlineLevel="0" collapsed="false">
      <c r="I6817" s="0" t="n">
        <v>2034</v>
      </c>
      <c r="J6817" s="0" t="n">
        <v>60.96</v>
      </c>
      <c r="K6817" s="0" t="n">
        <v>1281.12</v>
      </c>
    </row>
    <row r="6818" customFormat="false" ht="15" hidden="false" customHeight="false" outlineLevel="0" collapsed="false">
      <c r="I6818" s="0" t="n">
        <v>2034</v>
      </c>
      <c r="J6818" s="0" t="n">
        <v>20.32</v>
      </c>
      <c r="K6818" s="0" t="n">
        <v>427.04</v>
      </c>
    </row>
    <row r="6819" customFormat="false" ht="15" hidden="false" customHeight="false" outlineLevel="0" collapsed="false">
      <c r="I6819" s="0" t="n">
        <v>2034</v>
      </c>
      <c r="J6819" s="0" t="n">
        <v>8.89</v>
      </c>
      <c r="K6819" s="0" t="n">
        <v>186.83</v>
      </c>
    </row>
    <row r="6820" customFormat="false" ht="15" hidden="false" customHeight="false" outlineLevel="0" collapsed="false">
      <c r="I6820" s="0" t="n">
        <v>2034</v>
      </c>
      <c r="J6820" s="0" t="n">
        <v>5.08</v>
      </c>
      <c r="K6820" s="0" t="n">
        <v>106.76</v>
      </c>
    </row>
    <row r="6821" customFormat="false" ht="15" hidden="false" customHeight="false" outlineLevel="0" collapsed="false">
      <c r="I6821" s="0" t="n">
        <v>2034</v>
      </c>
      <c r="J6821" s="0" t="n">
        <v>5.08</v>
      </c>
      <c r="K6821" s="0" t="n">
        <v>106.76</v>
      </c>
    </row>
    <row r="6822" customFormat="false" ht="15" hidden="false" customHeight="false" outlineLevel="0" collapsed="false">
      <c r="I6822" s="0" t="n">
        <v>2034</v>
      </c>
      <c r="J6822" s="0" t="n">
        <v>2.54</v>
      </c>
      <c r="K6822" s="0" t="n">
        <v>53.38</v>
      </c>
    </row>
    <row r="6823" customFormat="false" ht="15" hidden="false" customHeight="false" outlineLevel="0" collapsed="false">
      <c r="I6823" s="0" t="n">
        <v>2034</v>
      </c>
      <c r="J6823" s="0" t="n">
        <v>2.54</v>
      </c>
      <c r="K6823" s="0" t="n">
        <v>53.38</v>
      </c>
    </row>
    <row r="6824" customFormat="false" ht="15" hidden="false" customHeight="false" outlineLevel="0" collapsed="false">
      <c r="I6824" s="0" t="n">
        <v>2034</v>
      </c>
      <c r="J6824" s="0" t="n">
        <v>5.08</v>
      </c>
      <c r="K6824" s="0" t="n">
        <v>106.76</v>
      </c>
    </row>
    <row r="6825" customFormat="false" ht="15" hidden="false" customHeight="false" outlineLevel="0" collapsed="false">
      <c r="I6825" s="0" t="n">
        <v>2034</v>
      </c>
      <c r="J6825" s="0" t="n">
        <v>8.89</v>
      </c>
      <c r="K6825" s="0" t="n">
        <v>186.83</v>
      </c>
    </row>
    <row r="6826" customFormat="false" ht="15" hidden="false" customHeight="false" outlineLevel="0" collapsed="false">
      <c r="I6826" s="0" t="n">
        <v>2034</v>
      </c>
      <c r="J6826" s="0" t="n">
        <v>3.81</v>
      </c>
      <c r="K6826" s="0" t="n">
        <v>80.07</v>
      </c>
    </row>
    <row r="6827" customFormat="false" ht="15" hidden="false" customHeight="false" outlineLevel="0" collapsed="false">
      <c r="I6827" s="0" t="n">
        <v>2034</v>
      </c>
      <c r="J6827" s="0" t="n">
        <v>3.81</v>
      </c>
      <c r="K6827" s="0" t="n">
        <v>80.07</v>
      </c>
    </row>
    <row r="6828" customFormat="false" ht="15" hidden="false" customHeight="false" outlineLevel="0" collapsed="false">
      <c r="I6828" s="0" t="n">
        <v>2034</v>
      </c>
      <c r="J6828" s="0" t="n">
        <v>16.12</v>
      </c>
      <c r="K6828" s="0" t="n">
        <v>337.48</v>
      </c>
    </row>
    <row r="6829" customFormat="false" ht="15" hidden="false" customHeight="false" outlineLevel="0" collapsed="false">
      <c r="I6829" s="0" t="n">
        <v>2034</v>
      </c>
      <c r="J6829" s="0" t="n">
        <v>2.48</v>
      </c>
      <c r="K6829" s="0" t="n">
        <v>51.92</v>
      </c>
    </row>
    <row r="6830" customFormat="false" ht="15" hidden="false" customHeight="false" outlineLevel="0" collapsed="false">
      <c r="I6830" s="0" t="n">
        <v>2034</v>
      </c>
      <c r="J6830" s="0" t="n">
        <v>1.86</v>
      </c>
      <c r="K6830" s="0" t="n">
        <v>38.94</v>
      </c>
    </row>
    <row r="6831" customFormat="false" ht="15" hidden="false" customHeight="false" outlineLevel="0" collapsed="false">
      <c r="I6831" s="0" t="n">
        <v>2034</v>
      </c>
      <c r="J6831" s="0" t="n">
        <v>3.1</v>
      </c>
      <c r="K6831" s="0" t="n">
        <v>64.9</v>
      </c>
    </row>
    <row r="6832" customFormat="false" ht="15" hidden="false" customHeight="false" outlineLevel="0" collapsed="false">
      <c r="I6832" s="0" t="n">
        <v>2034</v>
      </c>
      <c r="J6832" s="0" t="n">
        <v>0.62</v>
      </c>
      <c r="K6832" s="0" t="n">
        <v>12.98</v>
      </c>
    </row>
    <row r="6833" customFormat="false" ht="15" hidden="false" customHeight="false" outlineLevel="0" collapsed="false">
      <c r="I6833" s="0" t="n">
        <v>2034</v>
      </c>
      <c r="J6833" s="0" t="n">
        <v>0.62</v>
      </c>
      <c r="K6833" s="0" t="n">
        <v>12.98</v>
      </c>
    </row>
    <row r="6834" customFormat="false" ht="15" hidden="false" customHeight="false" outlineLevel="0" collapsed="false">
      <c r="I6834" s="0" t="n">
        <v>2034</v>
      </c>
      <c r="J6834" s="0" t="n">
        <v>0</v>
      </c>
      <c r="K6834" s="0" t="n">
        <v>0</v>
      </c>
    </row>
    <row r="6835" customFormat="false" ht="15" hidden="false" customHeight="false" outlineLevel="0" collapsed="false">
      <c r="I6835" s="0" t="n">
        <v>2034</v>
      </c>
      <c r="J6835" s="0" t="n">
        <v>1.24</v>
      </c>
      <c r="K6835" s="0" t="n">
        <v>25.96</v>
      </c>
    </row>
    <row r="6836" customFormat="false" ht="15" hidden="false" customHeight="false" outlineLevel="0" collapsed="false">
      <c r="I6836" s="0" t="n">
        <v>2034</v>
      </c>
      <c r="J6836" s="0" t="n">
        <v>2.17</v>
      </c>
      <c r="K6836" s="0" t="n">
        <v>45.43</v>
      </c>
    </row>
    <row r="6837" customFormat="false" ht="15" hidden="false" customHeight="false" outlineLevel="0" collapsed="false">
      <c r="I6837" s="0" t="n">
        <v>2034</v>
      </c>
      <c r="J6837" s="0" t="n">
        <v>0.62</v>
      </c>
      <c r="K6837" s="0" t="n">
        <v>12.98</v>
      </c>
    </row>
    <row r="6838" customFormat="false" ht="15" hidden="false" customHeight="false" outlineLevel="0" collapsed="false">
      <c r="I6838" s="0" t="n">
        <v>2034</v>
      </c>
      <c r="J6838" s="0" t="n">
        <v>2.17</v>
      </c>
      <c r="K6838" s="0" t="n">
        <v>45.43</v>
      </c>
    </row>
    <row r="6839" customFormat="false" ht="15" hidden="false" customHeight="false" outlineLevel="0" collapsed="false">
      <c r="I6839" s="0" t="n">
        <v>2034</v>
      </c>
      <c r="J6839" s="0" t="n">
        <v>87.84</v>
      </c>
      <c r="K6839" s="0" t="n">
        <v>1843.68</v>
      </c>
    </row>
    <row r="6840" customFormat="false" ht="15" hidden="false" customHeight="false" outlineLevel="0" collapsed="false">
      <c r="I6840" s="0" t="n">
        <v>2034</v>
      </c>
      <c r="J6840" s="0" t="n">
        <v>29.28</v>
      </c>
      <c r="K6840" s="0" t="n">
        <v>614.56</v>
      </c>
    </row>
    <row r="6841" customFormat="false" ht="15" hidden="false" customHeight="false" outlineLevel="0" collapsed="false">
      <c r="I6841" s="0" t="n">
        <v>2034</v>
      </c>
      <c r="J6841" s="0" t="n">
        <v>12.81</v>
      </c>
      <c r="K6841" s="0" t="n">
        <v>268.87</v>
      </c>
    </row>
    <row r="6842" customFormat="false" ht="15" hidden="false" customHeight="false" outlineLevel="0" collapsed="false">
      <c r="I6842" s="0" t="n">
        <v>2034</v>
      </c>
      <c r="J6842" s="0" t="n">
        <v>7.32</v>
      </c>
      <c r="K6842" s="0" t="n">
        <v>153.64</v>
      </c>
    </row>
    <row r="6843" customFormat="false" ht="15" hidden="false" customHeight="false" outlineLevel="0" collapsed="false">
      <c r="I6843" s="0" t="n">
        <v>2034</v>
      </c>
      <c r="J6843" s="0" t="n">
        <v>7.32</v>
      </c>
      <c r="K6843" s="0" t="n">
        <v>153.64</v>
      </c>
    </row>
    <row r="6844" customFormat="false" ht="15" hidden="false" customHeight="false" outlineLevel="0" collapsed="false">
      <c r="I6844" s="0" t="n">
        <v>2034</v>
      </c>
      <c r="J6844" s="0" t="n">
        <v>3.66</v>
      </c>
      <c r="K6844" s="0" t="n">
        <v>76.82</v>
      </c>
    </row>
    <row r="6845" customFormat="false" ht="15" hidden="false" customHeight="false" outlineLevel="0" collapsed="false">
      <c r="I6845" s="0" t="n">
        <v>2034</v>
      </c>
      <c r="J6845" s="0" t="n">
        <v>3.66</v>
      </c>
      <c r="K6845" s="0" t="n">
        <v>76.82</v>
      </c>
    </row>
    <row r="6846" customFormat="false" ht="15" hidden="false" customHeight="false" outlineLevel="0" collapsed="false">
      <c r="I6846" s="0" t="n">
        <v>2034</v>
      </c>
      <c r="J6846" s="0" t="n">
        <v>7.32</v>
      </c>
      <c r="K6846" s="0" t="n">
        <v>153.64</v>
      </c>
    </row>
    <row r="6847" customFormat="false" ht="15" hidden="false" customHeight="false" outlineLevel="0" collapsed="false">
      <c r="I6847" s="0" t="n">
        <v>2034</v>
      </c>
      <c r="J6847" s="0" t="n">
        <v>12.81</v>
      </c>
      <c r="K6847" s="0" t="n">
        <v>268.87</v>
      </c>
    </row>
    <row r="6848" customFormat="false" ht="15" hidden="false" customHeight="false" outlineLevel="0" collapsed="false">
      <c r="I6848" s="0" t="n">
        <v>2034</v>
      </c>
      <c r="J6848" s="0" t="n">
        <v>5.49</v>
      </c>
      <c r="K6848" s="0" t="n">
        <v>115.23</v>
      </c>
    </row>
    <row r="6849" customFormat="false" ht="15" hidden="false" customHeight="false" outlineLevel="0" collapsed="false">
      <c r="I6849" s="0" t="n">
        <v>2034</v>
      </c>
      <c r="J6849" s="0" t="n">
        <v>5.49</v>
      </c>
      <c r="K6849" s="0" t="n">
        <v>115.23</v>
      </c>
    </row>
    <row r="6850" customFormat="false" ht="15" hidden="false" customHeight="false" outlineLevel="0" collapsed="false">
      <c r="I6850" s="0" t="n">
        <v>2034</v>
      </c>
      <c r="J6850" s="0" t="n">
        <v>9.36</v>
      </c>
      <c r="K6850" s="0" t="n">
        <v>192.92</v>
      </c>
    </row>
    <row r="6851" customFormat="false" ht="15" hidden="false" customHeight="false" outlineLevel="0" collapsed="false">
      <c r="I6851" s="0" t="n">
        <v>2034</v>
      </c>
      <c r="J6851" s="0" t="n">
        <v>1.44</v>
      </c>
      <c r="K6851" s="0" t="n">
        <v>29.68</v>
      </c>
    </row>
    <row r="6852" customFormat="false" ht="15" hidden="false" customHeight="false" outlineLevel="0" collapsed="false">
      <c r="I6852" s="0" t="n">
        <v>2034</v>
      </c>
      <c r="J6852" s="0" t="n">
        <v>1.08</v>
      </c>
      <c r="K6852" s="0" t="n">
        <v>22.26</v>
      </c>
    </row>
    <row r="6853" customFormat="false" ht="15" hidden="false" customHeight="false" outlineLevel="0" collapsed="false">
      <c r="I6853" s="0" t="n">
        <v>2034</v>
      </c>
      <c r="J6853" s="0" t="n">
        <v>1.8</v>
      </c>
      <c r="K6853" s="0" t="n">
        <v>37.1</v>
      </c>
    </row>
    <row r="6854" customFormat="false" ht="15" hidden="false" customHeight="false" outlineLevel="0" collapsed="false">
      <c r="I6854" s="0" t="n">
        <v>2034</v>
      </c>
      <c r="J6854" s="0" t="n">
        <v>0.36</v>
      </c>
      <c r="K6854" s="0" t="n">
        <v>7.42</v>
      </c>
    </row>
    <row r="6855" customFormat="false" ht="15" hidden="false" customHeight="false" outlineLevel="0" collapsed="false">
      <c r="I6855" s="0" t="n">
        <v>2034</v>
      </c>
      <c r="J6855" s="0" t="n">
        <v>0.36</v>
      </c>
      <c r="K6855" s="0" t="n">
        <v>7.42</v>
      </c>
    </row>
    <row r="6856" customFormat="false" ht="15" hidden="false" customHeight="false" outlineLevel="0" collapsed="false">
      <c r="I6856" s="0" t="n">
        <v>2034</v>
      </c>
      <c r="J6856" s="0" t="n">
        <v>0</v>
      </c>
      <c r="K6856" s="0" t="n">
        <v>0</v>
      </c>
    </row>
    <row r="6857" customFormat="false" ht="15" hidden="false" customHeight="false" outlineLevel="0" collapsed="false">
      <c r="I6857" s="0" t="n">
        <v>2034</v>
      </c>
      <c r="J6857" s="0" t="n">
        <v>0.72</v>
      </c>
      <c r="K6857" s="0" t="n">
        <v>14.84</v>
      </c>
    </row>
    <row r="6858" customFormat="false" ht="15" hidden="false" customHeight="false" outlineLevel="0" collapsed="false">
      <c r="I6858" s="0" t="n">
        <v>2034</v>
      </c>
      <c r="J6858" s="0" t="n">
        <v>1.26</v>
      </c>
      <c r="K6858" s="0" t="n">
        <v>25.97</v>
      </c>
    </row>
    <row r="6859" customFormat="false" ht="15" hidden="false" customHeight="false" outlineLevel="0" collapsed="false">
      <c r="I6859" s="0" t="n">
        <v>2034</v>
      </c>
      <c r="J6859" s="0" t="n">
        <v>0.36</v>
      </c>
      <c r="K6859" s="0" t="n">
        <v>7.42</v>
      </c>
    </row>
    <row r="6860" customFormat="false" ht="15" hidden="false" customHeight="false" outlineLevel="0" collapsed="false">
      <c r="I6860" s="0" t="n">
        <v>2034</v>
      </c>
      <c r="J6860" s="0" t="n">
        <v>1.26</v>
      </c>
      <c r="K6860" s="0" t="n">
        <v>25.97</v>
      </c>
    </row>
    <row r="6861" customFormat="false" ht="15" hidden="false" customHeight="false" outlineLevel="0" collapsed="false">
      <c r="I6861" s="0" t="n">
        <v>2034</v>
      </c>
      <c r="J6861" s="0" t="n">
        <v>27.36</v>
      </c>
      <c r="K6861" s="0" t="n">
        <v>576.48</v>
      </c>
    </row>
    <row r="6862" customFormat="false" ht="15" hidden="false" customHeight="false" outlineLevel="0" collapsed="false">
      <c r="I6862" s="0" t="n">
        <v>2034</v>
      </c>
      <c r="J6862" s="0" t="n">
        <v>9.12</v>
      </c>
      <c r="K6862" s="0" t="n">
        <v>192.16</v>
      </c>
    </row>
    <row r="6863" customFormat="false" ht="15" hidden="false" customHeight="false" outlineLevel="0" collapsed="false">
      <c r="I6863" s="0" t="n">
        <v>2034</v>
      </c>
      <c r="J6863" s="0" t="n">
        <v>3.99</v>
      </c>
      <c r="K6863" s="0" t="n">
        <v>84.07</v>
      </c>
    </row>
    <row r="6864" customFormat="false" ht="15" hidden="false" customHeight="false" outlineLevel="0" collapsed="false">
      <c r="I6864" s="0" t="n">
        <v>2034</v>
      </c>
      <c r="J6864" s="0" t="n">
        <v>2.28</v>
      </c>
      <c r="K6864" s="0" t="n">
        <v>48.04</v>
      </c>
    </row>
    <row r="6865" customFormat="false" ht="15" hidden="false" customHeight="false" outlineLevel="0" collapsed="false">
      <c r="I6865" s="0" t="n">
        <v>2034</v>
      </c>
      <c r="J6865" s="0" t="n">
        <v>2.28</v>
      </c>
      <c r="K6865" s="0" t="n">
        <v>48.04</v>
      </c>
    </row>
    <row r="6866" customFormat="false" ht="15" hidden="false" customHeight="false" outlineLevel="0" collapsed="false">
      <c r="I6866" s="0" t="n">
        <v>2034</v>
      </c>
      <c r="J6866" s="0" t="n">
        <v>1.14</v>
      </c>
      <c r="K6866" s="0" t="n">
        <v>24.02</v>
      </c>
    </row>
    <row r="6867" customFormat="false" ht="15" hidden="false" customHeight="false" outlineLevel="0" collapsed="false">
      <c r="I6867" s="0" t="n">
        <v>2034</v>
      </c>
      <c r="J6867" s="0" t="n">
        <v>1.14</v>
      </c>
      <c r="K6867" s="0" t="n">
        <v>24.02</v>
      </c>
    </row>
    <row r="6868" customFormat="false" ht="15" hidden="false" customHeight="false" outlineLevel="0" collapsed="false">
      <c r="I6868" s="0" t="n">
        <v>2034</v>
      </c>
      <c r="J6868" s="0" t="n">
        <v>2.28</v>
      </c>
      <c r="K6868" s="0" t="n">
        <v>48.04</v>
      </c>
    </row>
    <row r="6869" customFormat="false" ht="15" hidden="false" customHeight="false" outlineLevel="0" collapsed="false">
      <c r="I6869" s="0" t="n">
        <v>2034</v>
      </c>
      <c r="J6869" s="0" t="n">
        <v>3.99</v>
      </c>
      <c r="K6869" s="0" t="n">
        <v>84.07</v>
      </c>
    </row>
    <row r="6870" customFormat="false" ht="15" hidden="false" customHeight="false" outlineLevel="0" collapsed="false">
      <c r="I6870" s="0" t="n">
        <v>2034</v>
      </c>
      <c r="J6870" s="0" t="n">
        <v>1.71</v>
      </c>
      <c r="K6870" s="0" t="n">
        <v>36.03</v>
      </c>
    </row>
    <row r="6871" customFormat="false" ht="15" hidden="false" customHeight="false" outlineLevel="0" collapsed="false">
      <c r="I6871" s="0" t="n">
        <v>2034</v>
      </c>
      <c r="J6871" s="0" t="n">
        <v>1.71</v>
      </c>
      <c r="K6871" s="0" t="n">
        <v>36.03</v>
      </c>
    </row>
    <row r="6872" customFormat="false" ht="15" hidden="false" customHeight="false" outlineLevel="0" collapsed="false">
      <c r="I6872" s="0" t="n">
        <v>2034</v>
      </c>
      <c r="J6872" s="0" t="n">
        <v>7.28</v>
      </c>
      <c r="K6872" s="0" t="n">
        <v>157.04</v>
      </c>
    </row>
    <row r="6873" customFormat="false" ht="15" hidden="false" customHeight="false" outlineLevel="0" collapsed="false">
      <c r="I6873" s="0" t="n">
        <v>2034</v>
      </c>
      <c r="J6873" s="0" t="n">
        <v>1.12</v>
      </c>
      <c r="K6873" s="0" t="n">
        <v>24.16</v>
      </c>
    </row>
    <row r="6874" customFormat="false" ht="15" hidden="false" customHeight="false" outlineLevel="0" collapsed="false">
      <c r="I6874" s="0" t="n">
        <v>2034</v>
      </c>
      <c r="J6874" s="0" t="n">
        <v>0.84</v>
      </c>
      <c r="K6874" s="0" t="n">
        <v>18.12</v>
      </c>
    </row>
    <row r="6875" customFormat="false" ht="15" hidden="false" customHeight="false" outlineLevel="0" collapsed="false">
      <c r="I6875" s="0" t="n">
        <v>2034</v>
      </c>
      <c r="J6875" s="0" t="n">
        <v>1.4</v>
      </c>
      <c r="K6875" s="0" t="n">
        <v>30.2</v>
      </c>
    </row>
    <row r="6876" customFormat="false" ht="15" hidden="false" customHeight="false" outlineLevel="0" collapsed="false">
      <c r="I6876" s="0" t="n">
        <v>2034</v>
      </c>
      <c r="J6876" s="0" t="n">
        <v>0.28</v>
      </c>
      <c r="K6876" s="0" t="n">
        <v>6.04</v>
      </c>
    </row>
    <row r="6877" customFormat="false" ht="15" hidden="false" customHeight="false" outlineLevel="0" collapsed="false">
      <c r="I6877" s="0" t="n">
        <v>2034</v>
      </c>
      <c r="J6877" s="0" t="n">
        <v>0.28</v>
      </c>
      <c r="K6877" s="0" t="n">
        <v>6.04</v>
      </c>
    </row>
    <row r="6878" customFormat="false" ht="15" hidden="false" customHeight="false" outlineLevel="0" collapsed="false">
      <c r="I6878" s="0" t="n">
        <v>2034</v>
      </c>
      <c r="J6878" s="0" t="n">
        <v>0</v>
      </c>
      <c r="K6878" s="0" t="n">
        <v>0</v>
      </c>
    </row>
    <row r="6879" customFormat="false" ht="15" hidden="false" customHeight="false" outlineLevel="0" collapsed="false">
      <c r="I6879" s="0" t="n">
        <v>2034</v>
      </c>
      <c r="J6879" s="0" t="n">
        <v>0.56</v>
      </c>
      <c r="K6879" s="0" t="n">
        <v>12.08</v>
      </c>
    </row>
    <row r="6880" customFormat="false" ht="15" hidden="false" customHeight="false" outlineLevel="0" collapsed="false">
      <c r="I6880" s="0" t="n">
        <v>2034</v>
      </c>
      <c r="J6880" s="0" t="n">
        <v>0.98</v>
      </c>
      <c r="K6880" s="0" t="n">
        <v>21.14</v>
      </c>
    </row>
    <row r="6881" customFormat="false" ht="15" hidden="false" customHeight="false" outlineLevel="0" collapsed="false">
      <c r="I6881" s="0" t="n">
        <v>2034</v>
      </c>
      <c r="J6881" s="0" t="n">
        <v>0.28</v>
      </c>
      <c r="K6881" s="0" t="n">
        <v>6.04</v>
      </c>
    </row>
    <row r="6882" customFormat="false" ht="15" hidden="false" customHeight="false" outlineLevel="0" collapsed="false">
      <c r="I6882" s="0" t="n">
        <v>2034</v>
      </c>
      <c r="J6882" s="0" t="n">
        <v>0.98</v>
      </c>
      <c r="K6882" s="0" t="n">
        <v>21.14</v>
      </c>
    </row>
    <row r="6883" customFormat="false" ht="15" hidden="false" customHeight="false" outlineLevel="0" collapsed="false">
      <c r="I6883" s="0" t="n">
        <v>2034</v>
      </c>
      <c r="J6883" s="0" t="n">
        <v>386.88</v>
      </c>
      <c r="K6883" s="0" t="n">
        <v>8125.44</v>
      </c>
    </row>
    <row r="6884" customFormat="false" ht="15" hidden="false" customHeight="false" outlineLevel="0" collapsed="false">
      <c r="I6884" s="0" t="n">
        <v>2034</v>
      </c>
      <c r="J6884" s="0" t="n">
        <v>128.96</v>
      </c>
      <c r="K6884" s="0" t="n">
        <v>2708.48</v>
      </c>
    </row>
    <row r="6885" customFormat="false" ht="15" hidden="false" customHeight="false" outlineLevel="0" collapsed="false">
      <c r="I6885" s="0" t="n">
        <v>2034</v>
      </c>
      <c r="J6885" s="0" t="n">
        <v>56.42</v>
      </c>
      <c r="K6885" s="0" t="n">
        <v>1184.96</v>
      </c>
    </row>
    <row r="6886" customFormat="false" ht="15" hidden="false" customHeight="false" outlineLevel="0" collapsed="false">
      <c r="I6886" s="0" t="n">
        <v>2034</v>
      </c>
      <c r="J6886" s="0" t="n">
        <v>32.24</v>
      </c>
      <c r="K6886" s="0" t="n">
        <v>677.12</v>
      </c>
    </row>
    <row r="6887" customFormat="false" ht="15" hidden="false" customHeight="false" outlineLevel="0" collapsed="false">
      <c r="I6887" s="0" t="n">
        <v>2034</v>
      </c>
      <c r="J6887" s="0" t="n">
        <v>32.24</v>
      </c>
      <c r="K6887" s="0" t="n">
        <v>677.12</v>
      </c>
    </row>
    <row r="6888" customFormat="false" ht="15" hidden="false" customHeight="false" outlineLevel="0" collapsed="false">
      <c r="I6888" s="0" t="n">
        <v>2034</v>
      </c>
      <c r="J6888" s="0" t="n">
        <v>16.12</v>
      </c>
      <c r="K6888" s="0" t="n">
        <v>338.56</v>
      </c>
    </row>
    <row r="6889" customFormat="false" ht="15" hidden="false" customHeight="false" outlineLevel="0" collapsed="false">
      <c r="I6889" s="0" t="n">
        <v>2034</v>
      </c>
      <c r="J6889" s="0" t="n">
        <v>16.12</v>
      </c>
      <c r="K6889" s="0" t="n">
        <v>338.56</v>
      </c>
    </row>
    <row r="6890" customFormat="false" ht="15" hidden="false" customHeight="false" outlineLevel="0" collapsed="false">
      <c r="I6890" s="0" t="n">
        <v>2034</v>
      </c>
      <c r="J6890" s="0" t="n">
        <v>32.24</v>
      </c>
      <c r="K6890" s="0" t="n">
        <v>677.12</v>
      </c>
    </row>
    <row r="6891" customFormat="false" ht="15" hidden="false" customHeight="false" outlineLevel="0" collapsed="false">
      <c r="I6891" s="0" t="n">
        <v>2034</v>
      </c>
      <c r="J6891" s="0" t="n">
        <v>56.42</v>
      </c>
      <c r="K6891" s="0" t="n">
        <v>1184.96</v>
      </c>
    </row>
    <row r="6892" customFormat="false" ht="15" hidden="false" customHeight="false" outlineLevel="0" collapsed="false">
      <c r="I6892" s="0" t="n">
        <v>2034</v>
      </c>
      <c r="J6892" s="0" t="n">
        <v>24.18</v>
      </c>
      <c r="K6892" s="0" t="n">
        <v>507.84</v>
      </c>
    </row>
    <row r="6893" customFormat="false" ht="15" hidden="false" customHeight="false" outlineLevel="0" collapsed="false">
      <c r="I6893" s="0" t="n">
        <v>2034</v>
      </c>
      <c r="J6893" s="0" t="n">
        <v>24.18</v>
      </c>
      <c r="K6893" s="0" t="n">
        <v>507.84</v>
      </c>
    </row>
    <row r="6894" customFormat="false" ht="15" hidden="false" customHeight="false" outlineLevel="0" collapsed="false">
      <c r="I6894" s="0" t="n">
        <v>2034</v>
      </c>
      <c r="J6894" s="0" t="n">
        <v>99.84</v>
      </c>
      <c r="K6894" s="0" t="n">
        <v>2091.96</v>
      </c>
    </row>
    <row r="6895" customFormat="false" ht="15" hidden="false" customHeight="false" outlineLevel="0" collapsed="false">
      <c r="I6895" s="0" t="n">
        <v>2034</v>
      </c>
      <c r="J6895" s="0" t="n">
        <v>15.36</v>
      </c>
      <c r="K6895" s="0" t="n">
        <v>321.84</v>
      </c>
    </row>
    <row r="6896" customFormat="false" ht="15" hidden="false" customHeight="false" outlineLevel="0" collapsed="false">
      <c r="I6896" s="0" t="n">
        <v>2034</v>
      </c>
      <c r="J6896" s="0" t="n">
        <v>11.52</v>
      </c>
      <c r="K6896" s="0" t="n">
        <v>241.38</v>
      </c>
    </row>
    <row r="6897" customFormat="false" ht="15" hidden="false" customHeight="false" outlineLevel="0" collapsed="false">
      <c r="I6897" s="0" t="n">
        <v>2034</v>
      </c>
      <c r="J6897" s="0" t="n">
        <v>19.2</v>
      </c>
      <c r="K6897" s="0" t="n">
        <v>402.3</v>
      </c>
    </row>
    <row r="6898" customFormat="false" ht="15" hidden="false" customHeight="false" outlineLevel="0" collapsed="false">
      <c r="I6898" s="0" t="n">
        <v>2034</v>
      </c>
      <c r="J6898" s="0" t="n">
        <v>3.84</v>
      </c>
      <c r="K6898" s="0" t="n">
        <v>80.46</v>
      </c>
    </row>
    <row r="6899" customFormat="false" ht="15" hidden="false" customHeight="false" outlineLevel="0" collapsed="false">
      <c r="I6899" s="0" t="n">
        <v>2034</v>
      </c>
      <c r="J6899" s="0" t="n">
        <v>3.84</v>
      </c>
      <c r="K6899" s="0" t="n">
        <v>80.46</v>
      </c>
    </row>
    <row r="6900" customFormat="false" ht="15" hidden="false" customHeight="false" outlineLevel="0" collapsed="false">
      <c r="I6900" s="0" t="n">
        <v>2034</v>
      </c>
      <c r="J6900" s="0" t="n">
        <v>0</v>
      </c>
      <c r="K6900" s="0" t="n">
        <v>0</v>
      </c>
    </row>
    <row r="6901" customFormat="false" ht="15" hidden="false" customHeight="false" outlineLevel="0" collapsed="false">
      <c r="I6901" s="0" t="n">
        <v>2034</v>
      </c>
      <c r="J6901" s="0" t="n">
        <v>7.68</v>
      </c>
      <c r="K6901" s="0" t="n">
        <v>160.92</v>
      </c>
    </row>
    <row r="6902" customFormat="false" ht="15" hidden="false" customHeight="false" outlineLevel="0" collapsed="false">
      <c r="I6902" s="0" t="n">
        <v>2034</v>
      </c>
      <c r="J6902" s="0" t="n">
        <v>13.44</v>
      </c>
      <c r="K6902" s="0" t="n">
        <v>281.61</v>
      </c>
    </row>
    <row r="6903" customFormat="false" ht="15" hidden="false" customHeight="false" outlineLevel="0" collapsed="false">
      <c r="I6903" s="0" t="n">
        <v>2034</v>
      </c>
      <c r="J6903" s="0" t="n">
        <v>3.84</v>
      </c>
      <c r="K6903" s="0" t="n">
        <v>80.46</v>
      </c>
    </row>
    <row r="6904" customFormat="false" ht="15" hidden="false" customHeight="false" outlineLevel="0" collapsed="false">
      <c r="I6904" s="0" t="n">
        <v>2034</v>
      </c>
      <c r="J6904" s="0" t="n">
        <v>13.44</v>
      </c>
      <c r="K6904" s="0" t="n">
        <v>281.61</v>
      </c>
    </row>
    <row r="6905" customFormat="false" ht="15" hidden="false" customHeight="false" outlineLevel="0" collapsed="false">
      <c r="I6905" s="0" t="n">
        <v>2034</v>
      </c>
      <c r="J6905" s="0" t="n">
        <v>223.68</v>
      </c>
      <c r="K6905" s="0" t="n">
        <v>4701.12</v>
      </c>
    </row>
    <row r="6906" customFormat="false" ht="15" hidden="false" customHeight="false" outlineLevel="0" collapsed="false">
      <c r="I6906" s="0" t="n">
        <v>2034</v>
      </c>
      <c r="J6906" s="0" t="n">
        <v>74.56</v>
      </c>
      <c r="K6906" s="0" t="n">
        <v>1567.04</v>
      </c>
    </row>
    <row r="6907" customFormat="false" ht="15" hidden="false" customHeight="false" outlineLevel="0" collapsed="false">
      <c r="I6907" s="0" t="n">
        <v>2034</v>
      </c>
      <c r="J6907" s="0" t="n">
        <v>32.62</v>
      </c>
      <c r="K6907" s="0" t="n">
        <v>685.58</v>
      </c>
    </row>
    <row r="6908" customFormat="false" ht="15" hidden="false" customHeight="false" outlineLevel="0" collapsed="false">
      <c r="I6908" s="0" t="n">
        <v>2034</v>
      </c>
      <c r="J6908" s="0" t="n">
        <v>18.64</v>
      </c>
      <c r="K6908" s="0" t="n">
        <v>391.76</v>
      </c>
    </row>
    <row r="6909" customFormat="false" ht="15" hidden="false" customHeight="false" outlineLevel="0" collapsed="false">
      <c r="I6909" s="0" t="n">
        <v>2034</v>
      </c>
      <c r="J6909" s="0" t="n">
        <v>18.64</v>
      </c>
      <c r="K6909" s="0" t="n">
        <v>391.76</v>
      </c>
    </row>
    <row r="6910" customFormat="false" ht="15" hidden="false" customHeight="false" outlineLevel="0" collapsed="false">
      <c r="I6910" s="0" t="n">
        <v>2034</v>
      </c>
      <c r="J6910" s="0" t="n">
        <v>9.32</v>
      </c>
      <c r="K6910" s="0" t="n">
        <v>195.88</v>
      </c>
    </row>
    <row r="6911" customFormat="false" ht="15" hidden="false" customHeight="false" outlineLevel="0" collapsed="false">
      <c r="I6911" s="0" t="n">
        <v>2034</v>
      </c>
      <c r="J6911" s="0" t="n">
        <v>9.32</v>
      </c>
      <c r="K6911" s="0" t="n">
        <v>195.88</v>
      </c>
    </row>
    <row r="6912" customFormat="false" ht="15" hidden="false" customHeight="false" outlineLevel="0" collapsed="false">
      <c r="I6912" s="0" t="n">
        <v>2034</v>
      </c>
      <c r="J6912" s="0" t="n">
        <v>18.64</v>
      </c>
      <c r="K6912" s="0" t="n">
        <v>391.76</v>
      </c>
    </row>
    <row r="6913" customFormat="false" ht="15" hidden="false" customHeight="false" outlineLevel="0" collapsed="false">
      <c r="I6913" s="0" t="n">
        <v>2034</v>
      </c>
      <c r="J6913" s="0" t="n">
        <v>32.62</v>
      </c>
      <c r="K6913" s="0" t="n">
        <v>685.58</v>
      </c>
    </row>
    <row r="6914" customFormat="false" ht="15" hidden="false" customHeight="false" outlineLevel="0" collapsed="false">
      <c r="I6914" s="0" t="n">
        <v>2034</v>
      </c>
      <c r="J6914" s="0" t="n">
        <v>13.98</v>
      </c>
      <c r="K6914" s="0" t="n">
        <v>293.82</v>
      </c>
    </row>
    <row r="6915" customFormat="false" ht="15" hidden="false" customHeight="false" outlineLevel="0" collapsed="false">
      <c r="I6915" s="0" t="n">
        <v>2034</v>
      </c>
      <c r="J6915" s="0" t="n">
        <v>13.98</v>
      </c>
      <c r="K6915" s="0" t="n">
        <v>293.82</v>
      </c>
    </row>
    <row r="6916" customFormat="false" ht="15" hidden="false" customHeight="false" outlineLevel="0" collapsed="false">
      <c r="I6916" s="0" t="n">
        <v>2034</v>
      </c>
      <c r="J6916" s="0" t="n">
        <v>35.88</v>
      </c>
      <c r="K6916" s="0" t="n">
        <v>753.48</v>
      </c>
    </row>
    <row r="6917" customFormat="false" ht="15" hidden="false" customHeight="false" outlineLevel="0" collapsed="false">
      <c r="I6917" s="0" t="n">
        <v>2034</v>
      </c>
      <c r="J6917" s="0" t="n">
        <v>5.52</v>
      </c>
      <c r="K6917" s="0" t="n">
        <v>115.92</v>
      </c>
    </row>
    <row r="6918" customFormat="false" ht="15" hidden="false" customHeight="false" outlineLevel="0" collapsed="false">
      <c r="I6918" s="0" t="n">
        <v>2034</v>
      </c>
      <c r="J6918" s="0" t="n">
        <v>4.14</v>
      </c>
      <c r="K6918" s="0" t="n">
        <v>86.94</v>
      </c>
    </row>
    <row r="6919" customFormat="false" ht="15" hidden="false" customHeight="false" outlineLevel="0" collapsed="false">
      <c r="I6919" s="0" t="n">
        <v>2034</v>
      </c>
      <c r="J6919" s="0" t="n">
        <v>6.9</v>
      </c>
      <c r="K6919" s="0" t="n">
        <v>144.9</v>
      </c>
    </row>
    <row r="6920" customFormat="false" ht="15" hidden="false" customHeight="false" outlineLevel="0" collapsed="false">
      <c r="I6920" s="0" t="n">
        <v>2034</v>
      </c>
      <c r="J6920" s="0" t="n">
        <v>1.38</v>
      </c>
      <c r="K6920" s="0" t="n">
        <v>28.98</v>
      </c>
    </row>
    <row r="6921" customFormat="false" ht="15" hidden="false" customHeight="false" outlineLevel="0" collapsed="false">
      <c r="I6921" s="0" t="n">
        <v>2034</v>
      </c>
      <c r="J6921" s="0" t="n">
        <v>1.38</v>
      </c>
      <c r="K6921" s="0" t="n">
        <v>28.98</v>
      </c>
    </row>
    <row r="6922" customFormat="false" ht="15" hidden="false" customHeight="false" outlineLevel="0" collapsed="false">
      <c r="I6922" s="0" t="n">
        <v>2034</v>
      </c>
      <c r="J6922" s="0" t="n">
        <v>0</v>
      </c>
      <c r="K6922" s="0" t="n">
        <v>0</v>
      </c>
    </row>
    <row r="6923" customFormat="false" ht="15" hidden="false" customHeight="false" outlineLevel="0" collapsed="false">
      <c r="I6923" s="0" t="n">
        <v>2034</v>
      </c>
      <c r="J6923" s="0" t="n">
        <v>2.76</v>
      </c>
      <c r="K6923" s="0" t="n">
        <v>57.96</v>
      </c>
    </row>
    <row r="6924" customFormat="false" ht="15" hidden="false" customHeight="false" outlineLevel="0" collapsed="false">
      <c r="I6924" s="0" t="n">
        <v>2034</v>
      </c>
      <c r="J6924" s="0" t="n">
        <v>4.83</v>
      </c>
      <c r="K6924" s="0" t="n">
        <v>101.43</v>
      </c>
    </row>
    <row r="6925" customFormat="false" ht="15" hidden="false" customHeight="false" outlineLevel="0" collapsed="false">
      <c r="I6925" s="0" t="n">
        <v>2034</v>
      </c>
      <c r="J6925" s="0" t="n">
        <v>1.38</v>
      </c>
      <c r="K6925" s="0" t="n">
        <v>28.98</v>
      </c>
    </row>
    <row r="6926" customFormat="false" ht="15" hidden="false" customHeight="false" outlineLevel="0" collapsed="false">
      <c r="I6926" s="0" t="n">
        <v>2034</v>
      </c>
      <c r="J6926" s="0" t="n">
        <v>4.83</v>
      </c>
      <c r="K6926" s="0" t="n">
        <v>101.43</v>
      </c>
    </row>
    <row r="6927" customFormat="false" ht="15" hidden="false" customHeight="false" outlineLevel="0" collapsed="false">
      <c r="I6927" s="0" t="n">
        <v>2034</v>
      </c>
      <c r="J6927" s="0" t="n">
        <v>132.48</v>
      </c>
      <c r="K6927" s="0" t="n">
        <v>2777.28</v>
      </c>
    </row>
    <row r="6928" customFormat="false" ht="15" hidden="false" customHeight="false" outlineLevel="0" collapsed="false">
      <c r="I6928" s="0" t="n">
        <v>2034</v>
      </c>
      <c r="J6928" s="0" t="n">
        <v>44.16</v>
      </c>
      <c r="K6928" s="0" t="n">
        <v>925.76</v>
      </c>
    </row>
    <row r="6929" customFormat="false" ht="15" hidden="false" customHeight="false" outlineLevel="0" collapsed="false">
      <c r="I6929" s="0" t="n">
        <v>2034</v>
      </c>
      <c r="J6929" s="0" t="n">
        <v>19.32</v>
      </c>
      <c r="K6929" s="0" t="n">
        <v>405.02</v>
      </c>
    </row>
    <row r="6930" customFormat="false" ht="15" hidden="false" customHeight="false" outlineLevel="0" collapsed="false">
      <c r="I6930" s="0" t="n">
        <v>2034</v>
      </c>
      <c r="J6930" s="0" t="n">
        <v>11.04</v>
      </c>
      <c r="K6930" s="0" t="n">
        <v>231.44</v>
      </c>
    </row>
    <row r="6931" customFormat="false" ht="15" hidden="false" customHeight="false" outlineLevel="0" collapsed="false">
      <c r="I6931" s="0" t="n">
        <v>2034</v>
      </c>
      <c r="J6931" s="0" t="n">
        <v>11.04</v>
      </c>
      <c r="K6931" s="0" t="n">
        <v>231.44</v>
      </c>
    </row>
    <row r="6932" customFormat="false" ht="15" hidden="false" customHeight="false" outlineLevel="0" collapsed="false">
      <c r="I6932" s="0" t="n">
        <v>2034</v>
      </c>
      <c r="J6932" s="0" t="n">
        <v>5.52</v>
      </c>
      <c r="K6932" s="0" t="n">
        <v>115.72</v>
      </c>
    </row>
    <row r="6933" customFormat="false" ht="15" hidden="false" customHeight="false" outlineLevel="0" collapsed="false">
      <c r="I6933" s="0" t="n">
        <v>2034</v>
      </c>
      <c r="J6933" s="0" t="n">
        <v>5.52</v>
      </c>
      <c r="K6933" s="0" t="n">
        <v>115.72</v>
      </c>
    </row>
    <row r="6934" customFormat="false" ht="15" hidden="false" customHeight="false" outlineLevel="0" collapsed="false">
      <c r="I6934" s="0" t="n">
        <v>2034</v>
      </c>
      <c r="J6934" s="0" t="n">
        <v>11.04</v>
      </c>
      <c r="K6934" s="0" t="n">
        <v>231.44</v>
      </c>
    </row>
    <row r="6935" customFormat="false" ht="15" hidden="false" customHeight="false" outlineLevel="0" collapsed="false">
      <c r="I6935" s="0" t="n">
        <v>2034</v>
      </c>
      <c r="J6935" s="0" t="n">
        <v>19.32</v>
      </c>
      <c r="K6935" s="0" t="n">
        <v>405.02</v>
      </c>
    </row>
    <row r="6936" customFormat="false" ht="15" hidden="false" customHeight="false" outlineLevel="0" collapsed="false">
      <c r="I6936" s="0" t="n">
        <v>2034</v>
      </c>
      <c r="J6936" s="0" t="n">
        <v>8.28</v>
      </c>
      <c r="K6936" s="0" t="n">
        <v>173.58</v>
      </c>
    </row>
    <row r="6937" customFormat="false" ht="15" hidden="false" customHeight="false" outlineLevel="0" collapsed="false">
      <c r="I6937" s="0" t="n">
        <v>2034</v>
      </c>
      <c r="J6937" s="0" t="n">
        <v>8.28</v>
      </c>
      <c r="K6937" s="0" t="n">
        <v>173.58</v>
      </c>
    </row>
    <row r="6938" customFormat="false" ht="15" hidden="false" customHeight="false" outlineLevel="0" collapsed="false">
      <c r="I6938" s="0" t="n">
        <v>2034</v>
      </c>
      <c r="J6938" s="0" t="n">
        <v>18.72</v>
      </c>
      <c r="K6938" s="0" t="n">
        <v>392.6</v>
      </c>
    </row>
    <row r="6939" customFormat="false" ht="15" hidden="false" customHeight="false" outlineLevel="0" collapsed="false">
      <c r="I6939" s="0" t="n">
        <v>2034</v>
      </c>
      <c r="J6939" s="0" t="n">
        <v>2.88</v>
      </c>
      <c r="K6939" s="0" t="n">
        <v>60.4</v>
      </c>
    </row>
    <row r="6940" customFormat="false" ht="15" hidden="false" customHeight="false" outlineLevel="0" collapsed="false">
      <c r="I6940" s="0" t="n">
        <v>2034</v>
      </c>
      <c r="J6940" s="0" t="n">
        <v>2.16</v>
      </c>
      <c r="K6940" s="0" t="n">
        <v>45.3</v>
      </c>
    </row>
    <row r="6941" customFormat="false" ht="15" hidden="false" customHeight="false" outlineLevel="0" collapsed="false">
      <c r="I6941" s="0" t="n">
        <v>2034</v>
      </c>
      <c r="J6941" s="0" t="n">
        <v>3.6</v>
      </c>
      <c r="K6941" s="0" t="n">
        <v>75.5</v>
      </c>
    </row>
    <row r="6942" customFormat="false" ht="15" hidden="false" customHeight="false" outlineLevel="0" collapsed="false">
      <c r="I6942" s="0" t="n">
        <v>2034</v>
      </c>
      <c r="J6942" s="0" t="n">
        <v>0.72</v>
      </c>
      <c r="K6942" s="0" t="n">
        <v>15.1</v>
      </c>
    </row>
    <row r="6943" customFormat="false" ht="15" hidden="false" customHeight="false" outlineLevel="0" collapsed="false">
      <c r="I6943" s="0" t="n">
        <v>2034</v>
      </c>
      <c r="J6943" s="0" t="n">
        <v>0.72</v>
      </c>
      <c r="K6943" s="0" t="n">
        <v>15.1</v>
      </c>
    </row>
    <row r="6944" customFormat="false" ht="15" hidden="false" customHeight="false" outlineLevel="0" collapsed="false">
      <c r="I6944" s="0" t="n">
        <v>2034</v>
      </c>
      <c r="J6944" s="0" t="n">
        <v>0</v>
      </c>
      <c r="K6944" s="0" t="n">
        <v>0</v>
      </c>
    </row>
    <row r="6945" customFormat="false" ht="15" hidden="false" customHeight="false" outlineLevel="0" collapsed="false">
      <c r="I6945" s="0" t="n">
        <v>2034</v>
      </c>
      <c r="J6945" s="0" t="n">
        <v>1.44</v>
      </c>
      <c r="K6945" s="0" t="n">
        <v>30.2</v>
      </c>
    </row>
    <row r="6946" customFormat="false" ht="15" hidden="false" customHeight="false" outlineLevel="0" collapsed="false">
      <c r="I6946" s="0" t="n">
        <v>2034</v>
      </c>
      <c r="J6946" s="0" t="n">
        <v>2.52</v>
      </c>
      <c r="K6946" s="0" t="n">
        <v>52.85</v>
      </c>
    </row>
    <row r="6947" customFormat="false" ht="15" hidden="false" customHeight="false" outlineLevel="0" collapsed="false">
      <c r="I6947" s="0" t="n">
        <v>2034</v>
      </c>
      <c r="J6947" s="0" t="n">
        <v>0.72</v>
      </c>
      <c r="K6947" s="0" t="n">
        <v>15.1</v>
      </c>
    </row>
    <row r="6948" customFormat="false" ht="15" hidden="false" customHeight="false" outlineLevel="0" collapsed="false">
      <c r="I6948" s="0" t="n">
        <v>2034</v>
      </c>
      <c r="J6948" s="0" t="n">
        <v>2.52</v>
      </c>
      <c r="K6948" s="0" t="n">
        <v>52.85</v>
      </c>
    </row>
    <row r="6949" customFormat="false" ht="15" hidden="false" customHeight="false" outlineLevel="0" collapsed="false">
      <c r="I6949" s="0" t="n">
        <v>2034</v>
      </c>
      <c r="J6949" s="0" t="n">
        <v>113.76</v>
      </c>
      <c r="K6949" s="0" t="n">
        <v>2391.36</v>
      </c>
    </row>
    <row r="6950" customFormat="false" ht="15" hidden="false" customHeight="false" outlineLevel="0" collapsed="false">
      <c r="I6950" s="0" t="n">
        <v>2034</v>
      </c>
      <c r="J6950" s="0" t="n">
        <v>37.92</v>
      </c>
      <c r="K6950" s="0" t="n">
        <v>797.12</v>
      </c>
    </row>
    <row r="6951" customFormat="false" ht="15" hidden="false" customHeight="false" outlineLevel="0" collapsed="false">
      <c r="I6951" s="0" t="n">
        <v>2034</v>
      </c>
      <c r="J6951" s="0" t="n">
        <v>16.59</v>
      </c>
      <c r="K6951" s="0" t="n">
        <v>348.74</v>
      </c>
    </row>
    <row r="6952" customFormat="false" ht="15" hidden="false" customHeight="false" outlineLevel="0" collapsed="false">
      <c r="I6952" s="0" t="n">
        <v>2034</v>
      </c>
      <c r="J6952" s="0" t="n">
        <v>9.48</v>
      </c>
      <c r="K6952" s="0" t="n">
        <v>199.28</v>
      </c>
    </row>
    <row r="6953" customFormat="false" ht="15" hidden="false" customHeight="false" outlineLevel="0" collapsed="false">
      <c r="I6953" s="0" t="n">
        <v>2034</v>
      </c>
      <c r="J6953" s="0" t="n">
        <v>9.48</v>
      </c>
      <c r="K6953" s="0" t="n">
        <v>199.28</v>
      </c>
    </row>
    <row r="6954" customFormat="false" ht="15" hidden="false" customHeight="false" outlineLevel="0" collapsed="false">
      <c r="I6954" s="0" t="n">
        <v>2034</v>
      </c>
      <c r="J6954" s="0" t="n">
        <v>4.74</v>
      </c>
      <c r="K6954" s="0" t="n">
        <v>99.64</v>
      </c>
    </row>
    <row r="6955" customFormat="false" ht="15" hidden="false" customHeight="false" outlineLevel="0" collapsed="false">
      <c r="I6955" s="0" t="n">
        <v>2034</v>
      </c>
      <c r="J6955" s="0" t="n">
        <v>4.74</v>
      </c>
      <c r="K6955" s="0" t="n">
        <v>99.64</v>
      </c>
    </row>
    <row r="6956" customFormat="false" ht="15" hidden="false" customHeight="false" outlineLevel="0" collapsed="false">
      <c r="I6956" s="0" t="n">
        <v>2034</v>
      </c>
      <c r="J6956" s="0" t="n">
        <v>9.48</v>
      </c>
      <c r="K6956" s="0" t="n">
        <v>199.28</v>
      </c>
    </row>
    <row r="6957" customFormat="false" ht="15" hidden="false" customHeight="false" outlineLevel="0" collapsed="false">
      <c r="I6957" s="0" t="n">
        <v>2034</v>
      </c>
      <c r="J6957" s="0" t="n">
        <v>16.59</v>
      </c>
      <c r="K6957" s="0" t="n">
        <v>348.74</v>
      </c>
    </row>
    <row r="6958" customFormat="false" ht="15" hidden="false" customHeight="false" outlineLevel="0" collapsed="false">
      <c r="I6958" s="0" t="n">
        <v>2034</v>
      </c>
      <c r="J6958" s="0" t="n">
        <v>7.11</v>
      </c>
      <c r="K6958" s="0" t="n">
        <v>149.46</v>
      </c>
    </row>
    <row r="6959" customFormat="false" ht="15" hidden="false" customHeight="false" outlineLevel="0" collapsed="false">
      <c r="I6959" s="0" t="n">
        <v>2034</v>
      </c>
      <c r="J6959" s="0" t="n">
        <v>7.11</v>
      </c>
      <c r="K6959" s="0" t="n">
        <v>149.46</v>
      </c>
    </row>
    <row r="6960" customFormat="false" ht="15" hidden="false" customHeight="false" outlineLevel="0" collapsed="false">
      <c r="I6960" s="0" t="n">
        <v>2034</v>
      </c>
      <c r="J6960" s="0" t="n">
        <v>24.96</v>
      </c>
      <c r="K6960" s="0" t="n">
        <v>524.16</v>
      </c>
    </row>
    <row r="6961" customFormat="false" ht="15" hidden="false" customHeight="false" outlineLevel="0" collapsed="false">
      <c r="I6961" s="0" t="n">
        <v>2034</v>
      </c>
      <c r="J6961" s="0" t="n">
        <v>3.84</v>
      </c>
      <c r="K6961" s="0" t="n">
        <v>80.64</v>
      </c>
    </row>
    <row r="6962" customFormat="false" ht="15" hidden="false" customHeight="false" outlineLevel="0" collapsed="false">
      <c r="I6962" s="0" t="n">
        <v>2034</v>
      </c>
      <c r="J6962" s="0" t="n">
        <v>2.88</v>
      </c>
      <c r="K6962" s="0" t="n">
        <v>60.48</v>
      </c>
    </row>
    <row r="6963" customFormat="false" ht="15" hidden="false" customHeight="false" outlineLevel="0" collapsed="false">
      <c r="I6963" s="0" t="n">
        <v>2034</v>
      </c>
      <c r="J6963" s="0" t="n">
        <v>4.8</v>
      </c>
      <c r="K6963" s="0" t="n">
        <v>100.8</v>
      </c>
    </row>
    <row r="6964" customFormat="false" ht="15" hidden="false" customHeight="false" outlineLevel="0" collapsed="false">
      <c r="I6964" s="0" t="n">
        <v>2034</v>
      </c>
      <c r="J6964" s="0" t="n">
        <v>0.96</v>
      </c>
      <c r="K6964" s="0" t="n">
        <v>20.16</v>
      </c>
    </row>
    <row r="6965" customFormat="false" ht="15" hidden="false" customHeight="false" outlineLevel="0" collapsed="false">
      <c r="I6965" s="0" t="n">
        <v>2034</v>
      </c>
      <c r="J6965" s="0" t="n">
        <v>0.96</v>
      </c>
      <c r="K6965" s="0" t="n">
        <v>20.16</v>
      </c>
    </row>
    <row r="6966" customFormat="false" ht="15" hidden="false" customHeight="false" outlineLevel="0" collapsed="false">
      <c r="I6966" s="0" t="n">
        <v>2034</v>
      </c>
      <c r="J6966" s="0" t="n">
        <v>0</v>
      </c>
      <c r="K6966" s="0" t="n">
        <v>0</v>
      </c>
    </row>
    <row r="6967" customFormat="false" ht="15" hidden="false" customHeight="false" outlineLevel="0" collapsed="false">
      <c r="I6967" s="0" t="n">
        <v>2034</v>
      </c>
      <c r="J6967" s="0" t="n">
        <v>1.92</v>
      </c>
      <c r="K6967" s="0" t="n">
        <v>40.32</v>
      </c>
    </row>
    <row r="6968" customFormat="false" ht="15" hidden="false" customHeight="false" outlineLevel="0" collapsed="false">
      <c r="I6968" s="0" t="n">
        <v>2034</v>
      </c>
      <c r="J6968" s="0" t="n">
        <v>3.36</v>
      </c>
      <c r="K6968" s="0" t="n">
        <v>70.56</v>
      </c>
    </row>
    <row r="6969" customFormat="false" ht="15" hidden="false" customHeight="false" outlineLevel="0" collapsed="false">
      <c r="I6969" s="0" t="n">
        <v>2034</v>
      </c>
      <c r="J6969" s="0" t="n">
        <v>0.96</v>
      </c>
      <c r="K6969" s="0" t="n">
        <v>20.16</v>
      </c>
    </row>
    <row r="6970" customFormat="false" ht="15" hidden="false" customHeight="false" outlineLevel="0" collapsed="false">
      <c r="I6970" s="0" t="n">
        <v>2034</v>
      </c>
      <c r="J6970" s="0" t="n">
        <v>3.36</v>
      </c>
      <c r="K6970" s="0" t="n">
        <v>70.56</v>
      </c>
    </row>
    <row r="6971" customFormat="false" ht="15" hidden="false" customHeight="false" outlineLevel="0" collapsed="false">
      <c r="I6971" s="0" t="n">
        <v>2034</v>
      </c>
      <c r="J6971" s="0" t="n">
        <v>120.96</v>
      </c>
      <c r="K6971" s="0" t="n">
        <v>2543.52</v>
      </c>
    </row>
    <row r="6972" customFormat="false" ht="15" hidden="false" customHeight="false" outlineLevel="0" collapsed="false">
      <c r="I6972" s="0" t="n">
        <v>2034</v>
      </c>
      <c r="J6972" s="0" t="n">
        <v>40.32</v>
      </c>
      <c r="K6972" s="0" t="n">
        <v>847.84</v>
      </c>
    </row>
    <row r="6973" customFormat="false" ht="15" hidden="false" customHeight="false" outlineLevel="0" collapsed="false">
      <c r="I6973" s="0" t="n">
        <v>2034</v>
      </c>
      <c r="J6973" s="0" t="n">
        <v>17.64</v>
      </c>
      <c r="K6973" s="0" t="n">
        <v>370.93</v>
      </c>
    </row>
    <row r="6974" customFormat="false" ht="15" hidden="false" customHeight="false" outlineLevel="0" collapsed="false">
      <c r="I6974" s="0" t="n">
        <v>2034</v>
      </c>
      <c r="J6974" s="0" t="n">
        <v>10.08</v>
      </c>
      <c r="K6974" s="0" t="n">
        <v>211.96</v>
      </c>
    </row>
    <row r="6975" customFormat="false" ht="15" hidden="false" customHeight="false" outlineLevel="0" collapsed="false">
      <c r="I6975" s="0" t="n">
        <v>2034</v>
      </c>
      <c r="J6975" s="0" t="n">
        <v>10.08</v>
      </c>
      <c r="K6975" s="0" t="n">
        <v>211.96</v>
      </c>
    </row>
    <row r="6976" customFormat="false" ht="15" hidden="false" customHeight="false" outlineLevel="0" collapsed="false">
      <c r="I6976" s="0" t="n">
        <v>2034</v>
      </c>
      <c r="J6976" s="0" t="n">
        <v>5.04</v>
      </c>
      <c r="K6976" s="0" t="n">
        <v>105.98</v>
      </c>
    </row>
    <row r="6977" customFormat="false" ht="15" hidden="false" customHeight="false" outlineLevel="0" collapsed="false">
      <c r="I6977" s="0" t="n">
        <v>2034</v>
      </c>
      <c r="J6977" s="0" t="n">
        <v>5.04</v>
      </c>
      <c r="K6977" s="0" t="n">
        <v>105.98</v>
      </c>
    </row>
    <row r="6978" customFormat="false" ht="15" hidden="false" customHeight="false" outlineLevel="0" collapsed="false">
      <c r="I6978" s="0" t="n">
        <v>2034</v>
      </c>
      <c r="J6978" s="0" t="n">
        <v>10.08</v>
      </c>
      <c r="K6978" s="0" t="n">
        <v>211.96</v>
      </c>
    </row>
    <row r="6979" customFormat="false" ht="15" hidden="false" customHeight="false" outlineLevel="0" collapsed="false">
      <c r="I6979" s="0" t="n">
        <v>2034</v>
      </c>
      <c r="J6979" s="0" t="n">
        <v>17.64</v>
      </c>
      <c r="K6979" s="0" t="n">
        <v>370.93</v>
      </c>
    </row>
    <row r="6980" customFormat="false" ht="15" hidden="false" customHeight="false" outlineLevel="0" collapsed="false">
      <c r="I6980" s="0" t="n">
        <v>2034</v>
      </c>
      <c r="J6980" s="0" t="n">
        <v>7.56</v>
      </c>
      <c r="K6980" s="0" t="n">
        <v>158.97</v>
      </c>
    </row>
    <row r="6981" customFormat="false" ht="15" hidden="false" customHeight="false" outlineLevel="0" collapsed="false">
      <c r="I6981" s="0" t="n">
        <v>2034</v>
      </c>
      <c r="J6981" s="0" t="n">
        <v>7.56</v>
      </c>
      <c r="K6981" s="0" t="n">
        <v>158.97</v>
      </c>
    </row>
    <row r="6982" customFormat="false" ht="15" hidden="false" customHeight="false" outlineLevel="0" collapsed="false">
      <c r="I6982" s="0" t="n">
        <v>2034</v>
      </c>
      <c r="J6982" s="0" t="n">
        <v>33.8</v>
      </c>
      <c r="K6982" s="0" t="n">
        <v>705.64</v>
      </c>
    </row>
    <row r="6983" customFormat="false" ht="15" hidden="false" customHeight="false" outlineLevel="0" collapsed="false">
      <c r="I6983" s="0" t="n">
        <v>2034</v>
      </c>
      <c r="J6983" s="0" t="n">
        <v>5.2</v>
      </c>
      <c r="K6983" s="0" t="n">
        <v>108.56</v>
      </c>
    </row>
    <row r="6984" customFormat="false" ht="15" hidden="false" customHeight="false" outlineLevel="0" collapsed="false">
      <c r="I6984" s="0" t="n">
        <v>2034</v>
      </c>
      <c r="J6984" s="0" t="n">
        <v>3.9</v>
      </c>
      <c r="K6984" s="0" t="n">
        <v>81.42</v>
      </c>
    </row>
    <row r="6985" customFormat="false" ht="15" hidden="false" customHeight="false" outlineLevel="0" collapsed="false">
      <c r="I6985" s="0" t="n">
        <v>2034</v>
      </c>
      <c r="J6985" s="0" t="n">
        <v>6.5</v>
      </c>
      <c r="K6985" s="0" t="n">
        <v>135.7</v>
      </c>
    </row>
    <row r="6986" customFormat="false" ht="15" hidden="false" customHeight="false" outlineLevel="0" collapsed="false">
      <c r="I6986" s="0" t="n">
        <v>2034</v>
      </c>
      <c r="J6986" s="0" t="n">
        <v>1.3</v>
      </c>
      <c r="K6986" s="0" t="n">
        <v>27.14</v>
      </c>
    </row>
    <row r="6987" customFormat="false" ht="15" hidden="false" customHeight="false" outlineLevel="0" collapsed="false">
      <c r="I6987" s="0" t="n">
        <v>2034</v>
      </c>
      <c r="J6987" s="0" t="n">
        <v>1.3</v>
      </c>
      <c r="K6987" s="0" t="n">
        <v>27.14</v>
      </c>
    </row>
    <row r="6988" customFormat="false" ht="15" hidden="false" customHeight="false" outlineLevel="0" collapsed="false">
      <c r="I6988" s="0" t="n">
        <v>2034</v>
      </c>
      <c r="J6988" s="0" t="n">
        <v>0</v>
      </c>
      <c r="K6988" s="0" t="n">
        <v>0</v>
      </c>
    </row>
    <row r="6989" customFormat="false" ht="15" hidden="false" customHeight="false" outlineLevel="0" collapsed="false">
      <c r="I6989" s="0" t="n">
        <v>2034</v>
      </c>
      <c r="J6989" s="0" t="n">
        <v>2.6</v>
      </c>
      <c r="K6989" s="0" t="n">
        <v>54.28</v>
      </c>
    </row>
    <row r="6990" customFormat="false" ht="15" hidden="false" customHeight="false" outlineLevel="0" collapsed="false">
      <c r="I6990" s="0" t="n">
        <v>2034</v>
      </c>
      <c r="J6990" s="0" t="n">
        <v>4.55</v>
      </c>
      <c r="K6990" s="0" t="n">
        <v>94.99</v>
      </c>
    </row>
    <row r="6991" customFormat="false" ht="15" hidden="false" customHeight="false" outlineLevel="0" collapsed="false">
      <c r="I6991" s="0" t="n">
        <v>2034</v>
      </c>
      <c r="J6991" s="0" t="n">
        <v>1.3</v>
      </c>
      <c r="K6991" s="0" t="n">
        <v>27.14</v>
      </c>
    </row>
    <row r="6992" customFormat="false" ht="15" hidden="false" customHeight="false" outlineLevel="0" collapsed="false">
      <c r="I6992" s="0" t="n">
        <v>2034</v>
      </c>
      <c r="J6992" s="0" t="n">
        <v>4.55</v>
      </c>
      <c r="K6992" s="0" t="n">
        <v>94.99</v>
      </c>
    </row>
    <row r="6993" customFormat="false" ht="15" hidden="false" customHeight="false" outlineLevel="0" collapsed="false">
      <c r="I6993" s="0" t="n">
        <v>2034</v>
      </c>
      <c r="J6993" s="0" t="n">
        <v>121.92</v>
      </c>
      <c r="K6993" s="0" t="n">
        <v>2562.72</v>
      </c>
    </row>
    <row r="6994" customFormat="false" ht="15" hidden="false" customHeight="false" outlineLevel="0" collapsed="false">
      <c r="I6994" s="0" t="n">
        <v>2034</v>
      </c>
      <c r="J6994" s="0" t="n">
        <v>40.64</v>
      </c>
      <c r="K6994" s="0" t="n">
        <v>854.24</v>
      </c>
    </row>
    <row r="6995" customFormat="false" ht="15" hidden="false" customHeight="false" outlineLevel="0" collapsed="false">
      <c r="I6995" s="0" t="n">
        <v>2034</v>
      </c>
      <c r="J6995" s="0" t="n">
        <v>17.78</v>
      </c>
      <c r="K6995" s="0" t="n">
        <v>373.73</v>
      </c>
    </row>
    <row r="6996" customFormat="false" ht="15" hidden="false" customHeight="false" outlineLevel="0" collapsed="false">
      <c r="I6996" s="0" t="n">
        <v>2034</v>
      </c>
      <c r="J6996" s="0" t="n">
        <v>10.16</v>
      </c>
      <c r="K6996" s="0" t="n">
        <v>213.56</v>
      </c>
    </row>
    <row r="6997" customFormat="false" ht="15" hidden="false" customHeight="false" outlineLevel="0" collapsed="false">
      <c r="I6997" s="0" t="n">
        <v>2034</v>
      </c>
      <c r="J6997" s="0" t="n">
        <v>10.16</v>
      </c>
      <c r="K6997" s="0" t="n">
        <v>213.56</v>
      </c>
    </row>
    <row r="6998" customFormat="false" ht="15" hidden="false" customHeight="false" outlineLevel="0" collapsed="false">
      <c r="I6998" s="0" t="n">
        <v>2034</v>
      </c>
      <c r="J6998" s="0" t="n">
        <v>5.08</v>
      </c>
      <c r="K6998" s="0" t="n">
        <v>106.78</v>
      </c>
    </row>
    <row r="6999" customFormat="false" ht="15" hidden="false" customHeight="false" outlineLevel="0" collapsed="false">
      <c r="I6999" s="0" t="n">
        <v>2034</v>
      </c>
      <c r="J6999" s="0" t="n">
        <v>5.08</v>
      </c>
      <c r="K6999" s="0" t="n">
        <v>106.78</v>
      </c>
    </row>
    <row r="7000" customFormat="false" ht="15" hidden="false" customHeight="false" outlineLevel="0" collapsed="false">
      <c r="I7000" s="0" t="n">
        <v>2034</v>
      </c>
      <c r="J7000" s="0" t="n">
        <v>10.16</v>
      </c>
      <c r="K7000" s="0" t="n">
        <v>213.56</v>
      </c>
    </row>
    <row r="7001" customFormat="false" ht="15" hidden="false" customHeight="false" outlineLevel="0" collapsed="false">
      <c r="I7001" s="0" t="n">
        <v>2034</v>
      </c>
      <c r="J7001" s="0" t="n">
        <v>17.78</v>
      </c>
      <c r="K7001" s="0" t="n">
        <v>373.73</v>
      </c>
    </row>
    <row r="7002" customFormat="false" ht="15" hidden="false" customHeight="false" outlineLevel="0" collapsed="false">
      <c r="I7002" s="0" t="n">
        <v>2034</v>
      </c>
      <c r="J7002" s="0" t="n">
        <v>7.62</v>
      </c>
      <c r="K7002" s="0" t="n">
        <v>160.17</v>
      </c>
    </row>
    <row r="7003" customFormat="false" ht="15" hidden="false" customHeight="false" outlineLevel="0" collapsed="false">
      <c r="I7003" s="0" t="n">
        <v>2034</v>
      </c>
      <c r="J7003" s="0" t="n">
        <v>7.62</v>
      </c>
      <c r="K7003" s="0" t="n">
        <v>160.17</v>
      </c>
    </row>
    <row r="7004" customFormat="false" ht="15" hidden="false" customHeight="false" outlineLevel="0" collapsed="false">
      <c r="I7004" s="0" t="n">
        <v>2034</v>
      </c>
      <c r="J7004" s="0" t="n">
        <v>19.76</v>
      </c>
      <c r="K7004" s="0" t="n">
        <v>416</v>
      </c>
    </row>
    <row r="7005" customFormat="false" ht="15" hidden="false" customHeight="false" outlineLevel="0" collapsed="false">
      <c r="I7005" s="0" t="n">
        <v>2034</v>
      </c>
      <c r="J7005" s="0" t="n">
        <v>3.04</v>
      </c>
      <c r="K7005" s="0" t="n">
        <v>64</v>
      </c>
    </row>
    <row r="7006" customFormat="false" ht="15" hidden="false" customHeight="false" outlineLevel="0" collapsed="false">
      <c r="I7006" s="0" t="n">
        <v>2034</v>
      </c>
      <c r="J7006" s="0" t="n">
        <v>2.28</v>
      </c>
      <c r="K7006" s="0" t="n">
        <v>48</v>
      </c>
    </row>
    <row r="7007" customFormat="false" ht="15" hidden="false" customHeight="false" outlineLevel="0" collapsed="false">
      <c r="I7007" s="0" t="n">
        <v>2034</v>
      </c>
      <c r="J7007" s="0" t="n">
        <v>3.8</v>
      </c>
      <c r="K7007" s="0" t="n">
        <v>80</v>
      </c>
    </row>
    <row r="7008" customFormat="false" ht="15" hidden="false" customHeight="false" outlineLevel="0" collapsed="false">
      <c r="I7008" s="0" t="n">
        <v>2034</v>
      </c>
      <c r="J7008" s="0" t="n">
        <v>0.76</v>
      </c>
      <c r="K7008" s="0" t="n">
        <v>16</v>
      </c>
    </row>
    <row r="7009" customFormat="false" ht="15" hidden="false" customHeight="false" outlineLevel="0" collapsed="false">
      <c r="I7009" s="0" t="n">
        <v>2034</v>
      </c>
      <c r="J7009" s="0" t="n">
        <v>0.76</v>
      </c>
      <c r="K7009" s="0" t="n">
        <v>16</v>
      </c>
    </row>
    <row r="7010" customFormat="false" ht="15" hidden="false" customHeight="false" outlineLevel="0" collapsed="false">
      <c r="I7010" s="0" t="n">
        <v>2034</v>
      </c>
      <c r="J7010" s="0" t="n">
        <v>0</v>
      </c>
      <c r="K7010" s="0" t="n">
        <v>0</v>
      </c>
    </row>
    <row r="7011" customFormat="false" ht="15" hidden="false" customHeight="false" outlineLevel="0" collapsed="false">
      <c r="I7011" s="0" t="n">
        <v>2034</v>
      </c>
      <c r="J7011" s="0" t="n">
        <v>1.52</v>
      </c>
      <c r="K7011" s="0" t="n">
        <v>32</v>
      </c>
    </row>
    <row r="7012" customFormat="false" ht="15" hidden="false" customHeight="false" outlineLevel="0" collapsed="false">
      <c r="I7012" s="0" t="n">
        <v>2034</v>
      </c>
      <c r="J7012" s="0" t="n">
        <v>2.66</v>
      </c>
      <c r="K7012" s="0" t="n">
        <v>56</v>
      </c>
    </row>
    <row r="7013" customFormat="false" ht="15" hidden="false" customHeight="false" outlineLevel="0" collapsed="false">
      <c r="I7013" s="0" t="n">
        <v>2034</v>
      </c>
      <c r="J7013" s="0" t="n">
        <v>0.76</v>
      </c>
      <c r="K7013" s="0" t="n">
        <v>16</v>
      </c>
    </row>
    <row r="7014" customFormat="false" ht="15" hidden="false" customHeight="false" outlineLevel="0" collapsed="false">
      <c r="I7014" s="0" t="n">
        <v>2034</v>
      </c>
      <c r="J7014" s="0" t="n">
        <v>2.66</v>
      </c>
      <c r="K7014" s="0" t="n">
        <v>56</v>
      </c>
    </row>
    <row r="7015" customFormat="false" ht="15" hidden="false" customHeight="false" outlineLevel="0" collapsed="false">
      <c r="I7015" s="0" t="n">
        <v>2034</v>
      </c>
      <c r="J7015" s="0" t="n">
        <v>103.2</v>
      </c>
      <c r="K7015" s="0" t="n">
        <v>2167.2</v>
      </c>
    </row>
    <row r="7016" customFormat="false" ht="15" hidden="false" customHeight="false" outlineLevel="0" collapsed="false">
      <c r="I7016" s="0" t="n">
        <v>2034</v>
      </c>
      <c r="J7016" s="0" t="n">
        <v>34.4</v>
      </c>
      <c r="K7016" s="0" t="n">
        <v>722.4</v>
      </c>
    </row>
    <row r="7017" customFormat="false" ht="15" hidden="false" customHeight="false" outlineLevel="0" collapsed="false">
      <c r="I7017" s="0" t="n">
        <v>2034</v>
      </c>
      <c r="J7017" s="0" t="n">
        <v>15.05</v>
      </c>
      <c r="K7017" s="0" t="n">
        <v>316.05</v>
      </c>
    </row>
    <row r="7018" customFormat="false" ht="15" hidden="false" customHeight="false" outlineLevel="0" collapsed="false">
      <c r="I7018" s="0" t="n">
        <v>2034</v>
      </c>
      <c r="J7018" s="0" t="n">
        <v>8.6</v>
      </c>
      <c r="K7018" s="0" t="n">
        <v>180.6</v>
      </c>
    </row>
    <row r="7019" customFormat="false" ht="15" hidden="false" customHeight="false" outlineLevel="0" collapsed="false">
      <c r="I7019" s="0" t="n">
        <v>2034</v>
      </c>
      <c r="J7019" s="0" t="n">
        <v>8.6</v>
      </c>
      <c r="K7019" s="0" t="n">
        <v>180.6</v>
      </c>
    </row>
    <row r="7020" customFormat="false" ht="15" hidden="false" customHeight="false" outlineLevel="0" collapsed="false">
      <c r="I7020" s="0" t="n">
        <v>2034</v>
      </c>
      <c r="J7020" s="0" t="n">
        <v>4.3</v>
      </c>
      <c r="K7020" s="0" t="n">
        <v>90.3</v>
      </c>
    </row>
    <row r="7021" customFormat="false" ht="15" hidden="false" customHeight="false" outlineLevel="0" collapsed="false">
      <c r="I7021" s="0" t="n">
        <v>2034</v>
      </c>
      <c r="J7021" s="0" t="n">
        <v>4.3</v>
      </c>
      <c r="K7021" s="0" t="n">
        <v>90.3</v>
      </c>
    </row>
    <row r="7022" customFormat="false" ht="15" hidden="false" customHeight="false" outlineLevel="0" collapsed="false">
      <c r="I7022" s="0" t="n">
        <v>2034</v>
      </c>
      <c r="J7022" s="0" t="n">
        <v>8.6</v>
      </c>
      <c r="K7022" s="0" t="n">
        <v>180.6</v>
      </c>
    </row>
    <row r="7023" customFormat="false" ht="15" hidden="false" customHeight="false" outlineLevel="0" collapsed="false">
      <c r="I7023" s="0" t="n">
        <v>2034</v>
      </c>
      <c r="J7023" s="0" t="n">
        <v>15.05</v>
      </c>
      <c r="K7023" s="0" t="n">
        <v>316.05</v>
      </c>
    </row>
    <row r="7024" customFormat="false" ht="15" hidden="false" customHeight="false" outlineLevel="0" collapsed="false">
      <c r="I7024" s="0" t="n">
        <v>2034</v>
      </c>
      <c r="J7024" s="0" t="n">
        <v>6.45</v>
      </c>
      <c r="K7024" s="0" t="n">
        <v>135.45</v>
      </c>
    </row>
    <row r="7025" customFormat="false" ht="15" hidden="false" customHeight="false" outlineLevel="0" collapsed="false">
      <c r="I7025" s="0" t="n">
        <v>2034</v>
      </c>
      <c r="J7025" s="0" t="n">
        <v>6.45</v>
      </c>
      <c r="K7025" s="0" t="n">
        <v>135.45</v>
      </c>
    </row>
    <row r="7026" customFormat="false" ht="15" hidden="false" customHeight="false" outlineLevel="0" collapsed="false">
      <c r="I7026" s="0" t="n">
        <v>2034</v>
      </c>
      <c r="J7026" s="0" t="n">
        <v>13</v>
      </c>
      <c r="K7026" s="0" t="n">
        <v>271.44</v>
      </c>
    </row>
    <row r="7027" customFormat="false" ht="15" hidden="false" customHeight="false" outlineLevel="0" collapsed="false">
      <c r="I7027" s="0" t="n">
        <v>2034</v>
      </c>
      <c r="J7027" s="0" t="n">
        <v>2</v>
      </c>
      <c r="K7027" s="0" t="n">
        <v>41.76</v>
      </c>
    </row>
    <row r="7028" customFormat="false" ht="15" hidden="false" customHeight="false" outlineLevel="0" collapsed="false">
      <c r="I7028" s="0" t="n">
        <v>2034</v>
      </c>
      <c r="J7028" s="0" t="n">
        <v>1.5</v>
      </c>
      <c r="K7028" s="0" t="n">
        <v>31.32</v>
      </c>
    </row>
    <row r="7029" customFormat="false" ht="15" hidden="false" customHeight="false" outlineLevel="0" collapsed="false">
      <c r="I7029" s="0" t="n">
        <v>2034</v>
      </c>
      <c r="J7029" s="0" t="n">
        <v>2.5</v>
      </c>
      <c r="K7029" s="0" t="n">
        <v>52.2</v>
      </c>
    </row>
    <row r="7030" customFormat="false" ht="15" hidden="false" customHeight="false" outlineLevel="0" collapsed="false">
      <c r="I7030" s="0" t="n">
        <v>2034</v>
      </c>
      <c r="J7030" s="0" t="n">
        <v>0.5</v>
      </c>
      <c r="K7030" s="0" t="n">
        <v>10.44</v>
      </c>
    </row>
    <row r="7031" customFormat="false" ht="15" hidden="false" customHeight="false" outlineLevel="0" collapsed="false">
      <c r="I7031" s="0" t="n">
        <v>2034</v>
      </c>
      <c r="J7031" s="0" t="n">
        <v>0.5</v>
      </c>
      <c r="K7031" s="0" t="n">
        <v>10.44</v>
      </c>
    </row>
    <row r="7032" customFormat="false" ht="15" hidden="false" customHeight="false" outlineLevel="0" collapsed="false">
      <c r="I7032" s="0" t="n">
        <v>2034</v>
      </c>
      <c r="J7032" s="0" t="n">
        <v>0</v>
      </c>
      <c r="K7032" s="0" t="n">
        <v>0</v>
      </c>
    </row>
    <row r="7033" customFormat="false" ht="15" hidden="false" customHeight="false" outlineLevel="0" collapsed="false">
      <c r="I7033" s="0" t="n">
        <v>2034</v>
      </c>
      <c r="J7033" s="0" t="n">
        <v>1</v>
      </c>
      <c r="K7033" s="0" t="n">
        <v>20.88</v>
      </c>
    </row>
    <row r="7034" customFormat="false" ht="15" hidden="false" customHeight="false" outlineLevel="0" collapsed="false">
      <c r="I7034" s="0" t="n">
        <v>2034</v>
      </c>
      <c r="J7034" s="0" t="n">
        <v>1.75</v>
      </c>
      <c r="K7034" s="0" t="n">
        <v>36.54</v>
      </c>
    </row>
    <row r="7035" customFormat="false" ht="15" hidden="false" customHeight="false" outlineLevel="0" collapsed="false">
      <c r="I7035" s="0" t="n">
        <v>2034</v>
      </c>
      <c r="J7035" s="0" t="n">
        <v>0.5</v>
      </c>
      <c r="K7035" s="0" t="n">
        <v>10.44</v>
      </c>
    </row>
    <row r="7036" customFormat="false" ht="15" hidden="false" customHeight="false" outlineLevel="0" collapsed="false">
      <c r="I7036" s="0" t="n">
        <v>2034</v>
      </c>
      <c r="J7036" s="0" t="n">
        <v>1.75</v>
      </c>
      <c r="K7036" s="0" t="n">
        <v>36.54</v>
      </c>
    </row>
    <row r="7037" customFormat="false" ht="15" hidden="false" customHeight="false" outlineLevel="0" collapsed="false">
      <c r="I7037" s="0" t="n">
        <v>2034</v>
      </c>
      <c r="J7037" s="0" t="n">
        <v>39.36</v>
      </c>
      <c r="K7037" s="0" t="n">
        <v>828.96</v>
      </c>
    </row>
    <row r="7038" customFormat="false" ht="15" hidden="false" customHeight="false" outlineLevel="0" collapsed="false">
      <c r="I7038" s="0" t="n">
        <v>2034</v>
      </c>
      <c r="J7038" s="0" t="n">
        <v>13.12</v>
      </c>
      <c r="K7038" s="0" t="n">
        <v>276.32</v>
      </c>
    </row>
    <row r="7039" customFormat="false" ht="15" hidden="false" customHeight="false" outlineLevel="0" collapsed="false">
      <c r="I7039" s="0" t="n">
        <v>2034</v>
      </c>
      <c r="J7039" s="0" t="n">
        <v>5.74</v>
      </c>
      <c r="K7039" s="0" t="n">
        <v>120.89</v>
      </c>
    </row>
    <row r="7040" customFormat="false" ht="15" hidden="false" customHeight="false" outlineLevel="0" collapsed="false">
      <c r="I7040" s="0" t="n">
        <v>2034</v>
      </c>
      <c r="J7040" s="0" t="n">
        <v>3.28</v>
      </c>
      <c r="K7040" s="0" t="n">
        <v>69.08</v>
      </c>
    </row>
    <row r="7041" customFormat="false" ht="15" hidden="false" customHeight="false" outlineLevel="0" collapsed="false">
      <c r="I7041" s="0" t="n">
        <v>2034</v>
      </c>
      <c r="J7041" s="0" t="n">
        <v>3.28</v>
      </c>
      <c r="K7041" s="0" t="n">
        <v>69.08</v>
      </c>
    </row>
    <row r="7042" customFormat="false" ht="15" hidden="false" customHeight="false" outlineLevel="0" collapsed="false">
      <c r="I7042" s="0" t="n">
        <v>2034</v>
      </c>
      <c r="J7042" s="0" t="n">
        <v>1.64</v>
      </c>
      <c r="K7042" s="0" t="n">
        <v>34.54</v>
      </c>
    </row>
    <row r="7043" customFormat="false" ht="15" hidden="false" customHeight="false" outlineLevel="0" collapsed="false">
      <c r="I7043" s="0" t="n">
        <v>2034</v>
      </c>
      <c r="J7043" s="0" t="n">
        <v>1.64</v>
      </c>
      <c r="K7043" s="0" t="n">
        <v>34.54</v>
      </c>
    </row>
    <row r="7044" customFormat="false" ht="15" hidden="false" customHeight="false" outlineLevel="0" collapsed="false">
      <c r="I7044" s="0" t="n">
        <v>2034</v>
      </c>
      <c r="J7044" s="0" t="n">
        <v>3.28</v>
      </c>
      <c r="K7044" s="0" t="n">
        <v>69.08</v>
      </c>
    </row>
    <row r="7045" customFormat="false" ht="15" hidden="false" customHeight="false" outlineLevel="0" collapsed="false">
      <c r="I7045" s="0" t="n">
        <v>2034</v>
      </c>
      <c r="J7045" s="0" t="n">
        <v>5.74</v>
      </c>
      <c r="K7045" s="0" t="n">
        <v>120.89</v>
      </c>
    </row>
    <row r="7046" customFormat="false" ht="15" hidden="false" customHeight="false" outlineLevel="0" collapsed="false">
      <c r="I7046" s="0" t="n">
        <v>2034</v>
      </c>
      <c r="J7046" s="0" t="n">
        <v>2.46</v>
      </c>
      <c r="K7046" s="0" t="n">
        <v>51.81</v>
      </c>
    </row>
    <row r="7047" customFormat="false" ht="15" hidden="false" customHeight="false" outlineLevel="0" collapsed="false">
      <c r="I7047" s="0" t="n">
        <v>2034</v>
      </c>
      <c r="J7047" s="0" t="n">
        <v>2.46</v>
      </c>
      <c r="K7047" s="0" t="n">
        <v>51.81</v>
      </c>
    </row>
    <row r="7048" customFormat="false" ht="15" hidden="false" customHeight="false" outlineLevel="0" collapsed="false">
      <c r="I7048" s="0" t="n">
        <v>2034</v>
      </c>
      <c r="J7048" s="0" t="n">
        <v>20.8</v>
      </c>
      <c r="K7048" s="0" t="n">
        <v>434.2</v>
      </c>
    </row>
    <row r="7049" customFormat="false" ht="15" hidden="false" customHeight="false" outlineLevel="0" collapsed="false">
      <c r="I7049" s="0" t="n">
        <v>2034</v>
      </c>
      <c r="J7049" s="0" t="n">
        <v>3.2</v>
      </c>
      <c r="K7049" s="0" t="n">
        <v>66.8</v>
      </c>
    </row>
    <row r="7050" customFormat="false" ht="15" hidden="false" customHeight="false" outlineLevel="0" collapsed="false">
      <c r="I7050" s="0" t="n">
        <v>2034</v>
      </c>
      <c r="J7050" s="0" t="n">
        <v>2.4</v>
      </c>
      <c r="K7050" s="0" t="n">
        <v>50.1</v>
      </c>
    </row>
    <row r="7051" customFormat="false" ht="15" hidden="false" customHeight="false" outlineLevel="0" collapsed="false">
      <c r="I7051" s="0" t="n">
        <v>2034</v>
      </c>
      <c r="J7051" s="0" t="n">
        <v>4</v>
      </c>
      <c r="K7051" s="0" t="n">
        <v>83.5</v>
      </c>
    </row>
    <row r="7052" customFormat="false" ht="15" hidden="false" customHeight="false" outlineLevel="0" collapsed="false">
      <c r="I7052" s="0" t="n">
        <v>2034</v>
      </c>
      <c r="J7052" s="0" t="n">
        <v>0.8</v>
      </c>
      <c r="K7052" s="0" t="n">
        <v>16.7</v>
      </c>
    </row>
    <row r="7053" customFormat="false" ht="15" hidden="false" customHeight="false" outlineLevel="0" collapsed="false">
      <c r="I7053" s="0" t="n">
        <v>2034</v>
      </c>
      <c r="J7053" s="0" t="n">
        <v>0.8</v>
      </c>
      <c r="K7053" s="0" t="n">
        <v>16.7</v>
      </c>
    </row>
    <row r="7054" customFormat="false" ht="15" hidden="false" customHeight="false" outlineLevel="0" collapsed="false">
      <c r="I7054" s="0" t="n">
        <v>2034</v>
      </c>
      <c r="J7054" s="0" t="n">
        <v>0</v>
      </c>
      <c r="K7054" s="0" t="n">
        <v>0</v>
      </c>
    </row>
    <row r="7055" customFormat="false" ht="15" hidden="false" customHeight="false" outlineLevel="0" collapsed="false">
      <c r="I7055" s="0" t="n">
        <v>2034</v>
      </c>
      <c r="J7055" s="0" t="n">
        <v>1.6</v>
      </c>
      <c r="K7055" s="0" t="n">
        <v>33.4</v>
      </c>
    </row>
    <row r="7056" customFormat="false" ht="15" hidden="false" customHeight="false" outlineLevel="0" collapsed="false">
      <c r="I7056" s="0" t="n">
        <v>2034</v>
      </c>
      <c r="J7056" s="0" t="n">
        <v>2.8</v>
      </c>
      <c r="K7056" s="0" t="n">
        <v>58.45</v>
      </c>
    </row>
    <row r="7057" customFormat="false" ht="15" hidden="false" customHeight="false" outlineLevel="0" collapsed="false">
      <c r="I7057" s="0" t="n">
        <v>2034</v>
      </c>
      <c r="J7057" s="0" t="n">
        <v>0.8</v>
      </c>
      <c r="K7057" s="0" t="n">
        <v>16.7</v>
      </c>
    </row>
    <row r="7058" customFormat="false" ht="15" hidden="false" customHeight="false" outlineLevel="0" collapsed="false">
      <c r="I7058" s="0" t="n">
        <v>2034</v>
      </c>
      <c r="J7058" s="0" t="n">
        <v>2.8</v>
      </c>
      <c r="K7058" s="0" t="n">
        <v>58.45</v>
      </c>
    </row>
    <row r="7059" customFormat="false" ht="15" hidden="false" customHeight="false" outlineLevel="0" collapsed="false">
      <c r="I7059" s="0" t="n">
        <v>2034</v>
      </c>
      <c r="J7059" s="0" t="n">
        <v>1275.36</v>
      </c>
      <c r="K7059" s="0" t="n">
        <v>26782.56</v>
      </c>
    </row>
    <row r="7060" customFormat="false" ht="15" hidden="false" customHeight="false" outlineLevel="0" collapsed="false">
      <c r="I7060" s="0" t="n">
        <v>2034</v>
      </c>
      <c r="J7060" s="0" t="n">
        <v>425.12</v>
      </c>
      <c r="K7060" s="0" t="n">
        <v>8927.52</v>
      </c>
    </row>
    <row r="7061" customFormat="false" ht="15" hidden="false" customHeight="false" outlineLevel="0" collapsed="false">
      <c r="I7061" s="0" t="n">
        <v>2034</v>
      </c>
      <c r="J7061" s="0" t="n">
        <v>185.99</v>
      </c>
      <c r="K7061" s="0" t="n">
        <v>3905.79</v>
      </c>
    </row>
    <row r="7062" customFormat="false" ht="15" hidden="false" customHeight="false" outlineLevel="0" collapsed="false">
      <c r="I7062" s="0" t="n">
        <v>2034</v>
      </c>
      <c r="J7062" s="0" t="n">
        <v>106.28</v>
      </c>
      <c r="K7062" s="0" t="n">
        <v>2231.88</v>
      </c>
    </row>
    <row r="7063" customFormat="false" ht="15" hidden="false" customHeight="false" outlineLevel="0" collapsed="false">
      <c r="I7063" s="0" t="n">
        <v>2034</v>
      </c>
      <c r="J7063" s="0" t="n">
        <v>106.28</v>
      </c>
      <c r="K7063" s="0" t="n">
        <v>2231.88</v>
      </c>
    </row>
    <row r="7064" customFormat="false" ht="15" hidden="false" customHeight="false" outlineLevel="0" collapsed="false">
      <c r="I7064" s="0" t="n">
        <v>2034</v>
      </c>
      <c r="J7064" s="0" t="n">
        <v>53.14</v>
      </c>
      <c r="K7064" s="0" t="n">
        <v>1115.94</v>
      </c>
    </row>
    <row r="7065" customFormat="false" ht="15" hidden="false" customHeight="false" outlineLevel="0" collapsed="false">
      <c r="I7065" s="0" t="n">
        <v>2034</v>
      </c>
      <c r="J7065" s="0" t="n">
        <v>53.14</v>
      </c>
      <c r="K7065" s="0" t="n">
        <v>1115.94</v>
      </c>
    </row>
    <row r="7066" customFormat="false" ht="15" hidden="false" customHeight="false" outlineLevel="0" collapsed="false">
      <c r="I7066" s="0" t="n">
        <v>2034</v>
      </c>
      <c r="J7066" s="0" t="n">
        <v>106.28</v>
      </c>
      <c r="K7066" s="0" t="n">
        <v>2231.88</v>
      </c>
    </row>
    <row r="7067" customFormat="false" ht="15" hidden="false" customHeight="false" outlineLevel="0" collapsed="false">
      <c r="I7067" s="0" t="n">
        <v>2034</v>
      </c>
      <c r="J7067" s="0" t="n">
        <v>185.99</v>
      </c>
      <c r="K7067" s="0" t="n">
        <v>3905.79</v>
      </c>
    </row>
    <row r="7068" customFormat="false" ht="15" hidden="false" customHeight="false" outlineLevel="0" collapsed="false">
      <c r="I7068" s="0" t="n">
        <v>2034</v>
      </c>
      <c r="J7068" s="0" t="n">
        <v>79.71</v>
      </c>
      <c r="K7068" s="0" t="n">
        <v>1673.91</v>
      </c>
    </row>
    <row r="7069" customFormat="false" ht="15" hidden="false" customHeight="false" outlineLevel="0" collapsed="false">
      <c r="I7069" s="0" t="n">
        <v>2034</v>
      </c>
      <c r="J7069" s="0" t="n">
        <v>79.71</v>
      </c>
      <c r="K7069" s="0" t="n">
        <v>1673.91</v>
      </c>
    </row>
    <row r="7070" customFormat="false" ht="15" hidden="false" customHeight="false" outlineLevel="0" collapsed="false">
      <c r="I7070" s="0" t="n">
        <v>2034</v>
      </c>
      <c r="J7070" s="0" t="n">
        <v>218.4</v>
      </c>
      <c r="K7070" s="0" t="n">
        <v>4586.92</v>
      </c>
    </row>
    <row r="7071" customFormat="false" ht="15" hidden="false" customHeight="false" outlineLevel="0" collapsed="false">
      <c r="I7071" s="0" t="n">
        <v>2034</v>
      </c>
      <c r="J7071" s="0" t="n">
        <v>33.6</v>
      </c>
      <c r="K7071" s="0" t="n">
        <v>705.68</v>
      </c>
    </row>
    <row r="7072" customFormat="false" ht="15" hidden="false" customHeight="false" outlineLevel="0" collapsed="false">
      <c r="I7072" s="0" t="n">
        <v>2034</v>
      </c>
      <c r="J7072" s="0" t="n">
        <v>25.2</v>
      </c>
      <c r="K7072" s="0" t="n">
        <v>529.26</v>
      </c>
    </row>
    <row r="7073" customFormat="false" ht="15" hidden="false" customHeight="false" outlineLevel="0" collapsed="false">
      <c r="I7073" s="0" t="n">
        <v>2034</v>
      </c>
      <c r="J7073" s="0" t="n">
        <v>42</v>
      </c>
      <c r="K7073" s="0" t="n">
        <v>882.1</v>
      </c>
    </row>
    <row r="7074" customFormat="false" ht="15" hidden="false" customHeight="false" outlineLevel="0" collapsed="false">
      <c r="I7074" s="0" t="n">
        <v>2034</v>
      </c>
      <c r="J7074" s="0" t="n">
        <v>8.4</v>
      </c>
      <c r="K7074" s="0" t="n">
        <v>176.42</v>
      </c>
    </row>
    <row r="7075" customFormat="false" ht="15" hidden="false" customHeight="false" outlineLevel="0" collapsed="false">
      <c r="I7075" s="0" t="n">
        <v>2034</v>
      </c>
      <c r="J7075" s="0" t="n">
        <v>8.4</v>
      </c>
      <c r="K7075" s="0" t="n">
        <v>176.42</v>
      </c>
    </row>
    <row r="7076" customFormat="false" ht="15" hidden="false" customHeight="false" outlineLevel="0" collapsed="false">
      <c r="I7076" s="0" t="n">
        <v>2034</v>
      </c>
      <c r="J7076" s="0" t="n">
        <v>0</v>
      </c>
      <c r="K7076" s="0" t="n">
        <v>0</v>
      </c>
    </row>
    <row r="7077" customFormat="false" ht="15" hidden="false" customHeight="false" outlineLevel="0" collapsed="false">
      <c r="I7077" s="0" t="n">
        <v>2034</v>
      </c>
      <c r="J7077" s="0" t="n">
        <v>16.8</v>
      </c>
      <c r="K7077" s="0" t="n">
        <v>352.84</v>
      </c>
    </row>
    <row r="7078" customFormat="false" ht="15" hidden="false" customHeight="false" outlineLevel="0" collapsed="false">
      <c r="I7078" s="0" t="n">
        <v>2034</v>
      </c>
      <c r="J7078" s="0" t="n">
        <v>29.4</v>
      </c>
      <c r="K7078" s="0" t="n">
        <v>617.47</v>
      </c>
    </row>
    <row r="7079" customFormat="false" ht="15" hidden="false" customHeight="false" outlineLevel="0" collapsed="false">
      <c r="I7079" s="0" t="n">
        <v>2034</v>
      </c>
      <c r="J7079" s="0" t="n">
        <v>8.4</v>
      </c>
      <c r="K7079" s="0" t="n">
        <v>176.42</v>
      </c>
    </row>
    <row r="7080" customFormat="false" ht="15" hidden="false" customHeight="false" outlineLevel="0" collapsed="false">
      <c r="I7080" s="0" t="n">
        <v>2034</v>
      </c>
      <c r="J7080" s="0" t="n">
        <v>29.4</v>
      </c>
      <c r="K7080" s="0" t="n">
        <v>617.47</v>
      </c>
    </row>
    <row r="7081" customFormat="false" ht="15" hidden="false" customHeight="false" outlineLevel="0" collapsed="false">
      <c r="I7081" s="0" t="n">
        <v>2034</v>
      </c>
      <c r="J7081" s="0" t="n">
        <v>50.88</v>
      </c>
      <c r="K7081" s="0" t="n">
        <v>1071.84</v>
      </c>
    </row>
    <row r="7082" customFormat="false" ht="15" hidden="false" customHeight="false" outlineLevel="0" collapsed="false">
      <c r="I7082" s="0" t="n">
        <v>2034</v>
      </c>
      <c r="J7082" s="0" t="n">
        <v>16.96</v>
      </c>
      <c r="K7082" s="0" t="n">
        <v>357.28</v>
      </c>
    </row>
    <row r="7083" customFormat="false" ht="15" hidden="false" customHeight="false" outlineLevel="0" collapsed="false">
      <c r="I7083" s="0" t="n">
        <v>2034</v>
      </c>
      <c r="J7083" s="0" t="n">
        <v>7.42</v>
      </c>
      <c r="K7083" s="0" t="n">
        <v>156.31</v>
      </c>
    </row>
    <row r="7084" customFormat="false" ht="15" hidden="false" customHeight="false" outlineLevel="0" collapsed="false">
      <c r="I7084" s="0" t="n">
        <v>2034</v>
      </c>
      <c r="J7084" s="0" t="n">
        <v>4.24</v>
      </c>
      <c r="K7084" s="0" t="n">
        <v>89.32</v>
      </c>
    </row>
    <row r="7085" customFormat="false" ht="15" hidden="false" customHeight="false" outlineLevel="0" collapsed="false">
      <c r="I7085" s="0" t="n">
        <v>2034</v>
      </c>
      <c r="J7085" s="0" t="n">
        <v>4.24</v>
      </c>
      <c r="K7085" s="0" t="n">
        <v>89.32</v>
      </c>
    </row>
    <row r="7086" customFormat="false" ht="15" hidden="false" customHeight="false" outlineLevel="0" collapsed="false">
      <c r="I7086" s="0" t="n">
        <v>2034</v>
      </c>
      <c r="J7086" s="0" t="n">
        <v>2.12</v>
      </c>
      <c r="K7086" s="0" t="n">
        <v>44.66</v>
      </c>
    </row>
    <row r="7087" customFormat="false" ht="15" hidden="false" customHeight="false" outlineLevel="0" collapsed="false">
      <c r="I7087" s="0" t="n">
        <v>2034</v>
      </c>
      <c r="J7087" s="0" t="n">
        <v>2.12</v>
      </c>
      <c r="K7087" s="0" t="n">
        <v>44.66</v>
      </c>
    </row>
    <row r="7088" customFormat="false" ht="15" hidden="false" customHeight="false" outlineLevel="0" collapsed="false">
      <c r="I7088" s="0" t="n">
        <v>2034</v>
      </c>
      <c r="J7088" s="0" t="n">
        <v>4.24</v>
      </c>
      <c r="K7088" s="0" t="n">
        <v>89.32</v>
      </c>
    </row>
    <row r="7089" customFormat="false" ht="15" hidden="false" customHeight="false" outlineLevel="0" collapsed="false">
      <c r="I7089" s="0" t="n">
        <v>2034</v>
      </c>
      <c r="J7089" s="0" t="n">
        <v>7.42</v>
      </c>
      <c r="K7089" s="0" t="n">
        <v>156.31</v>
      </c>
    </row>
    <row r="7090" customFormat="false" ht="15" hidden="false" customHeight="false" outlineLevel="0" collapsed="false">
      <c r="I7090" s="0" t="n">
        <v>2034</v>
      </c>
      <c r="J7090" s="0" t="n">
        <v>3.18</v>
      </c>
      <c r="K7090" s="0" t="n">
        <v>66.99</v>
      </c>
    </row>
    <row r="7091" customFormat="false" ht="15" hidden="false" customHeight="false" outlineLevel="0" collapsed="false">
      <c r="I7091" s="0" t="n">
        <v>2034</v>
      </c>
      <c r="J7091" s="0" t="n">
        <v>3.18</v>
      </c>
      <c r="K7091" s="0" t="n">
        <v>66.99</v>
      </c>
    </row>
    <row r="7092" customFormat="false" ht="15" hidden="false" customHeight="false" outlineLevel="0" collapsed="false">
      <c r="I7092" s="0" t="n">
        <v>2034</v>
      </c>
      <c r="J7092" s="0" t="n">
        <v>10.4</v>
      </c>
      <c r="K7092" s="0" t="n">
        <v>223.08</v>
      </c>
    </row>
    <row r="7093" customFormat="false" ht="15" hidden="false" customHeight="false" outlineLevel="0" collapsed="false">
      <c r="I7093" s="0" t="n">
        <v>2034</v>
      </c>
      <c r="J7093" s="0" t="n">
        <v>1.6</v>
      </c>
      <c r="K7093" s="0" t="n">
        <v>34.32</v>
      </c>
    </row>
    <row r="7094" customFormat="false" ht="15" hidden="false" customHeight="false" outlineLevel="0" collapsed="false">
      <c r="I7094" s="0" t="n">
        <v>2034</v>
      </c>
      <c r="J7094" s="0" t="n">
        <v>1.2</v>
      </c>
      <c r="K7094" s="0" t="n">
        <v>25.74</v>
      </c>
    </row>
    <row r="7095" customFormat="false" ht="15" hidden="false" customHeight="false" outlineLevel="0" collapsed="false">
      <c r="I7095" s="0" t="n">
        <v>2034</v>
      </c>
      <c r="J7095" s="0" t="n">
        <v>2</v>
      </c>
      <c r="K7095" s="0" t="n">
        <v>42.9</v>
      </c>
    </row>
    <row r="7096" customFormat="false" ht="15" hidden="false" customHeight="false" outlineLevel="0" collapsed="false">
      <c r="I7096" s="0" t="n">
        <v>2034</v>
      </c>
      <c r="J7096" s="0" t="n">
        <v>0.4</v>
      </c>
      <c r="K7096" s="0" t="n">
        <v>8.58</v>
      </c>
    </row>
    <row r="7097" customFormat="false" ht="15" hidden="false" customHeight="false" outlineLevel="0" collapsed="false">
      <c r="I7097" s="0" t="n">
        <v>2034</v>
      </c>
      <c r="J7097" s="0" t="n">
        <v>0.4</v>
      </c>
      <c r="K7097" s="0" t="n">
        <v>8.58</v>
      </c>
    </row>
    <row r="7098" customFormat="false" ht="15" hidden="false" customHeight="false" outlineLevel="0" collapsed="false">
      <c r="I7098" s="0" t="n">
        <v>2034</v>
      </c>
      <c r="J7098" s="0" t="n">
        <v>0</v>
      </c>
      <c r="K7098" s="0" t="n">
        <v>0</v>
      </c>
    </row>
    <row r="7099" customFormat="false" ht="15" hidden="false" customHeight="false" outlineLevel="0" collapsed="false">
      <c r="I7099" s="0" t="n">
        <v>2034</v>
      </c>
      <c r="J7099" s="0" t="n">
        <v>0.8</v>
      </c>
      <c r="K7099" s="0" t="n">
        <v>17.16</v>
      </c>
    </row>
    <row r="7100" customFormat="false" ht="15" hidden="false" customHeight="false" outlineLevel="0" collapsed="false">
      <c r="I7100" s="0" t="n">
        <v>2034</v>
      </c>
      <c r="J7100" s="0" t="n">
        <v>1.4</v>
      </c>
      <c r="K7100" s="0" t="n">
        <v>30.03</v>
      </c>
    </row>
    <row r="7101" customFormat="false" ht="15" hidden="false" customHeight="false" outlineLevel="0" collapsed="false">
      <c r="I7101" s="0" t="n">
        <v>2034</v>
      </c>
      <c r="J7101" s="0" t="n">
        <v>0.4</v>
      </c>
      <c r="K7101" s="0" t="n">
        <v>8.58</v>
      </c>
    </row>
    <row r="7102" customFormat="false" ht="15" hidden="false" customHeight="false" outlineLevel="0" collapsed="false">
      <c r="I7102" s="0" t="n">
        <v>2034</v>
      </c>
      <c r="J7102" s="0" t="n">
        <v>1.4</v>
      </c>
      <c r="K7102" s="0" t="n">
        <v>30.03</v>
      </c>
    </row>
    <row r="7103" customFormat="false" ht="15" hidden="false" customHeight="false" outlineLevel="0" collapsed="false">
      <c r="I7103" s="0" t="n">
        <v>2034</v>
      </c>
      <c r="J7103" s="0" t="n">
        <v>33.12</v>
      </c>
      <c r="K7103" s="0" t="n">
        <v>691.2</v>
      </c>
    </row>
    <row r="7104" customFormat="false" ht="15" hidden="false" customHeight="false" outlineLevel="0" collapsed="false">
      <c r="I7104" s="0" t="n">
        <v>2034</v>
      </c>
      <c r="J7104" s="0" t="n">
        <v>11.04</v>
      </c>
      <c r="K7104" s="0" t="n">
        <v>230.4</v>
      </c>
    </row>
    <row r="7105" customFormat="false" ht="15" hidden="false" customHeight="false" outlineLevel="0" collapsed="false">
      <c r="I7105" s="0" t="n">
        <v>2034</v>
      </c>
      <c r="J7105" s="0" t="n">
        <v>4.83</v>
      </c>
      <c r="K7105" s="0" t="n">
        <v>100.8</v>
      </c>
    </row>
    <row r="7106" customFormat="false" ht="15" hidden="false" customHeight="false" outlineLevel="0" collapsed="false">
      <c r="I7106" s="0" t="n">
        <v>2034</v>
      </c>
      <c r="J7106" s="0" t="n">
        <v>2.76</v>
      </c>
      <c r="K7106" s="0" t="n">
        <v>57.6</v>
      </c>
    </row>
    <row r="7107" customFormat="false" ht="15" hidden="false" customHeight="false" outlineLevel="0" collapsed="false">
      <c r="I7107" s="0" t="n">
        <v>2034</v>
      </c>
      <c r="J7107" s="0" t="n">
        <v>2.76</v>
      </c>
      <c r="K7107" s="0" t="n">
        <v>57.6</v>
      </c>
    </row>
    <row r="7108" customFormat="false" ht="15" hidden="false" customHeight="false" outlineLevel="0" collapsed="false">
      <c r="I7108" s="0" t="n">
        <v>2034</v>
      </c>
      <c r="J7108" s="0" t="n">
        <v>1.38</v>
      </c>
      <c r="K7108" s="0" t="n">
        <v>28.8</v>
      </c>
    </row>
    <row r="7109" customFormat="false" ht="15" hidden="false" customHeight="false" outlineLevel="0" collapsed="false">
      <c r="I7109" s="0" t="n">
        <v>2034</v>
      </c>
      <c r="J7109" s="0" t="n">
        <v>1.38</v>
      </c>
      <c r="K7109" s="0" t="n">
        <v>28.8</v>
      </c>
    </row>
    <row r="7110" customFormat="false" ht="15" hidden="false" customHeight="false" outlineLevel="0" collapsed="false">
      <c r="I7110" s="0" t="n">
        <v>2034</v>
      </c>
      <c r="J7110" s="0" t="n">
        <v>2.76</v>
      </c>
      <c r="K7110" s="0" t="n">
        <v>57.6</v>
      </c>
    </row>
    <row r="7111" customFormat="false" ht="15" hidden="false" customHeight="false" outlineLevel="0" collapsed="false">
      <c r="I7111" s="0" t="n">
        <v>2034</v>
      </c>
      <c r="J7111" s="0" t="n">
        <v>4.83</v>
      </c>
      <c r="K7111" s="0" t="n">
        <v>100.8</v>
      </c>
    </row>
    <row r="7112" customFormat="false" ht="15" hidden="false" customHeight="false" outlineLevel="0" collapsed="false">
      <c r="I7112" s="0" t="n">
        <v>2034</v>
      </c>
      <c r="J7112" s="0" t="n">
        <v>2.07</v>
      </c>
      <c r="K7112" s="0" t="n">
        <v>43.2</v>
      </c>
    </row>
    <row r="7113" customFormat="false" ht="15" hidden="false" customHeight="false" outlineLevel="0" collapsed="false">
      <c r="I7113" s="0" t="n">
        <v>2034</v>
      </c>
      <c r="J7113" s="0" t="n">
        <v>2.07</v>
      </c>
      <c r="K7113" s="0" t="n">
        <v>43.2</v>
      </c>
    </row>
    <row r="7114" customFormat="false" ht="15" hidden="false" customHeight="false" outlineLevel="0" collapsed="false">
      <c r="I7114" s="0" t="n">
        <v>2034</v>
      </c>
      <c r="J7114" s="0" t="n">
        <v>27.04</v>
      </c>
      <c r="K7114" s="0" t="n">
        <v>572.52</v>
      </c>
    </row>
    <row r="7115" customFormat="false" ht="15" hidden="false" customHeight="false" outlineLevel="0" collapsed="false">
      <c r="I7115" s="0" t="n">
        <v>2034</v>
      </c>
      <c r="J7115" s="0" t="n">
        <v>4.16</v>
      </c>
      <c r="K7115" s="0" t="n">
        <v>88.08</v>
      </c>
    </row>
    <row r="7116" customFormat="false" ht="15" hidden="false" customHeight="false" outlineLevel="0" collapsed="false">
      <c r="I7116" s="0" t="n">
        <v>2034</v>
      </c>
      <c r="J7116" s="0" t="n">
        <v>3.12</v>
      </c>
      <c r="K7116" s="0" t="n">
        <v>66.06</v>
      </c>
    </row>
    <row r="7117" customFormat="false" ht="15" hidden="false" customHeight="false" outlineLevel="0" collapsed="false">
      <c r="I7117" s="0" t="n">
        <v>2034</v>
      </c>
      <c r="J7117" s="0" t="n">
        <v>5.2</v>
      </c>
      <c r="K7117" s="0" t="n">
        <v>110.1</v>
      </c>
    </row>
    <row r="7118" customFormat="false" ht="15" hidden="false" customHeight="false" outlineLevel="0" collapsed="false">
      <c r="I7118" s="0" t="n">
        <v>2034</v>
      </c>
      <c r="J7118" s="0" t="n">
        <v>1.04</v>
      </c>
      <c r="K7118" s="0" t="n">
        <v>22.02</v>
      </c>
    </row>
    <row r="7119" customFormat="false" ht="15" hidden="false" customHeight="false" outlineLevel="0" collapsed="false">
      <c r="I7119" s="0" t="n">
        <v>2034</v>
      </c>
      <c r="J7119" s="0" t="n">
        <v>1.04</v>
      </c>
      <c r="K7119" s="0" t="n">
        <v>22.02</v>
      </c>
    </row>
    <row r="7120" customFormat="false" ht="15" hidden="false" customHeight="false" outlineLevel="0" collapsed="false">
      <c r="I7120" s="0" t="n">
        <v>2034</v>
      </c>
      <c r="J7120" s="0" t="n">
        <v>0</v>
      </c>
      <c r="K7120" s="0" t="n">
        <v>0</v>
      </c>
    </row>
    <row r="7121" customFormat="false" ht="15" hidden="false" customHeight="false" outlineLevel="0" collapsed="false">
      <c r="I7121" s="0" t="n">
        <v>2034</v>
      </c>
      <c r="J7121" s="0" t="n">
        <v>2.08</v>
      </c>
      <c r="K7121" s="0" t="n">
        <v>44.04</v>
      </c>
    </row>
    <row r="7122" customFormat="false" ht="15" hidden="false" customHeight="false" outlineLevel="0" collapsed="false">
      <c r="I7122" s="0" t="n">
        <v>2034</v>
      </c>
      <c r="J7122" s="0" t="n">
        <v>3.64</v>
      </c>
      <c r="K7122" s="0" t="n">
        <v>77.07</v>
      </c>
    </row>
    <row r="7123" customFormat="false" ht="15" hidden="false" customHeight="false" outlineLevel="0" collapsed="false">
      <c r="I7123" s="0" t="n">
        <v>2034</v>
      </c>
      <c r="J7123" s="0" t="n">
        <v>1.04</v>
      </c>
      <c r="K7123" s="0" t="n">
        <v>22.02</v>
      </c>
    </row>
    <row r="7124" customFormat="false" ht="15" hidden="false" customHeight="false" outlineLevel="0" collapsed="false">
      <c r="I7124" s="0" t="n">
        <v>2034</v>
      </c>
      <c r="J7124" s="0" t="n">
        <v>3.64</v>
      </c>
      <c r="K7124" s="0" t="n">
        <v>77.07</v>
      </c>
    </row>
    <row r="7125" customFormat="false" ht="15" hidden="false" customHeight="false" outlineLevel="0" collapsed="false">
      <c r="I7125" s="0" t="n">
        <v>2034</v>
      </c>
      <c r="J7125" s="0" t="n">
        <v>144.48</v>
      </c>
      <c r="K7125" s="0" t="n">
        <v>3034.56</v>
      </c>
    </row>
    <row r="7126" customFormat="false" ht="15" hidden="false" customHeight="false" outlineLevel="0" collapsed="false">
      <c r="I7126" s="0" t="n">
        <v>2034</v>
      </c>
      <c r="J7126" s="0" t="n">
        <v>48.16</v>
      </c>
      <c r="K7126" s="0" t="n">
        <v>1011.52</v>
      </c>
    </row>
    <row r="7127" customFormat="false" ht="15" hidden="false" customHeight="false" outlineLevel="0" collapsed="false">
      <c r="I7127" s="0" t="n">
        <v>2034</v>
      </c>
      <c r="J7127" s="0" t="n">
        <v>21.07</v>
      </c>
      <c r="K7127" s="0" t="n">
        <v>442.54</v>
      </c>
    </row>
    <row r="7128" customFormat="false" ht="15" hidden="false" customHeight="false" outlineLevel="0" collapsed="false">
      <c r="I7128" s="0" t="n">
        <v>2034</v>
      </c>
      <c r="J7128" s="0" t="n">
        <v>12.04</v>
      </c>
      <c r="K7128" s="0" t="n">
        <v>252.88</v>
      </c>
    </row>
    <row r="7129" customFormat="false" ht="15" hidden="false" customHeight="false" outlineLevel="0" collapsed="false">
      <c r="I7129" s="0" t="n">
        <v>2034</v>
      </c>
      <c r="J7129" s="0" t="n">
        <v>12.04</v>
      </c>
      <c r="K7129" s="0" t="n">
        <v>252.88</v>
      </c>
    </row>
    <row r="7130" customFormat="false" ht="15" hidden="false" customHeight="false" outlineLevel="0" collapsed="false">
      <c r="I7130" s="0" t="n">
        <v>2034</v>
      </c>
      <c r="J7130" s="0" t="n">
        <v>6.02</v>
      </c>
      <c r="K7130" s="0" t="n">
        <v>126.44</v>
      </c>
    </row>
    <row r="7131" customFormat="false" ht="15" hidden="false" customHeight="false" outlineLevel="0" collapsed="false">
      <c r="I7131" s="0" t="n">
        <v>2034</v>
      </c>
      <c r="J7131" s="0" t="n">
        <v>6.02</v>
      </c>
      <c r="K7131" s="0" t="n">
        <v>126.44</v>
      </c>
    </row>
    <row r="7132" customFormat="false" ht="15" hidden="false" customHeight="false" outlineLevel="0" collapsed="false">
      <c r="I7132" s="0" t="n">
        <v>2034</v>
      </c>
      <c r="J7132" s="0" t="n">
        <v>12.04</v>
      </c>
      <c r="K7132" s="0" t="n">
        <v>252.88</v>
      </c>
    </row>
    <row r="7133" customFormat="false" ht="15" hidden="false" customHeight="false" outlineLevel="0" collapsed="false">
      <c r="I7133" s="0" t="n">
        <v>2034</v>
      </c>
      <c r="J7133" s="0" t="n">
        <v>21.07</v>
      </c>
      <c r="K7133" s="0" t="n">
        <v>442.54</v>
      </c>
    </row>
    <row r="7134" customFormat="false" ht="15" hidden="false" customHeight="false" outlineLevel="0" collapsed="false">
      <c r="I7134" s="0" t="n">
        <v>2034</v>
      </c>
      <c r="J7134" s="0" t="n">
        <v>9.03</v>
      </c>
      <c r="K7134" s="0" t="n">
        <v>189.66</v>
      </c>
    </row>
    <row r="7135" customFormat="false" ht="15" hidden="false" customHeight="false" outlineLevel="0" collapsed="false">
      <c r="I7135" s="0" t="n">
        <v>2034</v>
      </c>
      <c r="J7135" s="0" t="n">
        <v>9.03</v>
      </c>
      <c r="K7135" s="0" t="n">
        <v>189.66</v>
      </c>
    </row>
    <row r="7136" customFormat="false" ht="15" hidden="false" customHeight="false" outlineLevel="0" collapsed="false">
      <c r="I7136" s="0" t="n">
        <v>2034</v>
      </c>
      <c r="J7136" s="0" t="n">
        <v>57.2</v>
      </c>
      <c r="K7136" s="0" t="n">
        <v>1205.36</v>
      </c>
    </row>
    <row r="7137" customFormat="false" ht="15" hidden="false" customHeight="false" outlineLevel="0" collapsed="false">
      <c r="I7137" s="0" t="n">
        <v>2034</v>
      </c>
      <c r="J7137" s="0" t="n">
        <v>8.8</v>
      </c>
      <c r="K7137" s="0" t="n">
        <v>185.44</v>
      </c>
    </row>
    <row r="7138" customFormat="false" ht="15" hidden="false" customHeight="false" outlineLevel="0" collapsed="false">
      <c r="I7138" s="0" t="n">
        <v>2034</v>
      </c>
      <c r="J7138" s="0" t="n">
        <v>6.6</v>
      </c>
      <c r="K7138" s="0" t="n">
        <v>139.08</v>
      </c>
    </row>
    <row r="7139" customFormat="false" ht="15" hidden="false" customHeight="false" outlineLevel="0" collapsed="false">
      <c r="I7139" s="0" t="n">
        <v>2034</v>
      </c>
      <c r="J7139" s="0" t="n">
        <v>11</v>
      </c>
      <c r="K7139" s="0" t="n">
        <v>231.8</v>
      </c>
    </row>
    <row r="7140" customFormat="false" ht="15" hidden="false" customHeight="false" outlineLevel="0" collapsed="false">
      <c r="I7140" s="0" t="n">
        <v>2034</v>
      </c>
      <c r="J7140" s="0" t="n">
        <v>2.2</v>
      </c>
      <c r="K7140" s="0" t="n">
        <v>46.36</v>
      </c>
    </row>
    <row r="7141" customFormat="false" ht="15" hidden="false" customHeight="false" outlineLevel="0" collapsed="false">
      <c r="I7141" s="0" t="n">
        <v>2034</v>
      </c>
      <c r="J7141" s="0" t="n">
        <v>2.2</v>
      </c>
      <c r="K7141" s="0" t="n">
        <v>46.36</v>
      </c>
    </row>
    <row r="7142" customFormat="false" ht="15" hidden="false" customHeight="false" outlineLevel="0" collapsed="false">
      <c r="I7142" s="0" t="n">
        <v>2034</v>
      </c>
      <c r="J7142" s="0" t="n">
        <v>0</v>
      </c>
      <c r="K7142" s="0" t="n">
        <v>0</v>
      </c>
    </row>
    <row r="7143" customFormat="false" ht="15" hidden="false" customHeight="false" outlineLevel="0" collapsed="false">
      <c r="I7143" s="0" t="n">
        <v>2034</v>
      </c>
      <c r="J7143" s="0" t="n">
        <v>4.4</v>
      </c>
      <c r="K7143" s="0" t="n">
        <v>92.72</v>
      </c>
    </row>
    <row r="7144" customFormat="false" ht="15" hidden="false" customHeight="false" outlineLevel="0" collapsed="false">
      <c r="I7144" s="0" t="n">
        <v>2034</v>
      </c>
      <c r="J7144" s="0" t="n">
        <v>7.7</v>
      </c>
      <c r="K7144" s="0" t="n">
        <v>162.26</v>
      </c>
    </row>
    <row r="7145" customFormat="false" ht="15" hidden="false" customHeight="false" outlineLevel="0" collapsed="false">
      <c r="I7145" s="0" t="n">
        <v>2034</v>
      </c>
      <c r="J7145" s="0" t="n">
        <v>2.2</v>
      </c>
      <c r="K7145" s="0" t="n">
        <v>46.36</v>
      </c>
    </row>
    <row r="7146" customFormat="false" ht="15" hidden="false" customHeight="false" outlineLevel="0" collapsed="false">
      <c r="I7146" s="0" t="n">
        <v>2034</v>
      </c>
      <c r="J7146" s="0" t="n">
        <v>7.7</v>
      </c>
      <c r="K7146" s="0" t="n">
        <v>162.26</v>
      </c>
    </row>
    <row r="7147" customFormat="false" ht="15" hidden="false" customHeight="false" outlineLevel="0" collapsed="false">
      <c r="I7147" s="0" t="n">
        <v>2035</v>
      </c>
      <c r="J7147" s="0" t="n">
        <v>912.96</v>
      </c>
      <c r="K7147" s="0" t="n">
        <v>19170.24</v>
      </c>
    </row>
    <row r="7148" customFormat="false" ht="15" hidden="false" customHeight="false" outlineLevel="0" collapsed="false">
      <c r="I7148" s="0" t="n">
        <v>2035</v>
      </c>
      <c r="J7148" s="0" t="n">
        <v>304.32</v>
      </c>
      <c r="K7148" s="0" t="n">
        <v>6390.08</v>
      </c>
    </row>
    <row r="7149" customFormat="false" ht="15" hidden="false" customHeight="false" outlineLevel="0" collapsed="false">
      <c r="I7149" s="0" t="n">
        <v>2035</v>
      </c>
      <c r="J7149" s="0" t="n">
        <v>133.14</v>
      </c>
      <c r="K7149" s="0" t="n">
        <v>2795.66</v>
      </c>
    </row>
    <row r="7150" customFormat="false" ht="15" hidden="false" customHeight="false" outlineLevel="0" collapsed="false">
      <c r="I7150" s="0" t="n">
        <v>2035</v>
      </c>
      <c r="J7150" s="0" t="n">
        <v>76.08</v>
      </c>
      <c r="K7150" s="0" t="n">
        <v>1597.52</v>
      </c>
    </row>
    <row r="7151" customFormat="false" ht="15" hidden="false" customHeight="false" outlineLevel="0" collapsed="false">
      <c r="I7151" s="0" t="n">
        <v>2035</v>
      </c>
      <c r="J7151" s="0" t="n">
        <v>76.08</v>
      </c>
      <c r="K7151" s="0" t="n">
        <v>1597.52</v>
      </c>
    </row>
    <row r="7152" customFormat="false" ht="15" hidden="false" customHeight="false" outlineLevel="0" collapsed="false">
      <c r="I7152" s="0" t="n">
        <v>2035</v>
      </c>
      <c r="J7152" s="0" t="n">
        <v>38.04</v>
      </c>
      <c r="K7152" s="0" t="n">
        <v>798.76</v>
      </c>
    </row>
    <row r="7153" customFormat="false" ht="15" hidden="false" customHeight="false" outlineLevel="0" collapsed="false">
      <c r="I7153" s="0" t="n">
        <v>2035</v>
      </c>
      <c r="J7153" s="0" t="n">
        <v>38.04</v>
      </c>
      <c r="K7153" s="0" t="n">
        <v>798.76</v>
      </c>
    </row>
    <row r="7154" customFormat="false" ht="15" hidden="false" customHeight="false" outlineLevel="0" collapsed="false">
      <c r="I7154" s="0" t="n">
        <v>2035</v>
      </c>
      <c r="J7154" s="0" t="n">
        <v>76.08</v>
      </c>
      <c r="K7154" s="0" t="n">
        <v>1597.52</v>
      </c>
    </row>
    <row r="7155" customFormat="false" ht="15" hidden="false" customHeight="false" outlineLevel="0" collapsed="false">
      <c r="I7155" s="0" t="n">
        <v>2035</v>
      </c>
      <c r="J7155" s="0" t="n">
        <v>133.14</v>
      </c>
      <c r="K7155" s="0" t="n">
        <v>2795.66</v>
      </c>
    </row>
    <row r="7156" customFormat="false" ht="15" hidden="false" customHeight="false" outlineLevel="0" collapsed="false">
      <c r="I7156" s="0" t="n">
        <v>2035</v>
      </c>
      <c r="J7156" s="0" t="n">
        <v>57.06</v>
      </c>
      <c r="K7156" s="0" t="n">
        <v>1198.14</v>
      </c>
    </row>
    <row r="7157" customFormat="false" ht="15" hidden="false" customHeight="false" outlineLevel="0" collapsed="false">
      <c r="I7157" s="0" t="n">
        <v>2035</v>
      </c>
      <c r="J7157" s="0" t="n">
        <v>57.06</v>
      </c>
      <c r="K7157" s="0" t="n">
        <v>1198.14</v>
      </c>
    </row>
    <row r="7158" customFormat="false" ht="15" hidden="false" customHeight="false" outlineLevel="0" collapsed="false">
      <c r="I7158" s="0" t="n">
        <v>2035</v>
      </c>
      <c r="J7158" s="0" t="n">
        <v>63.96</v>
      </c>
      <c r="K7158" s="0" t="n">
        <v>1346.8</v>
      </c>
    </row>
    <row r="7159" customFormat="false" ht="15" hidden="false" customHeight="false" outlineLevel="0" collapsed="false">
      <c r="I7159" s="0" t="n">
        <v>2035</v>
      </c>
      <c r="J7159" s="0" t="n">
        <v>9.84</v>
      </c>
      <c r="K7159" s="0" t="n">
        <v>207.2</v>
      </c>
    </row>
    <row r="7160" customFormat="false" ht="15" hidden="false" customHeight="false" outlineLevel="0" collapsed="false">
      <c r="I7160" s="0" t="n">
        <v>2035</v>
      </c>
      <c r="J7160" s="0" t="n">
        <v>7.38</v>
      </c>
      <c r="K7160" s="0" t="n">
        <v>155.4</v>
      </c>
    </row>
    <row r="7161" customFormat="false" ht="15" hidden="false" customHeight="false" outlineLevel="0" collapsed="false">
      <c r="I7161" s="0" t="n">
        <v>2035</v>
      </c>
      <c r="J7161" s="0" t="n">
        <v>12.3</v>
      </c>
      <c r="K7161" s="0" t="n">
        <v>259</v>
      </c>
    </row>
    <row r="7162" customFormat="false" ht="15" hidden="false" customHeight="false" outlineLevel="0" collapsed="false">
      <c r="I7162" s="0" t="n">
        <v>2035</v>
      </c>
      <c r="J7162" s="0" t="n">
        <v>2.46</v>
      </c>
      <c r="K7162" s="0" t="n">
        <v>51.8</v>
      </c>
    </row>
    <row r="7163" customFormat="false" ht="15" hidden="false" customHeight="false" outlineLevel="0" collapsed="false">
      <c r="I7163" s="0" t="n">
        <v>2035</v>
      </c>
      <c r="J7163" s="0" t="n">
        <v>2.46</v>
      </c>
      <c r="K7163" s="0" t="n">
        <v>51.8</v>
      </c>
    </row>
    <row r="7164" customFormat="false" ht="15" hidden="false" customHeight="false" outlineLevel="0" collapsed="false">
      <c r="I7164" s="0" t="n">
        <v>2035</v>
      </c>
      <c r="J7164" s="0" t="n">
        <v>0</v>
      </c>
      <c r="K7164" s="0" t="n">
        <v>0</v>
      </c>
    </row>
    <row r="7165" customFormat="false" ht="15" hidden="false" customHeight="false" outlineLevel="0" collapsed="false">
      <c r="I7165" s="0" t="n">
        <v>2035</v>
      </c>
      <c r="J7165" s="0" t="n">
        <v>4.92</v>
      </c>
      <c r="K7165" s="0" t="n">
        <v>103.6</v>
      </c>
    </row>
    <row r="7166" customFormat="false" ht="15" hidden="false" customHeight="false" outlineLevel="0" collapsed="false">
      <c r="I7166" s="0" t="n">
        <v>2035</v>
      </c>
      <c r="J7166" s="0" t="n">
        <v>8.61</v>
      </c>
      <c r="K7166" s="0" t="n">
        <v>181.3</v>
      </c>
    </row>
    <row r="7167" customFormat="false" ht="15" hidden="false" customHeight="false" outlineLevel="0" collapsed="false">
      <c r="I7167" s="0" t="n">
        <v>2035</v>
      </c>
      <c r="J7167" s="0" t="n">
        <v>2.46</v>
      </c>
      <c r="K7167" s="0" t="n">
        <v>51.8</v>
      </c>
    </row>
    <row r="7168" customFormat="false" ht="15" hidden="false" customHeight="false" outlineLevel="0" collapsed="false">
      <c r="I7168" s="0" t="n">
        <v>2035</v>
      </c>
      <c r="J7168" s="0" t="n">
        <v>8.61</v>
      </c>
      <c r="K7168" s="0" t="n">
        <v>181.3</v>
      </c>
    </row>
    <row r="7169" customFormat="false" ht="15" hidden="false" customHeight="false" outlineLevel="0" collapsed="false">
      <c r="I7169" s="0" t="n">
        <v>2035</v>
      </c>
      <c r="J7169" s="0" t="n">
        <v>386.88</v>
      </c>
      <c r="K7169" s="0" t="n">
        <v>8123.52</v>
      </c>
    </row>
    <row r="7170" customFormat="false" ht="15" hidden="false" customHeight="false" outlineLevel="0" collapsed="false">
      <c r="I7170" s="0" t="n">
        <v>2035</v>
      </c>
      <c r="J7170" s="0" t="n">
        <v>128.96</v>
      </c>
      <c r="K7170" s="0" t="n">
        <v>2707.84</v>
      </c>
    </row>
    <row r="7171" customFormat="false" ht="15" hidden="false" customHeight="false" outlineLevel="0" collapsed="false">
      <c r="I7171" s="0" t="n">
        <v>2035</v>
      </c>
      <c r="J7171" s="0" t="n">
        <v>56.42</v>
      </c>
      <c r="K7171" s="0" t="n">
        <v>1184.68</v>
      </c>
    </row>
    <row r="7172" customFormat="false" ht="15" hidden="false" customHeight="false" outlineLevel="0" collapsed="false">
      <c r="I7172" s="0" t="n">
        <v>2035</v>
      </c>
      <c r="J7172" s="0" t="n">
        <v>32.24</v>
      </c>
      <c r="K7172" s="0" t="n">
        <v>676.96</v>
      </c>
    </row>
    <row r="7173" customFormat="false" ht="15" hidden="false" customHeight="false" outlineLevel="0" collapsed="false">
      <c r="I7173" s="0" t="n">
        <v>2035</v>
      </c>
      <c r="J7173" s="0" t="n">
        <v>32.24</v>
      </c>
      <c r="K7173" s="0" t="n">
        <v>676.96</v>
      </c>
    </row>
    <row r="7174" customFormat="false" ht="15" hidden="false" customHeight="false" outlineLevel="0" collapsed="false">
      <c r="I7174" s="0" t="n">
        <v>2035</v>
      </c>
      <c r="J7174" s="0" t="n">
        <v>16.12</v>
      </c>
      <c r="K7174" s="0" t="n">
        <v>338.48</v>
      </c>
    </row>
    <row r="7175" customFormat="false" ht="15" hidden="false" customHeight="false" outlineLevel="0" collapsed="false">
      <c r="I7175" s="0" t="n">
        <v>2035</v>
      </c>
      <c r="J7175" s="0" t="n">
        <v>16.12</v>
      </c>
      <c r="K7175" s="0" t="n">
        <v>338.48</v>
      </c>
    </row>
    <row r="7176" customFormat="false" ht="15" hidden="false" customHeight="false" outlineLevel="0" collapsed="false">
      <c r="I7176" s="0" t="n">
        <v>2035</v>
      </c>
      <c r="J7176" s="0" t="n">
        <v>32.24</v>
      </c>
      <c r="K7176" s="0" t="n">
        <v>676.96</v>
      </c>
    </row>
    <row r="7177" customFormat="false" ht="15" hidden="false" customHeight="false" outlineLevel="0" collapsed="false">
      <c r="I7177" s="0" t="n">
        <v>2035</v>
      </c>
      <c r="J7177" s="0" t="n">
        <v>56.42</v>
      </c>
      <c r="K7177" s="0" t="n">
        <v>1184.68</v>
      </c>
    </row>
    <row r="7178" customFormat="false" ht="15" hidden="false" customHeight="false" outlineLevel="0" collapsed="false">
      <c r="I7178" s="0" t="n">
        <v>2035</v>
      </c>
      <c r="J7178" s="0" t="n">
        <v>24.18</v>
      </c>
      <c r="K7178" s="0" t="n">
        <v>507.72</v>
      </c>
    </row>
    <row r="7179" customFormat="false" ht="15" hidden="false" customHeight="false" outlineLevel="0" collapsed="false">
      <c r="I7179" s="0" t="n">
        <v>2035</v>
      </c>
      <c r="J7179" s="0" t="n">
        <v>24.18</v>
      </c>
      <c r="K7179" s="0" t="n">
        <v>507.72</v>
      </c>
    </row>
    <row r="7180" customFormat="false" ht="15" hidden="false" customHeight="false" outlineLevel="0" collapsed="false">
      <c r="I7180" s="0" t="n">
        <v>2035</v>
      </c>
      <c r="J7180" s="0" t="n">
        <v>76.96</v>
      </c>
      <c r="K7180" s="0" t="n">
        <v>1615.64</v>
      </c>
    </row>
    <row r="7181" customFormat="false" ht="15" hidden="false" customHeight="false" outlineLevel="0" collapsed="false">
      <c r="I7181" s="0" t="n">
        <v>2035</v>
      </c>
      <c r="J7181" s="0" t="n">
        <v>11.84</v>
      </c>
      <c r="K7181" s="0" t="n">
        <v>248.56</v>
      </c>
    </row>
    <row r="7182" customFormat="false" ht="15" hidden="false" customHeight="false" outlineLevel="0" collapsed="false">
      <c r="I7182" s="0" t="n">
        <v>2035</v>
      </c>
      <c r="J7182" s="0" t="n">
        <v>8.88</v>
      </c>
      <c r="K7182" s="0" t="n">
        <v>186.42</v>
      </c>
    </row>
    <row r="7183" customFormat="false" ht="15" hidden="false" customHeight="false" outlineLevel="0" collapsed="false">
      <c r="I7183" s="0" t="n">
        <v>2035</v>
      </c>
      <c r="J7183" s="0" t="n">
        <v>14.8</v>
      </c>
      <c r="K7183" s="0" t="n">
        <v>310.7</v>
      </c>
    </row>
    <row r="7184" customFormat="false" ht="15" hidden="false" customHeight="false" outlineLevel="0" collapsed="false">
      <c r="I7184" s="0" t="n">
        <v>2035</v>
      </c>
      <c r="J7184" s="0" t="n">
        <v>2.96</v>
      </c>
      <c r="K7184" s="0" t="n">
        <v>62.14</v>
      </c>
    </row>
    <row r="7185" customFormat="false" ht="15" hidden="false" customHeight="false" outlineLevel="0" collapsed="false">
      <c r="I7185" s="0" t="n">
        <v>2035</v>
      </c>
      <c r="J7185" s="0" t="n">
        <v>2.96</v>
      </c>
      <c r="K7185" s="0" t="n">
        <v>62.14</v>
      </c>
    </row>
    <row r="7186" customFormat="false" ht="15" hidden="false" customHeight="false" outlineLevel="0" collapsed="false">
      <c r="I7186" s="0" t="n">
        <v>2035</v>
      </c>
      <c r="J7186" s="0" t="n">
        <v>0</v>
      </c>
      <c r="K7186" s="0" t="n">
        <v>0</v>
      </c>
    </row>
    <row r="7187" customFormat="false" ht="15" hidden="false" customHeight="false" outlineLevel="0" collapsed="false">
      <c r="I7187" s="0" t="n">
        <v>2035</v>
      </c>
      <c r="J7187" s="0" t="n">
        <v>5.92</v>
      </c>
      <c r="K7187" s="0" t="n">
        <v>124.28</v>
      </c>
    </row>
    <row r="7188" customFormat="false" ht="15" hidden="false" customHeight="false" outlineLevel="0" collapsed="false">
      <c r="I7188" s="0" t="n">
        <v>2035</v>
      </c>
      <c r="J7188" s="0" t="n">
        <v>10.36</v>
      </c>
      <c r="K7188" s="0" t="n">
        <v>217.49</v>
      </c>
    </row>
    <row r="7189" customFormat="false" ht="15" hidden="false" customHeight="false" outlineLevel="0" collapsed="false">
      <c r="I7189" s="0" t="n">
        <v>2035</v>
      </c>
      <c r="J7189" s="0" t="n">
        <v>2.96</v>
      </c>
      <c r="K7189" s="0" t="n">
        <v>62.14</v>
      </c>
    </row>
    <row r="7190" customFormat="false" ht="15" hidden="false" customHeight="false" outlineLevel="0" collapsed="false">
      <c r="I7190" s="0" t="n">
        <v>2035</v>
      </c>
      <c r="J7190" s="0" t="n">
        <v>10.36</v>
      </c>
      <c r="K7190" s="0" t="n">
        <v>217.49</v>
      </c>
    </row>
    <row r="7191" customFormat="false" ht="15" hidden="false" customHeight="false" outlineLevel="0" collapsed="false">
      <c r="I7191" s="0" t="n">
        <v>2035</v>
      </c>
      <c r="J7191" s="0" t="n">
        <v>246.72</v>
      </c>
      <c r="K7191" s="0" t="n">
        <v>5180.64</v>
      </c>
    </row>
    <row r="7192" customFormat="false" ht="15" hidden="false" customHeight="false" outlineLevel="0" collapsed="false">
      <c r="I7192" s="0" t="n">
        <v>2035</v>
      </c>
      <c r="J7192" s="0" t="n">
        <v>82.24</v>
      </c>
      <c r="K7192" s="0" t="n">
        <v>1726.88</v>
      </c>
    </row>
    <row r="7193" customFormat="false" ht="15" hidden="false" customHeight="false" outlineLevel="0" collapsed="false">
      <c r="I7193" s="0" t="n">
        <v>2035</v>
      </c>
      <c r="J7193" s="0" t="n">
        <v>35.98</v>
      </c>
      <c r="K7193" s="0" t="n">
        <v>755.51</v>
      </c>
    </row>
    <row r="7194" customFormat="false" ht="15" hidden="false" customHeight="false" outlineLevel="0" collapsed="false">
      <c r="I7194" s="0" t="n">
        <v>2035</v>
      </c>
      <c r="J7194" s="0" t="n">
        <v>20.56</v>
      </c>
      <c r="K7194" s="0" t="n">
        <v>431.72</v>
      </c>
    </row>
    <row r="7195" customFormat="false" ht="15" hidden="false" customHeight="false" outlineLevel="0" collapsed="false">
      <c r="I7195" s="0" t="n">
        <v>2035</v>
      </c>
      <c r="J7195" s="0" t="n">
        <v>20.56</v>
      </c>
      <c r="K7195" s="0" t="n">
        <v>431.72</v>
      </c>
    </row>
    <row r="7196" customFormat="false" ht="15" hidden="false" customHeight="false" outlineLevel="0" collapsed="false">
      <c r="I7196" s="0" t="n">
        <v>2035</v>
      </c>
      <c r="J7196" s="0" t="n">
        <v>10.28</v>
      </c>
      <c r="K7196" s="0" t="n">
        <v>215.86</v>
      </c>
    </row>
    <row r="7197" customFormat="false" ht="15" hidden="false" customHeight="false" outlineLevel="0" collapsed="false">
      <c r="I7197" s="0" t="n">
        <v>2035</v>
      </c>
      <c r="J7197" s="0" t="n">
        <v>10.28</v>
      </c>
      <c r="K7197" s="0" t="n">
        <v>215.86</v>
      </c>
    </row>
    <row r="7198" customFormat="false" ht="15" hidden="false" customHeight="false" outlineLevel="0" collapsed="false">
      <c r="I7198" s="0" t="n">
        <v>2035</v>
      </c>
      <c r="J7198" s="0" t="n">
        <v>20.56</v>
      </c>
      <c r="K7198" s="0" t="n">
        <v>431.72</v>
      </c>
    </row>
    <row r="7199" customFormat="false" ht="15" hidden="false" customHeight="false" outlineLevel="0" collapsed="false">
      <c r="I7199" s="0" t="n">
        <v>2035</v>
      </c>
      <c r="J7199" s="0" t="n">
        <v>35.98</v>
      </c>
      <c r="K7199" s="0" t="n">
        <v>755.51</v>
      </c>
    </row>
    <row r="7200" customFormat="false" ht="15" hidden="false" customHeight="false" outlineLevel="0" collapsed="false">
      <c r="I7200" s="0" t="n">
        <v>2035</v>
      </c>
      <c r="J7200" s="0" t="n">
        <v>15.42</v>
      </c>
      <c r="K7200" s="0" t="n">
        <v>323.79</v>
      </c>
    </row>
    <row r="7201" customFormat="false" ht="15" hidden="false" customHeight="false" outlineLevel="0" collapsed="false">
      <c r="I7201" s="0" t="n">
        <v>2035</v>
      </c>
      <c r="J7201" s="0" t="n">
        <v>15.42</v>
      </c>
      <c r="K7201" s="0" t="n">
        <v>323.79</v>
      </c>
    </row>
    <row r="7202" customFormat="false" ht="15" hidden="false" customHeight="false" outlineLevel="0" collapsed="false">
      <c r="I7202" s="0" t="n">
        <v>2035</v>
      </c>
      <c r="J7202" s="0" t="n">
        <v>63.96</v>
      </c>
      <c r="K7202" s="0" t="n">
        <v>1340.56</v>
      </c>
    </row>
    <row r="7203" customFormat="false" ht="15" hidden="false" customHeight="false" outlineLevel="0" collapsed="false">
      <c r="I7203" s="0" t="n">
        <v>2035</v>
      </c>
      <c r="J7203" s="0" t="n">
        <v>9.84</v>
      </c>
      <c r="K7203" s="0" t="n">
        <v>206.24</v>
      </c>
    </row>
    <row r="7204" customFormat="false" ht="15" hidden="false" customHeight="false" outlineLevel="0" collapsed="false">
      <c r="I7204" s="0" t="n">
        <v>2035</v>
      </c>
      <c r="J7204" s="0" t="n">
        <v>7.38</v>
      </c>
      <c r="K7204" s="0" t="n">
        <v>154.68</v>
      </c>
    </row>
    <row r="7205" customFormat="false" ht="15" hidden="false" customHeight="false" outlineLevel="0" collapsed="false">
      <c r="I7205" s="0" t="n">
        <v>2035</v>
      </c>
      <c r="J7205" s="0" t="n">
        <v>12.3</v>
      </c>
      <c r="K7205" s="0" t="n">
        <v>257.8</v>
      </c>
    </row>
    <row r="7206" customFormat="false" ht="15" hidden="false" customHeight="false" outlineLevel="0" collapsed="false">
      <c r="I7206" s="0" t="n">
        <v>2035</v>
      </c>
      <c r="J7206" s="0" t="n">
        <v>2.46</v>
      </c>
      <c r="K7206" s="0" t="n">
        <v>51.56</v>
      </c>
    </row>
    <row r="7207" customFormat="false" ht="15" hidden="false" customHeight="false" outlineLevel="0" collapsed="false">
      <c r="I7207" s="0" t="n">
        <v>2035</v>
      </c>
      <c r="J7207" s="0" t="n">
        <v>2.46</v>
      </c>
      <c r="K7207" s="0" t="n">
        <v>51.56</v>
      </c>
    </row>
    <row r="7208" customFormat="false" ht="15" hidden="false" customHeight="false" outlineLevel="0" collapsed="false">
      <c r="I7208" s="0" t="n">
        <v>2035</v>
      </c>
      <c r="J7208" s="0" t="n">
        <v>0</v>
      </c>
      <c r="K7208" s="0" t="n">
        <v>0</v>
      </c>
    </row>
    <row r="7209" customFormat="false" ht="15" hidden="false" customHeight="false" outlineLevel="0" collapsed="false">
      <c r="I7209" s="0" t="n">
        <v>2035</v>
      </c>
      <c r="J7209" s="0" t="n">
        <v>4.92</v>
      </c>
      <c r="K7209" s="0" t="n">
        <v>103.12</v>
      </c>
    </row>
    <row r="7210" customFormat="false" ht="15" hidden="false" customHeight="false" outlineLevel="0" collapsed="false">
      <c r="I7210" s="0" t="n">
        <v>2035</v>
      </c>
      <c r="J7210" s="0" t="n">
        <v>8.61</v>
      </c>
      <c r="K7210" s="0" t="n">
        <v>180.46</v>
      </c>
    </row>
    <row r="7211" customFormat="false" ht="15" hidden="false" customHeight="false" outlineLevel="0" collapsed="false">
      <c r="I7211" s="0" t="n">
        <v>2035</v>
      </c>
      <c r="J7211" s="0" t="n">
        <v>2.46</v>
      </c>
      <c r="K7211" s="0" t="n">
        <v>51.56</v>
      </c>
    </row>
    <row r="7212" customFormat="false" ht="15" hidden="false" customHeight="false" outlineLevel="0" collapsed="false">
      <c r="I7212" s="0" t="n">
        <v>2035</v>
      </c>
      <c r="J7212" s="0" t="n">
        <v>8.61</v>
      </c>
      <c r="K7212" s="0" t="n">
        <v>180.46</v>
      </c>
    </row>
    <row r="7213" customFormat="false" ht="15" hidden="false" customHeight="false" outlineLevel="0" collapsed="false">
      <c r="I7213" s="0" t="n">
        <v>2035</v>
      </c>
      <c r="J7213" s="0" t="n">
        <v>1103.04</v>
      </c>
      <c r="K7213" s="0" t="n">
        <v>23163.84</v>
      </c>
    </row>
    <row r="7214" customFormat="false" ht="15" hidden="false" customHeight="false" outlineLevel="0" collapsed="false">
      <c r="I7214" s="0" t="n">
        <v>2035</v>
      </c>
      <c r="J7214" s="0" t="n">
        <v>367.68</v>
      </c>
      <c r="K7214" s="0" t="n">
        <v>7721.28</v>
      </c>
    </row>
    <row r="7215" customFormat="false" ht="15" hidden="false" customHeight="false" outlineLevel="0" collapsed="false">
      <c r="I7215" s="0" t="n">
        <v>2035</v>
      </c>
      <c r="J7215" s="0" t="n">
        <v>160.86</v>
      </c>
      <c r="K7215" s="0" t="n">
        <v>3378.06</v>
      </c>
    </row>
    <row r="7216" customFormat="false" ht="15" hidden="false" customHeight="false" outlineLevel="0" collapsed="false">
      <c r="I7216" s="0" t="n">
        <v>2035</v>
      </c>
      <c r="J7216" s="0" t="n">
        <v>91.92</v>
      </c>
      <c r="K7216" s="0" t="n">
        <v>1930.32</v>
      </c>
    </row>
    <row r="7217" customFormat="false" ht="15" hidden="false" customHeight="false" outlineLevel="0" collapsed="false">
      <c r="I7217" s="0" t="n">
        <v>2035</v>
      </c>
      <c r="J7217" s="0" t="n">
        <v>91.92</v>
      </c>
      <c r="K7217" s="0" t="n">
        <v>1930.32</v>
      </c>
    </row>
    <row r="7218" customFormat="false" ht="15" hidden="false" customHeight="false" outlineLevel="0" collapsed="false">
      <c r="I7218" s="0" t="n">
        <v>2035</v>
      </c>
      <c r="J7218" s="0" t="n">
        <v>45.96</v>
      </c>
      <c r="K7218" s="0" t="n">
        <v>965.16</v>
      </c>
    </row>
    <row r="7219" customFormat="false" ht="15" hidden="false" customHeight="false" outlineLevel="0" collapsed="false">
      <c r="I7219" s="0" t="n">
        <v>2035</v>
      </c>
      <c r="J7219" s="0" t="n">
        <v>45.96</v>
      </c>
      <c r="K7219" s="0" t="n">
        <v>965.16</v>
      </c>
    </row>
    <row r="7220" customFormat="false" ht="15" hidden="false" customHeight="false" outlineLevel="0" collapsed="false">
      <c r="I7220" s="0" t="n">
        <v>2035</v>
      </c>
      <c r="J7220" s="0" t="n">
        <v>91.92</v>
      </c>
      <c r="K7220" s="0" t="n">
        <v>1930.32</v>
      </c>
    </row>
    <row r="7221" customFormat="false" ht="15" hidden="false" customHeight="false" outlineLevel="0" collapsed="false">
      <c r="I7221" s="0" t="n">
        <v>2035</v>
      </c>
      <c r="J7221" s="0" t="n">
        <v>160.86</v>
      </c>
      <c r="K7221" s="0" t="n">
        <v>3378.06</v>
      </c>
    </row>
    <row r="7222" customFormat="false" ht="15" hidden="false" customHeight="false" outlineLevel="0" collapsed="false">
      <c r="I7222" s="0" t="n">
        <v>2035</v>
      </c>
      <c r="J7222" s="0" t="n">
        <v>68.94</v>
      </c>
      <c r="K7222" s="0" t="n">
        <v>1447.74</v>
      </c>
    </row>
    <row r="7223" customFormat="false" ht="15" hidden="false" customHeight="false" outlineLevel="0" collapsed="false">
      <c r="I7223" s="0" t="n">
        <v>2035</v>
      </c>
      <c r="J7223" s="0" t="n">
        <v>68.94</v>
      </c>
      <c r="K7223" s="0" t="n">
        <v>1447.74</v>
      </c>
    </row>
    <row r="7224" customFormat="false" ht="15" hidden="false" customHeight="false" outlineLevel="0" collapsed="false">
      <c r="I7224" s="0" t="n">
        <v>2035</v>
      </c>
      <c r="J7224" s="0" t="n">
        <v>80.6</v>
      </c>
      <c r="K7224" s="0" t="n">
        <v>1690</v>
      </c>
    </row>
    <row r="7225" customFormat="false" ht="15" hidden="false" customHeight="false" outlineLevel="0" collapsed="false">
      <c r="I7225" s="0" t="n">
        <v>2035</v>
      </c>
      <c r="J7225" s="0" t="n">
        <v>12.4</v>
      </c>
      <c r="K7225" s="0" t="n">
        <v>260</v>
      </c>
    </row>
    <row r="7226" customFormat="false" ht="15" hidden="false" customHeight="false" outlineLevel="0" collapsed="false">
      <c r="I7226" s="0" t="n">
        <v>2035</v>
      </c>
      <c r="J7226" s="0" t="n">
        <v>9.3</v>
      </c>
      <c r="K7226" s="0" t="n">
        <v>195</v>
      </c>
    </row>
    <row r="7227" customFormat="false" ht="15" hidden="false" customHeight="false" outlineLevel="0" collapsed="false">
      <c r="I7227" s="0" t="n">
        <v>2035</v>
      </c>
      <c r="J7227" s="0" t="n">
        <v>15.5</v>
      </c>
      <c r="K7227" s="0" t="n">
        <v>325</v>
      </c>
    </row>
    <row r="7228" customFormat="false" ht="15" hidden="false" customHeight="false" outlineLevel="0" collapsed="false">
      <c r="I7228" s="0" t="n">
        <v>2035</v>
      </c>
      <c r="J7228" s="0" t="n">
        <v>3.1</v>
      </c>
      <c r="K7228" s="0" t="n">
        <v>65</v>
      </c>
    </row>
    <row r="7229" customFormat="false" ht="15" hidden="false" customHeight="false" outlineLevel="0" collapsed="false">
      <c r="I7229" s="0" t="n">
        <v>2035</v>
      </c>
      <c r="J7229" s="0" t="n">
        <v>3.1</v>
      </c>
      <c r="K7229" s="0" t="n">
        <v>65</v>
      </c>
    </row>
    <row r="7230" customFormat="false" ht="15" hidden="false" customHeight="false" outlineLevel="0" collapsed="false">
      <c r="I7230" s="0" t="n">
        <v>2035</v>
      </c>
      <c r="J7230" s="0" t="n">
        <v>0</v>
      </c>
      <c r="K7230" s="0" t="n">
        <v>0</v>
      </c>
    </row>
    <row r="7231" customFormat="false" ht="15" hidden="false" customHeight="false" outlineLevel="0" collapsed="false">
      <c r="I7231" s="0" t="n">
        <v>2035</v>
      </c>
      <c r="J7231" s="0" t="n">
        <v>6.2</v>
      </c>
      <c r="K7231" s="0" t="n">
        <v>130</v>
      </c>
    </row>
    <row r="7232" customFormat="false" ht="15" hidden="false" customHeight="false" outlineLevel="0" collapsed="false">
      <c r="I7232" s="0" t="n">
        <v>2035</v>
      </c>
      <c r="J7232" s="0" t="n">
        <v>10.85</v>
      </c>
      <c r="K7232" s="0" t="n">
        <v>227.5</v>
      </c>
    </row>
    <row r="7233" customFormat="false" ht="15" hidden="false" customHeight="false" outlineLevel="0" collapsed="false">
      <c r="I7233" s="0" t="n">
        <v>2035</v>
      </c>
      <c r="J7233" s="0" t="n">
        <v>3.1</v>
      </c>
      <c r="K7233" s="0" t="n">
        <v>65</v>
      </c>
    </row>
    <row r="7234" customFormat="false" ht="15" hidden="false" customHeight="false" outlineLevel="0" collapsed="false">
      <c r="I7234" s="0" t="n">
        <v>2035</v>
      </c>
      <c r="J7234" s="0" t="n">
        <v>10.85</v>
      </c>
      <c r="K7234" s="0" t="n">
        <v>227.5</v>
      </c>
    </row>
    <row r="7235" customFormat="false" ht="15" hidden="false" customHeight="false" outlineLevel="0" collapsed="false">
      <c r="I7235" s="0" t="n">
        <v>2035</v>
      </c>
      <c r="J7235" s="0" t="n">
        <v>183.84</v>
      </c>
      <c r="K7235" s="0" t="n">
        <v>3862.08</v>
      </c>
    </row>
    <row r="7236" customFormat="false" ht="15" hidden="false" customHeight="false" outlineLevel="0" collapsed="false">
      <c r="I7236" s="0" t="n">
        <v>2035</v>
      </c>
      <c r="J7236" s="0" t="n">
        <v>61.28</v>
      </c>
      <c r="K7236" s="0" t="n">
        <v>1287.36</v>
      </c>
    </row>
    <row r="7237" customFormat="false" ht="15" hidden="false" customHeight="false" outlineLevel="0" collapsed="false">
      <c r="I7237" s="0" t="n">
        <v>2035</v>
      </c>
      <c r="J7237" s="0" t="n">
        <v>26.81</v>
      </c>
      <c r="K7237" s="0" t="n">
        <v>563.22</v>
      </c>
    </row>
    <row r="7238" customFormat="false" ht="15" hidden="false" customHeight="false" outlineLevel="0" collapsed="false">
      <c r="I7238" s="0" t="n">
        <v>2035</v>
      </c>
      <c r="J7238" s="0" t="n">
        <v>15.32</v>
      </c>
      <c r="K7238" s="0" t="n">
        <v>321.84</v>
      </c>
    </row>
    <row r="7239" customFormat="false" ht="15" hidden="false" customHeight="false" outlineLevel="0" collapsed="false">
      <c r="I7239" s="0" t="n">
        <v>2035</v>
      </c>
      <c r="J7239" s="0" t="n">
        <v>15.32</v>
      </c>
      <c r="K7239" s="0" t="n">
        <v>321.84</v>
      </c>
    </row>
    <row r="7240" customFormat="false" ht="15" hidden="false" customHeight="false" outlineLevel="0" collapsed="false">
      <c r="I7240" s="0" t="n">
        <v>2035</v>
      </c>
      <c r="J7240" s="0" t="n">
        <v>7.66</v>
      </c>
      <c r="K7240" s="0" t="n">
        <v>160.92</v>
      </c>
    </row>
    <row r="7241" customFormat="false" ht="15" hidden="false" customHeight="false" outlineLevel="0" collapsed="false">
      <c r="I7241" s="0" t="n">
        <v>2035</v>
      </c>
      <c r="J7241" s="0" t="n">
        <v>7.66</v>
      </c>
      <c r="K7241" s="0" t="n">
        <v>160.92</v>
      </c>
    </row>
    <row r="7242" customFormat="false" ht="15" hidden="false" customHeight="false" outlineLevel="0" collapsed="false">
      <c r="I7242" s="0" t="n">
        <v>2035</v>
      </c>
      <c r="J7242" s="0" t="n">
        <v>15.32</v>
      </c>
      <c r="K7242" s="0" t="n">
        <v>321.84</v>
      </c>
    </row>
    <row r="7243" customFormat="false" ht="15" hidden="false" customHeight="false" outlineLevel="0" collapsed="false">
      <c r="I7243" s="0" t="n">
        <v>2035</v>
      </c>
      <c r="J7243" s="0" t="n">
        <v>26.81</v>
      </c>
      <c r="K7243" s="0" t="n">
        <v>563.22</v>
      </c>
    </row>
    <row r="7244" customFormat="false" ht="15" hidden="false" customHeight="false" outlineLevel="0" collapsed="false">
      <c r="I7244" s="0" t="n">
        <v>2035</v>
      </c>
      <c r="J7244" s="0" t="n">
        <v>11.49</v>
      </c>
      <c r="K7244" s="0" t="n">
        <v>241.38</v>
      </c>
    </row>
    <row r="7245" customFormat="false" ht="15" hidden="false" customHeight="false" outlineLevel="0" collapsed="false">
      <c r="I7245" s="0" t="n">
        <v>2035</v>
      </c>
      <c r="J7245" s="0" t="n">
        <v>11.49</v>
      </c>
      <c r="K7245" s="0" t="n">
        <v>241.38</v>
      </c>
    </row>
    <row r="7246" customFormat="false" ht="15" hidden="false" customHeight="false" outlineLevel="0" collapsed="false">
      <c r="I7246" s="0" t="n">
        <v>2035</v>
      </c>
      <c r="J7246" s="0" t="n">
        <v>25.48</v>
      </c>
      <c r="K7246" s="0" t="n">
        <v>530.4</v>
      </c>
    </row>
    <row r="7247" customFormat="false" ht="15" hidden="false" customHeight="false" outlineLevel="0" collapsed="false">
      <c r="I7247" s="0" t="n">
        <v>2035</v>
      </c>
      <c r="J7247" s="0" t="n">
        <v>3.92</v>
      </c>
      <c r="K7247" s="0" t="n">
        <v>81.6</v>
      </c>
    </row>
    <row r="7248" customFormat="false" ht="15" hidden="false" customHeight="false" outlineLevel="0" collapsed="false">
      <c r="I7248" s="0" t="n">
        <v>2035</v>
      </c>
      <c r="J7248" s="0" t="n">
        <v>2.94</v>
      </c>
      <c r="K7248" s="0" t="n">
        <v>61.2</v>
      </c>
    </row>
    <row r="7249" customFormat="false" ht="15" hidden="false" customHeight="false" outlineLevel="0" collapsed="false">
      <c r="I7249" s="0" t="n">
        <v>2035</v>
      </c>
      <c r="J7249" s="0" t="n">
        <v>4.9</v>
      </c>
      <c r="K7249" s="0" t="n">
        <v>102</v>
      </c>
    </row>
    <row r="7250" customFormat="false" ht="15" hidden="false" customHeight="false" outlineLevel="0" collapsed="false">
      <c r="I7250" s="0" t="n">
        <v>2035</v>
      </c>
      <c r="J7250" s="0" t="n">
        <v>0.98</v>
      </c>
      <c r="K7250" s="0" t="n">
        <v>20.4</v>
      </c>
    </row>
    <row r="7251" customFormat="false" ht="15" hidden="false" customHeight="false" outlineLevel="0" collapsed="false">
      <c r="I7251" s="0" t="n">
        <v>2035</v>
      </c>
      <c r="J7251" s="0" t="n">
        <v>0.98</v>
      </c>
      <c r="K7251" s="0" t="n">
        <v>20.4</v>
      </c>
    </row>
    <row r="7252" customFormat="false" ht="15" hidden="false" customHeight="false" outlineLevel="0" collapsed="false">
      <c r="I7252" s="0" t="n">
        <v>2035</v>
      </c>
      <c r="J7252" s="0" t="n">
        <v>0</v>
      </c>
      <c r="K7252" s="0" t="n">
        <v>0</v>
      </c>
    </row>
    <row r="7253" customFormat="false" ht="15" hidden="false" customHeight="false" outlineLevel="0" collapsed="false">
      <c r="I7253" s="0" t="n">
        <v>2035</v>
      </c>
      <c r="J7253" s="0" t="n">
        <v>1.96</v>
      </c>
      <c r="K7253" s="0" t="n">
        <v>40.8</v>
      </c>
    </row>
    <row r="7254" customFormat="false" ht="15" hidden="false" customHeight="false" outlineLevel="0" collapsed="false">
      <c r="I7254" s="0" t="n">
        <v>2035</v>
      </c>
      <c r="J7254" s="0" t="n">
        <v>3.43</v>
      </c>
      <c r="K7254" s="0" t="n">
        <v>71.4</v>
      </c>
    </row>
    <row r="7255" customFormat="false" ht="15" hidden="false" customHeight="false" outlineLevel="0" collapsed="false">
      <c r="I7255" s="0" t="n">
        <v>2035</v>
      </c>
      <c r="J7255" s="0" t="n">
        <v>0.98</v>
      </c>
      <c r="K7255" s="0" t="n">
        <v>20.4</v>
      </c>
    </row>
    <row r="7256" customFormat="false" ht="15" hidden="false" customHeight="false" outlineLevel="0" collapsed="false">
      <c r="I7256" s="0" t="n">
        <v>2035</v>
      </c>
      <c r="J7256" s="0" t="n">
        <v>3.43</v>
      </c>
      <c r="K7256" s="0" t="n">
        <v>71.4</v>
      </c>
    </row>
    <row r="7257" customFormat="false" ht="15" hidden="false" customHeight="false" outlineLevel="0" collapsed="false">
      <c r="I7257" s="0" t="n">
        <v>2035</v>
      </c>
      <c r="J7257" s="0" t="n">
        <v>55.2</v>
      </c>
      <c r="K7257" s="0" t="n">
        <v>1158.24</v>
      </c>
    </row>
    <row r="7258" customFormat="false" ht="15" hidden="false" customHeight="false" outlineLevel="0" collapsed="false">
      <c r="I7258" s="0" t="n">
        <v>2035</v>
      </c>
      <c r="J7258" s="0" t="n">
        <v>18.4</v>
      </c>
      <c r="K7258" s="0" t="n">
        <v>386.08</v>
      </c>
    </row>
    <row r="7259" customFormat="false" ht="15" hidden="false" customHeight="false" outlineLevel="0" collapsed="false">
      <c r="I7259" s="0" t="n">
        <v>2035</v>
      </c>
      <c r="J7259" s="0" t="n">
        <v>8.05</v>
      </c>
      <c r="K7259" s="0" t="n">
        <v>168.91</v>
      </c>
    </row>
    <row r="7260" customFormat="false" ht="15" hidden="false" customHeight="false" outlineLevel="0" collapsed="false">
      <c r="I7260" s="0" t="n">
        <v>2035</v>
      </c>
      <c r="J7260" s="0" t="n">
        <v>4.6</v>
      </c>
      <c r="K7260" s="0" t="n">
        <v>96.52</v>
      </c>
    </row>
    <row r="7261" customFormat="false" ht="15" hidden="false" customHeight="false" outlineLevel="0" collapsed="false">
      <c r="I7261" s="0" t="n">
        <v>2035</v>
      </c>
      <c r="J7261" s="0" t="n">
        <v>4.6</v>
      </c>
      <c r="K7261" s="0" t="n">
        <v>96.52</v>
      </c>
    </row>
    <row r="7262" customFormat="false" ht="15" hidden="false" customHeight="false" outlineLevel="0" collapsed="false">
      <c r="I7262" s="0" t="n">
        <v>2035</v>
      </c>
      <c r="J7262" s="0" t="n">
        <v>2.3</v>
      </c>
      <c r="K7262" s="0" t="n">
        <v>48.26</v>
      </c>
    </row>
    <row r="7263" customFormat="false" ht="15" hidden="false" customHeight="false" outlineLevel="0" collapsed="false">
      <c r="I7263" s="0" t="n">
        <v>2035</v>
      </c>
      <c r="J7263" s="0" t="n">
        <v>2.3</v>
      </c>
      <c r="K7263" s="0" t="n">
        <v>48.26</v>
      </c>
    </row>
    <row r="7264" customFormat="false" ht="15" hidden="false" customHeight="false" outlineLevel="0" collapsed="false">
      <c r="I7264" s="0" t="n">
        <v>2035</v>
      </c>
      <c r="J7264" s="0" t="n">
        <v>4.6</v>
      </c>
      <c r="K7264" s="0" t="n">
        <v>96.52</v>
      </c>
    </row>
    <row r="7265" customFormat="false" ht="15" hidden="false" customHeight="false" outlineLevel="0" collapsed="false">
      <c r="I7265" s="0" t="n">
        <v>2035</v>
      </c>
      <c r="J7265" s="0" t="n">
        <v>8.05</v>
      </c>
      <c r="K7265" s="0" t="n">
        <v>168.91</v>
      </c>
    </row>
    <row r="7266" customFormat="false" ht="15" hidden="false" customHeight="false" outlineLevel="0" collapsed="false">
      <c r="I7266" s="0" t="n">
        <v>2035</v>
      </c>
      <c r="J7266" s="0" t="n">
        <v>3.45</v>
      </c>
      <c r="K7266" s="0" t="n">
        <v>72.39</v>
      </c>
    </row>
    <row r="7267" customFormat="false" ht="15" hidden="false" customHeight="false" outlineLevel="0" collapsed="false">
      <c r="I7267" s="0" t="n">
        <v>2035</v>
      </c>
      <c r="J7267" s="0" t="n">
        <v>3.45</v>
      </c>
      <c r="K7267" s="0" t="n">
        <v>72.39</v>
      </c>
    </row>
    <row r="7268" customFormat="false" ht="15" hidden="false" customHeight="false" outlineLevel="0" collapsed="false">
      <c r="I7268" s="0" t="n">
        <v>2035</v>
      </c>
      <c r="J7268" s="0" t="n">
        <v>5.2</v>
      </c>
      <c r="K7268" s="0" t="n">
        <v>112.84</v>
      </c>
    </row>
    <row r="7269" customFormat="false" ht="15" hidden="false" customHeight="false" outlineLevel="0" collapsed="false">
      <c r="I7269" s="0" t="n">
        <v>2035</v>
      </c>
      <c r="J7269" s="0" t="n">
        <v>0.8</v>
      </c>
      <c r="K7269" s="0" t="n">
        <v>17.36</v>
      </c>
    </row>
    <row r="7270" customFormat="false" ht="15" hidden="false" customHeight="false" outlineLevel="0" collapsed="false">
      <c r="I7270" s="0" t="n">
        <v>2035</v>
      </c>
      <c r="J7270" s="0" t="n">
        <v>0.6</v>
      </c>
      <c r="K7270" s="0" t="n">
        <v>13.02</v>
      </c>
    </row>
    <row r="7271" customFormat="false" ht="15" hidden="false" customHeight="false" outlineLevel="0" collapsed="false">
      <c r="I7271" s="0" t="n">
        <v>2035</v>
      </c>
      <c r="J7271" s="0" t="n">
        <v>1</v>
      </c>
      <c r="K7271" s="0" t="n">
        <v>21.7</v>
      </c>
    </row>
    <row r="7272" customFormat="false" ht="15" hidden="false" customHeight="false" outlineLevel="0" collapsed="false">
      <c r="I7272" s="0" t="n">
        <v>2035</v>
      </c>
      <c r="J7272" s="0" t="n">
        <v>0.2</v>
      </c>
      <c r="K7272" s="0" t="n">
        <v>4.34</v>
      </c>
    </row>
    <row r="7273" customFormat="false" ht="15" hidden="false" customHeight="false" outlineLevel="0" collapsed="false">
      <c r="I7273" s="0" t="n">
        <v>2035</v>
      </c>
      <c r="J7273" s="0" t="n">
        <v>0.2</v>
      </c>
      <c r="K7273" s="0" t="n">
        <v>4.34</v>
      </c>
    </row>
    <row r="7274" customFormat="false" ht="15" hidden="false" customHeight="false" outlineLevel="0" collapsed="false">
      <c r="I7274" s="0" t="n">
        <v>2035</v>
      </c>
      <c r="J7274" s="0" t="n">
        <v>0</v>
      </c>
      <c r="K7274" s="0" t="n">
        <v>0</v>
      </c>
    </row>
    <row r="7275" customFormat="false" ht="15" hidden="false" customHeight="false" outlineLevel="0" collapsed="false">
      <c r="I7275" s="0" t="n">
        <v>2035</v>
      </c>
      <c r="J7275" s="0" t="n">
        <v>0.4</v>
      </c>
      <c r="K7275" s="0" t="n">
        <v>8.68</v>
      </c>
    </row>
    <row r="7276" customFormat="false" ht="15" hidden="false" customHeight="false" outlineLevel="0" collapsed="false">
      <c r="I7276" s="0" t="n">
        <v>2035</v>
      </c>
      <c r="J7276" s="0" t="n">
        <v>0.7</v>
      </c>
      <c r="K7276" s="0" t="n">
        <v>15.19</v>
      </c>
    </row>
    <row r="7277" customFormat="false" ht="15" hidden="false" customHeight="false" outlineLevel="0" collapsed="false">
      <c r="I7277" s="0" t="n">
        <v>2035</v>
      </c>
      <c r="J7277" s="0" t="n">
        <v>0.2</v>
      </c>
      <c r="K7277" s="0" t="n">
        <v>4.34</v>
      </c>
    </row>
    <row r="7278" customFormat="false" ht="15" hidden="false" customHeight="false" outlineLevel="0" collapsed="false">
      <c r="I7278" s="0" t="n">
        <v>2035</v>
      </c>
      <c r="J7278" s="0" t="n">
        <v>0.7</v>
      </c>
      <c r="K7278" s="0" t="n">
        <v>15.19</v>
      </c>
    </row>
    <row r="7279" customFormat="false" ht="15" hidden="false" customHeight="false" outlineLevel="0" collapsed="false">
      <c r="I7279" s="0" t="n">
        <v>2035</v>
      </c>
      <c r="J7279" s="0" t="n">
        <v>663.84</v>
      </c>
      <c r="K7279" s="0" t="n">
        <v>13936.32</v>
      </c>
    </row>
    <row r="7280" customFormat="false" ht="15" hidden="false" customHeight="false" outlineLevel="0" collapsed="false">
      <c r="I7280" s="0" t="n">
        <v>2035</v>
      </c>
      <c r="J7280" s="0" t="n">
        <v>221.28</v>
      </c>
      <c r="K7280" s="0" t="n">
        <v>4645.44</v>
      </c>
    </row>
    <row r="7281" customFormat="false" ht="15" hidden="false" customHeight="false" outlineLevel="0" collapsed="false">
      <c r="I7281" s="0" t="n">
        <v>2035</v>
      </c>
      <c r="J7281" s="0" t="n">
        <v>96.81</v>
      </c>
      <c r="K7281" s="0" t="n">
        <v>2032.38</v>
      </c>
    </row>
    <row r="7282" customFormat="false" ht="15" hidden="false" customHeight="false" outlineLevel="0" collapsed="false">
      <c r="I7282" s="0" t="n">
        <v>2035</v>
      </c>
      <c r="J7282" s="0" t="n">
        <v>55.32</v>
      </c>
      <c r="K7282" s="0" t="n">
        <v>1161.36</v>
      </c>
    </row>
    <row r="7283" customFormat="false" ht="15" hidden="false" customHeight="false" outlineLevel="0" collapsed="false">
      <c r="I7283" s="0" t="n">
        <v>2035</v>
      </c>
      <c r="J7283" s="0" t="n">
        <v>55.32</v>
      </c>
      <c r="K7283" s="0" t="n">
        <v>1161.36</v>
      </c>
    </row>
    <row r="7284" customFormat="false" ht="15" hidden="false" customHeight="false" outlineLevel="0" collapsed="false">
      <c r="I7284" s="0" t="n">
        <v>2035</v>
      </c>
      <c r="J7284" s="0" t="n">
        <v>27.66</v>
      </c>
      <c r="K7284" s="0" t="n">
        <v>580.68</v>
      </c>
    </row>
    <row r="7285" customFormat="false" ht="15" hidden="false" customHeight="false" outlineLevel="0" collapsed="false">
      <c r="I7285" s="0" t="n">
        <v>2035</v>
      </c>
      <c r="J7285" s="0" t="n">
        <v>27.66</v>
      </c>
      <c r="K7285" s="0" t="n">
        <v>580.68</v>
      </c>
    </row>
    <row r="7286" customFormat="false" ht="15" hidden="false" customHeight="false" outlineLevel="0" collapsed="false">
      <c r="I7286" s="0" t="n">
        <v>2035</v>
      </c>
      <c r="J7286" s="0" t="n">
        <v>55.32</v>
      </c>
      <c r="K7286" s="0" t="n">
        <v>1161.36</v>
      </c>
    </row>
    <row r="7287" customFormat="false" ht="15" hidden="false" customHeight="false" outlineLevel="0" collapsed="false">
      <c r="I7287" s="0" t="n">
        <v>2035</v>
      </c>
      <c r="J7287" s="0" t="n">
        <v>96.81</v>
      </c>
      <c r="K7287" s="0" t="n">
        <v>2032.38</v>
      </c>
    </row>
    <row r="7288" customFormat="false" ht="15" hidden="false" customHeight="false" outlineLevel="0" collapsed="false">
      <c r="I7288" s="0" t="n">
        <v>2035</v>
      </c>
      <c r="J7288" s="0" t="n">
        <v>41.49</v>
      </c>
      <c r="K7288" s="0" t="n">
        <v>871.02</v>
      </c>
    </row>
    <row r="7289" customFormat="false" ht="15" hidden="false" customHeight="false" outlineLevel="0" collapsed="false">
      <c r="I7289" s="0" t="n">
        <v>2035</v>
      </c>
      <c r="J7289" s="0" t="n">
        <v>41.49</v>
      </c>
      <c r="K7289" s="0" t="n">
        <v>871.02</v>
      </c>
    </row>
    <row r="7290" customFormat="false" ht="15" hidden="false" customHeight="false" outlineLevel="0" collapsed="false">
      <c r="I7290" s="0" t="n">
        <v>2035</v>
      </c>
      <c r="J7290" s="0" t="n">
        <v>68.64</v>
      </c>
      <c r="K7290" s="0" t="n">
        <v>1440.4</v>
      </c>
    </row>
    <row r="7291" customFormat="false" ht="15" hidden="false" customHeight="false" outlineLevel="0" collapsed="false">
      <c r="I7291" s="0" t="n">
        <v>2035</v>
      </c>
      <c r="J7291" s="0" t="n">
        <v>10.56</v>
      </c>
      <c r="K7291" s="0" t="n">
        <v>221.6</v>
      </c>
    </row>
    <row r="7292" customFormat="false" ht="15" hidden="false" customHeight="false" outlineLevel="0" collapsed="false">
      <c r="I7292" s="0" t="n">
        <v>2035</v>
      </c>
      <c r="J7292" s="0" t="n">
        <v>7.92</v>
      </c>
      <c r="K7292" s="0" t="n">
        <v>166.2</v>
      </c>
    </row>
    <row r="7293" customFormat="false" ht="15" hidden="false" customHeight="false" outlineLevel="0" collapsed="false">
      <c r="I7293" s="0" t="n">
        <v>2035</v>
      </c>
      <c r="J7293" s="0" t="n">
        <v>13.2</v>
      </c>
      <c r="K7293" s="0" t="n">
        <v>277</v>
      </c>
    </row>
    <row r="7294" customFormat="false" ht="15" hidden="false" customHeight="false" outlineLevel="0" collapsed="false">
      <c r="I7294" s="0" t="n">
        <v>2035</v>
      </c>
      <c r="J7294" s="0" t="n">
        <v>2.64</v>
      </c>
      <c r="K7294" s="0" t="n">
        <v>55.4</v>
      </c>
    </row>
    <row r="7295" customFormat="false" ht="15" hidden="false" customHeight="false" outlineLevel="0" collapsed="false">
      <c r="I7295" s="0" t="n">
        <v>2035</v>
      </c>
      <c r="J7295" s="0" t="n">
        <v>2.64</v>
      </c>
      <c r="K7295" s="0" t="n">
        <v>55.4</v>
      </c>
    </row>
    <row r="7296" customFormat="false" ht="15" hidden="false" customHeight="false" outlineLevel="0" collapsed="false">
      <c r="I7296" s="0" t="n">
        <v>2035</v>
      </c>
      <c r="J7296" s="0" t="n">
        <v>0</v>
      </c>
      <c r="K7296" s="0" t="n">
        <v>0</v>
      </c>
    </row>
    <row r="7297" customFormat="false" ht="15" hidden="false" customHeight="false" outlineLevel="0" collapsed="false">
      <c r="I7297" s="0" t="n">
        <v>2035</v>
      </c>
      <c r="J7297" s="0" t="n">
        <v>5.28</v>
      </c>
      <c r="K7297" s="0" t="n">
        <v>110.8</v>
      </c>
    </row>
    <row r="7298" customFormat="false" ht="15" hidden="false" customHeight="false" outlineLevel="0" collapsed="false">
      <c r="I7298" s="0" t="n">
        <v>2035</v>
      </c>
      <c r="J7298" s="0" t="n">
        <v>9.24</v>
      </c>
      <c r="K7298" s="0" t="n">
        <v>193.9</v>
      </c>
    </row>
    <row r="7299" customFormat="false" ht="15" hidden="false" customHeight="false" outlineLevel="0" collapsed="false">
      <c r="I7299" s="0" t="n">
        <v>2035</v>
      </c>
      <c r="J7299" s="0" t="n">
        <v>2.64</v>
      </c>
      <c r="K7299" s="0" t="n">
        <v>55.4</v>
      </c>
    </row>
    <row r="7300" customFormat="false" ht="15" hidden="false" customHeight="false" outlineLevel="0" collapsed="false">
      <c r="I7300" s="0" t="n">
        <v>2035</v>
      </c>
      <c r="J7300" s="0" t="n">
        <v>9.24</v>
      </c>
      <c r="K7300" s="0" t="n">
        <v>193.9</v>
      </c>
    </row>
    <row r="7301" customFormat="false" ht="15" hidden="false" customHeight="false" outlineLevel="0" collapsed="false">
      <c r="I7301" s="0" t="n">
        <v>2035</v>
      </c>
      <c r="J7301" s="0" t="n">
        <v>488.16</v>
      </c>
      <c r="K7301" s="0" t="n">
        <v>10249.44</v>
      </c>
    </row>
    <row r="7302" customFormat="false" ht="15" hidden="false" customHeight="false" outlineLevel="0" collapsed="false">
      <c r="I7302" s="0" t="n">
        <v>2035</v>
      </c>
      <c r="J7302" s="0" t="n">
        <v>162.72</v>
      </c>
      <c r="K7302" s="0" t="n">
        <v>3416.48</v>
      </c>
    </row>
    <row r="7303" customFormat="false" ht="15" hidden="false" customHeight="false" outlineLevel="0" collapsed="false">
      <c r="I7303" s="0" t="n">
        <v>2035</v>
      </c>
      <c r="J7303" s="0" t="n">
        <v>71.19</v>
      </c>
      <c r="K7303" s="0" t="n">
        <v>1494.71</v>
      </c>
    </row>
    <row r="7304" customFormat="false" ht="15" hidden="false" customHeight="false" outlineLevel="0" collapsed="false">
      <c r="I7304" s="0" t="n">
        <v>2035</v>
      </c>
      <c r="J7304" s="0" t="n">
        <v>40.68</v>
      </c>
      <c r="K7304" s="0" t="n">
        <v>854.12</v>
      </c>
    </row>
    <row r="7305" customFormat="false" ht="15" hidden="false" customHeight="false" outlineLevel="0" collapsed="false">
      <c r="I7305" s="0" t="n">
        <v>2035</v>
      </c>
      <c r="J7305" s="0" t="n">
        <v>40.68</v>
      </c>
      <c r="K7305" s="0" t="n">
        <v>854.12</v>
      </c>
    </row>
    <row r="7306" customFormat="false" ht="15" hidden="false" customHeight="false" outlineLevel="0" collapsed="false">
      <c r="I7306" s="0" t="n">
        <v>2035</v>
      </c>
      <c r="J7306" s="0" t="n">
        <v>20.34</v>
      </c>
      <c r="K7306" s="0" t="n">
        <v>427.06</v>
      </c>
    </row>
    <row r="7307" customFormat="false" ht="15" hidden="false" customHeight="false" outlineLevel="0" collapsed="false">
      <c r="I7307" s="0" t="n">
        <v>2035</v>
      </c>
      <c r="J7307" s="0" t="n">
        <v>20.34</v>
      </c>
      <c r="K7307" s="0" t="n">
        <v>427.06</v>
      </c>
    </row>
    <row r="7308" customFormat="false" ht="15" hidden="false" customHeight="false" outlineLevel="0" collapsed="false">
      <c r="I7308" s="0" t="n">
        <v>2035</v>
      </c>
      <c r="J7308" s="0" t="n">
        <v>40.68</v>
      </c>
      <c r="K7308" s="0" t="n">
        <v>854.12</v>
      </c>
    </row>
    <row r="7309" customFormat="false" ht="15" hidden="false" customHeight="false" outlineLevel="0" collapsed="false">
      <c r="I7309" s="0" t="n">
        <v>2035</v>
      </c>
      <c r="J7309" s="0" t="n">
        <v>71.19</v>
      </c>
      <c r="K7309" s="0" t="n">
        <v>1494.71</v>
      </c>
    </row>
    <row r="7310" customFormat="false" ht="15" hidden="false" customHeight="false" outlineLevel="0" collapsed="false">
      <c r="I7310" s="0" t="n">
        <v>2035</v>
      </c>
      <c r="J7310" s="0" t="n">
        <v>30.51</v>
      </c>
      <c r="K7310" s="0" t="n">
        <v>640.59</v>
      </c>
    </row>
    <row r="7311" customFormat="false" ht="15" hidden="false" customHeight="false" outlineLevel="0" collapsed="false">
      <c r="I7311" s="0" t="n">
        <v>2035</v>
      </c>
      <c r="J7311" s="0" t="n">
        <v>30.51</v>
      </c>
      <c r="K7311" s="0" t="n">
        <v>640.59</v>
      </c>
    </row>
    <row r="7312" customFormat="false" ht="15" hidden="false" customHeight="false" outlineLevel="0" collapsed="false">
      <c r="I7312" s="0" t="n">
        <v>2035</v>
      </c>
      <c r="J7312" s="0" t="n">
        <v>67.08</v>
      </c>
      <c r="K7312" s="0" t="n">
        <v>1404</v>
      </c>
    </row>
    <row r="7313" customFormat="false" ht="15" hidden="false" customHeight="false" outlineLevel="0" collapsed="false">
      <c r="I7313" s="0" t="n">
        <v>2035</v>
      </c>
      <c r="J7313" s="0" t="n">
        <v>10.32</v>
      </c>
      <c r="K7313" s="0" t="n">
        <v>216</v>
      </c>
    </row>
    <row r="7314" customFormat="false" ht="15" hidden="false" customHeight="false" outlineLevel="0" collapsed="false">
      <c r="I7314" s="0" t="n">
        <v>2035</v>
      </c>
      <c r="J7314" s="0" t="n">
        <v>7.74</v>
      </c>
      <c r="K7314" s="0" t="n">
        <v>162</v>
      </c>
    </row>
    <row r="7315" customFormat="false" ht="15" hidden="false" customHeight="false" outlineLevel="0" collapsed="false">
      <c r="I7315" s="0" t="n">
        <v>2035</v>
      </c>
      <c r="J7315" s="0" t="n">
        <v>12.9</v>
      </c>
      <c r="K7315" s="0" t="n">
        <v>270</v>
      </c>
    </row>
    <row r="7316" customFormat="false" ht="15" hidden="false" customHeight="false" outlineLevel="0" collapsed="false">
      <c r="I7316" s="0" t="n">
        <v>2035</v>
      </c>
      <c r="J7316" s="0" t="n">
        <v>2.58</v>
      </c>
      <c r="K7316" s="0" t="n">
        <v>54</v>
      </c>
    </row>
    <row r="7317" customFormat="false" ht="15" hidden="false" customHeight="false" outlineLevel="0" collapsed="false">
      <c r="I7317" s="0" t="n">
        <v>2035</v>
      </c>
      <c r="J7317" s="0" t="n">
        <v>2.58</v>
      </c>
      <c r="K7317" s="0" t="n">
        <v>54</v>
      </c>
    </row>
    <row r="7318" customFormat="false" ht="15" hidden="false" customHeight="false" outlineLevel="0" collapsed="false">
      <c r="I7318" s="0" t="n">
        <v>2035</v>
      </c>
      <c r="J7318" s="0" t="n">
        <v>0</v>
      </c>
      <c r="K7318" s="0" t="n">
        <v>0</v>
      </c>
    </row>
    <row r="7319" customFormat="false" ht="15" hidden="false" customHeight="false" outlineLevel="0" collapsed="false">
      <c r="I7319" s="0" t="n">
        <v>2035</v>
      </c>
      <c r="J7319" s="0" t="n">
        <v>5.16</v>
      </c>
      <c r="K7319" s="0" t="n">
        <v>108</v>
      </c>
    </row>
    <row r="7320" customFormat="false" ht="15" hidden="false" customHeight="false" outlineLevel="0" collapsed="false">
      <c r="I7320" s="0" t="n">
        <v>2035</v>
      </c>
      <c r="J7320" s="0" t="n">
        <v>9.03</v>
      </c>
      <c r="K7320" s="0" t="n">
        <v>189</v>
      </c>
    </row>
    <row r="7321" customFormat="false" ht="15" hidden="false" customHeight="false" outlineLevel="0" collapsed="false">
      <c r="I7321" s="0" t="n">
        <v>2035</v>
      </c>
      <c r="J7321" s="0" t="n">
        <v>2.58</v>
      </c>
      <c r="K7321" s="0" t="n">
        <v>54</v>
      </c>
    </row>
    <row r="7322" customFormat="false" ht="15" hidden="false" customHeight="false" outlineLevel="0" collapsed="false">
      <c r="I7322" s="0" t="n">
        <v>2035</v>
      </c>
      <c r="J7322" s="0" t="n">
        <v>9.03</v>
      </c>
      <c r="K7322" s="0" t="n">
        <v>189</v>
      </c>
    </row>
    <row r="7323" customFormat="false" ht="15" hidden="false" customHeight="false" outlineLevel="0" collapsed="false">
      <c r="I7323" s="0" t="n">
        <v>2035</v>
      </c>
      <c r="J7323" s="0" t="n">
        <v>130.08</v>
      </c>
      <c r="K7323" s="0" t="n">
        <v>2729.28</v>
      </c>
    </row>
    <row r="7324" customFormat="false" ht="15" hidden="false" customHeight="false" outlineLevel="0" collapsed="false">
      <c r="I7324" s="0" t="n">
        <v>2035</v>
      </c>
      <c r="J7324" s="0" t="n">
        <v>43.36</v>
      </c>
      <c r="K7324" s="0" t="n">
        <v>909.76</v>
      </c>
    </row>
    <row r="7325" customFormat="false" ht="15" hidden="false" customHeight="false" outlineLevel="0" collapsed="false">
      <c r="I7325" s="0" t="n">
        <v>2035</v>
      </c>
      <c r="J7325" s="0" t="n">
        <v>18.97</v>
      </c>
      <c r="K7325" s="0" t="n">
        <v>398.02</v>
      </c>
    </row>
    <row r="7326" customFormat="false" ht="15" hidden="false" customHeight="false" outlineLevel="0" collapsed="false">
      <c r="I7326" s="0" t="n">
        <v>2035</v>
      </c>
      <c r="J7326" s="0" t="n">
        <v>10.84</v>
      </c>
      <c r="K7326" s="0" t="n">
        <v>227.44</v>
      </c>
    </row>
    <row r="7327" customFormat="false" ht="15" hidden="false" customHeight="false" outlineLevel="0" collapsed="false">
      <c r="I7327" s="0" t="n">
        <v>2035</v>
      </c>
      <c r="J7327" s="0" t="n">
        <v>10.84</v>
      </c>
      <c r="K7327" s="0" t="n">
        <v>227.44</v>
      </c>
    </row>
    <row r="7328" customFormat="false" ht="15" hidden="false" customHeight="false" outlineLevel="0" collapsed="false">
      <c r="I7328" s="0" t="n">
        <v>2035</v>
      </c>
      <c r="J7328" s="0" t="n">
        <v>5.42</v>
      </c>
      <c r="K7328" s="0" t="n">
        <v>113.72</v>
      </c>
    </row>
    <row r="7329" customFormat="false" ht="15" hidden="false" customHeight="false" outlineLevel="0" collapsed="false">
      <c r="I7329" s="0" t="n">
        <v>2035</v>
      </c>
      <c r="J7329" s="0" t="n">
        <v>5.42</v>
      </c>
      <c r="K7329" s="0" t="n">
        <v>113.72</v>
      </c>
    </row>
    <row r="7330" customFormat="false" ht="15" hidden="false" customHeight="false" outlineLevel="0" collapsed="false">
      <c r="I7330" s="0" t="n">
        <v>2035</v>
      </c>
      <c r="J7330" s="0" t="n">
        <v>10.84</v>
      </c>
      <c r="K7330" s="0" t="n">
        <v>227.44</v>
      </c>
    </row>
    <row r="7331" customFormat="false" ht="15" hidden="false" customHeight="false" outlineLevel="0" collapsed="false">
      <c r="I7331" s="0" t="n">
        <v>2035</v>
      </c>
      <c r="J7331" s="0" t="n">
        <v>18.97</v>
      </c>
      <c r="K7331" s="0" t="n">
        <v>398.02</v>
      </c>
    </row>
    <row r="7332" customFormat="false" ht="15" hidden="false" customHeight="false" outlineLevel="0" collapsed="false">
      <c r="I7332" s="0" t="n">
        <v>2035</v>
      </c>
      <c r="J7332" s="0" t="n">
        <v>8.13</v>
      </c>
      <c r="K7332" s="0" t="n">
        <v>170.58</v>
      </c>
    </row>
    <row r="7333" customFormat="false" ht="15" hidden="false" customHeight="false" outlineLevel="0" collapsed="false">
      <c r="I7333" s="0" t="n">
        <v>2035</v>
      </c>
      <c r="J7333" s="0" t="n">
        <v>8.13</v>
      </c>
      <c r="K7333" s="0" t="n">
        <v>170.58</v>
      </c>
    </row>
    <row r="7334" customFormat="false" ht="15" hidden="false" customHeight="false" outlineLevel="0" collapsed="false">
      <c r="I7334" s="0" t="n">
        <v>2035</v>
      </c>
      <c r="J7334" s="0" t="n">
        <v>37.96</v>
      </c>
      <c r="K7334" s="0" t="n">
        <v>798.2</v>
      </c>
    </row>
    <row r="7335" customFormat="false" ht="15" hidden="false" customHeight="false" outlineLevel="0" collapsed="false">
      <c r="I7335" s="0" t="n">
        <v>2035</v>
      </c>
      <c r="J7335" s="0" t="n">
        <v>5.84</v>
      </c>
      <c r="K7335" s="0" t="n">
        <v>122.8</v>
      </c>
    </row>
    <row r="7336" customFormat="false" ht="15" hidden="false" customHeight="false" outlineLevel="0" collapsed="false">
      <c r="I7336" s="0" t="n">
        <v>2035</v>
      </c>
      <c r="J7336" s="0" t="n">
        <v>4.38</v>
      </c>
      <c r="K7336" s="0" t="n">
        <v>92.1</v>
      </c>
    </row>
    <row r="7337" customFormat="false" ht="15" hidden="false" customHeight="false" outlineLevel="0" collapsed="false">
      <c r="I7337" s="0" t="n">
        <v>2035</v>
      </c>
      <c r="J7337" s="0" t="n">
        <v>7.3</v>
      </c>
      <c r="K7337" s="0" t="n">
        <v>153.5</v>
      </c>
    </row>
    <row r="7338" customFormat="false" ht="15" hidden="false" customHeight="false" outlineLevel="0" collapsed="false">
      <c r="I7338" s="0" t="n">
        <v>2035</v>
      </c>
      <c r="J7338" s="0" t="n">
        <v>1.46</v>
      </c>
      <c r="K7338" s="0" t="n">
        <v>30.7</v>
      </c>
    </row>
    <row r="7339" customFormat="false" ht="15" hidden="false" customHeight="false" outlineLevel="0" collapsed="false">
      <c r="I7339" s="0" t="n">
        <v>2035</v>
      </c>
      <c r="J7339" s="0" t="n">
        <v>1.46</v>
      </c>
      <c r="K7339" s="0" t="n">
        <v>30.7</v>
      </c>
    </row>
    <row r="7340" customFormat="false" ht="15" hidden="false" customHeight="false" outlineLevel="0" collapsed="false">
      <c r="I7340" s="0" t="n">
        <v>2035</v>
      </c>
      <c r="J7340" s="0" t="n">
        <v>0</v>
      </c>
      <c r="K7340" s="0" t="n">
        <v>0</v>
      </c>
    </row>
    <row r="7341" customFormat="false" ht="15" hidden="false" customHeight="false" outlineLevel="0" collapsed="false">
      <c r="I7341" s="0" t="n">
        <v>2035</v>
      </c>
      <c r="J7341" s="0" t="n">
        <v>2.92</v>
      </c>
      <c r="K7341" s="0" t="n">
        <v>61.4</v>
      </c>
    </row>
    <row r="7342" customFormat="false" ht="15" hidden="false" customHeight="false" outlineLevel="0" collapsed="false">
      <c r="I7342" s="0" t="n">
        <v>2035</v>
      </c>
      <c r="J7342" s="0" t="n">
        <v>5.11</v>
      </c>
      <c r="K7342" s="0" t="n">
        <v>107.45</v>
      </c>
    </row>
    <row r="7343" customFormat="false" ht="15" hidden="false" customHeight="false" outlineLevel="0" collapsed="false">
      <c r="I7343" s="0" t="n">
        <v>2035</v>
      </c>
      <c r="J7343" s="0" t="n">
        <v>1.46</v>
      </c>
      <c r="K7343" s="0" t="n">
        <v>30.7</v>
      </c>
    </row>
    <row r="7344" customFormat="false" ht="15" hidden="false" customHeight="false" outlineLevel="0" collapsed="false">
      <c r="I7344" s="0" t="n">
        <v>2035</v>
      </c>
      <c r="J7344" s="0" t="n">
        <v>5.11</v>
      </c>
      <c r="K7344" s="0" t="n">
        <v>107.45</v>
      </c>
    </row>
    <row r="7345" customFormat="false" ht="15" hidden="false" customHeight="false" outlineLevel="0" collapsed="false">
      <c r="I7345" s="0" t="n">
        <v>2035</v>
      </c>
      <c r="J7345" s="0" t="n">
        <v>919.2</v>
      </c>
      <c r="K7345" s="0" t="n">
        <v>19301.76</v>
      </c>
    </row>
    <row r="7346" customFormat="false" ht="15" hidden="false" customHeight="false" outlineLevel="0" collapsed="false">
      <c r="I7346" s="0" t="n">
        <v>2035</v>
      </c>
      <c r="J7346" s="0" t="n">
        <v>306.4</v>
      </c>
      <c r="K7346" s="0" t="n">
        <v>6433.92</v>
      </c>
    </row>
    <row r="7347" customFormat="false" ht="15" hidden="false" customHeight="false" outlineLevel="0" collapsed="false">
      <c r="I7347" s="0" t="n">
        <v>2035</v>
      </c>
      <c r="J7347" s="0" t="n">
        <v>134.05</v>
      </c>
      <c r="K7347" s="0" t="n">
        <v>2814.84</v>
      </c>
    </row>
    <row r="7348" customFormat="false" ht="15" hidden="false" customHeight="false" outlineLevel="0" collapsed="false">
      <c r="I7348" s="0" t="n">
        <v>2035</v>
      </c>
      <c r="J7348" s="0" t="n">
        <v>76.6</v>
      </c>
      <c r="K7348" s="0" t="n">
        <v>1608.48</v>
      </c>
    </row>
    <row r="7349" customFormat="false" ht="15" hidden="false" customHeight="false" outlineLevel="0" collapsed="false">
      <c r="I7349" s="0" t="n">
        <v>2035</v>
      </c>
      <c r="J7349" s="0" t="n">
        <v>76.6</v>
      </c>
      <c r="K7349" s="0" t="n">
        <v>1608.48</v>
      </c>
    </row>
    <row r="7350" customFormat="false" ht="15" hidden="false" customHeight="false" outlineLevel="0" collapsed="false">
      <c r="I7350" s="0" t="n">
        <v>2035</v>
      </c>
      <c r="J7350" s="0" t="n">
        <v>38.3</v>
      </c>
      <c r="K7350" s="0" t="n">
        <v>804.24</v>
      </c>
    </row>
    <row r="7351" customFormat="false" ht="15" hidden="false" customHeight="false" outlineLevel="0" collapsed="false">
      <c r="I7351" s="0" t="n">
        <v>2035</v>
      </c>
      <c r="J7351" s="0" t="n">
        <v>38.3</v>
      </c>
      <c r="K7351" s="0" t="n">
        <v>804.24</v>
      </c>
    </row>
    <row r="7352" customFormat="false" ht="15" hidden="false" customHeight="false" outlineLevel="0" collapsed="false">
      <c r="I7352" s="0" t="n">
        <v>2035</v>
      </c>
      <c r="J7352" s="0" t="n">
        <v>76.6</v>
      </c>
      <c r="K7352" s="0" t="n">
        <v>1608.48</v>
      </c>
    </row>
    <row r="7353" customFormat="false" ht="15" hidden="false" customHeight="false" outlineLevel="0" collapsed="false">
      <c r="I7353" s="0" t="n">
        <v>2035</v>
      </c>
      <c r="J7353" s="0" t="n">
        <v>134.05</v>
      </c>
      <c r="K7353" s="0" t="n">
        <v>2814.84</v>
      </c>
    </row>
    <row r="7354" customFormat="false" ht="15" hidden="false" customHeight="false" outlineLevel="0" collapsed="false">
      <c r="I7354" s="0" t="n">
        <v>2035</v>
      </c>
      <c r="J7354" s="0" t="n">
        <v>57.45</v>
      </c>
      <c r="K7354" s="0" t="n">
        <v>1206.36</v>
      </c>
    </row>
    <row r="7355" customFormat="false" ht="15" hidden="false" customHeight="false" outlineLevel="0" collapsed="false">
      <c r="I7355" s="0" t="n">
        <v>2035</v>
      </c>
      <c r="J7355" s="0" t="n">
        <v>57.45</v>
      </c>
      <c r="K7355" s="0" t="n">
        <v>1206.36</v>
      </c>
    </row>
    <row r="7356" customFormat="false" ht="15" hidden="false" customHeight="false" outlineLevel="0" collapsed="false">
      <c r="I7356" s="0" t="n">
        <v>2035</v>
      </c>
      <c r="J7356" s="0" t="n">
        <v>235.04</v>
      </c>
      <c r="K7356" s="0" t="n">
        <v>4938.44</v>
      </c>
    </row>
    <row r="7357" customFormat="false" ht="15" hidden="false" customHeight="false" outlineLevel="0" collapsed="false">
      <c r="I7357" s="0" t="n">
        <v>2035</v>
      </c>
      <c r="J7357" s="0" t="n">
        <v>36.16</v>
      </c>
      <c r="K7357" s="0" t="n">
        <v>759.76</v>
      </c>
    </row>
    <row r="7358" customFormat="false" ht="15" hidden="false" customHeight="false" outlineLevel="0" collapsed="false">
      <c r="I7358" s="0" t="n">
        <v>2035</v>
      </c>
      <c r="J7358" s="0" t="n">
        <v>27.12</v>
      </c>
      <c r="K7358" s="0" t="n">
        <v>569.82</v>
      </c>
    </row>
    <row r="7359" customFormat="false" ht="15" hidden="false" customHeight="false" outlineLevel="0" collapsed="false">
      <c r="I7359" s="0" t="n">
        <v>2035</v>
      </c>
      <c r="J7359" s="0" t="n">
        <v>45.2</v>
      </c>
      <c r="K7359" s="0" t="n">
        <v>949.7</v>
      </c>
    </row>
    <row r="7360" customFormat="false" ht="15" hidden="false" customHeight="false" outlineLevel="0" collapsed="false">
      <c r="I7360" s="0" t="n">
        <v>2035</v>
      </c>
      <c r="J7360" s="0" t="n">
        <v>9.04</v>
      </c>
      <c r="K7360" s="0" t="n">
        <v>189.94</v>
      </c>
    </row>
    <row r="7361" customFormat="false" ht="15" hidden="false" customHeight="false" outlineLevel="0" collapsed="false">
      <c r="I7361" s="0" t="n">
        <v>2035</v>
      </c>
      <c r="J7361" s="0" t="n">
        <v>9.04</v>
      </c>
      <c r="K7361" s="0" t="n">
        <v>189.94</v>
      </c>
    </row>
    <row r="7362" customFormat="false" ht="15" hidden="false" customHeight="false" outlineLevel="0" collapsed="false">
      <c r="I7362" s="0" t="n">
        <v>2035</v>
      </c>
      <c r="J7362" s="0" t="n">
        <v>0</v>
      </c>
      <c r="K7362" s="0" t="n">
        <v>0</v>
      </c>
    </row>
    <row r="7363" customFormat="false" ht="15" hidden="false" customHeight="false" outlineLevel="0" collapsed="false">
      <c r="I7363" s="0" t="n">
        <v>2035</v>
      </c>
      <c r="J7363" s="0" t="n">
        <v>18.08</v>
      </c>
      <c r="K7363" s="0" t="n">
        <v>379.88</v>
      </c>
    </row>
    <row r="7364" customFormat="false" ht="15" hidden="false" customHeight="false" outlineLevel="0" collapsed="false">
      <c r="I7364" s="0" t="n">
        <v>2035</v>
      </c>
      <c r="J7364" s="0" t="n">
        <v>31.64</v>
      </c>
      <c r="K7364" s="0" t="n">
        <v>664.79</v>
      </c>
    </row>
    <row r="7365" customFormat="false" ht="15" hidden="false" customHeight="false" outlineLevel="0" collapsed="false">
      <c r="I7365" s="0" t="n">
        <v>2035</v>
      </c>
      <c r="J7365" s="0" t="n">
        <v>9.04</v>
      </c>
      <c r="K7365" s="0" t="n">
        <v>189.94</v>
      </c>
    </row>
    <row r="7366" customFormat="false" ht="15" hidden="false" customHeight="false" outlineLevel="0" collapsed="false">
      <c r="I7366" s="0" t="n">
        <v>2035</v>
      </c>
      <c r="J7366" s="0" t="n">
        <v>31.64</v>
      </c>
      <c r="K7366" s="0" t="n">
        <v>664.79</v>
      </c>
    </row>
    <row r="7367" customFormat="false" ht="15" hidden="false" customHeight="false" outlineLevel="0" collapsed="false">
      <c r="I7367" s="0" t="n">
        <v>2035</v>
      </c>
      <c r="J7367" s="0" t="n">
        <v>472.32</v>
      </c>
      <c r="K7367" s="0" t="n">
        <v>9923.04</v>
      </c>
    </row>
    <row r="7368" customFormat="false" ht="15" hidden="false" customHeight="false" outlineLevel="0" collapsed="false">
      <c r="I7368" s="0" t="n">
        <v>2035</v>
      </c>
      <c r="J7368" s="0" t="n">
        <v>157.44</v>
      </c>
      <c r="K7368" s="0" t="n">
        <v>3307.68</v>
      </c>
    </row>
    <row r="7369" customFormat="false" ht="15" hidden="false" customHeight="false" outlineLevel="0" collapsed="false">
      <c r="I7369" s="0" t="n">
        <v>2035</v>
      </c>
      <c r="J7369" s="0" t="n">
        <v>68.88</v>
      </c>
      <c r="K7369" s="0" t="n">
        <v>1447.11</v>
      </c>
    </row>
    <row r="7370" customFormat="false" ht="15" hidden="false" customHeight="false" outlineLevel="0" collapsed="false">
      <c r="I7370" s="0" t="n">
        <v>2035</v>
      </c>
      <c r="J7370" s="0" t="n">
        <v>39.36</v>
      </c>
      <c r="K7370" s="0" t="n">
        <v>826.92</v>
      </c>
    </row>
    <row r="7371" customFormat="false" ht="15" hidden="false" customHeight="false" outlineLevel="0" collapsed="false">
      <c r="I7371" s="0" t="n">
        <v>2035</v>
      </c>
      <c r="J7371" s="0" t="n">
        <v>39.36</v>
      </c>
      <c r="K7371" s="0" t="n">
        <v>826.92</v>
      </c>
    </row>
    <row r="7372" customFormat="false" ht="15" hidden="false" customHeight="false" outlineLevel="0" collapsed="false">
      <c r="I7372" s="0" t="n">
        <v>2035</v>
      </c>
      <c r="J7372" s="0" t="n">
        <v>19.68</v>
      </c>
      <c r="K7372" s="0" t="n">
        <v>413.46</v>
      </c>
    </row>
    <row r="7373" customFormat="false" ht="15" hidden="false" customHeight="false" outlineLevel="0" collapsed="false">
      <c r="I7373" s="0" t="n">
        <v>2035</v>
      </c>
      <c r="J7373" s="0" t="n">
        <v>19.68</v>
      </c>
      <c r="K7373" s="0" t="n">
        <v>413.46</v>
      </c>
    </row>
    <row r="7374" customFormat="false" ht="15" hidden="false" customHeight="false" outlineLevel="0" collapsed="false">
      <c r="I7374" s="0" t="n">
        <v>2035</v>
      </c>
      <c r="J7374" s="0" t="n">
        <v>39.36</v>
      </c>
      <c r="K7374" s="0" t="n">
        <v>826.92</v>
      </c>
    </row>
    <row r="7375" customFormat="false" ht="15" hidden="false" customHeight="false" outlineLevel="0" collapsed="false">
      <c r="I7375" s="0" t="n">
        <v>2035</v>
      </c>
      <c r="J7375" s="0" t="n">
        <v>68.88</v>
      </c>
      <c r="K7375" s="0" t="n">
        <v>1447.11</v>
      </c>
    </row>
    <row r="7376" customFormat="false" ht="15" hidden="false" customHeight="false" outlineLevel="0" collapsed="false">
      <c r="I7376" s="0" t="n">
        <v>2035</v>
      </c>
      <c r="J7376" s="0" t="n">
        <v>29.52</v>
      </c>
      <c r="K7376" s="0" t="n">
        <v>620.19</v>
      </c>
    </row>
    <row r="7377" customFormat="false" ht="15" hidden="false" customHeight="false" outlineLevel="0" collapsed="false">
      <c r="I7377" s="0" t="n">
        <v>2035</v>
      </c>
      <c r="J7377" s="0" t="n">
        <v>29.52</v>
      </c>
      <c r="K7377" s="0" t="n">
        <v>620.19</v>
      </c>
    </row>
    <row r="7378" customFormat="false" ht="15" hidden="false" customHeight="false" outlineLevel="0" collapsed="false">
      <c r="I7378" s="0" t="n">
        <v>2035</v>
      </c>
      <c r="J7378" s="0" t="n">
        <v>241.28</v>
      </c>
      <c r="K7378" s="0" t="n">
        <v>5069.48</v>
      </c>
    </row>
    <row r="7379" customFormat="false" ht="15" hidden="false" customHeight="false" outlineLevel="0" collapsed="false">
      <c r="I7379" s="0" t="n">
        <v>2035</v>
      </c>
      <c r="J7379" s="0" t="n">
        <v>37.12</v>
      </c>
      <c r="K7379" s="0" t="n">
        <v>779.92</v>
      </c>
    </row>
    <row r="7380" customFormat="false" ht="15" hidden="false" customHeight="false" outlineLevel="0" collapsed="false">
      <c r="I7380" s="0" t="n">
        <v>2035</v>
      </c>
      <c r="J7380" s="0" t="n">
        <v>27.84</v>
      </c>
      <c r="K7380" s="0" t="n">
        <v>584.94</v>
      </c>
    </row>
    <row r="7381" customFormat="false" ht="15" hidden="false" customHeight="false" outlineLevel="0" collapsed="false">
      <c r="I7381" s="0" t="n">
        <v>2035</v>
      </c>
      <c r="J7381" s="0" t="n">
        <v>46.4</v>
      </c>
      <c r="K7381" s="0" t="n">
        <v>974.9</v>
      </c>
    </row>
    <row r="7382" customFormat="false" ht="15" hidden="false" customHeight="false" outlineLevel="0" collapsed="false">
      <c r="I7382" s="0" t="n">
        <v>2035</v>
      </c>
      <c r="J7382" s="0" t="n">
        <v>9.28</v>
      </c>
      <c r="K7382" s="0" t="n">
        <v>194.98</v>
      </c>
    </row>
    <row r="7383" customFormat="false" ht="15" hidden="false" customHeight="false" outlineLevel="0" collapsed="false">
      <c r="I7383" s="0" t="n">
        <v>2035</v>
      </c>
      <c r="J7383" s="0" t="n">
        <v>9.28</v>
      </c>
      <c r="K7383" s="0" t="n">
        <v>194.98</v>
      </c>
    </row>
    <row r="7384" customFormat="false" ht="15" hidden="false" customHeight="false" outlineLevel="0" collapsed="false">
      <c r="I7384" s="0" t="n">
        <v>2035</v>
      </c>
      <c r="J7384" s="0" t="n">
        <v>0</v>
      </c>
      <c r="K7384" s="0" t="n">
        <v>0</v>
      </c>
    </row>
    <row r="7385" customFormat="false" ht="15" hidden="false" customHeight="false" outlineLevel="0" collapsed="false">
      <c r="I7385" s="0" t="n">
        <v>2035</v>
      </c>
      <c r="J7385" s="0" t="n">
        <v>18.56</v>
      </c>
      <c r="K7385" s="0" t="n">
        <v>389.96</v>
      </c>
    </row>
    <row r="7386" customFormat="false" ht="15" hidden="false" customHeight="false" outlineLevel="0" collapsed="false">
      <c r="I7386" s="0" t="n">
        <v>2035</v>
      </c>
      <c r="J7386" s="0" t="n">
        <v>32.48</v>
      </c>
      <c r="K7386" s="0" t="n">
        <v>682.43</v>
      </c>
    </row>
    <row r="7387" customFormat="false" ht="15" hidden="false" customHeight="false" outlineLevel="0" collapsed="false">
      <c r="I7387" s="0" t="n">
        <v>2035</v>
      </c>
      <c r="J7387" s="0" t="n">
        <v>9.28</v>
      </c>
      <c r="K7387" s="0" t="n">
        <v>194.98</v>
      </c>
    </row>
    <row r="7388" customFormat="false" ht="15" hidden="false" customHeight="false" outlineLevel="0" collapsed="false">
      <c r="I7388" s="0" t="n">
        <v>2035</v>
      </c>
      <c r="J7388" s="0" t="n">
        <v>32.48</v>
      </c>
      <c r="K7388" s="0" t="n">
        <v>682.43</v>
      </c>
    </row>
    <row r="7389" customFormat="false" ht="15" hidden="false" customHeight="false" outlineLevel="0" collapsed="false">
      <c r="I7389" s="0" t="n">
        <v>2035</v>
      </c>
      <c r="J7389" s="0" t="n">
        <v>373.92</v>
      </c>
      <c r="K7389" s="0" t="n">
        <v>7851.36</v>
      </c>
    </row>
    <row r="7390" customFormat="false" ht="15" hidden="false" customHeight="false" outlineLevel="0" collapsed="false">
      <c r="I7390" s="0" t="n">
        <v>2035</v>
      </c>
      <c r="J7390" s="0" t="n">
        <v>124.64</v>
      </c>
      <c r="K7390" s="0" t="n">
        <v>2617.12</v>
      </c>
    </row>
    <row r="7391" customFormat="false" ht="15" hidden="false" customHeight="false" outlineLevel="0" collapsed="false">
      <c r="I7391" s="0" t="n">
        <v>2035</v>
      </c>
      <c r="J7391" s="0" t="n">
        <v>54.53</v>
      </c>
      <c r="K7391" s="0" t="n">
        <v>1144.99</v>
      </c>
    </row>
    <row r="7392" customFormat="false" ht="15" hidden="false" customHeight="false" outlineLevel="0" collapsed="false">
      <c r="I7392" s="0" t="n">
        <v>2035</v>
      </c>
      <c r="J7392" s="0" t="n">
        <v>31.16</v>
      </c>
      <c r="K7392" s="0" t="n">
        <v>654.28</v>
      </c>
    </row>
    <row r="7393" customFormat="false" ht="15" hidden="false" customHeight="false" outlineLevel="0" collapsed="false">
      <c r="I7393" s="0" t="n">
        <v>2035</v>
      </c>
      <c r="J7393" s="0" t="n">
        <v>31.16</v>
      </c>
      <c r="K7393" s="0" t="n">
        <v>654.28</v>
      </c>
    </row>
    <row r="7394" customFormat="false" ht="15" hidden="false" customHeight="false" outlineLevel="0" collapsed="false">
      <c r="I7394" s="0" t="n">
        <v>2035</v>
      </c>
      <c r="J7394" s="0" t="n">
        <v>15.58</v>
      </c>
      <c r="K7394" s="0" t="n">
        <v>327.14</v>
      </c>
    </row>
    <row r="7395" customFormat="false" ht="15" hidden="false" customHeight="false" outlineLevel="0" collapsed="false">
      <c r="I7395" s="0" t="n">
        <v>2035</v>
      </c>
      <c r="J7395" s="0" t="n">
        <v>15.58</v>
      </c>
      <c r="K7395" s="0" t="n">
        <v>327.14</v>
      </c>
    </row>
    <row r="7396" customFormat="false" ht="15" hidden="false" customHeight="false" outlineLevel="0" collapsed="false">
      <c r="I7396" s="0" t="n">
        <v>2035</v>
      </c>
      <c r="J7396" s="0" t="n">
        <v>31.16</v>
      </c>
      <c r="K7396" s="0" t="n">
        <v>654.28</v>
      </c>
    </row>
    <row r="7397" customFormat="false" ht="15" hidden="false" customHeight="false" outlineLevel="0" collapsed="false">
      <c r="I7397" s="0" t="n">
        <v>2035</v>
      </c>
      <c r="J7397" s="0" t="n">
        <v>54.53</v>
      </c>
      <c r="K7397" s="0" t="n">
        <v>1144.99</v>
      </c>
    </row>
    <row r="7398" customFormat="false" ht="15" hidden="false" customHeight="false" outlineLevel="0" collapsed="false">
      <c r="I7398" s="0" t="n">
        <v>2035</v>
      </c>
      <c r="J7398" s="0" t="n">
        <v>23.37</v>
      </c>
      <c r="K7398" s="0" t="n">
        <v>490.71</v>
      </c>
    </row>
    <row r="7399" customFormat="false" ht="15" hidden="false" customHeight="false" outlineLevel="0" collapsed="false">
      <c r="I7399" s="0" t="n">
        <v>2035</v>
      </c>
      <c r="J7399" s="0" t="n">
        <v>23.37</v>
      </c>
      <c r="K7399" s="0" t="n">
        <v>490.71</v>
      </c>
    </row>
    <row r="7400" customFormat="false" ht="15" hidden="false" customHeight="false" outlineLevel="0" collapsed="false">
      <c r="I7400" s="0" t="n">
        <v>2035</v>
      </c>
      <c r="J7400" s="0" t="n">
        <v>670.28</v>
      </c>
      <c r="K7400" s="0" t="n">
        <v>14073.8</v>
      </c>
    </row>
    <row r="7401" customFormat="false" ht="15" hidden="false" customHeight="false" outlineLevel="0" collapsed="false">
      <c r="I7401" s="0" t="n">
        <v>2035</v>
      </c>
      <c r="J7401" s="0" t="n">
        <v>103.12</v>
      </c>
      <c r="K7401" s="0" t="n">
        <v>2165.2</v>
      </c>
    </row>
    <row r="7402" customFormat="false" ht="15" hidden="false" customHeight="false" outlineLevel="0" collapsed="false">
      <c r="I7402" s="0" t="n">
        <v>2035</v>
      </c>
      <c r="J7402" s="0" t="n">
        <v>77.34</v>
      </c>
      <c r="K7402" s="0" t="n">
        <v>1623.9</v>
      </c>
    </row>
    <row r="7403" customFormat="false" ht="15" hidden="false" customHeight="false" outlineLevel="0" collapsed="false">
      <c r="I7403" s="0" t="n">
        <v>2035</v>
      </c>
      <c r="J7403" s="0" t="n">
        <v>128.9</v>
      </c>
      <c r="K7403" s="0" t="n">
        <v>2706.5</v>
      </c>
    </row>
    <row r="7404" customFormat="false" ht="15" hidden="false" customHeight="false" outlineLevel="0" collapsed="false">
      <c r="I7404" s="0" t="n">
        <v>2035</v>
      </c>
      <c r="J7404" s="0" t="n">
        <v>25.78</v>
      </c>
      <c r="K7404" s="0" t="n">
        <v>541.3</v>
      </c>
    </row>
    <row r="7405" customFormat="false" ht="15" hidden="false" customHeight="false" outlineLevel="0" collapsed="false">
      <c r="I7405" s="0" t="n">
        <v>2035</v>
      </c>
      <c r="J7405" s="0" t="n">
        <v>25.78</v>
      </c>
      <c r="K7405" s="0" t="n">
        <v>541.3</v>
      </c>
    </row>
    <row r="7406" customFormat="false" ht="15" hidden="false" customHeight="false" outlineLevel="0" collapsed="false">
      <c r="I7406" s="0" t="n">
        <v>2035</v>
      </c>
      <c r="J7406" s="0" t="n">
        <v>0</v>
      </c>
      <c r="K7406" s="0" t="n">
        <v>0</v>
      </c>
    </row>
    <row r="7407" customFormat="false" ht="15" hidden="false" customHeight="false" outlineLevel="0" collapsed="false">
      <c r="I7407" s="0" t="n">
        <v>2035</v>
      </c>
      <c r="J7407" s="0" t="n">
        <v>51.56</v>
      </c>
      <c r="K7407" s="0" t="n">
        <v>1082.6</v>
      </c>
    </row>
    <row r="7408" customFormat="false" ht="15" hidden="false" customHeight="false" outlineLevel="0" collapsed="false">
      <c r="I7408" s="0" t="n">
        <v>2035</v>
      </c>
      <c r="J7408" s="0" t="n">
        <v>90.23</v>
      </c>
      <c r="K7408" s="0" t="n">
        <v>1894.55</v>
      </c>
    </row>
    <row r="7409" customFormat="false" ht="15" hidden="false" customHeight="false" outlineLevel="0" collapsed="false">
      <c r="I7409" s="0" t="n">
        <v>2035</v>
      </c>
      <c r="J7409" s="0" t="n">
        <v>25.78</v>
      </c>
      <c r="K7409" s="0" t="n">
        <v>541.3</v>
      </c>
    </row>
    <row r="7410" customFormat="false" ht="15" hidden="false" customHeight="false" outlineLevel="0" collapsed="false">
      <c r="I7410" s="0" t="n">
        <v>2035</v>
      </c>
      <c r="J7410" s="0" t="n">
        <v>90.23</v>
      </c>
      <c r="K7410" s="0" t="n">
        <v>1894.55</v>
      </c>
    </row>
    <row r="7411" customFormat="false" ht="15" hidden="false" customHeight="false" outlineLevel="0" collapsed="false">
      <c r="I7411" s="0" t="n">
        <v>2035</v>
      </c>
      <c r="J7411" s="0" t="n">
        <v>510.24</v>
      </c>
      <c r="K7411" s="0" t="n">
        <v>10716</v>
      </c>
    </row>
    <row r="7412" customFormat="false" ht="15" hidden="false" customHeight="false" outlineLevel="0" collapsed="false">
      <c r="I7412" s="0" t="n">
        <v>2035</v>
      </c>
      <c r="J7412" s="0" t="n">
        <v>170.08</v>
      </c>
      <c r="K7412" s="0" t="n">
        <v>3572</v>
      </c>
    </row>
    <row r="7413" customFormat="false" ht="15" hidden="false" customHeight="false" outlineLevel="0" collapsed="false">
      <c r="I7413" s="0" t="n">
        <v>2035</v>
      </c>
      <c r="J7413" s="0" t="n">
        <v>74.41</v>
      </c>
      <c r="K7413" s="0" t="n">
        <v>1562.75</v>
      </c>
    </row>
    <row r="7414" customFormat="false" ht="15" hidden="false" customHeight="false" outlineLevel="0" collapsed="false">
      <c r="I7414" s="0" t="n">
        <v>2035</v>
      </c>
      <c r="J7414" s="0" t="n">
        <v>42.52</v>
      </c>
      <c r="K7414" s="0" t="n">
        <v>893</v>
      </c>
    </row>
    <row r="7415" customFormat="false" ht="15" hidden="false" customHeight="false" outlineLevel="0" collapsed="false">
      <c r="I7415" s="0" t="n">
        <v>2035</v>
      </c>
      <c r="J7415" s="0" t="n">
        <v>42.52</v>
      </c>
      <c r="K7415" s="0" t="n">
        <v>893</v>
      </c>
    </row>
    <row r="7416" customFormat="false" ht="15" hidden="false" customHeight="false" outlineLevel="0" collapsed="false">
      <c r="I7416" s="0" t="n">
        <v>2035</v>
      </c>
      <c r="J7416" s="0" t="n">
        <v>21.26</v>
      </c>
      <c r="K7416" s="0" t="n">
        <v>446.5</v>
      </c>
    </row>
    <row r="7417" customFormat="false" ht="15" hidden="false" customHeight="false" outlineLevel="0" collapsed="false">
      <c r="I7417" s="0" t="n">
        <v>2035</v>
      </c>
      <c r="J7417" s="0" t="n">
        <v>21.26</v>
      </c>
      <c r="K7417" s="0" t="n">
        <v>446.5</v>
      </c>
    </row>
    <row r="7418" customFormat="false" ht="15" hidden="false" customHeight="false" outlineLevel="0" collapsed="false">
      <c r="I7418" s="0" t="n">
        <v>2035</v>
      </c>
      <c r="J7418" s="0" t="n">
        <v>42.52</v>
      </c>
      <c r="K7418" s="0" t="n">
        <v>893</v>
      </c>
    </row>
    <row r="7419" customFormat="false" ht="15" hidden="false" customHeight="false" outlineLevel="0" collapsed="false">
      <c r="I7419" s="0" t="n">
        <v>2035</v>
      </c>
      <c r="J7419" s="0" t="n">
        <v>74.41</v>
      </c>
      <c r="K7419" s="0" t="n">
        <v>1562.75</v>
      </c>
    </row>
    <row r="7420" customFormat="false" ht="15" hidden="false" customHeight="false" outlineLevel="0" collapsed="false">
      <c r="I7420" s="0" t="n">
        <v>2035</v>
      </c>
      <c r="J7420" s="0" t="n">
        <v>31.89</v>
      </c>
      <c r="K7420" s="0" t="n">
        <v>669.75</v>
      </c>
    </row>
    <row r="7421" customFormat="false" ht="15" hidden="false" customHeight="false" outlineLevel="0" collapsed="false">
      <c r="I7421" s="0" t="n">
        <v>2035</v>
      </c>
      <c r="J7421" s="0" t="n">
        <v>31.89</v>
      </c>
      <c r="K7421" s="0" t="n">
        <v>669.75</v>
      </c>
    </row>
    <row r="7422" customFormat="false" ht="15" hidden="false" customHeight="false" outlineLevel="0" collapsed="false">
      <c r="I7422" s="0" t="n">
        <v>2035</v>
      </c>
      <c r="J7422" s="0" t="n">
        <v>134.16</v>
      </c>
      <c r="K7422" s="0" t="n">
        <v>2812.68</v>
      </c>
    </row>
    <row r="7423" customFormat="false" ht="15" hidden="false" customHeight="false" outlineLevel="0" collapsed="false">
      <c r="I7423" s="0" t="n">
        <v>2035</v>
      </c>
      <c r="J7423" s="0" t="n">
        <v>20.64</v>
      </c>
      <c r="K7423" s="0" t="n">
        <v>432.72</v>
      </c>
    </row>
    <row r="7424" customFormat="false" ht="15" hidden="false" customHeight="false" outlineLevel="0" collapsed="false">
      <c r="I7424" s="0" t="n">
        <v>2035</v>
      </c>
      <c r="J7424" s="0" t="n">
        <v>15.48</v>
      </c>
      <c r="K7424" s="0" t="n">
        <v>324.54</v>
      </c>
    </row>
    <row r="7425" customFormat="false" ht="15" hidden="false" customHeight="false" outlineLevel="0" collapsed="false">
      <c r="I7425" s="0" t="n">
        <v>2035</v>
      </c>
      <c r="J7425" s="0" t="n">
        <v>25.8</v>
      </c>
      <c r="K7425" s="0" t="n">
        <v>540.9</v>
      </c>
    </row>
    <row r="7426" customFormat="false" ht="15" hidden="false" customHeight="false" outlineLevel="0" collapsed="false">
      <c r="I7426" s="0" t="n">
        <v>2035</v>
      </c>
      <c r="J7426" s="0" t="n">
        <v>5.16</v>
      </c>
      <c r="K7426" s="0" t="n">
        <v>108.18</v>
      </c>
    </row>
    <row r="7427" customFormat="false" ht="15" hidden="false" customHeight="false" outlineLevel="0" collapsed="false">
      <c r="I7427" s="0" t="n">
        <v>2035</v>
      </c>
      <c r="J7427" s="0" t="n">
        <v>5.16</v>
      </c>
      <c r="K7427" s="0" t="n">
        <v>108.18</v>
      </c>
    </row>
    <row r="7428" customFormat="false" ht="15" hidden="false" customHeight="false" outlineLevel="0" collapsed="false">
      <c r="I7428" s="0" t="n">
        <v>2035</v>
      </c>
      <c r="J7428" s="0" t="n">
        <v>0</v>
      </c>
      <c r="K7428" s="0" t="n">
        <v>0</v>
      </c>
    </row>
    <row r="7429" customFormat="false" ht="15" hidden="false" customHeight="false" outlineLevel="0" collapsed="false">
      <c r="I7429" s="0" t="n">
        <v>2035</v>
      </c>
      <c r="J7429" s="0" t="n">
        <v>10.32</v>
      </c>
      <c r="K7429" s="0" t="n">
        <v>216.36</v>
      </c>
    </row>
    <row r="7430" customFormat="false" ht="15" hidden="false" customHeight="false" outlineLevel="0" collapsed="false">
      <c r="I7430" s="0" t="n">
        <v>2035</v>
      </c>
      <c r="J7430" s="0" t="n">
        <v>18.06</v>
      </c>
      <c r="K7430" s="0" t="n">
        <v>378.63</v>
      </c>
    </row>
    <row r="7431" customFormat="false" ht="15" hidden="false" customHeight="false" outlineLevel="0" collapsed="false">
      <c r="I7431" s="0" t="n">
        <v>2035</v>
      </c>
      <c r="J7431" s="0" t="n">
        <v>5.16</v>
      </c>
      <c r="K7431" s="0" t="n">
        <v>108.18</v>
      </c>
    </row>
    <row r="7432" customFormat="false" ht="15" hidden="false" customHeight="false" outlineLevel="0" collapsed="false">
      <c r="I7432" s="0" t="n">
        <v>2035</v>
      </c>
      <c r="J7432" s="0" t="n">
        <v>18.06</v>
      </c>
      <c r="K7432" s="0" t="n">
        <v>378.63</v>
      </c>
    </row>
    <row r="7433" customFormat="false" ht="15" hidden="false" customHeight="false" outlineLevel="0" collapsed="false">
      <c r="I7433" s="0" t="n">
        <v>2035</v>
      </c>
      <c r="J7433" s="0" t="n">
        <v>305.28</v>
      </c>
      <c r="K7433" s="0" t="n">
        <v>6406.56</v>
      </c>
    </row>
    <row r="7434" customFormat="false" ht="15" hidden="false" customHeight="false" outlineLevel="0" collapsed="false">
      <c r="I7434" s="0" t="n">
        <v>2035</v>
      </c>
      <c r="J7434" s="0" t="n">
        <v>101.76</v>
      </c>
      <c r="K7434" s="0" t="n">
        <v>2135.52</v>
      </c>
    </row>
    <row r="7435" customFormat="false" ht="15" hidden="false" customHeight="false" outlineLevel="0" collapsed="false">
      <c r="I7435" s="0" t="n">
        <v>2035</v>
      </c>
      <c r="J7435" s="0" t="n">
        <v>44.52</v>
      </c>
      <c r="K7435" s="0" t="n">
        <v>934.29</v>
      </c>
    </row>
    <row r="7436" customFormat="false" ht="15" hidden="false" customHeight="false" outlineLevel="0" collapsed="false">
      <c r="I7436" s="0" t="n">
        <v>2035</v>
      </c>
      <c r="J7436" s="0" t="n">
        <v>25.44</v>
      </c>
      <c r="K7436" s="0" t="n">
        <v>533.88</v>
      </c>
    </row>
    <row r="7437" customFormat="false" ht="15" hidden="false" customHeight="false" outlineLevel="0" collapsed="false">
      <c r="I7437" s="0" t="n">
        <v>2035</v>
      </c>
      <c r="J7437" s="0" t="n">
        <v>25.44</v>
      </c>
      <c r="K7437" s="0" t="n">
        <v>533.88</v>
      </c>
    </row>
    <row r="7438" customFormat="false" ht="15" hidden="false" customHeight="false" outlineLevel="0" collapsed="false">
      <c r="I7438" s="0" t="n">
        <v>2035</v>
      </c>
      <c r="J7438" s="0" t="n">
        <v>12.72</v>
      </c>
      <c r="K7438" s="0" t="n">
        <v>266.94</v>
      </c>
    </row>
    <row r="7439" customFormat="false" ht="15" hidden="false" customHeight="false" outlineLevel="0" collapsed="false">
      <c r="I7439" s="0" t="n">
        <v>2035</v>
      </c>
      <c r="J7439" s="0" t="n">
        <v>12.72</v>
      </c>
      <c r="K7439" s="0" t="n">
        <v>266.94</v>
      </c>
    </row>
    <row r="7440" customFormat="false" ht="15" hidden="false" customHeight="false" outlineLevel="0" collapsed="false">
      <c r="I7440" s="0" t="n">
        <v>2035</v>
      </c>
      <c r="J7440" s="0" t="n">
        <v>25.44</v>
      </c>
      <c r="K7440" s="0" t="n">
        <v>533.88</v>
      </c>
    </row>
    <row r="7441" customFormat="false" ht="15" hidden="false" customHeight="false" outlineLevel="0" collapsed="false">
      <c r="I7441" s="0" t="n">
        <v>2035</v>
      </c>
      <c r="J7441" s="0" t="n">
        <v>44.52</v>
      </c>
      <c r="K7441" s="0" t="n">
        <v>934.29</v>
      </c>
    </row>
    <row r="7442" customFormat="false" ht="15" hidden="false" customHeight="false" outlineLevel="0" collapsed="false">
      <c r="I7442" s="0" t="n">
        <v>2035</v>
      </c>
      <c r="J7442" s="0" t="n">
        <v>19.08</v>
      </c>
      <c r="K7442" s="0" t="n">
        <v>400.41</v>
      </c>
    </row>
    <row r="7443" customFormat="false" ht="15" hidden="false" customHeight="false" outlineLevel="0" collapsed="false">
      <c r="I7443" s="0" t="n">
        <v>2035</v>
      </c>
      <c r="J7443" s="0" t="n">
        <v>19.08</v>
      </c>
      <c r="K7443" s="0" t="n">
        <v>400.41</v>
      </c>
    </row>
    <row r="7444" customFormat="false" ht="15" hidden="false" customHeight="false" outlineLevel="0" collapsed="false">
      <c r="I7444" s="0" t="n">
        <v>2035</v>
      </c>
      <c r="J7444" s="0" t="n">
        <v>134.16</v>
      </c>
      <c r="K7444" s="0" t="n">
        <v>2812.68</v>
      </c>
    </row>
    <row r="7445" customFormat="false" ht="15" hidden="false" customHeight="false" outlineLevel="0" collapsed="false">
      <c r="I7445" s="0" t="n">
        <v>2035</v>
      </c>
      <c r="J7445" s="0" t="n">
        <v>20.64</v>
      </c>
      <c r="K7445" s="0" t="n">
        <v>432.72</v>
      </c>
    </row>
    <row r="7446" customFormat="false" ht="15" hidden="false" customHeight="false" outlineLevel="0" collapsed="false">
      <c r="I7446" s="0" t="n">
        <v>2035</v>
      </c>
      <c r="J7446" s="0" t="n">
        <v>15.48</v>
      </c>
      <c r="K7446" s="0" t="n">
        <v>324.54</v>
      </c>
    </row>
    <row r="7447" customFormat="false" ht="15" hidden="false" customHeight="false" outlineLevel="0" collapsed="false">
      <c r="I7447" s="0" t="n">
        <v>2035</v>
      </c>
      <c r="J7447" s="0" t="n">
        <v>25.8</v>
      </c>
      <c r="K7447" s="0" t="n">
        <v>540.9</v>
      </c>
    </row>
    <row r="7448" customFormat="false" ht="15" hidden="false" customHeight="false" outlineLevel="0" collapsed="false">
      <c r="I7448" s="0" t="n">
        <v>2035</v>
      </c>
      <c r="J7448" s="0" t="n">
        <v>5.16</v>
      </c>
      <c r="K7448" s="0" t="n">
        <v>108.18</v>
      </c>
    </row>
    <row r="7449" customFormat="false" ht="15" hidden="false" customHeight="false" outlineLevel="0" collapsed="false">
      <c r="I7449" s="0" t="n">
        <v>2035</v>
      </c>
      <c r="J7449" s="0" t="n">
        <v>5.16</v>
      </c>
      <c r="K7449" s="0" t="n">
        <v>108.18</v>
      </c>
    </row>
    <row r="7450" customFormat="false" ht="15" hidden="false" customHeight="false" outlineLevel="0" collapsed="false">
      <c r="I7450" s="0" t="n">
        <v>2035</v>
      </c>
      <c r="J7450" s="0" t="n">
        <v>0</v>
      </c>
      <c r="K7450" s="0" t="n">
        <v>0</v>
      </c>
    </row>
    <row r="7451" customFormat="false" ht="15" hidden="false" customHeight="false" outlineLevel="0" collapsed="false">
      <c r="I7451" s="0" t="n">
        <v>2035</v>
      </c>
      <c r="J7451" s="0" t="n">
        <v>10.32</v>
      </c>
      <c r="K7451" s="0" t="n">
        <v>216.36</v>
      </c>
    </row>
    <row r="7452" customFormat="false" ht="15" hidden="false" customHeight="false" outlineLevel="0" collapsed="false">
      <c r="I7452" s="0" t="n">
        <v>2035</v>
      </c>
      <c r="J7452" s="0" t="n">
        <v>18.06</v>
      </c>
      <c r="K7452" s="0" t="n">
        <v>378.63</v>
      </c>
    </row>
    <row r="7453" customFormat="false" ht="15" hidden="false" customHeight="false" outlineLevel="0" collapsed="false">
      <c r="I7453" s="0" t="n">
        <v>2035</v>
      </c>
      <c r="J7453" s="0" t="n">
        <v>5.16</v>
      </c>
      <c r="K7453" s="0" t="n">
        <v>108.18</v>
      </c>
    </row>
    <row r="7454" customFormat="false" ht="15" hidden="false" customHeight="false" outlineLevel="0" collapsed="false">
      <c r="I7454" s="0" t="n">
        <v>2035</v>
      </c>
      <c r="J7454" s="0" t="n">
        <v>18.06</v>
      </c>
      <c r="K7454" s="0" t="n">
        <v>378.63</v>
      </c>
    </row>
    <row r="7455" customFormat="false" ht="15" hidden="false" customHeight="false" outlineLevel="0" collapsed="false">
      <c r="I7455" s="0" t="n">
        <v>2035</v>
      </c>
      <c r="J7455" s="0" t="n">
        <v>32.16</v>
      </c>
      <c r="K7455" s="0" t="n">
        <v>676.8</v>
      </c>
    </row>
    <row r="7456" customFormat="false" ht="15" hidden="false" customHeight="false" outlineLevel="0" collapsed="false">
      <c r="I7456" s="0" t="n">
        <v>2035</v>
      </c>
      <c r="J7456" s="0" t="n">
        <v>10.72</v>
      </c>
      <c r="K7456" s="0" t="n">
        <v>225.6</v>
      </c>
    </row>
    <row r="7457" customFormat="false" ht="15" hidden="false" customHeight="false" outlineLevel="0" collapsed="false">
      <c r="I7457" s="0" t="n">
        <v>2035</v>
      </c>
      <c r="J7457" s="0" t="n">
        <v>4.69</v>
      </c>
      <c r="K7457" s="0" t="n">
        <v>98.7</v>
      </c>
    </row>
    <row r="7458" customFormat="false" ht="15" hidden="false" customHeight="false" outlineLevel="0" collapsed="false">
      <c r="I7458" s="0" t="n">
        <v>2035</v>
      </c>
      <c r="J7458" s="0" t="n">
        <v>2.68</v>
      </c>
      <c r="K7458" s="0" t="n">
        <v>56.4</v>
      </c>
    </row>
    <row r="7459" customFormat="false" ht="15" hidden="false" customHeight="false" outlineLevel="0" collapsed="false">
      <c r="I7459" s="0" t="n">
        <v>2035</v>
      </c>
      <c r="J7459" s="0" t="n">
        <v>2.68</v>
      </c>
      <c r="K7459" s="0" t="n">
        <v>56.4</v>
      </c>
    </row>
    <row r="7460" customFormat="false" ht="15" hidden="false" customHeight="false" outlineLevel="0" collapsed="false">
      <c r="I7460" s="0" t="n">
        <v>2035</v>
      </c>
      <c r="J7460" s="0" t="n">
        <v>1.34</v>
      </c>
      <c r="K7460" s="0" t="n">
        <v>28.2</v>
      </c>
    </row>
    <row r="7461" customFormat="false" ht="15" hidden="false" customHeight="false" outlineLevel="0" collapsed="false">
      <c r="I7461" s="0" t="n">
        <v>2035</v>
      </c>
      <c r="J7461" s="0" t="n">
        <v>1.34</v>
      </c>
      <c r="K7461" s="0" t="n">
        <v>28.2</v>
      </c>
    </row>
    <row r="7462" customFormat="false" ht="15" hidden="false" customHeight="false" outlineLevel="0" collapsed="false">
      <c r="I7462" s="0" t="n">
        <v>2035</v>
      </c>
      <c r="J7462" s="0" t="n">
        <v>2.68</v>
      </c>
      <c r="K7462" s="0" t="n">
        <v>56.4</v>
      </c>
    </row>
    <row r="7463" customFormat="false" ht="15" hidden="false" customHeight="false" outlineLevel="0" collapsed="false">
      <c r="I7463" s="0" t="n">
        <v>2035</v>
      </c>
      <c r="J7463" s="0" t="n">
        <v>4.69</v>
      </c>
      <c r="K7463" s="0" t="n">
        <v>98.7</v>
      </c>
    </row>
    <row r="7464" customFormat="false" ht="15" hidden="false" customHeight="false" outlineLevel="0" collapsed="false">
      <c r="I7464" s="0" t="n">
        <v>2035</v>
      </c>
      <c r="J7464" s="0" t="n">
        <v>2.01</v>
      </c>
      <c r="K7464" s="0" t="n">
        <v>42.3</v>
      </c>
    </row>
    <row r="7465" customFormat="false" ht="15" hidden="false" customHeight="false" outlineLevel="0" collapsed="false">
      <c r="I7465" s="0" t="n">
        <v>2035</v>
      </c>
      <c r="J7465" s="0" t="n">
        <v>2.01</v>
      </c>
      <c r="K7465" s="0" t="n">
        <v>42.3</v>
      </c>
    </row>
    <row r="7466" customFormat="false" ht="15" hidden="false" customHeight="false" outlineLevel="0" collapsed="false">
      <c r="I7466" s="0" t="n">
        <v>2035</v>
      </c>
      <c r="J7466" s="0" t="n">
        <v>11.96</v>
      </c>
      <c r="K7466" s="0" t="n">
        <v>255.84</v>
      </c>
    </row>
    <row r="7467" customFormat="false" ht="15" hidden="false" customHeight="false" outlineLevel="0" collapsed="false">
      <c r="I7467" s="0" t="n">
        <v>2035</v>
      </c>
      <c r="J7467" s="0" t="n">
        <v>1.84</v>
      </c>
      <c r="K7467" s="0" t="n">
        <v>39.36</v>
      </c>
    </row>
    <row r="7468" customFormat="false" ht="15" hidden="false" customHeight="false" outlineLevel="0" collapsed="false">
      <c r="I7468" s="0" t="n">
        <v>2035</v>
      </c>
      <c r="J7468" s="0" t="n">
        <v>1.38</v>
      </c>
      <c r="K7468" s="0" t="n">
        <v>29.52</v>
      </c>
    </row>
    <row r="7469" customFormat="false" ht="15" hidden="false" customHeight="false" outlineLevel="0" collapsed="false">
      <c r="I7469" s="0" t="n">
        <v>2035</v>
      </c>
      <c r="J7469" s="0" t="n">
        <v>2.3</v>
      </c>
      <c r="K7469" s="0" t="n">
        <v>49.2</v>
      </c>
    </row>
    <row r="7470" customFormat="false" ht="15" hidden="false" customHeight="false" outlineLevel="0" collapsed="false">
      <c r="I7470" s="0" t="n">
        <v>2035</v>
      </c>
      <c r="J7470" s="0" t="n">
        <v>0.46</v>
      </c>
      <c r="K7470" s="0" t="n">
        <v>9.84</v>
      </c>
    </row>
    <row r="7471" customFormat="false" ht="15" hidden="false" customHeight="false" outlineLevel="0" collapsed="false">
      <c r="I7471" s="0" t="n">
        <v>2035</v>
      </c>
      <c r="J7471" s="0" t="n">
        <v>0.46</v>
      </c>
      <c r="K7471" s="0" t="n">
        <v>9.84</v>
      </c>
    </row>
    <row r="7472" customFormat="false" ht="15" hidden="false" customHeight="false" outlineLevel="0" collapsed="false">
      <c r="I7472" s="0" t="n">
        <v>2035</v>
      </c>
      <c r="J7472" s="0" t="n">
        <v>0</v>
      </c>
      <c r="K7472" s="0" t="n">
        <v>0</v>
      </c>
    </row>
    <row r="7473" customFormat="false" ht="15" hidden="false" customHeight="false" outlineLevel="0" collapsed="false">
      <c r="I7473" s="0" t="n">
        <v>2035</v>
      </c>
      <c r="J7473" s="0" t="n">
        <v>0.92</v>
      </c>
      <c r="K7473" s="0" t="n">
        <v>19.68</v>
      </c>
    </row>
    <row r="7474" customFormat="false" ht="15" hidden="false" customHeight="false" outlineLevel="0" collapsed="false">
      <c r="I7474" s="0" t="n">
        <v>2035</v>
      </c>
      <c r="J7474" s="0" t="n">
        <v>1.61</v>
      </c>
      <c r="K7474" s="0" t="n">
        <v>34.44</v>
      </c>
    </row>
    <row r="7475" customFormat="false" ht="15" hidden="false" customHeight="false" outlineLevel="0" collapsed="false">
      <c r="I7475" s="0" t="n">
        <v>2035</v>
      </c>
      <c r="J7475" s="0" t="n">
        <v>0.46</v>
      </c>
      <c r="K7475" s="0" t="n">
        <v>9.84</v>
      </c>
    </row>
    <row r="7476" customFormat="false" ht="15" hidden="false" customHeight="false" outlineLevel="0" collapsed="false">
      <c r="I7476" s="0" t="n">
        <v>2035</v>
      </c>
      <c r="J7476" s="0" t="n">
        <v>1.61</v>
      </c>
      <c r="K7476" s="0" t="n">
        <v>34.44</v>
      </c>
    </row>
    <row r="7477" customFormat="false" ht="15" hidden="false" customHeight="false" outlineLevel="0" collapsed="false">
      <c r="I7477" s="0" t="n">
        <v>2035</v>
      </c>
      <c r="J7477" s="0" t="n">
        <v>145.92</v>
      </c>
      <c r="K7477" s="0" t="n">
        <v>3064.8</v>
      </c>
    </row>
    <row r="7478" customFormat="false" ht="15" hidden="false" customHeight="false" outlineLevel="0" collapsed="false">
      <c r="I7478" s="0" t="n">
        <v>2035</v>
      </c>
      <c r="J7478" s="0" t="n">
        <v>48.64</v>
      </c>
      <c r="K7478" s="0" t="n">
        <v>1021.6</v>
      </c>
    </row>
    <row r="7479" customFormat="false" ht="15" hidden="false" customHeight="false" outlineLevel="0" collapsed="false">
      <c r="I7479" s="0" t="n">
        <v>2035</v>
      </c>
      <c r="J7479" s="0" t="n">
        <v>21.28</v>
      </c>
      <c r="K7479" s="0" t="n">
        <v>446.95</v>
      </c>
    </row>
    <row r="7480" customFormat="false" ht="15" hidden="false" customHeight="false" outlineLevel="0" collapsed="false">
      <c r="I7480" s="0" t="n">
        <v>2035</v>
      </c>
      <c r="J7480" s="0" t="n">
        <v>12.16</v>
      </c>
      <c r="K7480" s="0" t="n">
        <v>255.4</v>
      </c>
    </row>
    <row r="7481" customFormat="false" ht="15" hidden="false" customHeight="false" outlineLevel="0" collapsed="false">
      <c r="I7481" s="0" t="n">
        <v>2035</v>
      </c>
      <c r="J7481" s="0" t="n">
        <v>12.16</v>
      </c>
      <c r="K7481" s="0" t="n">
        <v>255.4</v>
      </c>
    </row>
    <row r="7482" customFormat="false" ht="15" hidden="false" customHeight="false" outlineLevel="0" collapsed="false">
      <c r="I7482" s="0" t="n">
        <v>2035</v>
      </c>
      <c r="J7482" s="0" t="n">
        <v>6.08</v>
      </c>
      <c r="K7482" s="0" t="n">
        <v>127.7</v>
      </c>
    </row>
    <row r="7483" customFormat="false" ht="15" hidden="false" customHeight="false" outlineLevel="0" collapsed="false">
      <c r="I7483" s="0" t="n">
        <v>2035</v>
      </c>
      <c r="J7483" s="0" t="n">
        <v>6.08</v>
      </c>
      <c r="K7483" s="0" t="n">
        <v>127.7</v>
      </c>
    </row>
    <row r="7484" customFormat="false" ht="15" hidden="false" customHeight="false" outlineLevel="0" collapsed="false">
      <c r="I7484" s="0" t="n">
        <v>2035</v>
      </c>
      <c r="J7484" s="0" t="n">
        <v>12.16</v>
      </c>
      <c r="K7484" s="0" t="n">
        <v>255.4</v>
      </c>
    </row>
    <row r="7485" customFormat="false" ht="15" hidden="false" customHeight="false" outlineLevel="0" collapsed="false">
      <c r="I7485" s="0" t="n">
        <v>2035</v>
      </c>
      <c r="J7485" s="0" t="n">
        <v>21.28</v>
      </c>
      <c r="K7485" s="0" t="n">
        <v>446.95</v>
      </c>
    </row>
    <row r="7486" customFormat="false" ht="15" hidden="false" customHeight="false" outlineLevel="0" collapsed="false">
      <c r="I7486" s="0" t="n">
        <v>2035</v>
      </c>
      <c r="J7486" s="0" t="n">
        <v>9.12</v>
      </c>
      <c r="K7486" s="0" t="n">
        <v>191.55</v>
      </c>
    </row>
    <row r="7487" customFormat="false" ht="15" hidden="false" customHeight="false" outlineLevel="0" collapsed="false">
      <c r="I7487" s="0" t="n">
        <v>2035</v>
      </c>
      <c r="J7487" s="0" t="n">
        <v>9.12</v>
      </c>
      <c r="K7487" s="0" t="n">
        <v>191.55</v>
      </c>
    </row>
    <row r="7488" customFormat="false" ht="15" hidden="false" customHeight="false" outlineLevel="0" collapsed="false">
      <c r="I7488" s="0" t="n">
        <v>2035</v>
      </c>
      <c r="J7488" s="0" t="n">
        <v>20.28</v>
      </c>
      <c r="K7488" s="0" t="n">
        <v>430.56</v>
      </c>
    </row>
    <row r="7489" customFormat="false" ht="15" hidden="false" customHeight="false" outlineLevel="0" collapsed="false">
      <c r="I7489" s="0" t="n">
        <v>2035</v>
      </c>
      <c r="J7489" s="0" t="n">
        <v>3.12</v>
      </c>
      <c r="K7489" s="0" t="n">
        <v>66.24</v>
      </c>
    </row>
    <row r="7490" customFormat="false" ht="15" hidden="false" customHeight="false" outlineLevel="0" collapsed="false">
      <c r="I7490" s="0" t="n">
        <v>2035</v>
      </c>
      <c r="J7490" s="0" t="n">
        <v>2.34</v>
      </c>
      <c r="K7490" s="0" t="n">
        <v>49.68</v>
      </c>
    </row>
    <row r="7491" customFormat="false" ht="15" hidden="false" customHeight="false" outlineLevel="0" collapsed="false">
      <c r="I7491" s="0" t="n">
        <v>2035</v>
      </c>
      <c r="J7491" s="0" t="n">
        <v>3.9</v>
      </c>
      <c r="K7491" s="0" t="n">
        <v>82.8</v>
      </c>
    </row>
    <row r="7492" customFormat="false" ht="15" hidden="false" customHeight="false" outlineLevel="0" collapsed="false">
      <c r="I7492" s="0" t="n">
        <v>2035</v>
      </c>
      <c r="J7492" s="0" t="n">
        <v>0.78</v>
      </c>
      <c r="K7492" s="0" t="n">
        <v>16.56</v>
      </c>
    </row>
    <row r="7493" customFormat="false" ht="15" hidden="false" customHeight="false" outlineLevel="0" collapsed="false">
      <c r="I7493" s="0" t="n">
        <v>2035</v>
      </c>
      <c r="J7493" s="0" t="n">
        <v>0.78</v>
      </c>
      <c r="K7493" s="0" t="n">
        <v>16.56</v>
      </c>
    </row>
    <row r="7494" customFormat="false" ht="15" hidden="false" customHeight="false" outlineLevel="0" collapsed="false">
      <c r="I7494" s="0" t="n">
        <v>2035</v>
      </c>
      <c r="J7494" s="0" t="n">
        <v>0</v>
      </c>
      <c r="K7494" s="0" t="n">
        <v>0</v>
      </c>
    </row>
    <row r="7495" customFormat="false" ht="15" hidden="false" customHeight="false" outlineLevel="0" collapsed="false">
      <c r="I7495" s="0" t="n">
        <v>2035</v>
      </c>
      <c r="J7495" s="0" t="n">
        <v>1.56</v>
      </c>
      <c r="K7495" s="0" t="n">
        <v>33.12</v>
      </c>
    </row>
    <row r="7496" customFormat="false" ht="15" hidden="false" customHeight="false" outlineLevel="0" collapsed="false">
      <c r="I7496" s="0" t="n">
        <v>2035</v>
      </c>
      <c r="J7496" s="0" t="n">
        <v>2.73</v>
      </c>
      <c r="K7496" s="0" t="n">
        <v>57.96</v>
      </c>
    </row>
    <row r="7497" customFormat="false" ht="15" hidden="false" customHeight="false" outlineLevel="0" collapsed="false">
      <c r="I7497" s="0" t="n">
        <v>2035</v>
      </c>
      <c r="J7497" s="0" t="n">
        <v>0.78</v>
      </c>
      <c r="K7497" s="0" t="n">
        <v>16.56</v>
      </c>
    </row>
    <row r="7498" customFormat="false" ht="15" hidden="false" customHeight="false" outlineLevel="0" collapsed="false">
      <c r="I7498" s="0" t="n">
        <v>2035</v>
      </c>
      <c r="J7498" s="0" t="n">
        <v>2.73</v>
      </c>
      <c r="K7498" s="0" t="n">
        <v>57.96</v>
      </c>
    </row>
    <row r="7499" customFormat="false" ht="15" hidden="false" customHeight="false" outlineLevel="0" collapsed="false">
      <c r="I7499" s="0" t="n">
        <v>2035</v>
      </c>
      <c r="J7499" s="0" t="n">
        <v>117.12</v>
      </c>
      <c r="K7499" s="0" t="n">
        <v>2456.64</v>
      </c>
    </row>
    <row r="7500" customFormat="false" ht="15" hidden="false" customHeight="false" outlineLevel="0" collapsed="false">
      <c r="I7500" s="0" t="n">
        <v>2035</v>
      </c>
      <c r="J7500" s="0" t="n">
        <v>39.04</v>
      </c>
      <c r="K7500" s="0" t="n">
        <v>818.88</v>
      </c>
    </row>
    <row r="7501" customFormat="false" ht="15" hidden="false" customHeight="false" outlineLevel="0" collapsed="false">
      <c r="I7501" s="0" t="n">
        <v>2035</v>
      </c>
      <c r="J7501" s="0" t="n">
        <v>17.08</v>
      </c>
      <c r="K7501" s="0" t="n">
        <v>358.26</v>
      </c>
    </row>
    <row r="7502" customFormat="false" ht="15" hidden="false" customHeight="false" outlineLevel="0" collapsed="false">
      <c r="I7502" s="0" t="n">
        <v>2035</v>
      </c>
      <c r="J7502" s="0" t="n">
        <v>9.76</v>
      </c>
      <c r="K7502" s="0" t="n">
        <v>204.72</v>
      </c>
    </row>
    <row r="7503" customFormat="false" ht="15" hidden="false" customHeight="false" outlineLevel="0" collapsed="false">
      <c r="I7503" s="0" t="n">
        <v>2035</v>
      </c>
      <c r="J7503" s="0" t="n">
        <v>9.76</v>
      </c>
      <c r="K7503" s="0" t="n">
        <v>204.72</v>
      </c>
    </row>
    <row r="7504" customFormat="false" ht="15" hidden="false" customHeight="false" outlineLevel="0" collapsed="false">
      <c r="I7504" s="0" t="n">
        <v>2035</v>
      </c>
      <c r="J7504" s="0" t="n">
        <v>4.88</v>
      </c>
      <c r="K7504" s="0" t="n">
        <v>102.36</v>
      </c>
    </row>
    <row r="7505" customFormat="false" ht="15" hidden="false" customHeight="false" outlineLevel="0" collapsed="false">
      <c r="I7505" s="0" t="n">
        <v>2035</v>
      </c>
      <c r="J7505" s="0" t="n">
        <v>4.88</v>
      </c>
      <c r="K7505" s="0" t="n">
        <v>102.36</v>
      </c>
    </row>
    <row r="7506" customFormat="false" ht="15" hidden="false" customHeight="false" outlineLevel="0" collapsed="false">
      <c r="I7506" s="0" t="n">
        <v>2035</v>
      </c>
      <c r="J7506" s="0" t="n">
        <v>9.76</v>
      </c>
      <c r="K7506" s="0" t="n">
        <v>204.72</v>
      </c>
    </row>
    <row r="7507" customFormat="false" ht="15" hidden="false" customHeight="false" outlineLevel="0" collapsed="false">
      <c r="I7507" s="0" t="n">
        <v>2035</v>
      </c>
      <c r="J7507" s="0" t="n">
        <v>17.08</v>
      </c>
      <c r="K7507" s="0" t="n">
        <v>358.26</v>
      </c>
    </row>
    <row r="7508" customFormat="false" ht="15" hidden="false" customHeight="false" outlineLevel="0" collapsed="false">
      <c r="I7508" s="0" t="n">
        <v>2035</v>
      </c>
      <c r="J7508" s="0" t="n">
        <v>7.32</v>
      </c>
      <c r="K7508" s="0" t="n">
        <v>153.54</v>
      </c>
    </row>
    <row r="7509" customFormat="false" ht="15" hidden="false" customHeight="false" outlineLevel="0" collapsed="false">
      <c r="I7509" s="0" t="n">
        <v>2035</v>
      </c>
      <c r="J7509" s="0" t="n">
        <v>7.32</v>
      </c>
      <c r="K7509" s="0" t="n">
        <v>153.54</v>
      </c>
    </row>
    <row r="7510" customFormat="false" ht="15" hidden="false" customHeight="false" outlineLevel="0" collapsed="false">
      <c r="I7510" s="0" t="n">
        <v>2035</v>
      </c>
      <c r="J7510" s="0" t="n">
        <v>49.92</v>
      </c>
      <c r="K7510" s="0" t="n">
        <v>1047.8</v>
      </c>
    </row>
    <row r="7511" customFormat="false" ht="15" hidden="false" customHeight="false" outlineLevel="0" collapsed="false">
      <c r="I7511" s="0" t="n">
        <v>2035</v>
      </c>
      <c r="J7511" s="0" t="n">
        <v>7.68</v>
      </c>
      <c r="K7511" s="0" t="n">
        <v>161.2</v>
      </c>
    </row>
    <row r="7512" customFormat="false" ht="15" hidden="false" customHeight="false" outlineLevel="0" collapsed="false">
      <c r="I7512" s="0" t="n">
        <v>2035</v>
      </c>
      <c r="J7512" s="0" t="n">
        <v>5.76</v>
      </c>
      <c r="K7512" s="0" t="n">
        <v>120.9</v>
      </c>
    </row>
    <row r="7513" customFormat="false" ht="15" hidden="false" customHeight="false" outlineLevel="0" collapsed="false">
      <c r="I7513" s="0" t="n">
        <v>2035</v>
      </c>
      <c r="J7513" s="0" t="n">
        <v>9.6</v>
      </c>
      <c r="K7513" s="0" t="n">
        <v>201.5</v>
      </c>
    </row>
    <row r="7514" customFormat="false" ht="15" hidden="false" customHeight="false" outlineLevel="0" collapsed="false">
      <c r="I7514" s="0" t="n">
        <v>2035</v>
      </c>
      <c r="J7514" s="0" t="n">
        <v>1.92</v>
      </c>
      <c r="K7514" s="0" t="n">
        <v>40.3</v>
      </c>
    </row>
    <row r="7515" customFormat="false" ht="15" hidden="false" customHeight="false" outlineLevel="0" collapsed="false">
      <c r="I7515" s="0" t="n">
        <v>2035</v>
      </c>
      <c r="J7515" s="0" t="n">
        <v>1.92</v>
      </c>
      <c r="K7515" s="0" t="n">
        <v>40.3</v>
      </c>
    </row>
    <row r="7516" customFormat="false" ht="15" hidden="false" customHeight="false" outlineLevel="0" collapsed="false">
      <c r="I7516" s="0" t="n">
        <v>2035</v>
      </c>
      <c r="J7516" s="0" t="n">
        <v>0</v>
      </c>
      <c r="K7516" s="0" t="n">
        <v>0</v>
      </c>
    </row>
    <row r="7517" customFormat="false" ht="15" hidden="false" customHeight="false" outlineLevel="0" collapsed="false">
      <c r="I7517" s="0" t="n">
        <v>2035</v>
      </c>
      <c r="J7517" s="0" t="n">
        <v>3.84</v>
      </c>
      <c r="K7517" s="0" t="n">
        <v>80.6</v>
      </c>
    </row>
    <row r="7518" customFormat="false" ht="15" hidden="false" customHeight="false" outlineLevel="0" collapsed="false">
      <c r="I7518" s="0" t="n">
        <v>2035</v>
      </c>
      <c r="J7518" s="0" t="n">
        <v>6.72</v>
      </c>
      <c r="K7518" s="0" t="n">
        <v>141.05</v>
      </c>
    </row>
    <row r="7519" customFormat="false" ht="15" hidden="false" customHeight="false" outlineLevel="0" collapsed="false">
      <c r="I7519" s="0" t="n">
        <v>2035</v>
      </c>
      <c r="J7519" s="0" t="n">
        <v>1.92</v>
      </c>
      <c r="K7519" s="0" t="n">
        <v>40.3</v>
      </c>
    </row>
    <row r="7520" customFormat="false" ht="15" hidden="false" customHeight="false" outlineLevel="0" collapsed="false">
      <c r="I7520" s="0" t="n">
        <v>2035</v>
      </c>
      <c r="J7520" s="0" t="n">
        <v>6.72</v>
      </c>
      <c r="K7520" s="0" t="n">
        <v>141.05</v>
      </c>
    </row>
    <row r="7521" customFormat="false" ht="15" hidden="false" customHeight="false" outlineLevel="0" collapsed="false">
      <c r="I7521" s="0" t="n">
        <v>2035</v>
      </c>
      <c r="J7521" s="0" t="n">
        <v>1145.76</v>
      </c>
      <c r="K7521" s="0" t="n">
        <v>24063.36</v>
      </c>
    </row>
    <row r="7522" customFormat="false" ht="15" hidden="false" customHeight="false" outlineLevel="0" collapsed="false">
      <c r="I7522" s="0" t="n">
        <v>2035</v>
      </c>
      <c r="J7522" s="0" t="n">
        <v>381.92</v>
      </c>
      <c r="K7522" s="0" t="n">
        <v>8021.12</v>
      </c>
    </row>
    <row r="7523" customFormat="false" ht="15" hidden="false" customHeight="false" outlineLevel="0" collapsed="false">
      <c r="I7523" s="0" t="n">
        <v>2035</v>
      </c>
      <c r="J7523" s="0" t="n">
        <v>167.09</v>
      </c>
      <c r="K7523" s="0" t="n">
        <v>3509.24</v>
      </c>
    </row>
    <row r="7524" customFormat="false" ht="15" hidden="false" customHeight="false" outlineLevel="0" collapsed="false">
      <c r="I7524" s="0" t="n">
        <v>2035</v>
      </c>
      <c r="J7524" s="0" t="n">
        <v>95.48</v>
      </c>
      <c r="K7524" s="0" t="n">
        <v>2005.28</v>
      </c>
    </row>
    <row r="7525" customFormat="false" ht="15" hidden="false" customHeight="false" outlineLevel="0" collapsed="false">
      <c r="I7525" s="0" t="n">
        <v>2035</v>
      </c>
      <c r="J7525" s="0" t="n">
        <v>95.48</v>
      </c>
      <c r="K7525" s="0" t="n">
        <v>2005.28</v>
      </c>
    </row>
    <row r="7526" customFormat="false" ht="15" hidden="false" customHeight="false" outlineLevel="0" collapsed="false">
      <c r="I7526" s="0" t="n">
        <v>2035</v>
      </c>
      <c r="J7526" s="0" t="n">
        <v>47.74</v>
      </c>
      <c r="K7526" s="0" t="n">
        <v>1002.64</v>
      </c>
    </row>
    <row r="7527" customFormat="false" ht="15" hidden="false" customHeight="false" outlineLevel="0" collapsed="false">
      <c r="I7527" s="0" t="n">
        <v>2035</v>
      </c>
      <c r="J7527" s="0" t="n">
        <v>47.74</v>
      </c>
      <c r="K7527" s="0" t="n">
        <v>1002.64</v>
      </c>
    </row>
    <row r="7528" customFormat="false" ht="15" hidden="false" customHeight="false" outlineLevel="0" collapsed="false">
      <c r="I7528" s="0" t="n">
        <v>2035</v>
      </c>
      <c r="J7528" s="0" t="n">
        <v>95.48</v>
      </c>
      <c r="K7528" s="0" t="n">
        <v>2005.28</v>
      </c>
    </row>
    <row r="7529" customFormat="false" ht="15" hidden="false" customHeight="false" outlineLevel="0" collapsed="false">
      <c r="I7529" s="0" t="n">
        <v>2035</v>
      </c>
      <c r="J7529" s="0" t="n">
        <v>167.09</v>
      </c>
      <c r="K7529" s="0" t="n">
        <v>3509.24</v>
      </c>
    </row>
    <row r="7530" customFormat="false" ht="15" hidden="false" customHeight="false" outlineLevel="0" collapsed="false">
      <c r="I7530" s="0" t="n">
        <v>2035</v>
      </c>
      <c r="J7530" s="0" t="n">
        <v>71.61</v>
      </c>
      <c r="K7530" s="0" t="n">
        <v>1503.96</v>
      </c>
    </row>
    <row r="7531" customFormat="false" ht="15" hidden="false" customHeight="false" outlineLevel="0" collapsed="false">
      <c r="I7531" s="0" t="n">
        <v>2035</v>
      </c>
      <c r="J7531" s="0" t="n">
        <v>71.61</v>
      </c>
      <c r="K7531" s="0" t="n">
        <v>1503.96</v>
      </c>
    </row>
    <row r="7532" customFormat="false" ht="15" hidden="false" customHeight="false" outlineLevel="0" collapsed="false">
      <c r="I7532" s="0" t="n">
        <v>2035</v>
      </c>
      <c r="J7532" s="0" t="n">
        <v>145.6</v>
      </c>
      <c r="K7532" s="0" t="n">
        <v>3061.76</v>
      </c>
    </row>
    <row r="7533" customFormat="false" ht="15" hidden="false" customHeight="false" outlineLevel="0" collapsed="false">
      <c r="I7533" s="0" t="n">
        <v>2035</v>
      </c>
      <c r="J7533" s="0" t="n">
        <v>22.4</v>
      </c>
      <c r="K7533" s="0" t="n">
        <v>471.04</v>
      </c>
    </row>
    <row r="7534" customFormat="false" ht="15" hidden="false" customHeight="false" outlineLevel="0" collapsed="false">
      <c r="I7534" s="0" t="n">
        <v>2035</v>
      </c>
      <c r="J7534" s="0" t="n">
        <v>16.8</v>
      </c>
      <c r="K7534" s="0" t="n">
        <v>353.28</v>
      </c>
    </row>
    <row r="7535" customFormat="false" ht="15" hidden="false" customHeight="false" outlineLevel="0" collapsed="false">
      <c r="I7535" s="0" t="n">
        <v>2035</v>
      </c>
      <c r="J7535" s="0" t="n">
        <v>28</v>
      </c>
      <c r="K7535" s="0" t="n">
        <v>588.8</v>
      </c>
    </row>
    <row r="7536" customFormat="false" ht="15" hidden="false" customHeight="false" outlineLevel="0" collapsed="false">
      <c r="I7536" s="0" t="n">
        <v>2035</v>
      </c>
      <c r="J7536" s="0" t="n">
        <v>5.6</v>
      </c>
      <c r="K7536" s="0" t="n">
        <v>117.76</v>
      </c>
    </row>
    <row r="7537" customFormat="false" ht="15" hidden="false" customHeight="false" outlineLevel="0" collapsed="false">
      <c r="I7537" s="0" t="n">
        <v>2035</v>
      </c>
      <c r="J7537" s="0" t="n">
        <v>5.6</v>
      </c>
      <c r="K7537" s="0" t="n">
        <v>117.76</v>
      </c>
    </row>
    <row r="7538" customFormat="false" ht="15" hidden="false" customHeight="false" outlineLevel="0" collapsed="false">
      <c r="I7538" s="0" t="n">
        <v>2035</v>
      </c>
      <c r="J7538" s="0" t="n">
        <v>0</v>
      </c>
      <c r="K7538" s="0" t="n">
        <v>0</v>
      </c>
    </row>
    <row r="7539" customFormat="false" ht="15" hidden="false" customHeight="false" outlineLevel="0" collapsed="false">
      <c r="I7539" s="0" t="n">
        <v>2035</v>
      </c>
      <c r="J7539" s="0" t="n">
        <v>11.2</v>
      </c>
      <c r="K7539" s="0" t="n">
        <v>235.52</v>
      </c>
    </row>
    <row r="7540" customFormat="false" ht="15" hidden="false" customHeight="false" outlineLevel="0" collapsed="false">
      <c r="I7540" s="0" t="n">
        <v>2035</v>
      </c>
      <c r="J7540" s="0" t="n">
        <v>19.6</v>
      </c>
      <c r="K7540" s="0" t="n">
        <v>412.16</v>
      </c>
    </row>
    <row r="7541" customFormat="false" ht="15" hidden="false" customHeight="false" outlineLevel="0" collapsed="false">
      <c r="I7541" s="0" t="n">
        <v>2035</v>
      </c>
      <c r="J7541" s="0" t="n">
        <v>5.6</v>
      </c>
      <c r="K7541" s="0" t="n">
        <v>117.76</v>
      </c>
    </row>
    <row r="7542" customFormat="false" ht="15" hidden="false" customHeight="false" outlineLevel="0" collapsed="false">
      <c r="I7542" s="0" t="n">
        <v>2035</v>
      </c>
      <c r="J7542" s="0" t="n">
        <v>19.6</v>
      </c>
      <c r="K7542" s="0" t="n">
        <v>412.16</v>
      </c>
    </row>
    <row r="7543" customFormat="false" ht="15" hidden="false" customHeight="false" outlineLevel="0" collapsed="false">
      <c r="I7543" s="0" t="n">
        <v>2035</v>
      </c>
      <c r="J7543" s="0" t="n">
        <v>113.28</v>
      </c>
      <c r="K7543" s="0" t="n">
        <v>2374.08</v>
      </c>
    </row>
    <row r="7544" customFormat="false" ht="15" hidden="false" customHeight="false" outlineLevel="0" collapsed="false">
      <c r="I7544" s="0" t="n">
        <v>2035</v>
      </c>
      <c r="J7544" s="0" t="n">
        <v>37.76</v>
      </c>
      <c r="K7544" s="0" t="n">
        <v>791.36</v>
      </c>
    </row>
    <row r="7545" customFormat="false" ht="15" hidden="false" customHeight="false" outlineLevel="0" collapsed="false">
      <c r="I7545" s="0" t="n">
        <v>2035</v>
      </c>
      <c r="J7545" s="0" t="n">
        <v>16.52</v>
      </c>
      <c r="K7545" s="0" t="n">
        <v>346.22</v>
      </c>
    </row>
    <row r="7546" customFormat="false" ht="15" hidden="false" customHeight="false" outlineLevel="0" collapsed="false">
      <c r="I7546" s="0" t="n">
        <v>2035</v>
      </c>
      <c r="J7546" s="0" t="n">
        <v>9.44</v>
      </c>
      <c r="K7546" s="0" t="n">
        <v>197.84</v>
      </c>
    </row>
    <row r="7547" customFormat="false" ht="15" hidden="false" customHeight="false" outlineLevel="0" collapsed="false">
      <c r="I7547" s="0" t="n">
        <v>2035</v>
      </c>
      <c r="J7547" s="0" t="n">
        <v>9.44</v>
      </c>
      <c r="K7547" s="0" t="n">
        <v>197.84</v>
      </c>
    </row>
    <row r="7548" customFormat="false" ht="15" hidden="false" customHeight="false" outlineLevel="0" collapsed="false">
      <c r="I7548" s="0" t="n">
        <v>2035</v>
      </c>
      <c r="J7548" s="0" t="n">
        <v>4.72</v>
      </c>
      <c r="K7548" s="0" t="n">
        <v>98.92</v>
      </c>
    </row>
    <row r="7549" customFormat="false" ht="15" hidden="false" customHeight="false" outlineLevel="0" collapsed="false">
      <c r="I7549" s="0" t="n">
        <v>2035</v>
      </c>
      <c r="J7549" s="0" t="n">
        <v>4.72</v>
      </c>
      <c r="K7549" s="0" t="n">
        <v>98.92</v>
      </c>
    </row>
    <row r="7550" customFormat="false" ht="15" hidden="false" customHeight="false" outlineLevel="0" collapsed="false">
      <c r="I7550" s="0" t="n">
        <v>2035</v>
      </c>
      <c r="J7550" s="0" t="n">
        <v>9.44</v>
      </c>
      <c r="K7550" s="0" t="n">
        <v>197.84</v>
      </c>
    </row>
    <row r="7551" customFormat="false" ht="15" hidden="false" customHeight="false" outlineLevel="0" collapsed="false">
      <c r="I7551" s="0" t="n">
        <v>2035</v>
      </c>
      <c r="J7551" s="0" t="n">
        <v>16.52</v>
      </c>
      <c r="K7551" s="0" t="n">
        <v>346.22</v>
      </c>
    </row>
    <row r="7552" customFormat="false" ht="15" hidden="false" customHeight="false" outlineLevel="0" collapsed="false">
      <c r="I7552" s="0" t="n">
        <v>2035</v>
      </c>
      <c r="J7552" s="0" t="n">
        <v>7.08</v>
      </c>
      <c r="K7552" s="0" t="n">
        <v>148.38</v>
      </c>
    </row>
    <row r="7553" customFormat="false" ht="15" hidden="false" customHeight="false" outlineLevel="0" collapsed="false">
      <c r="I7553" s="0" t="n">
        <v>2035</v>
      </c>
      <c r="J7553" s="0" t="n">
        <v>7.08</v>
      </c>
      <c r="K7553" s="0" t="n">
        <v>148.38</v>
      </c>
    </row>
    <row r="7554" customFormat="false" ht="15" hidden="false" customHeight="false" outlineLevel="0" collapsed="false">
      <c r="I7554" s="0" t="n">
        <v>2035</v>
      </c>
      <c r="J7554" s="0" t="n">
        <v>35.36</v>
      </c>
      <c r="K7554" s="0" t="n">
        <v>747.76</v>
      </c>
    </row>
    <row r="7555" customFormat="false" ht="15" hidden="false" customHeight="false" outlineLevel="0" collapsed="false">
      <c r="I7555" s="0" t="n">
        <v>2035</v>
      </c>
      <c r="J7555" s="0" t="n">
        <v>5.44</v>
      </c>
      <c r="K7555" s="0" t="n">
        <v>115.04</v>
      </c>
    </row>
    <row r="7556" customFormat="false" ht="15" hidden="false" customHeight="false" outlineLevel="0" collapsed="false">
      <c r="I7556" s="0" t="n">
        <v>2035</v>
      </c>
      <c r="J7556" s="0" t="n">
        <v>4.08</v>
      </c>
      <c r="K7556" s="0" t="n">
        <v>86.28</v>
      </c>
    </row>
    <row r="7557" customFormat="false" ht="15" hidden="false" customHeight="false" outlineLevel="0" collapsed="false">
      <c r="I7557" s="0" t="n">
        <v>2035</v>
      </c>
      <c r="J7557" s="0" t="n">
        <v>6.8</v>
      </c>
      <c r="K7557" s="0" t="n">
        <v>143.8</v>
      </c>
    </row>
    <row r="7558" customFormat="false" ht="15" hidden="false" customHeight="false" outlineLevel="0" collapsed="false">
      <c r="I7558" s="0" t="n">
        <v>2035</v>
      </c>
      <c r="J7558" s="0" t="n">
        <v>1.36</v>
      </c>
      <c r="K7558" s="0" t="n">
        <v>28.76</v>
      </c>
    </row>
    <row r="7559" customFormat="false" ht="15" hidden="false" customHeight="false" outlineLevel="0" collapsed="false">
      <c r="I7559" s="0" t="n">
        <v>2035</v>
      </c>
      <c r="J7559" s="0" t="n">
        <v>1.36</v>
      </c>
      <c r="K7559" s="0" t="n">
        <v>28.76</v>
      </c>
    </row>
    <row r="7560" customFormat="false" ht="15" hidden="false" customHeight="false" outlineLevel="0" collapsed="false">
      <c r="I7560" s="0" t="n">
        <v>2035</v>
      </c>
      <c r="J7560" s="0" t="n">
        <v>0</v>
      </c>
      <c r="K7560" s="0" t="n">
        <v>0</v>
      </c>
    </row>
    <row r="7561" customFormat="false" ht="15" hidden="false" customHeight="false" outlineLevel="0" collapsed="false">
      <c r="I7561" s="0" t="n">
        <v>2035</v>
      </c>
      <c r="J7561" s="0" t="n">
        <v>2.72</v>
      </c>
      <c r="K7561" s="0" t="n">
        <v>57.52</v>
      </c>
    </row>
    <row r="7562" customFormat="false" ht="15" hidden="false" customHeight="false" outlineLevel="0" collapsed="false">
      <c r="I7562" s="0" t="n">
        <v>2035</v>
      </c>
      <c r="J7562" s="0" t="n">
        <v>4.76</v>
      </c>
      <c r="K7562" s="0" t="n">
        <v>100.66</v>
      </c>
    </row>
    <row r="7563" customFormat="false" ht="15" hidden="false" customHeight="false" outlineLevel="0" collapsed="false">
      <c r="I7563" s="0" t="n">
        <v>2035</v>
      </c>
      <c r="J7563" s="0" t="n">
        <v>1.36</v>
      </c>
      <c r="K7563" s="0" t="n">
        <v>28.76</v>
      </c>
    </row>
    <row r="7564" customFormat="false" ht="15" hidden="false" customHeight="false" outlineLevel="0" collapsed="false">
      <c r="I7564" s="0" t="n">
        <v>2035</v>
      </c>
      <c r="J7564" s="0" t="n">
        <v>4.76</v>
      </c>
      <c r="K7564" s="0" t="n">
        <v>100.66</v>
      </c>
    </row>
    <row r="7565" customFormat="false" ht="15" hidden="false" customHeight="false" outlineLevel="0" collapsed="false">
      <c r="I7565" s="0" t="n">
        <v>2035</v>
      </c>
      <c r="J7565" s="0" t="n">
        <v>275.52</v>
      </c>
      <c r="K7565" s="0" t="n">
        <v>5784</v>
      </c>
    </row>
    <row r="7566" customFormat="false" ht="15" hidden="false" customHeight="false" outlineLevel="0" collapsed="false">
      <c r="I7566" s="0" t="n">
        <v>2035</v>
      </c>
      <c r="J7566" s="0" t="n">
        <v>91.84</v>
      </c>
      <c r="K7566" s="0" t="n">
        <v>1928</v>
      </c>
    </row>
    <row r="7567" customFormat="false" ht="15" hidden="false" customHeight="false" outlineLevel="0" collapsed="false">
      <c r="I7567" s="0" t="n">
        <v>2035</v>
      </c>
      <c r="J7567" s="0" t="n">
        <v>40.18</v>
      </c>
      <c r="K7567" s="0" t="n">
        <v>843.5</v>
      </c>
    </row>
    <row r="7568" customFormat="false" ht="15" hidden="false" customHeight="false" outlineLevel="0" collapsed="false">
      <c r="I7568" s="0" t="n">
        <v>2035</v>
      </c>
      <c r="J7568" s="0" t="n">
        <v>22.96</v>
      </c>
      <c r="K7568" s="0" t="n">
        <v>482</v>
      </c>
    </row>
    <row r="7569" customFormat="false" ht="15" hidden="false" customHeight="false" outlineLevel="0" collapsed="false">
      <c r="I7569" s="0" t="n">
        <v>2035</v>
      </c>
      <c r="J7569" s="0" t="n">
        <v>22.96</v>
      </c>
      <c r="K7569" s="0" t="n">
        <v>482</v>
      </c>
    </row>
    <row r="7570" customFormat="false" ht="15" hidden="false" customHeight="false" outlineLevel="0" collapsed="false">
      <c r="I7570" s="0" t="n">
        <v>2035</v>
      </c>
      <c r="J7570" s="0" t="n">
        <v>11.48</v>
      </c>
      <c r="K7570" s="0" t="n">
        <v>241</v>
      </c>
    </row>
    <row r="7571" customFormat="false" ht="15" hidden="false" customHeight="false" outlineLevel="0" collapsed="false">
      <c r="I7571" s="0" t="n">
        <v>2035</v>
      </c>
      <c r="J7571" s="0" t="n">
        <v>11.48</v>
      </c>
      <c r="K7571" s="0" t="n">
        <v>241</v>
      </c>
    </row>
    <row r="7572" customFormat="false" ht="15" hidden="false" customHeight="false" outlineLevel="0" collapsed="false">
      <c r="I7572" s="0" t="n">
        <v>2035</v>
      </c>
      <c r="J7572" s="0" t="n">
        <v>22.96</v>
      </c>
      <c r="K7572" s="0" t="n">
        <v>482</v>
      </c>
    </row>
    <row r="7573" customFormat="false" ht="15" hidden="false" customHeight="false" outlineLevel="0" collapsed="false">
      <c r="I7573" s="0" t="n">
        <v>2035</v>
      </c>
      <c r="J7573" s="0" t="n">
        <v>40.18</v>
      </c>
      <c r="K7573" s="0" t="n">
        <v>843.5</v>
      </c>
    </row>
    <row r="7574" customFormat="false" ht="15" hidden="false" customHeight="false" outlineLevel="0" collapsed="false">
      <c r="I7574" s="0" t="n">
        <v>2035</v>
      </c>
      <c r="J7574" s="0" t="n">
        <v>17.22</v>
      </c>
      <c r="K7574" s="0" t="n">
        <v>361.5</v>
      </c>
    </row>
    <row r="7575" customFormat="false" ht="15" hidden="false" customHeight="false" outlineLevel="0" collapsed="false">
      <c r="I7575" s="0" t="n">
        <v>2035</v>
      </c>
      <c r="J7575" s="0" t="n">
        <v>17.22</v>
      </c>
      <c r="K7575" s="0" t="n">
        <v>361.5</v>
      </c>
    </row>
    <row r="7576" customFormat="false" ht="15" hidden="false" customHeight="false" outlineLevel="0" collapsed="false">
      <c r="I7576" s="0" t="n">
        <v>2035</v>
      </c>
      <c r="J7576" s="0" t="n">
        <v>33.28</v>
      </c>
      <c r="K7576" s="0" t="n">
        <v>698.36</v>
      </c>
    </row>
    <row r="7577" customFormat="false" ht="15" hidden="false" customHeight="false" outlineLevel="0" collapsed="false">
      <c r="I7577" s="0" t="n">
        <v>2035</v>
      </c>
      <c r="J7577" s="0" t="n">
        <v>5.12</v>
      </c>
      <c r="K7577" s="0" t="n">
        <v>107.44</v>
      </c>
    </row>
    <row r="7578" customFormat="false" ht="15" hidden="false" customHeight="false" outlineLevel="0" collapsed="false">
      <c r="I7578" s="0" t="n">
        <v>2035</v>
      </c>
      <c r="J7578" s="0" t="n">
        <v>3.84</v>
      </c>
      <c r="K7578" s="0" t="n">
        <v>80.58</v>
      </c>
    </row>
    <row r="7579" customFormat="false" ht="15" hidden="false" customHeight="false" outlineLevel="0" collapsed="false">
      <c r="I7579" s="0" t="n">
        <v>2035</v>
      </c>
      <c r="J7579" s="0" t="n">
        <v>6.4</v>
      </c>
      <c r="K7579" s="0" t="n">
        <v>134.3</v>
      </c>
    </row>
    <row r="7580" customFormat="false" ht="15" hidden="false" customHeight="false" outlineLevel="0" collapsed="false">
      <c r="I7580" s="0" t="n">
        <v>2035</v>
      </c>
      <c r="J7580" s="0" t="n">
        <v>1.28</v>
      </c>
      <c r="K7580" s="0" t="n">
        <v>26.86</v>
      </c>
    </row>
    <row r="7581" customFormat="false" ht="15" hidden="false" customHeight="false" outlineLevel="0" collapsed="false">
      <c r="I7581" s="0" t="n">
        <v>2035</v>
      </c>
      <c r="J7581" s="0" t="n">
        <v>1.28</v>
      </c>
      <c r="K7581" s="0" t="n">
        <v>26.86</v>
      </c>
    </row>
    <row r="7582" customFormat="false" ht="15" hidden="false" customHeight="false" outlineLevel="0" collapsed="false">
      <c r="I7582" s="0" t="n">
        <v>2035</v>
      </c>
      <c r="J7582" s="0" t="n">
        <v>0</v>
      </c>
      <c r="K7582" s="0" t="n">
        <v>0</v>
      </c>
    </row>
    <row r="7583" customFormat="false" ht="15" hidden="false" customHeight="false" outlineLevel="0" collapsed="false">
      <c r="I7583" s="0" t="n">
        <v>2035</v>
      </c>
      <c r="J7583" s="0" t="n">
        <v>2.56</v>
      </c>
      <c r="K7583" s="0" t="n">
        <v>53.72</v>
      </c>
    </row>
    <row r="7584" customFormat="false" ht="15" hidden="false" customHeight="false" outlineLevel="0" collapsed="false">
      <c r="I7584" s="0" t="n">
        <v>2035</v>
      </c>
      <c r="J7584" s="0" t="n">
        <v>4.48</v>
      </c>
      <c r="K7584" s="0" t="n">
        <v>94.01</v>
      </c>
    </row>
    <row r="7585" customFormat="false" ht="15" hidden="false" customHeight="false" outlineLevel="0" collapsed="false">
      <c r="I7585" s="0" t="n">
        <v>2035</v>
      </c>
      <c r="J7585" s="0" t="n">
        <v>1.28</v>
      </c>
      <c r="K7585" s="0" t="n">
        <v>26.86</v>
      </c>
    </row>
    <row r="7586" customFormat="false" ht="15" hidden="false" customHeight="false" outlineLevel="0" collapsed="false">
      <c r="I7586" s="0" t="n">
        <v>2035</v>
      </c>
      <c r="J7586" s="0" t="n">
        <v>4.48</v>
      </c>
      <c r="K7586" s="0" t="n">
        <v>94.01</v>
      </c>
    </row>
    <row r="7587" customFormat="false" ht="15" hidden="false" customHeight="false" outlineLevel="0" collapsed="false">
      <c r="I7587" s="0" t="n">
        <v>2035</v>
      </c>
      <c r="J7587" s="0" t="n">
        <v>24</v>
      </c>
      <c r="K7587" s="0" t="n">
        <v>505.92</v>
      </c>
    </row>
    <row r="7588" customFormat="false" ht="15" hidden="false" customHeight="false" outlineLevel="0" collapsed="false">
      <c r="I7588" s="0" t="n">
        <v>2035</v>
      </c>
      <c r="J7588" s="0" t="n">
        <v>8</v>
      </c>
      <c r="K7588" s="0" t="n">
        <v>168.64</v>
      </c>
    </row>
    <row r="7589" customFormat="false" ht="15" hidden="false" customHeight="false" outlineLevel="0" collapsed="false">
      <c r="I7589" s="0" t="n">
        <v>2035</v>
      </c>
      <c r="J7589" s="0" t="n">
        <v>3.5</v>
      </c>
      <c r="K7589" s="0" t="n">
        <v>73.78</v>
      </c>
    </row>
    <row r="7590" customFormat="false" ht="15" hidden="false" customHeight="false" outlineLevel="0" collapsed="false">
      <c r="I7590" s="0" t="n">
        <v>2035</v>
      </c>
      <c r="J7590" s="0" t="n">
        <v>2</v>
      </c>
      <c r="K7590" s="0" t="n">
        <v>42.16</v>
      </c>
    </row>
    <row r="7591" customFormat="false" ht="15" hidden="false" customHeight="false" outlineLevel="0" collapsed="false">
      <c r="I7591" s="0" t="n">
        <v>2035</v>
      </c>
      <c r="J7591" s="0" t="n">
        <v>2</v>
      </c>
      <c r="K7591" s="0" t="n">
        <v>42.16</v>
      </c>
    </row>
    <row r="7592" customFormat="false" ht="15" hidden="false" customHeight="false" outlineLevel="0" collapsed="false">
      <c r="I7592" s="0" t="n">
        <v>2035</v>
      </c>
      <c r="J7592" s="0" t="n">
        <v>1</v>
      </c>
      <c r="K7592" s="0" t="n">
        <v>21.08</v>
      </c>
    </row>
    <row r="7593" customFormat="false" ht="15" hidden="false" customHeight="false" outlineLevel="0" collapsed="false">
      <c r="I7593" s="0" t="n">
        <v>2035</v>
      </c>
      <c r="J7593" s="0" t="n">
        <v>1</v>
      </c>
      <c r="K7593" s="0" t="n">
        <v>21.08</v>
      </c>
    </row>
    <row r="7594" customFormat="false" ht="15" hidden="false" customHeight="false" outlineLevel="0" collapsed="false">
      <c r="I7594" s="0" t="n">
        <v>2035</v>
      </c>
      <c r="J7594" s="0" t="n">
        <v>2</v>
      </c>
      <c r="K7594" s="0" t="n">
        <v>42.16</v>
      </c>
    </row>
    <row r="7595" customFormat="false" ht="15" hidden="false" customHeight="false" outlineLevel="0" collapsed="false">
      <c r="I7595" s="0" t="n">
        <v>2035</v>
      </c>
      <c r="J7595" s="0" t="n">
        <v>3.5</v>
      </c>
      <c r="K7595" s="0" t="n">
        <v>73.78</v>
      </c>
    </row>
    <row r="7596" customFormat="false" ht="15" hidden="false" customHeight="false" outlineLevel="0" collapsed="false">
      <c r="I7596" s="0" t="n">
        <v>2035</v>
      </c>
      <c r="J7596" s="0" t="n">
        <v>1.5</v>
      </c>
      <c r="K7596" s="0" t="n">
        <v>31.62</v>
      </c>
    </row>
    <row r="7597" customFormat="false" ht="15" hidden="false" customHeight="false" outlineLevel="0" collapsed="false">
      <c r="I7597" s="0" t="n">
        <v>2035</v>
      </c>
      <c r="J7597" s="0" t="n">
        <v>1.5</v>
      </c>
      <c r="K7597" s="0" t="n">
        <v>31.62</v>
      </c>
    </row>
    <row r="7598" customFormat="false" ht="15" hidden="false" customHeight="false" outlineLevel="0" collapsed="false">
      <c r="I7598" s="0" t="n">
        <v>2035</v>
      </c>
      <c r="J7598" s="0" t="n">
        <v>9.88</v>
      </c>
      <c r="K7598" s="0" t="n">
        <v>212.16</v>
      </c>
    </row>
    <row r="7599" customFormat="false" ht="15" hidden="false" customHeight="false" outlineLevel="0" collapsed="false">
      <c r="I7599" s="0" t="n">
        <v>2035</v>
      </c>
      <c r="J7599" s="0" t="n">
        <v>1.52</v>
      </c>
      <c r="K7599" s="0" t="n">
        <v>32.64</v>
      </c>
    </row>
    <row r="7600" customFormat="false" ht="15" hidden="false" customHeight="false" outlineLevel="0" collapsed="false">
      <c r="I7600" s="0" t="n">
        <v>2035</v>
      </c>
      <c r="J7600" s="0" t="n">
        <v>1.14</v>
      </c>
      <c r="K7600" s="0" t="n">
        <v>24.48</v>
      </c>
    </row>
    <row r="7601" customFormat="false" ht="15" hidden="false" customHeight="false" outlineLevel="0" collapsed="false">
      <c r="I7601" s="0" t="n">
        <v>2035</v>
      </c>
      <c r="J7601" s="0" t="n">
        <v>1.9</v>
      </c>
      <c r="K7601" s="0" t="n">
        <v>40.8</v>
      </c>
    </row>
    <row r="7602" customFormat="false" ht="15" hidden="false" customHeight="false" outlineLevel="0" collapsed="false">
      <c r="I7602" s="0" t="n">
        <v>2035</v>
      </c>
      <c r="J7602" s="0" t="n">
        <v>0.38</v>
      </c>
      <c r="K7602" s="0" t="n">
        <v>8.16</v>
      </c>
    </row>
    <row r="7603" customFormat="false" ht="15" hidden="false" customHeight="false" outlineLevel="0" collapsed="false">
      <c r="I7603" s="0" t="n">
        <v>2035</v>
      </c>
      <c r="J7603" s="0" t="n">
        <v>0.38</v>
      </c>
      <c r="K7603" s="0" t="n">
        <v>8.16</v>
      </c>
    </row>
    <row r="7604" customFormat="false" ht="15" hidden="false" customHeight="false" outlineLevel="0" collapsed="false">
      <c r="I7604" s="0" t="n">
        <v>2035</v>
      </c>
      <c r="J7604" s="0" t="n">
        <v>0</v>
      </c>
      <c r="K7604" s="0" t="n">
        <v>0</v>
      </c>
    </row>
    <row r="7605" customFormat="false" ht="15" hidden="false" customHeight="false" outlineLevel="0" collapsed="false">
      <c r="I7605" s="0" t="n">
        <v>2035</v>
      </c>
      <c r="J7605" s="0" t="n">
        <v>0.76</v>
      </c>
      <c r="K7605" s="0" t="n">
        <v>16.32</v>
      </c>
    </row>
    <row r="7606" customFormat="false" ht="15" hidden="false" customHeight="false" outlineLevel="0" collapsed="false">
      <c r="I7606" s="0" t="n">
        <v>2035</v>
      </c>
      <c r="J7606" s="0" t="n">
        <v>1.33</v>
      </c>
      <c r="K7606" s="0" t="n">
        <v>28.56</v>
      </c>
    </row>
    <row r="7607" customFormat="false" ht="15" hidden="false" customHeight="false" outlineLevel="0" collapsed="false">
      <c r="I7607" s="0" t="n">
        <v>2035</v>
      </c>
      <c r="J7607" s="0" t="n">
        <v>0.38</v>
      </c>
      <c r="K7607" s="0" t="n">
        <v>8.16</v>
      </c>
    </row>
    <row r="7608" customFormat="false" ht="15" hidden="false" customHeight="false" outlineLevel="0" collapsed="false">
      <c r="I7608" s="0" t="n">
        <v>2035</v>
      </c>
      <c r="J7608" s="0" t="n">
        <v>1.33</v>
      </c>
      <c r="K7608" s="0" t="n">
        <v>28.56</v>
      </c>
    </row>
    <row r="7609" customFormat="false" ht="15" hidden="false" customHeight="false" outlineLevel="0" collapsed="false">
      <c r="I7609" s="0" t="n">
        <v>2035</v>
      </c>
      <c r="J7609" s="0" t="n">
        <v>62.4</v>
      </c>
      <c r="K7609" s="0" t="n">
        <v>1308.48</v>
      </c>
    </row>
    <row r="7610" customFormat="false" ht="15" hidden="false" customHeight="false" outlineLevel="0" collapsed="false">
      <c r="I7610" s="0" t="n">
        <v>2035</v>
      </c>
      <c r="J7610" s="0" t="n">
        <v>20.8</v>
      </c>
      <c r="K7610" s="0" t="n">
        <v>436.16</v>
      </c>
    </row>
    <row r="7611" customFormat="false" ht="15" hidden="false" customHeight="false" outlineLevel="0" collapsed="false">
      <c r="I7611" s="0" t="n">
        <v>2035</v>
      </c>
      <c r="J7611" s="0" t="n">
        <v>9.1</v>
      </c>
      <c r="K7611" s="0" t="n">
        <v>190.82</v>
      </c>
    </row>
    <row r="7612" customFormat="false" ht="15" hidden="false" customHeight="false" outlineLevel="0" collapsed="false">
      <c r="I7612" s="0" t="n">
        <v>2035</v>
      </c>
      <c r="J7612" s="0" t="n">
        <v>5.2</v>
      </c>
      <c r="K7612" s="0" t="n">
        <v>109.04</v>
      </c>
    </row>
    <row r="7613" customFormat="false" ht="15" hidden="false" customHeight="false" outlineLevel="0" collapsed="false">
      <c r="I7613" s="0" t="n">
        <v>2035</v>
      </c>
      <c r="J7613" s="0" t="n">
        <v>5.2</v>
      </c>
      <c r="K7613" s="0" t="n">
        <v>109.04</v>
      </c>
    </row>
    <row r="7614" customFormat="false" ht="15" hidden="false" customHeight="false" outlineLevel="0" collapsed="false">
      <c r="I7614" s="0" t="n">
        <v>2035</v>
      </c>
      <c r="J7614" s="0" t="n">
        <v>2.6</v>
      </c>
      <c r="K7614" s="0" t="n">
        <v>54.52</v>
      </c>
    </row>
    <row r="7615" customFormat="false" ht="15" hidden="false" customHeight="false" outlineLevel="0" collapsed="false">
      <c r="I7615" s="0" t="n">
        <v>2035</v>
      </c>
      <c r="J7615" s="0" t="n">
        <v>2.6</v>
      </c>
      <c r="K7615" s="0" t="n">
        <v>54.52</v>
      </c>
    </row>
    <row r="7616" customFormat="false" ht="15" hidden="false" customHeight="false" outlineLevel="0" collapsed="false">
      <c r="I7616" s="0" t="n">
        <v>2035</v>
      </c>
      <c r="J7616" s="0" t="n">
        <v>5.2</v>
      </c>
      <c r="K7616" s="0" t="n">
        <v>109.04</v>
      </c>
    </row>
    <row r="7617" customFormat="false" ht="15" hidden="false" customHeight="false" outlineLevel="0" collapsed="false">
      <c r="I7617" s="0" t="n">
        <v>2035</v>
      </c>
      <c r="J7617" s="0" t="n">
        <v>9.1</v>
      </c>
      <c r="K7617" s="0" t="n">
        <v>190.82</v>
      </c>
    </row>
    <row r="7618" customFormat="false" ht="15" hidden="false" customHeight="false" outlineLevel="0" collapsed="false">
      <c r="I7618" s="0" t="n">
        <v>2035</v>
      </c>
      <c r="J7618" s="0" t="n">
        <v>3.9</v>
      </c>
      <c r="K7618" s="0" t="n">
        <v>81.78</v>
      </c>
    </row>
    <row r="7619" customFormat="false" ht="15" hidden="false" customHeight="false" outlineLevel="0" collapsed="false">
      <c r="I7619" s="0" t="n">
        <v>2035</v>
      </c>
      <c r="J7619" s="0" t="n">
        <v>3.9</v>
      </c>
      <c r="K7619" s="0" t="n">
        <v>81.78</v>
      </c>
    </row>
    <row r="7620" customFormat="false" ht="15" hidden="false" customHeight="false" outlineLevel="0" collapsed="false">
      <c r="I7620" s="0" t="n">
        <v>2035</v>
      </c>
      <c r="J7620" s="0" t="n">
        <v>16.64</v>
      </c>
      <c r="K7620" s="0" t="n">
        <v>349.44</v>
      </c>
    </row>
    <row r="7621" customFormat="false" ht="15" hidden="false" customHeight="false" outlineLevel="0" collapsed="false">
      <c r="I7621" s="0" t="n">
        <v>2035</v>
      </c>
      <c r="J7621" s="0" t="n">
        <v>2.56</v>
      </c>
      <c r="K7621" s="0" t="n">
        <v>53.76</v>
      </c>
    </row>
    <row r="7622" customFormat="false" ht="15" hidden="false" customHeight="false" outlineLevel="0" collapsed="false">
      <c r="I7622" s="0" t="n">
        <v>2035</v>
      </c>
      <c r="J7622" s="0" t="n">
        <v>1.92</v>
      </c>
      <c r="K7622" s="0" t="n">
        <v>40.32</v>
      </c>
    </row>
    <row r="7623" customFormat="false" ht="15" hidden="false" customHeight="false" outlineLevel="0" collapsed="false">
      <c r="I7623" s="0" t="n">
        <v>2035</v>
      </c>
      <c r="J7623" s="0" t="n">
        <v>3.2</v>
      </c>
      <c r="K7623" s="0" t="n">
        <v>67.2</v>
      </c>
    </row>
    <row r="7624" customFormat="false" ht="15" hidden="false" customHeight="false" outlineLevel="0" collapsed="false">
      <c r="I7624" s="0" t="n">
        <v>2035</v>
      </c>
      <c r="J7624" s="0" t="n">
        <v>0.64</v>
      </c>
      <c r="K7624" s="0" t="n">
        <v>13.44</v>
      </c>
    </row>
    <row r="7625" customFormat="false" ht="15" hidden="false" customHeight="false" outlineLevel="0" collapsed="false">
      <c r="I7625" s="0" t="n">
        <v>2035</v>
      </c>
      <c r="J7625" s="0" t="n">
        <v>0.64</v>
      </c>
      <c r="K7625" s="0" t="n">
        <v>13.44</v>
      </c>
    </row>
    <row r="7626" customFormat="false" ht="15" hidden="false" customHeight="false" outlineLevel="0" collapsed="false">
      <c r="I7626" s="0" t="n">
        <v>2035</v>
      </c>
      <c r="J7626" s="0" t="n">
        <v>0</v>
      </c>
      <c r="K7626" s="0" t="n">
        <v>0</v>
      </c>
    </row>
    <row r="7627" customFormat="false" ht="15" hidden="false" customHeight="false" outlineLevel="0" collapsed="false">
      <c r="I7627" s="0" t="n">
        <v>2035</v>
      </c>
      <c r="J7627" s="0" t="n">
        <v>1.28</v>
      </c>
      <c r="K7627" s="0" t="n">
        <v>26.88</v>
      </c>
    </row>
    <row r="7628" customFormat="false" ht="15" hidden="false" customHeight="false" outlineLevel="0" collapsed="false">
      <c r="I7628" s="0" t="n">
        <v>2035</v>
      </c>
      <c r="J7628" s="0" t="n">
        <v>2.24</v>
      </c>
      <c r="K7628" s="0" t="n">
        <v>47.04</v>
      </c>
    </row>
    <row r="7629" customFormat="false" ht="15" hidden="false" customHeight="false" outlineLevel="0" collapsed="false">
      <c r="I7629" s="0" t="n">
        <v>2035</v>
      </c>
      <c r="J7629" s="0" t="n">
        <v>0.64</v>
      </c>
      <c r="K7629" s="0" t="n">
        <v>13.44</v>
      </c>
    </row>
    <row r="7630" customFormat="false" ht="15" hidden="false" customHeight="false" outlineLevel="0" collapsed="false">
      <c r="I7630" s="0" t="n">
        <v>2035</v>
      </c>
      <c r="J7630" s="0" t="n">
        <v>2.24</v>
      </c>
      <c r="K7630" s="0" t="n">
        <v>47.04</v>
      </c>
    </row>
    <row r="7631" customFormat="false" ht="15" hidden="false" customHeight="false" outlineLevel="0" collapsed="false">
      <c r="I7631" s="0" t="n">
        <v>2035</v>
      </c>
      <c r="J7631" s="0" t="n">
        <v>89.76</v>
      </c>
      <c r="K7631" s="0" t="n">
        <v>1882.56</v>
      </c>
    </row>
    <row r="7632" customFormat="false" ht="15" hidden="false" customHeight="false" outlineLevel="0" collapsed="false">
      <c r="I7632" s="0" t="n">
        <v>2035</v>
      </c>
      <c r="J7632" s="0" t="n">
        <v>29.92</v>
      </c>
      <c r="K7632" s="0" t="n">
        <v>627.52</v>
      </c>
    </row>
    <row r="7633" customFormat="false" ht="15" hidden="false" customHeight="false" outlineLevel="0" collapsed="false">
      <c r="I7633" s="0" t="n">
        <v>2035</v>
      </c>
      <c r="J7633" s="0" t="n">
        <v>13.09</v>
      </c>
      <c r="K7633" s="0" t="n">
        <v>274.54</v>
      </c>
    </row>
    <row r="7634" customFormat="false" ht="15" hidden="false" customHeight="false" outlineLevel="0" collapsed="false">
      <c r="I7634" s="0" t="n">
        <v>2035</v>
      </c>
      <c r="J7634" s="0" t="n">
        <v>7.48</v>
      </c>
      <c r="K7634" s="0" t="n">
        <v>156.88</v>
      </c>
    </row>
    <row r="7635" customFormat="false" ht="15" hidden="false" customHeight="false" outlineLevel="0" collapsed="false">
      <c r="I7635" s="0" t="n">
        <v>2035</v>
      </c>
      <c r="J7635" s="0" t="n">
        <v>7.48</v>
      </c>
      <c r="K7635" s="0" t="n">
        <v>156.88</v>
      </c>
    </row>
    <row r="7636" customFormat="false" ht="15" hidden="false" customHeight="false" outlineLevel="0" collapsed="false">
      <c r="I7636" s="0" t="n">
        <v>2035</v>
      </c>
      <c r="J7636" s="0" t="n">
        <v>3.74</v>
      </c>
      <c r="K7636" s="0" t="n">
        <v>78.44</v>
      </c>
    </row>
    <row r="7637" customFormat="false" ht="15" hidden="false" customHeight="false" outlineLevel="0" collapsed="false">
      <c r="I7637" s="0" t="n">
        <v>2035</v>
      </c>
      <c r="J7637" s="0" t="n">
        <v>3.74</v>
      </c>
      <c r="K7637" s="0" t="n">
        <v>78.44</v>
      </c>
    </row>
    <row r="7638" customFormat="false" ht="15" hidden="false" customHeight="false" outlineLevel="0" collapsed="false">
      <c r="I7638" s="0" t="n">
        <v>2035</v>
      </c>
      <c r="J7638" s="0" t="n">
        <v>7.48</v>
      </c>
      <c r="K7638" s="0" t="n">
        <v>156.88</v>
      </c>
    </row>
    <row r="7639" customFormat="false" ht="15" hidden="false" customHeight="false" outlineLevel="0" collapsed="false">
      <c r="I7639" s="0" t="n">
        <v>2035</v>
      </c>
      <c r="J7639" s="0" t="n">
        <v>13.09</v>
      </c>
      <c r="K7639" s="0" t="n">
        <v>274.54</v>
      </c>
    </row>
    <row r="7640" customFormat="false" ht="15" hidden="false" customHeight="false" outlineLevel="0" collapsed="false">
      <c r="I7640" s="0" t="n">
        <v>2035</v>
      </c>
      <c r="J7640" s="0" t="n">
        <v>5.61</v>
      </c>
      <c r="K7640" s="0" t="n">
        <v>117.66</v>
      </c>
    </row>
    <row r="7641" customFormat="false" ht="15" hidden="false" customHeight="false" outlineLevel="0" collapsed="false">
      <c r="I7641" s="0" t="n">
        <v>2035</v>
      </c>
      <c r="J7641" s="0" t="n">
        <v>5.61</v>
      </c>
      <c r="K7641" s="0" t="n">
        <v>117.66</v>
      </c>
    </row>
    <row r="7642" customFormat="false" ht="15" hidden="false" customHeight="false" outlineLevel="0" collapsed="false">
      <c r="I7642" s="0" t="n">
        <v>2035</v>
      </c>
      <c r="J7642" s="0" t="n">
        <v>9.36</v>
      </c>
      <c r="K7642" s="0" t="n">
        <v>199.16</v>
      </c>
    </row>
    <row r="7643" customFormat="false" ht="15" hidden="false" customHeight="false" outlineLevel="0" collapsed="false">
      <c r="I7643" s="0" t="n">
        <v>2035</v>
      </c>
      <c r="J7643" s="0" t="n">
        <v>1.44</v>
      </c>
      <c r="K7643" s="0" t="n">
        <v>30.64</v>
      </c>
    </row>
    <row r="7644" customFormat="false" ht="15" hidden="false" customHeight="false" outlineLevel="0" collapsed="false">
      <c r="I7644" s="0" t="n">
        <v>2035</v>
      </c>
      <c r="J7644" s="0" t="n">
        <v>1.08</v>
      </c>
      <c r="K7644" s="0" t="n">
        <v>22.98</v>
      </c>
    </row>
    <row r="7645" customFormat="false" ht="15" hidden="false" customHeight="false" outlineLevel="0" collapsed="false">
      <c r="I7645" s="0" t="n">
        <v>2035</v>
      </c>
      <c r="J7645" s="0" t="n">
        <v>1.8</v>
      </c>
      <c r="K7645" s="0" t="n">
        <v>38.3</v>
      </c>
    </row>
    <row r="7646" customFormat="false" ht="15" hidden="false" customHeight="false" outlineLevel="0" collapsed="false">
      <c r="I7646" s="0" t="n">
        <v>2035</v>
      </c>
      <c r="J7646" s="0" t="n">
        <v>0.36</v>
      </c>
      <c r="K7646" s="0" t="n">
        <v>7.66</v>
      </c>
    </row>
    <row r="7647" customFormat="false" ht="15" hidden="false" customHeight="false" outlineLevel="0" collapsed="false">
      <c r="I7647" s="0" t="n">
        <v>2035</v>
      </c>
      <c r="J7647" s="0" t="n">
        <v>0.36</v>
      </c>
      <c r="K7647" s="0" t="n">
        <v>7.66</v>
      </c>
    </row>
    <row r="7648" customFormat="false" ht="15" hidden="false" customHeight="false" outlineLevel="0" collapsed="false">
      <c r="I7648" s="0" t="n">
        <v>2035</v>
      </c>
      <c r="J7648" s="0" t="n">
        <v>0</v>
      </c>
      <c r="K7648" s="0" t="n">
        <v>0</v>
      </c>
    </row>
    <row r="7649" customFormat="false" ht="15" hidden="false" customHeight="false" outlineLevel="0" collapsed="false">
      <c r="I7649" s="0" t="n">
        <v>2035</v>
      </c>
      <c r="J7649" s="0" t="n">
        <v>0.72</v>
      </c>
      <c r="K7649" s="0" t="n">
        <v>15.32</v>
      </c>
    </row>
    <row r="7650" customFormat="false" ht="15" hidden="false" customHeight="false" outlineLevel="0" collapsed="false">
      <c r="I7650" s="0" t="n">
        <v>2035</v>
      </c>
      <c r="J7650" s="0" t="n">
        <v>1.26</v>
      </c>
      <c r="K7650" s="0" t="n">
        <v>26.81</v>
      </c>
    </row>
    <row r="7651" customFormat="false" ht="15" hidden="false" customHeight="false" outlineLevel="0" collapsed="false">
      <c r="I7651" s="0" t="n">
        <v>2035</v>
      </c>
      <c r="J7651" s="0" t="n">
        <v>0.36</v>
      </c>
      <c r="K7651" s="0" t="n">
        <v>7.66</v>
      </c>
    </row>
    <row r="7652" customFormat="false" ht="15" hidden="false" customHeight="false" outlineLevel="0" collapsed="false">
      <c r="I7652" s="0" t="n">
        <v>2035</v>
      </c>
      <c r="J7652" s="0" t="n">
        <v>1.26</v>
      </c>
      <c r="K7652" s="0" t="n">
        <v>26.81</v>
      </c>
    </row>
    <row r="7653" customFormat="false" ht="15" hidden="false" customHeight="false" outlineLevel="0" collapsed="false">
      <c r="I7653" s="0" t="n">
        <v>2035</v>
      </c>
      <c r="J7653" s="0" t="n">
        <v>27.84</v>
      </c>
      <c r="K7653" s="0" t="n">
        <v>588.96</v>
      </c>
    </row>
    <row r="7654" customFormat="false" ht="15" hidden="false" customHeight="false" outlineLevel="0" collapsed="false">
      <c r="I7654" s="0" t="n">
        <v>2035</v>
      </c>
      <c r="J7654" s="0" t="n">
        <v>9.28</v>
      </c>
      <c r="K7654" s="0" t="n">
        <v>196.32</v>
      </c>
    </row>
    <row r="7655" customFormat="false" ht="15" hidden="false" customHeight="false" outlineLevel="0" collapsed="false">
      <c r="I7655" s="0" t="n">
        <v>2035</v>
      </c>
      <c r="J7655" s="0" t="n">
        <v>4.06</v>
      </c>
      <c r="K7655" s="0" t="n">
        <v>85.89</v>
      </c>
    </row>
    <row r="7656" customFormat="false" ht="15" hidden="false" customHeight="false" outlineLevel="0" collapsed="false">
      <c r="I7656" s="0" t="n">
        <v>2035</v>
      </c>
      <c r="J7656" s="0" t="n">
        <v>2.32</v>
      </c>
      <c r="K7656" s="0" t="n">
        <v>49.08</v>
      </c>
    </row>
    <row r="7657" customFormat="false" ht="15" hidden="false" customHeight="false" outlineLevel="0" collapsed="false">
      <c r="I7657" s="0" t="n">
        <v>2035</v>
      </c>
      <c r="J7657" s="0" t="n">
        <v>2.32</v>
      </c>
      <c r="K7657" s="0" t="n">
        <v>49.08</v>
      </c>
    </row>
    <row r="7658" customFormat="false" ht="15" hidden="false" customHeight="false" outlineLevel="0" collapsed="false">
      <c r="I7658" s="0" t="n">
        <v>2035</v>
      </c>
      <c r="J7658" s="0" t="n">
        <v>1.16</v>
      </c>
      <c r="K7658" s="0" t="n">
        <v>24.54</v>
      </c>
    </row>
    <row r="7659" customFormat="false" ht="15" hidden="false" customHeight="false" outlineLevel="0" collapsed="false">
      <c r="I7659" s="0" t="n">
        <v>2035</v>
      </c>
      <c r="J7659" s="0" t="n">
        <v>1.16</v>
      </c>
      <c r="K7659" s="0" t="n">
        <v>24.54</v>
      </c>
    </row>
    <row r="7660" customFormat="false" ht="15" hidden="false" customHeight="false" outlineLevel="0" collapsed="false">
      <c r="I7660" s="0" t="n">
        <v>2035</v>
      </c>
      <c r="J7660" s="0" t="n">
        <v>2.32</v>
      </c>
      <c r="K7660" s="0" t="n">
        <v>49.08</v>
      </c>
    </row>
    <row r="7661" customFormat="false" ht="15" hidden="false" customHeight="false" outlineLevel="0" collapsed="false">
      <c r="I7661" s="0" t="n">
        <v>2035</v>
      </c>
      <c r="J7661" s="0" t="n">
        <v>4.06</v>
      </c>
      <c r="K7661" s="0" t="n">
        <v>85.89</v>
      </c>
    </row>
    <row r="7662" customFormat="false" ht="15" hidden="false" customHeight="false" outlineLevel="0" collapsed="false">
      <c r="I7662" s="0" t="n">
        <v>2035</v>
      </c>
      <c r="J7662" s="0" t="n">
        <v>1.74</v>
      </c>
      <c r="K7662" s="0" t="n">
        <v>36.81</v>
      </c>
    </row>
    <row r="7663" customFormat="false" ht="15" hidden="false" customHeight="false" outlineLevel="0" collapsed="false">
      <c r="I7663" s="0" t="n">
        <v>2035</v>
      </c>
      <c r="J7663" s="0" t="n">
        <v>1.74</v>
      </c>
      <c r="K7663" s="0" t="n">
        <v>36.81</v>
      </c>
    </row>
    <row r="7664" customFormat="false" ht="15" hidden="false" customHeight="false" outlineLevel="0" collapsed="false">
      <c r="I7664" s="0" t="n">
        <v>2035</v>
      </c>
      <c r="J7664" s="0" t="n">
        <v>7.8</v>
      </c>
      <c r="K7664" s="0" t="n">
        <v>162.76</v>
      </c>
    </row>
    <row r="7665" customFormat="false" ht="15" hidden="false" customHeight="false" outlineLevel="0" collapsed="false">
      <c r="I7665" s="0" t="n">
        <v>2035</v>
      </c>
      <c r="J7665" s="0" t="n">
        <v>1.2</v>
      </c>
      <c r="K7665" s="0" t="n">
        <v>25.04</v>
      </c>
    </row>
    <row r="7666" customFormat="false" ht="15" hidden="false" customHeight="false" outlineLevel="0" collapsed="false">
      <c r="I7666" s="0" t="n">
        <v>2035</v>
      </c>
      <c r="J7666" s="0" t="n">
        <v>0.9</v>
      </c>
      <c r="K7666" s="0" t="n">
        <v>18.78</v>
      </c>
    </row>
    <row r="7667" customFormat="false" ht="15" hidden="false" customHeight="false" outlineLevel="0" collapsed="false">
      <c r="I7667" s="0" t="n">
        <v>2035</v>
      </c>
      <c r="J7667" s="0" t="n">
        <v>1.5</v>
      </c>
      <c r="K7667" s="0" t="n">
        <v>31.3</v>
      </c>
    </row>
    <row r="7668" customFormat="false" ht="15" hidden="false" customHeight="false" outlineLevel="0" collapsed="false">
      <c r="I7668" s="0" t="n">
        <v>2035</v>
      </c>
      <c r="J7668" s="0" t="n">
        <v>0.3</v>
      </c>
      <c r="K7668" s="0" t="n">
        <v>6.26</v>
      </c>
    </row>
    <row r="7669" customFormat="false" ht="15" hidden="false" customHeight="false" outlineLevel="0" collapsed="false">
      <c r="I7669" s="0" t="n">
        <v>2035</v>
      </c>
      <c r="J7669" s="0" t="n">
        <v>0.3</v>
      </c>
      <c r="K7669" s="0" t="n">
        <v>6.26</v>
      </c>
    </row>
    <row r="7670" customFormat="false" ht="15" hidden="false" customHeight="false" outlineLevel="0" collapsed="false">
      <c r="I7670" s="0" t="n">
        <v>2035</v>
      </c>
      <c r="J7670" s="0" t="n">
        <v>0</v>
      </c>
      <c r="K7670" s="0" t="n">
        <v>0</v>
      </c>
    </row>
    <row r="7671" customFormat="false" ht="15" hidden="false" customHeight="false" outlineLevel="0" collapsed="false">
      <c r="I7671" s="0" t="n">
        <v>2035</v>
      </c>
      <c r="J7671" s="0" t="n">
        <v>0.6</v>
      </c>
      <c r="K7671" s="0" t="n">
        <v>12.52</v>
      </c>
    </row>
    <row r="7672" customFormat="false" ht="15" hidden="false" customHeight="false" outlineLevel="0" collapsed="false">
      <c r="I7672" s="0" t="n">
        <v>2035</v>
      </c>
      <c r="J7672" s="0" t="n">
        <v>1.05</v>
      </c>
      <c r="K7672" s="0" t="n">
        <v>21.91</v>
      </c>
    </row>
    <row r="7673" customFormat="false" ht="15" hidden="false" customHeight="false" outlineLevel="0" collapsed="false">
      <c r="I7673" s="0" t="n">
        <v>2035</v>
      </c>
      <c r="J7673" s="0" t="n">
        <v>0.3</v>
      </c>
      <c r="K7673" s="0" t="n">
        <v>6.26</v>
      </c>
    </row>
    <row r="7674" customFormat="false" ht="15" hidden="false" customHeight="false" outlineLevel="0" collapsed="false">
      <c r="I7674" s="0" t="n">
        <v>2035</v>
      </c>
      <c r="J7674" s="0" t="n">
        <v>1.05</v>
      </c>
      <c r="K7674" s="0" t="n">
        <v>21.91</v>
      </c>
    </row>
    <row r="7675" customFormat="false" ht="15" hidden="false" customHeight="false" outlineLevel="0" collapsed="false">
      <c r="I7675" s="0" t="n">
        <v>2035</v>
      </c>
      <c r="J7675" s="0" t="n">
        <v>395.04</v>
      </c>
      <c r="K7675" s="0" t="n">
        <v>8298.24</v>
      </c>
    </row>
    <row r="7676" customFormat="false" ht="15" hidden="false" customHeight="false" outlineLevel="0" collapsed="false">
      <c r="I7676" s="0" t="n">
        <v>2035</v>
      </c>
      <c r="J7676" s="0" t="n">
        <v>131.68</v>
      </c>
      <c r="K7676" s="0" t="n">
        <v>2766.08</v>
      </c>
    </row>
    <row r="7677" customFormat="false" ht="15" hidden="false" customHeight="false" outlineLevel="0" collapsed="false">
      <c r="I7677" s="0" t="n">
        <v>2035</v>
      </c>
      <c r="J7677" s="0" t="n">
        <v>57.61</v>
      </c>
      <c r="K7677" s="0" t="n">
        <v>1210.16</v>
      </c>
    </row>
    <row r="7678" customFormat="false" ht="15" hidden="false" customHeight="false" outlineLevel="0" collapsed="false">
      <c r="I7678" s="0" t="n">
        <v>2035</v>
      </c>
      <c r="J7678" s="0" t="n">
        <v>32.92</v>
      </c>
      <c r="K7678" s="0" t="n">
        <v>691.52</v>
      </c>
    </row>
    <row r="7679" customFormat="false" ht="15" hidden="false" customHeight="false" outlineLevel="0" collapsed="false">
      <c r="I7679" s="0" t="n">
        <v>2035</v>
      </c>
      <c r="J7679" s="0" t="n">
        <v>32.92</v>
      </c>
      <c r="K7679" s="0" t="n">
        <v>691.52</v>
      </c>
    </row>
    <row r="7680" customFormat="false" ht="15" hidden="false" customHeight="false" outlineLevel="0" collapsed="false">
      <c r="I7680" s="0" t="n">
        <v>2035</v>
      </c>
      <c r="J7680" s="0" t="n">
        <v>16.46</v>
      </c>
      <c r="K7680" s="0" t="n">
        <v>345.76</v>
      </c>
    </row>
    <row r="7681" customFormat="false" ht="15" hidden="false" customHeight="false" outlineLevel="0" collapsed="false">
      <c r="I7681" s="0" t="n">
        <v>2035</v>
      </c>
      <c r="J7681" s="0" t="n">
        <v>16.46</v>
      </c>
      <c r="K7681" s="0" t="n">
        <v>345.76</v>
      </c>
    </row>
    <row r="7682" customFormat="false" ht="15" hidden="false" customHeight="false" outlineLevel="0" collapsed="false">
      <c r="I7682" s="0" t="n">
        <v>2035</v>
      </c>
      <c r="J7682" s="0" t="n">
        <v>32.92</v>
      </c>
      <c r="K7682" s="0" t="n">
        <v>691.52</v>
      </c>
    </row>
    <row r="7683" customFormat="false" ht="15" hidden="false" customHeight="false" outlineLevel="0" collapsed="false">
      <c r="I7683" s="0" t="n">
        <v>2035</v>
      </c>
      <c r="J7683" s="0" t="n">
        <v>57.61</v>
      </c>
      <c r="K7683" s="0" t="n">
        <v>1210.16</v>
      </c>
    </row>
    <row r="7684" customFormat="false" ht="15" hidden="false" customHeight="false" outlineLevel="0" collapsed="false">
      <c r="I7684" s="0" t="n">
        <v>2035</v>
      </c>
      <c r="J7684" s="0" t="n">
        <v>24.69</v>
      </c>
      <c r="K7684" s="0" t="n">
        <v>518.64</v>
      </c>
    </row>
    <row r="7685" customFormat="false" ht="15" hidden="false" customHeight="false" outlineLevel="0" collapsed="false">
      <c r="I7685" s="0" t="n">
        <v>2035</v>
      </c>
      <c r="J7685" s="0" t="n">
        <v>24.69</v>
      </c>
      <c r="K7685" s="0" t="n">
        <v>518.64</v>
      </c>
    </row>
    <row r="7686" customFormat="false" ht="15" hidden="false" customHeight="false" outlineLevel="0" collapsed="false">
      <c r="I7686" s="0" t="n">
        <v>2035</v>
      </c>
      <c r="J7686" s="0" t="n">
        <v>102.96</v>
      </c>
      <c r="K7686" s="0" t="n">
        <v>2164.24</v>
      </c>
    </row>
    <row r="7687" customFormat="false" ht="15" hidden="false" customHeight="false" outlineLevel="0" collapsed="false">
      <c r="I7687" s="0" t="n">
        <v>2035</v>
      </c>
      <c r="J7687" s="0" t="n">
        <v>15.84</v>
      </c>
      <c r="K7687" s="0" t="n">
        <v>332.96</v>
      </c>
    </row>
    <row r="7688" customFormat="false" ht="15" hidden="false" customHeight="false" outlineLevel="0" collapsed="false">
      <c r="I7688" s="0" t="n">
        <v>2035</v>
      </c>
      <c r="J7688" s="0" t="n">
        <v>11.88</v>
      </c>
      <c r="K7688" s="0" t="n">
        <v>249.72</v>
      </c>
    </row>
    <row r="7689" customFormat="false" ht="15" hidden="false" customHeight="false" outlineLevel="0" collapsed="false">
      <c r="I7689" s="0" t="n">
        <v>2035</v>
      </c>
      <c r="J7689" s="0" t="n">
        <v>19.8</v>
      </c>
      <c r="K7689" s="0" t="n">
        <v>416.2</v>
      </c>
    </row>
    <row r="7690" customFormat="false" ht="15" hidden="false" customHeight="false" outlineLevel="0" collapsed="false">
      <c r="I7690" s="0" t="n">
        <v>2035</v>
      </c>
      <c r="J7690" s="0" t="n">
        <v>3.96</v>
      </c>
      <c r="K7690" s="0" t="n">
        <v>83.24</v>
      </c>
    </row>
    <row r="7691" customFormat="false" ht="15" hidden="false" customHeight="false" outlineLevel="0" collapsed="false">
      <c r="I7691" s="0" t="n">
        <v>2035</v>
      </c>
      <c r="J7691" s="0" t="n">
        <v>3.96</v>
      </c>
      <c r="K7691" s="0" t="n">
        <v>83.24</v>
      </c>
    </row>
    <row r="7692" customFormat="false" ht="15" hidden="false" customHeight="false" outlineLevel="0" collapsed="false">
      <c r="I7692" s="0" t="n">
        <v>2035</v>
      </c>
      <c r="J7692" s="0" t="n">
        <v>0</v>
      </c>
      <c r="K7692" s="0" t="n">
        <v>0</v>
      </c>
    </row>
    <row r="7693" customFormat="false" ht="15" hidden="false" customHeight="false" outlineLevel="0" collapsed="false">
      <c r="I7693" s="0" t="n">
        <v>2035</v>
      </c>
      <c r="J7693" s="0" t="n">
        <v>7.92</v>
      </c>
      <c r="K7693" s="0" t="n">
        <v>166.48</v>
      </c>
    </row>
    <row r="7694" customFormat="false" ht="15" hidden="false" customHeight="false" outlineLevel="0" collapsed="false">
      <c r="I7694" s="0" t="n">
        <v>2035</v>
      </c>
      <c r="J7694" s="0" t="n">
        <v>13.86</v>
      </c>
      <c r="K7694" s="0" t="n">
        <v>291.34</v>
      </c>
    </row>
    <row r="7695" customFormat="false" ht="15" hidden="false" customHeight="false" outlineLevel="0" collapsed="false">
      <c r="I7695" s="0" t="n">
        <v>2035</v>
      </c>
      <c r="J7695" s="0" t="n">
        <v>3.96</v>
      </c>
      <c r="K7695" s="0" t="n">
        <v>83.24</v>
      </c>
    </row>
    <row r="7696" customFormat="false" ht="15" hidden="false" customHeight="false" outlineLevel="0" collapsed="false">
      <c r="I7696" s="0" t="n">
        <v>2035</v>
      </c>
      <c r="J7696" s="0" t="n">
        <v>13.86</v>
      </c>
      <c r="K7696" s="0" t="n">
        <v>291.34</v>
      </c>
    </row>
    <row r="7697" customFormat="false" ht="15" hidden="false" customHeight="false" outlineLevel="0" collapsed="false">
      <c r="I7697" s="0" t="n">
        <v>2035</v>
      </c>
      <c r="J7697" s="0" t="n">
        <v>228.48</v>
      </c>
      <c r="K7697" s="0" t="n">
        <v>4800.96</v>
      </c>
    </row>
    <row r="7698" customFormat="false" ht="15" hidden="false" customHeight="false" outlineLevel="0" collapsed="false">
      <c r="I7698" s="0" t="n">
        <v>2035</v>
      </c>
      <c r="J7698" s="0" t="n">
        <v>76.16</v>
      </c>
      <c r="K7698" s="0" t="n">
        <v>1600.32</v>
      </c>
    </row>
    <row r="7699" customFormat="false" ht="15" hidden="false" customHeight="false" outlineLevel="0" collapsed="false">
      <c r="I7699" s="0" t="n">
        <v>2035</v>
      </c>
      <c r="J7699" s="0" t="n">
        <v>33.32</v>
      </c>
      <c r="K7699" s="0" t="n">
        <v>700.14</v>
      </c>
    </row>
    <row r="7700" customFormat="false" ht="15" hidden="false" customHeight="false" outlineLevel="0" collapsed="false">
      <c r="I7700" s="0" t="n">
        <v>2035</v>
      </c>
      <c r="J7700" s="0" t="n">
        <v>19.04</v>
      </c>
      <c r="K7700" s="0" t="n">
        <v>400.08</v>
      </c>
    </row>
    <row r="7701" customFormat="false" ht="15" hidden="false" customHeight="false" outlineLevel="0" collapsed="false">
      <c r="I7701" s="0" t="n">
        <v>2035</v>
      </c>
      <c r="J7701" s="0" t="n">
        <v>19.04</v>
      </c>
      <c r="K7701" s="0" t="n">
        <v>400.08</v>
      </c>
    </row>
    <row r="7702" customFormat="false" ht="15" hidden="false" customHeight="false" outlineLevel="0" collapsed="false">
      <c r="I7702" s="0" t="n">
        <v>2035</v>
      </c>
      <c r="J7702" s="0" t="n">
        <v>9.52</v>
      </c>
      <c r="K7702" s="0" t="n">
        <v>200.04</v>
      </c>
    </row>
    <row r="7703" customFormat="false" ht="15" hidden="false" customHeight="false" outlineLevel="0" collapsed="false">
      <c r="I7703" s="0" t="n">
        <v>2035</v>
      </c>
      <c r="J7703" s="0" t="n">
        <v>9.52</v>
      </c>
      <c r="K7703" s="0" t="n">
        <v>200.04</v>
      </c>
    </row>
    <row r="7704" customFormat="false" ht="15" hidden="false" customHeight="false" outlineLevel="0" collapsed="false">
      <c r="I7704" s="0" t="n">
        <v>2035</v>
      </c>
      <c r="J7704" s="0" t="n">
        <v>19.04</v>
      </c>
      <c r="K7704" s="0" t="n">
        <v>400.08</v>
      </c>
    </row>
    <row r="7705" customFormat="false" ht="15" hidden="false" customHeight="false" outlineLevel="0" collapsed="false">
      <c r="I7705" s="0" t="n">
        <v>2035</v>
      </c>
      <c r="J7705" s="0" t="n">
        <v>33.32</v>
      </c>
      <c r="K7705" s="0" t="n">
        <v>700.14</v>
      </c>
    </row>
    <row r="7706" customFormat="false" ht="15" hidden="false" customHeight="false" outlineLevel="0" collapsed="false">
      <c r="I7706" s="0" t="n">
        <v>2035</v>
      </c>
      <c r="J7706" s="0" t="n">
        <v>14.28</v>
      </c>
      <c r="K7706" s="0" t="n">
        <v>300.06</v>
      </c>
    </row>
    <row r="7707" customFormat="false" ht="15" hidden="false" customHeight="false" outlineLevel="0" collapsed="false">
      <c r="I7707" s="0" t="n">
        <v>2035</v>
      </c>
      <c r="J7707" s="0" t="n">
        <v>14.28</v>
      </c>
      <c r="K7707" s="0" t="n">
        <v>300.06</v>
      </c>
    </row>
    <row r="7708" customFormat="false" ht="15" hidden="false" customHeight="false" outlineLevel="0" collapsed="false">
      <c r="I7708" s="0" t="n">
        <v>2035</v>
      </c>
      <c r="J7708" s="0" t="n">
        <v>36.92</v>
      </c>
      <c r="K7708" s="0" t="n">
        <v>779.48</v>
      </c>
    </row>
    <row r="7709" customFormat="false" ht="15" hidden="false" customHeight="false" outlineLevel="0" collapsed="false">
      <c r="I7709" s="0" t="n">
        <v>2035</v>
      </c>
      <c r="J7709" s="0" t="n">
        <v>5.68</v>
      </c>
      <c r="K7709" s="0" t="n">
        <v>119.92</v>
      </c>
    </row>
    <row r="7710" customFormat="false" ht="15" hidden="false" customHeight="false" outlineLevel="0" collapsed="false">
      <c r="I7710" s="0" t="n">
        <v>2035</v>
      </c>
      <c r="J7710" s="0" t="n">
        <v>4.26</v>
      </c>
      <c r="K7710" s="0" t="n">
        <v>89.94</v>
      </c>
    </row>
    <row r="7711" customFormat="false" ht="15" hidden="false" customHeight="false" outlineLevel="0" collapsed="false">
      <c r="I7711" s="0" t="n">
        <v>2035</v>
      </c>
      <c r="J7711" s="0" t="n">
        <v>7.1</v>
      </c>
      <c r="K7711" s="0" t="n">
        <v>149.9</v>
      </c>
    </row>
    <row r="7712" customFormat="false" ht="15" hidden="false" customHeight="false" outlineLevel="0" collapsed="false">
      <c r="I7712" s="0" t="n">
        <v>2035</v>
      </c>
      <c r="J7712" s="0" t="n">
        <v>1.42</v>
      </c>
      <c r="K7712" s="0" t="n">
        <v>29.98</v>
      </c>
    </row>
    <row r="7713" customFormat="false" ht="15" hidden="false" customHeight="false" outlineLevel="0" collapsed="false">
      <c r="I7713" s="0" t="n">
        <v>2035</v>
      </c>
      <c r="J7713" s="0" t="n">
        <v>1.42</v>
      </c>
      <c r="K7713" s="0" t="n">
        <v>29.98</v>
      </c>
    </row>
    <row r="7714" customFormat="false" ht="15" hidden="false" customHeight="false" outlineLevel="0" collapsed="false">
      <c r="I7714" s="0" t="n">
        <v>2035</v>
      </c>
      <c r="J7714" s="0" t="n">
        <v>0</v>
      </c>
      <c r="K7714" s="0" t="n">
        <v>0</v>
      </c>
    </row>
    <row r="7715" customFormat="false" ht="15" hidden="false" customHeight="false" outlineLevel="0" collapsed="false">
      <c r="I7715" s="0" t="n">
        <v>2035</v>
      </c>
      <c r="J7715" s="0" t="n">
        <v>2.84</v>
      </c>
      <c r="K7715" s="0" t="n">
        <v>59.96</v>
      </c>
    </row>
    <row r="7716" customFormat="false" ht="15" hidden="false" customHeight="false" outlineLevel="0" collapsed="false">
      <c r="I7716" s="0" t="n">
        <v>2035</v>
      </c>
      <c r="J7716" s="0" t="n">
        <v>4.97</v>
      </c>
      <c r="K7716" s="0" t="n">
        <v>104.93</v>
      </c>
    </row>
    <row r="7717" customFormat="false" ht="15" hidden="false" customHeight="false" outlineLevel="0" collapsed="false">
      <c r="I7717" s="0" t="n">
        <v>2035</v>
      </c>
      <c r="J7717" s="0" t="n">
        <v>1.42</v>
      </c>
      <c r="K7717" s="0" t="n">
        <v>29.98</v>
      </c>
    </row>
    <row r="7718" customFormat="false" ht="15" hidden="false" customHeight="false" outlineLevel="0" collapsed="false">
      <c r="I7718" s="0" t="n">
        <v>2035</v>
      </c>
      <c r="J7718" s="0" t="n">
        <v>4.97</v>
      </c>
      <c r="K7718" s="0" t="n">
        <v>104.93</v>
      </c>
    </row>
    <row r="7719" customFormat="false" ht="15" hidden="false" customHeight="false" outlineLevel="0" collapsed="false">
      <c r="I7719" s="0" t="n">
        <v>2035</v>
      </c>
      <c r="J7719" s="0" t="n">
        <v>134.88</v>
      </c>
      <c r="K7719" s="0" t="n">
        <v>2835.84</v>
      </c>
    </row>
    <row r="7720" customFormat="false" ht="15" hidden="false" customHeight="false" outlineLevel="0" collapsed="false">
      <c r="I7720" s="0" t="n">
        <v>2035</v>
      </c>
      <c r="J7720" s="0" t="n">
        <v>44.96</v>
      </c>
      <c r="K7720" s="0" t="n">
        <v>945.28</v>
      </c>
    </row>
    <row r="7721" customFormat="false" ht="15" hidden="false" customHeight="false" outlineLevel="0" collapsed="false">
      <c r="I7721" s="0" t="n">
        <v>2035</v>
      </c>
      <c r="J7721" s="0" t="n">
        <v>19.67</v>
      </c>
      <c r="K7721" s="0" t="n">
        <v>413.56</v>
      </c>
    </row>
    <row r="7722" customFormat="false" ht="15" hidden="false" customHeight="false" outlineLevel="0" collapsed="false">
      <c r="I7722" s="0" t="n">
        <v>2035</v>
      </c>
      <c r="J7722" s="0" t="n">
        <v>11.24</v>
      </c>
      <c r="K7722" s="0" t="n">
        <v>236.32</v>
      </c>
    </row>
    <row r="7723" customFormat="false" ht="15" hidden="false" customHeight="false" outlineLevel="0" collapsed="false">
      <c r="I7723" s="0" t="n">
        <v>2035</v>
      </c>
      <c r="J7723" s="0" t="n">
        <v>11.24</v>
      </c>
      <c r="K7723" s="0" t="n">
        <v>236.32</v>
      </c>
    </row>
    <row r="7724" customFormat="false" ht="15" hidden="false" customHeight="false" outlineLevel="0" collapsed="false">
      <c r="I7724" s="0" t="n">
        <v>2035</v>
      </c>
      <c r="J7724" s="0" t="n">
        <v>5.62</v>
      </c>
      <c r="K7724" s="0" t="n">
        <v>118.16</v>
      </c>
    </row>
    <row r="7725" customFormat="false" ht="15" hidden="false" customHeight="false" outlineLevel="0" collapsed="false">
      <c r="I7725" s="0" t="n">
        <v>2035</v>
      </c>
      <c r="J7725" s="0" t="n">
        <v>5.62</v>
      </c>
      <c r="K7725" s="0" t="n">
        <v>118.16</v>
      </c>
    </row>
    <row r="7726" customFormat="false" ht="15" hidden="false" customHeight="false" outlineLevel="0" collapsed="false">
      <c r="I7726" s="0" t="n">
        <v>2035</v>
      </c>
      <c r="J7726" s="0" t="n">
        <v>11.24</v>
      </c>
      <c r="K7726" s="0" t="n">
        <v>236.32</v>
      </c>
    </row>
    <row r="7727" customFormat="false" ht="15" hidden="false" customHeight="false" outlineLevel="0" collapsed="false">
      <c r="I7727" s="0" t="n">
        <v>2035</v>
      </c>
      <c r="J7727" s="0" t="n">
        <v>19.67</v>
      </c>
      <c r="K7727" s="0" t="n">
        <v>413.56</v>
      </c>
    </row>
    <row r="7728" customFormat="false" ht="15" hidden="false" customHeight="false" outlineLevel="0" collapsed="false">
      <c r="I7728" s="0" t="n">
        <v>2035</v>
      </c>
      <c r="J7728" s="0" t="n">
        <v>8.43</v>
      </c>
      <c r="K7728" s="0" t="n">
        <v>177.24</v>
      </c>
    </row>
    <row r="7729" customFormat="false" ht="15" hidden="false" customHeight="false" outlineLevel="0" collapsed="false">
      <c r="I7729" s="0" t="n">
        <v>2035</v>
      </c>
      <c r="J7729" s="0" t="n">
        <v>8.43</v>
      </c>
      <c r="K7729" s="0" t="n">
        <v>177.24</v>
      </c>
    </row>
    <row r="7730" customFormat="false" ht="15" hidden="false" customHeight="false" outlineLevel="0" collapsed="false">
      <c r="I7730" s="0" t="n">
        <v>2035</v>
      </c>
      <c r="J7730" s="0" t="n">
        <v>19.24</v>
      </c>
      <c r="K7730" s="0" t="n">
        <v>406.12</v>
      </c>
    </row>
    <row r="7731" customFormat="false" ht="15" hidden="false" customHeight="false" outlineLevel="0" collapsed="false">
      <c r="I7731" s="0" t="n">
        <v>2035</v>
      </c>
      <c r="J7731" s="0" t="n">
        <v>2.96</v>
      </c>
      <c r="K7731" s="0" t="n">
        <v>62.48</v>
      </c>
    </row>
    <row r="7732" customFormat="false" ht="15" hidden="false" customHeight="false" outlineLevel="0" collapsed="false">
      <c r="I7732" s="0" t="n">
        <v>2035</v>
      </c>
      <c r="J7732" s="0" t="n">
        <v>2.22</v>
      </c>
      <c r="K7732" s="0" t="n">
        <v>46.86</v>
      </c>
    </row>
    <row r="7733" customFormat="false" ht="15" hidden="false" customHeight="false" outlineLevel="0" collapsed="false">
      <c r="I7733" s="0" t="n">
        <v>2035</v>
      </c>
      <c r="J7733" s="0" t="n">
        <v>3.7</v>
      </c>
      <c r="K7733" s="0" t="n">
        <v>78.1</v>
      </c>
    </row>
    <row r="7734" customFormat="false" ht="15" hidden="false" customHeight="false" outlineLevel="0" collapsed="false">
      <c r="I7734" s="0" t="n">
        <v>2035</v>
      </c>
      <c r="J7734" s="0" t="n">
        <v>0.74</v>
      </c>
      <c r="K7734" s="0" t="n">
        <v>15.62</v>
      </c>
    </row>
    <row r="7735" customFormat="false" ht="15" hidden="false" customHeight="false" outlineLevel="0" collapsed="false">
      <c r="I7735" s="0" t="n">
        <v>2035</v>
      </c>
      <c r="J7735" s="0" t="n">
        <v>0.74</v>
      </c>
      <c r="K7735" s="0" t="n">
        <v>15.62</v>
      </c>
    </row>
    <row r="7736" customFormat="false" ht="15" hidden="false" customHeight="false" outlineLevel="0" collapsed="false">
      <c r="I7736" s="0" t="n">
        <v>2035</v>
      </c>
      <c r="J7736" s="0" t="n">
        <v>0</v>
      </c>
      <c r="K7736" s="0" t="n">
        <v>0</v>
      </c>
    </row>
    <row r="7737" customFormat="false" ht="15" hidden="false" customHeight="false" outlineLevel="0" collapsed="false">
      <c r="I7737" s="0" t="n">
        <v>2035</v>
      </c>
      <c r="J7737" s="0" t="n">
        <v>1.48</v>
      </c>
      <c r="K7737" s="0" t="n">
        <v>31.24</v>
      </c>
    </row>
    <row r="7738" customFormat="false" ht="15" hidden="false" customHeight="false" outlineLevel="0" collapsed="false">
      <c r="I7738" s="0" t="n">
        <v>2035</v>
      </c>
      <c r="J7738" s="0" t="n">
        <v>2.59</v>
      </c>
      <c r="K7738" s="0" t="n">
        <v>54.67</v>
      </c>
    </row>
    <row r="7739" customFormat="false" ht="15" hidden="false" customHeight="false" outlineLevel="0" collapsed="false">
      <c r="I7739" s="0" t="n">
        <v>2035</v>
      </c>
      <c r="J7739" s="0" t="n">
        <v>0.74</v>
      </c>
      <c r="K7739" s="0" t="n">
        <v>15.62</v>
      </c>
    </row>
    <row r="7740" customFormat="false" ht="15" hidden="false" customHeight="false" outlineLevel="0" collapsed="false">
      <c r="I7740" s="0" t="n">
        <v>2035</v>
      </c>
      <c r="J7740" s="0" t="n">
        <v>2.59</v>
      </c>
      <c r="K7740" s="0" t="n">
        <v>54.67</v>
      </c>
    </row>
    <row r="7741" customFormat="false" ht="15" hidden="false" customHeight="false" outlineLevel="0" collapsed="false">
      <c r="I7741" s="0" t="n">
        <v>2035</v>
      </c>
      <c r="J7741" s="0" t="n">
        <v>116.16</v>
      </c>
      <c r="K7741" s="0" t="n">
        <v>2442.24</v>
      </c>
    </row>
    <row r="7742" customFormat="false" ht="15" hidden="false" customHeight="false" outlineLevel="0" collapsed="false">
      <c r="I7742" s="0" t="n">
        <v>2035</v>
      </c>
      <c r="J7742" s="0" t="n">
        <v>38.72</v>
      </c>
      <c r="K7742" s="0" t="n">
        <v>814.08</v>
      </c>
    </row>
    <row r="7743" customFormat="false" ht="15" hidden="false" customHeight="false" outlineLevel="0" collapsed="false">
      <c r="I7743" s="0" t="n">
        <v>2035</v>
      </c>
      <c r="J7743" s="0" t="n">
        <v>16.94</v>
      </c>
      <c r="K7743" s="0" t="n">
        <v>356.16</v>
      </c>
    </row>
    <row r="7744" customFormat="false" ht="15" hidden="false" customHeight="false" outlineLevel="0" collapsed="false">
      <c r="I7744" s="0" t="n">
        <v>2035</v>
      </c>
      <c r="J7744" s="0" t="n">
        <v>9.68</v>
      </c>
      <c r="K7744" s="0" t="n">
        <v>203.52</v>
      </c>
    </row>
    <row r="7745" customFormat="false" ht="15" hidden="false" customHeight="false" outlineLevel="0" collapsed="false">
      <c r="I7745" s="0" t="n">
        <v>2035</v>
      </c>
      <c r="J7745" s="0" t="n">
        <v>9.68</v>
      </c>
      <c r="K7745" s="0" t="n">
        <v>203.52</v>
      </c>
    </row>
    <row r="7746" customFormat="false" ht="15" hidden="false" customHeight="false" outlineLevel="0" collapsed="false">
      <c r="I7746" s="0" t="n">
        <v>2035</v>
      </c>
      <c r="J7746" s="0" t="n">
        <v>4.84</v>
      </c>
      <c r="K7746" s="0" t="n">
        <v>101.76</v>
      </c>
    </row>
    <row r="7747" customFormat="false" ht="15" hidden="false" customHeight="false" outlineLevel="0" collapsed="false">
      <c r="I7747" s="0" t="n">
        <v>2035</v>
      </c>
      <c r="J7747" s="0" t="n">
        <v>4.84</v>
      </c>
      <c r="K7747" s="0" t="n">
        <v>101.76</v>
      </c>
    </row>
    <row r="7748" customFormat="false" ht="15" hidden="false" customHeight="false" outlineLevel="0" collapsed="false">
      <c r="I7748" s="0" t="n">
        <v>2035</v>
      </c>
      <c r="J7748" s="0" t="n">
        <v>9.68</v>
      </c>
      <c r="K7748" s="0" t="n">
        <v>203.52</v>
      </c>
    </row>
    <row r="7749" customFormat="false" ht="15" hidden="false" customHeight="false" outlineLevel="0" collapsed="false">
      <c r="I7749" s="0" t="n">
        <v>2035</v>
      </c>
      <c r="J7749" s="0" t="n">
        <v>16.94</v>
      </c>
      <c r="K7749" s="0" t="n">
        <v>356.16</v>
      </c>
    </row>
    <row r="7750" customFormat="false" ht="15" hidden="false" customHeight="false" outlineLevel="0" collapsed="false">
      <c r="I7750" s="0" t="n">
        <v>2035</v>
      </c>
      <c r="J7750" s="0" t="n">
        <v>7.26</v>
      </c>
      <c r="K7750" s="0" t="n">
        <v>152.64</v>
      </c>
    </row>
    <row r="7751" customFormat="false" ht="15" hidden="false" customHeight="false" outlineLevel="0" collapsed="false">
      <c r="I7751" s="0" t="n">
        <v>2035</v>
      </c>
      <c r="J7751" s="0" t="n">
        <v>7.26</v>
      </c>
      <c r="K7751" s="0" t="n">
        <v>152.64</v>
      </c>
    </row>
    <row r="7752" customFormat="false" ht="15" hidden="false" customHeight="false" outlineLevel="0" collapsed="false">
      <c r="I7752" s="0" t="n">
        <v>2035</v>
      </c>
      <c r="J7752" s="0" t="n">
        <v>26</v>
      </c>
      <c r="K7752" s="0" t="n">
        <v>542.88</v>
      </c>
    </row>
    <row r="7753" customFormat="false" ht="15" hidden="false" customHeight="false" outlineLevel="0" collapsed="false">
      <c r="I7753" s="0" t="n">
        <v>2035</v>
      </c>
      <c r="J7753" s="0" t="n">
        <v>4</v>
      </c>
      <c r="K7753" s="0" t="n">
        <v>83.52</v>
      </c>
    </row>
    <row r="7754" customFormat="false" ht="15" hidden="false" customHeight="false" outlineLevel="0" collapsed="false">
      <c r="I7754" s="0" t="n">
        <v>2035</v>
      </c>
      <c r="J7754" s="0" t="n">
        <v>3</v>
      </c>
      <c r="K7754" s="0" t="n">
        <v>62.64</v>
      </c>
    </row>
    <row r="7755" customFormat="false" ht="15" hidden="false" customHeight="false" outlineLevel="0" collapsed="false">
      <c r="I7755" s="0" t="n">
        <v>2035</v>
      </c>
      <c r="J7755" s="0" t="n">
        <v>5</v>
      </c>
      <c r="K7755" s="0" t="n">
        <v>104.4</v>
      </c>
    </row>
    <row r="7756" customFormat="false" ht="15" hidden="false" customHeight="false" outlineLevel="0" collapsed="false">
      <c r="I7756" s="0" t="n">
        <v>2035</v>
      </c>
      <c r="J7756" s="0" t="n">
        <v>1</v>
      </c>
      <c r="K7756" s="0" t="n">
        <v>20.88</v>
      </c>
    </row>
    <row r="7757" customFormat="false" ht="15" hidden="false" customHeight="false" outlineLevel="0" collapsed="false">
      <c r="I7757" s="0" t="n">
        <v>2035</v>
      </c>
      <c r="J7757" s="0" t="n">
        <v>1</v>
      </c>
      <c r="K7757" s="0" t="n">
        <v>20.88</v>
      </c>
    </row>
    <row r="7758" customFormat="false" ht="15" hidden="false" customHeight="false" outlineLevel="0" collapsed="false">
      <c r="I7758" s="0" t="n">
        <v>2035</v>
      </c>
      <c r="J7758" s="0" t="n">
        <v>0</v>
      </c>
      <c r="K7758" s="0" t="n">
        <v>0</v>
      </c>
    </row>
    <row r="7759" customFormat="false" ht="15" hidden="false" customHeight="false" outlineLevel="0" collapsed="false">
      <c r="I7759" s="0" t="n">
        <v>2035</v>
      </c>
      <c r="J7759" s="0" t="n">
        <v>2</v>
      </c>
      <c r="K7759" s="0" t="n">
        <v>41.76</v>
      </c>
    </row>
    <row r="7760" customFormat="false" ht="15" hidden="false" customHeight="false" outlineLevel="0" collapsed="false">
      <c r="I7760" s="0" t="n">
        <v>2035</v>
      </c>
      <c r="J7760" s="0" t="n">
        <v>3.5</v>
      </c>
      <c r="K7760" s="0" t="n">
        <v>73.08</v>
      </c>
    </row>
    <row r="7761" customFormat="false" ht="15" hidden="false" customHeight="false" outlineLevel="0" collapsed="false">
      <c r="I7761" s="0" t="n">
        <v>2035</v>
      </c>
      <c r="J7761" s="0" t="n">
        <v>1</v>
      </c>
      <c r="K7761" s="0" t="n">
        <v>20.88</v>
      </c>
    </row>
    <row r="7762" customFormat="false" ht="15" hidden="false" customHeight="false" outlineLevel="0" collapsed="false">
      <c r="I7762" s="0" t="n">
        <v>2035</v>
      </c>
      <c r="J7762" s="0" t="n">
        <v>3.5</v>
      </c>
      <c r="K7762" s="0" t="n">
        <v>73.08</v>
      </c>
    </row>
    <row r="7763" customFormat="false" ht="15" hidden="false" customHeight="false" outlineLevel="0" collapsed="false">
      <c r="I7763" s="0" t="n">
        <v>2035</v>
      </c>
      <c r="J7763" s="0" t="n">
        <v>123.84</v>
      </c>
      <c r="K7763" s="0" t="n">
        <v>2597.76</v>
      </c>
    </row>
    <row r="7764" customFormat="false" ht="15" hidden="false" customHeight="false" outlineLevel="0" collapsed="false">
      <c r="I7764" s="0" t="n">
        <v>2035</v>
      </c>
      <c r="J7764" s="0" t="n">
        <v>41.28</v>
      </c>
      <c r="K7764" s="0" t="n">
        <v>865.92</v>
      </c>
    </row>
    <row r="7765" customFormat="false" ht="15" hidden="false" customHeight="false" outlineLevel="0" collapsed="false">
      <c r="I7765" s="0" t="n">
        <v>2035</v>
      </c>
      <c r="J7765" s="0" t="n">
        <v>18.06</v>
      </c>
      <c r="K7765" s="0" t="n">
        <v>378.84</v>
      </c>
    </row>
    <row r="7766" customFormat="false" ht="15" hidden="false" customHeight="false" outlineLevel="0" collapsed="false">
      <c r="I7766" s="0" t="n">
        <v>2035</v>
      </c>
      <c r="J7766" s="0" t="n">
        <v>10.32</v>
      </c>
      <c r="K7766" s="0" t="n">
        <v>216.48</v>
      </c>
    </row>
    <row r="7767" customFormat="false" ht="15" hidden="false" customHeight="false" outlineLevel="0" collapsed="false">
      <c r="I7767" s="0" t="n">
        <v>2035</v>
      </c>
      <c r="J7767" s="0" t="n">
        <v>10.32</v>
      </c>
      <c r="K7767" s="0" t="n">
        <v>216.48</v>
      </c>
    </row>
    <row r="7768" customFormat="false" ht="15" hidden="false" customHeight="false" outlineLevel="0" collapsed="false">
      <c r="I7768" s="0" t="n">
        <v>2035</v>
      </c>
      <c r="J7768" s="0" t="n">
        <v>5.16</v>
      </c>
      <c r="K7768" s="0" t="n">
        <v>108.24</v>
      </c>
    </row>
    <row r="7769" customFormat="false" ht="15" hidden="false" customHeight="false" outlineLevel="0" collapsed="false">
      <c r="I7769" s="0" t="n">
        <v>2035</v>
      </c>
      <c r="J7769" s="0" t="n">
        <v>5.16</v>
      </c>
      <c r="K7769" s="0" t="n">
        <v>108.24</v>
      </c>
    </row>
    <row r="7770" customFormat="false" ht="15" hidden="false" customHeight="false" outlineLevel="0" collapsed="false">
      <c r="I7770" s="0" t="n">
        <v>2035</v>
      </c>
      <c r="J7770" s="0" t="n">
        <v>10.32</v>
      </c>
      <c r="K7770" s="0" t="n">
        <v>216.48</v>
      </c>
    </row>
    <row r="7771" customFormat="false" ht="15" hidden="false" customHeight="false" outlineLevel="0" collapsed="false">
      <c r="I7771" s="0" t="n">
        <v>2035</v>
      </c>
      <c r="J7771" s="0" t="n">
        <v>18.06</v>
      </c>
      <c r="K7771" s="0" t="n">
        <v>378.84</v>
      </c>
    </row>
    <row r="7772" customFormat="false" ht="15" hidden="false" customHeight="false" outlineLevel="0" collapsed="false">
      <c r="I7772" s="0" t="n">
        <v>2035</v>
      </c>
      <c r="J7772" s="0" t="n">
        <v>7.74</v>
      </c>
      <c r="K7772" s="0" t="n">
        <v>162.36</v>
      </c>
    </row>
    <row r="7773" customFormat="false" ht="15" hidden="false" customHeight="false" outlineLevel="0" collapsed="false">
      <c r="I7773" s="0" t="n">
        <v>2035</v>
      </c>
      <c r="J7773" s="0" t="n">
        <v>7.74</v>
      </c>
      <c r="K7773" s="0" t="n">
        <v>162.36</v>
      </c>
    </row>
    <row r="7774" customFormat="false" ht="15" hidden="false" customHeight="false" outlineLevel="0" collapsed="false">
      <c r="I7774" s="0" t="n">
        <v>2035</v>
      </c>
      <c r="J7774" s="0" t="n">
        <v>34.84</v>
      </c>
      <c r="K7774" s="0" t="n">
        <v>730.08</v>
      </c>
    </row>
    <row r="7775" customFormat="false" ht="15" hidden="false" customHeight="false" outlineLevel="0" collapsed="false">
      <c r="I7775" s="0" t="n">
        <v>2035</v>
      </c>
      <c r="J7775" s="0" t="n">
        <v>5.36</v>
      </c>
      <c r="K7775" s="0" t="n">
        <v>112.32</v>
      </c>
    </row>
    <row r="7776" customFormat="false" ht="15" hidden="false" customHeight="false" outlineLevel="0" collapsed="false">
      <c r="I7776" s="0" t="n">
        <v>2035</v>
      </c>
      <c r="J7776" s="0" t="n">
        <v>4.02</v>
      </c>
      <c r="K7776" s="0" t="n">
        <v>84.24</v>
      </c>
    </row>
    <row r="7777" customFormat="false" ht="15" hidden="false" customHeight="false" outlineLevel="0" collapsed="false">
      <c r="I7777" s="0" t="n">
        <v>2035</v>
      </c>
      <c r="J7777" s="0" t="n">
        <v>6.7</v>
      </c>
      <c r="K7777" s="0" t="n">
        <v>140.4</v>
      </c>
    </row>
    <row r="7778" customFormat="false" ht="15" hidden="false" customHeight="false" outlineLevel="0" collapsed="false">
      <c r="I7778" s="0" t="n">
        <v>2035</v>
      </c>
      <c r="J7778" s="0" t="n">
        <v>1.34</v>
      </c>
      <c r="K7778" s="0" t="n">
        <v>28.08</v>
      </c>
    </row>
    <row r="7779" customFormat="false" ht="15" hidden="false" customHeight="false" outlineLevel="0" collapsed="false">
      <c r="I7779" s="0" t="n">
        <v>2035</v>
      </c>
      <c r="J7779" s="0" t="n">
        <v>1.34</v>
      </c>
      <c r="K7779" s="0" t="n">
        <v>28.08</v>
      </c>
    </row>
    <row r="7780" customFormat="false" ht="15" hidden="false" customHeight="false" outlineLevel="0" collapsed="false">
      <c r="I7780" s="0" t="n">
        <v>2035</v>
      </c>
      <c r="J7780" s="0" t="n">
        <v>0</v>
      </c>
      <c r="K7780" s="0" t="n">
        <v>0</v>
      </c>
    </row>
    <row r="7781" customFormat="false" ht="15" hidden="false" customHeight="false" outlineLevel="0" collapsed="false">
      <c r="I7781" s="0" t="n">
        <v>2035</v>
      </c>
      <c r="J7781" s="0" t="n">
        <v>2.68</v>
      </c>
      <c r="K7781" s="0" t="n">
        <v>56.16</v>
      </c>
    </row>
    <row r="7782" customFormat="false" ht="15" hidden="false" customHeight="false" outlineLevel="0" collapsed="false">
      <c r="I7782" s="0" t="n">
        <v>2035</v>
      </c>
      <c r="J7782" s="0" t="n">
        <v>4.69</v>
      </c>
      <c r="K7782" s="0" t="n">
        <v>98.28</v>
      </c>
    </row>
    <row r="7783" customFormat="false" ht="15" hidden="false" customHeight="false" outlineLevel="0" collapsed="false">
      <c r="I7783" s="0" t="n">
        <v>2035</v>
      </c>
      <c r="J7783" s="0" t="n">
        <v>1.34</v>
      </c>
      <c r="K7783" s="0" t="n">
        <v>28.08</v>
      </c>
    </row>
    <row r="7784" customFormat="false" ht="15" hidden="false" customHeight="false" outlineLevel="0" collapsed="false">
      <c r="I7784" s="0" t="n">
        <v>2035</v>
      </c>
      <c r="J7784" s="0" t="n">
        <v>4.69</v>
      </c>
      <c r="K7784" s="0" t="n">
        <v>98.28</v>
      </c>
    </row>
    <row r="7785" customFormat="false" ht="15" hidden="false" customHeight="false" outlineLevel="0" collapsed="false">
      <c r="I7785" s="0" t="n">
        <v>2035</v>
      </c>
      <c r="J7785" s="0" t="n">
        <v>124.8</v>
      </c>
      <c r="K7785" s="0" t="n">
        <v>2617.44</v>
      </c>
    </row>
    <row r="7786" customFormat="false" ht="15" hidden="false" customHeight="false" outlineLevel="0" collapsed="false">
      <c r="I7786" s="0" t="n">
        <v>2035</v>
      </c>
      <c r="J7786" s="0" t="n">
        <v>41.6</v>
      </c>
      <c r="K7786" s="0" t="n">
        <v>872.48</v>
      </c>
    </row>
    <row r="7787" customFormat="false" ht="15" hidden="false" customHeight="false" outlineLevel="0" collapsed="false">
      <c r="I7787" s="0" t="n">
        <v>2035</v>
      </c>
      <c r="J7787" s="0" t="n">
        <v>18.2</v>
      </c>
      <c r="K7787" s="0" t="n">
        <v>381.71</v>
      </c>
    </row>
    <row r="7788" customFormat="false" ht="15" hidden="false" customHeight="false" outlineLevel="0" collapsed="false">
      <c r="I7788" s="0" t="n">
        <v>2035</v>
      </c>
      <c r="J7788" s="0" t="n">
        <v>10.4</v>
      </c>
      <c r="K7788" s="0" t="n">
        <v>218.12</v>
      </c>
    </row>
    <row r="7789" customFormat="false" ht="15" hidden="false" customHeight="false" outlineLevel="0" collapsed="false">
      <c r="I7789" s="0" t="n">
        <v>2035</v>
      </c>
      <c r="J7789" s="0" t="n">
        <v>10.4</v>
      </c>
      <c r="K7789" s="0" t="n">
        <v>218.12</v>
      </c>
    </row>
    <row r="7790" customFormat="false" ht="15" hidden="false" customHeight="false" outlineLevel="0" collapsed="false">
      <c r="I7790" s="0" t="n">
        <v>2035</v>
      </c>
      <c r="J7790" s="0" t="n">
        <v>5.2</v>
      </c>
      <c r="K7790" s="0" t="n">
        <v>109.06</v>
      </c>
    </row>
    <row r="7791" customFormat="false" ht="15" hidden="false" customHeight="false" outlineLevel="0" collapsed="false">
      <c r="I7791" s="0" t="n">
        <v>2035</v>
      </c>
      <c r="J7791" s="0" t="n">
        <v>5.2</v>
      </c>
      <c r="K7791" s="0" t="n">
        <v>109.06</v>
      </c>
    </row>
    <row r="7792" customFormat="false" ht="15" hidden="false" customHeight="false" outlineLevel="0" collapsed="false">
      <c r="I7792" s="0" t="n">
        <v>2035</v>
      </c>
      <c r="J7792" s="0" t="n">
        <v>10.4</v>
      </c>
      <c r="K7792" s="0" t="n">
        <v>218.12</v>
      </c>
    </row>
    <row r="7793" customFormat="false" ht="15" hidden="false" customHeight="false" outlineLevel="0" collapsed="false">
      <c r="I7793" s="0" t="n">
        <v>2035</v>
      </c>
      <c r="J7793" s="0" t="n">
        <v>18.2</v>
      </c>
      <c r="K7793" s="0" t="n">
        <v>381.71</v>
      </c>
    </row>
    <row r="7794" customFormat="false" ht="15" hidden="false" customHeight="false" outlineLevel="0" collapsed="false">
      <c r="I7794" s="0" t="n">
        <v>2035</v>
      </c>
      <c r="J7794" s="0" t="n">
        <v>7.8</v>
      </c>
      <c r="K7794" s="0" t="n">
        <v>163.59</v>
      </c>
    </row>
    <row r="7795" customFormat="false" ht="15" hidden="false" customHeight="false" outlineLevel="0" collapsed="false">
      <c r="I7795" s="0" t="n">
        <v>2035</v>
      </c>
      <c r="J7795" s="0" t="n">
        <v>7.8</v>
      </c>
      <c r="K7795" s="0" t="n">
        <v>163.59</v>
      </c>
    </row>
    <row r="7796" customFormat="false" ht="15" hidden="false" customHeight="false" outlineLevel="0" collapsed="false">
      <c r="I7796" s="0" t="n">
        <v>2035</v>
      </c>
      <c r="J7796" s="0" t="n">
        <v>20.28</v>
      </c>
      <c r="K7796" s="0" t="n">
        <v>430.56</v>
      </c>
    </row>
    <row r="7797" customFormat="false" ht="15" hidden="false" customHeight="false" outlineLevel="0" collapsed="false">
      <c r="I7797" s="0" t="n">
        <v>2035</v>
      </c>
      <c r="J7797" s="0" t="n">
        <v>3.12</v>
      </c>
      <c r="K7797" s="0" t="n">
        <v>66.24</v>
      </c>
    </row>
    <row r="7798" customFormat="false" ht="15" hidden="false" customHeight="false" outlineLevel="0" collapsed="false">
      <c r="I7798" s="0" t="n">
        <v>2035</v>
      </c>
      <c r="J7798" s="0" t="n">
        <v>2.34</v>
      </c>
      <c r="K7798" s="0" t="n">
        <v>49.68</v>
      </c>
    </row>
    <row r="7799" customFormat="false" ht="15" hidden="false" customHeight="false" outlineLevel="0" collapsed="false">
      <c r="I7799" s="0" t="n">
        <v>2035</v>
      </c>
      <c r="J7799" s="0" t="n">
        <v>3.9</v>
      </c>
      <c r="K7799" s="0" t="n">
        <v>82.8</v>
      </c>
    </row>
    <row r="7800" customFormat="false" ht="15" hidden="false" customHeight="false" outlineLevel="0" collapsed="false">
      <c r="I7800" s="0" t="n">
        <v>2035</v>
      </c>
      <c r="J7800" s="0" t="n">
        <v>0.78</v>
      </c>
      <c r="K7800" s="0" t="n">
        <v>16.56</v>
      </c>
    </row>
    <row r="7801" customFormat="false" ht="15" hidden="false" customHeight="false" outlineLevel="0" collapsed="false">
      <c r="I7801" s="0" t="n">
        <v>2035</v>
      </c>
      <c r="J7801" s="0" t="n">
        <v>0.78</v>
      </c>
      <c r="K7801" s="0" t="n">
        <v>16.56</v>
      </c>
    </row>
    <row r="7802" customFormat="false" ht="15" hidden="false" customHeight="false" outlineLevel="0" collapsed="false">
      <c r="I7802" s="0" t="n">
        <v>2035</v>
      </c>
      <c r="J7802" s="0" t="n">
        <v>0</v>
      </c>
      <c r="K7802" s="0" t="n">
        <v>0</v>
      </c>
    </row>
    <row r="7803" customFormat="false" ht="15" hidden="false" customHeight="false" outlineLevel="0" collapsed="false">
      <c r="I7803" s="0" t="n">
        <v>2035</v>
      </c>
      <c r="J7803" s="0" t="n">
        <v>1.56</v>
      </c>
      <c r="K7803" s="0" t="n">
        <v>33.12</v>
      </c>
    </row>
    <row r="7804" customFormat="false" ht="15" hidden="false" customHeight="false" outlineLevel="0" collapsed="false">
      <c r="I7804" s="0" t="n">
        <v>2035</v>
      </c>
      <c r="J7804" s="0" t="n">
        <v>2.73</v>
      </c>
      <c r="K7804" s="0" t="n">
        <v>57.96</v>
      </c>
    </row>
    <row r="7805" customFormat="false" ht="15" hidden="false" customHeight="false" outlineLevel="0" collapsed="false">
      <c r="I7805" s="0" t="n">
        <v>2035</v>
      </c>
      <c r="J7805" s="0" t="n">
        <v>0.78</v>
      </c>
      <c r="K7805" s="0" t="n">
        <v>16.56</v>
      </c>
    </row>
    <row r="7806" customFormat="false" ht="15" hidden="false" customHeight="false" outlineLevel="0" collapsed="false">
      <c r="I7806" s="0" t="n">
        <v>2035</v>
      </c>
      <c r="J7806" s="0" t="n">
        <v>2.73</v>
      </c>
      <c r="K7806" s="0" t="n">
        <v>57.96</v>
      </c>
    </row>
    <row r="7807" customFormat="false" ht="15" hidden="false" customHeight="false" outlineLevel="0" collapsed="false">
      <c r="I7807" s="0" t="n">
        <v>2035</v>
      </c>
      <c r="J7807" s="0" t="n">
        <v>105.6</v>
      </c>
      <c r="K7807" s="0" t="n">
        <v>2213.76</v>
      </c>
    </row>
    <row r="7808" customFormat="false" ht="15" hidden="false" customHeight="false" outlineLevel="0" collapsed="false">
      <c r="I7808" s="0" t="n">
        <v>2035</v>
      </c>
      <c r="J7808" s="0" t="n">
        <v>35.2</v>
      </c>
      <c r="K7808" s="0" t="n">
        <v>737.92</v>
      </c>
    </row>
    <row r="7809" customFormat="false" ht="15" hidden="false" customHeight="false" outlineLevel="0" collapsed="false">
      <c r="I7809" s="0" t="n">
        <v>2035</v>
      </c>
      <c r="J7809" s="0" t="n">
        <v>15.4</v>
      </c>
      <c r="K7809" s="0" t="n">
        <v>322.84</v>
      </c>
    </row>
    <row r="7810" customFormat="false" ht="15" hidden="false" customHeight="false" outlineLevel="0" collapsed="false">
      <c r="I7810" s="0" t="n">
        <v>2035</v>
      </c>
      <c r="J7810" s="0" t="n">
        <v>8.8</v>
      </c>
      <c r="K7810" s="0" t="n">
        <v>184.48</v>
      </c>
    </row>
    <row r="7811" customFormat="false" ht="15" hidden="false" customHeight="false" outlineLevel="0" collapsed="false">
      <c r="I7811" s="0" t="n">
        <v>2035</v>
      </c>
      <c r="J7811" s="0" t="n">
        <v>8.8</v>
      </c>
      <c r="K7811" s="0" t="n">
        <v>184.48</v>
      </c>
    </row>
    <row r="7812" customFormat="false" ht="15" hidden="false" customHeight="false" outlineLevel="0" collapsed="false">
      <c r="I7812" s="0" t="n">
        <v>2035</v>
      </c>
      <c r="J7812" s="0" t="n">
        <v>4.4</v>
      </c>
      <c r="K7812" s="0" t="n">
        <v>92.24</v>
      </c>
    </row>
    <row r="7813" customFormat="false" ht="15" hidden="false" customHeight="false" outlineLevel="0" collapsed="false">
      <c r="I7813" s="0" t="n">
        <v>2035</v>
      </c>
      <c r="J7813" s="0" t="n">
        <v>4.4</v>
      </c>
      <c r="K7813" s="0" t="n">
        <v>92.24</v>
      </c>
    </row>
    <row r="7814" customFormat="false" ht="15" hidden="false" customHeight="false" outlineLevel="0" collapsed="false">
      <c r="I7814" s="0" t="n">
        <v>2035</v>
      </c>
      <c r="J7814" s="0" t="n">
        <v>8.8</v>
      </c>
      <c r="K7814" s="0" t="n">
        <v>184.48</v>
      </c>
    </row>
    <row r="7815" customFormat="false" ht="15" hidden="false" customHeight="false" outlineLevel="0" collapsed="false">
      <c r="I7815" s="0" t="n">
        <v>2035</v>
      </c>
      <c r="J7815" s="0" t="n">
        <v>15.4</v>
      </c>
      <c r="K7815" s="0" t="n">
        <v>322.84</v>
      </c>
    </row>
    <row r="7816" customFormat="false" ht="15" hidden="false" customHeight="false" outlineLevel="0" collapsed="false">
      <c r="I7816" s="0" t="n">
        <v>2035</v>
      </c>
      <c r="J7816" s="0" t="n">
        <v>6.6</v>
      </c>
      <c r="K7816" s="0" t="n">
        <v>138.36</v>
      </c>
    </row>
    <row r="7817" customFormat="false" ht="15" hidden="false" customHeight="false" outlineLevel="0" collapsed="false">
      <c r="I7817" s="0" t="n">
        <v>2035</v>
      </c>
      <c r="J7817" s="0" t="n">
        <v>6.6</v>
      </c>
      <c r="K7817" s="0" t="n">
        <v>138.36</v>
      </c>
    </row>
    <row r="7818" customFormat="false" ht="15" hidden="false" customHeight="false" outlineLevel="0" collapsed="false">
      <c r="I7818" s="0" t="n">
        <v>2035</v>
      </c>
      <c r="J7818" s="0" t="n">
        <v>13.52</v>
      </c>
      <c r="K7818" s="0" t="n">
        <v>280.8</v>
      </c>
    </row>
    <row r="7819" customFormat="false" ht="15" hidden="false" customHeight="false" outlineLevel="0" collapsed="false">
      <c r="I7819" s="0" t="n">
        <v>2035</v>
      </c>
      <c r="J7819" s="0" t="n">
        <v>2.08</v>
      </c>
      <c r="K7819" s="0" t="n">
        <v>43.2</v>
      </c>
    </row>
    <row r="7820" customFormat="false" ht="15" hidden="false" customHeight="false" outlineLevel="0" collapsed="false">
      <c r="I7820" s="0" t="n">
        <v>2035</v>
      </c>
      <c r="J7820" s="0" t="n">
        <v>1.56</v>
      </c>
      <c r="K7820" s="0" t="n">
        <v>32.4</v>
      </c>
    </row>
    <row r="7821" customFormat="false" ht="15" hidden="false" customHeight="false" outlineLevel="0" collapsed="false">
      <c r="I7821" s="0" t="n">
        <v>2035</v>
      </c>
      <c r="J7821" s="0" t="n">
        <v>2.6</v>
      </c>
      <c r="K7821" s="0" t="n">
        <v>54</v>
      </c>
    </row>
    <row r="7822" customFormat="false" ht="15" hidden="false" customHeight="false" outlineLevel="0" collapsed="false">
      <c r="I7822" s="0" t="n">
        <v>2035</v>
      </c>
      <c r="J7822" s="0" t="n">
        <v>0.52</v>
      </c>
      <c r="K7822" s="0" t="n">
        <v>10.8</v>
      </c>
    </row>
    <row r="7823" customFormat="false" ht="15" hidden="false" customHeight="false" outlineLevel="0" collapsed="false">
      <c r="I7823" s="0" t="n">
        <v>2035</v>
      </c>
      <c r="J7823" s="0" t="n">
        <v>0.52</v>
      </c>
      <c r="K7823" s="0" t="n">
        <v>10.8</v>
      </c>
    </row>
    <row r="7824" customFormat="false" ht="15" hidden="false" customHeight="false" outlineLevel="0" collapsed="false">
      <c r="I7824" s="0" t="n">
        <v>2035</v>
      </c>
      <c r="J7824" s="0" t="n">
        <v>0</v>
      </c>
      <c r="K7824" s="0" t="n">
        <v>0</v>
      </c>
    </row>
    <row r="7825" customFormat="false" ht="15" hidden="false" customHeight="false" outlineLevel="0" collapsed="false">
      <c r="I7825" s="0" t="n">
        <v>2035</v>
      </c>
      <c r="J7825" s="0" t="n">
        <v>1.04</v>
      </c>
      <c r="K7825" s="0" t="n">
        <v>21.6</v>
      </c>
    </row>
    <row r="7826" customFormat="false" ht="15" hidden="false" customHeight="false" outlineLevel="0" collapsed="false">
      <c r="I7826" s="0" t="n">
        <v>2035</v>
      </c>
      <c r="J7826" s="0" t="n">
        <v>1.82</v>
      </c>
      <c r="K7826" s="0" t="n">
        <v>37.8</v>
      </c>
    </row>
    <row r="7827" customFormat="false" ht="15" hidden="false" customHeight="false" outlineLevel="0" collapsed="false">
      <c r="I7827" s="0" t="n">
        <v>2035</v>
      </c>
      <c r="J7827" s="0" t="n">
        <v>0.52</v>
      </c>
      <c r="K7827" s="0" t="n">
        <v>10.8</v>
      </c>
    </row>
    <row r="7828" customFormat="false" ht="15" hidden="false" customHeight="false" outlineLevel="0" collapsed="false">
      <c r="I7828" s="0" t="n">
        <v>2035</v>
      </c>
      <c r="J7828" s="0" t="n">
        <v>1.82</v>
      </c>
      <c r="K7828" s="0" t="n">
        <v>37.8</v>
      </c>
    </row>
    <row r="7829" customFormat="false" ht="15" hidden="false" customHeight="false" outlineLevel="0" collapsed="false">
      <c r="I7829" s="0" t="n">
        <v>2035</v>
      </c>
      <c r="J7829" s="0" t="n">
        <v>40.32</v>
      </c>
      <c r="K7829" s="0" t="n">
        <v>846.24</v>
      </c>
    </row>
    <row r="7830" customFormat="false" ht="15" hidden="false" customHeight="false" outlineLevel="0" collapsed="false">
      <c r="I7830" s="0" t="n">
        <v>2035</v>
      </c>
      <c r="J7830" s="0" t="n">
        <v>13.44</v>
      </c>
      <c r="K7830" s="0" t="n">
        <v>282.08</v>
      </c>
    </row>
    <row r="7831" customFormat="false" ht="15" hidden="false" customHeight="false" outlineLevel="0" collapsed="false">
      <c r="I7831" s="0" t="n">
        <v>2035</v>
      </c>
      <c r="J7831" s="0" t="n">
        <v>5.88</v>
      </c>
      <c r="K7831" s="0" t="n">
        <v>123.41</v>
      </c>
    </row>
    <row r="7832" customFormat="false" ht="15" hidden="false" customHeight="false" outlineLevel="0" collapsed="false">
      <c r="I7832" s="0" t="n">
        <v>2035</v>
      </c>
      <c r="J7832" s="0" t="n">
        <v>3.36</v>
      </c>
      <c r="K7832" s="0" t="n">
        <v>70.52</v>
      </c>
    </row>
    <row r="7833" customFormat="false" ht="15" hidden="false" customHeight="false" outlineLevel="0" collapsed="false">
      <c r="I7833" s="0" t="n">
        <v>2035</v>
      </c>
      <c r="J7833" s="0" t="n">
        <v>3.36</v>
      </c>
      <c r="K7833" s="0" t="n">
        <v>70.52</v>
      </c>
    </row>
    <row r="7834" customFormat="false" ht="15" hidden="false" customHeight="false" outlineLevel="0" collapsed="false">
      <c r="I7834" s="0" t="n">
        <v>2035</v>
      </c>
      <c r="J7834" s="0" t="n">
        <v>1.68</v>
      </c>
      <c r="K7834" s="0" t="n">
        <v>35.26</v>
      </c>
    </row>
    <row r="7835" customFormat="false" ht="15" hidden="false" customHeight="false" outlineLevel="0" collapsed="false">
      <c r="I7835" s="0" t="n">
        <v>2035</v>
      </c>
      <c r="J7835" s="0" t="n">
        <v>1.68</v>
      </c>
      <c r="K7835" s="0" t="n">
        <v>35.26</v>
      </c>
    </row>
    <row r="7836" customFormat="false" ht="15" hidden="false" customHeight="false" outlineLevel="0" collapsed="false">
      <c r="I7836" s="0" t="n">
        <v>2035</v>
      </c>
      <c r="J7836" s="0" t="n">
        <v>3.36</v>
      </c>
      <c r="K7836" s="0" t="n">
        <v>70.52</v>
      </c>
    </row>
    <row r="7837" customFormat="false" ht="15" hidden="false" customHeight="false" outlineLevel="0" collapsed="false">
      <c r="I7837" s="0" t="n">
        <v>2035</v>
      </c>
      <c r="J7837" s="0" t="n">
        <v>5.88</v>
      </c>
      <c r="K7837" s="0" t="n">
        <v>123.41</v>
      </c>
    </row>
    <row r="7838" customFormat="false" ht="15" hidden="false" customHeight="false" outlineLevel="0" collapsed="false">
      <c r="I7838" s="0" t="n">
        <v>2035</v>
      </c>
      <c r="J7838" s="0" t="n">
        <v>2.52</v>
      </c>
      <c r="K7838" s="0" t="n">
        <v>52.89</v>
      </c>
    </row>
    <row r="7839" customFormat="false" ht="15" hidden="false" customHeight="false" outlineLevel="0" collapsed="false">
      <c r="I7839" s="0" t="n">
        <v>2035</v>
      </c>
      <c r="J7839" s="0" t="n">
        <v>2.52</v>
      </c>
      <c r="K7839" s="0" t="n">
        <v>52.89</v>
      </c>
    </row>
    <row r="7840" customFormat="false" ht="15" hidden="false" customHeight="false" outlineLevel="0" collapsed="false">
      <c r="I7840" s="0" t="n">
        <v>2035</v>
      </c>
      <c r="J7840" s="0" t="n">
        <v>21.32</v>
      </c>
      <c r="K7840" s="0" t="n">
        <v>448.76</v>
      </c>
    </row>
    <row r="7841" customFormat="false" ht="15" hidden="false" customHeight="false" outlineLevel="0" collapsed="false">
      <c r="I7841" s="0" t="n">
        <v>2035</v>
      </c>
      <c r="J7841" s="0" t="n">
        <v>3.28</v>
      </c>
      <c r="K7841" s="0" t="n">
        <v>69.04</v>
      </c>
    </row>
    <row r="7842" customFormat="false" ht="15" hidden="false" customHeight="false" outlineLevel="0" collapsed="false">
      <c r="I7842" s="0" t="n">
        <v>2035</v>
      </c>
      <c r="J7842" s="0" t="n">
        <v>2.46</v>
      </c>
      <c r="K7842" s="0" t="n">
        <v>51.78</v>
      </c>
    </row>
    <row r="7843" customFormat="false" ht="15" hidden="false" customHeight="false" outlineLevel="0" collapsed="false">
      <c r="I7843" s="0" t="n">
        <v>2035</v>
      </c>
      <c r="J7843" s="0" t="n">
        <v>4.1</v>
      </c>
      <c r="K7843" s="0" t="n">
        <v>86.3</v>
      </c>
    </row>
    <row r="7844" customFormat="false" ht="15" hidden="false" customHeight="false" outlineLevel="0" collapsed="false">
      <c r="I7844" s="0" t="n">
        <v>2035</v>
      </c>
      <c r="J7844" s="0" t="n">
        <v>0.82</v>
      </c>
      <c r="K7844" s="0" t="n">
        <v>17.26</v>
      </c>
    </row>
    <row r="7845" customFormat="false" ht="15" hidden="false" customHeight="false" outlineLevel="0" collapsed="false">
      <c r="I7845" s="0" t="n">
        <v>2035</v>
      </c>
      <c r="J7845" s="0" t="n">
        <v>0.82</v>
      </c>
      <c r="K7845" s="0" t="n">
        <v>17.26</v>
      </c>
    </row>
    <row r="7846" customFormat="false" ht="15" hidden="false" customHeight="false" outlineLevel="0" collapsed="false">
      <c r="I7846" s="0" t="n">
        <v>2035</v>
      </c>
      <c r="J7846" s="0" t="n">
        <v>0</v>
      </c>
      <c r="K7846" s="0" t="n">
        <v>0</v>
      </c>
    </row>
    <row r="7847" customFormat="false" ht="15" hidden="false" customHeight="false" outlineLevel="0" collapsed="false">
      <c r="I7847" s="0" t="n">
        <v>2035</v>
      </c>
      <c r="J7847" s="0" t="n">
        <v>1.64</v>
      </c>
      <c r="K7847" s="0" t="n">
        <v>34.52</v>
      </c>
    </row>
    <row r="7848" customFormat="false" ht="15" hidden="false" customHeight="false" outlineLevel="0" collapsed="false">
      <c r="I7848" s="0" t="n">
        <v>2035</v>
      </c>
      <c r="J7848" s="0" t="n">
        <v>2.87</v>
      </c>
      <c r="K7848" s="0" t="n">
        <v>60.41</v>
      </c>
    </row>
    <row r="7849" customFormat="false" ht="15" hidden="false" customHeight="false" outlineLevel="0" collapsed="false">
      <c r="I7849" s="0" t="n">
        <v>2035</v>
      </c>
      <c r="J7849" s="0" t="n">
        <v>0.82</v>
      </c>
      <c r="K7849" s="0" t="n">
        <v>17.26</v>
      </c>
    </row>
    <row r="7850" customFormat="false" ht="15" hidden="false" customHeight="false" outlineLevel="0" collapsed="false">
      <c r="I7850" s="0" t="n">
        <v>2035</v>
      </c>
      <c r="J7850" s="0" t="n">
        <v>2.87</v>
      </c>
      <c r="K7850" s="0" t="n">
        <v>60.41</v>
      </c>
    </row>
    <row r="7851" customFormat="false" ht="15" hidden="false" customHeight="false" outlineLevel="0" collapsed="false">
      <c r="I7851" s="0" t="n">
        <v>2035</v>
      </c>
      <c r="J7851" s="0" t="n">
        <v>1302.24</v>
      </c>
      <c r="K7851" s="0" t="n">
        <v>27351.36</v>
      </c>
    </row>
    <row r="7852" customFormat="false" ht="15" hidden="false" customHeight="false" outlineLevel="0" collapsed="false">
      <c r="I7852" s="0" t="n">
        <v>2035</v>
      </c>
      <c r="J7852" s="0" t="n">
        <v>434.08</v>
      </c>
      <c r="K7852" s="0" t="n">
        <v>9117.12</v>
      </c>
    </row>
    <row r="7853" customFormat="false" ht="15" hidden="false" customHeight="false" outlineLevel="0" collapsed="false">
      <c r="I7853" s="0" t="n">
        <v>2035</v>
      </c>
      <c r="J7853" s="0" t="n">
        <v>189.91</v>
      </c>
      <c r="K7853" s="0" t="n">
        <v>3988.74</v>
      </c>
    </row>
    <row r="7854" customFormat="false" ht="15" hidden="false" customHeight="false" outlineLevel="0" collapsed="false">
      <c r="I7854" s="0" t="n">
        <v>2035</v>
      </c>
      <c r="J7854" s="0" t="n">
        <v>108.52</v>
      </c>
      <c r="K7854" s="0" t="n">
        <v>2279.28</v>
      </c>
    </row>
    <row r="7855" customFormat="false" ht="15" hidden="false" customHeight="false" outlineLevel="0" collapsed="false">
      <c r="I7855" s="0" t="n">
        <v>2035</v>
      </c>
      <c r="J7855" s="0" t="n">
        <v>108.52</v>
      </c>
      <c r="K7855" s="0" t="n">
        <v>2279.28</v>
      </c>
    </row>
    <row r="7856" customFormat="false" ht="15" hidden="false" customHeight="false" outlineLevel="0" collapsed="false">
      <c r="I7856" s="0" t="n">
        <v>2035</v>
      </c>
      <c r="J7856" s="0" t="n">
        <v>54.26</v>
      </c>
      <c r="K7856" s="0" t="n">
        <v>1139.64</v>
      </c>
    </row>
    <row r="7857" customFormat="false" ht="15" hidden="false" customHeight="false" outlineLevel="0" collapsed="false">
      <c r="I7857" s="0" t="n">
        <v>2035</v>
      </c>
      <c r="J7857" s="0" t="n">
        <v>54.26</v>
      </c>
      <c r="K7857" s="0" t="n">
        <v>1139.64</v>
      </c>
    </row>
    <row r="7858" customFormat="false" ht="15" hidden="false" customHeight="false" outlineLevel="0" collapsed="false">
      <c r="I7858" s="0" t="n">
        <v>2035</v>
      </c>
      <c r="J7858" s="0" t="n">
        <v>108.52</v>
      </c>
      <c r="K7858" s="0" t="n">
        <v>2279.28</v>
      </c>
    </row>
    <row r="7859" customFormat="false" ht="15" hidden="false" customHeight="false" outlineLevel="0" collapsed="false">
      <c r="I7859" s="0" t="n">
        <v>2035</v>
      </c>
      <c r="J7859" s="0" t="n">
        <v>189.91</v>
      </c>
      <c r="K7859" s="0" t="n">
        <v>3988.74</v>
      </c>
    </row>
    <row r="7860" customFormat="false" ht="15" hidden="false" customHeight="false" outlineLevel="0" collapsed="false">
      <c r="I7860" s="0" t="n">
        <v>2035</v>
      </c>
      <c r="J7860" s="0" t="n">
        <v>81.39</v>
      </c>
      <c r="K7860" s="0" t="n">
        <v>1709.46</v>
      </c>
    </row>
    <row r="7861" customFormat="false" ht="15" hidden="false" customHeight="false" outlineLevel="0" collapsed="false">
      <c r="I7861" s="0" t="n">
        <v>2035</v>
      </c>
      <c r="J7861" s="0" t="n">
        <v>81.39</v>
      </c>
      <c r="K7861" s="0" t="n">
        <v>1709.46</v>
      </c>
    </row>
    <row r="7862" customFormat="false" ht="15" hidden="false" customHeight="false" outlineLevel="0" collapsed="false">
      <c r="I7862" s="0" t="n">
        <v>2035</v>
      </c>
      <c r="J7862" s="0" t="n">
        <v>226.2</v>
      </c>
      <c r="K7862" s="0" t="n">
        <v>4746.04</v>
      </c>
    </row>
    <row r="7863" customFormat="false" ht="15" hidden="false" customHeight="false" outlineLevel="0" collapsed="false">
      <c r="I7863" s="0" t="n">
        <v>2035</v>
      </c>
      <c r="J7863" s="0" t="n">
        <v>34.8</v>
      </c>
      <c r="K7863" s="0" t="n">
        <v>730.16</v>
      </c>
    </row>
    <row r="7864" customFormat="false" ht="15" hidden="false" customHeight="false" outlineLevel="0" collapsed="false">
      <c r="I7864" s="0" t="n">
        <v>2035</v>
      </c>
      <c r="J7864" s="0" t="n">
        <v>26.1</v>
      </c>
      <c r="K7864" s="0" t="n">
        <v>547.62</v>
      </c>
    </row>
    <row r="7865" customFormat="false" ht="15" hidden="false" customHeight="false" outlineLevel="0" collapsed="false">
      <c r="I7865" s="0" t="n">
        <v>2035</v>
      </c>
      <c r="J7865" s="0" t="n">
        <v>43.5</v>
      </c>
      <c r="K7865" s="0" t="n">
        <v>912.7</v>
      </c>
    </row>
    <row r="7866" customFormat="false" ht="15" hidden="false" customHeight="false" outlineLevel="0" collapsed="false">
      <c r="I7866" s="0" t="n">
        <v>2035</v>
      </c>
      <c r="J7866" s="0" t="n">
        <v>8.7</v>
      </c>
      <c r="K7866" s="0" t="n">
        <v>182.54</v>
      </c>
    </row>
    <row r="7867" customFormat="false" ht="15" hidden="false" customHeight="false" outlineLevel="0" collapsed="false">
      <c r="I7867" s="0" t="n">
        <v>2035</v>
      </c>
      <c r="J7867" s="0" t="n">
        <v>8.7</v>
      </c>
      <c r="K7867" s="0" t="n">
        <v>182.54</v>
      </c>
    </row>
    <row r="7868" customFormat="false" ht="15" hidden="false" customHeight="false" outlineLevel="0" collapsed="false">
      <c r="I7868" s="0" t="n">
        <v>2035</v>
      </c>
      <c r="J7868" s="0" t="n">
        <v>0</v>
      </c>
      <c r="K7868" s="0" t="n">
        <v>0</v>
      </c>
    </row>
    <row r="7869" customFormat="false" ht="15" hidden="false" customHeight="false" outlineLevel="0" collapsed="false">
      <c r="I7869" s="0" t="n">
        <v>2035</v>
      </c>
      <c r="J7869" s="0" t="n">
        <v>17.4</v>
      </c>
      <c r="K7869" s="0" t="n">
        <v>365.08</v>
      </c>
    </row>
    <row r="7870" customFormat="false" ht="15" hidden="false" customHeight="false" outlineLevel="0" collapsed="false">
      <c r="I7870" s="0" t="n">
        <v>2035</v>
      </c>
      <c r="J7870" s="0" t="n">
        <v>30.45</v>
      </c>
      <c r="K7870" s="0" t="n">
        <v>638.89</v>
      </c>
    </row>
    <row r="7871" customFormat="false" ht="15" hidden="false" customHeight="false" outlineLevel="0" collapsed="false">
      <c r="I7871" s="0" t="n">
        <v>2035</v>
      </c>
      <c r="J7871" s="0" t="n">
        <v>8.7</v>
      </c>
      <c r="K7871" s="0" t="n">
        <v>182.54</v>
      </c>
    </row>
    <row r="7872" customFormat="false" ht="15" hidden="false" customHeight="false" outlineLevel="0" collapsed="false">
      <c r="I7872" s="0" t="n">
        <v>2035</v>
      </c>
      <c r="J7872" s="0" t="n">
        <v>30.45</v>
      </c>
      <c r="K7872" s="0" t="n">
        <v>638.89</v>
      </c>
    </row>
    <row r="7873" customFormat="false" ht="15" hidden="false" customHeight="false" outlineLevel="0" collapsed="false">
      <c r="I7873" s="0" t="n">
        <v>2035</v>
      </c>
      <c r="J7873" s="0" t="n">
        <v>52.32</v>
      </c>
      <c r="K7873" s="0" t="n">
        <v>1094.88</v>
      </c>
    </row>
    <row r="7874" customFormat="false" ht="15" hidden="false" customHeight="false" outlineLevel="0" collapsed="false">
      <c r="I7874" s="0" t="n">
        <v>2035</v>
      </c>
      <c r="J7874" s="0" t="n">
        <v>17.44</v>
      </c>
      <c r="K7874" s="0" t="n">
        <v>364.96</v>
      </c>
    </row>
    <row r="7875" customFormat="false" ht="15" hidden="false" customHeight="false" outlineLevel="0" collapsed="false">
      <c r="I7875" s="0" t="n">
        <v>2035</v>
      </c>
      <c r="J7875" s="0" t="n">
        <v>7.63</v>
      </c>
      <c r="K7875" s="0" t="n">
        <v>159.67</v>
      </c>
    </row>
    <row r="7876" customFormat="false" ht="15" hidden="false" customHeight="false" outlineLevel="0" collapsed="false">
      <c r="I7876" s="0" t="n">
        <v>2035</v>
      </c>
      <c r="J7876" s="0" t="n">
        <v>4.36</v>
      </c>
      <c r="K7876" s="0" t="n">
        <v>91.24</v>
      </c>
    </row>
    <row r="7877" customFormat="false" ht="15" hidden="false" customHeight="false" outlineLevel="0" collapsed="false">
      <c r="I7877" s="0" t="n">
        <v>2035</v>
      </c>
      <c r="J7877" s="0" t="n">
        <v>4.36</v>
      </c>
      <c r="K7877" s="0" t="n">
        <v>91.24</v>
      </c>
    </row>
    <row r="7878" customFormat="false" ht="15" hidden="false" customHeight="false" outlineLevel="0" collapsed="false">
      <c r="I7878" s="0" t="n">
        <v>2035</v>
      </c>
      <c r="J7878" s="0" t="n">
        <v>2.18</v>
      </c>
      <c r="K7878" s="0" t="n">
        <v>45.62</v>
      </c>
    </row>
    <row r="7879" customFormat="false" ht="15" hidden="false" customHeight="false" outlineLevel="0" collapsed="false">
      <c r="I7879" s="0" t="n">
        <v>2035</v>
      </c>
      <c r="J7879" s="0" t="n">
        <v>2.18</v>
      </c>
      <c r="K7879" s="0" t="n">
        <v>45.62</v>
      </c>
    </row>
    <row r="7880" customFormat="false" ht="15" hidden="false" customHeight="false" outlineLevel="0" collapsed="false">
      <c r="I7880" s="0" t="n">
        <v>2035</v>
      </c>
      <c r="J7880" s="0" t="n">
        <v>4.36</v>
      </c>
      <c r="K7880" s="0" t="n">
        <v>91.24</v>
      </c>
    </row>
    <row r="7881" customFormat="false" ht="15" hidden="false" customHeight="false" outlineLevel="0" collapsed="false">
      <c r="I7881" s="0" t="n">
        <v>2035</v>
      </c>
      <c r="J7881" s="0" t="n">
        <v>7.63</v>
      </c>
      <c r="K7881" s="0" t="n">
        <v>159.67</v>
      </c>
    </row>
    <row r="7882" customFormat="false" ht="15" hidden="false" customHeight="false" outlineLevel="0" collapsed="false">
      <c r="I7882" s="0" t="n">
        <v>2035</v>
      </c>
      <c r="J7882" s="0" t="n">
        <v>3.27</v>
      </c>
      <c r="K7882" s="0" t="n">
        <v>68.43</v>
      </c>
    </row>
    <row r="7883" customFormat="false" ht="15" hidden="false" customHeight="false" outlineLevel="0" collapsed="false">
      <c r="I7883" s="0" t="n">
        <v>2035</v>
      </c>
      <c r="J7883" s="0" t="n">
        <v>3.27</v>
      </c>
      <c r="K7883" s="0" t="n">
        <v>68.43</v>
      </c>
    </row>
    <row r="7884" customFormat="false" ht="15" hidden="false" customHeight="false" outlineLevel="0" collapsed="false">
      <c r="I7884" s="0" t="n">
        <v>2035</v>
      </c>
      <c r="J7884" s="0" t="n">
        <v>10.92</v>
      </c>
      <c r="K7884" s="0" t="n">
        <v>230.88</v>
      </c>
    </row>
    <row r="7885" customFormat="false" ht="15" hidden="false" customHeight="false" outlineLevel="0" collapsed="false">
      <c r="I7885" s="0" t="n">
        <v>2035</v>
      </c>
      <c r="J7885" s="0" t="n">
        <v>1.68</v>
      </c>
      <c r="K7885" s="0" t="n">
        <v>35.52</v>
      </c>
    </row>
    <row r="7886" customFormat="false" ht="15" hidden="false" customHeight="false" outlineLevel="0" collapsed="false">
      <c r="I7886" s="0" t="n">
        <v>2035</v>
      </c>
      <c r="J7886" s="0" t="n">
        <v>1.26</v>
      </c>
      <c r="K7886" s="0" t="n">
        <v>26.64</v>
      </c>
    </row>
    <row r="7887" customFormat="false" ht="15" hidden="false" customHeight="false" outlineLevel="0" collapsed="false">
      <c r="I7887" s="0" t="n">
        <v>2035</v>
      </c>
      <c r="J7887" s="0" t="n">
        <v>2.1</v>
      </c>
      <c r="K7887" s="0" t="n">
        <v>44.4</v>
      </c>
    </row>
    <row r="7888" customFormat="false" ht="15" hidden="false" customHeight="false" outlineLevel="0" collapsed="false">
      <c r="I7888" s="0" t="n">
        <v>2035</v>
      </c>
      <c r="J7888" s="0" t="n">
        <v>0.42</v>
      </c>
      <c r="K7888" s="0" t="n">
        <v>8.88</v>
      </c>
    </row>
    <row r="7889" customFormat="false" ht="15" hidden="false" customHeight="false" outlineLevel="0" collapsed="false">
      <c r="I7889" s="0" t="n">
        <v>2035</v>
      </c>
      <c r="J7889" s="0" t="n">
        <v>0.42</v>
      </c>
      <c r="K7889" s="0" t="n">
        <v>8.88</v>
      </c>
    </row>
    <row r="7890" customFormat="false" ht="15" hidden="false" customHeight="false" outlineLevel="0" collapsed="false">
      <c r="I7890" s="0" t="n">
        <v>2035</v>
      </c>
      <c r="J7890" s="0" t="n">
        <v>0</v>
      </c>
      <c r="K7890" s="0" t="n">
        <v>0</v>
      </c>
    </row>
    <row r="7891" customFormat="false" ht="15" hidden="false" customHeight="false" outlineLevel="0" collapsed="false">
      <c r="I7891" s="0" t="n">
        <v>2035</v>
      </c>
      <c r="J7891" s="0" t="n">
        <v>0.84</v>
      </c>
      <c r="K7891" s="0" t="n">
        <v>17.76</v>
      </c>
    </row>
    <row r="7892" customFormat="false" ht="15" hidden="false" customHeight="false" outlineLevel="0" collapsed="false">
      <c r="I7892" s="0" t="n">
        <v>2035</v>
      </c>
      <c r="J7892" s="0" t="n">
        <v>1.47</v>
      </c>
      <c r="K7892" s="0" t="n">
        <v>31.08</v>
      </c>
    </row>
    <row r="7893" customFormat="false" ht="15" hidden="false" customHeight="false" outlineLevel="0" collapsed="false">
      <c r="I7893" s="0" t="n">
        <v>2035</v>
      </c>
      <c r="J7893" s="0" t="n">
        <v>0.42</v>
      </c>
      <c r="K7893" s="0" t="n">
        <v>8.88</v>
      </c>
    </row>
    <row r="7894" customFormat="false" ht="15" hidden="false" customHeight="false" outlineLevel="0" collapsed="false">
      <c r="I7894" s="0" t="n">
        <v>2035</v>
      </c>
      <c r="J7894" s="0" t="n">
        <v>1.47</v>
      </c>
      <c r="K7894" s="0" t="n">
        <v>31.08</v>
      </c>
    </row>
    <row r="7895" customFormat="false" ht="15" hidden="false" customHeight="false" outlineLevel="0" collapsed="false">
      <c r="I7895" s="0" t="n">
        <v>2035</v>
      </c>
      <c r="J7895" s="0" t="n">
        <v>33.6</v>
      </c>
      <c r="K7895" s="0" t="n">
        <v>706.08</v>
      </c>
    </row>
    <row r="7896" customFormat="false" ht="15" hidden="false" customHeight="false" outlineLevel="0" collapsed="false">
      <c r="I7896" s="0" t="n">
        <v>2035</v>
      </c>
      <c r="J7896" s="0" t="n">
        <v>11.2</v>
      </c>
      <c r="K7896" s="0" t="n">
        <v>235.36</v>
      </c>
    </row>
    <row r="7897" customFormat="false" ht="15" hidden="false" customHeight="false" outlineLevel="0" collapsed="false">
      <c r="I7897" s="0" t="n">
        <v>2035</v>
      </c>
      <c r="J7897" s="0" t="n">
        <v>4.9</v>
      </c>
      <c r="K7897" s="0" t="n">
        <v>102.97</v>
      </c>
    </row>
    <row r="7898" customFormat="false" ht="15" hidden="false" customHeight="false" outlineLevel="0" collapsed="false">
      <c r="I7898" s="0" t="n">
        <v>2035</v>
      </c>
      <c r="J7898" s="0" t="n">
        <v>2.8</v>
      </c>
      <c r="K7898" s="0" t="n">
        <v>58.84</v>
      </c>
    </row>
    <row r="7899" customFormat="false" ht="15" hidden="false" customHeight="false" outlineLevel="0" collapsed="false">
      <c r="I7899" s="0" t="n">
        <v>2035</v>
      </c>
      <c r="J7899" s="0" t="n">
        <v>2.8</v>
      </c>
      <c r="K7899" s="0" t="n">
        <v>58.84</v>
      </c>
    </row>
    <row r="7900" customFormat="false" ht="15" hidden="false" customHeight="false" outlineLevel="0" collapsed="false">
      <c r="I7900" s="0" t="n">
        <v>2035</v>
      </c>
      <c r="J7900" s="0" t="n">
        <v>1.4</v>
      </c>
      <c r="K7900" s="0" t="n">
        <v>29.42</v>
      </c>
    </row>
    <row r="7901" customFormat="false" ht="15" hidden="false" customHeight="false" outlineLevel="0" collapsed="false">
      <c r="I7901" s="0" t="n">
        <v>2035</v>
      </c>
      <c r="J7901" s="0" t="n">
        <v>1.4</v>
      </c>
      <c r="K7901" s="0" t="n">
        <v>29.42</v>
      </c>
    </row>
    <row r="7902" customFormat="false" ht="15" hidden="false" customHeight="false" outlineLevel="0" collapsed="false">
      <c r="I7902" s="0" t="n">
        <v>2035</v>
      </c>
      <c r="J7902" s="0" t="n">
        <v>2.8</v>
      </c>
      <c r="K7902" s="0" t="n">
        <v>58.84</v>
      </c>
    </row>
    <row r="7903" customFormat="false" ht="15" hidden="false" customHeight="false" outlineLevel="0" collapsed="false">
      <c r="I7903" s="0" t="n">
        <v>2035</v>
      </c>
      <c r="J7903" s="0" t="n">
        <v>4.9</v>
      </c>
      <c r="K7903" s="0" t="n">
        <v>102.97</v>
      </c>
    </row>
    <row r="7904" customFormat="false" ht="15" hidden="false" customHeight="false" outlineLevel="0" collapsed="false">
      <c r="I7904" s="0" t="n">
        <v>2035</v>
      </c>
      <c r="J7904" s="0" t="n">
        <v>2.1</v>
      </c>
      <c r="K7904" s="0" t="n">
        <v>44.13</v>
      </c>
    </row>
    <row r="7905" customFormat="false" ht="15" hidden="false" customHeight="false" outlineLevel="0" collapsed="false">
      <c r="I7905" s="0" t="n">
        <v>2035</v>
      </c>
      <c r="J7905" s="0" t="n">
        <v>2.1</v>
      </c>
      <c r="K7905" s="0" t="n">
        <v>44.13</v>
      </c>
    </row>
    <row r="7906" customFormat="false" ht="15" hidden="false" customHeight="false" outlineLevel="0" collapsed="false">
      <c r="I7906" s="0" t="n">
        <v>2035</v>
      </c>
      <c r="J7906" s="0" t="n">
        <v>28.08</v>
      </c>
      <c r="K7906" s="0" t="n">
        <v>592.28</v>
      </c>
    </row>
    <row r="7907" customFormat="false" ht="15" hidden="false" customHeight="false" outlineLevel="0" collapsed="false">
      <c r="I7907" s="0" t="n">
        <v>2035</v>
      </c>
      <c r="J7907" s="0" t="n">
        <v>4.32</v>
      </c>
      <c r="K7907" s="0" t="n">
        <v>91.12</v>
      </c>
    </row>
    <row r="7908" customFormat="false" ht="15" hidden="false" customHeight="false" outlineLevel="0" collapsed="false">
      <c r="I7908" s="0" t="n">
        <v>2035</v>
      </c>
      <c r="J7908" s="0" t="n">
        <v>3.24</v>
      </c>
      <c r="K7908" s="0" t="n">
        <v>68.34</v>
      </c>
    </row>
    <row r="7909" customFormat="false" ht="15" hidden="false" customHeight="false" outlineLevel="0" collapsed="false">
      <c r="I7909" s="0" t="n">
        <v>2035</v>
      </c>
      <c r="J7909" s="0" t="n">
        <v>5.4</v>
      </c>
      <c r="K7909" s="0" t="n">
        <v>113.9</v>
      </c>
    </row>
    <row r="7910" customFormat="false" ht="15" hidden="false" customHeight="false" outlineLevel="0" collapsed="false">
      <c r="I7910" s="0" t="n">
        <v>2035</v>
      </c>
      <c r="J7910" s="0" t="n">
        <v>1.08</v>
      </c>
      <c r="K7910" s="0" t="n">
        <v>22.78</v>
      </c>
    </row>
    <row r="7911" customFormat="false" ht="15" hidden="false" customHeight="false" outlineLevel="0" collapsed="false">
      <c r="I7911" s="0" t="n">
        <v>2035</v>
      </c>
      <c r="J7911" s="0" t="n">
        <v>1.08</v>
      </c>
      <c r="K7911" s="0" t="n">
        <v>22.78</v>
      </c>
    </row>
    <row r="7912" customFormat="false" ht="15" hidden="false" customHeight="false" outlineLevel="0" collapsed="false">
      <c r="I7912" s="0" t="n">
        <v>2035</v>
      </c>
      <c r="J7912" s="0" t="n">
        <v>0</v>
      </c>
      <c r="K7912" s="0" t="n">
        <v>0</v>
      </c>
    </row>
    <row r="7913" customFormat="false" ht="15" hidden="false" customHeight="false" outlineLevel="0" collapsed="false">
      <c r="I7913" s="0" t="n">
        <v>2035</v>
      </c>
      <c r="J7913" s="0" t="n">
        <v>2.16</v>
      </c>
      <c r="K7913" s="0" t="n">
        <v>45.56</v>
      </c>
    </row>
    <row r="7914" customFormat="false" ht="15" hidden="false" customHeight="false" outlineLevel="0" collapsed="false">
      <c r="I7914" s="0" t="n">
        <v>2035</v>
      </c>
      <c r="J7914" s="0" t="n">
        <v>3.78</v>
      </c>
      <c r="K7914" s="0" t="n">
        <v>79.73</v>
      </c>
    </row>
    <row r="7915" customFormat="false" ht="15" hidden="false" customHeight="false" outlineLevel="0" collapsed="false">
      <c r="I7915" s="0" t="n">
        <v>2035</v>
      </c>
      <c r="J7915" s="0" t="n">
        <v>1.08</v>
      </c>
      <c r="K7915" s="0" t="n">
        <v>22.78</v>
      </c>
    </row>
    <row r="7916" customFormat="false" ht="15" hidden="false" customHeight="false" outlineLevel="0" collapsed="false">
      <c r="I7916" s="0" t="n">
        <v>2035</v>
      </c>
      <c r="J7916" s="0" t="n">
        <v>3.78</v>
      </c>
      <c r="K7916" s="0" t="n">
        <v>79.73</v>
      </c>
    </row>
    <row r="7917" customFormat="false" ht="15" hidden="false" customHeight="false" outlineLevel="0" collapsed="false">
      <c r="I7917" s="0" t="n">
        <v>2035</v>
      </c>
      <c r="J7917" s="0" t="n">
        <v>147.36</v>
      </c>
      <c r="K7917" s="0" t="n">
        <v>3098.88</v>
      </c>
    </row>
    <row r="7918" customFormat="false" ht="15" hidden="false" customHeight="false" outlineLevel="0" collapsed="false">
      <c r="I7918" s="0" t="n">
        <v>2035</v>
      </c>
      <c r="J7918" s="0" t="n">
        <v>49.12</v>
      </c>
      <c r="K7918" s="0" t="n">
        <v>1032.96</v>
      </c>
    </row>
    <row r="7919" customFormat="false" ht="15" hidden="false" customHeight="false" outlineLevel="0" collapsed="false">
      <c r="I7919" s="0" t="n">
        <v>2035</v>
      </c>
      <c r="J7919" s="0" t="n">
        <v>21.49</v>
      </c>
      <c r="K7919" s="0" t="n">
        <v>451.92</v>
      </c>
    </row>
    <row r="7920" customFormat="false" ht="15" hidden="false" customHeight="false" outlineLevel="0" collapsed="false">
      <c r="I7920" s="0" t="n">
        <v>2035</v>
      </c>
      <c r="J7920" s="0" t="n">
        <v>12.28</v>
      </c>
      <c r="K7920" s="0" t="n">
        <v>258.24</v>
      </c>
    </row>
    <row r="7921" customFormat="false" ht="15" hidden="false" customHeight="false" outlineLevel="0" collapsed="false">
      <c r="I7921" s="0" t="n">
        <v>2035</v>
      </c>
      <c r="J7921" s="0" t="n">
        <v>12.28</v>
      </c>
      <c r="K7921" s="0" t="n">
        <v>258.24</v>
      </c>
    </row>
    <row r="7922" customFormat="false" ht="15" hidden="false" customHeight="false" outlineLevel="0" collapsed="false">
      <c r="I7922" s="0" t="n">
        <v>2035</v>
      </c>
      <c r="J7922" s="0" t="n">
        <v>6.14</v>
      </c>
      <c r="K7922" s="0" t="n">
        <v>129.12</v>
      </c>
    </row>
    <row r="7923" customFormat="false" ht="15" hidden="false" customHeight="false" outlineLevel="0" collapsed="false">
      <c r="I7923" s="0" t="n">
        <v>2035</v>
      </c>
      <c r="J7923" s="0" t="n">
        <v>6.14</v>
      </c>
      <c r="K7923" s="0" t="n">
        <v>129.12</v>
      </c>
    </row>
    <row r="7924" customFormat="false" ht="15" hidden="false" customHeight="false" outlineLevel="0" collapsed="false">
      <c r="I7924" s="0" t="n">
        <v>2035</v>
      </c>
      <c r="J7924" s="0" t="n">
        <v>12.28</v>
      </c>
      <c r="K7924" s="0" t="n">
        <v>258.24</v>
      </c>
    </row>
    <row r="7925" customFormat="false" ht="15" hidden="false" customHeight="false" outlineLevel="0" collapsed="false">
      <c r="I7925" s="0" t="n">
        <v>2035</v>
      </c>
      <c r="J7925" s="0" t="n">
        <v>21.49</v>
      </c>
      <c r="K7925" s="0" t="n">
        <v>451.92</v>
      </c>
    </row>
    <row r="7926" customFormat="false" ht="15" hidden="false" customHeight="false" outlineLevel="0" collapsed="false">
      <c r="I7926" s="0" t="n">
        <v>2035</v>
      </c>
      <c r="J7926" s="0" t="n">
        <v>9.21</v>
      </c>
      <c r="K7926" s="0" t="n">
        <v>193.68</v>
      </c>
    </row>
    <row r="7927" customFormat="false" ht="15" hidden="false" customHeight="false" outlineLevel="0" collapsed="false">
      <c r="I7927" s="0" t="n">
        <v>2035</v>
      </c>
      <c r="J7927" s="0" t="n">
        <v>9.21</v>
      </c>
      <c r="K7927" s="0" t="n">
        <v>193.68</v>
      </c>
    </row>
    <row r="7928" customFormat="false" ht="15" hidden="false" customHeight="false" outlineLevel="0" collapsed="false">
      <c r="I7928" s="0" t="n">
        <v>2035</v>
      </c>
      <c r="J7928" s="0" t="n">
        <v>59.28</v>
      </c>
      <c r="K7928" s="0" t="n">
        <v>1246.96</v>
      </c>
    </row>
    <row r="7929" customFormat="false" ht="15" hidden="false" customHeight="false" outlineLevel="0" collapsed="false">
      <c r="I7929" s="0" t="n">
        <v>2035</v>
      </c>
      <c r="J7929" s="0" t="n">
        <v>9.12</v>
      </c>
      <c r="K7929" s="0" t="n">
        <v>191.84</v>
      </c>
    </row>
    <row r="7930" customFormat="false" ht="15" hidden="false" customHeight="false" outlineLevel="0" collapsed="false">
      <c r="I7930" s="0" t="n">
        <v>2035</v>
      </c>
      <c r="J7930" s="0" t="n">
        <v>6.84</v>
      </c>
      <c r="K7930" s="0" t="n">
        <v>143.88</v>
      </c>
    </row>
    <row r="7931" customFormat="false" ht="15" hidden="false" customHeight="false" outlineLevel="0" collapsed="false">
      <c r="I7931" s="0" t="n">
        <v>2035</v>
      </c>
      <c r="J7931" s="0" t="n">
        <v>11.4</v>
      </c>
      <c r="K7931" s="0" t="n">
        <v>239.8</v>
      </c>
    </row>
    <row r="7932" customFormat="false" ht="15" hidden="false" customHeight="false" outlineLevel="0" collapsed="false">
      <c r="I7932" s="0" t="n">
        <v>2035</v>
      </c>
      <c r="J7932" s="0" t="n">
        <v>2.28</v>
      </c>
      <c r="K7932" s="0" t="n">
        <v>47.96</v>
      </c>
    </row>
    <row r="7933" customFormat="false" ht="15" hidden="false" customHeight="false" outlineLevel="0" collapsed="false">
      <c r="I7933" s="0" t="n">
        <v>2035</v>
      </c>
      <c r="J7933" s="0" t="n">
        <v>2.28</v>
      </c>
      <c r="K7933" s="0" t="n">
        <v>47.96</v>
      </c>
    </row>
    <row r="7934" customFormat="false" ht="15" hidden="false" customHeight="false" outlineLevel="0" collapsed="false">
      <c r="I7934" s="0" t="n">
        <v>2035</v>
      </c>
      <c r="J7934" s="0" t="n">
        <v>0</v>
      </c>
      <c r="K7934" s="0" t="n">
        <v>0</v>
      </c>
    </row>
    <row r="7935" customFormat="false" ht="15" hidden="false" customHeight="false" outlineLevel="0" collapsed="false">
      <c r="I7935" s="0" t="n">
        <v>2035</v>
      </c>
      <c r="J7935" s="0" t="n">
        <v>4.56</v>
      </c>
      <c r="K7935" s="0" t="n">
        <v>95.92</v>
      </c>
    </row>
    <row r="7936" customFormat="false" ht="15" hidden="false" customHeight="false" outlineLevel="0" collapsed="false">
      <c r="I7936" s="0" t="n">
        <v>2035</v>
      </c>
      <c r="J7936" s="0" t="n">
        <v>7.98</v>
      </c>
      <c r="K7936" s="0" t="n">
        <v>167.86</v>
      </c>
    </row>
    <row r="7937" customFormat="false" ht="15" hidden="false" customHeight="false" outlineLevel="0" collapsed="false">
      <c r="I7937" s="0" t="n">
        <v>2035</v>
      </c>
      <c r="J7937" s="0" t="n">
        <v>2.28</v>
      </c>
      <c r="K7937" s="0" t="n">
        <v>47.96</v>
      </c>
    </row>
    <row r="7938" customFormat="false" ht="15" hidden="false" customHeight="false" outlineLevel="0" collapsed="false">
      <c r="I7938" s="0" t="n">
        <v>2035</v>
      </c>
      <c r="J7938" s="0" t="n">
        <v>7.98</v>
      </c>
      <c r="K7938" s="0" t="n">
        <v>167.86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2026-10-13T01:40:41Z</dcterms:created>
  <dc:creator>openpyxl</dc:creator>
  <dc:description/>
  <dc:language>en-US</dc:language>
  <cp:lastModifiedBy/>
  <dcterms:modified xsi:type="dcterms:W3CDTF">2026-10-13T01:40:43Z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