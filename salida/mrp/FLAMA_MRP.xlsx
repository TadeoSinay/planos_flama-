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CONSOLIDADO!$A$3:$R$122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POLITICA_STOCK!$3:$3</definedName>
    <definedName function="false" hidden="true" localSheetId="7" name="_xlnm._FilterDatabase" vbProcedure="false">POLITICA_STOCK!$A$3:$V$118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<sst xmlns="http://schemas.openxmlformats.org/spreadsheetml/2006/main" count="2396" uniqueCount="916">
  <si>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</si>
  <si>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</si>
  <si>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</si>
  <si>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</si>
  <si>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</si>
  <si>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</si>
  <si>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</si>
  <si>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</si>
  <si>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</si>
  <si>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</si>
  <si>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</si>
  <si>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</si>
  <si>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</si>
  <si>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</si>
  <si>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</si>
  <si>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</si>
  <si>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</si>
  <si>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</si>
  <si>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</si>
  <si>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</si>
  <si>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</si>
  <si>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</si>
  <si>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</si>
  <si>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</si>
  <si>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</si>
  <si>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</si>
  <si>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</si>
  <si>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</si>
  <si>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</si>
  <si>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</si>
  <si>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</si>
  <si>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</si>
  <si>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</si>
  <si>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</si>
  <si>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</si>
  <si>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</si>
  <si>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</si>
  <si>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</si>
  <si>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</si>
  <si>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</si>
  <si>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</si>
  <si>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</si>
  <si>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</si>
  <si>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</si>
  <si>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</si>
  <si>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</si>
  <si>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</si>
  <si>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</si>
  <si>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</si>
  <si>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</si>
  <si>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</si>
  <si>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</si>
  <si>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</si>
  <si>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</si>
  <si>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</si>
  <si>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</si>
  <si>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</si>
  <si>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</si>
  <si>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</si>
  <si>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</si>
  <si>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</si>
  <si>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</si>
  <si>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</si>
  <si>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</si>
  <si>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</si>
  <si>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</si>
  <si>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</si>
  <si>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</si>
  <si>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</si>
  <si>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</si>
  <si>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</si>
  <si>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</si>
  <si>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</si>
  <si>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</si>
  <si>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</si>
  <si>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</si>
  <si>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</si>
  <si>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</si>
  <si>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</si>
  <si>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</si>
  <si>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</si>
  <si>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</si>
  <si>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</si>
  <si>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</si>
  <si>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</si>
  <si>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</si>
  <si>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</si>
  <si>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</si>
  <si>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</si>
  <si>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</si>
  <si>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</si>
  <si>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</si>
  <si>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</si>
  <si>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</si>
  <si>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</si>
  <si>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</si>
  <si>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</si>
  <si>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</si>
  <si>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</si>
  <si>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</si>
  <si>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</si>
  <si>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</si>
  <si>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</si>
  <si>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</si>
  <si>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</si>
  <si>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</si>
  <si>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</si>
  <si>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</si>
  <si>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</si>
  <si>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</si>
  <si>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</si>
  <si>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</si>
  <si>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</si>
  <si>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</si>
  <si>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</si>
  <si>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</si>
  <si>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</si>
  <si>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</si>
  <si>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</si>
  <si>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</si>
  <si>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</si>
  <si>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</si>
  <si>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</si>
  <si>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</si>
  <si>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</si>
  <si>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</si>
  <si>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</si>
  <si>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</si>
  <si>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</si>
  <si>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</si>
  <si>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</si>
  <si>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</si>
  <si>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</si>
  <si>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</si>
  <si>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</si>
  <si>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</si>
  <si>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</si>
  <si>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</si>
  <si>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</si>
  <si>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</si>
  <si>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</si>
  <si>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</si>
  <si>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</si>
  <si>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</si>
  <si>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</si>
  <si>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</si>
  <si>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</si>
  <si>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</si>
  <si>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</si>
  <si>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</si>
  <si>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</si>
  <si>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</si>
  <si>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</si>
  <si>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</si>
  <si>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</si>
  <si>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</si>
  <si>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</si>
  <si>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</si>
  <si>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</si>
  <si>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</si>
  <si>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</si>
  <si>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</si>
  <si>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</si>
  <si>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</si>
  <si>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</si>
  <si>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</si>
  <si>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</si>
  <si>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</si>
  <si>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</si>
  <si>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</si>
  <si>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</si>
  <si>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</si>
  <si>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</si>
  <si>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</si>
  <si>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</si>
  <si>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</si>
  <si>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</si>
  <si>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</si>
  <si>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</si>
  <si>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</si>
  <si>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</si>
  <si>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</si>
  <si>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</si>
  <si>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</si>
  <si>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</si>
  <si>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</si>
  <si>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</si>
  <si>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</si>
  <si>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</si>
  <si>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</si>
  <si>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</si>
  <si>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</si>
  <si>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</si>
  <si>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</si>
  <si>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</si>
  <si>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</si>
  <si>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</si>
  <si>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</si>
  <si>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</si>
  <si>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</si>
  <si>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</si>
  <si>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</si>
  <si>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</si>
  <si>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</si>
  <si>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</si>
  <si>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</si>
  <si>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</si>
  <si>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</si>
  <si>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</si>
  <si>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</si>
  <si>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</si>
  <si>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</si>
  <si>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</si>
  <si>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</si>
  <si>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</si>
  <si>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</si>
  <si>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</si>
  <si>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</si>
  <si>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</si>
  <si>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</si>
  <si>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</si>
  <si>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</si>
  <si>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</si>
  <si>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</si>
  <si>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</si>
  <si>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</si>
  <si>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</si>
  <si>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</si>
  <si>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</si>
  <si>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</si>
  <si>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</si>
  <si>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</si>
  <si>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</si>
  <si>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</si>
  <si>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</si>
  <si>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</si>
  <si>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</si>
  <si>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</si>
  <si>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</si>
  <si>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</si>
  <si>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</si>
  <si>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</si>
  <si>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</si>
  <si>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</si>
  <si>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</si>
  <si>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</si>
  <si>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</si>
  <si>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MP-48/ABC1</t>
  </si>
  <si>
    <t xml:space="preserve">Tobera ABC 1 kg</t>
  </si>
  <si>
    <t xml:space="preserve">M24</t>
  </si>
  <si>
    <t xml:space="preserve">MP-48/ABC2.5</t>
  </si>
  <si>
    <t xml:space="preserve">Manguera con tobera ABC 2,5 kg</t>
  </si>
  <si>
    <t xml:space="preserve">M25</t>
  </si>
  <si>
    <t xml:space="preserve">MP-48/ABC5</t>
  </si>
  <si>
    <t xml:space="preserve">Manguera con tobera ABC 5 kg</t>
  </si>
  <si>
    <t xml:space="preserve">M26</t>
  </si>
  <si>
    <t xml:space="preserve">MP-48/ABC10</t>
  </si>
  <si>
    <t xml:space="preserve">Manguera con tobera ABC 10 kg</t>
  </si>
  <si>
    <t xml:space="preserve">M27</t>
  </si>
  <si>
    <t xml:space="preserve">MP-50/M22</t>
  </si>
  <si>
    <t xml:space="preserve">Junta tórica del cuello M22</t>
  </si>
  <si>
    <t xml:space="preserve">M28</t>
  </si>
  <si>
    <t xml:space="preserve">MP-50/M30</t>
  </si>
  <si>
    <t xml:space="preserve">Junta tórica del cuello M30</t>
  </si>
  <si>
    <t xml:space="preserve">M29</t>
  </si>
  <si>
    <t xml:space="preserve">MP-52/ABC2.5</t>
  </si>
  <si>
    <t xml:space="preserve">Soporte de pared ABC 2,5 kg</t>
  </si>
  <si>
    <t xml:space="preserve">M30</t>
  </si>
  <si>
    <t xml:space="preserve">MP-52/ABC5</t>
  </si>
  <si>
    <t xml:space="preserve">Soporte de pared ABC 5 kg</t>
  </si>
  <si>
    <t xml:space="preserve">M31</t>
  </si>
  <si>
    <t xml:space="preserve">MP-52/ABC10</t>
  </si>
  <si>
    <t xml:space="preserve">Soporte de pared ABC 10 kg</t>
  </si>
  <si>
    <t xml:space="preserve">M32</t>
  </si>
  <si>
    <t xml:space="preserve">MP-87</t>
  </si>
  <si>
    <t xml:space="preserve">Soporte vehicular (1 kg)</t>
  </si>
  <si>
    <t xml:space="preserve">M33</t>
  </si>
  <si>
    <t xml:space="preserve">MP-86</t>
  </si>
  <si>
    <t xml:space="preserve">Tornillo y tarugo de fijación</t>
  </si>
  <si>
    <t xml:space="preserve">M34</t>
  </si>
  <si>
    <t xml:space="preserve">MP-56/ABC1</t>
  </si>
  <si>
    <t xml:space="preserve">Etiqueta de características ABC 1 kg</t>
  </si>
  <si>
    <t xml:space="preserve">M35</t>
  </si>
  <si>
    <t xml:space="preserve">MP-56/ABC2.5</t>
  </si>
  <si>
    <t xml:space="preserve">Etiqueta de características ABC 2,5 kg</t>
  </si>
  <si>
    <t xml:space="preserve">M36</t>
  </si>
  <si>
    <t xml:space="preserve">MP-56/ABC5</t>
  </si>
  <si>
    <t xml:space="preserve">Etiqueta de características ABC 5 kg</t>
  </si>
  <si>
    <t xml:space="preserve">M37</t>
  </si>
  <si>
    <t xml:space="preserve">MP-56/ABC10</t>
  </si>
  <si>
    <t xml:space="preserve">Etiqueta de características ABC 10 kg</t>
  </si>
  <si>
    <t xml:space="preserve">M38</t>
  </si>
  <si>
    <t xml:space="preserve">MP-78</t>
  </si>
  <si>
    <t xml:space="preserve">Oblea de fabricación (PBA)</t>
  </si>
  <si>
    <t xml:space="preserve">PBA</t>
  </si>
  <si>
    <t xml:space="preserve">M39</t>
  </si>
  <si>
    <t xml:space="preserve">MP-79</t>
  </si>
  <si>
    <t xml:space="preserve">Estampilla IRAM de conformidad</t>
  </si>
  <si>
    <t xml:space="preserve">M40</t>
  </si>
  <si>
    <t xml:space="preserve">MP-77</t>
  </si>
  <si>
    <t xml:space="preserve">Tarjeta de identificación AGC (CABA)</t>
  </si>
  <si>
    <t xml:space="preserve">CABA</t>
  </si>
  <si>
    <t xml:space="preserve">M41</t>
  </si>
  <si>
    <t xml:space="preserve">MP-80</t>
  </si>
  <si>
    <t xml:space="preserve">Etiqueta de n° de serie GS1</t>
  </si>
  <si>
    <t xml:space="preserve">M42</t>
  </si>
  <si>
    <t xml:space="preserve">MP-81</t>
  </si>
  <si>
    <t xml:space="preserve">Faja de garantía válvula-cuello</t>
  </si>
  <si>
    <t xml:space="preserve">M43</t>
  </si>
  <si>
    <t xml:space="preserve">MP-51</t>
  </si>
  <si>
    <t xml:space="preserve">Precinto de fábrica</t>
  </si>
  <si>
    <t xml:space="preserve">M44</t>
  </si>
  <si>
    <t xml:space="preserve">MP-88</t>
  </si>
  <si>
    <t xml:space="preserve">Etiqueta del cilindro suelto</t>
  </si>
  <si>
    <t xml:space="preserve">M45</t>
  </si>
  <si>
    <t xml:space="preserve">MP-62/M22</t>
  </si>
  <si>
    <t xml:space="preserve">Tapón protector de rosca M22</t>
  </si>
  <si>
    <t xml:space="preserve">M46</t>
  </si>
  <si>
    <t xml:space="preserve">MP-62/M30</t>
  </si>
  <si>
    <t xml:space="preserve">Tapón protector de rosca M30</t>
  </si>
  <si>
    <t xml:space="preserve">M47</t>
  </si>
  <si>
    <t xml:space="preserve">MP-85</t>
  </si>
  <si>
    <t xml:space="preserve">Impresos (protocolo de ensayo, remito de préstamo)</t>
  </si>
  <si>
    <t xml:space="preserve">M48</t>
  </si>
  <si>
    <t xml:space="preserve">MP-59/ABC1</t>
  </si>
  <si>
    <t xml:space="preserve">Caja de cartón simple ABC 1 kg</t>
  </si>
  <si>
    <t xml:space="preserve">M49</t>
  </si>
  <si>
    <t xml:space="preserve">MP-59/ABC2.5</t>
  </si>
  <si>
    <t xml:space="preserve">Caja de cartón simple ABC 2,5 kg</t>
  </si>
  <si>
    <t xml:space="preserve">M50</t>
  </si>
  <si>
    <t xml:space="preserve">MP-59/ABC5</t>
  </si>
  <si>
    <t xml:space="preserve">Caja de cartón simple ABC 5 kg</t>
  </si>
  <si>
    <t xml:space="preserve">M51</t>
  </si>
  <si>
    <t xml:space="preserve">MP-59/ABC10</t>
  </si>
  <si>
    <t xml:space="preserve">Caja de cartón doble ABC 10 kg</t>
  </si>
  <si>
    <t xml:space="preserve">M52</t>
  </si>
  <si>
    <t xml:space="preserve">MP-89</t>
  </si>
  <si>
    <t xml:space="preserve">Etiqueta de caja</t>
  </si>
  <si>
    <t xml:space="preserve">M53</t>
  </si>
  <si>
    <t xml:space="preserve">MP-60</t>
  </si>
  <si>
    <t xml:space="preserve">Pallet de madera 1200 × 1000</t>
  </si>
  <si>
    <t xml:space="preserve">M54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</si>
  <si>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</si>
  <si>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</si>
  <si>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</si>
  <si>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</si>
  <si>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</si>
  <si>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</si>
  <si>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</si>
  <si>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</si>
  <si>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</si>
  <si>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</si>
  <si>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</si>
  <si>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</si>
  <si>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</si>
  <si>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</si>
  <si>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</si>
  <si>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</si>
  <si>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</si>
  <si>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</si>
  <si>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</si>
  <si>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</si>
  <si>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</si>
  <si>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</si>
  <si>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</si>
  <si>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</si>
  <si>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</si>
  <si>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</si>
  <si>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</si>
  <si>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</si>
  <si>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</si>
  <si>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</si>
  <si>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</si>
  <si>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</si>
  <si>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</si>
  <si>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</si>
  <si>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</si>
  <si>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</si>
  <si>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</si>
  <si>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</si>
  <si>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</si>
  <si>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</si>
  <si>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</si>
  <si>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</si>
  <si>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</si>
  <si>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</si>
  <si>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</si>
  <si>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</si>
  <si>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</si>
  <si>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</si>
  <si>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</si>
  <si>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</si>
  <si>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</si>
  <si>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</si>
  <si>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</si>
  <si>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</si>
  <si>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</si>
  <si>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</si>
  <si>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</si>
  <si>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</si>
  <si>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</si>
  <si>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</si>
  <si>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</si>
  <si>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</si>
  <si>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</si>
  <si>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</si>
  <si>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</si>
  <si>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</si>
  <si>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</si>
  <si>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</si>
  <si>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</si>
  <si>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</si>
  <si>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</si>
  <si>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</si>
  <si>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</si>
  <si>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</si>
  <si>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</si>
  <si>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</si>
  <si>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</si>
  <si>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</si>
  <si>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</si>
  <si>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</si>
  <si>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</si>
  <si>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</si>
  <si>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</si>
  <si>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</si>
  <si>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</si>
  <si>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</si>
  <si>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</si>
  <si>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</si>
  <si>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</si>
  <si>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</si>
  <si>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</si>
  <si>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</si>
  <si>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</si>
  <si>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</si>
  <si>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</si>
  <si>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</si>
  <si>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</t>
  </si>
  <si>
    <t xml:space="preserve">R31</t>
  </si>
  <si>
    <t xml:space="preserve">MP-44/50</t>
  </si>
  <si>
    <t xml:space="preserve">Válvula HZ de carro 50-70-100 kg</t>
  </si>
  <si>
    <t xml:space="preserve">R32</t>
  </si>
  <si>
    <t xml:space="preserve">R33</t>
  </si>
  <si>
    <t xml:space="preserve">MP-49/ABC25</t>
  </si>
  <si>
    <t xml:space="preserve">Manguera con válvula esférica y tobera, carro 25 kg</t>
  </si>
  <si>
    <t xml:space="preserve">R34</t>
  </si>
  <si>
    <t xml:space="preserve">MP-49/ABC50</t>
  </si>
  <si>
    <t xml:space="preserve">Manguera con válvula esférica y tobera, carro 50 kg</t>
  </si>
  <si>
    <t xml:space="preserve">R35</t>
  </si>
  <si>
    <t xml:space="preserve">MP-49/ABC70</t>
  </si>
  <si>
    <t xml:space="preserve">Manguera con válvula esférica y tobera, carro 70 kg</t>
  </si>
  <si>
    <t xml:space="preserve">R36</t>
  </si>
  <si>
    <t xml:space="preserve">MP-49/ABC100</t>
  </si>
  <si>
    <t xml:space="preserve">Manguera con válvula esférica y tobera, carro 100 kg</t>
  </si>
  <si>
    <t xml:space="preserve">R37</t>
  </si>
  <si>
    <t xml:space="preserve">R38</t>
  </si>
  <si>
    <t xml:space="preserve">MP-50/2½</t>
  </si>
  <si>
    <t xml:space="preserve">Junta tórica del cuello 2½"</t>
  </si>
  <si>
    <t xml:space="preserve">R39</t>
  </si>
  <si>
    <t xml:space="preserve">MP-56/ABC25</t>
  </si>
  <si>
    <t xml:space="preserve">Etiqueta de características ABC 25 kg</t>
  </si>
  <si>
    <t xml:space="preserve">R40</t>
  </si>
  <si>
    <t xml:space="preserve">MP-56/ABC50</t>
  </si>
  <si>
    <t xml:space="preserve">Etiqueta de características ABC 50 kg</t>
  </si>
  <si>
    <t xml:space="preserve">R41</t>
  </si>
  <si>
    <t xml:space="preserve">MP-56/ABC70</t>
  </si>
  <si>
    <t xml:space="preserve">Etiqueta de características ABC 70 kg</t>
  </si>
  <si>
    <t xml:space="preserve">R42</t>
  </si>
  <si>
    <t xml:space="preserve">MP-56/ABC100</t>
  </si>
  <si>
    <t xml:space="preserve">Etiqueta de características ABC 100 kg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</si>
  <si>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</si>
  <si>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</si>
  <si>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</si>
  <si>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</si>
  <si>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</si>
  <si>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</si>
  <si>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</si>
  <si>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</si>
  <si>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</si>
  <si>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MP-62/2½</t>
  </si>
  <si>
    <t xml:space="preserve">Tapón protector de rosca 2½"</t>
  </si>
  <si>
    <t xml:space="preserve">R52</t>
  </si>
  <si>
    <t xml:space="preserve">R53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</si>
  <si>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</si>
  <si>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</si>
  <si>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</si>
  <si>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</si>
  <si>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</si>
  <si>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</si>
  <si>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</si>
  <si>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</si>
  <si>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</si>
  <si>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</si>
  <si>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</si>
  <si>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</si>
  <si>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</si>
  <si>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</si>
  <si>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</si>
  <si>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</si>
  <si>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</si>
  <si>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</si>
  <si>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</si>
  <si>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</si>
  <si>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</si>
  <si>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</si>
  <si>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</si>
  <si>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</si>
  <si>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</si>
  <si>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</si>
  <si>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</si>
  <si>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</si>
  <si>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</si>
  <si>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</si>
  <si>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</si>
  <si>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</si>
  <si>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</si>
  <si>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</si>
  <si>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</si>
  <si>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</si>
  <si>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</si>
  <si>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</si>
  <si>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</si>
  <si>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</si>
  <si>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</si>
  <si>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</si>
  <si>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</si>
  <si>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</si>
  <si>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</si>
  <si>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</si>
  <si>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</si>
  <si>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</si>
  <si>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</si>
  <si>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</si>
  <si>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</si>
  <si>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</si>
  <si>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</si>
  <si>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</si>
  <si>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</si>
  <si>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</si>
  <si>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</si>
  <si>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</si>
  <si>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</si>
  <si>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</si>
  <si>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</si>
  <si>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</si>
  <si>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</si>
  <si>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</si>
  <si>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</si>
  <si>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</si>
  <si>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</si>
  <si>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</si>
  <si>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</si>
  <si>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</si>
  <si>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</si>
  <si>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</si>
  <si>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</si>
  <si>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</si>
  <si>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</si>
  <si>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</si>
  <si>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</si>
  <si>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</si>
  <si>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</si>
  <si>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</si>
  <si>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</si>
  <si>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</si>
  <si>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</si>
  <si>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</si>
  <si>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</si>
  <si>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</si>
  <si>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</si>
  <si>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</si>
  <si>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</si>
  <si>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</si>
  <si>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</si>
  <si>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</si>
  <si>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</si>
  <si>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</si>
  <si>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</si>
  <si>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</si>
  <si>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</si>
  <si>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</si>
  <si>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</si>
  <si>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</si>
  <si>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</si>
  <si>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</si>
  <si>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</si>
  <si>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Almacén</t>
  </si>
  <si>
    <t xml:space="preserve">Proveedor</t>
  </si>
  <si>
    <t xml:space="preserve">Consumo 2035</t>
  </si>
  <si>
    <t xml:space="preserve">Consumo del mes pico</t>
  </si>
  <si>
    <t xml:space="preserve">d prom. (UM/día) = año / 240</t>
  </si>
  <si>
    <t xml:space="preserve">d diseño (UM/día) = mes pico / 20</t>
  </si>
  <si>
    <t xml:space="preserve">Lead time (días háb.)</t>
  </si>
  <si>
    <t xml:space="preserve">Stock de seguridad (días)</t>
  </si>
  <si>
    <t xml:space="preserve">Stock de seguridad (UM)</t>
  </si>
  <si>
    <t xml:space="preserve">Punto de pedido (UM)</t>
  </si>
  <si>
    <t xml:space="preserve">Días entre pedidos (T)</t>
  </si>
  <si>
    <t xml:space="preserve">Unidad de compra</t>
  </si>
  <si>
    <t xml:space="preserve">Contenido por UC (UM)</t>
  </si>
  <si>
    <t xml:space="preserve">Lote (UC)</t>
  </si>
  <si>
    <t xml:space="preserve">Stock máximo (UM)</t>
  </si>
  <si>
    <t xml:space="preserve">Stock máximo (UC)</t>
  </si>
  <si>
    <t xml:space="preserve">UM por posición</t>
  </si>
  <si>
    <t xml:space="preserve">Posiciones</t>
  </si>
  <si>
    <t xml:space="preserve">P01</t>
  </si>
  <si>
    <t xml:space="preserve">Cantilever de caños y barras</t>
  </si>
  <si>
    <t xml:space="preserve">Metalpri / Prilux</t>
  </si>
  <si>
    <t xml:space="preserve">Atado de 16 barras</t>
  </si>
  <si>
    <t xml:space="preserve">P02</t>
  </si>
  <si>
    <t xml:space="preserve">Chapa y fleje (manuales)</t>
  </si>
  <si>
    <t xml:space="preserve">Pradecon</t>
  </si>
  <si>
    <t xml:space="preserve">Paquete de 50 hojas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</si>
  <si>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</si>
  <si>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</si>
  <si>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</si>
  <si>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</si>
  <si>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</si>
  <si>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Rollo de 1.900 kg</t>
  </si>
  <si>
    <t xml:space="preserve">P06</t>
  </si>
  <si>
    <t xml:space="preserve">P07</t>
  </si>
  <si>
    <t xml:space="preserve">Pacheco Chapas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</si>
  <si>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</si>
  <si>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</si>
  <si>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</si>
  <si>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</si>
  <si>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</si>
  <si>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</si>
  <si>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</si>
  <si>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</si>
  <si>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</si>
  <si>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</si>
  <si>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</si>
  <si>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</si>
  <si>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</si>
  <si>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Rack de casquetes y cuplas (carros)</t>
  </si>
  <si>
    <t xml:space="preserve">Importado</t>
  </si>
  <si>
    <t xml:space="preserve">Pallet de 400 u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</si>
  <si>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</si>
  <si>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</si>
  <si>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</si>
  <si>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</si>
  <si>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</si>
  <si>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Insumos de montaje (manuales)</t>
  </si>
  <si>
    <t xml:space="preserve">Eli-Met</t>
  </si>
  <si>
    <t xml:space="preserve">Caja de 1.000 u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</si>
  <si>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</si>
  <si>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</si>
  <si>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</si>
  <si>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</si>
  <si>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</si>
  <si>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</si>
  <si>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</si>
  <si>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</si>
  <si>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</si>
  <si>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</si>
  <si>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</si>
  <si>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Barra de 4 m</t>
  </si>
  <si>
    <t xml:space="preserve">P24</t>
  </si>
  <si>
    <t xml:space="preserve">P25</t>
  </si>
  <si>
    <t xml:space="preserve">Rack de insumos de montaje (carros)</t>
  </si>
  <si>
    <t xml:space="preserve">Hierros Parrotta</t>
  </si>
  <si>
    <t xml:space="preserve">Bolsa de 1.000 u</t>
  </si>
  <si>
    <t xml:space="preserve">P26</t>
  </si>
  <si>
    <t xml:space="preserve">P27</t>
  </si>
  <si>
    <t xml:space="preserve">Ruedar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</si>
  <si>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</si>
  <si>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</si>
  <si>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</si>
  <si>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</si>
  <si>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</si>
  <si>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Insumos de soldadura y superficie</t>
  </si>
  <si>
    <t xml:space="preserve">Conarco (ESAB)</t>
  </si>
  <si>
    <t xml:space="preserve">Pallet de 900 kg</t>
  </si>
  <si>
    <t xml:space="preserve">P31</t>
  </si>
  <si>
    <t xml:space="preserve">P32</t>
  </si>
  <si>
    <t xml:space="preserve">Jaula de gases</t>
  </si>
  <si>
    <t xml:space="preserve">Air Liquide</t>
  </si>
  <si>
    <t xml:space="preserve">Batería de 11 cilindros</t>
  </si>
  <si>
    <t xml:space="preserve">P33</t>
  </si>
  <si>
    <t xml:space="preserve">Norton / Pferd</t>
  </si>
  <si>
    <t xml:space="preserve">Caja de 25 u</t>
  </si>
  <si>
    <t xml:space="preserve">P34</t>
  </si>
  <si>
    <t xml:space="preserve">P35</t>
  </si>
  <si>
    <t xml:space="preserve">P36</t>
  </si>
  <si>
    <t xml:space="preserve">Ferretería industrial</t>
  </si>
  <si>
    <t xml:space="preserve">P37</t>
  </si>
  <si>
    <t xml:space="preserve">Würth Argentina</t>
  </si>
  <si>
    <t xml:space="preserve">P38</t>
  </si>
  <si>
    <t xml:space="preserve">CyM Materiales</t>
  </si>
  <si>
    <t xml:space="preserve">Pallet de 1.000 kg</t>
  </si>
  <si>
    <t xml:space="preserve">P39</t>
  </si>
  <si>
    <t xml:space="preserve">Depósito de polvo químico</t>
  </si>
  <si>
    <t xml:space="preserve">Sinteplast</t>
  </si>
  <si>
    <t xml:space="preserve">Pallet de 600 kg</t>
  </si>
  <si>
    <t xml:space="preserve">P40</t>
  </si>
  <si>
    <t xml:space="preserve">DEMSA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</si>
  <si>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</si>
  <si>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</si>
  <si>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</si>
  <si>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</si>
  <si>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</si>
  <si>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</si>
  <si>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</si>
  <si>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</si>
  <si>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</si>
  <si>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</si>
  <si>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</si>
  <si>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Insumos de recargas</t>
  </si>
  <si>
    <t xml:space="preserve">Polvex / DEMSA</t>
  </si>
  <si>
    <t xml:space="preserve">Cilindro de 50 kg</t>
  </si>
  <si>
    <t xml:space="preserve">P47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</si>
  <si>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</si>
  <si>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</si>
  <si>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</si>
  <si>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</si>
  <si>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</si>
  <si>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</si>
  <si>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</si>
  <si>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</si>
  <si>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</si>
  <si>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</si>
  <si>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</si>
  <si>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</si>
  <si>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</si>
  <si>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Caja de 50 u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</si>
  <si>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</si>
  <si>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</si>
  <si>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</si>
  <si>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</si>
  <si>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</si>
  <si>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</si>
  <si>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</si>
  <si>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</si>
  <si>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Argensold</t>
  </si>
  <si>
    <t xml:space="preserve">P63</t>
  </si>
  <si>
    <t xml:space="preserve">P64</t>
  </si>
  <si>
    <t xml:space="preserve">P65</t>
  </si>
  <si>
    <t xml:space="preserve">Matafuegos Iglesias</t>
  </si>
  <si>
    <t xml:space="preserve">P66</t>
  </si>
  <si>
    <t xml:space="preserve">Maxiseguridad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</si>
  <si>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</si>
  <si>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</si>
  <si>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</si>
  <si>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</si>
  <si>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</si>
  <si>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Georgia</t>
  </si>
  <si>
    <t xml:space="preserve">Bolsa de 100 u</t>
  </si>
  <si>
    <t xml:space="preserve">P72</t>
  </si>
  <si>
    <t xml:space="preserve">Identificación</t>
  </si>
  <si>
    <t xml:space="preserve">Astuprint</t>
  </si>
  <si>
    <t xml:space="preserve">Rollo de 1.000 u</t>
  </si>
  <si>
    <t xml:space="preserve">P73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</si>
  <si>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</si>
  <si>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</si>
  <si>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</si>
  <si>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</si>
  <si>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</si>
  <si>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</si>
  <si>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</si>
  <si>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DPS (PBA)</t>
  </si>
  <si>
    <t xml:space="preserve">Paquete de 500 u</t>
  </si>
  <si>
    <t xml:space="preserve">P81</t>
  </si>
  <si>
    <t xml:space="preserve">IRAM</t>
  </si>
  <si>
    <t xml:space="preserve">P82</t>
  </si>
  <si>
    <t xml:space="preserve">AGC (CABA)</t>
  </si>
  <si>
    <t xml:space="preserve">P83</t>
  </si>
  <si>
    <t xml:space="preserve">P84</t>
  </si>
  <si>
    <t xml:space="preserve">P85</t>
  </si>
  <si>
    <t xml:space="preserve">SonFuertes</t>
  </si>
  <si>
    <t xml:space="preserve">P86</t>
  </si>
  <si>
    <t xml:space="preserve">P87</t>
  </si>
  <si>
    <t xml:space="preserve">Embalaje</t>
  </si>
  <si>
    <t xml:space="preserve">A definir (inyectora)</t>
  </si>
  <si>
    <t xml:space="preserve">Caja de 5.000 u</t>
  </si>
  <si>
    <t xml:space="preserve">P88</t>
  </si>
  <si>
    <t xml:space="preserve">P89</t>
  </si>
  <si>
    <t xml:space="preserve">P90</t>
  </si>
  <si>
    <t xml:space="preserve">P91</t>
  </si>
  <si>
    <t xml:space="preserve">Paquete de 1.000 u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</si>
  <si>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</si>
  <si>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</si>
  <si>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</si>
  <si>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</si>
  <si>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</si>
  <si>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</si>
  <si>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P98</t>
  </si>
  <si>
    <t xml:space="preserve">P99</t>
  </si>
  <si>
    <t xml:space="preserve">Lata de 4 L</t>
  </si>
  <si>
    <t xml:space="preserve">P100</t>
  </si>
  <si>
    <t xml:space="preserve">Maxipack</t>
  </si>
  <si>
    <t xml:space="preserve">Pallet de 600 cajas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</si>
  <si>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</si>
  <si>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</si>
  <si>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</si>
  <si>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</si>
  <si>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</si>
  <si>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IndusPallets</t>
  </si>
  <si>
    <t xml:space="preserve">Pila de 15 u</t>
  </si>
  <si>
    <t xml:space="preserve">P106</t>
  </si>
  <si>
    <t xml:space="preserve">P107</t>
  </si>
  <si>
    <t xml:space="preserve">Almacén de producto terminado</t>
  </si>
  <si>
    <t xml:space="preserve">Fabricante nacional</t>
  </si>
  <si>
    <t xml:space="preserve">Unidad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</si>
  <si>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</si>
  <si>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</si>
  <si>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</si>
  <si>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</si>
  <si>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</si>
  <si>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</si>
  <si>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</si>
  <si>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</si>
  <si>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Posiciones requeridas</t>
  </si>
  <si>
    <t xml:space="preserve">Capacidad del proceso</t>
  </si>
  <si>
    <t xml:space="preserve">Resultado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</si>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</sst>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1997042/5832609</f>
        <v>0.342392572517719</v>
      </c>
      <c r="E4" s="4" t="n">
        <f aca="false">1997042/5832609</f>
        <v>0.342392572517719</v>
      </c>
      <c r="F4" s="4" t="n">
        <f aca="false">1997042/5832609</f>
        <v>0.342392572517719</v>
      </c>
      <c r="G4" s="4" t="n">
        <f aca="false">1997042/5832609</f>
        <v>0.342392572517719</v>
      </c>
      <c r="H4" s="4" t="n">
        <f aca="false">1997042/5832609</f>
        <v>0.342392572517719</v>
      </c>
      <c r="I4" s="4" t="n">
        <f aca="false">1997042/5832609</f>
        <v>0.342392572517719</v>
      </c>
      <c r="J4" s="4" t="n">
        <f aca="false">1997042/5832609</f>
        <v>0.342392572517719</v>
      </c>
      <c r="K4" s="4" t="n">
        <f aca="false">1997042/5832609</f>
        <v>0.342392572517719</v>
      </c>
      <c r="L4" s="4" t="n">
        <f aca="false">1997042/5832609</f>
        <v>0.342392572517719</v>
      </c>
      <c r="M4" s="4" t="n">
        <f aca="false">1997042/5832609</f>
        <v>0.342392572517719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v>0.04764</v>
      </c>
      <c r="E7" s="5" t="n">
        <v>0.047636</v>
      </c>
      <c r="F7" s="5" t="n">
        <v>0.047637</v>
      </c>
      <c r="G7" s="5" t="n">
        <v>0.047639</v>
      </c>
      <c r="H7" s="5" t="n">
        <v>0.047636</v>
      </c>
      <c r="I7" s="5" t="n">
        <v>0.047637</v>
      </c>
      <c r="J7" s="5" t="n">
        <v>0.047636</v>
      </c>
      <c r="K7" s="5" t="n">
        <v>0.047638</v>
      </c>
      <c r="L7" s="5" t="n">
        <v>0.047636</v>
      </c>
      <c r="M7" s="5" t="n">
        <v>0.047633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2731.34375706862</v>
      </c>
      <c r="E10" s="6" t="n">
        <f aca="false">PROY_INDEXADO!C5+PROY_RESERVAS!C30+PROY_RESERVAS!C69*$D$4</f>
        <v>5501.04139098481</v>
      </c>
      <c r="F10" s="6" t="n">
        <f aca="false">PROY_INDEXADO!D5+PROY_RESERVAS!D30+PROY_RESERVAS!D69*$D$4</f>
        <v>7222.1537134248</v>
      </c>
      <c r="G10" s="6" t="n">
        <f aca="false">PROY_INDEXADO!E5+PROY_RESERVAS!E30+PROY_RESERVAS!E69*$D$4</f>
        <v>10448.1917618585</v>
      </c>
      <c r="H10" s="6" t="n">
        <f aca="false">PROY_INDEXADO!F5+PROY_RESERVAS!F30+PROY_RESERVAS!F69*$D$4</f>
        <v>14524.6269198752</v>
      </c>
      <c r="I10" s="6" t="n">
        <f aca="false">PROY_INDEXADO!G5+PROY_RESERVAS!G30+PROY_RESERVAS!G69*$D$4</f>
        <v>18771.6130102606</v>
      </c>
      <c r="J10" s="6" t="n">
        <f aca="false">PROY_INDEXADO!H5+PROY_RESERVAS!H30+PROY_RESERVAS!H69*$D$4</f>
        <v>22667.8247447793</v>
      </c>
      <c r="K10" s="6" t="n">
        <f aca="false">PROY_INDEXADO!I5+PROY_RESERVAS!I30+PROY_RESERVAS!I69*$D$4</f>
        <v>26029.3111811951</v>
      </c>
      <c r="L10" s="6" t="n">
        <f aca="false">PROY_INDEXADO!J5+PROY_RESERVAS!J30+PROY_RESERVAS!J69*$D$4</f>
        <v>28633.4511026285</v>
      </c>
      <c r="M10" s="6" t="n">
        <f aca="false">PROY_INDEXADO!K5+PROY_RESERVAS!K30+PROY_RESERVAS!K69*$D$4</f>
        <v>32449.6411612163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92.5179666750354</v>
      </c>
      <c r="E11" s="6" t="n">
        <f aca="false">PROY_INDEXADO!C6+PROY_RESERVAS!C70*$D$4</f>
        <v>178.308713674805</v>
      </c>
      <c r="F11" s="6" t="n">
        <f aca="false">PROY_INDEXADO!D6+PROY_RESERVAS!D70*$D$4</f>
        <v>255.461125950753</v>
      </c>
      <c r="G11" s="6" t="n">
        <f aca="false">PROY_INDEXADO!E6+PROY_RESERVAS!E70*$D$4</f>
        <v>361.649855368688</v>
      </c>
      <c r="H11" s="6" t="n">
        <f aca="false">PROY_INDEXADO!F6+PROY_RESERVAS!F70*$D$4</f>
        <v>606.176316882429</v>
      </c>
      <c r="I11" s="6" t="n">
        <f aca="false">PROY_INDEXADO!G6+PROY_RESERVAS!G70*$D$4</f>
        <v>876.902058785097</v>
      </c>
      <c r="J11" s="6" t="n">
        <f aca="false">PROY_INDEXADO!H6+PROY_RESERVAS!H70*$D$4</f>
        <v>1130.96110255495</v>
      </c>
      <c r="K11" s="6" t="n">
        <f aca="false">PROY_INDEXADO!I6+PROY_RESERVAS!I70*$D$4</f>
        <v>1398.02987592251</v>
      </c>
      <c r="L11" s="6" t="n">
        <f aca="false">PROY_INDEXADO!J6+PROY_RESERVAS!J70*$D$4</f>
        <v>1615.02071606564</v>
      </c>
      <c r="M11" s="6" t="n">
        <f aca="false">PROY_INDEXADO!K6+PROY_RESERVAS!K70*$D$4</f>
        <v>1843.26194663625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75.2563335725177</v>
      </c>
      <c r="E17" s="6" t="n">
        <f aca="false">PROY_INDEXADO!C8+PROY_RESERVAS!C79*$D$4</f>
        <v>129.318629173661</v>
      </c>
      <c r="F17" s="6" t="n">
        <f aca="false">PROY_INDEXADO!D8+PROY_RESERVAS!D79*$D$4</f>
        <v>166.879717175949</v>
      </c>
      <c r="G17" s="6" t="n">
        <f aca="false">PROY_INDEXADO!E8+PROY_RESERVAS!E79*$D$4</f>
        <v>222.99747676297</v>
      </c>
      <c r="H17" s="6" t="n">
        <f aca="false">PROY_INDEXADO!F8+PROY_RESERVAS!F79*$D$4</f>
        <v>344.844606106099</v>
      </c>
      <c r="I17" s="6" t="n">
        <f aca="false">PROY_INDEXADO!G8+PROY_RESERVAS!G79*$D$4</f>
        <v>468.601251121746</v>
      </c>
      <c r="J17" s="6" t="n">
        <f aca="false">PROY_INDEXADO!H8+PROY_RESERVAS!H79*$D$4</f>
        <v>601.975827220984</v>
      </c>
      <c r="K17" s="6" t="n">
        <f aca="false">PROY_INDEXADO!I8+PROY_RESERVAS!I79*$D$4</f>
        <v>744.773602919078</v>
      </c>
      <c r="L17" s="6" t="n">
        <f aca="false">PROY_INDEXADO!J8+PROY_RESERVAS!J79*$D$4</f>
        <v>867.538200504956</v>
      </c>
      <c r="M17" s="6" t="n">
        <f aca="false">PROY_INDEXADO!K8+PROY_RESERVAS!K79*$D$4</f>
        <v>998.462025618316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11.2389658125177</v>
      </c>
      <c r="E19" s="6" t="n">
        <f aca="false">PROY_INDEXADO!C10+PROY_RESERVAS!C80*$D$4</f>
        <v>18.7250068186259</v>
      </c>
      <c r="F19" s="6" t="n">
        <f aca="false">PROY_INDEXADO!D10+PROY_RESERVAS!D80*$D$4</f>
        <v>24.4262449911436</v>
      </c>
      <c r="G19" s="6" t="n">
        <f aca="false">PROY_INDEXADO!E10+PROY_RESERVAS!E80*$D$4</f>
        <v>32.5461847697695</v>
      </c>
      <c r="H19" s="6" t="n">
        <f aca="false">PROY_INDEXADO!F10+PROY_RESERVAS!F80*$D$4</f>
        <v>50.6164651509131</v>
      </c>
      <c r="I19" s="6" t="n">
        <f aca="false">PROY_INDEXADO!G10+PROY_RESERVAS!G80*$D$4</f>
        <v>68.2470251856472</v>
      </c>
      <c r="J19" s="6" t="n">
        <f aca="false">PROY_INDEXADO!H10+PROY_RESERVAS!H80*$D$4</f>
        <v>87.698944954273</v>
      </c>
      <c r="K19" s="6" t="n">
        <f aca="false">PROY_INDEXADO!I10+PROY_RESERVAS!I80*$D$4</f>
        <v>108.573804572899</v>
      </c>
      <c r="L19" s="6" t="n">
        <f aca="false">PROY_INDEXADO!J10+PROY_RESERVAS!J80*$D$4</f>
        <v>126.440122601525</v>
      </c>
      <c r="M19" s="6" t="n">
        <f aca="false">PROY_INDEXADO!K10+PROY_RESERVAS!K80*$D$4</f>
        <v>145.200647257633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1190.66405032074</v>
      </c>
      <c r="E24" s="6" t="n">
        <f aca="false">(PROY_INDEXADO!C27)*$D$4</f>
        <v>5810.60247441186</v>
      </c>
      <c r="F24" s="6" t="n">
        <f aca="false">(PROY_INDEXADO!D27)*$D$4</f>
        <v>10458.7541676854</v>
      </c>
      <c r="G24" s="6" t="n">
        <f aca="false">(PROY_INDEXADO!E27)*$D$4</f>
        <v>19190.5254091067</v>
      </c>
      <c r="H24" s="6" t="n">
        <f aca="false">(PROY_INDEXADO!F27)*$D$4</f>
        <v>28853.4995113006</v>
      </c>
      <c r="I24" s="6" t="n">
        <f aca="false">(PROY_INDEXADO!G27)*$D$4</f>
        <v>40199.5665849143</v>
      </c>
      <c r="J24" s="6" t="n">
        <f aca="false">(PROY_INDEXADO!H27)*$D$4</f>
        <v>50540.7852540596</v>
      </c>
      <c r="K24" s="6" t="n">
        <f aca="false">(PROY_INDEXADO!I27)*$D$4</f>
        <v>58687.580000828</v>
      </c>
      <c r="L24" s="6" t="n">
        <f aca="false">(PROY_INDEXADO!J27)*$D$4</f>
        <v>62894.2854399758</v>
      </c>
      <c r="M24" s="6" t="n">
        <f aca="false">(PROY_INDEXADO!K27)*$D$4</f>
        <v>67205.7354094728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112.988407907599</v>
      </c>
      <c r="E25" s="6" t="n">
        <f aca="false">(PROY_INDEXADO!C28)*$D$4</f>
        <v>440.800999572748</v>
      </c>
      <c r="F25" s="6" t="n">
        <f aca="false">(PROY_INDEXADO!D28)*$D$4</f>
        <v>1009.08884951127</v>
      </c>
      <c r="G25" s="6" t="n">
        <f aca="false">(PROY_INDEXADO!E28)*$D$4</f>
        <v>1857.83691346536</v>
      </c>
      <c r="H25" s="6" t="n">
        <f aca="false">(PROY_INDEXADO!F28)*$D$4</f>
        <v>2688.08156373346</v>
      </c>
      <c r="I25" s="6" t="n">
        <f aca="false">(PROY_INDEXADO!G28)*$D$4</f>
        <v>3569.08088210324</v>
      </c>
      <c r="J25" s="6" t="n">
        <f aca="false">(PROY_INDEXADO!H28)*$D$4</f>
        <v>4386.01314583059</v>
      </c>
      <c r="K25" s="6" t="n">
        <f aca="false">(PROY_INDEXADO!I28)*$D$4</f>
        <v>4883.56865065685</v>
      </c>
      <c r="L25" s="6" t="n">
        <f aca="false">(PROY_INDEXADO!J28)*$D$4</f>
        <v>5284.10000242479</v>
      </c>
      <c r="M25" s="6" t="n">
        <f aca="false">(PROY_INDEXADO!K28)*$D$4</f>
        <v>5690.82517419891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689.37118436382</v>
      </c>
      <c r="E26" s="6" t="n">
        <f aca="false">(PROY_INDEXADO!C29+PROY_RESERVAS!C54)*$D$4</f>
        <v>2785.23296151308</v>
      </c>
      <c r="F26" s="6" t="n">
        <f aca="false">(PROY_INDEXADO!D29+PROY_RESERVAS!D54)*$D$4</f>
        <v>6275.66450296333</v>
      </c>
      <c r="G26" s="6" t="n">
        <f aca="false">(PROY_INDEXADO!E29+PROY_RESERVAS!E54)*$D$4</f>
        <v>11857.2493851072</v>
      </c>
      <c r="H26" s="6" t="n">
        <f aca="false">(PROY_INDEXADO!F29+PROY_RESERVAS!F54)*$D$4</f>
        <v>17093.1178161179</v>
      </c>
      <c r="I26" s="6" t="n">
        <f aca="false">(PROY_INDEXADO!G29+PROY_RESERVAS!G54)*$D$4</f>
        <v>22733.1694930204</v>
      </c>
      <c r="J26" s="6" t="n">
        <f aca="false">(PROY_INDEXADO!H29+PROY_RESERVAS!H54)*$D$4</f>
        <v>27836.5505184809</v>
      </c>
      <c r="K26" s="6" t="n">
        <f aca="false">(PROY_INDEXADO!I29+PROY_RESERVAS!I54)*$D$4</f>
        <v>30877.3773064028</v>
      </c>
      <c r="L26" s="6" t="n">
        <f aca="false">(PROY_INDEXADO!J29+PROY_RESERVAS!J54)*$D$4</f>
        <v>33303.7269357863</v>
      </c>
      <c r="M26" s="6" t="n">
        <f aca="false">(PROY_INDEXADO!K29+PROY_RESERVAS!K54)*$D$4</f>
        <v>35774.2634839401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41.204765917802</v>
      </c>
      <c r="E27" s="6" t="n">
        <f aca="false">(PROY_INDEXADO!C30+PROY_RESERVAS!C55)*$D$4</f>
        <v>151.582868003422</v>
      </c>
      <c r="F27" s="6" t="n">
        <f aca="false">(PROY_INDEXADO!D30+PROY_RESERVAS!D55)*$D$4</f>
        <v>355.052476598291</v>
      </c>
      <c r="G27" s="6" t="n">
        <f aca="false">(PROY_INDEXADO!E30+PROY_RESERVAS!E55)*$D$4</f>
        <v>678.762412434676</v>
      </c>
      <c r="H27" s="6" t="n">
        <f aca="false">(PROY_INDEXADO!F30+PROY_RESERVAS!F55)*$D$4</f>
        <v>984.713110803336</v>
      </c>
      <c r="I27" s="6" t="n">
        <f aca="false">(PROY_INDEXADO!G30+PROY_RESERVAS!G55)*$D$4</f>
        <v>1319.02993540972</v>
      </c>
      <c r="J27" s="6" t="n">
        <f aca="false">(PROY_INDEXADO!H30+PROY_RESERVAS!H55)*$D$4</f>
        <v>1614.27075298017</v>
      </c>
      <c r="K27" s="6" t="n">
        <f aca="false">(PROY_INDEXADO!I30+PROY_RESERVAS!I55)*$D$4</f>
        <v>1787.46541828203</v>
      </c>
      <c r="L27" s="6" t="n">
        <f aca="false">(PROY_INDEXADO!J30+PROY_RESERVAS!J55)*$D$4</f>
        <v>1928.54134228401</v>
      </c>
      <c r="M27" s="6" t="n">
        <f aca="false">(PROY_INDEXADO!K30+PROY_RESERVAS!K55)*$D$4</f>
        <v>2071.80062942174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55.2309130886216</v>
      </c>
      <c r="E28" s="6" t="n">
        <f aca="false">(PROY_INDEXADO!C31+PROY_RESERVAS!C56)*$D$4</f>
        <v>222.700189702988</v>
      </c>
      <c r="F28" s="6" t="n">
        <f aca="false">(PROY_INDEXADO!D31+PROY_RESERVAS!D56)*$D$4</f>
        <v>510.289132875549</v>
      </c>
      <c r="G28" s="6" t="n">
        <f aca="false">(PROY_INDEXADO!E31+PROY_RESERVAS!E56)*$D$4</f>
        <v>957.484122000225</v>
      </c>
      <c r="H28" s="6" t="n">
        <f aca="false">(PROY_INDEXADO!F31+PROY_RESERVAS!F56)*$D$4</f>
        <v>1381.71331832398</v>
      </c>
      <c r="I28" s="6" t="n">
        <f aca="false">(PROY_INDEXADO!G31+PROY_RESERVAS!G56)*$D$4</f>
        <v>1846.78191704652</v>
      </c>
      <c r="J28" s="6" t="n">
        <f aca="false">(PROY_INDEXADO!H31+PROY_RESERVAS!H56)*$D$4</f>
        <v>2263.20082755629</v>
      </c>
      <c r="K28" s="6" t="n">
        <f aca="false">(PROY_INDEXADO!I31+PROY_RESERVAS!I56)*$D$4</f>
        <v>2516.18127554643</v>
      </c>
      <c r="L28" s="6" t="n">
        <f aca="false">(PROY_INDEXADO!J31+PROY_RESERVAS!J56)*$D$4</f>
        <v>2718.74815444827</v>
      </c>
      <c r="M28" s="6" t="n">
        <f aca="false">(PROY_INDEXADO!K31+PROY_RESERVAS!K56)*$D$4</f>
        <v>2924.99608973418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8.13469656543686</v>
      </c>
      <c r="E29" s="6" t="n">
        <f aca="false">(PROY_INDEXADO!C32+PROY_RESERVAS!C57)*$D$4</f>
        <v>55.9181001175532</v>
      </c>
      <c r="F29" s="6" t="n">
        <f aca="false">(PROY_INDEXADO!D32+PROY_RESERVAS!D57)*$D$4</f>
        <v>109.773550031778</v>
      </c>
      <c r="G29" s="6" t="n">
        <f aca="false">(PROY_INDEXADO!E32+PROY_RESERVAS!E57)*$D$4</f>
        <v>182.630356074672</v>
      </c>
      <c r="H29" s="6" t="n">
        <f aca="false">(PROY_INDEXADO!F32+PROY_RESERVAS!F57)*$D$4</f>
        <v>257.74934388656</v>
      </c>
      <c r="I29" s="6" t="n">
        <f aca="false">(PROY_INDEXADO!G32+PROY_RESERVAS!G57)*$D$4</f>
        <v>333.447338938111</v>
      </c>
      <c r="J29" s="6" t="n">
        <f aca="false">(PROY_INDEXADO!H32+PROY_RESERVAS!H57)*$D$4</f>
        <v>413.590439707461</v>
      </c>
      <c r="K29" s="6" t="n">
        <f aca="false">(PROY_INDEXADO!I32+PROY_RESERVAS!I57)*$D$4</f>
        <v>467.919572934288</v>
      </c>
      <c r="L29" s="6" t="n">
        <f aca="false">(PROY_INDEXADO!J32+PROY_RESERVAS!J57)*$D$4</f>
        <v>511.380036356306</v>
      </c>
      <c r="M29" s="6" t="n">
        <f aca="false">(PROY_INDEXADO!K32+PROY_RESERVAS!K57)*$D$4</f>
        <v>555.511892237886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4.23854456897729</v>
      </c>
      <c r="E30" s="6" t="n">
        <f aca="false">(PROY_INDEXADO!C33+PROY_RESERVAS!C58)*$D$4</f>
        <v>28.8375075560362</v>
      </c>
      <c r="F30" s="6" t="n">
        <f aca="false">(PROY_INDEXADO!D33+PROY_RESERVAS!D58)*$D$4</f>
        <v>56.9959802517048</v>
      </c>
      <c r="G30" s="6" t="n">
        <f aca="false">(PROY_INDEXADO!E33+PROY_RESERVAS!E58)*$D$4</f>
        <v>97.6986887844192</v>
      </c>
      <c r="H30" s="6" t="n">
        <f aca="false">(PROY_INDEXADO!F33+PROY_RESERVAS!F58)*$D$4</f>
        <v>138.29321913711</v>
      </c>
      <c r="I30" s="6" t="n">
        <f aca="false">(PROY_INDEXADO!G33+PROY_RESERVAS!G58)*$D$4</f>
        <v>178.224675971378</v>
      </c>
      <c r="J30" s="6" t="n">
        <f aca="false">(PROY_INDEXADO!H33+PROY_RESERVAS!H58)*$D$4</f>
        <v>217.784104580971</v>
      </c>
      <c r="K30" s="6" t="n">
        <f aca="false">(PROY_INDEXADO!I33+PROY_RESERVAS!I58)*$D$4</f>
        <v>246.241213632852</v>
      </c>
      <c r="L30" s="6" t="n">
        <f aca="false">(PROY_INDEXADO!J33+PROY_RESERVAS!J58)*$D$4</f>
        <v>267.891708139831</v>
      </c>
      <c r="M30" s="6" t="n">
        <f aca="false">(PROY_INDEXADO!K33+PROY_RESERVAS!K58)*$D$4</f>
        <v>289.784229410632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2.68008377073585</v>
      </c>
      <c r="E31" s="6" t="n">
        <f aca="false">(PROY_INDEXADO!C34+PROY_RESERVAS!C59)*$D$4</f>
        <v>16.4598765174278</v>
      </c>
      <c r="F31" s="6" t="n">
        <f aca="false">(PROY_INDEXADO!D34+PROY_RESERVAS!D59)*$D$4</f>
        <v>30.7775574871746</v>
      </c>
      <c r="G31" s="6" t="n">
        <f aca="false">(PROY_INDEXADO!E34+PROY_RESERVAS!E59)*$D$4</f>
        <v>55.2972534642275</v>
      </c>
      <c r="H31" s="6" t="n">
        <f aca="false">(PROY_INDEXADO!F34+PROY_RESERVAS!F59)*$D$4</f>
        <v>76.2837647157181</v>
      </c>
      <c r="I31" s="6" t="n">
        <f aca="false">(PROY_INDEXADO!G34+PROY_RESERVAS!G59)*$D$4</f>
        <v>101.303640133349</v>
      </c>
      <c r="J31" s="6" t="n">
        <f aca="false">(PROY_INDEXADO!H34+PROY_RESERVAS!H59)*$D$4</f>
        <v>127.65907424062</v>
      </c>
      <c r="K31" s="6" t="n">
        <f aca="false">(PROY_INDEXADO!I34+PROY_RESERVAS!I59)*$D$4</f>
        <v>141.548154953766</v>
      </c>
      <c r="L31" s="6" t="n">
        <f aca="false">(PROY_INDEXADO!J34+PROY_RESERVAS!J59)*$D$4</f>
        <v>154.344389553416</v>
      </c>
      <c r="M31" s="6" t="n">
        <f aca="false">(PROY_INDEXADO!K34+PROY_RESERVAS!K59)*$D$4</f>
        <v>167.59404364605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28.3946869518201</v>
      </c>
      <c r="E32" s="6" t="n">
        <f aca="false">(PROY_INDEXADO!C35+PROY_RESERVAS!C60)*$D$4</f>
        <v>116.207647175736</v>
      </c>
      <c r="F32" s="6" t="n">
        <f aca="false">(PROY_INDEXADO!D35+PROY_RESERVAS!D60)*$D$4</f>
        <v>258.711263565668</v>
      </c>
      <c r="G32" s="6" t="n">
        <f aca="false">(PROY_INDEXADO!E35+PROY_RESERVAS!E60)*$D$4</f>
        <v>470.413099572105</v>
      </c>
      <c r="H32" s="6" t="n">
        <f aca="false">(PROY_INDEXADO!F35+PROY_RESERVAS!F60)*$D$4</f>
        <v>679.007449103124</v>
      </c>
      <c r="I32" s="6" t="n">
        <f aca="false">(PROY_INDEXADO!G35+PROY_RESERVAS!G60)*$D$4</f>
        <v>899.65066345152</v>
      </c>
      <c r="J32" s="6" t="n">
        <f aca="false">(PROY_INDEXADO!H35+PROY_RESERVAS!H60)*$D$4</f>
        <v>1106.7030069451</v>
      </c>
      <c r="K32" s="6" t="n">
        <f aca="false">(PROY_INDEXADO!I35+PROY_RESERVAS!I60)*$D$4</f>
        <v>1238.61863915462</v>
      </c>
      <c r="L32" s="6" t="n">
        <f aca="false">(PROY_INDEXADO!J35+PROY_RESERVAS!J60)*$D$4</f>
        <v>1339.69585230638</v>
      </c>
      <c r="M32" s="6" t="n">
        <f aca="false">(PROY_INDEXADO!K35+PROY_RESERVAS!K60)*$D$4</f>
        <v>1442.34912586085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154.287619084451</v>
      </c>
      <c r="E33" s="6" t="n">
        <f aca="false">(PROY_INDEXADO!C36)*$D$4</f>
        <v>581.102336390555</v>
      </c>
      <c r="F33" s="6" t="n">
        <f aca="false">(PROY_INDEXADO!D36)*$D$4</f>
        <v>1354.23002702462</v>
      </c>
      <c r="G33" s="6" t="n">
        <f aca="false">(PROY_INDEXADO!E36)*$D$4</f>
        <v>2588.91937586488</v>
      </c>
      <c r="H33" s="6" t="n">
        <f aca="false">(PROY_INDEXADO!F36)*$D$4</f>
        <v>3738.97647376192</v>
      </c>
      <c r="I33" s="6" t="n">
        <f aca="false">(PROY_INDEXADO!G36)*$D$4</f>
        <v>4969.78889027522</v>
      </c>
      <c r="J33" s="6" t="n">
        <f aca="false">(PROY_INDEXADO!H36)*$D$4</f>
        <v>6076.26953823912</v>
      </c>
      <c r="K33" s="6" t="n">
        <f aca="false">(PROY_INDEXADO!I36)*$D$4</f>
        <v>6716.78544305804</v>
      </c>
      <c r="L33" s="6" t="n">
        <f aca="false">(PROY_INDEXADO!J36)*$D$4</f>
        <v>7245.64528105904</v>
      </c>
      <c r="M33" s="6" t="n">
        <f aca="false">(PROY_INDEXADO!K36)*$D$4</f>
        <v>7784.12452539538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45.2544199584075</v>
      </c>
      <c r="E34" s="6" t="n">
        <f aca="false">(PROY_INDEXADO!C37+PROY_RESERVAS!C61)*$D$4</f>
        <v>229.276465294206</v>
      </c>
      <c r="F34" s="6" t="n">
        <f aca="false">(PROY_INDEXADO!D37+PROY_RESERVAS!D61)*$D$4</f>
        <v>490.863140348547</v>
      </c>
      <c r="G34" s="6" t="n">
        <f aca="false">(PROY_INDEXADO!E37+PROY_RESERVAS!E61)*$D$4</f>
        <v>879.703849022647</v>
      </c>
      <c r="H34" s="6" t="n">
        <f aca="false">(PROY_INDEXADO!F37+PROY_RESERVAS!F61)*$D$4</f>
        <v>1267.28313963334</v>
      </c>
      <c r="I34" s="6" t="n">
        <f aca="false">(PROY_INDEXADO!G37+PROY_RESERVAS!G61)*$D$4</f>
        <v>1688.49588649658</v>
      </c>
      <c r="J34" s="6" t="n">
        <f aca="false">(PROY_INDEXADO!H37+PROY_RESERVAS!H61)*$D$4</f>
        <v>2091.64375916223</v>
      </c>
      <c r="K34" s="6" t="n">
        <f aca="false">(PROY_INDEXADO!I37+PROY_RESERVAS!I61)*$D$4</f>
        <v>2359.58468664524</v>
      </c>
      <c r="L34" s="6" t="n">
        <f aca="false">(PROY_INDEXADO!J37+PROY_RESERVAS!J61)*$D$4</f>
        <v>2565.10531060143</v>
      </c>
      <c r="M34" s="6" t="n">
        <f aca="false">(PROY_INDEXADO!K37+PROY_RESERVAS!K61)*$D$4</f>
        <v>2773.23504881921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6.57623576753782</v>
      </c>
      <c r="E35" s="6" t="n">
        <f aca="false">(PROY_INDEXADO!C38+PROY_RESERVAS!C62)*$D$4</f>
        <v>39.0584744476134</v>
      </c>
      <c r="F35" s="6" t="n">
        <f aca="false">(PROY_INDEXADO!D38+PROY_RESERVAS!D62)*$D$4</f>
        <v>80.0698867601326</v>
      </c>
      <c r="G35" s="6" t="n">
        <f aca="false">(PROY_INDEXADO!E38+PROY_RESERVAS!E62)*$D$4</f>
        <v>138.913917089342</v>
      </c>
      <c r="H35" s="6" t="n">
        <f aca="false">(PROY_INDEXADO!F38+PROY_RESERVAS!F62)*$D$4</f>
        <v>199.103947985997</v>
      </c>
      <c r="I35" s="6" t="n">
        <f aca="false">(PROY_INDEXADO!G38+PROY_RESERVAS!G62)*$D$4</f>
        <v>261.363871510632</v>
      </c>
      <c r="J35" s="6" t="n">
        <f aca="false">(PROY_INDEXADO!H38+PROY_RESERVAS!H62)*$D$4</f>
        <v>327.275543402635</v>
      </c>
      <c r="K35" s="6" t="n">
        <f aca="false">(PROY_INDEXADO!I38+PROY_RESERVAS!I62)*$D$4</f>
        <v>371.233898216593</v>
      </c>
      <c r="L35" s="6" t="n">
        <f aca="false">(PROY_INDEXADO!J38+PROY_RESERVAS!J62)*$D$4</f>
        <v>405.631026520486</v>
      </c>
      <c r="M35" s="6" t="n">
        <f aca="false">(PROY_INDEXADO!K38+PROY_RESERVAS!K62)*$D$4</f>
        <v>440.296680992873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2.68008377073585</v>
      </c>
      <c r="E36" s="6" t="n">
        <f aca="false">(PROY_INDEXADO!C39+PROY_RESERVAS!C63)*$D$4</f>
        <v>16.4598765174278</v>
      </c>
      <c r="F36" s="6" t="n">
        <f aca="false">(PROY_INDEXADO!D39+PROY_RESERVAS!D63)*$D$4</f>
        <v>30.7775574871746</v>
      </c>
      <c r="G36" s="6" t="n">
        <f aca="false">(PROY_INDEXADO!E39+PROY_RESERVAS!E63)*$D$4</f>
        <v>51.4544758577955</v>
      </c>
      <c r="H36" s="6" t="n">
        <f aca="false">(PROY_INDEXADO!F39+PROY_RESERVAS!F63)*$D$4</f>
        <v>71.2950540203594</v>
      </c>
      <c r="I36" s="6" t="n">
        <f aca="false">(PROY_INDEXADO!G39+PROY_RESERVAS!G63)*$D$4</f>
        <v>88.5992636744705</v>
      </c>
      <c r="J36" s="6" t="n">
        <f aca="false">(PROY_INDEXADO!H39+PROY_RESERVAS!H63)*$D$4</f>
        <v>113.817420548244</v>
      </c>
      <c r="K36" s="6" t="n">
        <f aca="false">(PROY_INDEXADO!I39+PROY_RESERVAS!I63)*$D$4</f>
        <v>126.996168699993</v>
      </c>
      <c r="L36" s="6" t="n">
        <f aca="false">(PROY_INDEXADO!J39+PROY_RESERVAS!J63)*$D$4</f>
        <v>139.244795889866</v>
      </c>
      <c r="M36" s="6" t="n">
        <f aca="false">(PROY_INDEXADO!K39+PROY_RESERVAS!K63)*$D$4</f>
        <v>151.230273638771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6.03903559571071</v>
      </c>
      <c r="E37" s="6" t="n">
        <f aca="false">(PROY_INDEXADO!C40)*$D$4</f>
        <v>29.441590689555</v>
      </c>
      <c r="F37" s="6" t="n">
        <f aca="false">(PROY_INDEXADO!D40)*$D$4</f>
        <v>63.98275187312</v>
      </c>
      <c r="G37" s="6" t="n">
        <f aca="false">(PROY_INDEXADO!E40)*$D$4</f>
        <v>115.24373179304</v>
      </c>
      <c r="H37" s="6" t="n">
        <f aca="false">(PROY_INDEXADO!F40)*$D$4</f>
        <v>165.763405566189</v>
      </c>
      <c r="I37" s="6" t="n">
        <f aca="false">(PROY_INDEXADO!G40)*$D$4</f>
        <v>220.233882452945</v>
      </c>
      <c r="J37" s="6" t="n">
        <f aca="false">(PROY_INDEXADO!H40)*$D$4</f>
        <v>271.322742790795</v>
      </c>
      <c r="K37" s="6" t="n">
        <f aca="false">(PROY_INDEXADO!I40)*$D$4</f>
        <v>304.619038811395</v>
      </c>
      <c r="L37" s="6" t="n">
        <f aca="false">(PROY_INDEXADO!J40)*$D$4</f>
        <v>330.515354061639</v>
      </c>
      <c r="M37" s="6" t="n">
        <f aca="false">(PROY_INDEXADO!K40)*$D$4</f>
        <v>356.752414976125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13.6282708817117</v>
      </c>
      <c r="E38" s="6" t="n">
        <f aca="false">(PROY_INDEXADO!C41+PROY_RESERVAS!C64)*$D$4</f>
        <v>65.798677241422</v>
      </c>
      <c r="F38" s="6" t="n">
        <f aca="false">(PROY_INDEXADO!D41+PROY_RESERVAS!D64)*$D$4</f>
        <v>143.158802107945</v>
      </c>
      <c r="G38" s="6" t="n">
        <f aca="false">(PROY_INDEXADO!E41+PROY_RESERVAS!E64)*$D$4</f>
        <v>257.644920794358</v>
      </c>
      <c r="H38" s="6" t="n">
        <f aca="false">(PROY_INDEXADO!F41+PROY_RESERVAS!F64)*$D$4</f>
        <v>370.50016599896</v>
      </c>
      <c r="I38" s="6" t="n">
        <f aca="false">(PROY_INDEXADO!G41+PROY_RESERVAS!G64)*$D$4</f>
        <v>492.389570605473</v>
      </c>
      <c r="J38" s="6" t="n">
        <f aca="false">(PROY_INDEXADO!H41+PROY_RESERVAS!H64)*$D$4</f>
        <v>606.497026149702</v>
      </c>
      <c r="K38" s="6" t="n">
        <f aca="false">(PROY_INDEXADO!I41+PROY_RESERVAS!I64)*$D$4</f>
        <v>680.776054996162</v>
      </c>
      <c r="L38" s="6" t="n">
        <f aca="false">(PROY_INDEXADO!J41+PROY_RESERVAS!J64)*$D$4</f>
        <v>738.775126435446</v>
      </c>
      <c r="M38" s="6" t="n">
        <f aca="false">(PROY_INDEXADO!K41+PROY_RESERVAS!K64)*$D$4</f>
        <v>797.181445078764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2.89873708573571</v>
      </c>
      <c r="E39" s="6" t="n">
        <f aca="false">(PROY_INDEXADO!C42)*$D$4</f>
        <v>14.1319635303016</v>
      </c>
      <c r="F39" s="6" t="n">
        <f aca="false">(PROY_INDEXADO!D42)*$D$4</f>
        <v>30.7117208943041</v>
      </c>
      <c r="G39" s="6" t="n">
        <f aca="false">(PROY_INDEXADO!E42)*$D$4</f>
        <v>55.3169912661377</v>
      </c>
      <c r="H39" s="6" t="n">
        <f aca="false">(PROY_INDEXADO!F42)*$D$4</f>
        <v>79.5664346731402</v>
      </c>
      <c r="I39" s="6" t="n">
        <f aca="false">(PROY_INDEXADO!G42)*$D$4</f>
        <v>105.712263580153</v>
      </c>
      <c r="J39" s="6" t="n">
        <f aca="false">(PROY_INDEXADO!H42)*$D$4</f>
        <v>130.234916538212</v>
      </c>
      <c r="K39" s="6" t="n">
        <f aca="false">(PROY_INDEXADO!I42)*$D$4</f>
        <v>146.217138608926</v>
      </c>
      <c r="L39" s="6" t="n">
        <f aca="false">(PROY_INDEXADO!J42)*$D$4</f>
        <v>158.647369963282</v>
      </c>
      <c r="M39" s="6" t="n">
        <f aca="false">(PROY_INDEXADO!K42)*$D$4</f>
        <v>171.241159099518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2.27488396300819</v>
      </c>
      <c r="E40" s="6" t="n">
        <f aca="false">(PROY_INDEXADO!C43+PROY_RESERVAS!C65)*$D$4</f>
        <v>9.76370159386011</v>
      </c>
      <c r="F40" s="6" t="n">
        <f aca="false">(PROY_INDEXADO!D43+PROY_RESERVAS!D65)*$D$4</f>
        <v>21.1592657423795</v>
      </c>
      <c r="G40" s="6" t="n">
        <f aca="false">(PROY_INDEXADO!E43+PROY_RESERVAS!E65)*$D$4</f>
        <v>37.9051718721521</v>
      </c>
      <c r="H40" s="6" t="n">
        <f aca="false">(PROY_INDEXADO!F43+PROY_RESERVAS!F65)*$D$4</f>
        <v>54.7562526560952</v>
      </c>
      <c r="I40" s="6" t="n">
        <f aca="false">(PROY_INDEXADO!G43+PROY_RESERVAS!G65)*$D$4</f>
        <v>72.5291978104616</v>
      </c>
      <c r="J40" s="6" t="n">
        <f aca="false">(PROY_INDEXADO!H43+PROY_RESERVAS!H65)*$D$4</f>
        <v>89.2200256883523</v>
      </c>
      <c r="K40" s="6" t="n">
        <f aca="false">(PROY_INDEXADO!I43+PROY_RESERVAS!I65)*$D$4</f>
        <v>100.217232986093</v>
      </c>
      <c r="L40" s="6" t="n">
        <f aca="false">(PROY_INDEXADO!J43+PROY_RESERVAS!J65)*$D$4</f>
        <v>108.846446438688</v>
      </c>
      <c r="M40" s="6" t="n">
        <f aca="false">(PROY_INDEXADO!K43+PROY_RESERVAS!K65)*$D$4</f>
        <v>117.242305897085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28.076190946453</v>
      </c>
      <c r="E41" s="6" t="n">
        <f aca="false">PROY_RESERVAS!C81*$D$4</f>
        <v>87.9891845827654</v>
      </c>
      <c r="F41" s="6" t="n">
        <f aca="false">PROY_RESERVAS!D81*$D$4</f>
        <v>119.603432134728</v>
      </c>
      <c r="G41" s="6" t="n">
        <f aca="false">PROY_RESERVAS!E81*$D$4</f>
        <v>205.241521041458</v>
      </c>
      <c r="H41" s="6" t="n">
        <f aca="false">PROY_RESERVAS!F81*$D$4</f>
        <v>219.793205373461</v>
      </c>
      <c r="I41" s="6" t="n">
        <f aca="false">PROY_RESERVAS!G81*$D$4</f>
        <v>254.140886951277</v>
      </c>
      <c r="J41" s="6" t="n">
        <f aca="false">PROY_RESERVAS!H81*$D$4</f>
        <v>244.496829480615</v>
      </c>
      <c r="K41" s="6" t="n">
        <f aca="false">PROY_RESERVAS!I81*$D$4</f>
        <v>194.478981190064</v>
      </c>
      <c r="L41" s="6" t="n">
        <f aca="false">PROY_RESERVAS!J81*$D$4</f>
        <v>148.763866204661</v>
      </c>
      <c r="M41" s="6" t="n">
        <f aca="false">PROY_RESERVAS!K81*$D$4</f>
        <v>154.538887605872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176.292744445035</v>
      </c>
      <c r="E42" s="6" t="n">
        <f aca="false">PROY_INDEXADO!C48+PROY_RESERVAS!C71*$D$4</f>
        <v>322.13681361984</v>
      </c>
      <c r="F42" s="6" t="n">
        <f aca="false">PROY_INDEXADO!D48+PROY_RESERVAS!D71*$D$4</f>
        <v>439.790151253041</v>
      </c>
      <c r="G42" s="6" t="n">
        <f aca="false">PROY_INDEXADO!E48+PROY_RESERVAS!E71*$D$4</f>
        <v>607.353985773262</v>
      </c>
      <c r="H42" s="6" t="n">
        <f aca="false">PROY_INDEXADO!F48+PROY_RESERVAS!F71*$D$4</f>
        <v>980.066460274025</v>
      </c>
      <c r="I42" s="6" t="n">
        <f aca="false">PROY_INDEXADO!G48+PROY_RESERVAS!G71*$D$4</f>
        <v>1375.62808767479</v>
      </c>
      <c r="J42" s="6" t="n">
        <f aca="false">PROY_INDEXADO!H48+PROY_RESERVAS!H71*$D$4</f>
        <v>1772.62741190303</v>
      </c>
      <c r="K42" s="6" t="n">
        <f aca="false">PROY_INDEXADO!I48+PROY_RESERVAS!I71*$D$4</f>
        <v>2192.42135221258</v>
      </c>
      <c r="L42" s="6" t="n">
        <f aca="false">PROY_INDEXADO!J48+PROY_RESERVAS!J71*$D$4</f>
        <v>2539.75006009655</v>
      </c>
      <c r="M42" s="6" t="n">
        <f aca="false">PROY_INDEXADO!K48+PROY_RESERVAS!K71*$D$4</f>
        <v>2908.74932244082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99.8441779025177</v>
      </c>
      <c r="E43" s="6" t="n">
        <f aca="false">PROY_INDEXADO!C49+PROY_RESERVAS!C72*$D$4</f>
        <v>160.246354601144</v>
      </c>
      <c r="F43" s="6" t="n">
        <f aca="false">PROY_INDEXADO!D49+PROY_RESERVAS!D72*$D$4</f>
        <v>194.134174202287</v>
      </c>
      <c r="G43" s="6" t="n">
        <f aca="false">PROY_INDEXADO!E49+PROY_RESERVAS!E72*$D$4</f>
        <v>248.635496559539</v>
      </c>
      <c r="H43" s="6" t="n">
        <f aca="false">PROY_INDEXADO!F49+PROY_RESERVAS!F72*$D$4</f>
        <v>361.397538689309</v>
      </c>
      <c r="I43" s="6" t="n">
        <f aca="false">PROY_INDEXADO!G49+PROY_RESERVAS!G72*$D$4</f>
        <v>448.708475102668</v>
      </c>
      <c r="J43" s="6" t="n">
        <f aca="false">PROY_INDEXADO!H49+PROY_RESERVAS!H72*$D$4</f>
        <v>574.81908035992</v>
      </c>
      <c r="K43" s="6" t="n">
        <f aca="false">PROY_INDEXADO!I49+PROY_RESERVAS!I72*$D$4</f>
        <v>712.638685317172</v>
      </c>
      <c r="L43" s="6" t="n">
        <f aca="false">PROY_INDEXADO!J49+PROY_RESERVAS!J72*$D$4</f>
        <v>836.643748001906</v>
      </c>
      <c r="M43" s="6" t="n">
        <f aca="false">PROY_INDEXADO!K49+PROY_RESERVAS!K72*$D$4</f>
        <v>971.66283030305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42.9860148625177</v>
      </c>
      <c r="E44" s="6" t="n">
        <f aca="false">PROY_INDEXADO!C50+PROY_RESERVAS!C73*$D$4</f>
        <v>68.5400520986259</v>
      </c>
      <c r="F44" s="6" t="n">
        <f aca="false">PROY_INDEXADO!D50+PROY_RESERVAS!D73*$D$4</f>
        <v>83.2517192711436</v>
      </c>
      <c r="G44" s="6" t="n">
        <f aca="false">PROY_INDEXADO!E50+PROY_RESERVAS!E73*$D$4</f>
        <v>106.954267102287</v>
      </c>
      <c r="H44" s="6" t="n">
        <f aca="false">PROY_INDEXADO!F50+PROY_RESERVAS!F73*$D$4</f>
        <v>154.811289587021</v>
      </c>
      <c r="I44" s="6" t="n">
        <f aca="false">PROY_INDEXADO!G50+PROY_RESERVAS!G73*$D$4</f>
        <v>192.372110715647</v>
      </c>
      <c r="J44" s="6" t="n">
        <f aca="false">PROY_INDEXADO!H50+PROY_RESERVAS!H73*$D$4</f>
        <v>246.421958644273</v>
      </c>
      <c r="K44" s="6" t="n">
        <f aca="false">PROY_INDEXADO!I50+PROY_RESERVAS!I73*$D$4</f>
        <v>305.489949272899</v>
      </c>
      <c r="L44" s="6" t="n">
        <f aca="false">PROY_INDEXADO!J50+PROY_RESERVAS!J73*$D$4</f>
        <v>358.784161501525</v>
      </c>
      <c r="M44" s="6" t="n">
        <f aca="false">PROY_INDEXADO!K50+PROY_RESERVAS!K73*$D$4</f>
        <v>416.512525430151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28.7714740925177</v>
      </c>
      <c r="E45" s="6" t="n">
        <f aca="false">PROY_INDEXADO!C51+PROY_RESERVAS!C74*$D$4</f>
        <v>45.6990746086259</v>
      </c>
      <c r="F45" s="6" t="n">
        <f aca="false">PROY_INDEXADO!D51+PROY_RESERVAS!D74*$D$4</f>
        <v>55.2785910086259</v>
      </c>
      <c r="G45" s="6" t="n">
        <f aca="false">PROY_INDEXADO!E51+PROY_RESERVAS!E74*$D$4</f>
        <v>71.1830073211436</v>
      </c>
      <c r="H45" s="6" t="n">
        <f aca="false">PROY_INDEXADO!F51+PROY_RESERVAS!F74*$D$4</f>
        <v>103.310244129769</v>
      </c>
      <c r="I45" s="6" t="n">
        <f aca="false">PROY_INDEXADO!G51+PROY_RESERVAS!G74*$D$4</f>
        <v>128.356498158395</v>
      </c>
      <c r="J45" s="6" t="n">
        <f aca="false">PROY_INDEXADO!H51+PROY_RESERVAS!H74*$D$4</f>
        <v>164.053044014504</v>
      </c>
      <c r="K45" s="6" t="n">
        <f aca="false">PROY_INDEXADO!I51+PROY_RESERVAS!I74*$D$4</f>
        <v>203.762683987021</v>
      </c>
      <c r="L45" s="6" t="n">
        <f aca="false">PROY_INDEXADO!J51+PROY_RESERVAS!J74*$D$4</f>
        <v>238.955472743129</v>
      </c>
      <c r="M45" s="6" t="n">
        <f aca="false">PROY_INDEXADO!K51+PROY_RESERVAS!K74*$D$4</f>
        <v>277.772028115647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100.953526272518</v>
      </c>
      <c r="E46" s="6" t="n">
        <f aca="false">PROY_INDEXADO!C52+PROY_RESERVAS!C75*$D$4</f>
        <v>189.941524446179</v>
      </c>
      <c r="F46" s="6" t="n">
        <f aca="false">PROY_INDEXADO!D52+PROY_RESERVAS!D75*$D$4</f>
        <v>250.769624577092</v>
      </c>
      <c r="G46" s="6" t="n">
        <f aca="false">PROY_INDEXADO!E52+PROY_RESERVAS!E75*$D$4</f>
        <v>350.622178092739</v>
      </c>
      <c r="H46" s="6" t="n">
        <f aca="false">PROY_INDEXADO!F52+PROY_RESERVAS!F75*$D$4</f>
        <v>548.830226537012</v>
      </c>
      <c r="I46" s="6" t="n">
        <f aca="false">PROY_INDEXADO!G52+PROY_RESERVAS!G75*$D$4</f>
        <v>754.631459737394</v>
      </c>
      <c r="J46" s="6" t="n">
        <f aca="false">PROY_INDEXADO!H52+PROY_RESERVAS!H75*$D$4</f>
        <v>962.597949965257</v>
      </c>
      <c r="K46" s="6" t="n">
        <f aca="false">PROY_INDEXADO!I52+PROY_RESERVAS!I75*$D$4</f>
        <v>1193.38786029198</v>
      </c>
      <c r="L46" s="6" t="n">
        <f aca="false">PROY_INDEXADO!J52+PROY_RESERVAS!J75*$D$4</f>
        <v>1411.62521723396</v>
      </c>
      <c r="M46" s="6" t="n">
        <f aca="false">PROY_INDEXADO!K52+PROY_RESERVAS!K75*$D$4</f>
        <v>1650.88180111984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286.436253107624</v>
      </c>
      <c r="E48" s="6" t="n">
        <f aca="false">PROY_INDEXADO!C54+PROY_RESERVAS!C76*$D$4</f>
        <v>496.03832377695</v>
      </c>
      <c r="F48" s="6" t="n">
        <f aca="false">PROY_INDEXADO!D54+PROY_RESERVAS!D76*$D$4</f>
        <v>636.683913951224</v>
      </c>
      <c r="G48" s="6" t="n">
        <f aca="false">PROY_INDEXADO!E54+PROY_RESERVAS!E76*$D$4</f>
        <v>855.075847670797</v>
      </c>
      <c r="H48" s="6" t="n">
        <f aca="false">PROY_INDEXADO!F54+PROY_RESERVAS!F76*$D$4</f>
        <v>1306.47979225401</v>
      </c>
      <c r="I48" s="6" t="n">
        <f aca="false">PROY_INDEXADO!G54+PROY_RESERVAS!G76*$D$4</f>
        <v>1771.32057014801</v>
      </c>
      <c r="J48" s="6" t="n">
        <f aca="false">PROY_INDEXADO!H54+PROY_RESERVAS!H76*$D$4</f>
        <v>2268.71344074331</v>
      </c>
      <c r="K48" s="6" t="n">
        <f aca="false">PROY_INDEXADO!I54+PROY_RESERVAS!I76*$D$4</f>
        <v>2801.5567228969</v>
      </c>
      <c r="L48" s="6" t="n">
        <f aca="false">PROY_INDEXADO!J54+PROY_RESERVAS!J76*$D$4</f>
        <v>3271.07973643418</v>
      </c>
      <c r="M48" s="6" t="n">
        <f aca="false">PROY_INDEXADO!K54+PROY_RESERVAS!K76*$D$4</f>
        <v>3777.88529798011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59.2019966425177</v>
      </c>
      <c r="E49" s="6" t="n">
        <f aca="false">PROY_INDEXADO!C55+PROY_RESERVAS!C77*$D$4</f>
        <v>100.621408001144</v>
      </c>
      <c r="F49" s="6" t="n">
        <f aca="false">PROY_INDEXADO!D55+PROY_RESERVAS!D77*$D$4</f>
        <v>126.90629362977</v>
      </c>
      <c r="G49" s="6" t="n">
        <f aca="false">PROY_INDEXADO!E55+PROY_RESERVAS!E77*$D$4</f>
        <v>168.554136330913</v>
      </c>
      <c r="H49" s="6" t="n">
        <f aca="false">PROY_INDEXADO!F55+PROY_RESERVAS!F77*$D$4</f>
        <v>257.360523588165</v>
      </c>
      <c r="I49" s="6" t="n">
        <f aca="false">PROY_INDEXADO!G55+PROY_RESERVAS!G77*$D$4</f>
        <v>346.919199145417</v>
      </c>
      <c r="J49" s="6" t="n">
        <f aca="false">PROY_INDEXADO!H55+PROY_RESERVAS!H77*$D$4</f>
        <v>445.537770502668</v>
      </c>
      <c r="K49" s="6" t="n">
        <f aca="false">PROY_INDEXADO!I55+PROY_RESERVAS!I77*$D$4</f>
        <v>551.688552987402</v>
      </c>
      <c r="L49" s="6" t="n">
        <f aca="false">PROY_INDEXADO!J55+PROY_RESERVAS!J77*$D$4</f>
        <v>644.505244616028</v>
      </c>
      <c r="M49" s="6" t="n">
        <f aca="false">PROY_INDEXADO!K55+PROY_RESERVAS!K77*$D$4</f>
        <v>744.210555144654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28.7714740925177</v>
      </c>
      <c r="E50" s="6" t="n">
        <f aca="false">PROY_INDEXADO!C56+PROY_RESERVAS!C78*$D$4</f>
        <v>45.6990746086259</v>
      </c>
      <c r="F50" s="6" t="n">
        <f aca="false">PROY_INDEXADO!D56+PROY_RESERVAS!D78*$D$4</f>
        <v>55.2785910086259</v>
      </c>
      <c r="G50" s="6" t="n">
        <f aca="false">PROY_INDEXADO!E56+PROY_RESERVAS!E78*$D$4</f>
        <v>71.1830073211436</v>
      </c>
      <c r="H50" s="6" t="n">
        <f aca="false">PROY_INDEXADO!F56+PROY_RESERVAS!F78*$D$4</f>
        <v>103.310244129769</v>
      </c>
      <c r="I50" s="6" t="n">
        <f aca="false">PROY_INDEXADO!G56+PROY_RESERVAS!G78*$D$4</f>
        <v>128.014105585878</v>
      </c>
      <c r="J50" s="6" t="n">
        <f aca="false">PROY_INDEXADO!H56+PROY_RESERVAS!H78*$D$4</f>
        <v>164.378316958395</v>
      </c>
      <c r="K50" s="6" t="n">
        <f aca="false">PROY_INDEXADO!I56+PROY_RESERVAS!I78*$D$4</f>
        <v>203.420291414504</v>
      </c>
      <c r="L50" s="6" t="n">
        <f aca="false">PROY_INDEXADO!J56+PROY_RESERVAS!J78*$D$4</f>
        <v>239.280745687021</v>
      </c>
      <c r="M50" s="6" t="n">
        <f aca="false">PROY_INDEXADO!K56+PROY_RESERVAS!K78*$D$4</f>
        <v>277.429635543129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3244.96411612163</v>
      </c>
      <c r="D12" s="6" t="n">
        <f aca="false">DEMANDA!$M$10*D$5</f>
        <v>2595.9712928973</v>
      </c>
      <c r="E12" s="6" t="n">
        <f aca="false">DEMANDA!$M$10*E$5</f>
        <v>2758.21949870338</v>
      </c>
      <c r="F12" s="6" t="n">
        <f aca="false">DEMANDA!$M$10*F$5</f>
        <v>2758.21949870338</v>
      </c>
      <c r="G12" s="6" t="n">
        <f aca="false">DEMANDA!$M$10*G$5</f>
        <v>2595.9712928973</v>
      </c>
      <c r="H12" s="6" t="n">
        <f aca="false">DEMANDA!$M$10*H$5</f>
        <v>2433.72308709122</v>
      </c>
      <c r="I12" s="6" t="n">
        <f aca="false">DEMANDA!$M$10*I$5</f>
        <v>2595.9712928973</v>
      </c>
      <c r="J12" s="6" t="n">
        <f aca="false">DEMANDA!$M$10*J$5</f>
        <v>2595.9712928973</v>
      </c>
      <c r="K12" s="6" t="n">
        <f aca="false">DEMANDA!$M$10*K$5</f>
        <v>2595.9712928973</v>
      </c>
      <c r="L12" s="6" t="n">
        <f aca="false">DEMANDA!$M$10*L$5</f>
        <v>2433.72308709122</v>
      </c>
      <c r="M12" s="6" t="n">
        <f aca="false">DEMANDA!$M$10*M$5</f>
        <v>2271.47488128514</v>
      </c>
      <c r="N12" s="6" t="n">
        <f aca="false">DEMANDA!$M$10*N$5</f>
        <v>3569.46052773379</v>
      </c>
      <c r="O12" s="6" t="n">
        <f aca="false">SUM(C12:N12)</f>
        <v>32449.6411612163</v>
      </c>
      <c r="P12" s="6" t="n">
        <f aca="false">INDEX(C12:N12,$D$58)</f>
        <v>3569.46052773379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184.326194663625</v>
      </c>
      <c r="D13" s="6" t="n">
        <f aca="false">DEMANDA!$M$11*D$5</f>
        <v>147.4609557309</v>
      </c>
      <c r="E13" s="6" t="n">
        <f aca="false">DEMANDA!$M$11*E$5</f>
        <v>156.677265464081</v>
      </c>
      <c r="F13" s="6" t="n">
        <f aca="false">DEMANDA!$M$11*F$5</f>
        <v>156.677265464081</v>
      </c>
      <c r="G13" s="6" t="n">
        <f aca="false">DEMANDA!$M$11*G$5</f>
        <v>147.4609557309</v>
      </c>
      <c r="H13" s="6" t="n">
        <f aca="false">DEMANDA!$M$11*H$5</f>
        <v>138.244645997719</v>
      </c>
      <c r="I13" s="6" t="n">
        <f aca="false">DEMANDA!$M$11*I$5</f>
        <v>147.4609557309</v>
      </c>
      <c r="J13" s="6" t="n">
        <f aca="false">DEMANDA!$M$11*J$5</f>
        <v>147.4609557309</v>
      </c>
      <c r="K13" s="6" t="n">
        <f aca="false">DEMANDA!$M$11*K$5</f>
        <v>147.4609557309</v>
      </c>
      <c r="L13" s="6" t="n">
        <f aca="false">DEMANDA!$M$11*L$5</f>
        <v>138.244645997719</v>
      </c>
      <c r="M13" s="6" t="n">
        <f aca="false">DEMANDA!$M$11*M$5</f>
        <v>129.028336264538</v>
      </c>
      <c r="N13" s="6" t="n">
        <f aca="false">DEMANDA!$M$11*N$5</f>
        <v>202.758814129988</v>
      </c>
      <c r="O13" s="6" t="n">
        <f aca="false">SUM(C13:N13)</f>
        <v>1843.26194663625</v>
      </c>
      <c r="P13" s="6" t="n">
        <f aca="false">INDEX(C13:N13,$D$58)</f>
        <v>202.758814129988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32645.7528507852</v>
      </c>
      <c r="D18" s="9" t="n">
        <f aca="false">SUM(D10:D17)</f>
        <v>24900.8784458482</v>
      </c>
      <c r="E18" s="9" t="n">
        <f aca="false">SUM(E10:E17)</f>
        <v>23291.2358623075</v>
      </c>
      <c r="F18" s="9" t="n">
        <f aca="false">SUM(F10:F17)</f>
        <v>22278.1326666575</v>
      </c>
      <c r="G18" s="9" t="n">
        <f aca="false">SUM(G10:G17)</f>
        <v>20848.4656632482</v>
      </c>
      <c r="H18" s="9" t="n">
        <f aca="false">SUM(H10:H17)</f>
        <v>20431.9018554889</v>
      </c>
      <c r="I18" s="9" t="n">
        <f aca="false">SUM(I10:I17)</f>
        <v>21861.5688588982</v>
      </c>
      <c r="J18" s="9" t="n">
        <f aca="false">SUM(J10:J17)</f>
        <v>21861.5688588982</v>
      </c>
      <c r="K18" s="9" t="n">
        <f aca="false">SUM(K10:K17)</f>
        <v>21861.5688588982</v>
      </c>
      <c r="L18" s="9" t="n">
        <f aca="false">SUM(L10:L17)</f>
        <v>21445.0050511389</v>
      </c>
      <c r="M18" s="9" t="n">
        <f aca="false">SUM(M10:M17)</f>
        <v>21028.4412433797</v>
      </c>
      <c r="N18" s="9" t="n">
        <f aca="false">SUM(N10:N17)</f>
        <v>33478.8804663038</v>
      </c>
      <c r="O18" s="9" t="n">
        <f aca="false">SUM(O10:O17)</f>
        <v>285933.400681853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84.8692721775568</v>
      </c>
      <c r="D20" s="6" t="n">
        <f aca="false">DEMANDA!$M$17*D$6</f>
        <v>74.8846519213737</v>
      </c>
      <c r="E20" s="6" t="n">
        <f aca="false">DEMANDA!$M$17*E$6</f>
        <v>89.8615823056484</v>
      </c>
      <c r="F20" s="6" t="n">
        <f aca="false">DEMANDA!$M$17*F$6</f>
        <v>89.8615823056484</v>
      </c>
      <c r="G20" s="6" t="n">
        <f aca="false">DEMANDA!$M$17*G$6</f>
        <v>89.8615823056484</v>
      </c>
      <c r="H20" s="6" t="n">
        <f aca="false">DEMANDA!$M$17*H$6</f>
        <v>79.8769620494653</v>
      </c>
      <c r="I20" s="6" t="n">
        <f aca="false">DEMANDA!$M$17*I$6</f>
        <v>89.8615823056484</v>
      </c>
      <c r="J20" s="6" t="n">
        <f aca="false">DEMANDA!$M$17*J$6</f>
        <v>89.8615823056484</v>
      </c>
      <c r="K20" s="6" t="n">
        <f aca="false">DEMANDA!$M$17*K$6</f>
        <v>84.8692721775568</v>
      </c>
      <c r="L20" s="6" t="n">
        <f aca="false">DEMANDA!$M$17*L$6</f>
        <v>74.8846519213737</v>
      </c>
      <c r="M20" s="6" t="n">
        <f aca="false">DEMANDA!$M$17*M$6</f>
        <v>69.8923417932821</v>
      </c>
      <c r="N20" s="6" t="n">
        <f aca="false">DEMANDA!$M$17*N$6</f>
        <v>79.8769620494653</v>
      </c>
      <c r="O20" s="6" t="n">
        <f aca="false">SUM(C20:N20)</f>
        <v>998.462025618316</v>
      </c>
      <c r="P20" s="6" t="n">
        <f aca="false">INDEX(C20:N20,$D$59)</f>
        <v>89.8615823056484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12.3420550168988</v>
      </c>
      <c r="D22" s="6" t="n">
        <f aca="false">DEMANDA!$M$19*D$6</f>
        <v>10.8900485443225</v>
      </c>
      <c r="E22" s="6" t="n">
        <f aca="false">DEMANDA!$M$19*E$6</f>
        <v>13.068058253187</v>
      </c>
      <c r="F22" s="6" t="n">
        <f aca="false">DEMANDA!$M$19*F$6</f>
        <v>13.068058253187</v>
      </c>
      <c r="G22" s="6" t="n">
        <f aca="false">DEMANDA!$M$19*G$6</f>
        <v>13.068058253187</v>
      </c>
      <c r="H22" s="6" t="n">
        <f aca="false">DEMANDA!$M$19*H$6</f>
        <v>11.6160517806106</v>
      </c>
      <c r="I22" s="6" t="n">
        <f aca="false">DEMANDA!$M$19*I$6</f>
        <v>13.068058253187</v>
      </c>
      <c r="J22" s="6" t="n">
        <f aca="false">DEMANDA!$M$19*J$6</f>
        <v>13.068058253187</v>
      </c>
      <c r="K22" s="6" t="n">
        <f aca="false">DEMANDA!$M$19*K$6</f>
        <v>12.3420550168988</v>
      </c>
      <c r="L22" s="6" t="n">
        <f aca="false">DEMANDA!$M$19*L$6</f>
        <v>10.8900485443225</v>
      </c>
      <c r="M22" s="6" t="n">
        <f aca="false">DEMANDA!$M$19*M$6</f>
        <v>10.1640453080343</v>
      </c>
      <c r="N22" s="6" t="n">
        <f aca="false">DEMANDA!$M$19*N$6</f>
        <v>11.6160517806106</v>
      </c>
      <c r="O22" s="6" t="n">
        <f aca="false">SUM(C22:N22)</f>
        <v>145.200647257633</v>
      </c>
      <c r="P22" s="6" t="n">
        <f aca="false">INDEX(C22:N22,$D$59)</f>
        <v>13.068058253187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263.627760276456</v>
      </c>
      <c r="D27" s="9" t="n">
        <f aca="false">SUM(D19:D26)</f>
        <v>232.612729655696</v>
      </c>
      <c r="E27" s="9" t="n">
        <f aca="false">SUM(E19:E26)</f>
        <v>279.135275586835</v>
      </c>
      <c r="F27" s="9" t="n">
        <f aca="false">SUM(F19:F26)</f>
        <v>279.135275586835</v>
      </c>
      <c r="G27" s="9" t="n">
        <f aca="false">SUM(G19:G26)</f>
        <v>279.135275586835</v>
      </c>
      <c r="H27" s="9" t="n">
        <f aca="false">SUM(H19:H26)</f>
        <v>248.120244966076</v>
      </c>
      <c r="I27" s="9" t="n">
        <f aca="false">SUM(I19:I26)</f>
        <v>279.135275586835</v>
      </c>
      <c r="J27" s="9" t="n">
        <f aca="false">SUM(J19:J26)</f>
        <v>279.135275586835</v>
      </c>
      <c r="K27" s="9" t="n">
        <f aca="false">SUM(K19:K26)</f>
        <v>263.627760276456</v>
      </c>
      <c r="L27" s="9" t="n">
        <f aca="false">SUM(L19:L26)</f>
        <v>232.612729655696</v>
      </c>
      <c r="M27" s="9" t="n">
        <f aca="false">SUM(M19:M26)</f>
        <v>217.105214345316</v>
      </c>
      <c r="N27" s="9" t="n">
        <f aca="false">SUM(N19:N26)</f>
        <v>248.120244966076</v>
      </c>
      <c r="O27" s="9" t="n">
        <f aca="false">SUM(O19:O26)</f>
        <v>3101.50306207595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5600.4779507894</v>
      </c>
      <c r="D28" s="6" t="n">
        <f aca="false">DEMANDA!$M$24*D$7</f>
        <v>5600.4779507894</v>
      </c>
      <c r="E28" s="6" t="n">
        <f aca="false">DEMANDA!$M$24*E$7</f>
        <v>5600.4779507894</v>
      </c>
      <c r="F28" s="6" t="n">
        <f aca="false">DEMANDA!$M$24*F$7</f>
        <v>5600.4779507894</v>
      </c>
      <c r="G28" s="6" t="n">
        <f aca="false">DEMANDA!$M$24*G$7</f>
        <v>5600.4779507894</v>
      </c>
      <c r="H28" s="6" t="n">
        <f aca="false">DEMANDA!$M$24*H$7</f>
        <v>5600.4779507894</v>
      </c>
      <c r="I28" s="6" t="n">
        <f aca="false">DEMANDA!$M$24*I$7</f>
        <v>5600.4779507894</v>
      </c>
      <c r="J28" s="6" t="n">
        <f aca="false">DEMANDA!$M$24*J$7</f>
        <v>5600.4779507894</v>
      </c>
      <c r="K28" s="6" t="n">
        <f aca="false">DEMANDA!$M$24*K$7</f>
        <v>5600.4779507894</v>
      </c>
      <c r="L28" s="6" t="n">
        <f aca="false">DEMANDA!$M$24*L$7</f>
        <v>5600.4779507894</v>
      </c>
      <c r="M28" s="6" t="n">
        <f aca="false">DEMANDA!$M$24*M$7</f>
        <v>5600.4779507894</v>
      </c>
      <c r="N28" s="6" t="n">
        <f aca="false">DEMANDA!$M$24*N$7</f>
        <v>5600.4779507894</v>
      </c>
      <c r="O28" s="6" t="n">
        <f aca="false">SUM(C28:N28)</f>
        <v>67205.7354094728</v>
      </c>
      <c r="P28" s="6" t="n">
        <f aca="false">INDEX(C28:N28,$D$60)</f>
        <v>5600.4779507894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474.235431183243</v>
      </c>
      <c r="D29" s="6" t="n">
        <f aca="false">DEMANDA!$M$25*D$7</f>
        <v>474.235431183243</v>
      </c>
      <c r="E29" s="6" t="n">
        <f aca="false">DEMANDA!$M$25*E$7</f>
        <v>474.235431183243</v>
      </c>
      <c r="F29" s="6" t="n">
        <f aca="false">DEMANDA!$M$25*F$7</f>
        <v>474.235431183243</v>
      </c>
      <c r="G29" s="6" t="n">
        <f aca="false">DEMANDA!$M$25*G$7</f>
        <v>474.235431183243</v>
      </c>
      <c r="H29" s="6" t="n">
        <f aca="false">DEMANDA!$M$25*H$7</f>
        <v>474.235431183243</v>
      </c>
      <c r="I29" s="6" t="n">
        <f aca="false">DEMANDA!$M$25*I$7</f>
        <v>474.235431183243</v>
      </c>
      <c r="J29" s="6" t="n">
        <f aca="false">DEMANDA!$M$25*J$7</f>
        <v>474.235431183243</v>
      </c>
      <c r="K29" s="6" t="n">
        <f aca="false">DEMANDA!$M$25*K$7</f>
        <v>474.235431183243</v>
      </c>
      <c r="L29" s="6" t="n">
        <f aca="false">DEMANDA!$M$25*L$7</f>
        <v>474.235431183243</v>
      </c>
      <c r="M29" s="6" t="n">
        <f aca="false">DEMANDA!$M$25*M$7</f>
        <v>474.235431183243</v>
      </c>
      <c r="N29" s="6" t="n">
        <f aca="false">DEMANDA!$M$25*N$7</f>
        <v>474.235431183243</v>
      </c>
      <c r="O29" s="6" t="n">
        <f aca="false">SUM(C29:N29)</f>
        <v>5690.82517419891</v>
      </c>
      <c r="P29" s="6" t="n">
        <f aca="false">INDEX(C29:N29,$D$60)</f>
        <v>474.235431183243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2981.18862366168</v>
      </c>
      <c r="D30" s="6" t="n">
        <f aca="false">DEMANDA!$M$26*D$7</f>
        <v>2981.18862366168</v>
      </c>
      <c r="E30" s="6" t="n">
        <f aca="false">DEMANDA!$M$26*E$7</f>
        <v>2981.18862366168</v>
      </c>
      <c r="F30" s="6" t="n">
        <f aca="false">DEMANDA!$M$26*F$7</f>
        <v>2981.18862366168</v>
      </c>
      <c r="G30" s="6" t="n">
        <f aca="false">DEMANDA!$M$26*G$7</f>
        <v>2981.18862366168</v>
      </c>
      <c r="H30" s="6" t="n">
        <f aca="false">DEMANDA!$M$26*H$7</f>
        <v>2981.18862366168</v>
      </c>
      <c r="I30" s="6" t="n">
        <f aca="false">DEMANDA!$M$26*I$7</f>
        <v>2981.18862366168</v>
      </c>
      <c r="J30" s="6" t="n">
        <f aca="false">DEMANDA!$M$26*J$7</f>
        <v>2981.18862366168</v>
      </c>
      <c r="K30" s="6" t="n">
        <f aca="false">DEMANDA!$M$26*K$7</f>
        <v>2981.18862366168</v>
      </c>
      <c r="L30" s="6" t="n">
        <f aca="false">DEMANDA!$M$26*L$7</f>
        <v>2981.18862366168</v>
      </c>
      <c r="M30" s="6" t="n">
        <f aca="false">DEMANDA!$M$26*M$7</f>
        <v>2981.18862366168</v>
      </c>
      <c r="N30" s="6" t="n">
        <f aca="false">DEMANDA!$M$26*N$7</f>
        <v>2981.18862366168</v>
      </c>
      <c r="O30" s="6" t="n">
        <f aca="false">SUM(C30:N30)</f>
        <v>35774.2634839401</v>
      </c>
      <c r="P30" s="6" t="n">
        <f aca="false">INDEX(C30:N30,$D$60)</f>
        <v>2981.18862366168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172.650052451812</v>
      </c>
      <c r="D31" s="6" t="n">
        <f aca="false">DEMANDA!$M$27*D$7</f>
        <v>172.650052451812</v>
      </c>
      <c r="E31" s="6" t="n">
        <f aca="false">DEMANDA!$M$27*E$7</f>
        <v>172.650052451812</v>
      </c>
      <c r="F31" s="6" t="n">
        <f aca="false">DEMANDA!$M$27*F$7</f>
        <v>172.650052451812</v>
      </c>
      <c r="G31" s="6" t="n">
        <f aca="false">DEMANDA!$M$27*G$7</f>
        <v>172.650052451812</v>
      </c>
      <c r="H31" s="6" t="n">
        <f aca="false">DEMANDA!$M$27*H$7</f>
        <v>172.650052451812</v>
      </c>
      <c r="I31" s="6" t="n">
        <f aca="false">DEMANDA!$M$27*I$7</f>
        <v>172.650052451812</v>
      </c>
      <c r="J31" s="6" t="n">
        <f aca="false">DEMANDA!$M$27*J$7</f>
        <v>172.650052451812</v>
      </c>
      <c r="K31" s="6" t="n">
        <f aca="false">DEMANDA!$M$27*K$7</f>
        <v>172.650052451812</v>
      </c>
      <c r="L31" s="6" t="n">
        <f aca="false">DEMANDA!$M$27*L$7</f>
        <v>172.650052451812</v>
      </c>
      <c r="M31" s="6" t="n">
        <f aca="false">DEMANDA!$M$27*M$7</f>
        <v>172.650052451812</v>
      </c>
      <c r="N31" s="6" t="n">
        <f aca="false">DEMANDA!$M$27*N$7</f>
        <v>172.650052451812</v>
      </c>
      <c r="O31" s="6" t="n">
        <f aca="false">SUM(C31:N31)</f>
        <v>2071.80062942174</v>
      </c>
      <c r="P31" s="6" t="n">
        <f aca="false">INDEX(C31:N31,$D$60)</f>
        <v>172.650052451812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243.749674144515</v>
      </c>
      <c r="D32" s="6" t="n">
        <f aca="false">DEMANDA!$M$28*D$7</f>
        <v>243.749674144515</v>
      </c>
      <c r="E32" s="6" t="n">
        <f aca="false">DEMANDA!$M$28*E$7</f>
        <v>243.749674144515</v>
      </c>
      <c r="F32" s="6" t="n">
        <f aca="false">DEMANDA!$M$28*F$7</f>
        <v>243.749674144515</v>
      </c>
      <c r="G32" s="6" t="n">
        <f aca="false">DEMANDA!$M$28*G$7</f>
        <v>243.749674144515</v>
      </c>
      <c r="H32" s="6" t="n">
        <f aca="false">DEMANDA!$M$28*H$7</f>
        <v>243.749674144515</v>
      </c>
      <c r="I32" s="6" t="n">
        <f aca="false">DEMANDA!$M$28*I$7</f>
        <v>243.749674144515</v>
      </c>
      <c r="J32" s="6" t="n">
        <f aca="false">DEMANDA!$M$28*J$7</f>
        <v>243.749674144515</v>
      </c>
      <c r="K32" s="6" t="n">
        <f aca="false">DEMANDA!$M$28*K$7</f>
        <v>243.749674144515</v>
      </c>
      <c r="L32" s="6" t="n">
        <f aca="false">DEMANDA!$M$28*L$7</f>
        <v>243.749674144515</v>
      </c>
      <c r="M32" s="6" t="n">
        <f aca="false">DEMANDA!$M$28*M$7</f>
        <v>243.749674144515</v>
      </c>
      <c r="N32" s="6" t="n">
        <f aca="false">DEMANDA!$M$28*N$7</f>
        <v>243.749674144515</v>
      </c>
      <c r="O32" s="6" t="n">
        <f aca="false">SUM(C32:N32)</f>
        <v>2924.99608973418</v>
      </c>
      <c r="P32" s="6" t="n">
        <f aca="false">INDEX(C32:N32,$D$60)</f>
        <v>243.749674144515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46.2926576864905</v>
      </c>
      <c r="D33" s="6" t="n">
        <f aca="false">DEMANDA!$M$29*D$7</f>
        <v>46.2926576864905</v>
      </c>
      <c r="E33" s="6" t="n">
        <f aca="false">DEMANDA!$M$29*E$7</f>
        <v>46.2926576864905</v>
      </c>
      <c r="F33" s="6" t="n">
        <f aca="false">DEMANDA!$M$29*F$7</f>
        <v>46.2926576864905</v>
      </c>
      <c r="G33" s="6" t="n">
        <f aca="false">DEMANDA!$M$29*G$7</f>
        <v>46.2926576864905</v>
      </c>
      <c r="H33" s="6" t="n">
        <f aca="false">DEMANDA!$M$29*H$7</f>
        <v>46.2926576864905</v>
      </c>
      <c r="I33" s="6" t="n">
        <f aca="false">DEMANDA!$M$29*I$7</f>
        <v>46.2926576864905</v>
      </c>
      <c r="J33" s="6" t="n">
        <f aca="false">DEMANDA!$M$29*J$7</f>
        <v>46.2926576864905</v>
      </c>
      <c r="K33" s="6" t="n">
        <f aca="false">DEMANDA!$M$29*K$7</f>
        <v>46.2926576864905</v>
      </c>
      <c r="L33" s="6" t="n">
        <f aca="false">DEMANDA!$M$29*L$7</f>
        <v>46.2926576864905</v>
      </c>
      <c r="M33" s="6" t="n">
        <f aca="false">DEMANDA!$M$29*M$7</f>
        <v>46.2926576864905</v>
      </c>
      <c r="N33" s="6" t="n">
        <f aca="false">DEMANDA!$M$29*N$7</f>
        <v>46.2926576864905</v>
      </c>
      <c r="O33" s="6" t="n">
        <f aca="false">SUM(C33:N33)</f>
        <v>555.511892237886</v>
      </c>
      <c r="P33" s="6" t="n">
        <f aca="false">INDEX(C33:N33,$D$60)</f>
        <v>46.2926576864905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24.1486857842193</v>
      </c>
      <c r="D34" s="6" t="n">
        <f aca="false">DEMANDA!$M$30*D$7</f>
        <v>24.1486857842193</v>
      </c>
      <c r="E34" s="6" t="n">
        <f aca="false">DEMANDA!$M$30*E$7</f>
        <v>24.1486857842193</v>
      </c>
      <c r="F34" s="6" t="n">
        <f aca="false">DEMANDA!$M$30*F$7</f>
        <v>24.1486857842193</v>
      </c>
      <c r="G34" s="6" t="n">
        <f aca="false">DEMANDA!$M$30*G$7</f>
        <v>24.1486857842193</v>
      </c>
      <c r="H34" s="6" t="n">
        <f aca="false">DEMANDA!$M$30*H$7</f>
        <v>24.1486857842193</v>
      </c>
      <c r="I34" s="6" t="n">
        <f aca="false">DEMANDA!$M$30*I$7</f>
        <v>24.1486857842193</v>
      </c>
      <c r="J34" s="6" t="n">
        <f aca="false">DEMANDA!$M$30*J$7</f>
        <v>24.1486857842193</v>
      </c>
      <c r="K34" s="6" t="n">
        <f aca="false">DEMANDA!$M$30*K$7</f>
        <v>24.1486857842193</v>
      </c>
      <c r="L34" s="6" t="n">
        <f aca="false">DEMANDA!$M$30*L$7</f>
        <v>24.1486857842193</v>
      </c>
      <c r="M34" s="6" t="n">
        <f aca="false">DEMANDA!$M$30*M$7</f>
        <v>24.1486857842193</v>
      </c>
      <c r="N34" s="6" t="n">
        <f aca="false">DEMANDA!$M$30*N$7</f>
        <v>24.1486857842193</v>
      </c>
      <c r="O34" s="6" t="n">
        <f aca="false">SUM(C34:N34)</f>
        <v>289.784229410632</v>
      </c>
      <c r="P34" s="6" t="n">
        <f aca="false">INDEX(C34:N34,$D$60)</f>
        <v>24.1486857842193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13.9661703038375</v>
      </c>
      <c r="D35" s="6" t="n">
        <f aca="false">DEMANDA!$M$31*D$7</f>
        <v>13.9661703038375</v>
      </c>
      <c r="E35" s="6" t="n">
        <f aca="false">DEMANDA!$M$31*E$7</f>
        <v>13.9661703038375</v>
      </c>
      <c r="F35" s="6" t="n">
        <f aca="false">DEMANDA!$M$31*F$7</f>
        <v>13.9661703038375</v>
      </c>
      <c r="G35" s="6" t="n">
        <f aca="false">DEMANDA!$M$31*G$7</f>
        <v>13.9661703038375</v>
      </c>
      <c r="H35" s="6" t="n">
        <f aca="false">DEMANDA!$M$31*H$7</f>
        <v>13.9661703038375</v>
      </c>
      <c r="I35" s="6" t="n">
        <f aca="false">DEMANDA!$M$31*I$7</f>
        <v>13.9661703038375</v>
      </c>
      <c r="J35" s="6" t="n">
        <f aca="false">DEMANDA!$M$31*J$7</f>
        <v>13.9661703038375</v>
      </c>
      <c r="K35" s="6" t="n">
        <f aca="false">DEMANDA!$M$31*K$7</f>
        <v>13.9661703038375</v>
      </c>
      <c r="L35" s="6" t="n">
        <f aca="false">DEMANDA!$M$31*L$7</f>
        <v>13.9661703038375</v>
      </c>
      <c r="M35" s="6" t="n">
        <f aca="false">DEMANDA!$M$31*M$7</f>
        <v>13.9661703038375</v>
      </c>
      <c r="N35" s="6" t="n">
        <f aca="false">DEMANDA!$M$31*N$7</f>
        <v>13.9661703038375</v>
      </c>
      <c r="O35" s="6" t="n">
        <f aca="false">SUM(C35:N35)</f>
        <v>167.59404364605</v>
      </c>
      <c r="P35" s="6" t="n">
        <f aca="false">INDEX(C35:N35,$D$60)</f>
        <v>13.9661703038375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120.195760488404</v>
      </c>
      <c r="D36" s="6" t="n">
        <f aca="false">DEMANDA!$M$32*D$7</f>
        <v>120.195760488404</v>
      </c>
      <c r="E36" s="6" t="n">
        <f aca="false">DEMANDA!$M$32*E$7</f>
        <v>120.195760488404</v>
      </c>
      <c r="F36" s="6" t="n">
        <f aca="false">DEMANDA!$M$32*F$7</f>
        <v>120.195760488404</v>
      </c>
      <c r="G36" s="6" t="n">
        <f aca="false">DEMANDA!$M$32*G$7</f>
        <v>120.195760488404</v>
      </c>
      <c r="H36" s="6" t="n">
        <f aca="false">DEMANDA!$M$32*H$7</f>
        <v>120.195760488404</v>
      </c>
      <c r="I36" s="6" t="n">
        <f aca="false">DEMANDA!$M$32*I$7</f>
        <v>120.195760488404</v>
      </c>
      <c r="J36" s="6" t="n">
        <f aca="false">DEMANDA!$M$32*J$7</f>
        <v>120.195760488404</v>
      </c>
      <c r="K36" s="6" t="n">
        <f aca="false">DEMANDA!$M$32*K$7</f>
        <v>120.195760488404</v>
      </c>
      <c r="L36" s="6" t="n">
        <f aca="false">DEMANDA!$M$32*L$7</f>
        <v>120.195760488404</v>
      </c>
      <c r="M36" s="6" t="n">
        <f aca="false">DEMANDA!$M$32*M$7</f>
        <v>120.195760488404</v>
      </c>
      <c r="N36" s="6" t="n">
        <f aca="false">DEMANDA!$M$32*N$7</f>
        <v>120.195760488404</v>
      </c>
      <c r="O36" s="6" t="n">
        <f aca="false">SUM(C36:N36)</f>
        <v>1442.34912586085</v>
      </c>
      <c r="P36" s="6" t="n">
        <f aca="false">INDEX(C36:N36,$D$60)</f>
        <v>120.195760488404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648.677043782948</v>
      </c>
      <c r="D37" s="6" t="n">
        <f aca="false">DEMANDA!$M$33*D$7</f>
        <v>648.677043782948</v>
      </c>
      <c r="E37" s="6" t="n">
        <f aca="false">DEMANDA!$M$33*E$7</f>
        <v>648.677043782948</v>
      </c>
      <c r="F37" s="6" t="n">
        <f aca="false">DEMANDA!$M$33*F$7</f>
        <v>648.677043782948</v>
      </c>
      <c r="G37" s="6" t="n">
        <f aca="false">DEMANDA!$M$33*G$7</f>
        <v>648.677043782948</v>
      </c>
      <c r="H37" s="6" t="n">
        <f aca="false">DEMANDA!$M$33*H$7</f>
        <v>648.677043782948</v>
      </c>
      <c r="I37" s="6" t="n">
        <f aca="false">DEMANDA!$M$33*I$7</f>
        <v>648.677043782948</v>
      </c>
      <c r="J37" s="6" t="n">
        <f aca="false">DEMANDA!$M$33*J$7</f>
        <v>648.677043782948</v>
      </c>
      <c r="K37" s="6" t="n">
        <f aca="false">DEMANDA!$M$33*K$7</f>
        <v>648.677043782948</v>
      </c>
      <c r="L37" s="6" t="n">
        <f aca="false">DEMANDA!$M$33*L$7</f>
        <v>648.677043782948</v>
      </c>
      <c r="M37" s="6" t="n">
        <f aca="false">DEMANDA!$M$33*M$7</f>
        <v>648.677043782948</v>
      </c>
      <c r="N37" s="6" t="n">
        <f aca="false">DEMANDA!$M$33*N$7</f>
        <v>648.677043782948</v>
      </c>
      <c r="O37" s="6" t="n">
        <f aca="false">SUM(C37:N37)</f>
        <v>7784.12452539538</v>
      </c>
      <c r="P37" s="6" t="n">
        <f aca="false">INDEX(C37:N37,$D$60)</f>
        <v>648.677043782948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231.102920734934</v>
      </c>
      <c r="D38" s="6" t="n">
        <f aca="false">DEMANDA!$M$34*D$7</f>
        <v>231.102920734934</v>
      </c>
      <c r="E38" s="6" t="n">
        <f aca="false">DEMANDA!$M$34*E$7</f>
        <v>231.102920734934</v>
      </c>
      <c r="F38" s="6" t="n">
        <f aca="false">DEMANDA!$M$34*F$7</f>
        <v>231.102920734934</v>
      </c>
      <c r="G38" s="6" t="n">
        <f aca="false">DEMANDA!$M$34*G$7</f>
        <v>231.102920734934</v>
      </c>
      <c r="H38" s="6" t="n">
        <f aca="false">DEMANDA!$M$34*H$7</f>
        <v>231.102920734934</v>
      </c>
      <c r="I38" s="6" t="n">
        <f aca="false">DEMANDA!$M$34*I$7</f>
        <v>231.102920734934</v>
      </c>
      <c r="J38" s="6" t="n">
        <f aca="false">DEMANDA!$M$34*J$7</f>
        <v>231.102920734934</v>
      </c>
      <c r="K38" s="6" t="n">
        <f aca="false">DEMANDA!$M$34*K$7</f>
        <v>231.102920734934</v>
      </c>
      <c r="L38" s="6" t="n">
        <f aca="false">DEMANDA!$M$34*L$7</f>
        <v>231.102920734934</v>
      </c>
      <c r="M38" s="6" t="n">
        <f aca="false">DEMANDA!$M$34*M$7</f>
        <v>231.102920734934</v>
      </c>
      <c r="N38" s="6" t="n">
        <f aca="false">DEMANDA!$M$34*N$7</f>
        <v>231.102920734934</v>
      </c>
      <c r="O38" s="6" t="n">
        <f aca="false">SUM(C38:N38)</f>
        <v>2773.23504881921</v>
      </c>
      <c r="P38" s="6" t="n">
        <f aca="false">INDEX(C38:N38,$D$60)</f>
        <v>231.102920734934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36.6913900827394</v>
      </c>
      <c r="D39" s="6" t="n">
        <f aca="false">DEMANDA!$M$35*D$7</f>
        <v>36.6913900827394</v>
      </c>
      <c r="E39" s="6" t="n">
        <f aca="false">DEMANDA!$M$35*E$7</f>
        <v>36.6913900827394</v>
      </c>
      <c r="F39" s="6" t="n">
        <f aca="false">DEMANDA!$M$35*F$7</f>
        <v>36.6913900827394</v>
      </c>
      <c r="G39" s="6" t="n">
        <f aca="false">DEMANDA!$M$35*G$7</f>
        <v>36.6913900827394</v>
      </c>
      <c r="H39" s="6" t="n">
        <f aca="false">DEMANDA!$M$35*H$7</f>
        <v>36.6913900827394</v>
      </c>
      <c r="I39" s="6" t="n">
        <f aca="false">DEMANDA!$M$35*I$7</f>
        <v>36.6913900827394</v>
      </c>
      <c r="J39" s="6" t="n">
        <f aca="false">DEMANDA!$M$35*J$7</f>
        <v>36.6913900827394</v>
      </c>
      <c r="K39" s="6" t="n">
        <f aca="false">DEMANDA!$M$35*K$7</f>
        <v>36.6913900827394</v>
      </c>
      <c r="L39" s="6" t="n">
        <f aca="false">DEMANDA!$M$35*L$7</f>
        <v>36.6913900827394</v>
      </c>
      <c r="M39" s="6" t="n">
        <f aca="false">DEMANDA!$M$35*M$7</f>
        <v>36.6913900827394</v>
      </c>
      <c r="N39" s="6" t="n">
        <f aca="false">DEMANDA!$M$35*N$7</f>
        <v>36.6913900827394</v>
      </c>
      <c r="O39" s="6" t="n">
        <f aca="false">SUM(C39:N39)</f>
        <v>440.296680992873</v>
      </c>
      <c r="P39" s="6" t="n">
        <f aca="false">INDEX(C39:N39,$D$60)</f>
        <v>36.6913900827394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12.6025228032309</v>
      </c>
      <c r="D40" s="6" t="n">
        <f aca="false">DEMANDA!$M$36*D$7</f>
        <v>12.6025228032309</v>
      </c>
      <c r="E40" s="6" t="n">
        <f aca="false">DEMANDA!$M$36*E$7</f>
        <v>12.6025228032309</v>
      </c>
      <c r="F40" s="6" t="n">
        <f aca="false">DEMANDA!$M$36*F$7</f>
        <v>12.6025228032309</v>
      </c>
      <c r="G40" s="6" t="n">
        <f aca="false">DEMANDA!$M$36*G$7</f>
        <v>12.6025228032309</v>
      </c>
      <c r="H40" s="6" t="n">
        <f aca="false">DEMANDA!$M$36*H$7</f>
        <v>12.6025228032309</v>
      </c>
      <c r="I40" s="6" t="n">
        <f aca="false">DEMANDA!$M$36*I$7</f>
        <v>12.6025228032309</v>
      </c>
      <c r="J40" s="6" t="n">
        <f aca="false">DEMANDA!$M$36*J$7</f>
        <v>12.6025228032309</v>
      </c>
      <c r="K40" s="6" t="n">
        <f aca="false">DEMANDA!$M$36*K$7</f>
        <v>12.6025228032309</v>
      </c>
      <c r="L40" s="6" t="n">
        <f aca="false">DEMANDA!$M$36*L$7</f>
        <v>12.6025228032309</v>
      </c>
      <c r="M40" s="6" t="n">
        <f aca="false">DEMANDA!$M$36*M$7</f>
        <v>12.6025228032309</v>
      </c>
      <c r="N40" s="6" t="n">
        <f aca="false">DEMANDA!$M$36*N$7</f>
        <v>12.6025228032309</v>
      </c>
      <c r="O40" s="6" t="n">
        <f aca="false">SUM(C40:N40)</f>
        <v>151.230273638771</v>
      </c>
      <c r="P40" s="6" t="n">
        <f aca="false">INDEX(C40:N40,$D$60)</f>
        <v>12.6025228032309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29.7293679146771</v>
      </c>
      <c r="D41" s="6" t="n">
        <f aca="false">DEMANDA!$M$37*D$7</f>
        <v>29.7293679146771</v>
      </c>
      <c r="E41" s="6" t="n">
        <f aca="false">DEMANDA!$M$37*E$7</f>
        <v>29.7293679146771</v>
      </c>
      <c r="F41" s="6" t="n">
        <f aca="false">DEMANDA!$M$37*F$7</f>
        <v>29.7293679146771</v>
      </c>
      <c r="G41" s="6" t="n">
        <f aca="false">DEMANDA!$M$37*G$7</f>
        <v>29.7293679146771</v>
      </c>
      <c r="H41" s="6" t="n">
        <f aca="false">DEMANDA!$M$37*H$7</f>
        <v>29.7293679146771</v>
      </c>
      <c r="I41" s="6" t="n">
        <f aca="false">DEMANDA!$M$37*I$7</f>
        <v>29.7293679146771</v>
      </c>
      <c r="J41" s="6" t="n">
        <f aca="false">DEMANDA!$M$37*J$7</f>
        <v>29.7293679146771</v>
      </c>
      <c r="K41" s="6" t="n">
        <f aca="false">DEMANDA!$M$37*K$7</f>
        <v>29.7293679146771</v>
      </c>
      <c r="L41" s="6" t="n">
        <f aca="false">DEMANDA!$M$37*L$7</f>
        <v>29.7293679146771</v>
      </c>
      <c r="M41" s="6" t="n">
        <f aca="false">DEMANDA!$M$37*M$7</f>
        <v>29.7293679146771</v>
      </c>
      <c r="N41" s="6" t="n">
        <f aca="false">DEMANDA!$M$37*N$7</f>
        <v>29.7293679146771</v>
      </c>
      <c r="O41" s="6" t="n">
        <f aca="false">SUM(C41:N41)</f>
        <v>356.752414976125</v>
      </c>
      <c r="P41" s="6" t="n">
        <f aca="false">INDEX(C41:N41,$D$60)</f>
        <v>29.7293679146771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66.431787089897</v>
      </c>
      <c r="D42" s="6" t="n">
        <f aca="false">DEMANDA!$M$38*D$7</f>
        <v>66.431787089897</v>
      </c>
      <c r="E42" s="6" t="n">
        <f aca="false">DEMANDA!$M$38*E$7</f>
        <v>66.431787089897</v>
      </c>
      <c r="F42" s="6" t="n">
        <f aca="false">DEMANDA!$M$38*F$7</f>
        <v>66.431787089897</v>
      </c>
      <c r="G42" s="6" t="n">
        <f aca="false">DEMANDA!$M$38*G$7</f>
        <v>66.431787089897</v>
      </c>
      <c r="H42" s="6" t="n">
        <f aca="false">DEMANDA!$M$38*H$7</f>
        <v>66.431787089897</v>
      </c>
      <c r="I42" s="6" t="n">
        <f aca="false">DEMANDA!$M$38*I$7</f>
        <v>66.431787089897</v>
      </c>
      <c r="J42" s="6" t="n">
        <f aca="false">DEMANDA!$M$38*J$7</f>
        <v>66.431787089897</v>
      </c>
      <c r="K42" s="6" t="n">
        <f aca="false">DEMANDA!$M$38*K$7</f>
        <v>66.431787089897</v>
      </c>
      <c r="L42" s="6" t="n">
        <f aca="false">DEMANDA!$M$38*L$7</f>
        <v>66.431787089897</v>
      </c>
      <c r="M42" s="6" t="n">
        <f aca="false">DEMANDA!$M$38*M$7</f>
        <v>66.431787089897</v>
      </c>
      <c r="N42" s="6" t="n">
        <f aca="false">DEMANDA!$M$38*N$7</f>
        <v>66.431787089897</v>
      </c>
      <c r="O42" s="6" t="n">
        <f aca="false">SUM(C42:N42)</f>
        <v>797.181445078764</v>
      </c>
      <c r="P42" s="6" t="n">
        <f aca="false">INDEX(C42:N42,$D$60)</f>
        <v>66.431787089897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14.2700965916265</v>
      </c>
      <c r="D43" s="6" t="n">
        <f aca="false">DEMANDA!$M$39*D$7</f>
        <v>14.2700965916265</v>
      </c>
      <c r="E43" s="6" t="n">
        <f aca="false">DEMANDA!$M$39*E$7</f>
        <v>14.2700965916265</v>
      </c>
      <c r="F43" s="6" t="n">
        <f aca="false">DEMANDA!$M$39*F$7</f>
        <v>14.2700965916265</v>
      </c>
      <c r="G43" s="6" t="n">
        <f aca="false">DEMANDA!$M$39*G$7</f>
        <v>14.2700965916265</v>
      </c>
      <c r="H43" s="6" t="n">
        <f aca="false">DEMANDA!$M$39*H$7</f>
        <v>14.2700965916265</v>
      </c>
      <c r="I43" s="6" t="n">
        <f aca="false">DEMANDA!$M$39*I$7</f>
        <v>14.2700965916265</v>
      </c>
      <c r="J43" s="6" t="n">
        <f aca="false">DEMANDA!$M$39*J$7</f>
        <v>14.2700965916265</v>
      </c>
      <c r="K43" s="6" t="n">
        <f aca="false">DEMANDA!$M$39*K$7</f>
        <v>14.2700965916265</v>
      </c>
      <c r="L43" s="6" t="n">
        <f aca="false">DEMANDA!$M$39*L$7</f>
        <v>14.2700965916265</v>
      </c>
      <c r="M43" s="6" t="n">
        <f aca="false">DEMANDA!$M$39*M$7</f>
        <v>14.2700965916265</v>
      </c>
      <c r="N43" s="6" t="n">
        <f aca="false">DEMANDA!$M$39*N$7</f>
        <v>14.2700965916265</v>
      </c>
      <c r="O43" s="6" t="n">
        <f aca="false">SUM(C43:N43)</f>
        <v>171.241159099518</v>
      </c>
      <c r="P43" s="6" t="n">
        <f aca="false">INDEX(C43:N43,$D$60)</f>
        <v>14.2700965916265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9.77019215809039</v>
      </c>
      <c r="D44" s="6" t="n">
        <f aca="false">DEMANDA!$M$40*D$7</f>
        <v>9.77019215809039</v>
      </c>
      <c r="E44" s="6" t="n">
        <f aca="false">DEMANDA!$M$40*E$7</f>
        <v>9.77019215809039</v>
      </c>
      <c r="F44" s="6" t="n">
        <f aca="false">DEMANDA!$M$40*F$7</f>
        <v>9.77019215809039</v>
      </c>
      <c r="G44" s="6" t="n">
        <f aca="false">DEMANDA!$M$40*G$7</f>
        <v>9.77019215809039</v>
      </c>
      <c r="H44" s="6" t="n">
        <f aca="false">DEMANDA!$M$40*H$7</f>
        <v>9.77019215809039</v>
      </c>
      <c r="I44" s="6" t="n">
        <f aca="false">DEMANDA!$M$40*I$7</f>
        <v>9.77019215809039</v>
      </c>
      <c r="J44" s="6" t="n">
        <f aca="false">DEMANDA!$M$40*J$7</f>
        <v>9.77019215809039</v>
      </c>
      <c r="K44" s="6" t="n">
        <f aca="false">DEMANDA!$M$40*K$7</f>
        <v>9.77019215809039</v>
      </c>
      <c r="L44" s="6" t="n">
        <f aca="false">DEMANDA!$M$40*L$7</f>
        <v>9.77019215809039</v>
      </c>
      <c r="M44" s="6" t="n">
        <f aca="false">DEMANDA!$M$40*M$7</f>
        <v>9.77019215809039</v>
      </c>
      <c r="N44" s="6" t="n">
        <f aca="false">DEMANDA!$M$40*N$7</f>
        <v>9.77019215809039</v>
      </c>
      <c r="O44" s="6" t="n">
        <f aca="false">SUM(C44:N44)</f>
        <v>117.242305897085</v>
      </c>
      <c r="P44" s="6" t="n">
        <f aca="false">INDEX(C44:N44,$D$60)</f>
        <v>9.77019215809039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10726.1803276517</v>
      </c>
      <c r="D45" s="9" t="n">
        <f aca="false">SUM(D28:D44)</f>
        <v>10726.1803276517</v>
      </c>
      <c r="E45" s="9" t="n">
        <f aca="false">SUM(E28:E44)</f>
        <v>10726.1803276517</v>
      </c>
      <c r="F45" s="9" t="n">
        <f aca="false">SUM(F28:F44)</f>
        <v>10726.1803276517</v>
      </c>
      <c r="G45" s="9" t="n">
        <f aca="false">SUM(G28:G44)</f>
        <v>10726.1803276517</v>
      </c>
      <c r="H45" s="9" t="n">
        <f aca="false">SUM(H28:H44)</f>
        <v>10726.1803276517</v>
      </c>
      <c r="I45" s="9" t="n">
        <f aca="false">SUM(I28:I44)</f>
        <v>10726.1803276517</v>
      </c>
      <c r="J45" s="9" t="n">
        <f aca="false">SUM(J28:J44)</f>
        <v>10726.1803276517</v>
      </c>
      <c r="K45" s="9" t="n">
        <f aca="false">SUM(K28:K44)</f>
        <v>10726.1803276517</v>
      </c>
      <c r="L45" s="9" t="n">
        <f aca="false">SUM(L28:L44)</f>
        <v>10726.1803276517</v>
      </c>
      <c r="M45" s="9" t="n">
        <f aca="false">SUM(M28:M44)</f>
        <v>10726.1803276517</v>
      </c>
      <c r="N45" s="9" t="n">
        <f aca="false">SUM(N28:N44)</f>
        <v>10726.1803276517</v>
      </c>
      <c r="O45" s="9" t="n">
        <f aca="false">SUM(O28:O44)</f>
        <v>128714.163931821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290.874932244082</v>
      </c>
      <c r="D46" s="6" t="n">
        <f aca="false">DEMANDA!$M$42*D$5</f>
        <v>232.699945795266</v>
      </c>
      <c r="E46" s="6" t="n">
        <f aca="false">DEMANDA!$M$42*E$5</f>
        <v>247.24369240747</v>
      </c>
      <c r="F46" s="6" t="n">
        <f aca="false">DEMANDA!$M$42*F$5</f>
        <v>247.24369240747</v>
      </c>
      <c r="G46" s="6" t="n">
        <f aca="false">DEMANDA!$M$42*G$5</f>
        <v>232.699945795266</v>
      </c>
      <c r="H46" s="6" t="n">
        <f aca="false">DEMANDA!$M$42*H$5</f>
        <v>218.156199183062</v>
      </c>
      <c r="I46" s="6" t="n">
        <f aca="false">DEMANDA!$M$42*I$5</f>
        <v>232.699945795266</v>
      </c>
      <c r="J46" s="6" t="n">
        <f aca="false">DEMANDA!$M$42*J$5</f>
        <v>232.699945795266</v>
      </c>
      <c r="K46" s="6" t="n">
        <f aca="false">DEMANDA!$M$42*K$5</f>
        <v>232.699945795266</v>
      </c>
      <c r="L46" s="6" t="n">
        <f aca="false">DEMANDA!$M$42*L$5</f>
        <v>218.156199183062</v>
      </c>
      <c r="M46" s="6" t="n">
        <f aca="false">DEMANDA!$M$42*M$5</f>
        <v>203.612452570858</v>
      </c>
      <c r="N46" s="6" t="n">
        <f aca="false">DEMANDA!$M$42*N$5</f>
        <v>319.962425468491</v>
      </c>
      <c r="O46" s="6" t="n">
        <f aca="false">SUM(C46:N46)</f>
        <v>2908.74932244083</v>
      </c>
      <c r="P46" s="6" t="n">
        <f aca="false">INDEX(C46:N46,$D$61)</f>
        <v>319.962425468491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97.166283030305</v>
      </c>
      <c r="D47" s="6" t="n">
        <f aca="false">DEMANDA!$M$43*D$5</f>
        <v>77.733026424244</v>
      </c>
      <c r="E47" s="6" t="n">
        <f aca="false">DEMANDA!$M$43*E$5</f>
        <v>82.5913405757592</v>
      </c>
      <c r="F47" s="6" t="n">
        <f aca="false">DEMANDA!$M$43*F$5</f>
        <v>82.5913405757592</v>
      </c>
      <c r="G47" s="6" t="n">
        <f aca="false">DEMANDA!$M$43*G$5</f>
        <v>77.733026424244</v>
      </c>
      <c r="H47" s="6" t="n">
        <f aca="false">DEMANDA!$M$43*H$5</f>
        <v>72.8747122727287</v>
      </c>
      <c r="I47" s="6" t="n">
        <f aca="false">DEMANDA!$M$43*I$5</f>
        <v>77.733026424244</v>
      </c>
      <c r="J47" s="6" t="n">
        <f aca="false">DEMANDA!$M$43*J$5</f>
        <v>77.733026424244</v>
      </c>
      <c r="K47" s="6" t="n">
        <f aca="false">DEMANDA!$M$43*K$5</f>
        <v>77.733026424244</v>
      </c>
      <c r="L47" s="6" t="n">
        <f aca="false">DEMANDA!$M$43*L$5</f>
        <v>72.8747122727287</v>
      </c>
      <c r="M47" s="6" t="n">
        <f aca="false">DEMANDA!$M$43*M$5</f>
        <v>68.0163981212135</v>
      </c>
      <c r="N47" s="6" t="n">
        <f aca="false">DEMANDA!$M$43*N$5</f>
        <v>106.882911333335</v>
      </c>
      <c r="O47" s="6" t="n">
        <f aca="false">SUM(C47:N47)</f>
        <v>971.66283030305</v>
      </c>
      <c r="P47" s="6" t="n">
        <f aca="false">INDEX(C47:N47,$D$61)</f>
        <v>106.882911333335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35.4035646615628</v>
      </c>
      <c r="D48" s="6" t="n">
        <f aca="false">DEMANDA!$M$44*D$6</f>
        <v>31.2384394072613</v>
      </c>
      <c r="E48" s="6" t="n">
        <f aca="false">DEMANDA!$M$44*E$6</f>
        <v>37.4861272887136</v>
      </c>
      <c r="F48" s="6" t="n">
        <f aca="false">DEMANDA!$M$44*F$6</f>
        <v>37.4861272887136</v>
      </c>
      <c r="G48" s="6" t="n">
        <f aca="false">DEMANDA!$M$44*G$6</f>
        <v>37.4861272887136</v>
      </c>
      <c r="H48" s="6" t="n">
        <f aca="false">DEMANDA!$M$44*H$6</f>
        <v>33.3210020344121</v>
      </c>
      <c r="I48" s="6" t="n">
        <f aca="false">DEMANDA!$M$44*I$6</f>
        <v>37.4861272887136</v>
      </c>
      <c r="J48" s="6" t="n">
        <f aca="false">DEMANDA!$M$44*J$6</f>
        <v>37.4861272887136</v>
      </c>
      <c r="K48" s="6" t="n">
        <f aca="false">DEMANDA!$M$44*K$6</f>
        <v>35.4035646615628</v>
      </c>
      <c r="L48" s="6" t="n">
        <f aca="false">DEMANDA!$M$44*L$6</f>
        <v>31.2384394072613</v>
      </c>
      <c r="M48" s="6" t="n">
        <f aca="false">DEMANDA!$M$44*M$6</f>
        <v>29.1558767801106</v>
      </c>
      <c r="N48" s="6" t="n">
        <f aca="false">DEMANDA!$M$44*N$6</f>
        <v>33.3210020344121</v>
      </c>
      <c r="O48" s="6" t="n">
        <f aca="false">SUM(C48:N48)</f>
        <v>416.512525430151</v>
      </c>
      <c r="P48" s="6" t="n">
        <f aca="false">INDEX(C48:N48,$D$61)</f>
        <v>33.3210020344121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27.7772028115647</v>
      </c>
      <c r="D49" s="6" t="n">
        <f aca="false">DEMANDA!$M$45*D$5</f>
        <v>22.2217622492518</v>
      </c>
      <c r="E49" s="6" t="n">
        <f aca="false">DEMANDA!$M$45*E$5</f>
        <v>23.61062238983</v>
      </c>
      <c r="F49" s="6" t="n">
        <f aca="false">DEMANDA!$M$45*F$5</f>
        <v>23.61062238983</v>
      </c>
      <c r="G49" s="6" t="n">
        <f aca="false">DEMANDA!$M$45*G$5</f>
        <v>22.2217622492518</v>
      </c>
      <c r="H49" s="6" t="n">
        <f aca="false">DEMANDA!$M$45*H$5</f>
        <v>20.8329021086735</v>
      </c>
      <c r="I49" s="6" t="n">
        <f aca="false">DEMANDA!$M$45*I$5</f>
        <v>22.2217622492518</v>
      </c>
      <c r="J49" s="6" t="n">
        <f aca="false">DEMANDA!$M$45*J$5</f>
        <v>22.2217622492518</v>
      </c>
      <c r="K49" s="6" t="n">
        <f aca="false">DEMANDA!$M$45*K$5</f>
        <v>22.2217622492518</v>
      </c>
      <c r="L49" s="6" t="n">
        <f aca="false">DEMANDA!$M$45*L$5</f>
        <v>20.8329021086735</v>
      </c>
      <c r="M49" s="6" t="n">
        <f aca="false">DEMANDA!$M$45*M$5</f>
        <v>19.4440419680953</v>
      </c>
      <c r="N49" s="6" t="n">
        <f aca="false">DEMANDA!$M$45*N$5</f>
        <v>30.5549230927212</v>
      </c>
      <c r="O49" s="6" t="n">
        <f aca="false">SUM(C49:N49)</f>
        <v>277.772028115647</v>
      </c>
      <c r="P49" s="6" t="n">
        <f aca="false">INDEX(C49:N49,$D$61)</f>
        <v>30.5549230927212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165.088180111984</v>
      </c>
      <c r="D50" s="6" t="n">
        <f aca="false">DEMANDA!$M$46*D$5</f>
        <v>132.070544089587</v>
      </c>
      <c r="E50" s="6" t="n">
        <f aca="false">DEMANDA!$M$46*E$5</f>
        <v>140.324953095186</v>
      </c>
      <c r="F50" s="6" t="n">
        <f aca="false">DEMANDA!$M$46*F$5</f>
        <v>140.324953095186</v>
      </c>
      <c r="G50" s="6" t="n">
        <f aca="false">DEMANDA!$M$46*G$5</f>
        <v>132.070544089587</v>
      </c>
      <c r="H50" s="6" t="n">
        <f aca="false">DEMANDA!$M$46*H$5</f>
        <v>123.816135083988</v>
      </c>
      <c r="I50" s="6" t="n">
        <f aca="false">DEMANDA!$M$46*I$5</f>
        <v>132.070544089587</v>
      </c>
      <c r="J50" s="6" t="n">
        <f aca="false">DEMANDA!$M$46*J$5</f>
        <v>132.070544089587</v>
      </c>
      <c r="K50" s="6" t="n">
        <f aca="false">DEMANDA!$M$46*K$5</f>
        <v>132.070544089587</v>
      </c>
      <c r="L50" s="6" t="n">
        <f aca="false">DEMANDA!$M$46*L$5</f>
        <v>123.816135083988</v>
      </c>
      <c r="M50" s="6" t="n">
        <f aca="false">DEMANDA!$M$46*M$5</f>
        <v>115.561726078389</v>
      </c>
      <c r="N50" s="6" t="n">
        <f aca="false">DEMANDA!$M$46*N$5</f>
        <v>181.596998123182</v>
      </c>
      <c r="O50" s="6" t="n">
        <f aca="false">SUM(C50:N50)</f>
        <v>1650.88180111984</v>
      </c>
      <c r="P50" s="6" t="n">
        <f aca="false">INDEX(C50:N50,$D$61)</f>
        <v>181.596998123182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377.788529798011</v>
      </c>
      <c r="D52" s="6" t="n">
        <f aca="false">DEMANDA!$M$48*D$5</f>
        <v>302.230823838408</v>
      </c>
      <c r="E52" s="6" t="n">
        <f aca="false">DEMANDA!$M$48*E$5</f>
        <v>321.120250328309</v>
      </c>
      <c r="F52" s="6" t="n">
        <f aca="false">DEMANDA!$M$48*F$5</f>
        <v>321.120250328309</v>
      </c>
      <c r="G52" s="6" t="n">
        <f aca="false">DEMANDA!$M$48*G$5</f>
        <v>302.230823838408</v>
      </c>
      <c r="H52" s="6" t="n">
        <f aca="false">DEMANDA!$M$48*H$5</f>
        <v>283.341397348508</v>
      </c>
      <c r="I52" s="6" t="n">
        <f aca="false">DEMANDA!$M$48*I$5</f>
        <v>302.230823838408</v>
      </c>
      <c r="J52" s="6" t="n">
        <f aca="false">DEMANDA!$M$48*J$5</f>
        <v>302.230823838408</v>
      </c>
      <c r="K52" s="6" t="n">
        <f aca="false">DEMANDA!$M$48*K$5</f>
        <v>302.230823838408</v>
      </c>
      <c r="L52" s="6" t="n">
        <f aca="false">DEMANDA!$M$48*L$5</f>
        <v>283.341397348508</v>
      </c>
      <c r="M52" s="6" t="n">
        <f aca="false">DEMANDA!$M$48*M$5</f>
        <v>264.451970858607</v>
      </c>
      <c r="N52" s="6" t="n">
        <f aca="false">DEMANDA!$M$48*N$5</f>
        <v>415.567382777812</v>
      </c>
      <c r="O52" s="6" t="n">
        <f aca="false">SUM(C52:N52)</f>
        <v>3777.88529798011</v>
      </c>
      <c r="P52" s="6" t="n">
        <f aca="false">INDEX(C52:N52,$D$61)</f>
        <v>415.567382777812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74.4210555144654</v>
      </c>
      <c r="D53" s="6" t="n">
        <f aca="false">DEMANDA!$M$49*D$5</f>
        <v>59.5368444115723</v>
      </c>
      <c r="E53" s="6" t="n">
        <f aca="false">DEMANDA!$M$49*E$5</f>
        <v>63.2578971872956</v>
      </c>
      <c r="F53" s="6" t="n">
        <f aca="false">DEMANDA!$M$49*F$5</f>
        <v>63.2578971872956</v>
      </c>
      <c r="G53" s="6" t="n">
        <f aca="false">DEMANDA!$M$49*G$5</f>
        <v>59.5368444115723</v>
      </c>
      <c r="H53" s="6" t="n">
        <f aca="false">DEMANDA!$M$49*H$5</f>
        <v>55.8157916358491</v>
      </c>
      <c r="I53" s="6" t="n">
        <f aca="false">DEMANDA!$M$49*I$5</f>
        <v>59.5368444115723</v>
      </c>
      <c r="J53" s="6" t="n">
        <f aca="false">DEMANDA!$M$49*J$5</f>
        <v>59.5368444115723</v>
      </c>
      <c r="K53" s="6" t="n">
        <f aca="false">DEMANDA!$M$49*K$5</f>
        <v>59.5368444115723</v>
      </c>
      <c r="L53" s="6" t="n">
        <f aca="false">DEMANDA!$M$49*L$5</f>
        <v>55.8157916358491</v>
      </c>
      <c r="M53" s="6" t="n">
        <f aca="false">DEMANDA!$M$49*M$5</f>
        <v>52.0947388601258</v>
      </c>
      <c r="N53" s="6" t="n">
        <f aca="false">DEMANDA!$M$49*N$5</f>
        <v>81.863161065912</v>
      </c>
      <c r="O53" s="6" t="n">
        <f aca="false">SUM(C53:N53)</f>
        <v>744.210555144654</v>
      </c>
      <c r="P53" s="6" t="n">
        <f aca="false">INDEX(C53:N53,$D$61)</f>
        <v>81.863161065912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27.7429635543129</v>
      </c>
      <c r="D54" s="6" t="n">
        <f aca="false">DEMANDA!$M$50*D$5</f>
        <v>22.1943708434504</v>
      </c>
      <c r="E54" s="6" t="n">
        <f aca="false">DEMANDA!$M$50*E$5</f>
        <v>23.581519021166</v>
      </c>
      <c r="F54" s="6" t="n">
        <f aca="false">DEMANDA!$M$50*F$5</f>
        <v>23.581519021166</v>
      </c>
      <c r="G54" s="6" t="n">
        <f aca="false">DEMANDA!$M$50*G$5</f>
        <v>22.1943708434504</v>
      </c>
      <c r="H54" s="6" t="n">
        <f aca="false">DEMANDA!$M$50*H$5</f>
        <v>20.8072226657347</v>
      </c>
      <c r="I54" s="6" t="n">
        <f aca="false">DEMANDA!$M$50*I$5</f>
        <v>22.1943708434504</v>
      </c>
      <c r="J54" s="6" t="n">
        <f aca="false">DEMANDA!$M$50*J$5</f>
        <v>22.1943708434504</v>
      </c>
      <c r="K54" s="6" t="n">
        <f aca="false">DEMANDA!$M$50*K$5</f>
        <v>22.1943708434504</v>
      </c>
      <c r="L54" s="6" t="n">
        <f aca="false">DEMANDA!$M$50*L$5</f>
        <v>20.8072226657347</v>
      </c>
      <c r="M54" s="6" t="n">
        <f aca="false">DEMANDA!$M$50*M$5</f>
        <v>19.4200744880191</v>
      </c>
      <c r="N54" s="6" t="n">
        <f aca="false">DEMANDA!$M$50*N$5</f>
        <v>30.5172599097442</v>
      </c>
      <c r="O54" s="6" t="n">
        <f aca="false">SUM(C54:N54)</f>
        <v>277.429635543129</v>
      </c>
      <c r="P54" s="6" t="n">
        <f aca="false">INDEX(C54:N54,$D$61)</f>
        <v>30.5172599097442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1796.79044872629</v>
      </c>
      <c r="D55" s="9" t="n">
        <f aca="false">SUM(D46:D54)</f>
        <v>1440.34794665904</v>
      </c>
      <c r="E55" s="9" t="n">
        <f aca="false">SUM(E46:E54)</f>
        <v>1534.66497874373</v>
      </c>
      <c r="F55" s="9" t="n">
        <f aca="false">SUM(F46:F54)</f>
        <v>1534.66497874373</v>
      </c>
      <c r="G55" s="9" t="n">
        <f aca="false">SUM(G46:G54)</f>
        <v>1446.59563454049</v>
      </c>
      <c r="H55" s="9" t="n">
        <f aca="false">SUM(H46:H54)</f>
        <v>1354.36116508296</v>
      </c>
      <c r="I55" s="9" t="n">
        <f aca="false">SUM(I46:I54)</f>
        <v>1446.59563454049</v>
      </c>
      <c r="J55" s="9" t="n">
        <f aca="false">SUM(J46:J54)</f>
        <v>1446.59563454049</v>
      </c>
      <c r="K55" s="9" t="n">
        <f aca="false">SUM(K46:K54)</f>
        <v>1444.51307191334</v>
      </c>
      <c r="L55" s="9" t="n">
        <f aca="false">SUM(L46:L54)</f>
        <v>1352.27860245581</v>
      </c>
      <c r="M55" s="9" t="n">
        <f aca="false">SUM(M46:M54)</f>
        <v>1262.12669562542</v>
      </c>
      <c r="N55" s="9" t="n">
        <f aca="false">SUM(N46:N54)</f>
        <v>1970.84657450561</v>
      </c>
      <c r="O55" s="9" t="n">
        <f aca="false">SUM(O46:O54)</f>
        <v>18030.3813660774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33478.8804663038</v>
      </c>
      <c r="F58" s="6" t="n">
        <f aca="false">O18/12</f>
        <v>23827.7833901544</v>
      </c>
      <c r="G58" s="10" t="n">
        <f aca="false">E58/F58</f>
        <v>1.40503545454158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279.135275586835</v>
      </c>
      <c r="F59" s="6" t="n">
        <f aca="false">O27/12</f>
        <v>258.458588506329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10726.1803276517</v>
      </c>
      <c r="F60" s="6" t="n">
        <f aca="false">O45/12</f>
        <v>10726.1803276517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1970.84657450561</v>
      </c>
      <c r="F61" s="6" t="n">
        <f aca="false">O55/12</f>
        <v>1502.53178050645</v>
      </c>
      <c r="G61" s="10" t="n">
        <f aca="false">E61/F61</f>
        <v>1.31168378604365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2731.34375706862</v>
      </c>
      <c r="I4" s="9" t="n">
        <f aca="false">DEMANDA!D11</f>
        <v>92.5179666750354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5501.04139098481</v>
      </c>
      <c r="I5" s="9" t="n">
        <f aca="false">DEMANDA!E11</f>
        <v>178.308713674805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7222.1537134248</v>
      </c>
      <c r="I6" s="9" t="n">
        <f aca="false">DEMANDA!F11</f>
        <v>255.461125950753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10448.1917618585</v>
      </c>
      <c r="I7" s="9" t="n">
        <f aca="false">DEMANDA!G11</f>
        <v>361.649855368688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14524.6269198752</v>
      </c>
      <c r="I8" s="9" t="n">
        <f aca="false">DEMANDA!H11</f>
        <v>606.176316882429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18771.6130102606</v>
      </c>
      <c r="I9" s="9" t="n">
        <f aca="false">DEMANDA!I11</f>
        <v>876.902058785097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22667.8247447793</v>
      </c>
      <c r="I10" s="9" t="n">
        <f aca="false">DEMANDA!J11</f>
        <v>1130.96110255495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26029.3111811951</v>
      </c>
      <c r="I11" s="9" t="n">
        <f aca="false">DEMANDA!K11</f>
        <v>1398.02987592251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28633.4511026285</v>
      </c>
      <c r="I12" s="9" t="n">
        <f aca="false">DEMANDA!L11</f>
        <v>1615.02071606564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32449.6411612163</v>
      </c>
      <c r="I13" s="9" t="n">
        <f aca="false">DEMANDA!M11</f>
        <v>1843.26194663625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3569.46052773379</v>
      </c>
      <c r="I14" s="9" t="n">
        <f aca="false">ESTACIONALIDAD!P13</f>
        <v>202.758814129988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227.611979755718</v>
      </c>
      <c r="O18" s="13" t="n">
        <f aca="false">SUMPRODUCT($F18:$M18,$F$5:$M$5)</f>
        <v>458.420115915401</v>
      </c>
      <c r="P18" s="13" t="n">
        <f aca="false">SUMPRODUCT($F18:$M18,$F$6:$M$6)</f>
        <v>725.079476118734</v>
      </c>
      <c r="Q18" s="13" t="n">
        <f aca="false">SUMPRODUCT($F18:$M18,$F$7:$M$7)</f>
        <v>1300.01598015487</v>
      </c>
      <c r="R18" s="13" t="n">
        <f aca="false">SUMPRODUCT($F18:$M18,$F$8:$M$8)</f>
        <v>2005.45224332293</v>
      </c>
      <c r="S18" s="13" t="n">
        <f aca="false">SUMPRODUCT($F18:$M18,$F$9:$M$9)</f>
        <v>2717.15108418838</v>
      </c>
      <c r="T18" s="13" t="n">
        <f aca="false">SUMPRODUCT($F18:$M18,$F$10:$M$10)</f>
        <v>3518.86872873161</v>
      </c>
      <c r="U18" s="13" t="n">
        <f aca="false">SUMPRODUCT($F18:$M18,$F$11:$M$11)</f>
        <v>4276.02593176626</v>
      </c>
      <c r="V18" s="13" t="n">
        <f aca="false">SUMPRODUCT($F18:$M18,$F$12:$M$12)</f>
        <v>4747.43759188571</v>
      </c>
      <c r="W18" s="13" t="n">
        <f aca="false">SUMPRODUCT($F18:$M18,$F$13:$M$13)</f>
        <v>5447.05343010136</v>
      </c>
      <c r="X18" s="13" t="n">
        <f aca="false">SUMPRODUCT($F18:$M18,$F$14:$M$14)</f>
        <v>599.175877311149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6.16786444500236</v>
      </c>
      <c r="O19" s="13" t="n">
        <f aca="false">SUMPRODUCT($F19:$M19,$F$5:$M$5)</f>
        <v>11.8872475783203</v>
      </c>
      <c r="P19" s="13" t="n">
        <f aca="false">SUMPRODUCT($F19:$M19,$F$6:$M$6)</f>
        <v>23.0574083967169</v>
      </c>
      <c r="Q19" s="13" t="n">
        <f aca="false">SUMPRODUCT($F19:$M19,$F$7:$M$7)</f>
        <v>45.1099903579125</v>
      </c>
      <c r="R19" s="13" t="n">
        <f aca="false">SUMPRODUCT($F19:$M19,$F$8:$M$8)</f>
        <v>79.3050877921619</v>
      </c>
      <c r="S19" s="13" t="n">
        <f aca="false">SUMPRODUCT($F19:$M19,$F$9:$M$9)</f>
        <v>114.846803919006</v>
      </c>
      <c r="T19" s="13" t="n">
        <f aca="false">SUMPRODUCT($F19:$M19,$F$10:$M$10)</f>
        <v>155.09074017033</v>
      </c>
      <c r="U19" s="13" t="n">
        <f aca="false">SUMPRODUCT($F19:$M19,$F$11:$M$11)</f>
        <v>196.201991728167</v>
      </c>
      <c r="V19" s="13" t="n">
        <f aca="false">SUMPRODUCT($F19:$M19,$F$12:$M$12)</f>
        <v>223.094714404376</v>
      </c>
      <c r="W19" s="13" t="n">
        <f aca="false">SUMPRODUCT($F19:$M19,$F$13:$M$13)</f>
        <v>256.950796442417</v>
      </c>
      <c r="X19" s="13" t="n">
        <f aca="false">SUMPRODUCT($F19:$M19,$F$14:$M$14)</f>
        <v>28.2645876086658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1921.11794497178</v>
      </c>
      <c r="O23" s="13" t="n">
        <f aca="false">SUMPRODUCT($F23:$M23,$F$5:$M$5)</f>
        <v>3869.21247276308</v>
      </c>
      <c r="P23" s="13" t="n">
        <f aca="false">SUMPRODUCT($F23:$M23,$F$6:$M$6)</f>
        <v>6119.90280387447</v>
      </c>
      <c r="Q23" s="13" t="n">
        <f aca="false">SUMPRODUCT($F23:$M23,$F$7:$M$7)</f>
        <v>10972.5508776208</v>
      </c>
      <c r="R23" s="13" t="n">
        <f aca="false">SUMPRODUCT($F23:$M23,$F$8:$M$8)</f>
        <v>16926.6586783634</v>
      </c>
      <c r="S23" s="13" t="n">
        <f aca="false">SUMPRODUCT($F23:$M23,$F$9:$M$9)</f>
        <v>22933.6246388969</v>
      </c>
      <c r="T23" s="13" t="n">
        <f aca="false">SUMPRODUCT($F23:$M23,$F$10:$M$10)</f>
        <v>29700.378108488</v>
      </c>
      <c r="U23" s="13" t="n">
        <f aca="false">SUMPRODUCT($F23:$M23,$F$11:$M$11)</f>
        <v>36091.0271924054</v>
      </c>
      <c r="V23" s="13" t="n">
        <f aca="false">SUMPRODUCT($F23:$M23,$F$12:$M$12)</f>
        <v>40069.8924555448</v>
      </c>
      <c r="W23" s="13" t="n">
        <f aca="false">SUMPRODUCT($F23:$M23,$F$13:$M$13)</f>
        <v>45974.8740071531</v>
      </c>
      <c r="X23" s="13" t="n">
        <f aca="false">SUMPRODUCT($F23:$M23,$F$14:$M$14)</f>
        <v>5057.23614078684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1235.00439319615</v>
      </c>
      <c r="O24" s="13" t="n">
        <f aca="false">SUMPRODUCT($F24:$M24,$F$5:$M$5)</f>
        <v>2487.35087534769</v>
      </c>
      <c r="P24" s="13" t="n">
        <f aca="false">SUMPRODUCT($F24:$M24,$F$6:$M$6)</f>
        <v>3934.22323106216</v>
      </c>
      <c r="Q24" s="13" t="n">
        <f aca="false">SUMPRODUCT($F24:$M24,$F$7:$M$7)</f>
        <v>7053.78270704193</v>
      </c>
      <c r="R24" s="13" t="n">
        <f aca="false">SUMPRODUCT($F24:$M24,$F$8:$M$8)</f>
        <v>10881.4234360908</v>
      </c>
      <c r="S24" s="13" t="n">
        <f aca="false">SUMPRODUCT($F24:$M24,$F$9:$M$9)</f>
        <v>14743.0444107194</v>
      </c>
      <c r="T24" s="13" t="n">
        <f aca="false">SUMPRODUCT($F24:$M24,$F$10:$M$10)</f>
        <v>19093.1002125994</v>
      </c>
      <c r="U24" s="13" t="n">
        <f aca="false">SUMPRODUCT($F24:$M24,$F$11:$M$11)</f>
        <v>23201.3746236892</v>
      </c>
      <c r="V24" s="13" t="n">
        <f aca="false">SUMPRODUCT($F24:$M24,$F$12:$M$12)</f>
        <v>25759.2165785645</v>
      </c>
      <c r="W24" s="13" t="n">
        <f aca="false">SUMPRODUCT($F24:$M24,$F$13:$M$13)</f>
        <v>29555.2761474556</v>
      </c>
      <c r="X24" s="13" t="n">
        <f aca="false">SUMPRODUCT($F24:$M24,$F$14:$M$14)</f>
        <v>3251.08037622011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90.9866092906303</v>
      </c>
      <c r="O25" s="13" t="n">
        <f aca="false">SUMPRODUCT($F25:$M25,$F$5:$M$5)</f>
        <v>175.35734784606</v>
      </c>
      <c r="P25" s="13" t="n">
        <f aca="false">SUMPRODUCT($F25:$M25,$F$6:$M$6)</f>
        <v>340.136432594017</v>
      </c>
      <c r="Q25" s="13" t="n">
        <f aca="false">SUMPRODUCT($F25:$M25,$F$7:$M$7)</f>
        <v>665.449946962625</v>
      </c>
      <c r="R25" s="13" t="n">
        <f aca="false">SUMPRODUCT($F25:$M25,$F$8:$M$8)</f>
        <v>1169.88644968539</v>
      </c>
      <c r="S25" s="13" t="n">
        <f aca="false">SUMPRODUCT($F25:$M25,$F$9:$M$9)</f>
        <v>1694.18789430809</v>
      </c>
      <c r="T25" s="13" t="n">
        <f aca="false">SUMPRODUCT($F25:$M25,$F$10:$M$10)</f>
        <v>2287.85517358546</v>
      </c>
      <c r="U25" s="13" t="n">
        <f aca="false">SUMPRODUCT($F25:$M25,$F$11:$M$11)</f>
        <v>2894.31684541624</v>
      </c>
      <c r="V25" s="13" t="n">
        <f aca="false">SUMPRODUCT($F25:$M25,$F$12:$M$12)</f>
        <v>3291.03076037332</v>
      </c>
      <c r="W25" s="13" t="n">
        <f aca="false">SUMPRODUCT($F25:$M25,$F$13:$M$13)</f>
        <v>3790.46620289553</v>
      </c>
      <c r="X25" s="13" t="n">
        <f aca="false">SUMPRODUCT($F25:$M25,$F$14:$M$14)</f>
        <v>416.951282318508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75.2295413215249</v>
      </c>
      <c r="O26" s="13" t="n">
        <f aca="false">SUMPRODUCT($F26:$M26,$F$5:$M$5)</f>
        <v>144.988948908734</v>
      </c>
      <c r="P26" s="13" t="n">
        <f aca="false">SUMPRODUCT($F26:$M26,$F$6:$M$6)</f>
        <v>281.23157913329</v>
      </c>
      <c r="Q26" s="13" t="n">
        <f aca="false">SUMPRODUCT($F26:$M26,$F$7:$M$7)</f>
        <v>550.207274155305</v>
      </c>
      <c r="R26" s="13" t="n">
        <f aca="false">SUMPRODUCT($F26:$M26,$F$8:$M$8)</f>
        <v>967.285424682404</v>
      </c>
      <c r="S26" s="13" t="n">
        <f aca="false">SUMPRODUCT($F26:$M26,$F$9:$M$9)</f>
        <v>1400.78830494898</v>
      </c>
      <c r="T26" s="13" t="n">
        <f aca="false">SUMPRODUCT($F26:$M26,$F$10:$M$10)</f>
        <v>1891.64423930935</v>
      </c>
      <c r="U26" s="13" t="n">
        <f aca="false">SUMPRODUCT($F26:$M26,$F$11:$M$11)</f>
        <v>2393.07883234032</v>
      </c>
      <c r="V26" s="13" t="n">
        <f aca="false">SUMPRODUCT($F26:$M26,$F$12:$M$12)</f>
        <v>2721.0898011056</v>
      </c>
      <c r="W26" s="13" t="n">
        <f aca="false">SUMPRODUCT($F26:$M26,$F$13:$M$13)</f>
        <v>3134.0329754209</v>
      </c>
      <c r="X26" s="13" t="n">
        <f aca="false">SUMPRODUCT($F26:$M26,$F$14:$M$14)</f>
        <v>344.743627296299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3118.89208094365</v>
      </c>
      <c r="O28" s="13" t="n">
        <f aca="false">SUMPRODUCT($F28:$M28,$F$5:$M$5)</f>
        <v>6389.07755495962</v>
      </c>
      <c r="P28" s="13" t="n">
        <f aca="false">SUMPRODUCT($F28:$M28,$F$6:$M$6)</f>
        <v>10333.2828969756</v>
      </c>
      <c r="Q28" s="13" t="n">
        <f aca="false">SUMPRODUCT($F28:$M28,$F$7:$M$7)</f>
        <v>18821.2797912272</v>
      </c>
      <c r="R28" s="13" t="n">
        <f aca="false">SUMPRODUCT($F28:$M28,$F$8:$M$8)</f>
        <v>29500.6309627576</v>
      </c>
      <c r="S28" s="13" t="n">
        <f aca="false">SUMPRODUCT($F28:$M28,$F$9:$M$9)</f>
        <v>40384.3849560457</v>
      </c>
      <c r="T28" s="13" t="n">
        <f aca="false">SUMPRODUCT($F28:$M28,$F$10:$M$10)</f>
        <v>52618.1013713343</v>
      </c>
      <c r="U28" s="13" t="n">
        <f aca="false">SUMPRODUCT($F28:$M28,$F$11:$M$11)</f>
        <v>64482.6476441176</v>
      </c>
      <c r="V28" s="13" t="n">
        <f aca="false">SUMPRODUCT($F28:$M28,$F$12:$M$12)</f>
        <v>72252.2580616941</v>
      </c>
      <c r="W28" s="13" t="n">
        <f aca="false">SUMPRODUCT($F28:$M28,$F$13:$M$13)</f>
        <v>83312.7615518525</v>
      </c>
      <c r="X28" s="13" t="n">
        <f aca="false">SUMPRODUCT($F28:$M28,$F$14:$M$14)</f>
        <v>9164.40377070378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176.217763686105</v>
      </c>
      <c r="O29" s="13" t="n">
        <f aca="false">SUMPRODUCT($F29:$M29,$F$5:$M$5)</f>
        <v>321.796195873664</v>
      </c>
      <c r="P29" s="13" t="n">
        <f aca="false">SUMPRODUCT($F29:$M29,$F$6:$M$6)</f>
        <v>592.258899324069</v>
      </c>
      <c r="Q29" s="13" t="n">
        <f aca="false">SUMPRODUCT($F29:$M29,$F$7:$M$7)</f>
        <v>1208.69211250053</v>
      </c>
      <c r="R29" s="13" t="n">
        <f aca="false">SUMPRODUCT($F29:$M29,$F$8:$M$8)</f>
        <v>1999.00497499609</v>
      </c>
      <c r="S29" s="13" t="n">
        <f aca="false">SUMPRODUCT($F29:$M29,$F$9:$M$9)</f>
        <v>2769.80948340059</v>
      </c>
      <c r="T29" s="13" t="n">
        <f aca="false">SUMPRODUCT($F29:$M29,$F$10:$M$10)</f>
        <v>3727.31828910953</v>
      </c>
      <c r="U29" s="13" t="n">
        <f aca="false">SUMPRODUCT($F29:$M29,$F$11:$M$11)</f>
        <v>4671.71601939238</v>
      </c>
      <c r="V29" s="13" t="n">
        <f aca="false">SUMPRODUCT($F29:$M29,$F$12:$M$12)</f>
        <v>5238.7340583074</v>
      </c>
      <c r="W29" s="13" t="n">
        <f aca="false">SUMPRODUCT($F29:$M29,$F$13:$M$13)</f>
        <v>6044.21972398961</v>
      </c>
      <c r="X29" s="13" t="n">
        <f aca="false">SUMPRODUCT($F29:$M29,$F$14:$M$14)</f>
        <v>695.237003444444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217.642924404375</v>
      </c>
      <c r="O30" s="13" t="n">
        <f aca="false">SUMPRODUCT($F30:$M30,$F$5:$M$5)</f>
        <v>397.438422159869</v>
      </c>
      <c r="P30" s="13" t="n">
        <f aca="false">SUMPRODUCT($F30:$M30,$F$6:$M$6)</f>
        <v>731.487705083672</v>
      </c>
      <c r="Q30" s="13" t="n">
        <f aca="false">SUMPRODUCT($F30:$M30,$F$7:$M$7)</f>
        <v>1492.84964316343</v>
      </c>
      <c r="R30" s="13" t="n">
        <f aca="false">SUMPRODUCT($F30:$M30,$F$8:$M$8)</f>
        <v>2468.9739401681</v>
      </c>
      <c r="S30" s="13" t="n">
        <f aca="false">SUMPRODUCT($F30:$M30,$F$9:$M$9)</f>
        <v>3420.99975268244</v>
      </c>
      <c r="T30" s="13" t="n">
        <f aca="false">SUMPRODUCT($F30:$M30,$F$10:$M$10)</f>
        <v>4603.63489310377</v>
      </c>
      <c r="U30" s="13" t="n">
        <f aca="false">SUMPRODUCT($F30:$M30,$F$11:$M$11)</f>
        <v>5770.07774377644</v>
      </c>
      <c r="V30" s="13" t="n">
        <f aca="false">SUMPRODUCT($F30:$M30,$F$12:$M$12)</f>
        <v>6470.40682181555</v>
      </c>
      <c r="W30" s="13" t="n">
        <f aca="false">SUMPRODUCT($F30:$M30,$F$13:$M$13)</f>
        <v>7465.2691203826</v>
      </c>
      <c r="X30" s="13" t="n">
        <f aca="false">SUMPRODUCT($F30:$M30,$F$14:$M$14)</f>
        <v>858.696469476435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583.810289915492</v>
      </c>
      <c r="O31" s="13" t="n">
        <f aca="false">SUMPRODUCT($F31:$M31,$F$5:$M$5)</f>
        <v>990.910522556769</v>
      </c>
      <c r="P31" s="13" t="n">
        <f aca="false">SUMPRODUCT($F31:$M31,$F$6:$M$6)</f>
        <v>1987.79445239804</v>
      </c>
      <c r="Q31" s="13" t="n">
        <f aca="false">SUMPRODUCT($F31:$M31,$F$7:$M$7)</f>
        <v>4318.65722721817</v>
      </c>
      <c r="R31" s="13" t="n">
        <f aca="false">SUMPRODUCT($F31:$M31,$F$8:$M$8)</f>
        <v>7329.28509382061</v>
      </c>
      <c r="S31" s="13" t="n">
        <f aca="false">SUMPRODUCT($F31:$M31,$F$9:$M$9)</f>
        <v>10214.7870420837</v>
      </c>
      <c r="T31" s="13" t="n">
        <f aca="false">SUMPRODUCT($F31:$M31,$F$10:$M$10)</f>
        <v>13943.3003705067</v>
      </c>
      <c r="U31" s="13" t="n">
        <f aca="false">SUMPRODUCT($F31:$M31,$F$11:$M$11)</f>
        <v>17649.2580899294</v>
      </c>
      <c r="V31" s="13" t="n">
        <f aca="false">SUMPRODUCT($F31:$M31,$F$12:$M$12)</f>
        <v>19811.6315361355</v>
      </c>
      <c r="W31" s="13" t="n">
        <f aca="false">SUMPRODUCT($F31:$M31,$F$13:$M$13)</f>
        <v>22874.6720545482</v>
      </c>
      <c r="X31" s="13" t="n">
        <f aca="false">SUMPRODUCT($F31:$M31,$F$14:$M$14)</f>
        <v>2678.3104373043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107.201505720061</v>
      </c>
      <c r="O32" s="13" t="n">
        <f aca="false">SUMPRODUCT($F32:$M32,$F$5:$M$5)</f>
        <v>196.799339224862</v>
      </c>
      <c r="P32" s="13" t="n">
        <f aca="false">SUMPRODUCT($F32:$M32,$F$6:$M$6)</f>
        <v>359.022690922114</v>
      </c>
      <c r="Q32" s="13" t="n">
        <f aca="false">SUMPRODUCT($F32:$M32,$F$7:$M$7)</f>
        <v>727.243387282477</v>
      </c>
      <c r="R32" s="13" t="n">
        <f aca="false">SUMPRODUCT($F32:$M32,$F$8:$M$8)</f>
        <v>1199.40079309454</v>
      </c>
      <c r="S32" s="13" t="n">
        <f aca="false">SUMPRODUCT($F32:$M32,$F$9:$M$9)</f>
        <v>1660.73001525421</v>
      </c>
      <c r="T32" s="13" t="n">
        <f aca="false">SUMPRODUCT($F32:$M32,$F$10:$M$10)</f>
        <v>2231.10136360789</v>
      </c>
      <c r="U32" s="13" t="n">
        <f aca="false">SUMPRODUCT($F32:$M32,$F$11:$M$11)</f>
        <v>2792.61484433306</v>
      </c>
      <c r="V32" s="13" t="n">
        <f aca="false">SUMPRODUCT($F32:$M32,$F$12:$M$12)</f>
        <v>3129.87429469313</v>
      </c>
      <c r="W32" s="13" t="n">
        <f aca="false">SUMPRODUCT($F32:$M32,$F$13:$M$13)</f>
        <v>3609.5153861869</v>
      </c>
      <c r="X32" s="13" t="n">
        <f aca="false">SUMPRODUCT($F32:$M32,$F$14:$M$14)</f>
        <v>414.271814133537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20145.478491665</v>
      </c>
      <c r="O33" s="13" t="n">
        <f aca="false">SUMPRODUCT($F33:$M33,$F$5:$M$5)</f>
        <v>38247.1707814861</v>
      </c>
      <c r="P33" s="13" t="n">
        <f aca="false">SUMPRODUCT($F33:$M33,$F$6:$M$6)</f>
        <v>49497.8707453179</v>
      </c>
      <c r="Q33" s="13" t="n">
        <f aca="false">SUMPRODUCT($F33:$M33,$F$7:$M$7)</f>
        <v>70196.0532757134</v>
      </c>
      <c r="R33" s="13" t="n">
        <f aca="false">SUMPRODUCT($F33:$M33,$F$8:$M$8)</f>
        <v>100166.383300514</v>
      </c>
      <c r="S33" s="13" t="n">
        <f aca="false">SUMPRODUCT($F33:$M33,$F$9:$M$9)</f>
        <v>130270.446834861</v>
      </c>
      <c r="T33" s="13" t="n">
        <f aca="false">SUMPRODUCT($F33:$M33,$F$10:$M$10)</f>
        <v>160028.638135746</v>
      </c>
      <c r="U33" s="13" t="n">
        <f aca="false">SUMPRODUCT($F33:$M33,$F$11:$M$11)</f>
        <v>187645.620024618</v>
      </c>
      <c r="V33" s="13" t="n">
        <f aca="false">SUMPRODUCT($F33:$M33,$F$12:$M$12)</f>
        <v>209654.461313253</v>
      </c>
      <c r="W33" s="13" t="n">
        <f aca="false">SUMPRODUCT($F33:$M33,$F$13:$M$13)</f>
        <v>238434.420857322</v>
      </c>
      <c r="X33" s="13" t="n">
        <f aca="false">SUMPRODUCT($F33:$M33,$F$14:$M$14)</f>
        <v>26564.5490051704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109.704244985018</v>
      </c>
      <c r="O34" s="13" t="n">
        <f aca="false">SUMPRODUCT($F34:$M34,$F$5:$M$5)</f>
        <v>209.047869500185</v>
      </c>
      <c r="P34" s="13" t="n">
        <f aca="false">SUMPRODUCT($F34:$M34,$F$6:$M$6)</f>
        <v>270.971338917875</v>
      </c>
      <c r="Q34" s="13" t="n">
        <f aca="false">SUMPRODUCT($F34:$M34,$F$7:$M$7)</f>
        <v>384.781727493704</v>
      </c>
      <c r="R34" s="13" t="n">
        <f aca="false">SUMPRODUCT($F34:$M34,$F$8:$M$8)</f>
        <v>549.650775889048</v>
      </c>
      <c r="S34" s="13" t="n">
        <f aca="false">SUMPRODUCT($F34:$M34,$F$9:$M$9)</f>
        <v>715.903519442894</v>
      </c>
      <c r="T34" s="13" t="n">
        <f aca="false">SUMPRODUCT($F34:$M34,$F$10:$M$10)</f>
        <v>879.64090401326</v>
      </c>
      <c r="U34" s="13" t="n">
        <f aca="false">SUMPRODUCT($F34:$M34,$F$11:$M$11)</f>
        <v>1032.13677558648</v>
      </c>
      <c r="V34" s="13" t="n">
        <f aca="false">SUMPRODUCT($F34:$M34,$F$12:$M$12)</f>
        <v>1154.47805229069</v>
      </c>
      <c r="W34" s="13" t="n">
        <f aca="false">SUMPRODUCT($F34:$M34,$F$13:$M$13)</f>
        <v>1313.9995867957</v>
      </c>
      <c r="X34" s="13" t="n">
        <f aca="false">SUMPRODUCT($F34:$M34,$F$14:$M$14)</f>
        <v>146.306087875619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3118.89208094365</v>
      </c>
      <c r="O36" s="13" t="n">
        <f aca="false">SUMPRODUCT($F36:$M36,$F$5:$M$5)</f>
        <v>6389.07755495962</v>
      </c>
      <c r="P36" s="13" t="n">
        <f aca="false">SUMPRODUCT($F36:$M36,$F$6:$M$6)</f>
        <v>8464.48289697556</v>
      </c>
      <c r="Q36" s="13" t="n">
        <f aca="false">SUMPRODUCT($F36:$M36,$F$7:$M$7)</f>
        <v>12310.4797912272</v>
      </c>
      <c r="R36" s="13" t="n">
        <f aca="false">SUMPRODUCT($F36:$M36,$F$8:$M$8)</f>
        <v>17443.4309627576</v>
      </c>
      <c r="S36" s="13" t="n">
        <f aca="false">SUMPRODUCT($F36:$M36,$F$9:$M$9)</f>
        <v>22901.3849560457</v>
      </c>
      <c r="T36" s="13" t="n">
        <f aca="false">SUMPRODUCT($F36:$M36,$F$10:$M$10)</f>
        <v>27901.1013713343</v>
      </c>
      <c r="U36" s="13" t="n">
        <f aca="false">SUMPRODUCT($F36:$M36,$F$11:$M$11)</f>
        <v>32531.6476441176</v>
      </c>
      <c r="V36" s="13" t="n">
        <f aca="false">SUMPRODUCT($F36:$M36,$F$12:$M$12)</f>
        <v>36443.6580616941</v>
      </c>
      <c r="W36" s="13" t="n">
        <f aca="false">SUMPRODUCT($F36:$M36,$F$13:$M$13)</f>
        <v>41717.7615518525</v>
      </c>
      <c r="X36" s="13" t="n">
        <f aca="false">SUMPRODUCT($F36:$M36,$F$14:$M$14)</f>
        <v>4588.95377070378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7297.62862394365</v>
      </c>
      <c r="O37" s="13" t="n">
        <f aca="false">SUMPRODUCT($F37:$M37,$F$5:$M$5)</f>
        <v>12386.3815319596</v>
      </c>
      <c r="P37" s="13" t="n">
        <f aca="false">SUMPRODUCT($F37:$M37,$F$6:$M$6)</f>
        <v>15316.2306549756</v>
      </c>
      <c r="Q37" s="13" t="n">
        <f aca="false">SUMPRODUCT($F37:$M37,$F$7:$M$7)</f>
        <v>20777.6153402272</v>
      </c>
      <c r="R37" s="13" t="n">
        <f aca="false">SUMPRODUCT($F37:$M37,$F$8:$M$8)</f>
        <v>30124.0636727576</v>
      </c>
      <c r="S37" s="13" t="n">
        <f aca="false">SUMPRODUCT($F37:$M37,$F$9:$M$9)</f>
        <v>38521.6380260457</v>
      </c>
      <c r="T37" s="13" t="n">
        <f aca="false">SUMPRODUCT($F37:$M37,$F$10:$M$10)</f>
        <v>48233.6546313343</v>
      </c>
      <c r="U37" s="13" t="n">
        <f aca="false">SUMPRODUCT($F37:$M37,$F$11:$M$11)</f>
        <v>57663.7261241176</v>
      </c>
      <c r="V37" s="13" t="n">
        <f aca="false">SUMPRODUCT($F37:$M37,$F$12:$M$12)</f>
        <v>65016.9942016941</v>
      </c>
      <c r="W37" s="13" t="n">
        <f aca="false">SUMPRODUCT($F37:$M37,$F$13:$M$13)</f>
        <v>73790.4006818525</v>
      </c>
      <c r="X37" s="13" t="n">
        <f aca="false">SUMPRODUCT($F37:$M37,$F$14:$M$14)</f>
        <v>8437.67046630378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12" t="n">
        <v>1</v>
      </c>
      <c r="G38" s="3"/>
      <c r="H38" s="3"/>
      <c r="I38" s="3"/>
      <c r="J38" s="3"/>
      <c r="K38" s="3"/>
      <c r="L38" s="3"/>
      <c r="M38" s="3"/>
      <c r="N38" s="13" t="n">
        <f aca="false">SUMPRODUCT($F38:$M38,$F$4:$M$4)</f>
        <v>4178.736543</v>
      </c>
      <c r="O38" s="13" t="n">
        <f aca="false">SUMPRODUCT($F38:$M38,$F$5:$M$5)</f>
        <v>5997.303977</v>
      </c>
      <c r="P38" s="13" t="n">
        <f aca="false">SUMPRODUCT($F38:$M38,$F$6:$M$6)</f>
        <v>6851.747758</v>
      </c>
      <c r="Q38" s="13" t="n">
        <f aca="false">SUMPRODUCT($F38:$M38,$F$7:$M$7)</f>
        <v>8467.135549</v>
      </c>
      <c r="R38" s="13" t="n">
        <f aca="false">SUMPRODUCT($F38:$M38,$F$8:$M$8)</f>
        <v>12680.63271</v>
      </c>
      <c r="S38" s="13" t="n">
        <f aca="false">SUMPRODUCT($F38:$M38,$F$9:$M$9)</f>
        <v>15620.25307</v>
      </c>
      <c r="T38" s="13" t="n">
        <f aca="false">SUMPRODUCT($F38:$M38,$F$10:$M$10)</f>
        <v>20332.55326</v>
      </c>
      <c r="U38" s="13" t="n">
        <f aca="false">SUMPRODUCT($F38:$M38,$F$11:$M$11)</f>
        <v>25132.07848</v>
      </c>
      <c r="V38" s="13" t="n">
        <f aca="false">SUMPRODUCT($F38:$M38,$F$12:$M$12)</f>
        <v>28573.33614</v>
      </c>
      <c r="W38" s="13" t="n">
        <f aca="false">SUMPRODUCT($F38:$M38,$F$13:$M$13)</f>
        <v>32072.63913</v>
      </c>
      <c r="X38" s="13" t="n">
        <f aca="false">SUMPRODUCT($F38:$M38,$F$14:$M$14)</f>
        <v>3848.7166956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12" t="n">
        <v>1</v>
      </c>
      <c r="H39" s="3"/>
      <c r="I39" s="3"/>
      <c r="J39" s="3"/>
      <c r="K39" s="3"/>
      <c r="L39" s="3"/>
      <c r="M39" s="3"/>
      <c r="N39" s="13" t="n">
        <f aca="false">SUMPRODUCT($F39:$M39,$F$4:$M$4)</f>
        <v>295.0303572</v>
      </c>
      <c r="O39" s="13" t="n">
        <f aca="false">SUMPRODUCT($F39:$M39,$F$5:$M$5)</f>
        <v>709.7274503</v>
      </c>
      <c r="P39" s="13" t="n">
        <f aca="false">SUMPRODUCT($F39:$M39,$F$6:$M$6)</f>
        <v>986.8680576</v>
      </c>
      <c r="Q39" s="13" t="n">
        <f aca="false">SUMPRODUCT($F39:$M39,$F$7:$M$7)</f>
        <v>1500.638174</v>
      </c>
      <c r="R39" s="13" t="n">
        <f aca="false">SUMPRODUCT($F39:$M39,$F$8:$M$8)</f>
        <v>2312.627726</v>
      </c>
      <c r="S39" s="13" t="n">
        <f aca="false">SUMPRODUCT($F39:$M39,$F$9:$M$9)</f>
        <v>3252.869887</v>
      </c>
      <c r="T39" s="13" t="n">
        <f aca="false">SUMPRODUCT($F39:$M39,$F$10:$M$10)</f>
        <v>4102.315524</v>
      </c>
      <c r="U39" s="13" t="n">
        <f aca="false">SUMPRODUCT($F39:$M39,$F$11:$M$11)</f>
        <v>5104.306587</v>
      </c>
      <c r="V39" s="13" t="n">
        <f aca="false">SUMPRODUCT($F39:$M39,$F$12:$M$12)</f>
        <v>6195.186243</v>
      </c>
      <c r="W39" s="13" t="n">
        <f aca="false">SUMPRODUCT($F39:$M39,$F$13:$M$13)</f>
        <v>7424.858444</v>
      </c>
      <c r="X39" s="13" t="n">
        <f aca="false">SUMPRODUCT($F39:$M39,$F$14:$M$14)</f>
        <v>816.73442884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12" t="n">
        <v>1</v>
      </c>
      <c r="I40" s="3"/>
      <c r="J40" s="3"/>
      <c r="K40" s="3"/>
      <c r="L40" s="3"/>
      <c r="M40" s="3"/>
      <c r="N40" s="13" t="n">
        <f aca="false">SUMPRODUCT($F40:$M40,$F$4:$M$4)</f>
        <v>2731.34375706862</v>
      </c>
      <c r="O40" s="13" t="n">
        <f aca="false">SUMPRODUCT($F40:$M40,$F$5:$M$5)</f>
        <v>5501.04139098481</v>
      </c>
      <c r="P40" s="13" t="n">
        <f aca="false">SUMPRODUCT($F40:$M40,$F$6:$M$6)</f>
        <v>7222.1537134248</v>
      </c>
      <c r="Q40" s="13" t="n">
        <f aca="false">SUMPRODUCT($F40:$M40,$F$7:$M$7)</f>
        <v>10448.1917618585</v>
      </c>
      <c r="R40" s="13" t="n">
        <f aca="false">SUMPRODUCT($F40:$M40,$F$8:$M$8)</f>
        <v>14524.6269198752</v>
      </c>
      <c r="S40" s="13" t="n">
        <f aca="false">SUMPRODUCT($F40:$M40,$F$9:$M$9)</f>
        <v>18771.6130102606</v>
      </c>
      <c r="T40" s="13" t="n">
        <f aca="false">SUMPRODUCT($F40:$M40,$F$10:$M$10)</f>
        <v>22667.8247447793</v>
      </c>
      <c r="U40" s="13" t="n">
        <f aca="false">SUMPRODUCT($F40:$M40,$F$11:$M$11)</f>
        <v>26029.3111811951</v>
      </c>
      <c r="V40" s="13" t="n">
        <f aca="false">SUMPRODUCT($F40:$M40,$F$12:$M$12)</f>
        <v>28633.4511026285</v>
      </c>
      <c r="W40" s="13" t="n">
        <f aca="false">SUMPRODUCT($F40:$M40,$F$13:$M$13)</f>
        <v>32449.6411612163</v>
      </c>
      <c r="X40" s="13" t="n">
        <f aca="false">SUMPRODUCT($F40:$M40,$F$14:$M$14)</f>
        <v>3569.46052773379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3"/>
      <c r="G41" s="3"/>
      <c r="H41" s="3"/>
      <c r="I41" s="12" t="n">
        <v>1</v>
      </c>
      <c r="J41" s="3"/>
      <c r="K41" s="3"/>
      <c r="L41" s="3"/>
      <c r="M41" s="3"/>
      <c r="N41" s="13" t="n">
        <f aca="false">SUMPRODUCT($F41:$M41,$F$4:$M$4)</f>
        <v>92.5179666750354</v>
      </c>
      <c r="O41" s="13" t="n">
        <f aca="false">SUMPRODUCT($F41:$M41,$F$5:$M$5)</f>
        <v>178.308713674805</v>
      </c>
      <c r="P41" s="13" t="n">
        <f aca="false">SUMPRODUCT($F41:$M41,$F$6:$M$6)</f>
        <v>255.461125950753</v>
      </c>
      <c r="Q41" s="13" t="n">
        <f aca="false">SUMPRODUCT($F41:$M41,$F$7:$M$7)</f>
        <v>361.649855368688</v>
      </c>
      <c r="R41" s="13" t="n">
        <f aca="false">SUMPRODUCT($F41:$M41,$F$8:$M$8)</f>
        <v>606.176316882429</v>
      </c>
      <c r="S41" s="13" t="n">
        <f aca="false">SUMPRODUCT($F41:$M41,$F$9:$M$9)</f>
        <v>876.902058785097</v>
      </c>
      <c r="T41" s="13" t="n">
        <f aca="false">SUMPRODUCT($F41:$M41,$F$10:$M$10)</f>
        <v>1130.96110255495</v>
      </c>
      <c r="U41" s="13" t="n">
        <f aca="false">SUMPRODUCT($F41:$M41,$F$11:$M$11)</f>
        <v>1398.02987592251</v>
      </c>
      <c r="V41" s="13" t="n">
        <f aca="false">SUMPRODUCT($F41:$M41,$F$12:$M$12)</f>
        <v>1615.02071606564</v>
      </c>
      <c r="W41" s="13" t="n">
        <f aca="false">SUMPRODUCT($F41:$M41,$F$13:$M$13)</f>
        <v>1843.26194663625</v>
      </c>
      <c r="X41" s="13" t="n">
        <f aca="false">SUMPRODUCT($F41:$M41,$F$14:$M$14)</f>
        <v>202.758814129988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12" t="n">
        <v>1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4178.736543</v>
      </c>
      <c r="O42" s="13" t="n">
        <f aca="false">SUMPRODUCT($F42:$M42,$F$5:$M$5)</f>
        <v>5997.303977</v>
      </c>
      <c r="P42" s="13" t="n">
        <f aca="false">SUMPRODUCT($F42:$M42,$F$6:$M$6)</f>
        <v>6851.747758</v>
      </c>
      <c r="Q42" s="13" t="n">
        <f aca="false">SUMPRODUCT($F42:$M42,$F$7:$M$7)</f>
        <v>8467.135549</v>
      </c>
      <c r="R42" s="13" t="n">
        <f aca="false">SUMPRODUCT($F42:$M42,$F$8:$M$8)</f>
        <v>12680.63271</v>
      </c>
      <c r="S42" s="13" t="n">
        <f aca="false">SUMPRODUCT($F42:$M42,$F$9:$M$9)</f>
        <v>15620.25307</v>
      </c>
      <c r="T42" s="13" t="n">
        <f aca="false">SUMPRODUCT($F42:$M42,$F$10:$M$10)</f>
        <v>20332.55326</v>
      </c>
      <c r="U42" s="13" t="n">
        <f aca="false">SUMPRODUCT($F42:$M42,$F$11:$M$11)</f>
        <v>25132.07848</v>
      </c>
      <c r="V42" s="13" t="n">
        <f aca="false">SUMPRODUCT($F42:$M42,$F$12:$M$12)</f>
        <v>28573.33614</v>
      </c>
      <c r="W42" s="13" t="n">
        <f aca="false">SUMPRODUCT($F42:$M42,$F$13:$M$13)</f>
        <v>32072.63913</v>
      </c>
      <c r="X42" s="13" t="n">
        <f aca="false">SUMPRODUCT($F42:$M42,$F$14:$M$14)</f>
        <v>3848.7166956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12" t="n">
        <v>1</v>
      </c>
      <c r="H43" s="12" t="n">
        <v>1</v>
      </c>
      <c r="I43" s="12" t="n">
        <v>1</v>
      </c>
      <c r="J43" s="3"/>
      <c r="K43" s="3"/>
      <c r="L43" s="3"/>
      <c r="M43" s="3"/>
      <c r="N43" s="13" t="n">
        <f aca="false">SUMPRODUCT($F43:$M43,$F$4:$M$4)</f>
        <v>3118.89208094365</v>
      </c>
      <c r="O43" s="13" t="n">
        <f aca="false">SUMPRODUCT($F43:$M43,$F$5:$M$5)</f>
        <v>6389.07755495962</v>
      </c>
      <c r="P43" s="13" t="n">
        <f aca="false">SUMPRODUCT($F43:$M43,$F$6:$M$6)</f>
        <v>8464.48289697556</v>
      </c>
      <c r="Q43" s="13" t="n">
        <f aca="false">SUMPRODUCT($F43:$M43,$F$7:$M$7)</f>
        <v>12310.4797912272</v>
      </c>
      <c r="R43" s="13" t="n">
        <f aca="false">SUMPRODUCT($F43:$M43,$F$8:$M$8)</f>
        <v>17443.4309627576</v>
      </c>
      <c r="S43" s="13" t="n">
        <f aca="false">SUMPRODUCT($F43:$M43,$F$9:$M$9)</f>
        <v>22901.3849560457</v>
      </c>
      <c r="T43" s="13" t="n">
        <f aca="false">SUMPRODUCT($F43:$M43,$F$10:$M$10)</f>
        <v>27901.1013713343</v>
      </c>
      <c r="U43" s="13" t="n">
        <f aca="false">SUMPRODUCT($F43:$M43,$F$11:$M$11)</f>
        <v>32531.6476441176</v>
      </c>
      <c r="V43" s="13" t="n">
        <f aca="false">SUMPRODUCT($F43:$M43,$F$12:$M$12)</f>
        <v>36443.6580616941</v>
      </c>
      <c r="W43" s="13" t="n">
        <f aca="false">SUMPRODUCT($F43:$M43,$F$13:$M$13)</f>
        <v>41717.7615518525</v>
      </c>
      <c r="X43" s="13" t="n">
        <f aca="false">SUMPRODUCT($F43:$M43,$F$14:$M$14)</f>
        <v>4588.95377070378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12" t="n">
        <v>1</v>
      </c>
      <c r="H44" s="3"/>
      <c r="I44" s="3"/>
      <c r="J44" s="3"/>
      <c r="K44" s="3"/>
      <c r="L44" s="3"/>
      <c r="M44" s="3"/>
      <c r="N44" s="13" t="n">
        <f aca="false">SUMPRODUCT($F44:$M44,$F$4:$M$4)</f>
        <v>295.0303572</v>
      </c>
      <c r="O44" s="13" t="n">
        <f aca="false">SUMPRODUCT($F44:$M44,$F$5:$M$5)</f>
        <v>709.7274503</v>
      </c>
      <c r="P44" s="13" t="n">
        <f aca="false">SUMPRODUCT($F44:$M44,$F$6:$M$6)</f>
        <v>986.8680576</v>
      </c>
      <c r="Q44" s="13" t="n">
        <f aca="false">SUMPRODUCT($F44:$M44,$F$7:$M$7)</f>
        <v>1500.638174</v>
      </c>
      <c r="R44" s="13" t="n">
        <f aca="false">SUMPRODUCT($F44:$M44,$F$8:$M$8)</f>
        <v>2312.627726</v>
      </c>
      <c r="S44" s="13" t="n">
        <f aca="false">SUMPRODUCT($F44:$M44,$F$9:$M$9)</f>
        <v>3252.869887</v>
      </c>
      <c r="T44" s="13" t="n">
        <f aca="false">SUMPRODUCT($F44:$M44,$F$10:$M$10)</f>
        <v>4102.315524</v>
      </c>
      <c r="U44" s="13" t="n">
        <f aca="false">SUMPRODUCT($F44:$M44,$F$11:$M$11)</f>
        <v>5104.306587</v>
      </c>
      <c r="V44" s="13" t="n">
        <f aca="false">SUMPRODUCT($F44:$M44,$F$12:$M$12)</f>
        <v>6195.186243</v>
      </c>
      <c r="W44" s="13" t="n">
        <f aca="false">SUMPRODUCT($F44:$M44,$F$13:$M$13)</f>
        <v>7424.858444</v>
      </c>
      <c r="X44" s="13" t="n">
        <f aca="false">SUMPRODUCT($F44:$M44,$F$14:$M$14)</f>
        <v>816.73442884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3"/>
      <c r="G45" s="3"/>
      <c r="H45" s="12" t="n">
        <v>1</v>
      </c>
      <c r="I45" s="3"/>
      <c r="J45" s="3"/>
      <c r="K45" s="3"/>
      <c r="L45" s="3"/>
      <c r="M45" s="3"/>
      <c r="N45" s="13" t="n">
        <f aca="false">SUMPRODUCT($F45:$M45,$F$4:$M$4)</f>
        <v>2731.34375706862</v>
      </c>
      <c r="O45" s="13" t="n">
        <f aca="false">SUMPRODUCT($F45:$M45,$F$5:$M$5)</f>
        <v>5501.04139098481</v>
      </c>
      <c r="P45" s="13" t="n">
        <f aca="false">SUMPRODUCT($F45:$M45,$F$6:$M$6)</f>
        <v>7222.1537134248</v>
      </c>
      <c r="Q45" s="13" t="n">
        <f aca="false">SUMPRODUCT($F45:$M45,$F$7:$M$7)</f>
        <v>10448.1917618585</v>
      </c>
      <c r="R45" s="13" t="n">
        <f aca="false">SUMPRODUCT($F45:$M45,$F$8:$M$8)</f>
        <v>14524.6269198752</v>
      </c>
      <c r="S45" s="13" t="n">
        <f aca="false">SUMPRODUCT($F45:$M45,$F$9:$M$9)</f>
        <v>18771.6130102606</v>
      </c>
      <c r="T45" s="13" t="n">
        <f aca="false">SUMPRODUCT($F45:$M45,$F$10:$M$10)</f>
        <v>22667.8247447793</v>
      </c>
      <c r="U45" s="13" t="n">
        <f aca="false">SUMPRODUCT($F45:$M45,$F$11:$M$11)</f>
        <v>26029.3111811951</v>
      </c>
      <c r="V45" s="13" t="n">
        <f aca="false">SUMPRODUCT($F45:$M45,$F$12:$M$12)</f>
        <v>28633.4511026285</v>
      </c>
      <c r="W45" s="13" t="n">
        <f aca="false">SUMPRODUCT($F45:$M45,$F$13:$M$13)</f>
        <v>32449.6411612163</v>
      </c>
      <c r="X45" s="13" t="n">
        <f aca="false">SUMPRODUCT($F45:$M45,$F$14:$M$14)</f>
        <v>3569.46052773379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3"/>
      <c r="H46" s="3"/>
      <c r="I46" s="12" t="n">
        <v>1</v>
      </c>
      <c r="J46" s="3"/>
      <c r="K46" s="3"/>
      <c r="L46" s="3"/>
      <c r="M46" s="3"/>
      <c r="N46" s="13" t="n">
        <f aca="false">SUMPRODUCT($F46:$M46,$F$4:$M$4)</f>
        <v>92.5179666750354</v>
      </c>
      <c r="O46" s="13" t="n">
        <f aca="false">SUMPRODUCT($F46:$M46,$F$5:$M$5)</f>
        <v>178.308713674805</v>
      </c>
      <c r="P46" s="13" t="n">
        <f aca="false">SUMPRODUCT($F46:$M46,$F$6:$M$6)</f>
        <v>255.461125950753</v>
      </c>
      <c r="Q46" s="13" t="n">
        <f aca="false">SUMPRODUCT($F46:$M46,$F$7:$M$7)</f>
        <v>361.649855368688</v>
      </c>
      <c r="R46" s="13" t="n">
        <f aca="false">SUMPRODUCT($F46:$M46,$F$8:$M$8)</f>
        <v>606.176316882429</v>
      </c>
      <c r="S46" s="13" t="n">
        <f aca="false">SUMPRODUCT($F46:$M46,$F$9:$M$9)</f>
        <v>876.902058785097</v>
      </c>
      <c r="T46" s="13" t="n">
        <f aca="false">SUMPRODUCT($F46:$M46,$F$10:$M$10)</f>
        <v>1130.96110255495</v>
      </c>
      <c r="U46" s="13" t="n">
        <f aca="false">SUMPRODUCT($F46:$M46,$F$11:$M$11)</f>
        <v>1398.02987592251</v>
      </c>
      <c r="V46" s="13" t="n">
        <f aca="false">SUMPRODUCT($F46:$M46,$F$12:$M$12)</f>
        <v>1615.02071606564</v>
      </c>
      <c r="W46" s="13" t="n">
        <f aca="false">SUMPRODUCT($F46:$M46,$F$13:$M$13)</f>
        <v>1843.26194663625</v>
      </c>
      <c r="X46" s="13" t="n">
        <f aca="false">SUMPRODUCT($F46:$M46,$F$14:$M$14)</f>
        <v>202.758814129988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12" t="n">
        <v>1</v>
      </c>
      <c r="G47" s="3"/>
      <c r="H47" s="3"/>
      <c r="I47" s="3"/>
      <c r="J47" s="3"/>
      <c r="K47" s="3"/>
      <c r="L47" s="3"/>
      <c r="M47" s="3"/>
      <c r="N47" s="13" t="n">
        <f aca="false">SUMPRODUCT($F47:$M47,$F$4:$M$4)</f>
        <v>4178.736543</v>
      </c>
      <c r="O47" s="13" t="n">
        <f aca="false">SUMPRODUCT($F47:$M47,$F$5:$M$5)</f>
        <v>5997.303977</v>
      </c>
      <c r="P47" s="13" t="n">
        <f aca="false">SUMPRODUCT($F47:$M47,$F$6:$M$6)</f>
        <v>6851.747758</v>
      </c>
      <c r="Q47" s="13" t="n">
        <f aca="false">SUMPRODUCT($F47:$M47,$F$7:$M$7)</f>
        <v>8467.135549</v>
      </c>
      <c r="R47" s="13" t="n">
        <f aca="false">SUMPRODUCT($F47:$M47,$F$8:$M$8)</f>
        <v>12680.63271</v>
      </c>
      <c r="S47" s="13" t="n">
        <f aca="false">SUMPRODUCT($F47:$M47,$F$9:$M$9)</f>
        <v>15620.25307</v>
      </c>
      <c r="T47" s="13" t="n">
        <f aca="false">SUMPRODUCT($F47:$M47,$F$10:$M$10)</f>
        <v>20332.55326</v>
      </c>
      <c r="U47" s="13" t="n">
        <f aca="false">SUMPRODUCT($F47:$M47,$F$11:$M$11)</f>
        <v>25132.07848</v>
      </c>
      <c r="V47" s="13" t="n">
        <f aca="false">SUMPRODUCT($F47:$M47,$F$12:$M$12)</f>
        <v>28573.33614</v>
      </c>
      <c r="W47" s="13" t="n">
        <f aca="false">SUMPRODUCT($F47:$M47,$F$13:$M$13)</f>
        <v>32072.63913</v>
      </c>
      <c r="X47" s="13" t="n">
        <f aca="false">SUMPRODUCT($F47:$M47,$F$14:$M$14)</f>
        <v>3848.7166956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12" t="n">
        <v>2</v>
      </c>
      <c r="H48" s="12" t="n">
        <v>2</v>
      </c>
      <c r="I48" s="12" t="n">
        <v>2</v>
      </c>
      <c r="J48" s="3"/>
      <c r="K48" s="3"/>
      <c r="L48" s="3"/>
      <c r="M48" s="3"/>
      <c r="N48" s="13" t="n">
        <f aca="false">SUMPRODUCT($F48:$M48,$F$4:$M$4)</f>
        <v>6237.7841618873</v>
      </c>
      <c r="O48" s="13" t="n">
        <f aca="false">SUMPRODUCT($F48:$M48,$F$5:$M$5)</f>
        <v>12778.1551099192</v>
      </c>
      <c r="P48" s="13" t="n">
        <f aca="false">SUMPRODUCT($F48:$M48,$F$6:$M$6)</f>
        <v>16928.9657939511</v>
      </c>
      <c r="Q48" s="13" t="n">
        <f aca="false">SUMPRODUCT($F48:$M48,$F$7:$M$7)</f>
        <v>24620.9595824543</v>
      </c>
      <c r="R48" s="13" t="n">
        <f aca="false">SUMPRODUCT($F48:$M48,$F$8:$M$8)</f>
        <v>34886.8619255153</v>
      </c>
      <c r="S48" s="13" t="n">
        <f aca="false">SUMPRODUCT($F48:$M48,$F$9:$M$9)</f>
        <v>45802.7699120914</v>
      </c>
      <c r="T48" s="13" t="n">
        <f aca="false">SUMPRODUCT($F48:$M48,$F$10:$M$10)</f>
        <v>55802.2027426685</v>
      </c>
      <c r="U48" s="13" t="n">
        <f aca="false">SUMPRODUCT($F48:$M48,$F$11:$M$11)</f>
        <v>65063.2952882353</v>
      </c>
      <c r="V48" s="13" t="n">
        <f aca="false">SUMPRODUCT($F48:$M48,$F$12:$M$12)</f>
        <v>72887.3161233883</v>
      </c>
      <c r="W48" s="13" t="n">
        <f aca="false">SUMPRODUCT($F48:$M48,$F$13:$M$13)</f>
        <v>83435.523103705</v>
      </c>
      <c r="X48" s="13" t="n">
        <f aca="false">SUMPRODUCT($F48:$M48,$F$14:$M$14)</f>
        <v>9177.90754140755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12" t="n">
        <v>1</v>
      </c>
      <c r="G49" s="3"/>
      <c r="H49" s="3"/>
      <c r="I49" s="3"/>
      <c r="J49" s="3"/>
      <c r="K49" s="3"/>
      <c r="L49" s="3"/>
      <c r="M49" s="3"/>
      <c r="N49" s="13" t="n">
        <f aca="false">SUMPRODUCT($F49:$M49,$F$4:$M$4)</f>
        <v>4178.736543</v>
      </c>
      <c r="O49" s="13" t="n">
        <f aca="false">SUMPRODUCT($F49:$M49,$F$5:$M$5)</f>
        <v>5997.303977</v>
      </c>
      <c r="P49" s="13" t="n">
        <f aca="false">SUMPRODUCT($F49:$M49,$F$6:$M$6)</f>
        <v>6851.747758</v>
      </c>
      <c r="Q49" s="13" t="n">
        <f aca="false">SUMPRODUCT($F49:$M49,$F$7:$M$7)</f>
        <v>8467.135549</v>
      </c>
      <c r="R49" s="13" t="n">
        <f aca="false">SUMPRODUCT($F49:$M49,$F$8:$M$8)</f>
        <v>12680.63271</v>
      </c>
      <c r="S49" s="13" t="n">
        <f aca="false">SUMPRODUCT($F49:$M49,$F$9:$M$9)</f>
        <v>15620.25307</v>
      </c>
      <c r="T49" s="13" t="n">
        <f aca="false">SUMPRODUCT($F49:$M49,$F$10:$M$10)</f>
        <v>20332.55326</v>
      </c>
      <c r="U49" s="13" t="n">
        <f aca="false">SUMPRODUCT($F49:$M49,$F$11:$M$11)</f>
        <v>25132.07848</v>
      </c>
      <c r="V49" s="13" t="n">
        <f aca="false">SUMPRODUCT($F49:$M49,$F$12:$M$12)</f>
        <v>28573.33614</v>
      </c>
      <c r="W49" s="13" t="n">
        <f aca="false">SUMPRODUCT($F49:$M49,$F$13:$M$13)</f>
        <v>32072.63913</v>
      </c>
      <c r="X49" s="13" t="n">
        <f aca="false">SUMPRODUCT($F49:$M49,$F$14:$M$14)</f>
        <v>3848.7166956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3"/>
      <c r="G50" s="12" t="n">
        <v>1</v>
      </c>
      <c r="H50" s="3"/>
      <c r="I50" s="3"/>
      <c r="J50" s="3"/>
      <c r="K50" s="3"/>
      <c r="L50" s="3"/>
      <c r="M50" s="3"/>
      <c r="N50" s="13" t="n">
        <f aca="false">SUMPRODUCT($F50:$M50,$F$4:$M$4)</f>
        <v>295.0303572</v>
      </c>
      <c r="O50" s="13" t="n">
        <f aca="false">SUMPRODUCT($F50:$M50,$F$5:$M$5)</f>
        <v>709.7274503</v>
      </c>
      <c r="P50" s="13" t="n">
        <f aca="false">SUMPRODUCT($F50:$M50,$F$6:$M$6)</f>
        <v>986.8680576</v>
      </c>
      <c r="Q50" s="13" t="n">
        <f aca="false">SUMPRODUCT($F50:$M50,$F$7:$M$7)</f>
        <v>1500.638174</v>
      </c>
      <c r="R50" s="13" t="n">
        <f aca="false">SUMPRODUCT($F50:$M50,$F$8:$M$8)</f>
        <v>2312.627726</v>
      </c>
      <c r="S50" s="13" t="n">
        <f aca="false">SUMPRODUCT($F50:$M50,$F$9:$M$9)</f>
        <v>3252.869887</v>
      </c>
      <c r="T50" s="13" t="n">
        <f aca="false">SUMPRODUCT($F50:$M50,$F$10:$M$10)</f>
        <v>4102.315524</v>
      </c>
      <c r="U50" s="13" t="n">
        <f aca="false">SUMPRODUCT($F50:$M50,$F$11:$M$11)</f>
        <v>5104.306587</v>
      </c>
      <c r="V50" s="13" t="n">
        <f aca="false">SUMPRODUCT($F50:$M50,$F$12:$M$12)</f>
        <v>6195.186243</v>
      </c>
      <c r="W50" s="13" t="n">
        <f aca="false">SUMPRODUCT($F50:$M50,$F$13:$M$13)</f>
        <v>7424.858444</v>
      </c>
      <c r="X50" s="13" t="n">
        <f aca="false">SUMPRODUCT($F50:$M50,$F$14:$M$14)</f>
        <v>816.73442884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3"/>
      <c r="H51" s="12" t="n">
        <v>1</v>
      </c>
      <c r="I51" s="3"/>
      <c r="J51" s="3"/>
      <c r="K51" s="3"/>
      <c r="L51" s="3"/>
      <c r="M51" s="3"/>
      <c r="N51" s="13" t="n">
        <f aca="false">SUMPRODUCT($F51:$M51,$F$4:$M$4)</f>
        <v>2731.34375706862</v>
      </c>
      <c r="O51" s="13" t="n">
        <f aca="false">SUMPRODUCT($F51:$M51,$F$5:$M$5)</f>
        <v>5501.04139098481</v>
      </c>
      <c r="P51" s="13" t="n">
        <f aca="false">SUMPRODUCT($F51:$M51,$F$6:$M$6)</f>
        <v>7222.1537134248</v>
      </c>
      <c r="Q51" s="13" t="n">
        <f aca="false">SUMPRODUCT($F51:$M51,$F$7:$M$7)</f>
        <v>10448.1917618585</v>
      </c>
      <c r="R51" s="13" t="n">
        <f aca="false">SUMPRODUCT($F51:$M51,$F$8:$M$8)</f>
        <v>14524.6269198752</v>
      </c>
      <c r="S51" s="13" t="n">
        <f aca="false">SUMPRODUCT($F51:$M51,$F$9:$M$9)</f>
        <v>18771.6130102606</v>
      </c>
      <c r="T51" s="13" t="n">
        <f aca="false">SUMPRODUCT($F51:$M51,$F$10:$M$10)</f>
        <v>22667.8247447793</v>
      </c>
      <c r="U51" s="13" t="n">
        <f aca="false">SUMPRODUCT($F51:$M51,$F$11:$M$11)</f>
        <v>26029.3111811951</v>
      </c>
      <c r="V51" s="13" t="n">
        <f aca="false">SUMPRODUCT($F51:$M51,$F$12:$M$12)</f>
        <v>28633.4511026285</v>
      </c>
      <c r="W51" s="13" t="n">
        <f aca="false">SUMPRODUCT($F51:$M51,$F$13:$M$13)</f>
        <v>32449.6411612163</v>
      </c>
      <c r="X51" s="13" t="n">
        <f aca="false">SUMPRODUCT($F51:$M51,$F$14:$M$14)</f>
        <v>3569.46052773379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3"/>
      <c r="G52" s="3"/>
      <c r="H52" s="3"/>
      <c r="I52" s="12" t="n">
        <v>1</v>
      </c>
      <c r="J52" s="3"/>
      <c r="K52" s="3"/>
      <c r="L52" s="3"/>
      <c r="M52" s="3"/>
      <c r="N52" s="13" t="n">
        <f aca="false">SUMPRODUCT($F52:$M52,$F$4:$M$4)</f>
        <v>92.5179666750354</v>
      </c>
      <c r="O52" s="13" t="n">
        <f aca="false">SUMPRODUCT($F52:$M52,$F$5:$M$5)</f>
        <v>178.308713674805</v>
      </c>
      <c r="P52" s="13" t="n">
        <f aca="false">SUMPRODUCT($F52:$M52,$F$6:$M$6)</f>
        <v>255.461125950753</v>
      </c>
      <c r="Q52" s="13" t="n">
        <f aca="false">SUMPRODUCT($F52:$M52,$F$7:$M$7)</f>
        <v>361.649855368688</v>
      </c>
      <c r="R52" s="13" t="n">
        <f aca="false">SUMPRODUCT($F52:$M52,$F$8:$M$8)</f>
        <v>606.176316882429</v>
      </c>
      <c r="S52" s="13" t="n">
        <f aca="false">SUMPRODUCT($F52:$M52,$F$9:$M$9)</f>
        <v>876.902058785097</v>
      </c>
      <c r="T52" s="13" t="n">
        <f aca="false">SUMPRODUCT($F52:$M52,$F$10:$M$10)</f>
        <v>1130.96110255495</v>
      </c>
      <c r="U52" s="13" t="n">
        <f aca="false">SUMPRODUCT($F52:$M52,$F$11:$M$11)</f>
        <v>1398.02987592251</v>
      </c>
      <c r="V52" s="13" t="n">
        <f aca="false">SUMPRODUCT($F52:$M52,$F$12:$M$12)</f>
        <v>1615.02071606564</v>
      </c>
      <c r="W52" s="13" t="n">
        <f aca="false">SUMPRODUCT($F52:$M52,$F$13:$M$13)</f>
        <v>1843.26194663625</v>
      </c>
      <c r="X52" s="13" t="n">
        <f aca="false">SUMPRODUCT($F52:$M52,$F$14:$M$14)</f>
        <v>202.758814129988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 t="s">
        <v>294</v>
      </c>
      <c r="F53" s="12" t="n">
        <v>1</v>
      </c>
      <c r="G53" s="12" t="n">
        <v>1</v>
      </c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SUMPRODUCT($F53:$M53,$F$4:$M$4)*(1-DEMANDA!D$5)</f>
        <v>5596.16469191589</v>
      </c>
      <c r="O53" s="13" t="n">
        <f aca="false">SUMPRODUCT($F53:$M53,$F$5:$M$5)*(1-DEMANDA!E$5)</f>
        <v>9499.55252978985</v>
      </c>
      <c r="P53" s="13" t="n">
        <f aca="false">SUMPRODUCT($F53:$M53,$F$6:$M$6)*(1-DEMANDA!F$5)</f>
        <v>11746.6342804661</v>
      </c>
      <c r="Q53" s="13" t="n">
        <f aca="false">SUMPRODUCT($F53:$M53,$F$7:$M$7)*(1-DEMANDA!G$5)</f>
        <v>15933.8297238351</v>
      </c>
      <c r="R53" s="13" t="n">
        <f aca="false">SUMPRODUCT($F53:$M53,$F$8:$M$8)*(1-DEMANDA!H$5)</f>
        <v>23096.4364068413</v>
      </c>
      <c r="S53" s="13" t="n">
        <f aca="false">SUMPRODUCT($F53:$M53,$F$9:$M$9)*(1-DEMANDA!I$5)</f>
        <v>29524.1955946926</v>
      </c>
      <c r="T53" s="13" t="n">
        <f aca="false">SUMPRODUCT($F53:$M53,$F$10:$M$10)*(1-DEMANDA!J$5)</f>
        <v>36947.916355217</v>
      </c>
      <c r="U53" s="13" t="n">
        <f aca="false">SUMPRODUCT($F53:$M53,$F$11:$M$11)*(1-DEMANDA!K$5)</f>
        <v>44139.1685599738</v>
      </c>
      <c r="V53" s="13" t="n">
        <f aca="false">SUMPRODUCT($F53:$M53,$F$12:$M$12)*(1-DEMANDA!L$5)</f>
        <v>49720.1330314385</v>
      </c>
      <c r="W53" s="13" t="n">
        <f aca="false">SUMPRODUCT($F53:$M53,$F$13:$M$13)*(1-DEMANDA!M$5)</f>
        <v>56359.9888516308</v>
      </c>
      <c r="X53" s="13" t="n">
        <f aca="false">SUMPRODUCT($F53:$M53,$F$14:$M$14)*(1-DEMANDA!M$5)</f>
        <v>6444.56472685299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297</v>
      </c>
      <c r="D54" s="3" t="s">
        <v>214</v>
      </c>
      <c r="E54" s="3"/>
      <c r="F54" s="12" t="n">
        <v>1</v>
      </c>
      <c r="G54" s="12" t="n">
        <v>1</v>
      </c>
      <c r="H54" s="12" t="n">
        <v>1</v>
      </c>
      <c r="I54" s="12" t="n">
        <v>1</v>
      </c>
      <c r="J54" s="3"/>
      <c r="K54" s="3"/>
      <c r="L54" s="3"/>
      <c r="M54" s="3"/>
      <c r="N54" s="13" t="n">
        <f aca="false">SUMPRODUCT($F54:$M54,$F$4:$M$4)</f>
        <v>7297.62862394365</v>
      </c>
      <c r="O54" s="13" t="n">
        <f aca="false">SUMPRODUCT($F54:$M54,$F$5:$M$5)</f>
        <v>12386.3815319596</v>
      </c>
      <c r="P54" s="13" t="n">
        <f aca="false">SUMPRODUCT($F54:$M54,$F$6:$M$6)</f>
        <v>15316.2306549756</v>
      </c>
      <c r="Q54" s="13" t="n">
        <f aca="false">SUMPRODUCT($F54:$M54,$F$7:$M$7)</f>
        <v>20777.6153402272</v>
      </c>
      <c r="R54" s="13" t="n">
        <f aca="false">SUMPRODUCT($F54:$M54,$F$8:$M$8)</f>
        <v>30124.0636727576</v>
      </c>
      <c r="S54" s="13" t="n">
        <f aca="false">SUMPRODUCT($F54:$M54,$F$9:$M$9)</f>
        <v>38521.6380260457</v>
      </c>
      <c r="T54" s="13" t="n">
        <f aca="false">SUMPRODUCT($F54:$M54,$F$10:$M$10)</f>
        <v>48233.6546313343</v>
      </c>
      <c r="U54" s="13" t="n">
        <f aca="false">SUMPRODUCT($F54:$M54,$F$11:$M$11)</f>
        <v>57663.7261241176</v>
      </c>
      <c r="V54" s="13" t="n">
        <f aca="false">SUMPRODUCT($F54:$M54,$F$12:$M$12)</f>
        <v>65016.9942016941</v>
      </c>
      <c r="W54" s="13" t="n">
        <f aca="false">SUMPRODUCT($F54:$M54,$F$13:$M$13)</f>
        <v>73790.4006818525</v>
      </c>
      <c r="X54" s="13" t="n">
        <f aca="false">SUMPRODUCT($F54:$M54,$F$14:$M$14)</f>
        <v>8437.67046630378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300</v>
      </c>
      <c r="D55" s="3" t="s">
        <v>214</v>
      </c>
      <c r="E55" s="3" t="s">
        <v>301</v>
      </c>
      <c r="F55" s="3"/>
      <c r="G55" s="12" t="n">
        <v>1</v>
      </c>
      <c r="H55" s="12" t="n">
        <v>1</v>
      </c>
      <c r="I55" s="12" t="n">
        <v>1</v>
      </c>
      <c r="J55" s="3"/>
      <c r="K55" s="3"/>
      <c r="L55" s="3"/>
      <c r="M55" s="3"/>
      <c r="N55" s="13" t="n">
        <f aca="false">SUMPRODUCT($F55:$M55,$F$4:$M$4)*DEMANDA!D$5</f>
        <v>727.179013495058</v>
      </c>
      <c r="O55" s="13" t="n">
        <f aca="false">SUMPRODUCT($F55:$M55,$F$5:$M$5)*DEMANDA!E$5</f>
        <v>1489.06880796294</v>
      </c>
      <c r="P55" s="13" t="n">
        <f aca="false">SUMPRODUCT($F55:$M55,$F$6:$M$6)*DEMANDA!F$5</f>
        <v>1972.72998440551</v>
      </c>
      <c r="Q55" s="13" t="n">
        <f aca="false">SUMPRODUCT($F55:$M55,$F$7:$M$7)*DEMANDA!G$5</f>
        <v>2869.88299509926</v>
      </c>
      <c r="R55" s="13" t="n">
        <f aca="false">SUMPRODUCT($F55:$M55,$F$8:$M$8)*DEMANDA!H$5</f>
        <v>4069.36900601047</v>
      </c>
      <c r="S55" s="13" t="n">
        <f aca="false">SUMPRODUCT($F55:$M55,$F$9:$M$9)*DEMANDA!I$5</f>
        <v>5349.04285744436</v>
      </c>
      <c r="T55" s="13" t="n">
        <f aca="false">SUMPRODUCT($F55:$M55,$F$10:$M$10)*DEMANDA!J$5</f>
        <v>6528.3157600033</v>
      </c>
      <c r="U55" s="13" t="n">
        <f aca="false">SUMPRODUCT($F55:$M55,$F$11:$M$11)*DEMANDA!K$5</f>
        <v>7630.03313855043</v>
      </c>
      <c r="V55" s="13" t="n">
        <f aca="false">SUMPRODUCT($F55:$M55,$F$12:$M$12)*DEMANDA!L$5</f>
        <v>8574.27484538306</v>
      </c>
      <c r="W55" s="13" t="n">
        <f aca="false">SUMPRODUCT($F55:$M55,$F$13:$M$13)*DEMANDA!M$5</f>
        <v>9854.36801758159</v>
      </c>
      <c r="X55" s="13" t="n">
        <f aca="false">SUMPRODUCT($F55:$M55,$F$14:$M$14)*DEMANDA!M$5</f>
        <v>1083.98048193398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304</v>
      </c>
      <c r="D56" s="3" t="s">
        <v>214</v>
      </c>
      <c r="E56" s="3"/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</f>
        <v>7297.62862394365</v>
      </c>
      <c r="O56" s="13" t="n">
        <f aca="false">SUMPRODUCT($F56:$M56,$F$5:$M$5)</f>
        <v>12386.3815319596</v>
      </c>
      <c r="P56" s="13" t="n">
        <f aca="false">SUMPRODUCT($F56:$M56,$F$6:$M$6)</f>
        <v>15316.2306549756</v>
      </c>
      <c r="Q56" s="13" t="n">
        <f aca="false">SUMPRODUCT($F56:$M56,$F$7:$M$7)</f>
        <v>20777.6153402272</v>
      </c>
      <c r="R56" s="13" t="n">
        <f aca="false">SUMPRODUCT($F56:$M56,$F$8:$M$8)</f>
        <v>30124.0636727576</v>
      </c>
      <c r="S56" s="13" t="n">
        <f aca="false">SUMPRODUCT($F56:$M56,$F$9:$M$9)</f>
        <v>38521.6380260457</v>
      </c>
      <c r="T56" s="13" t="n">
        <f aca="false">SUMPRODUCT($F56:$M56,$F$10:$M$10)</f>
        <v>48233.6546313343</v>
      </c>
      <c r="U56" s="13" t="n">
        <f aca="false">SUMPRODUCT($F56:$M56,$F$11:$M$11)</f>
        <v>57663.7261241176</v>
      </c>
      <c r="V56" s="13" t="n">
        <f aca="false">SUMPRODUCT($F56:$M56,$F$12:$M$12)</f>
        <v>65016.9942016941</v>
      </c>
      <c r="W56" s="13" t="n">
        <f aca="false">SUMPRODUCT($F56:$M56,$F$13:$M$13)</f>
        <v>73790.4006818525</v>
      </c>
      <c r="X56" s="13" t="n">
        <f aca="false">SUMPRODUCT($F56:$M56,$F$14:$M$14)</f>
        <v>8437.67046630378</v>
      </c>
    </row>
    <row r="57" customFormat="false" ht="15" hidden="false" customHeight="false" outlineLevel="0" collapsed="false">
      <c r="A57" s="3" t="s">
        <v>305</v>
      </c>
      <c r="B57" s="3" t="s">
        <v>306</v>
      </c>
      <c r="C57" s="3" t="s">
        <v>307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7297.62862394365</v>
      </c>
      <c r="O57" s="13" t="n">
        <f aca="false">SUMPRODUCT($F57:$M57,$F$5:$M$5)</f>
        <v>12386.3815319596</v>
      </c>
      <c r="P57" s="13" t="n">
        <f aca="false">SUMPRODUCT($F57:$M57,$F$6:$M$6)</f>
        <v>15316.2306549756</v>
      </c>
      <c r="Q57" s="13" t="n">
        <f aca="false">SUMPRODUCT($F57:$M57,$F$7:$M$7)</f>
        <v>20777.6153402272</v>
      </c>
      <c r="R57" s="13" t="n">
        <f aca="false">SUMPRODUCT($F57:$M57,$F$8:$M$8)</f>
        <v>30124.0636727576</v>
      </c>
      <c r="S57" s="13" t="n">
        <f aca="false">SUMPRODUCT($F57:$M57,$F$9:$M$9)</f>
        <v>38521.6380260457</v>
      </c>
      <c r="T57" s="13" t="n">
        <f aca="false">SUMPRODUCT($F57:$M57,$F$10:$M$10)</f>
        <v>48233.6546313343</v>
      </c>
      <c r="U57" s="13" t="n">
        <f aca="false">SUMPRODUCT($F57:$M57,$F$11:$M$11)</f>
        <v>57663.7261241176</v>
      </c>
      <c r="V57" s="13" t="n">
        <f aca="false">SUMPRODUCT($F57:$M57,$F$12:$M$12)</f>
        <v>65016.9942016941</v>
      </c>
      <c r="W57" s="13" t="n">
        <f aca="false">SUMPRODUCT($F57:$M57,$F$13:$M$13)</f>
        <v>73790.4006818525</v>
      </c>
      <c r="X57" s="13" t="n">
        <f aca="false">SUMPRODUCT($F57:$M57,$F$14:$M$14)</f>
        <v>8437.67046630378</v>
      </c>
    </row>
    <row r="58" customFormat="false" ht="15" hidden="false" customHeight="false" outlineLevel="0" collapsed="false">
      <c r="A58" s="3" t="s">
        <v>308</v>
      </c>
      <c r="B58" s="3" t="s">
        <v>309</v>
      </c>
      <c r="C58" s="3" t="s">
        <v>310</v>
      </c>
      <c r="D58" s="3" t="s">
        <v>214</v>
      </c>
      <c r="E58" s="3"/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</f>
        <v>7297.62862394365</v>
      </c>
      <c r="O58" s="13" t="n">
        <f aca="false">SUMPRODUCT($F58:$M58,$F$5:$M$5)</f>
        <v>12386.3815319596</v>
      </c>
      <c r="P58" s="13" t="n">
        <f aca="false">SUMPRODUCT($F58:$M58,$F$6:$M$6)</f>
        <v>15316.2306549756</v>
      </c>
      <c r="Q58" s="13" t="n">
        <f aca="false">SUMPRODUCT($F58:$M58,$F$7:$M$7)</f>
        <v>20777.6153402272</v>
      </c>
      <c r="R58" s="13" t="n">
        <f aca="false">SUMPRODUCT($F58:$M58,$F$8:$M$8)</f>
        <v>30124.0636727576</v>
      </c>
      <c r="S58" s="13" t="n">
        <f aca="false">SUMPRODUCT($F58:$M58,$F$9:$M$9)</f>
        <v>38521.6380260457</v>
      </c>
      <c r="T58" s="13" t="n">
        <f aca="false">SUMPRODUCT($F58:$M58,$F$10:$M$10)</f>
        <v>48233.6546313343</v>
      </c>
      <c r="U58" s="13" t="n">
        <f aca="false">SUMPRODUCT($F58:$M58,$F$11:$M$11)</f>
        <v>57663.7261241176</v>
      </c>
      <c r="V58" s="13" t="n">
        <f aca="false">SUMPRODUCT($F58:$M58,$F$12:$M$12)</f>
        <v>65016.9942016941</v>
      </c>
      <c r="W58" s="13" t="n">
        <f aca="false">SUMPRODUCT($F58:$M58,$F$13:$M$13)</f>
        <v>73790.4006818525</v>
      </c>
      <c r="X58" s="13" t="n">
        <f aca="false">SUMPRODUCT($F58:$M58,$F$14:$M$14)</f>
        <v>8437.67046630378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3"/>
      <c r="G59" s="3"/>
      <c r="H59" s="3"/>
      <c r="I59" s="3"/>
      <c r="J59" s="12" t="n">
        <v>1</v>
      </c>
      <c r="K59" s="12" t="n">
        <v>1</v>
      </c>
      <c r="L59" s="12" t="n">
        <v>1</v>
      </c>
      <c r="M59" s="12" t="n">
        <v>1</v>
      </c>
      <c r="N59" s="13" t="n">
        <f aca="false">SUMPRODUCT($F59:$M59,$F$4:$M$4)</f>
        <v>0</v>
      </c>
      <c r="O59" s="13" t="n">
        <f aca="false">SUMPRODUCT($F59:$M59,$F$5:$M$5)</f>
        <v>0</v>
      </c>
      <c r="P59" s="13" t="n">
        <f aca="false">SUMPRODUCT($F59:$M59,$F$6:$M$6)</f>
        <v>9531.2</v>
      </c>
      <c r="Q59" s="13" t="n">
        <f aca="false">SUMPRODUCT($F59:$M59,$F$7:$M$7)</f>
        <v>33205.6</v>
      </c>
      <c r="R59" s="13" t="n">
        <f aca="false">SUMPRODUCT($F59:$M59,$F$8:$M$8)</f>
        <v>61492</v>
      </c>
      <c r="S59" s="13" t="n">
        <f aca="false">SUMPRODUCT($F59:$M59,$F$9:$M$9)</f>
        <v>89163.2</v>
      </c>
      <c r="T59" s="13" t="n">
        <f aca="false">SUMPRODUCT($F59:$M59,$F$10:$M$10)</f>
        <v>126057.6</v>
      </c>
      <c r="U59" s="13" t="n">
        <f aca="false">SUMPRODUCT($F59:$M59,$F$11:$M$11)</f>
        <v>162952</v>
      </c>
      <c r="V59" s="13" t="n">
        <f aca="false">SUMPRODUCT($F59:$M59,$F$12:$M$12)</f>
        <v>182628.4</v>
      </c>
      <c r="W59" s="13" t="n">
        <f aca="false">SUMPRODUCT($F59:$M59,$F$13:$M$13)</f>
        <v>212143</v>
      </c>
      <c r="X59" s="13" t="n">
        <f aca="false">SUMPRODUCT($F59:$M59,$F$14:$M$14)</f>
        <v>25041.21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3"/>
      <c r="G60" s="3"/>
      <c r="H60" s="3"/>
      <c r="I60" s="3"/>
      <c r="J60" s="12" t="n">
        <v>1</v>
      </c>
      <c r="K60" s="3"/>
      <c r="L60" s="3"/>
      <c r="M60" s="3"/>
      <c r="N60" s="13" t="n">
        <f aca="false">SUMPRODUCT($F60:$M60,$F$4:$M$4)</f>
        <v>0</v>
      </c>
      <c r="O60" s="13" t="n">
        <f aca="false">SUMPRODUCT($F60:$M60,$F$5:$M$5)</f>
        <v>0</v>
      </c>
      <c r="P60" s="13" t="n">
        <f aca="false">SUMPRODUCT($F60:$M60,$F$6:$M$6)</f>
        <v>7662.4</v>
      </c>
      <c r="Q60" s="13" t="n">
        <f aca="false">SUMPRODUCT($F60:$M60,$F$7:$M$7)</f>
        <v>26694.8</v>
      </c>
      <c r="R60" s="13" t="n">
        <f aca="false">SUMPRODUCT($F60:$M60,$F$8:$M$8)</f>
        <v>49434.8</v>
      </c>
      <c r="S60" s="13" t="n">
        <f aca="false">SUMPRODUCT($F60:$M60,$F$9:$M$9)</f>
        <v>71680.2</v>
      </c>
      <c r="T60" s="13" t="n">
        <f aca="false">SUMPRODUCT($F60:$M60,$F$10:$M$10)</f>
        <v>101340.6</v>
      </c>
      <c r="U60" s="13" t="n">
        <f aca="false">SUMPRODUCT($F60:$M60,$F$11:$M$11)</f>
        <v>131001</v>
      </c>
      <c r="V60" s="13" t="n">
        <f aca="false">SUMPRODUCT($F60:$M60,$F$12:$M$12)</f>
        <v>146819.8</v>
      </c>
      <c r="W60" s="13" t="n">
        <f aca="false">SUMPRODUCT($F60:$M60,$F$13:$M$13)</f>
        <v>170548</v>
      </c>
      <c r="X60" s="13" t="n">
        <f aca="false">SUMPRODUCT($F60:$M60,$F$14:$M$14)</f>
        <v>20465.76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3"/>
      <c r="G61" s="3"/>
      <c r="H61" s="3"/>
      <c r="I61" s="3"/>
      <c r="J61" s="3"/>
      <c r="K61" s="12" t="n">
        <v>1</v>
      </c>
      <c r="L61" s="12" t="n">
        <v>1</v>
      </c>
      <c r="M61" s="12" t="n">
        <v>1</v>
      </c>
      <c r="N61" s="13" t="n">
        <f aca="false">SUMPRODUCT($F61:$M61,$F$4:$M$4)</f>
        <v>0</v>
      </c>
      <c r="O61" s="13" t="n">
        <f aca="false">SUMPRODUCT($F61:$M61,$F$5:$M$5)</f>
        <v>0</v>
      </c>
      <c r="P61" s="13" t="n">
        <f aca="false">SUMPRODUCT($F61:$M61,$F$6:$M$6)</f>
        <v>1868.8</v>
      </c>
      <c r="Q61" s="13" t="n">
        <f aca="false">SUMPRODUCT($F61:$M61,$F$7:$M$7)</f>
        <v>6510.8</v>
      </c>
      <c r="R61" s="13" t="n">
        <f aca="false">SUMPRODUCT($F61:$M61,$F$8:$M$8)</f>
        <v>12057.2</v>
      </c>
      <c r="S61" s="13" t="n">
        <f aca="false">SUMPRODUCT($F61:$M61,$F$9:$M$9)</f>
        <v>17483</v>
      </c>
      <c r="T61" s="13" t="n">
        <f aca="false">SUMPRODUCT($F61:$M61,$F$10:$M$10)</f>
        <v>24717</v>
      </c>
      <c r="U61" s="13" t="n">
        <f aca="false">SUMPRODUCT($F61:$M61,$F$11:$M$11)</f>
        <v>31951</v>
      </c>
      <c r="V61" s="13" t="n">
        <f aca="false">SUMPRODUCT($F61:$M61,$F$12:$M$12)</f>
        <v>35808.6</v>
      </c>
      <c r="W61" s="13" t="n">
        <f aca="false">SUMPRODUCT($F61:$M61,$F$13:$M$13)</f>
        <v>41595</v>
      </c>
      <c r="X61" s="13" t="n">
        <f aca="false">SUMPRODUCT($F61:$M61,$F$14:$M$14)</f>
        <v>4575.45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12" t="n">
        <v>1</v>
      </c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4178.736543</v>
      </c>
      <c r="O63" s="13" t="n">
        <f aca="false">SUMPRODUCT($F63:$M63,$F$5:$M$5)</f>
        <v>5997.303977</v>
      </c>
      <c r="P63" s="13" t="n">
        <f aca="false">SUMPRODUCT($F63:$M63,$F$6:$M$6)</f>
        <v>14514.147758</v>
      </c>
      <c r="Q63" s="13" t="n">
        <f aca="false">SUMPRODUCT($F63:$M63,$F$7:$M$7)</f>
        <v>35161.935549</v>
      </c>
      <c r="R63" s="13" t="n">
        <f aca="false">SUMPRODUCT($F63:$M63,$F$8:$M$8)</f>
        <v>62115.43271</v>
      </c>
      <c r="S63" s="13" t="n">
        <f aca="false">SUMPRODUCT($F63:$M63,$F$9:$M$9)</f>
        <v>87300.45307</v>
      </c>
      <c r="T63" s="13" t="n">
        <f aca="false">SUMPRODUCT($F63:$M63,$F$10:$M$10)</f>
        <v>121673.15326</v>
      </c>
      <c r="U63" s="13" t="n">
        <f aca="false">SUMPRODUCT($F63:$M63,$F$11:$M$11)</f>
        <v>156133.07848</v>
      </c>
      <c r="V63" s="13" t="n">
        <f aca="false">SUMPRODUCT($F63:$M63,$F$12:$M$12)</f>
        <v>175393.13614</v>
      </c>
      <c r="W63" s="13" t="n">
        <f aca="false">SUMPRODUCT($F63:$M63,$F$13:$M$13)</f>
        <v>202620.63913</v>
      </c>
      <c r="X63" s="13" t="n">
        <f aca="false">SUMPRODUCT($F63:$M63,$F$14:$M$14)</f>
        <v>24314.4766956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12" t="n">
        <v>1</v>
      </c>
      <c r="H64" s="3"/>
      <c r="I64" s="3"/>
      <c r="J64" s="3"/>
      <c r="K64" s="12" t="n">
        <v>1</v>
      </c>
      <c r="L64" s="3"/>
      <c r="M64" s="3"/>
      <c r="N64" s="13" t="n">
        <f aca="false">SUMPRODUCT($F64:$M64,$F$4:$M$4)</f>
        <v>295.0303572</v>
      </c>
      <c r="O64" s="13" t="n">
        <f aca="false">SUMPRODUCT($F64:$M64,$F$5:$M$5)</f>
        <v>709.7274503</v>
      </c>
      <c r="P64" s="13" t="n">
        <f aca="false">SUMPRODUCT($F64:$M64,$F$6:$M$6)</f>
        <v>1286.4680576</v>
      </c>
      <c r="Q64" s="13" t="n">
        <f aca="false">SUMPRODUCT($F64:$M64,$F$7:$M$7)</f>
        <v>2544.438174</v>
      </c>
      <c r="R64" s="13" t="n">
        <f aca="false">SUMPRODUCT($F64:$M64,$F$8:$M$8)</f>
        <v>4245.627726</v>
      </c>
      <c r="S64" s="13" t="n">
        <f aca="false">SUMPRODUCT($F64:$M64,$F$9:$M$9)</f>
        <v>6055.869887</v>
      </c>
      <c r="T64" s="13" t="n">
        <f aca="false">SUMPRODUCT($F64:$M64,$F$10:$M$10)</f>
        <v>8065.315524</v>
      </c>
      <c r="U64" s="13" t="n">
        <f aca="false">SUMPRODUCT($F64:$M64,$F$11:$M$11)</f>
        <v>10227.306587</v>
      </c>
      <c r="V64" s="13" t="n">
        <f aca="false">SUMPRODUCT($F64:$M64,$F$12:$M$12)</f>
        <v>11936.586243</v>
      </c>
      <c r="W64" s="13" t="n">
        <f aca="false">SUMPRODUCT($F64:$M64,$F$13:$M$13)</f>
        <v>14093.858444</v>
      </c>
      <c r="X64" s="13" t="n">
        <f aca="false">SUMPRODUCT($F64:$M64,$F$14:$M$14)</f>
        <v>1550.32442884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12" t="n">
        <v>1</v>
      </c>
      <c r="I65" s="3"/>
      <c r="J65" s="3"/>
      <c r="K65" s="3"/>
      <c r="L65" s="12" t="n">
        <v>1</v>
      </c>
      <c r="M65" s="3"/>
      <c r="N65" s="13" t="n">
        <f aca="false">SUMPRODUCT($F65:$M65,$F$4:$M$4)</f>
        <v>2731.34375706862</v>
      </c>
      <c r="O65" s="13" t="n">
        <f aca="false">SUMPRODUCT($F65:$M65,$F$5:$M$5)</f>
        <v>5501.04139098481</v>
      </c>
      <c r="P65" s="13" t="n">
        <f aca="false">SUMPRODUCT($F65:$M65,$F$6:$M$6)</f>
        <v>8700.9537134248</v>
      </c>
      <c r="Q65" s="13" t="n">
        <f aca="false">SUMPRODUCT($F65:$M65,$F$7:$M$7)</f>
        <v>15600.1917618585</v>
      </c>
      <c r="R65" s="13" t="n">
        <f aca="false">SUMPRODUCT($F65:$M65,$F$8:$M$8)</f>
        <v>24065.4269198752</v>
      </c>
      <c r="S65" s="13" t="n">
        <f aca="false">SUMPRODUCT($F65:$M65,$F$9:$M$9)</f>
        <v>32605.8130102606</v>
      </c>
      <c r="T65" s="13" t="n">
        <f aca="false">SUMPRODUCT($F65:$M65,$F$10:$M$10)</f>
        <v>42226.4247447793</v>
      </c>
      <c r="U65" s="13" t="n">
        <f aca="false">SUMPRODUCT($F65:$M65,$F$11:$M$11)</f>
        <v>51312.3111811951</v>
      </c>
      <c r="V65" s="13" t="n">
        <f aca="false">SUMPRODUCT($F65:$M65,$F$12:$M$12)</f>
        <v>56969.2511026285</v>
      </c>
      <c r="W65" s="13" t="n">
        <f aca="false">SUMPRODUCT($F65:$M65,$F$13:$M$13)</f>
        <v>65364.6411612163</v>
      </c>
      <c r="X65" s="13" t="n">
        <f aca="false">SUMPRODUCT($F65:$M65,$F$14:$M$14)</f>
        <v>7190.11052773379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3"/>
      <c r="G66" s="3"/>
      <c r="H66" s="3"/>
      <c r="I66" s="12" t="n">
        <v>1</v>
      </c>
      <c r="J66" s="3"/>
      <c r="K66" s="3"/>
      <c r="L66" s="3"/>
      <c r="M66" s="12" t="n">
        <v>1</v>
      </c>
      <c r="N66" s="13" t="n">
        <f aca="false">SUMPRODUCT($F66:$M66,$F$4:$M$4)</f>
        <v>92.5179666750354</v>
      </c>
      <c r="O66" s="13" t="n">
        <f aca="false">SUMPRODUCT($F66:$M66,$F$5:$M$5)</f>
        <v>178.308713674805</v>
      </c>
      <c r="P66" s="13" t="n">
        <f aca="false">SUMPRODUCT($F66:$M66,$F$6:$M$6)</f>
        <v>345.861125950754</v>
      </c>
      <c r="Q66" s="13" t="n">
        <f aca="false">SUMPRODUCT($F66:$M66,$F$7:$M$7)</f>
        <v>676.649855368688</v>
      </c>
      <c r="R66" s="13" t="n">
        <f aca="false">SUMPRODUCT($F66:$M66,$F$8:$M$8)</f>
        <v>1189.57631688243</v>
      </c>
      <c r="S66" s="13" t="n">
        <f aca="false">SUMPRODUCT($F66:$M66,$F$9:$M$9)</f>
        <v>1722.7020587851</v>
      </c>
      <c r="T66" s="13" t="n">
        <f aca="false">SUMPRODUCT($F66:$M66,$F$10:$M$10)</f>
        <v>2326.36110255495</v>
      </c>
      <c r="U66" s="13" t="n">
        <f aca="false">SUMPRODUCT($F66:$M66,$F$11:$M$11)</f>
        <v>2943.02987592251</v>
      </c>
      <c r="V66" s="13" t="n">
        <f aca="false">SUMPRODUCT($F66:$M66,$F$12:$M$12)</f>
        <v>3346.42071606564</v>
      </c>
      <c r="W66" s="13" t="n">
        <f aca="false">SUMPRODUCT($F66:$M66,$F$13:$M$13)</f>
        <v>3854.26194663625</v>
      </c>
      <c r="X66" s="13" t="n">
        <f aca="false">SUMPRODUCT($F66:$M66,$F$14:$M$14)</f>
        <v>423.968814129988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12" t="n">
        <v>1</v>
      </c>
      <c r="K67" s="12" t="n">
        <v>1</v>
      </c>
      <c r="L67" s="12" t="n">
        <v>1</v>
      </c>
      <c r="M67" s="12" t="n">
        <v>1</v>
      </c>
      <c r="N67" s="13" t="n">
        <f aca="false">SUMPRODUCT($F67:$M67,$F$4:$M$4)</f>
        <v>7297.62862394365</v>
      </c>
      <c r="O67" s="13" t="n">
        <f aca="false">SUMPRODUCT($F67:$M67,$F$5:$M$5)</f>
        <v>12386.3815319596</v>
      </c>
      <c r="P67" s="13" t="n">
        <f aca="false">SUMPRODUCT($F67:$M67,$F$6:$M$6)</f>
        <v>24847.4306549756</v>
      </c>
      <c r="Q67" s="13" t="n">
        <f aca="false">SUMPRODUCT($F67:$M67,$F$7:$M$7)</f>
        <v>53983.2153402272</v>
      </c>
      <c r="R67" s="13" t="n">
        <f aca="false">SUMPRODUCT($F67:$M67,$F$8:$M$8)</f>
        <v>91616.0636727577</v>
      </c>
      <c r="S67" s="13" t="n">
        <f aca="false">SUMPRODUCT($F67:$M67,$F$9:$M$9)</f>
        <v>127684.838026046</v>
      </c>
      <c r="T67" s="13" t="n">
        <f aca="false">SUMPRODUCT($F67:$M67,$F$10:$M$10)</f>
        <v>174291.254631334</v>
      </c>
      <c r="U67" s="13" t="n">
        <f aca="false">SUMPRODUCT($F67:$M67,$F$11:$M$11)</f>
        <v>220615.726124118</v>
      </c>
      <c r="V67" s="13" t="n">
        <f aca="false">SUMPRODUCT($F67:$M67,$F$12:$M$12)</f>
        <v>247645.394201694</v>
      </c>
      <c r="W67" s="13" t="n">
        <f aca="false">SUMPRODUCT($F67:$M67,$F$13:$M$13)</f>
        <v>285933.400681853</v>
      </c>
      <c r="X67" s="13" t="n">
        <f aca="false">SUMPRODUCT($F67:$M67,$F$14:$M$14)</f>
        <v>33478.8804663038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12" t="n">
        <f aca="false">1/400</f>
        <v>0.0025</v>
      </c>
      <c r="G68" s="12" t="n">
        <f aca="false">1/167</f>
        <v>0.00598802395209581</v>
      </c>
      <c r="H68" s="12" t="n">
        <f aca="false">1/90</f>
        <v>0.0111111111111111</v>
      </c>
      <c r="I68" s="12" t="n">
        <f aca="false">1/40</f>
        <v>0.025</v>
      </c>
      <c r="J68" s="12" t="n">
        <f aca="false">1/400</f>
        <v>0.0025</v>
      </c>
      <c r="K68" s="12" t="n">
        <f aca="false">1/167</f>
        <v>0.00598802395209581</v>
      </c>
      <c r="L68" s="12" t="n">
        <f aca="false">1/90</f>
        <v>0.0111111111111111</v>
      </c>
      <c r="M68" s="12" t="n">
        <f aca="false">1/40</f>
        <v>0.025</v>
      </c>
      <c r="N68" s="13" t="n">
        <f aca="false">SUMPRODUCT($F68:$M68,$F$4:$M$4)</f>
        <v>44.8747033373139</v>
      </c>
      <c r="O68" s="13" t="n">
        <f aca="false">SUMPRODUCT($F68:$M68,$F$5:$M$5)</f>
        <v>84.8235248782799</v>
      </c>
      <c r="P68" s="13" t="n">
        <f aca="false">SUMPRODUCT($F68:$M68,$F$6:$M$6)</f>
        <v>149.312562568782</v>
      </c>
      <c r="Q68" s="13" t="n">
        <f aca="false">SUMPRODUCT($F68:$M68,$F$7:$M$7)</f>
        <v>293.392706007906</v>
      </c>
      <c r="R68" s="13" t="n">
        <f aca="false">SUMPRODUCT($F68:$M68,$F$8:$M$8)</f>
        <v>477.844542655089</v>
      </c>
      <c r="S68" s="13" t="n">
        <f aca="false">SUMPRODUCT($F68:$M68,$F$9:$M$9)</f>
        <v>659.868189303877</v>
      </c>
      <c r="T68" s="13" t="n">
        <f aca="false">SUMPRODUCT($F68:$M68,$F$10:$M$10)</f>
        <v>879.819710417011</v>
      </c>
      <c r="U68" s="13" t="n">
        <f aca="false">SUMPRODUCT($F68:$M68,$F$11:$M$11)</f>
        <v>1095.28659080861</v>
      </c>
      <c r="V68" s="13" t="n">
        <f aca="false">SUMPRODUCT($F68:$M68,$F$12:$M$12)</f>
        <v>1226.61160149908</v>
      </c>
      <c r="W68" s="13" t="n">
        <f aca="false">SUMPRODUCT($F68:$M68,$F$13:$M$13)</f>
        <v>1413.57629911121</v>
      </c>
      <c r="X68" s="13" t="n">
        <f aca="false">SUMPRODUCT($F68:$M68,$F$14:$M$14)</f>
        <v>160.558908880483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12" t="n">
        <f aca="false">1/400</f>
        <v>0.0025</v>
      </c>
      <c r="G69" s="12" t="n">
        <f aca="false">1/167</f>
        <v>0.00598802395209581</v>
      </c>
      <c r="H69" s="12" t="n">
        <f aca="false">1/90</f>
        <v>0.0111111111111111</v>
      </c>
      <c r="I69" s="12" t="n">
        <f aca="false">1/40</f>
        <v>0.025</v>
      </c>
      <c r="J69" s="12" t="n">
        <f aca="false">1/400</f>
        <v>0.0025</v>
      </c>
      <c r="K69" s="12" t="n">
        <f aca="false">1/167</f>
        <v>0.00598802395209581</v>
      </c>
      <c r="L69" s="12" t="n">
        <f aca="false">1/90</f>
        <v>0.0111111111111111</v>
      </c>
      <c r="M69" s="12" t="n">
        <f aca="false">1/40</f>
        <v>0.025</v>
      </c>
      <c r="N69" s="13" t="n">
        <f aca="false">SUMPRODUCT($F69:$M69,$F$4:$M$4)</f>
        <v>44.8747033373139</v>
      </c>
      <c r="O69" s="13" t="n">
        <f aca="false">SUMPRODUCT($F69:$M69,$F$5:$M$5)</f>
        <v>84.8235248782799</v>
      </c>
      <c r="P69" s="13" t="n">
        <f aca="false">SUMPRODUCT($F69:$M69,$F$6:$M$6)</f>
        <v>149.312562568782</v>
      </c>
      <c r="Q69" s="13" t="n">
        <f aca="false">SUMPRODUCT($F69:$M69,$F$7:$M$7)</f>
        <v>293.392706007906</v>
      </c>
      <c r="R69" s="13" t="n">
        <f aca="false">SUMPRODUCT($F69:$M69,$F$8:$M$8)</f>
        <v>477.844542655089</v>
      </c>
      <c r="S69" s="13" t="n">
        <f aca="false">SUMPRODUCT($F69:$M69,$F$9:$M$9)</f>
        <v>659.868189303877</v>
      </c>
      <c r="T69" s="13" t="n">
        <f aca="false">SUMPRODUCT($F69:$M69,$F$10:$M$10)</f>
        <v>879.819710417011</v>
      </c>
      <c r="U69" s="13" t="n">
        <f aca="false">SUMPRODUCT($F69:$M69,$F$11:$M$11)</f>
        <v>1095.28659080861</v>
      </c>
      <c r="V69" s="13" t="n">
        <f aca="false">SUMPRODUCT($F69:$M69,$F$12:$M$12)</f>
        <v>1226.61160149908</v>
      </c>
      <c r="W69" s="13" t="n">
        <f aca="false">SUMPRODUCT($F69:$M69,$F$13:$M$13)</f>
        <v>1413.57629911121</v>
      </c>
      <c r="X69" s="13" t="n">
        <f aca="false">SUMPRODUCT($F69:$M69,$F$14:$M$14)</f>
        <v>160.558908880483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344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345</v>
      </c>
      <c r="G3" s="2" t="s">
        <v>346</v>
      </c>
      <c r="H3" s="2" t="s">
        <v>347</v>
      </c>
      <c r="I3" s="2" t="s">
        <v>348</v>
      </c>
      <c r="J3" s="2" t="s">
        <v>349</v>
      </c>
      <c r="K3" s="2" t="s">
        <v>350</v>
      </c>
      <c r="L3" s="2" t="s">
        <v>351</v>
      </c>
      <c r="M3" s="2" t="s">
        <v>352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75.2563335725177</v>
      </c>
      <c r="H4" s="9" t="n">
        <f aca="false">DEMANDA!D18</f>
        <v>16.34485985</v>
      </c>
      <c r="I4" s="9" t="n">
        <f aca="false">DEMANDA!D19</f>
        <v>11.2389658125177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129.318629173661</v>
      </c>
      <c r="H5" s="9" t="n">
        <f aca="false">DEMANDA!E18</f>
        <v>28.06183078</v>
      </c>
      <c r="I5" s="9" t="n">
        <f aca="false">DEMANDA!E19</f>
        <v>18.7250068186259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166.879717175949</v>
      </c>
      <c r="H6" s="9" t="n">
        <f aca="false">DEMANDA!F18</f>
        <v>36.10009919</v>
      </c>
      <c r="I6" s="9" t="n">
        <f aca="false">DEMANDA!F19</f>
        <v>24.4262449911436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222.99747676297</v>
      </c>
      <c r="H7" s="9" t="n">
        <f aca="false">DEMANDA!G18</f>
        <v>48.25432941</v>
      </c>
      <c r="I7" s="9" t="n">
        <f aca="false">DEMANDA!G19</f>
        <v>32.5461847697695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344.844606106099</v>
      </c>
      <c r="H8" s="9" t="n">
        <f aca="false">DEMANDA!H18</f>
        <v>74.82048167</v>
      </c>
      <c r="I8" s="9" t="n">
        <f aca="false">DEMANDA!H19</f>
        <v>50.6164651509131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468.601251121746</v>
      </c>
      <c r="H9" s="9" t="n">
        <f aca="false">DEMANDA!I18</f>
        <v>101.7285517</v>
      </c>
      <c r="I9" s="9" t="n">
        <f aca="false">DEMANDA!I19</f>
        <v>68.2470251856472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601.975827220984</v>
      </c>
      <c r="H10" s="9" t="n">
        <f aca="false">DEMANDA!J18</f>
        <v>130.8807519</v>
      </c>
      <c r="I10" s="9" t="n">
        <f aca="false">DEMANDA!J19</f>
        <v>87.698944954273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744.773602919078</v>
      </c>
      <c r="H11" s="9" t="n">
        <f aca="false">DEMANDA!K18</f>
        <v>162.1673619</v>
      </c>
      <c r="I11" s="9" t="n">
        <f aca="false">DEMANDA!K19</f>
        <v>108.573804572899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867.538200504956</v>
      </c>
      <c r="H12" s="9" t="n">
        <f aca="false">DEMANDA!L18</f>
        <v>188.9411595</v>
      </c>
      <c r="I12" s="9" t="n">
        <f aca="false">DEMANDA!L19</f>
        <v>126.440122601525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998.462025618316</v>
      </c>
      <c r="H13" s="9" t="n">
        <f aca="false">DEMANDA!M18</f>
        <v>217.569856</v>
      </c>
      <c r="I13" s="9" t="n">
        <f aca="false">DEMANDA!M19</f>
        <v>145.200647257633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89.8615823056484</v>
      </c>
      <c r="H14" s="9" t="n">
        <f aca="false">ESTACIONALIDAD!P21</f>
        <v>19.58128704</v>
      </c>
      <c r="I14" s="9" t="n">
        <f aca="false">ESTACIONALIDAD!P22</f>
        <v>13.068058253187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353</v>
      </c>
      <c r="B16" s="3" t="s">
        <v>354</v>
      </c>
      <c r="C16" s="3" t="s">
        <v>355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16.3262546354196</v>
      </c>
      <c r="O16" s="13" t="n">
        <f aca="false">SUMPRODUCT($F16:$M16,$F$5:$M$5)</f>
        <v>28.048899023388</v>
      </c>
      <c r="P16" s="13" t="n">
        <f aca="false">SUMPRODUCT($F16:$M16,$F$6:$M$6)</f>
        <v>43.0697906382137</v>
      </c>
      <c r="Q16" s="13" t="n">
        <f aca="false">SUMPRODUCT($F16:$M16,$F$7:$M$7)</f>
        <v>72.3806742271616</v>
      </c>
      <c r="R16" s="13" t="n">
        <f aca="false">SUMPRODUCT($F16:$M16,$F$8:$M$8)</f>
        <v>119.326990295461</v>
      </c>
      <c r="S16" s="13" t="n">
        <f aca="false">SUMPRODUCT($F16:$M16,$F$9:$M$9)</f>
        <v>166.248484375847</v>
      </c>
      <c r="T16" s="13" t="n">
        <f aca="false">SUMPRODUCT($F16:$M16,$F$10:$M$10)</f>
        <v>221.981330447942</v>
      </c>
      <c r="U16" s="13" t="n">
        <f aca="false">SUMPRODUCT($F16:$M16,$F$11:$M$11)</f>
        <v>279.778786119846</v>
      </c>
      <c r="V16" s="13" t="n">
        <f aca="false">SUMPRODUCT($F16:$M16,$F$12:$M$12)</f>
        <v>320.703857373048</v>
      </c>
      <c r="W16" s="13" t="n">
        <f aca="false">SUMPRODUCT($F16:$M16,$F$13:$M$13)</f>
        <v>370.551507958608</v>
      </c>
      <c r="X16" s="13" t="n">
        <f aca="false">SUMPRODUCT($F16:$M16,$F$14:$M$14)</f>
        <v>33.3496357162747</v>
      </c>
    </row>
    <row r="17" customFormat="false" ht="15" hidden="false" customHeight="false" outlineLevel="0" collapsed="false">
      <c r="A17" s="3" t="s">
        <v>356</v>
      </c>
      <c r="B17" s="3" t="s">
        <v>357</v>
      </c>
      <c r="C17" s="3" t="s">
        <v>358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7.37851301528368</v>
      </c>
      <c r="O17" s="13" t="n">
        <f aca="false">SUMPRODUCT($F17:$M17,$F$5:$M$5)</f>
        <v>12.4776313350975</v>
      </c>
      <c r="P17" s="13" t="n">
        <f aca="false">SUMPRODUCT($F17:$M17,$F$6:$M$6)</f>
        <v>19.2532148170479</v>
      </c>
      <c r="Q17" s="13" t="n">
        <f aca="false">SUMPRODUCT($F17:$M17,$F$7:$M$7)</f>
        <v>32.3274681254787</v>
      </c>
      <c r="R17" s="13" t="n">
        <f aca="false">SUMPRODUCT($F17:$M17,$F$8:$M$8)</f>
        <v>53.4100398658599</v>
      </c>
      <c r="S17" s="13" t="n">
        <f aca="false">SUMPRODUCT($F17:$M17,$F$9:$M$9)</f>
        <v>74.1553532174379</v>
      </c>
      <c r="T17" s="13" t="n">
        <f aca="false">SUMPRODUCT($F17:$M17,$F$10:$M$10)</f>
        <v>98.9398154069799</v>
      </c>
      <c r="U17" s="13" t="n">
        <f aca="false">SUMPRODUCT($F17:$M17,$F$11:$M$11)</f>
        <v>124.672904168744</v>
      </c>
      <c r="V17" s="13" t="n">
        <f aca="false">SUMPRODUCT($F17:$M17,$F$12:$M$12)</f>
        <v>142.978076311619</v>
      </c>
      <c r="W17" s="13" t="n">
        <f aca="false">SUMPRODUCT($F17:$M17,$F$13:$M$13)</f>
        <v>165.193517085878</v>
      </c>
      <c r="X17" s="13" t="n">
        <f aca="false">SUMPRODUCT($F17:$M17,$F$14:$M$14)</f>
        <v>14.867416537729</v>
      </c>
    </row>
    <row r="18" customFormat="false" ht="15" hidden="false" customHeight="false" outlineLevel="0" collapsed="false">
      <c r="A18" s="3" t="s">
        <v>359</v>
      </c>
      <c r="B18" s="3" t="s">
        <v>360</v>
      </c>
      <c r="C18" s="3" t="s">
        <v>361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362</v>
      </c>
      <c r="B19" s="3" t="s">
        <v>363</v>
      </c>
      <c r="C19" s="3" t="s">
        <v>364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150.512667145035</v>
      </c>
      <c r="O19" s="13" t="n">
        <f aca="false">SUMPRODUCT($F19:$M19,$F$5:$M$5)</f>
        <v>258.637258347323</v>
      </c>
      <c r="P19" s="13" t="n">
        <f aca="false">SUMPRODUCT($F19:$M19,$F$6:$M$6)</f>
        <v>397.359434351897</v>
      </c>
      <c r="Q19" s="13" t="n">
        <f aca="false">SUMPRODUCT($F19:$M19,$F$7:$M$7)</f>
        <v>667.59495352594</v>
      </c>
      <c r="R19" s="13" t="n">
        <f aca="false">SUMPRODUCT($F19:$M19,$F$8:$M$8)</f>
        <v>1100.0892122122</v>
      </c>
      <c r="S19" s="13" t="n">
        <f aca="false">SUMPRODUCT($F19:$M19,$F$9:$M$9)</f>
        <v>1532.40250224349</v>
      </c>
      <c r="T19" s="13" t="n">
        <f aca="false">SUMPRODUCT($F19:$M19,$F$10:$M$10)</f>
        <v>2045.55165444197</v>
      </c>
      <c r="U19" s="13" t="n">
        <f aca="false">SUMPRODUCT($F19:$M19,$F$11:$M$11)</f>
        <v>2577.54720583816</v>
      </c>
      <c r="V19" s="13" t="n">
        <f aca="false">SUMPRODUCT($F19:$M19,$F$12:$M$12)</f>
        <v>2954.27640100991</v>
      </c>
      <c r="W19" s="13" t="n">
        <f aca="false">SUMPRODUCT($F19:$M19,$F$13:$M$13)</f>
        <v>3412.92405123663</v>
      </c>
      <c r="X19" s="13" t="n">
        <f aca="false">SUMPRODUCT($F19:$M19,$F$14:$M$14)</f>
        <v>307.163164611297</v>
      </c>
    </row>
    <row r="20" customFormat="false" ht="15" hidden="false" customHeight="false" outlineLevel="0" collapsed="false">
      <c r="A20" s="3" t="s">
        <v>365</v>
      </c>
      <c r="B20" s="3" t="s">
        <v>366</v>
      </c>
      <c r="C20" s="3" t="s">
        <v>367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55.1676513250354</v>
      </c>
      <c r="O20" s="13" t="n">
        <f aca="false">SUMPRODUCT($F20:$M20,$F$5:$M$5)</f>
        <v>93.5736751972518</v>
      </c>
      <c r="P20" s="13" t="n">
        <f aca="false">SUMPRODUCT($F20:$M20,$F$6:$M$6)</f>
        <v>144.252688362287</v>
      </c>
      <c r="Q20" s="13" t="n">
        <f aca="false">SUMPRODUCT($F20:$M20,$F$7:$M$7)</f>
        <v>242.401028359539</v>
      </c>
      <c r="R20" s="13" t="n">
        <f aca="false">SUMPRODUCT($F20:$M20,$F$8:$M$8)</f>
        <v>400.473893641826</v>
      </c>
      <c r="S20" s="13" t="n">
        <f aca="false">SUMPRODUCT($F20:$M20,$F$9:$M$9)</f>
        <v>556.351153771294</v>
      </c>
      <c r="T20" s="13" t="n">
        <f aca="false">SUMPRODUCT($F20:$M20,$F$10:$M$10)</f>
        <v>742.359393708546</v>
      </c>
      <c r="U20" s="13" t="n">
        <f aca="false">SUMPRODUCT($F20:$M20,$F$11:$M$11)</f>
        <v>935.482332945798</v>
      </c>
      <c r="V20" s="13" t="n">
        <f aca="false">SUMPRODUCT($F20:$M20,$F$12:$M$12)</f>
        <v>1072.76256420305</v>
      </c>
      <c r="W20" s="13" t="n">
        <f aca="false">SUMPRODUCT($F20:$M20,$F$13:$M$13)</f>
        <v>1239.54100651527</v>
      </c>
      <c r="X20" s="13" t="n">
        <f aca="false">SUMPRODUCT($F20:$M20,$F$14:$M$14)</f>
        <v>111.558690586374</v>
      </c>
    </row>
    <row r="21" customFormat="false" ht="15" hidden="false" customHeight="false" outlineLevel="0" collapsed="false">
      <c r="A21" s="3" t="s">
        <v>368</v>
      </c>
      <c r="B21" s="3" t="s">
        <v>369</v>
      </c>
      <c r="C21" s="3" t="s">
        <v>370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109.308124932518</v>
      </c>
      <c r="O21" s="13" t="n">
        <f aca="false">SUMPRODUCT($F21:$M21,$F$5:$M$5)</f>
        <v>187.780776623661</v>
      </c>
      <c r="P21" s="13" t="n">
        <f aca="false">SUMPRODUCT($F21:$M21,$F$6:$M$6)</f>
        <v>288.288257155949</v>
      </c>
      <c r="Q21" s="13" t="n">
        <f aca="false">SUMPRODUCT($F21:$M21,$F$7:$M$7)</f>
        <v>484.52732966297</v>
      </c>
      <c r="R21" s="13" t="n">
        <f aca="false">SUMPRODUCT($F21:$M21,$F$8:$M$8)</f>
        <v>798.920609606099</v>
      </c>
      <c r="S21" s="13" t="n">
        <f aca="false">SUMPRODUCT($F21:$M21,$F$9:$M$9)</f>
        <v>1113.13573382175</v>
      </c>
      <c r="T21" s="13" t="n">
        <f aca="false">SUMPRODUCT($F21:$M21,$F$10:$M$10)</f>
        <v>1486.44406042098</v>
      </c>
      <c r="U21" s="13" t="n">
        <f aca="false">SUMPRODUCT($F21:$M21,$F$11:$M$11)</f>
        <v>1873.62227361908</v>
      </c>
      <c r="V21" s="13" t="n">
        <f aca="false">SUMPRODUCT($F21:$M21,$F$12:$M$12)</f>
        <v>2147.76561610496</v>
      </c>
      <c r="W21" s="13" t="n">
        <f aca="false">SUMPRODUCT($F21:$M21,$F$13:$M$13)</f>
        <v>2481.73255881832</v>
      </c>
      <c r="X21" s="13" t="n">
        <f aca="false">SUMPRODUCT($F21:$M21,$F$14:$M$14)</f>
        <v>223.355930293648</v>
      </c>
    </row>
    <row r="22" customFormat="false" ht="15" hidden="false" customHeight="false" outlineLevel="0" collapsed="false">
      <c r="A22" s="3" t="s">
        <v>371</v>
      </c>
      <c r="B22" s="3" t="s">
        <v>372</v>
      </c>
      <c r="C22" s="3" t="s">
        <v>373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27.5838256625177</v>
      </c>
      <c r="O22" s="13" t="n">
        <f aca="false">SUMPRODUCT($F22:$M22,$F$5:$M$5)</f>
        <v>46.7868375986259</v>
      </c>
      <c r="P22" s="13" t="n">
        <f aca="false">SUMPRODUCT($F22:$M22,$F$6:$M$6)</f>
        <v>72.1263441811436</v>
      </c>
      <c r="Q22" s="13" t="n">
        <f aca="false">SUMPRODUCT($F22:$M22,$F$7:$M$7)</f>
        <v>121.20051417977</v>
      </c>
      <c r="R22" s="13" t="n">
        <f aca="false">SUMPRODUCT($F22:$M22,$F$8:$M$8)</f>
        <v>200.236946820913</v>
      </c>
      <c r="S22" s="13" t="n">
        <f aca="false">SUMPRODUCT($F22:$M22,$F$9:$M$9)</f>
        <v>278.175576885647</v>
      </c>
      <c r="T22" s="13" t="n">
        <f aca="false">SUMPRODUCT($F22:$M22,$F$10:$M$10)</f>
        <v>371.179696854273</v>
      </c>
      <c r="U22" s="13" t="n">
        <f aca="false">SUMPRODUCT($F22:$M22,$F$11:$M$11)</f>
        <v>467.741166472899</v>
      </c>
      <c r="V22" s="13" t="n">
        <f aca="false">SUMPRODUCT($F22:$M22,$F$12:$M$12)</f>
        <v>536.381282101525</v>
      </c>
      <c r="W22" s="13" t="n">
        <f aca="false">SUMPRODUCT($F22:$M22,$F$13:$M$13)</f>
        <v>619.770503257633</v>
      </c>
      <c r="X22" s="13" t="n">
        <f aca="false">SUMPRODUCT($F22:$M22,$F$14:$M$14)</f>
        <v>55.779345293187</v>
      </c>
    </row>
    <row r="23" customFormat="false" ht="15" hidden="false" customHeight="false" outlineLevel="0" collapsed="false">
      <c r="A23" s="3" t="s">
        <v>374</v>
      </c>
      <c r="B23" s="3" t="s">
        <v>375</v>
      </c>
      <c r="C23" s="3" t="s">
        <v>376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38.4801444795562</v>
      </c>
      <c r="O23" s="13" t="n">
        <f aca="false">SUMPRODUCT($F23:$M23,$F$5:$M$5)</f>
        <v>65.9362246756282</v>
      </c>
      <c r="P23" s="13" t="n">
        <f aca="false">SUMPRODUCT($F23:$M23,$F$6:$M$6)</f>
        <v>85.0558207157158</v>
      </c>
      <c r="Q23" s="13" t="n">
        <f aca="false">SUMPRODUCT($F23:$M23,$F$7:$M$7)</f>
        <v>113.645533040026</v>
      </c>
      <c r="R23" s="13" t="n">
        <f aca="false">SUMPRODUCT($F23:$M23,$F$8:$M$8)</f>
        <v>176.008788948337</v>
      </c>
      <c r="S23" s="13" t="n">
        <f aca="false">SUMPRODUCT($F23:$M23,$F$9:$M$9)</f>
        <v>239.078163318778</v>
      </c>
      <c r="T23" s="13" t="n">
        <f aca="false">SUMPRODUCT($F23:$M23,$F$10:$M$10)</f>
        <v>307.31785714649</v>
      </c>
      <c r="U23" s="13" t="n">
        <f aca="false">SUMPRODUCT($F23:$M23,$F$11:$M$11)</f>
        <v>380.462253748194</v>
      </c>
      <c r="V23" s="13" t="n">
        <f aca="false">SUMPRODUCT($F23:$M23,$F$12:$M$12)</f>
        <v>443.207348578133</v>
      </c>
      <c r="W23" s="13" t="n">
        <f aca="false">SUMPRODUCT($F23:$M23,$F$13:$M$13)</f>
        <v>510.111353628119</v>
      </c>
      <c r="X23" s="13" t="n">
        <f aca="false">SUMPRODUCT($F23:$M23,$F$14:$M$14)</f>
        <v>45.9100218265307</v>
      </c>
    </row>
    <row r="24" customFormat="false" ht="15" hidden="false" customHeight="false" outlineLevel="0" collapsed="false">
      <c r="A24" s="3" t="s">
        <v>377</v>
      </c>
      <c r="B24" s="3" t="s">
        <v>378</v>
      </c>
      <c r="C24" s="3" t="s">
        <v>379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6.77405656529894</v>
      </c>
      <c r="O24" s="13" t="n">
        <f aca="false">SUMPRODUCT($F24:$M24,$F$5:$M$5)</f>
        <v>11.5937337272421</v>
      </c>
      <c r="P24" s="13" t="n">
        <f aca="false">SUMPRODUCT($F24:$M24,$F$6:$M$6)</f>
        <v>14.9726058341934</v>
      </c>
      <c r="Q24" s="13" t="n">
        <f aca="false">SUMPRODUCT($F24:$M24,$F$7:$M$7)</f>
        <v>20.001496478616</v>
      </c>
      <c r="R24" s="13" t="n">
        <f aca="false">SUMPRODUCT($F24:$M24,$F$8:$M$8)</f>
        <v>30.967478154708</v>
      </c>
      <c r="S24" s="13" t="n">
        <f aca="false">SUMPRODUCT($F24:$M24,$F$9:$M$9)</f>
        <v>42.0446040816612</v>
      </c>
      <c r="T24" s="13" t="n">
        <f aca="false">SUMPRODUCT($F24:$M24,$F$10:$M$10)</f>
        <v>54.0286019773654</v>
      </c>
      <c r="U24" s="13" t="n">
        <f aca="false">SUMPRODUCT($F24:$M24,$F$11:$M$11)</f>
        <v>66.8686880144898</v>
      </c>
      <c r="V24" s="13" t="n">
        <f aca="false">SUMPRODUCT($F24:$M24,$F$12:$M$12)</f>
        <v>77.8919297211958</v>
      </c>
      <c r="W24" s="13" t="n">
        <f aca="false">SUMPRODUCT($F24:$M24,$F$13:$M$13)</f>
        <v>89.6312202601222</v>
      </c>
      <c r="X24" s="13" t="n">
        <f aca="false">SUMPRODUCT($F24:$M24,$F$14:$M$14)</f>
        <v>8.066809823411</v>
      </c>
    </row>
    <row r="25" customFormat="false" ht="15" hidden="false" customHeight="false" outlineLevel="0" collapsed="false">
      <c r="A25" s="3" t="s">
        <v>380</v>
      </c>
      <c r="B25" s="3" t="s">
        <v>381</v>
      </c>
      <c r="C25" s="3" t="s">
        <v>382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383</v>
      </c>
      <c r="B26" s="3" t="s">
        <v>384</v>
      </c>
      <c r="C26" s="3" t="s">
        <v>385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9.59986743648066</v>
      </c>
      <c r="O26" s="13" t="n">
        <f aca="false">SUMPRODUCT($F26:$M26,$F$5:$M$5)</f>
        <v>16.43492277565</v>
      </c>
      <c r="P26" s="13" t="n">
        <f aca="false">SUMPRODUCT($F26:$M26,$F$6:$M$6)</f>
        <v>21.223517797746</v>
      </c>
      <c r="Q26" s="13" t="n">
        <f aca="false">SUMPRODUCT($F26:$M26,$F$7:$M$7)</f>
        <v>28.3525493055197</v>
      </c>
      <c r="R26" s="13" t="n">
        <f aca="false">SUMPRODUCT($F26:$M26,$F$8:$M$8)</f>
        <v>43.8932043281003</v>
      </c>
      <c r="S26" s="13" t="n">
        <f aca="false">SUMPRODUCT($F26:$M26,$F$9:$M$9)</f>
        <v>59.5976714269053</v>
      </c>
      <c r="T26" s="13" t="n">
        <f aca="false">SUMPRODUCT($F26:$M26,$F$10:$M$10)</f>
        <v>76.5830448873349</v>
      </c>
      <c r="U26" s="13" t="n">
        <f aca="false">SUMPRODUCT($F26:$M26,$F$11:$M$11)</f>
        <v>94.7808078217515</v>
      </c>
      <c r="V26" s="13" t="n">
        <f aca="false">SUMPRODUCT($F26:$M26,$F$12:$M$12)</f>
        <v>110.405237346967</v>
      </c>
      <c r="W26" s="13" t="n">
        <f aca="false">SUMPRODUCT($F26:$M26,$F$13:$M$13)</f>
        <v>127.046325381974</v>
      </c>
      <c r="X26" s="13" t="n">
        <f aca="false">SUMPRODUCT($F26:$M26,$F$14:$M$14)</f>
        <v>11.4341692843776</v>
      </c>
    </row>
    <row r="27" customFormat="false" ht="15" hidden="false" customHeight="false" outlineLevel="0" collapsed="false">
      <c r="A27" s="3" t="s">
        <v>386</v>
      </c>
      <c r="B27" s="3" t="s">
        <v>387</v>
      </c>
      <c r="C27" s="3" t="s">
        <v>388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70.2084333658615</v>
      </c>
      <c r="O27" s="13" t="n">
        <f aca="false">SUMPRODUCT($F27:$M27,$F$5:$M$5)</f>
        <v>120.093938141435</v>
      </c>
      <c r="P27" s="13" t="n">
        <f aca="false">SUMPRODUCT($F27:$M27,$F$6:$M$6)</f>
        <v>175.655464307038</v>
      </c>
      <c r="Q27" s="13" t="n">
        <f aca="false">SUMPRODUCT($F27:$M27,$F$7:$M$7)</f>
        <v>278.991590819431</v>
      </c>
      <c r="R27" s="13" t="n">
        <f aca="false">SUMPRODUCT($F27:$M27,$F$8:$M$8)</f>
        <v>453.9785257319</v>
      </c>
      <c r="S27" s="13" t="n">
        <f aca="false">SUMPRODUCT($F27:$M27,$F$9:$M$9)</f>
        <v>628.552670214907</v>
      </c>
      <c r="T27" s="13" t="n">
        <f aca="false">SUMPRODUCT($F27:$M27,$F$10:$M$10)</f>
        <v>832.542028293946</v>
      </c>
      <c r="U27" s="13" t="n">
        <f aca="false">SUMPRODUCT($F27:$M27,$F$11:$M$11)</f>
        <v>1045.48110122549</v>
      </c>
      <c r="V27" s="13" t="n">
        <f aca="false">SUMPRODUCT($F27:$M27,$F$12:$M$12)</f>
        <v>1202.48569876398</v>
      </c>
      <c r="W27" s="13" t="n">
        <f aca="false">SUMPRODUCT($F27:$M27,$F$13:$M$13)</f>
        <v>1388.30644664223</v>
      </c>
      <c r="X27" s="13" t="n">
        <f aca="false">SUMPRODUCT($F27:$M27,$F$14:$M$14)</f>
        <v>124.947580197801</v>
      </c>
    </row>
    <row r="28" customFormat="false" ht="15" hidden="false" customHeight="false" outlineLevel="0" collapsed="false">
      <c r="A28" s="3" t="s">
        <v>389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30.4274902625303</v>
      </c>
      <c r="O28" s="13" t="n">
        <f aca="false">SUMPRODUCT($F28:$M28,$F$5:$M$5)</f>
        <v>52.0922517348041</v>
      </c>
      <c r="P28" s="13" t="n">
        <f aca="false">SUMPRODUCT($F28:$M28,$F$6:$M$6)</f>
        <v>74.3021779554692</v>
      </c>
      <c r="Q28" s="13" t="n">
        <f aca="false">SUMPRODUCT($F28:$M28,$F$7:$M$7)</f>
        <v>114.473998974077</v>
      </c>
      <c r="R28" s="13" t="n">
        <f aca="false">SUMPRODUCT($F28:$M28,$F$8:$M$8)</f>
        <v>184.783058495454</v>
      </c>
      <c r="S28" s="13" t="n">
        <f aca="false">SUMPRODUCT($F28:$M28,$F$9:$M$9)</f>
        <v>255.111243241618</v>
      </c>
      <c r="T28" s="13" t="n">
        <f aca="false">SUMPRODUCT($F28:$M28,$F$10:$M$10)</f>
        <v>336.369242723111</v>
      </c>
      <c r="U28" s="13" t="n">
        <f aca="false">SUMPRODUCT($F28:$M28,$F$11:$M$11)</f>
        <v>421.502700686593</v>
      </c>
      <c r="V28" s="13" t="n">
        <f aca="false">SUMPRODUCT($F28:$M28,$F$12:$M$12)</f>
        <v>485.719750382854</v>
      </c>
      <c r="W28" s="13" t="n">
        <f aca="false">SUMPRODUCT($F28:$M28,$F$13:$M$13)</f>
        <v>560.518138296411</v>
      </c>
      <c r="X28" s="13" t="n">
        <f aca="false">SUMPRODUCT($F28:$M28,$F$14:$M$14)</f>
        <v>50.446632446677</v>
      </c>
    </row>
    <row r="29" customFormat="false" ht="15" hidden="false" customHeight="false" outlineLevel="0" collapsed="false">
      <c r="A29" s="3" t="s">
        <v>390</v>
      </c>
      <c r="B29" s="3" t="s">
        <v>391</v>
      </c>
      <c r="C29" s="3" t="s">
        <v>392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2.05337925892553</v>
      </c>
      <c r="O29" s="13" t="n">
        <f aca="false">SUMPRODUCT($F29:$M29,$F$5:$M$5)</f>
        <v>3.51851421333431</v>
      </c>
      <c r="P29" s="13" t="n">
        <f aca="false">SUMPRODUCT($F29:$M29,$F$6:$M$6)</f>
        <v>4.53921902005638</v>
      </c>
      <c r="Q29" s="13" t="n">
        <f aca="false">SUMPRODUCT($F29:$M29,$F$7:$M$7)</f>
        <v>6.06491765764109</v>
      </c>
      <c r="R29" s="13" t="n">
        <f aca="false">SUMPRODUCT($F29:$M29,$F$8:$M$8)</f>
        <v>9.39236334640519</v>
      </c>
      <c r="S29" s="13" t="n">
        <f aca="false">SUMPRODUCT($F29:$M29,$F$9:$M$9)</f>
        <v>12.7576696606109</v>
      </c>
      <c r="T29" s="13" t="n">
        <f aca="false">SUMPRODUCT($F29:$M29,$F$10:$M$10)</f>
        <v>16.3983563591289</v>
      </c>
      <c r="U29" s="13" t="n">
        <f aca="false">SUMPRODUCT($F29:$M29,$F$11:$M$11)</f>
        <v>20.3004516013797</v>
      </c>
      <c r="V29" s="13" t="n">
        <f aca="false">SUMPRODUCT($F29:$M29,$F$12:$M$12)</f>
        <v>23.6482034730972</v>
      </c>
      <c r="W29" s="13" t="n">
        <f aca="false">SUMPRODUCT($F29:$M29,$F$13:$M$13)</f>
        <v>27.2175459311392</v>
      </c>
      <c r="X29" s="13" t="n">
        <f aca="false">SUMPRODUCT($F29:$M29,$F$14:$M$14)</f>
        <v>2.44957913380253</v>
      </c>
    </row>
    <row r="30" customFormat="false" ht="15" hidden="false" customHeight="false" outlineLevel="0" collapsed="false">
      <c r="A30" s="3" t="s">
        <v>393</v>
      </c>
      <c r="B30" s="3" t="s">
        <v>394</v>
      </c>
      <c r="C30" s="3" t="s">
        <v>395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5.83588351034619</v>
      </c>
      <c r="O30" s="13" t="n">
        <f aca="false">SUMPRODUCT($F30:$M30,$F$5:$M$5)</f>
        <v>9.95803864543695</v>
      </c>
      <c r="P30" s="13" t="n">
        <f aca="false">SUMPRODUCT($F30:$M30,$F$6:$M$6)</f>
        <v>13.8764201492774</v>
      </c>
      <c r="Q30" s="13" t="n">
        <f aca="false">SUMPRODUCT($F30:$M30,$F$7:$M$7)</f>
        <v>20.7132410867983</v>
      </c>
      <c r="R30" s="13" t="n">
        <f aca="false">SUMPRODUCT($F30:$M30,$F$8:$M$8)</f>
        <v>33.1746717575052</v>
      </c>
      <c r="S30" s="13" t="n">
        <f aca="false">SUMPRODUCT($F30:$M30,$F$9:$M$9)</f>
        <v>45.603145745179</v>
      </c>
      <c r="T30" s="13" t="n">
        <f aca="false">SUMPRODUCT($F30:$M30,$F$10:$M$10)</f>
        <v>59.8088174066303</v>
      </c>
      <c r="U30" s="13" t="n">
        <f aca="false">SUMPRODUCT($F30:$M30,$F$11:$M$11)</f>
        <v>74.7614380686781</v>
      </c>
      <c r="V30" s="13" t="n">
        <f aca="false">SUMPRODUCT($F30:$M30,$F$12:$M$12)</f>
        <v>86.3470346390454</v>
      </c>
      <c r="W30" s="13" t="n">
        <f aca="false">SUMPRODUCT($F30:$M30,$F$13:$M$13)</f>
        <v>99.5924955869416</v>
      </c>
      <c r="X30" s="13" t="n">
        <f aca="false">SUMPRODUCT($F30:$M30,$F$14:$M$14)</f>
        <v>8.96332460282474</v>
      </c>
    </row>
    <row r="31" customFormat="false" ht="15" hidden="false" customHeight="false" outlineLevel="0" collapsed="false">
      <c r="A31" s="3" t="s">
        <v>396</v>
      </c>
      <c r="B31" s="3" t="s">
        <v>397</v>
      </c>
      <c r="C31" s="3" t="s">
        <v>398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1.28785593934275</v>
      </c>
      <c r="O31" s="13" t="n">
        <f aca="false">SUMPRODUCT($F31:$M31,$F$5:$M$5)</f>
        <v>2.19630014358138</v>
      </c>
      <c r="P31" s="13" t="n">
        <f aca="false">SUMPRODUCT($F31:$M31,$F$6:$M$6)</f>
        <v>3.09083678564798</v>
      </c>
      <c r="Q31" s="13" t="n">
        <f aca="false">SUMPRODUCT($F31:$M31,$F$7:$M$7)</f>
        <v>4.67290046689615</v>
      </c>
      <c r="R31" s="13" t="n">
        <f aca="false">SUMPRODUCT($F31:$M31,$F$8:$M$8)</f>
        <v>7.51097099384254</v>
      </c>
      <c r="S31" s="13" t="n">
        <f aca="false">SUMPRODUCT($F31:$M31,$F$9:$M$9)</f>
        <v>10.3376472979105</v>
      </c>
      <c r="T31" s="13" t="n">
        <f aca="false">SUMPRODUCT($F31:$M31,$F$10:$M$10)</f>
        <v>13.5856746550635</v>
      </c>
      <c r="U31" s="13" t="n">
        <f aca="false">SUMPRODUCT($F31:$M31,$F$11:$M$11)</f>
        <v>16.9986552170545</v>
      </c>
      <c r="V31" s="13" t="n">
        <f aca="false">SUMPRODUCT($F31:$M31,$F$12:$M$12)</f>
        <v>19.6160750370033</v>
      </c>
      <c r="W31" s="13" t="n">
        <f aca="false">SUMPRODUCT($F31:$M31,$F$13:$M$13)</f>
        <v>22.6299950691405</v>
      </c>
      <c r="X31" s="13" t="n">
        <f aca="false">SUMPRODUCT($F31:$M31,$F$14:$M$14)</f>
        <v>2.03669955622264</v>
      </c>
    </row>
    <row r="32" customFormat="false" ht="15" hidden="false" customHeight="false" outlineLevel="0" collapsed="false">
      <c r="A32" s="3" t="s">
        <v>399</v>
      </c>
      <c r="B32" s="3" t="s">
        <v>400</v>
      </c>
      <c r="C32" s="3" t="s">
        <v>401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1.36891950595035</v>
      </c>
      <c r="O32" s="13" t="n">
        <f aca="false">SUMPRODUCT($F32:$M32,$F$5:$M$5)</f>
        <v>2.34567614222287</v>
      </c>
      <c r="P32" s="13" t="n">
        <f aca="false">SUMPRODUCT($F32:$M32,$F$6:$M$6)</f>
        <v>3.02614601337092</v>
      </c>
      <c r="Q32" s="13" t="n">
        <f aca="false">SUMPRODUCT($F32:$M32,$F$7:$M$7)</f>
        <v>4.04327843842739</v>
      </c>
      <c r="R32" s="13" t="n">
        <f aca="false">SUMPRODUCT($F32:$M32,$F$8:$M$8)</f>
        <v>6.26157556427012</v>
      </c>
      <c r="S32" s="13" t="n">
        <f aca="false">SUMPRODUCT($F32:$M32,$F$9:$M$9)</f>
        <v>8.50511310707394</v>
      </c>
      <c r="T32" s="13" t="n">
        <f aca="false">SUMPRODUCT($F32:$M32,$F$10:$M$10)</f>
        <v>10.9322375727526</v>
      </c>
      <c r="U32" s="13" t="n">
        <f aca="false">SUMPRODUCT($F32:$M32,$F$11:$M$11)</f>
        <v>13.5336344009198</v>
      </c>
      <c r="V32" s="13" t="n">
        <f aca="false">SUMPRODUCT($F32:$M32,$F$12:$M$12)</f>
        <v>15.7654689820648</v>
      </c>
      <c r="W32" s="13" t="n">
        <f aca="false">SUMPRODUCT($F32:$M32,$F$13:$M$13)</f>
        <v>18.1450306207595</v>
      </c>
      <c r="X32" s="13" t="n">
        <f aca="false">SUMPRODUCT($F32:$M32,$F$14:$M$14)</f>
        <v>1.63305275586835</v>
      </c>
    </row>
    <row r="33" customFormat="false" ht="15" hidden="false" customHeight="false" outlineLevel="0" collapsed="false">
      <c r="A33" s="3" t="s">
        <v>402</v>
      </c>
      <c r="B33" s="3" t="s">
        <v>403</v>
      </c>
      <c r="C33" s="3" t="s">
        <v>404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0.342229876487589</v>
      </c>
      <c r="O33" s="13" t="n">
        <f aca="false">SUMPRODUCT($F33:$M33,$F$5:$M$5)</f>
        <v>0.586419035555718</v>
      </c>
      <c r="P33" s="13" t="n">
        <f aca="false">SUMPRODUCT($F33:$M33,$F$6:$M$6)</f>
        <v>0.90103650334273</v>
      </c>
      <c r="Q33" s="13" t="n">
        <f aca="false">SUMPRODUCT($F33:$M33,$F$7:$M$7)</f>
        <v>1.51431960960685</v>
      </c>
      <c r="R33" s="13" t="n">
        <f aca="false">SUMPRODUCT($F33:$M33,$F$8:$M$8)</f>
        <v>2.49789389106753</v>
      </c>
      <c r="S33" s="13" t="n">
        <f aca="false">SUMPRODUCT($F33:$M33,$F$9:$M$9)</f>
        <v>3.47827827676848</v>
      </c>
      <c r="T33" s="13" t="n">
        <f aca="false">SUMPRODUCT($F33:$M33,$F$10:$M$10)</f>
        <v>4.64405939318814</v>
      </c>
      <c r="U33" s="13" t="n">
        <f aca="false">SUMPRODUCT($F33:$M33,$F$11:$M$11)</f>
        <v>5.85340860022994</v>
      </c>
      <c r="V33" s="13" t="n">
        <f aca="false">SUMPRODUCT($F33:$M33,$F$12:$M$12)</f>
        <v>6.7103672455162</v>
      </c>
      <c r="W33" s="13" t="n">
        <f aca="false">SUMPRODUCT($F33:$M33,$F$13:$M$13)</f>
        <v>7.75375765518987</v>
      </c>
      <c r="X33" s="13" t="n">
        <f aca="false">SUMPRODUCT($F33:$M33,$F$14:$M$14)</f>
        <v>0.697838188967088</v>
      </c>
    </row>
    <row r="34" customFormat="false" ht="15" hidden="false" customHeight="false" outlineLevel="0" collapsed="false">
      <c r="A34" s="3" t="s">
        <v>405</v>
      </c>
      <c r="B34" s="3" t="s">
        <v>406</v>
      </c>
      <c r="C34" s="3" t="s">
        <v>407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408</v>
      </c>
      <c r="B35" s="3" t="s">
        <v>409</v>
      </c>
      <c r="C35" s="3" t="s">
        <v>410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75.2563335725177</v>
      </c>
      <c r="O35" s="13" t="n">
        <f aca="false">SUMPRODUCT($F35:$M35,$F$5:$M$5)</f>
        <v>129.318629173661</v>
      </c>
      <c r="P35" s="13" t="n">
        <f aca="false">SUMPRODUCT($F35:$M35,$F$6:$M$6)</f>
        <v>198.679717175949</v>
      </c>
      <c r="Q35" s="13" t="n">
        <f aca="false">SUMPRODUCT($F35:$M35,$F$7:$M$7)</f>
        <v>333.79747676297</v>
      </c>
      <c r="R35" s="13" t="n">
        <f aca="false">SUMPRODUCT($F35:$M35,$F$8:$M$8)</f>
        <v>550.044606106099</v>
      </c>
      <c r="S35" s="13" t="n">
        <f aca="false">SUMPRODUCT($F35:$M35,$F$9:$M$9)</f>
        <v>766.201251121746</v>
      </c>
      <c r="T35" s="13" t="n">
        <f aca="false">SUMPRODUCT($F35:$M35,$F$10:$M$10)</f>
        <v>1022.77582722098</v>
      </c>
      <c r="U35" s="13" t="n">
        <f aca="false">SUMPRODUCT($F35:$M35,$F$11:$M$11)</f>
        <v>1288.77360291908</v>
      </c>
      <c r="V35" s="13" t="n">
        <f aca="false">SUMPRODUCT($F35:$M35,$F$12:$M$12)</f>
        <v>1477.13820050496</v>
      </c>
      <c r="W35" s="13" t="n">
        <f aca="false">SUMPRODUCT($F35:$M35,$F$13:$M$13)</f>
        <v>1706.46202561832</v>
      </c>
      <c r="X35" s="13" t="n">
        <f aca="false">SUMPRODUCT($F35:$M35,$F$14:$M$14)</f>
        <v>153.581582305648</v>
      </c>
    </row>
    <row r="36" customFormat="false" ht="15" hidden="false" customHeight="false" outlineLevel="0" collapsed="false">
      <c r="A36" s="3" t="s">
        <v>411</v>
      </c>
      <c r="B36" s="3" t="s">
        <v>412</v>
      </c>
      <c r="C36" s="3" t="s">
        <v>413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414</v>
      </c>
      <c r="B37" s="3" t="s">
        <v>415</v>
      </c>
      <c r="C37" s="3" t="s">
        <v>416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11.2389658125177</v>
      </c>
      <c r="O37" s="13" t="n">
        <f aca="false">SUMPRODUCT($F37:$M37,$F$5:$M$5)</f>
        <v>18.7250068186259</v>
      </c>
      <c r="P37" s="13" t="n">
        <f aca="false">SUMPRODUCT($F37:$M37,$F$6:$M$6)</f>
        <v>29.0262449911436</v>
      </c>
      <c r="Q37" s="13" t="n">
        <f aca="false">SUMPRODUCT($F37:$M37,$F$7:$M$7)</f>
        <v>48.5461847697695</v>
      </c>
      <c r="R37" s="13" t="n">
        <f aca="false">SUMPRODUCT($F37:$M37,$F$8:$M$8)</f>
        <v>80.2164651509131</v>
      </c>
      <c r="S37" s="13" t="n">
        <f aca="false">SUMPRODUCT($F37:$M37,$F$9:$M$9)</f>
        <v>111.047025185647</v>
      </c>
      <c r="T37" s="13" t="n">
        <f aca="false">SUMPRODUCT($F37:$M37,$F$10:$M$10)</f>
        <v>148.098944954273</v>
      </c>
      <c r="U37" s="13" t="n">
        <f aca="false">SUMPRODUCT($F37:$M37,$F$11:$M$11)</f>
        <v>186.573804572899</v>
      </c>
      <c r="V37" s="13" t="n">
        <f aca="false">SUMPRODUCT($F37:$M37,$F$12:$M$12)</f>
        <v>214.040122601525</v>
      </c>
      <c r="W37" s="13" t="n">
        <f aca="false">SUMPRODUCT($F37:$M37,$F$13:$M$13)</f>
        <v>247.200647257633</v>
      </c>
      <c r="X37" s="13" t="n">
        <f aca="false">SUMPRODUCT($F37:$M37,$F$14:$M$14)</f>
        <v>22.248058253187</v>
      </c>
    </row>
    <row r="38" customFormat="false" ht="15" hidden="false" customHeight="false" outlineLevel="0" collapsed="false">
      <c r="A38" s="3" t="s">
        <v>417</v>
      </c>
      <c r="B38" s="3" t="s">
        <v>418</v>
      </c>
      <c r="C38" s="3" t="s">
        <v>419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6950.96971571143</v>
      </c>
      <c r="O38" s="13" t="n">
        <f aca="false">SUMPRODUCT($F38:$M38,$F$5:$M$5)</f>
        <v>11881.9571212096</v>
      </c>
      <c r="P38" s="13" t="n">
        <f aca="false">SUMPRODUCT($F38:$M38,$F$6:$M$6)</f>
        <v>15345.7691087189</v>
      </c>
      <c r="Q38" s="13" t="n">
        <f aca="false">SUMPRODUCT($F38:$M38,$F$7:$M$7)</f>
        <v>20498.4971132887</v>
      </c>
      <c r="R38" s="13" t="n">
        <f aca="false">SUMPRODUCT($F38:$M38,$F$8:$M$8)</f>
        <v>31752.5927310442</v>
      </c>
      <c r="S38" s="13" t="n">
        <f aca="false">SUMPRODUCT($F38:$M38,$F$9:$M$9)</f>
        <v>43100.8670187636</v>
      </c>
      <c r="T38" s="13" t="n">
        <f aca="false">SUMPRODUCT($F38:$M38,$F$10:$M$10)</f>
        <v>55395.5147626713</v>
      </c>
      <c r="U38" s="13" t="n">
        <f aca="false">SUMPRODUCT($F38:$M38,$F$11:$M$11)</f>
        <v>68572.9326307812</v>
      </c>
      <c r="V38" s="13" t="n">
        <f aca="false">SUMPRODUCT($F38:$M38,$F$12:$M$12)</f>
        <v>79878.3637288043</v>
      </c>
      <c r="W38" s="13" t="n">
        <f aca="false">SUMPRODUCT($F38:$M38,$F$13:$M$13)</f>
        <v>91914.8674492459</v>
      </c>
      <c r="X38" s="13" t="n">
        <f aca="false">SUMPRODUCT($F38:$M38,$F$14:$M$14)</f>
        <v>8272.33807043213</v>
      </c>
    </row>
    <row r="39" customFormat="false" ht="15" hidden="false" customHeight="false" outlineLevel="0" collapsed="false">
      <c r="A39" s="3" t="s">
        <v>420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40.8391407502411</v>
      </c>
      <c r="O39" s="13" t="n">
        <f aca="false">SUMPRODUCT($F39:$M39,$F$5:$M$5)</f>
        <v>69.8257034306813</v>
      </c>
      <c r="P39" s="13" t="n">
        <f aca="false">SUMPRODUCT($F39:$M39,$F$6:$M$6)</f>
        <v>90.1671188271186</v>
      </c>
      <c r="Q39" s="13" t="n">
        <f aca="false">SUMPRODUCT($F39:$M39,$F$7:$M$7)</f>
        <v>120.44654992633</v>
      </c>
      <c r="R39" s="13" t="n">
        <f aca="false">SUMPRODUCT($F39:$M39,$F$8:$M$8)</f>
        <v>186.577485272908</v>
      </c>
      <c r="S39" s="13" t="n">
        <f aca="false">SUMPRODUCT($F39:$M39,$F$9:$M$9)</f>
        <v>253.278361162714</v>
      </c>
      <c r="T39" s="13" t="n">
        <f aca="false">SUMPRODUCT($F39:$M39,$F$10:$M$10)</f>
        <v>325.537416708951</v>
      </c>
      <c r="U39" s="13" t="n">
        <f aca="false">SUMPRODUCT($F39:$M39,$F$11:$M$11)</f>
        <v>402.987666798266</v>
      </c>
      <c r="V39" s="13" t="n">
        <f aca="false">SUMPRODUCT($F39:$M39,$F$12:$M$12)</f>
        <v>469.43050016161</v>
      </c>
      <c r="W39" s="13" t="n">
        <f aca="false">SUMPRODUCT($F39:$M39,$F$13:$M$13)</f>
        <v>540.182738757506</v>
      </c>
      <c r="X39" s="13" t="n">
        <f aca="false">SUMPRODUCT($F39:$M39,$F$14:$M$14)</f>
        <v>48.6164464881755</v>
      </c>
    </row>
    <row r="40" customFormat="false" ht="15" hidden="false" customHeight="false" outlineLevel="0" collapsed="false">
      <c r="A40" s="3" t="s">
        <v>421</v>
      </c>
      <c r="B40" s="3" t="s">
        <v>422</v>
      </c>
      <c r="C40" s="3" t="s">
        <v>423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547.567802380142</v>
      </c>
      <c r="O40" s="13" t="n">
        <f aca="false">SUMPRODUCT($F40:$M40,$F$5:$M$5)</f>
        <v>938.270456889149</v>
      </c>
      <c r="P40" s="13" t="n">
        <f aca="false">SUMPRODUCT($F40:$M40,$F$6:$M$6)</f>
        <v>1210.45840534837</v>
      </c>
      <c r="Q40" s="13" t="n">
        <f aca="false">SUMPRODUCT($F40:$M40,$F$7:$M$7)</f>
        <v>1617.31137537096</v>
      </c>
      <c r="R40" s="13" t="n">
        <f aca="false">SUMPRODUCT($F40:$M40,$F$8:$M$8)</f>
        <v>2504.63022570805</v>
      </c>
      <c r="S40" s="13" t="n">
        <f aca="false">SUMPRODUCT($F40:$M40,$F$9:$M$9)</f>
        <v>3402.04524282957</v>
      </c>
      <c r="T40" s="13" t="n">
        <f aca="false">SUMPRODUCT($F40:$M40,$F$10:$M$10)</f>
        <v>4372.89502910103</v>
      </c>
      <c r="U40" s="13" t="n">
        <f aca="false">SUMPRODUCT($F40:$M40,$F$11:$M$11)</f>
        <v>5413.45376036791</v>
      </c>
      <c r="V40" s="13" t="n">
        <f aca="false">SUMPRODUCT($F40:$M40,$F$12:$M$12)</f>
        <v>6306.18759282592</v>
      </c>
      <c r="W40" s="13" t="n">
        <f aca="false">SUMPRODUCT($F40:$M40,$F$13:$M$13)</f>
        <v>7258.01224830379</v>
      </c>
      <c r="X40" s="13" t="n">
        <f aca="false">SUMPRODUCT($F40:$M40,$F$14:$M$14)</f>
        <v>653.221102347342</v>
      </c>
    </row>
    <row r="41" customFormat="false" ht="15" hidden="false" customHeight="false" outlineLevel="0" collapsed="false">
      <c r="A41" s="3" t="s">
        <v>424</v>
      </c>
      <c r="B41" s="3" t="s">
        <v>425</v>
      </c>
      <c r="C41" s="3" t="s">
        <v>426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273.783901190071</v>
      </c>
      <c r="O41" s="13" t="n">
        <f aca="false">SUMPRODUCT($F41:$M41,$F$5:$M$5)</f>
        <v>469.135228444574</v>
      </c>
      <c r="P41" s="13" t="n">
        <f aca="false">SUMPRODUCT($F41:$M41,$F$6:$M$6)</f>
        <v>605.229202674184</v>
      </c>
      <c r="Q41" s="13" t="n">
        <f aca="false">SUMPRODUCT($F41:$M41,$F$7:$M$7)</f>
        <v>808.655687685479</v>
      </c>
      <c r="R41" s="13" t="n">
        <f aca="false">SUMPRODUCT($F41:$M41,$F$8:$M$8)</f>
        <v>1252.31511285402</v>
      </c>
      <c r="S41" s="13" t="n">
        <f aca="false">SUMPRODUCT($F41:$M41,$F$9:$M$9)</f>
        <v>1701.02262141479</v>
      </c>
      <c r="T41" s="13" t="n">
        <f aca="false">SUMPRODUCT($F41:$M41,$F$10:$M$10)</f>
        <v>2186.44751455051</v>
      </c>
      <c r="U41" s="13" t="n">
        <f aca="false">SUMPRODUCT($F41:$M41,$F$11:$M$11)</f>
        <v>2706.72688018395</v>
      </c>
      <c r="V41" s="13" t="n">
        <f aca="false">SUMPRODUCT($F41:$M41,$F$12:$M$12)</f>
        <v>3153.09379641296</v>
      </c>
      <c r="W41" s="13" t="n">
        <f aca="false">SUMPRODUCT($F41:$M41,$F$13:$M$13)</f>
        <v>3629.0061241519</v>
      </c>
      <c r="X41" s="13" t="n">
        <f aca="false">SUMPRODUCT($F41:$M41,$F$14:$M$14)</f>
        <v>326.610551173671</v>
      </c>
    </row>
    <row r="42" customFormat="false" ht="15" hidden="false" customHeight="false" outlineLevel="0" collapsed="false">
      <c r="A42" s="3" t="s">
        <v>427</v>
      </c>
      <c r="B42" s="3" t="s">
        <v>428</v>
      </c>
      <c r="C42" s="3" t="s">
        <v>429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430</v>
      </c>
      <c r="B43" s="3" t="s">
        <v>431</v>
      </c>
      <c r="C43" s="3" t="s">
        <v>432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150.512667145035</v>
      </c>
      <c r="O43" s="13" t="n">
        <f aca="false">SUMPRODUCT($F43:$M43,$F$5:$M$5)</f>
        <v>258.637258347323</v>
      </c>
      <c r="P43" s="13" t="n">
        <f aca="false">SUMPRODUCT($F43:$M43,$F$6:$M$6)</f>
        <v>333.759434351897</v>
      </c>
      <c r="Q43" s="13" t="n">
        <f aca="false">SUMPRODUCT($F43:$M43,$F$7:$M$7)</f>
        <v>445.99495352594</v>
      </c>
      <c r="R43" s="13" t="n">
        <f aca="false">SUMPRODUCT($F43:$M43,$F$8:$M$8)</f>
        <v>689.689212212198</v>
      </c>
      <c r="S43" s="13" t="n">
        <f aca="false">SUMPRODUCT($F43:$M43,$F$9:$M$9)</f>
        <v>937.202502243493</v>
      </c>
      <c r="T43" s="13" t="n">
        <f aca="false">SUMPRODUCT($F43:$M43,$F$10:$M$10)</f>
        <v>1203.95165444197</v>
      </c>
      <c r="U43" s="13" t="n">
        <f aca="false">SUMPRODUCT($F43:$M43,$F$11:$M$11)</f>
        <v>1489.54720583816</v>
      </c>
      <c r="V43" s="13" t="n">
        <f aca="false">SUMPRODUCT($F43:$M43,$F$12:$M$12)</f>
        <v>1735.07640100991</v>
      </c>
      <c r="W43" s="13" t="n">
        <f aca="false">SUMPRODUCT($F43:$M43,$F$13:$M$13)</f>
        <v>1996.92405123663</v>
      </c>
      <c r="X43" s="13" t="n">
        <f aca="false">SUMPRODUCT($F43:$M43,$F$14:$M$14)</f>
        <v>179.723164611297</v>
      </c>
    </row>
    <row r="44" customFormat="false" ht="15" hidden="false" customHeight="false" outlineLevel="0" collapsed="false">
      <c r="A44" s="3" t="s">
        <v>433</v>
      </c>
      <c r="B44" s="3" t="s">
        <v>434</v>
      </c>
      <c r="C44" s="3" t="s">
        <v>435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55.1676513250354</v>
      </c>
      <c r="O44" s="13" t="n">
        <f aca="false">SUMPRODUCT($F44:$M44,$F$5:$M$5)</f>
        <v>93.5736751972518</v>
      </c>
      <c r="P44" s="13" t="n">
        <f aca="false">SUMPRODUCT($F44:$M44,$F$6:$M$6)</f>
        <v>121.052688362287</v>
      </c>
      <c r="Q44" s="13" t="n">
        <f aca="false">SUMPRODUCT($F44:$M44,$F$7:$M$7)</f>
        <v>161.601028359539</v>
      </c>
      <c r="R44" s="13" t="n">
        <f aca="false">SUMPRODUCT($F44:$M44,$F$8:$M$8)</f>
        <v>250.873893641826</v>
      </c>
      <c r="S44" s="13" t="n">
        <f aca="false">SUMPRODUCT($F44:$M44,$F$9:$M$9)</f>
        <v>339.951153771294</v>
      </c>
      <c r="T44" s="13" t="n">
        <f aca="false">SUMPRODUCT($F44:$M44,$F$10:$M$10)</f>
        <v>437.159393708546</v>
      </c>
      <c r="U44" s="13" t="n">
        <f aca="false">SUMPRODUCT($F44:$M44,$F$11:$M$11)</f>
        <v>541.482332945798</v>
      </c>
      <c r="V44" s="13" t="n">
        <f aca="false">SUMPRODUCT($F44:$M44,$F$12:$M$12)</f>
        <v>630.76256420305</v>
      </c>
      <c r="W44" s="13" t="n">
        <f aca="false">SUMPRODUCT($F44:$M44,$F$13:$M$13)</f>
        <v>725.541006515266</v>
      </c>
      <c r="X44" s="13" t="n">
        <f aca="false">SUMPRODUCT($F44:$M44,$F$14:$M$14)</f>
        <v>65.2986905863739</v>
      </c>
    </row>
    <row r="45" customFormat="false" ht="15" hidden="false" customHeight="false" outlineLevel="0" collapsed="false">
      <c r="A45" s="3" t="s">
        <v>436</v>
      </c>
      <c r="B45" s="3" t="s">
        <v>437</v>
      </c>
      <c r="C45" s="3" t="s">
        <v>438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439</v>
      </c>
      <c r="B46" s="3" t="s">
        <v>440</v>
      </c>
      <c r="C46" s="3" t="s">
        <v>441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102.840159235035</v>
      </c>
      <c r="O46" s="13" t="n">
        <f aca="false">SUMPRODUCT($F46:$M46,$F$5:$M$5)</f>
        <v>176.105466772287</v>
      </c>
      <c r="P46" s="13" t="n">
        <f aca="false">SUMPRODUCT($F46:$M46,$F$6:$M$6)</f>
        <v>227.406061357092</v>
      </c>
      <c r="Q46" s="13" t="n">
        <f aca="false">SUMPRODUCT($F46:$M46,$F$7:$M$7)</f>
        <v>303.797990942739</v>
      </c>
      <c r="R46" s="13" t="n">
        <f aca="false">SUMPRODUCT($F46:$M46,$F$8:$M$8)</f>
        <v>470.281552927012</v>
      </c>
      <c r="S46" s="13" t="n">
        <f aca="false">SUMPRODUCT($F46:$M46,$F$9:$M$9)</f>
        <v>638.576828007394</v>
      </c>
      <c r="T46" s="13" t="n">
        <f aca="false">SUMPRODUCT($F46:$M46,$F$10:$M$10)</f>
        <v>820.555524075257</v>
      </c>
      <c r="U46" s="13" t="n">
        <f aca="false">SUMPRODUCT($F46:$M46,$F$11:$M$11)</f>
        <v>1015.51476939198</v>
      </c>
      <c r="V46" s="13" t="n">
        <f aca="false">SUMPRODUCT($F46:$M46,$F$12:$M$12)</f>
        <v>1182.91948260648</v>
      </c>
      <c r="W46" s="13" t="n">
        <f aca="false">SUMPRODUCT($F46:$M46,$F$13:$M$13)</f>
        <v>1361.23252887595</v>
      </c>
      <c r="X46" s="13" t="n">
        <f aca="false">SUMPRODUCT($F46:$M46,$F$14:$M$14)</f>
        <v>122.510927598835</v>
      </c>
    </row>
    <row r="47" customFormat="false" ht="15" hidden="false" customHeight="false" outlineLevel="0" collapsed="false">
      <c r="A47" s="3" t="s">
        <v>442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136.891950595035</v>
      </c>
      <c r="O47" s="13" t="n">
        <f aca="false">SUMPRODUCT($F47:$M47,$F$5:$M$5)</f>
        <v>234.567614222287</v>
      </c>
      <c r="P47" s="13" t="n">
        <f aca="false">SUMPRODUCT($F47:$M47,$F$6:$M$6)</f>
        <v>302.614601337092</v>
      </c>
      <c r="Q47" s="13" t="n">
        <f aca="false">SUMPRODUCT($F47:$M47,$F$7:$M$7)</f>
        <v>404.327843842739</v>
      </c>
      <c r="R47" s="13" t="n">
        <f aca="false">SUMPRODUCT($F47:$M47,$F$8:$M$8)</f>
        <v>626.157556427012</v>
      </c>
      <c r="S47" s="13" t="n">
        <f aca="false">SUMPRODUCT($F47:$M47,$F$9:$M$9)</f>
        <v>850.511310707394</v>
      </c>
      <c r="T47" s="13" t="n">
        <f aca="false">SUMPRODUCT($F47:$M47,$F$10:$M$10)</f>
        <v>1093.22375727526</v>
      </c>
      <c r="U47" s="13" t="n">
        <f aca="false">SUMPRODUCT($F47:$M47,$F$11:$M$11)</f>
        <v>1353.36344009198</v>
      </c>
      <c r="V47" s="13" t="n">
        <f aca="false">SUMPRODUCT($F47:$M47,$F$12:$M$12)</f>
        <v>1576.54689820648</v>
      </c>
      <c r="W47" s="13" t="n">
        <f aca="false">SUMPRODUCT($F47:$M47,$F$13:$M$13)</f>
        <v>1814.50306207595</v>
      </c>
      <c r="X47" s="13" t="n">
        <f aca="false">SUMPRODUCT($F47:$M47,$F$14:$M$14)</f>
        <v>163.305275586835</v>
      </c>
    </row>
    <row r="48" customFormat="false" ht="15" hidden="false" customHeight="false" outlineLevel="0" collapsed="false">
      <c r="A48" s="3" t="s">
        <v>443</v>
      </c>
      <c r="B48" s="3" t="s">
        <v>444</v>
      </c>
      <c r="C48" s="3" t="s">
        <v>445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446</v>
      </c>
      <c r="B49" s="3" t="s">
        <v>447</v>
      </c>
      <c r="C49" s="3" t="s">
        <v>448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75.2563335725177</v>
      </c>
      <c r="O49" s="13" t="n">
        <f aca="false">SUMPRODUCT($F49:$M49,$F$5:$M$5)</f>
        <v>129.318629173661</v>
      </c>
      <c r="P49" s="13" t="n">
        <f aca="false">SUMPRODUCT($F49:$M49,$F$6:$M$6)</f>
        <v>166.879717175949</v>
      </c>
      <c r="Q49" s="13" t="n">
        <f aca="false">SUMPRODUCT($F49:$M49,$F$7:$M$7)</f>
        <v>222.99747676297</v>
      </c>
      <c r="R49" s="13" t="n">
        <f aca="false">SUMPRODUCT($F49:$M49,$F$8:$M$8)</f>
        <v>344.844606106099</v>
      </c>
      <c r="S49" s="13" t="n">
        <f aca="false">SUMPRODUCT($F49:$M49,$F$9:$M$9)</f>
        <v>468.601251121746</v>
      </c>
      <c r="T49" s="13" t="n">
        <f aca="false">SUMPRODUCT($F49:$M49,$F$10:$M$10)</f>
        <v>601.975827220984</v>
      </c>
      <c r="U49" s="13" t="n">
        <f aca="false">SUMPRODUCT($F49:$M49,$F$11:$M$11)</f>
        <v>744.773602919078</v>
      </c>
      <c r="V49" s="13" t="n">
        <f aca="false">SUMPRODUCT($F49:$M49,$F$12:$M$12)</f>
        <v>867.538200504956</v>
      </c>
      <c r="W49" s="13" t="n">
        <f aca="false">SUMPRODUCT($F49:$M49,$F$13:$M$13)</f>
        <v>998.462025618316</v>
      </c>
      <c r="X49" s="13" t="n">
        <f aca="false">SUMPRODUCT($F49:$M49,$F$14:$M$14)</f>
        <v>89.8615823056484</v>
      </c>
    </row>
    <row r="50" customFormat="false" ht="15" hidden="false" customHeight="false" outlineLevel="0" collapsed="false">
      <c r="A50" s="3" t="s">
        <v>449</v>
      </c>
      <c r="B50" s="3" t="s">
        <v>450</v>
      </c>
      <c r="C50" s="3" t="s">
        <v>451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452</v>
      </c>
      <c r="B51" s="3" t="s">
        <v>453</v>
      </c>
      <c r="C51" s="3" t="s">
        <v>454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11.2389658125177</v>
      </c>
      <c r="O51" s="13" t="n">
        <f aca="false">SUMPRODUCT($F51:$M51,$F$5:$M$5)</f>
        <v>18.7250068186259</v>
      </c>
      <c r="P51" s="13" t="n">
        <f aca="false">SUMPRODUCT($F51:$M51,$F$6:$M$6)</f>
        <v>24.4262449911436</v>
      </c>
      <c r="Q51" s="13" t="n">
        <f aca="false">SUMPRODUCT($F51:$M51,$F$7:$M$7)</f>
        <v>32.5461847697695</v>
      </c>
      <c r="R51" s="13" t="n">
        <f aca="false">SUMPRODUCT($F51:$M51,$F$8:$M$8)</f>
        <v>50.6164651509131</v>
      </c>
      <c r="S51" s="13" t="n">
        <f aca="false">SUMPRODUCT($F51:$M51,$F$9:$M$9)</f>
        <v>68.2470251856472</v>
      </c>
      <c r="T51" s="13" t="n">
        <f aca="false">SUMPRODUCT($F51:$M51,$F$10:$M$10)</f>
        <v>87.698944954273</v>
      </c>
      <c r="U51" s="13" t="n">
        <f aca="false">SUMPRODUCT($F51:$M51,$F$11:$M$11)</f>
        <v>108.573804572899</v>
      </c>
      <c r="V51" s="13" t="n">
        <f aca="false">SUMPRODUCT($F51:$M51,$F$12:$M$12)</f>
        <v>126.440122601525</v>
      </c>
      <c r="W51" s="13" t="n">
        <f aca="false">SUMPRODUCT($F51:$M51,$F$13:$M$13)</f>
        <v>145.200647257633</v>
      </c>
      <c r="X51" s="13" t="n">
        <f aca="false">SUMPRODUCT($F51:$M51,$F$14:$M$14)</f>
        <v>13.068058253187</v>
      </c>
    </row>
    <row r="52" customFormat="false" ht="15" hidden="false" customHeight="false" outlineLevel="0" collapsed="false">
      <c r="A52" s="3" t="s">
        <v>455</v>
      </c>
      <c r="B52" s="3" t="s">
        <v>262</v>
      </c>
      <c r="C52" s="3" t="s">
        <v>263</v>
      </c>
      <c r="D52" s="3" t="s">
        <v>214</v>
      </c>
      <c r="E52" s="3"/>
      <c r="F52" s="12" t="n">
        <v>1</v>
      </c>
      <c r="G52" s="12" t="n">
        <v>1</v>
      </c>
      <c r="H52" s="3"/>
      <c r="I52" s="3"/>
      <c r="J52" s="3"/>
      <c r="K52" s="3"/>
      <c r="L52" s="3"/>
      <c r="M52" s="3"/>
      <c r="N52" s="13" t="n">
        <f aca="false">SUMPRODUCT($F52:$M52,$F$4:$M$4)</f>
        <v>109.308124932518</v>
      </c>
      <c r="O52" s="13" t="n">
        <f aca="false">SUMPRODUCT($F52:$M52,$F$5:$M$5)</f>
        <v>187.780776623661</v>
      </c>
      <c r="P52" s="13" t="n">
        <f aca="false">SUMPRODUCT($F52:$M52,$F$6:$M$6)</f>
        <v>242.088257155949</v>
      </c>
      <c r="Q52" s="13" t="n">
        <f aca="false">SUMPRODUCT($F52:$M52,$F$7:$M$7)</f>
        <v>323.52732966297</v>
      </c>
      <c r="R52" s="13" t="n">
        <f aca="false">SUMPRODUCT($F52:$M52,$F$8:$M$8)</f>
        <v>500.720609606099</v>
      </c>
      <c r="S52" s="13" t="n">
        <f aca="false">SUMPRODUCT($F52:$M52,$F$9:$M$9)</f>
        <v>680.535733821746</v>
      </c>
      <c r="T52" s="13" t="n">
        <f aca="false">SUMPRODUCT($F52:$M52,$F$10:$M$10)</f>
        <v>874.644060420984</v>
      </c>
      <c r="U52" s="13" t="n">
        <f aca="false">SUMPRODUCT($F52:$M52,$F$11:$M$11)</f>
        <v>1082.62227361908</v>
      </c>
      <c r="V52" s="13" t="n">
        <f aca="false">SUMPRODUCT($F52:$M52,$F$12:$M$12)</f>
        <v>1261.16561610496</v>
      </c>
      <c r="W52" s="13" t="n">
        <f aca="false">SUMPRODUCT($F52:$M52,$F$13:$M$13)</f>
        <v>1451.73255881832</v>
      </c>
      <c r="X52" s="13" t="n">
        <f aca="false">SUMPRODUCT($F52:$M52,$F$14:$M$14)</f>
        <v>130.655930293648</v>
      </c>
    </row>
    <row r="53" customFormat="false" ht="15" hidden="false" customHeight="false" outlineLevel="0" collapsed="false">
      <c r="A53" s="3" t="s">
        <v>456</v>
      </c>
      <c r="B53" s="3" t="s">
        <v>457</v>
      </c>
      <c r="C53" s="3" t="s">
        <v>458</v>
      </c>
      <c r="D53" s="3" t="s">
        <v>214</v>
      </c>
      <c r="E53" s="3"/>
      <c r="F53" s="3"/>
      <c r="G53" s="3"/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</f>
        <v>27.5838256625177</v>
      </c>
      <c r="O53" s="13" t="n">
        <f aca="false">SUMPRODUCT($F53:$M53,$F$5:$M$5)</f>
        <v>46.7868375986259</v>
      </c>
      <c r="P53" s="13" t="n">
        <f aca="false">SUMPRODUCT($F53:$M53,$F$6:$M$6)</f>
        <v>60.5263441811436</v>
      </c>
      <c r="Q53" s="13" t="n">
        <f aca="false">SUMPRODUCT($F53:$M53,$F$7:$M$7)</f>
        <v>80.8005141797695</v>
      </c>
      <c r="R53" s="13" t="n">
        <f aca="false">SUMPRODUCT($F53:$M53,$F$8:$M$8)</f>
        <v>125.436946820913</v>
      </c>
      <c r="S53" s="13" t="n">
        <f aca="false">SUMPRODUCT($F53:$M53,$F$9:$M$9)</f>
        <v>169.975576885647</v>
      </c>
      <c r="T53" s="13" t="n">
        <f aca="false">SUMPRODUCT($F53:$M53,$F$10:$M$10)</f>
        <v>218.579696854273</v>
      </c>
      <c r="U53" s="13" t="n">
        <f aca="false">SUMPRODUCT($F53:$M53,$F$11:$M$11)</f>
        <v>270.741166472899</v>
      </c>
      <c r="V53" s="13" t="n">
        <f aca="false">SUMPRODUCT($F53:$M53,$F$12:$M$12)</f>
        <v>315.381282101525</v>
      </c>
      <c r="W53" s="13" t="n">
        <f aca="false">SUMPRODUCT($F53:$M53,$F$13:$M$13)</f>
        <v>362.770503257633</v>
      </c>
      <c r="X53" s="13" t="n">
        <f aca="false">SUMPRODUCT($F53:$M53,$F$14:$M$14)</f>
        <v>32.649345293187</v>
      </c>
    </row>
    <row r="54" customFormat="false" ht="15" hidden="false" customHeight="false" outlineLevel="0" collapsed="false">
      <c r="A54" s="3" t="s">
        <v>459</v>
      </c>
      <c r="B54" s="3" t="s">
        <v>460</v>
      </c>
      <c r="C54" s="3" t="s">
        <v>461</v>
      </c>
      <c r="D54" s="3" t="s">
        <v>214</v>
      </c>
      <c r="E54" s="3"/>
      <c r="F54" s="12" t="n">
        <v>1</v>
      </c>
      <c r="G54" s="3"/>
      <c r="H54" s="3"/>
      <c r="I54" s="3"/>
      <c r="J54" s="3"/>
      <c r="K54" s="3"/>
      <c r="L54" s="3"/>
      <c r="M54" s="3"/>
      <c r="N54" s="13" t="n">
        <f aca="false">SUMPRODUCT($F54:$M54,$F$4:$M$4)</f>
        <v>34.05179136</v>
      </c>
      <c r="O54" s="13" t="n">
        <f aca="false">SUMPRODUCT($F54:$M54,$F$5:$M$5)</f>
        <v>58.46214745</v>
      </c>
      <c r="P54" s="13" t="n">
        <f aca="false">SUMPRODUCT($F54:$M54,$F$6:$M$6)</f>
        <v>75.20853998</v>
      </c>
      <c r="Q54" s="13" t="n">
        <f aca="false">SUMPRODUCT($F54:$M54,$F$7:$M$7)</f>
        <v>100.5298529</v>
      </c>
      <c r="R54" s="13" t="n">
        <f aca="false">SUMPRODUCT($F54:$M54,$F$8:$M$8)</f>
        <v>155.8760035</v>
      </c>
      <c r="S54" s="13" t="n">
        <f aca="false">SUMPRODUCT($F54:$M54,$F$9:$M$9)</f>
        <v>211.9344827</v>
      </c>
      <c r="T54" s="13" t="n">
        <f aca="false">SUMPRODUCT($F54:$M54,$F$10:$M$10)</f>
        <v>272.6682332</v>
      </c>
      <c r="U54" s="13" t="n">
        <f aca="false">SUMPRODUCT($F54:$M54,$F$11:$M$11)</f>
        <v>337.8486707</v>
      </c>
      <c r="V54" s="13" t="n">
        <f aca="false">SUMPRODUCT($F54:$M54,$F$12:$M$12)</f>
        <v>393.6274156</v>
      </c>
      <c r="W54" s="13" t="n">
        <f aca="false">SUMPRODUCT($F54:$M54,$F$13:$M$13)</f>
        <v>453.2705332</v>
      </c>
      <c r="X54" s="13" t="n">
        <f aca="false">SUMPRODUCT($F54:$M54,$F$14:$M$14)</f>
        <v>40.794347988</v>
      </c>
    </row>
    <row r="55" customFormat="false" ht="15" hidden="false" customHeight="false" outlineLevel="0" collapsed="false">
      <c r="A55" s="3" t="s">
        <v>462</v>
      </c>
      <c r="B55" s="3" t="s">
        <v>463</v>
      </c>
      <c r="C55" s="3" t="s">
        <v>464</v>
      </c>
      <c r="D55" s="3" t="s">
        <v>214</v>
      </c>
      <c r="E55" s="3"/>
      <c r="F55" s="3"/>
      <c r="G55" s="12" t="n">
        <v>1</v>
      </c>
      <c r="H55" s="3"/>
      <c r="I55" s="3"/>
      <c r="J55" s="3"/>
      <c r="K55" s="3"/>
      <c r="L55" s="3"/>
      <c r="M55" s="3"/>
      <c r="N55" s="13" t="n">
        <f aca="false">SUMPRODUCT($F55:$M55,$F$4:$M$4)</f>
        <v>75.2563335725177</v>
      </c>
      <c r="O55" s="13" t="n">
        <f aca="false">SUMPRODUCT($F55:$M55,$F$5:$M$5)</f>
        <v>129.318629173661</v>
      </c>
      <c r="P55" s="13" t="n">
        <f aca="false">SUMPRODUCT($F55:$M55,$F$6:$M$6)</f>
        <v>166.879717175949</v>
      </c>
      <c r="Q55" s="13" t="n">
        <f aca="false">SUMPRODUCT($F55:$M55,$F$7:$M$7)</f>
        <v>222.99747676297</v>
      </c>
      <c r="R55" s="13" t="n">
        <f aca="false">SUMPRODUCT($F55:$M55,$F$8:$M$8)</f>
        <v>344.844606106099</v>
      </c>
      <c r="S55" s="13" t="n">
        <f aca="false">SUMPRODUCT($F55:$M55,$F$9:$M$9)</f>
        <v>468.601251121746</v>
      </c>
      <c r="T55" s="13" t="n">
        <f aca="false">SUMPRODUCT($F55:$M55,$F$10:$M$10)</f>
        <v>601.975827220984</v>
      </c>
      <c r="U55" s="13" t="n">
        <f aca="false">SUMPRODUCT($F55:$M55,$F$11:$M$11)</f>
        <v>744.773602919078</v>
      </c>
      <c r="V55" s="13" t="n">
        <f aca="false">SUMPRODUCT($F55:$M55,$F$12:$M$12)</f>
        <v>867.538200504956</v>
      </c>
      <c r="W55" s="13" t="n">
        <f aca="false">SUMPRODUCT($F55:$M55,$F$13:$M$13)</f>
        <v>998.462025618316</v>
      </c>
      <c r="X55" s="13" t="n">
        <f aca="false">SUMPRODUCT($F55:$M55,$F$14:$M$14)</f>
        <v>89.8615823056484</v>
      </c>
    </row>
    <row r="56" customFormat="false" ht="15" hidden="false" customHeight="false" outlineLevel="0" collapsed="false">
      <c r="A56" s="3" t="s">
        <v>465</v>
      </c>
      <c r="B56" s="3" t="s">
        <v>466</v>
      </c>
      <c r="C56" s="3" t="s">
        <v>467</v>
      </c>
      <c r="D56" s="3" t="s">
        <v>214</v>
      </c>
      <c r="E56" s="3"/>
      <c r="F56" s="3"/>
      <c r="G56" s="3"/>
      <c r="H56" s="12" t="n">
        <v>1</v>
      </c>
      <c r="I56" s="3"/>
      <c r="J56" s="3"/>
      <c r="K56" s="3"/>
      <c r="L56" s="3"/>
      <c r="M56" s="3"/>
      <c r="N56" s="13" t="n">
        <f aca="false">SUMPRODUCT($F56:$M56,$F$4:$M$4)</f>
        <v>16.34485985</v>
      </c>
      <c r="O56" s="13" t="n">
        <f aca="false">SUMPRODUCT($F56:$M56,$F$5:$M$5)</f>
        <v>28.06183078</v>
      </c>
      <c r="P56" s="13" t="n">
        <f aca="false">SUMPRODUCT($F56:$M56,$F$6:$M$6)</f>
        <v>36.10009919</v>
      </c>
      <c r="Q56" s="13" t="n">
        <f aca="false">SUMPRODUCT($F56:$M56,$F$7:$M$7)</f>
        <v>48.25432941</v>
      </c>
      <c r="R56" s="13" t="n">
        <f aca="false">SUMPRODUCT($F56:$M56,$F$8:$M$8)</f>
        <v>74.82048167</v>
      </c>
      <c r="S56" s="13" t="n">
        <f aca="false">SUMPRODUCT($F56:$M56,$F$9:$M$9)</f>
        <v>101.7285517</v>
      </c>
      <c r="T56" s="13" t="n">
        <f aca="false">SUMPRODUCT($F56:$M56,$F$10:$M$10)</f>
        <v>130.8807519</v>
      </c>
      <c r="U56" s="13" t="n">
        <f aca="false">SUMPRODUCT($F56:$M56,$F$11:$M$11)</f>
        <v>162.1673619</v>
      </c>
      <c r="V56" s="13" t="n">
        <f aca="false">SUMPRODUCT($F56:$M56,$F$12:$M$12)</f>
        <v>188.9411595</v>
      </c>
      <c r="W56" s="13" t="n">
        <f aca="false">SUMPRODUCT($F56:$M56,$F$13:$M$13)</f>
        <v>217.569856</v>
      </c>
      <c r="X56" s="13" t="n">
        <f aca="false">SUMPRODUCT($F56:$M56,$F$14:$M$14)</f>
        <v>19.58128704</v>
      </c>
    </row>
    <row r="57" customFormat="false" ht="15" hidden="false" customHeight="false" outlineLevel="0" collapsed="false">
      <c r="A57" s="3" t="s">
        <v>468</v>
      </c>
      <c r="B57" s="3" t="s">
        <v>469</v>
      </c>
      <c r="C57" s="3" t="s">
        <v>470</v>
      </c>
      <c r="D57" s="3" t="s">
        <v>214</v>
      </c>
      <c r="E57" s="3"/>
      <c r="F57" s="3"/>
      <c r="G57" s="3"/>
      <c r="H57" s="3"/>
      <c r="I57" s="12" t="n">
        <v>1</v>
      </c>
      <c r="J57" s="3"/>
      <c r="K57" s="3"/>
      <c r="L57" s="3"/>
      <c r="M57" s="3"/>
      <c r="N57" s="13" t="n">
        <f aca="false">SUMPRODUCT($F57:$M57,$F$4:$M$4)</f>
        <v>11.2389658125177</v>
      </c>
      <c r="O57" s="13" t="n">
        <f aca="false">SUMPRODUCT($F57:$M57,$F$5:$M$5)</f>
        <v>18.7250068186259</v>
      </c>
      <c r="P57" s="13" t="n">
        <f aca="false">SUMPRODUCT($F57:$M57,$F$6:$M$6)</f>
        <v>24.4262449911436</v>
      </c>
      <c r="Q57" s="13" t="n">
        <f aca="false">SUMPRODUCT($F57:$M57,$F$7:$M$7)</f>
        <v>32.5461847697695</v>
      </c>
      <c r="R57" s="13" t="n">
        <f aca="false">SUMPRODUCT($F57:$M57,$F$8:$M$8)</f>
        <v>50.6164651509131</v>
      </c>
      <c r="S57" s="13" t="n">
        <f aca="false">SUMPRODUCT($F57:$M57,$F$9:$M$9)</f>
        <v>68.2470251856472</v>
      </c>
      <c r="T57" s="13" t="n">
        <f aca="false">SUMPRODUCT($F57:$M57,$F$10:$M$10)</f>
        <v>87.698944954273</v>
      </c>
      <c r="U57" s="13" t="n">
        <f aca="false">SUMPRODUCT($F57:$M57,$F$11:$M$11)</f>
        <v>108.573804572899</v>
      </c>
      <c r="V57" s="13" t="n">
        <f aca="false">SUMPRODUCT($F57:$M57,$F$12:$M$12)</f>
        <v>126.440122601525</v>
      </c>
      <c r="W57" s="13" t="n">
        <f aca="false">SUMPRODUCT($F57:$M57,$F$13:$M$13)</f>
        <v>145.200647257633</v>
      </c>
      <c r="X57" s="13" t="n">
        <f aca="false">SUMPRODUCT($F57:$M57,$F$14:$M$14)</f>
        <v>13.068058253187</v>
      </c>
    </row>
    <row r="58" customFormat="false" ht="15" hidden="false" customHeight="false" outlineLevel="0" collapsed="false">
      <c r="A58" s="3" t="s">
        <v>471</v>
      </c>
      <c r="B58" s="3" t="s">
        <v>292</v>
      </c>
      <c r="C58" s="3" t="s">
        <v>293</v>
      </c>
      <c r="D58" s="3" t="s">
        <v>214</v>
      </c>
      <c r="E58" s="3" t="s">
        <v>294</v>
      </c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SUMPRODUCT($F58:$M58,$F$4:$M$4)*(1-DEMANDA!D$5)</f>
        <v>104.975183036027</v>
      </c>
      <c r="O58" s="13" t="n">
        <f aca="false">SUMPRODUCT($F58:$M58,$F$5:$M$5)*(1-DEMANDA!E$5)</f>
        <v>179.898170207548</v>
      </c>
      <c r="P58" s="13" t="n">
        <f aca="false">SUMPRODUCT($F58:$M58,$F$6:$M$6)*(1-DEMANDA!F$5)</f>
        <v>232.087328136516</v>
      </c>
      <c r="Q58" s="13" t="n">
        <f aca="false">SUMPRODUCT($F58:$M58,$F$7:$M$7)*(1-DEMANDA!G$5)</f>
        <v>310.068836625462</v>
      </c>
      <c r="R58" s="13" t="n">
        <f aca="false">SUMPRODUCT($F58:$M58,$F$8:$M$8)*(1-DEMANDA!H$5)</f>
        <v>480.081583274509</v>
      </c>
      <c r="S58" s="13" t="n">
        <f aca="false">SUMPRODUCT($F58:$M58,$F$9:$M$9)*(1-DEMANDA!I$5)</f>
        <v>651.858632694834</v>
      </c>
      <c r="T58" s="13" t="n">
        <f aca="false">SUMPRODUCT($F58:$M58,$F$10:$M$10)*(1-DEMANDA!J$5)</f>
        <v>837.43063323885</v>
      </c>
      <c r="U58" s="13" t="n">
        <f aca="false">SUMPRODUCT($F58:$M58,$F$11:$M$11)*(1-DEMANDA!K$5)</f>
        <v>1035.94306196147</v>
      </c>
      <c r="V58" s="13" t="n">
        <f aca="false">SUMPRODUCT($F58:$M58,$F$12:$M$12)*(1-DEMANDA!L$5)</f>
        <v>1205.62512111773</v>
      </c>
      <c r="W58" s="13" t="n">
        <f aca="false">SUMPRODUCT($F58:$M58,$F$13:$M$13)*(1-DEMANDA!M$5)</f>
        <v>1385.88991799581</v>
      </c>
      <c r="X58" s="13" t="n">
        <f aca="false">SUMPRODUCT($F58:$M58,$F$14:$M$14)*(1-DEMANDA!M$5)</f>
        <v>124.730092619623</v>
      </c>
    </row>
    <row r="59" customFormat="false" ht="15" hidden="false" customHeight="false" outlineLevel="0" collapsed="false">
      <c r="A59" s="3" t="s">
        <v>472</v>
      </c>
      <c r="B59" s="3" t="s">
        <v>296</v>
      </c>
      <c r="C59" s="3" t="s">
        <v>297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136.891950595035</v>
      </c>
      <c r="O59" s="13" t="n">
        <f aca="false">SUMPRODUCT($F59:$M59,$F$5:$M$5)</f>
        <v>234.567614222287</v>
      </c>
      <c r="P59" s="13" t="n">
        <f aca="false">SUMPRODUCT($F59:$M59,$F$6:$M$6)</f>
        <v>302.614601337092</v>
      </c>
      <c r="Q59" s="13" t="n">
        <f aca="false">SUMPRODUCT($F59:$M59,$F$7:$M$7)</f>
        <v>404.327843842739</v>
      </c>
      <c r="R59" s="13" t="n">
        <f aca="false">SUMPRODUCT($F59:$M59,$F$8:$M$8)</f>
        <v>626.157556427012</v>
      </c>
      <c r="S59" s="13" t="n">
        <f aca="false">SUMPRODUCT($F59:$M59,$F$9:$M$9)</f>
        <v>850.511310707394</v>
      </c>
      <c r="T59" s="13" t="n">
        <f aca="false">SUMPRODUCT($F59:$M59,$F$10:$M$10)</f>
        <v>1093.22375727526</v>
      </c>
      <c r="U59" s="13" t="n">
        <f aca="false">SUMPRODUCT($F59:$M59,$F$11:$M$11)</f>
        <v>1353.36344009198</v>
      </c>
      <c r="V59" s="13" t="n">
        <f aca="false">SUMPRODUCT($F59:$M59,$F$12:$M$12)</f>
        <v>1576.54689820648</v>
      </c>
      <c r="W59" s="13" t="n">
        <f aca="false">SUMPRODUCT($F59:$M59,$F$13:$M$13)</f>
        <v>1814.50306207595</v>
      </c>
      <c r="X59" s="13" t="n">
        <f aca="false">SUMPRODUCT($F59:$M59,$F$14:$M$14)</f>
        <v>163.305275586835</v>
      </c>
    </row>
    <row r="60" customFormat="false" ht="15" hidden="false" customHeight="false" outlineLevel="0" collapsed="false">
      <c r="A60" s="3" t="s">
        <v>473</v>
      </c>
      <c r="B60" s="3" t="s">
        <v>299</v>
      </c>
      <c r="C60" s="3" t="s">
        <v>300</v>
      </c>
      <c r="D60" s="3" t="s">
        <v>214</v>
      </c>
      <c r="E60" s="3" t="s">
        <v>301</v>
      </c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SUMPRODUCT($F60:$M60,$F$4:$M$4)*DEMANDA!D$5</f>
        <v>31.9167675590089</v>
      </c>
      <c r="O60" s="13" t="n">
        <f aca="false">SUMPRODUCT($F60:$M60,$F$5:$M$5)*DEMANDA!E$5</f>
        <v>54.6694440147393</v>
      </c>
      <c r="P60" s="13" t="n">
        <f aca="false">SUMPRODUCT($F60:$M60,$F$6:$M$6)*DEMANDA!F$5</f>
        <v>70.5272732005764</v>
      </c>
      <c r="Q60" s="13" t="n">
        <f aca="false">SUMPRODUCT($F60:$M60,$F$7:$M$7)*DEMANDA!G$5</f>
        <v>94.2590072172772</v>
      </c>
      <c r="R60" s="13" t="n">
        <f aca="false">SUMPRODUCT($F60:$M60,$F$8:$M$8)*DEMANDA!H$5</f>
        <v>146.075973152503</v>
      </c>
      <c r="S60" s="13" t="n">
        <f aca="false">SUMPRODUCT($F60:$M60,$F$9:$M$9)*DEMANDA!I$5</f>
        <v>198.65267801256</v>
      </c>
      <c r="T60" s="13" t="n">
        <f aca="false">SUMPRODUCT($F60:$M60,$F$10:$M$10)*DEMANDA!J$5</f>
        <v>255.793124036407</v>
      </c>
      <c r="U60" s="13" t="n">
        <f aca="false">SUMPRODUCT($F60:$M60,$F$11:$M$11)*DEMANDA!K$5</f>
        <v>317.420378130512</v>
      </c>
      <c r="V60" s="13" t="n">
        <f aca="false">SUMPRODUCT($F60:$M60,$F$12:$M$12)*DEMANDA!L$5</f>
        <v>370.921777088755</v>
      </c>
      <c r="W60" s="13" t="n">
        <f aca="false">SUMPRODUCT($F60:$M60,$F$13:$M$13)*DEMANDA!M$5</f>
        <v>428.61314408014</v>
      </c>
      <c r="X60" s="13" t="n">
        <f aca="false">SUMPRODUCT($F60:$M60,$F$14:$M$14)*DEMANDA!M$5</f>
        <v>38.5751829672126</v>
      </c>
    </row>
    <row r="61" customFormat="false" ht="15" hidden="false" customHeight="false" outlineLevel="0" collapsed="false">
      <c r="A61" s="3" t="s">
        <v>474</v>
      </c>
      <c r="B61" s="3" t="s">
        <v>303</v>
      </c>
      <c r="C61" s="3" t="s">
        <v>304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136.891950595035</v>
      </c>
      <c r="O61" s="13" t="n">
        <f aca="false">SUMPRODUCT($F61:$M61,$F$5:$M$5)</f>
        <v>234.567614222287</v>
      </c>
      <c r="P61" s="13" t="n">
        <f aca="false">SUMPRODUCT($F61:$M61,$F$6:$M$6)</f>
        <v>302.614601337092</v>
      </c>
      <c r="Q61" s="13" t="n">
        <f aca="false">SUMPRODUCT($F61:$M61,$F$7:$M$7)</f>
        <v>404.327843842739</v>
      </c>
      <c r="R61" s="13" t="n">
        <f aca="false">SUMPRODUCT($F61:$M61,$F$8:$M$8)</f>
        <v>626.157556427012</v>
      </c>
      <c r="S61" s="13" t="n">
        <f aca="false">SUMPRODUCT($F61:$M61,$F$9:$M$9)</f>
        <v>850.511310707394</v>
      </c>
      <c r="T61" s="13" t="n">
        <f aca="false">SUMPRODUCT($F61:$M61,$F$10:$M$10)</f>
        <v>1093.22375727526</v>
      </c>
      <c r="U61" s="13" t="n">
        <f aca="false">SUMPRODUCT($F61:$M61,$F$11:$M$11)</f>
        <v>1353.36344009198</v>
      </c>
      <c r="V61" s="13" t="n">
        <f aca="false">SUMPRODUCT($F61:$M61,$F$12:$M$12)</f>
        <v>1576.54689820648</v>
      </c>
      <c r="W61" s="13" t="n">
        <f aca="false">SUMPRODUCT($F61:$M61,$F$13:$M$13)</f>
        <v>1814.50306207595</v>
      </c>
      <c r="X61" s="13" t="n">
        <f aca="false">SUMPRODUCT($F61:$M61,$F$14:$M$14)</f>
        <v>163.305275586835</v>
      </c>
    </row>
    <row r="62" customFormat="false" ht="15" hidden="false" customHeight="false" outlineLevel="0" collapsed="false">
      <c r="A62" s="3" t="s">
        <v>475</v>
      </c>
      <c r="B62" s="3" t="s">
        <v>306</v>
      </c>
      <c r="C62" s="3" t="s">
        <v>307</v>
      </c>
      <c r="D62" s="3" t="s">
        <v>214</v>
      </c>
      <c r="E62" s="3"/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</f>
        <v>136.891950595035</v>
      </c>
      <c r="O62" s="13" t="n">
        <f aca="false">SUMPRODUCT($F62:$M62,$F$5:$M$5)</f>
        <v>234.567614222287</v>
      </c>
      <c r="P62" s="13" t="n">
        <f aca="false">SUMPRODUCT($F62:$M62,$F$6:$M$6)</f>
        <v>302.614601337092</v>
      </c>
      <c r="Q62" s="13" t="n">
        <f aca="false">SUMPRODUCT($F62:$M62,$F$7:$M$7)</f>
        <v>404.327843842739</v>
      </c>
      <c r="R62" s="13" t="n">
        <f aca="false">SUMPRODUCT($F62:$M62,$F$8:$M$8)</f>
        <v>626.157556427012</v>
      </c>
      <c r="S62" s="13" t="n">
        <f aca="false">SUMPRODUCT($F62:$M62,$F$9:$M$9)</f>
        <v>850.511310707394</v>
      </c>
      <c r="T62" s="13" t="n">
        <f aca="false">SUMPRODUCT($F62:$M62,$F$10:$M$10)</f>
        <v>1093.22375727526</v>
      </c>
      <c r="U62" s="13" t="n">
        <f aca="false">SUMPRODUCT($F62:$M62,$F$11:$M$11)</f>
        <v>1353.36344009198</v>
      </c>
      <c r="V62" s="13" t="n">
        <f aca="false">SUMPRODUCT($F62:$M62,$F$12:$M$12)</f>
        <v>1576.54689820648</v>
      </c>
      <c r="W62" s="13" t="n">
        <f aca="false">SUMPRODUCT($F62:$M62,$F$13:$M$13)</f>
        <v>1814.50306207595</v>
      </c>
      <c r="X62" s="13" t="n">
        <f aca="false">SUMPRODUCT($F62:$M62,$F$14:$M$14)</f>
        <v>163.305275586835</v>
      </c>
    </row>
    <row r="63" customFormat="false" ht="15" hidden="false" customHeight="false" outlineLevel="0" collapsed="false">
      <c r="A63" s="3" t="s">
        <v>476</v>
      </c>
      <c r="B63" s="3" t="s">
        <v>309</v>
      </c>
      <c r="C63" s="3" t="s">
        <v>310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136.891950595035</v>
      </c>
      <c r="O63" s="13" t="n">
        <f aca="false">SUMPRODUCT($F63:$M63,$F$5:$M$5)</f>
        <v>234.567614222287</v>
      </c>
      <c r="P63" s="13" t="n">
        <f aca="false">SUMPRODUCT($F63:$M63,$F$6:$M$6)</f>
        <v>302.614601337092</v>
      </c>
      <c r="Q63" s="13" t="n">
        <f aca="false">SUMPRODUCT($F63:$M63,$F$7:$M$7)</f>
        <v>404.327843842739</v>
      </c>
      <c r="R63" s="13" t="n">
        <f aca="false">SUMPRODUCT($F63:$M63,$F$8:$M$8)</f>
        <v>626.157556427012</v>
      </c>
      <c r="S63" s="13" t="n">
        <f aca="false">SUMPRODUCT($F63:$M63,$F$9:$M$9)</f>
        <v>850.511310707394</v>
      </c>
      <c r="T63" s="13" t="n">
        <f aca="false">SUMPRODUCT($F63:$M63,$F$10:$M$10)</f>
        <v>1093.22375727526</v>
      </c>
      <c r="U63" s="13" t="n">
        <f aca="false">SUMPRODUCT($F63:$M63,$F$11:$M$11)</f>
        <v>1353.36344009198</v>
      </c>
      <c r="V63" s="13" t="n">
        <f aca="false">SUMPRODUCT($F63:$M63,$F$12:$M$12)</f>
        <v>1576.54689820648</v>
      </c>
      <c r="W63" s="13" t="n">
        <f aca="false">SUMPRODUCT($F63:$M63,$F$13:$M$13)</f>
        <v>1814.50306207595</v>
      </c>
      <c r="X63" s="13" t="n">
        <f aca="false">SUMPRODUCT($F63:$M63,$F$14:$M$14)</f>
        <v>163.305275586835</v>
      </c>
    </row>
    <row r="64" customFormat="false" ht="15" hidden="false" customHeight="false" outlineLevel="0" collapsed="false">
      <c r="A64" s="3" t="s">
        <v>477</v>
      </c>
      <c r="B64" s="3" t="s">
        <v>312</v>
      </c>
      <c r="C64" s="3" t="s">
        <v>313</v>
      </c>
      <c r="D64" s="3" t="s">
        <v>214</v>
      </c>
      <c r="E64" s="3"/>
      <c r="F64" s="3"/>
      <c r="G64" s="3"/>
      <c r="H64" s="3"/>
      <c r="I64" s="3"/>
      <c r="J64" s="12" t="n">
        <v>1</v>
      </c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57.8</v>
      </c>
      <c r="Q64" s="13" t="n">
        <f aca="false">SUMPRODUCT($F64:$M64,$F$7:$M$7)</f>
        <v>201.4</v>
      </c>
      <c r="R64" s="13" t="n">
        <f aca="false">SUMPRODUCT($F64:$M64,$F$8:$M$8)</f>
        <v>373</v>
      </c>
      <c r="S64" s="13" t="n">
        <f aca="false">SUMPRODUCT($F64:$M64,$F$9:$M$9)</f>
        <v>540.8</v>
      </c>
      <c r="T64" s="13" t="n">
        <f aca="false">SUMPRODUCT($F64:$M64,$F$10:$M$10)</f>
        <v>764.4</v>
      </c>
      <c r="U64" s="13" t="n">
        <f aca="false">SUMPRODUCT($F64:$M64,$F$11:$M$11)</f>
        <v>988</v>
      </c>
      <c r="V64" s="13" t="n">
        <f aca="false">SUMPRODUCT($F64:$M64,$F$12:$M$12)</f>
        <v>1107.6</v>
      </c>
      <c r="W64" s="13" t="n">
        <f aca="false">SUMPRODUCT($F64:$M64,$F$13:$M$13)</f>
        <v>1287</v>
      </c>
      <c r="X64" s="13" t="n">
        <f aca="false">SUMPRODUCT($F64:$M64,$F$14:$M$14)</f>
        <v>115.83</v>
      </c>
    </row>
    <row r="65" customFormat="false" ht="15" hidden="false" customHeight="false" outlineLevel="0" collapsed="false">
      <c r="A65" s="3" t="s">
        <v>478</v>
      </c>
      <c r="B65" s="3" t="s">
        <v>318</v>
      </c>
      <c r="C65" s="3" t="s">
        <v>319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3"/>
      <c r="M65" s="3"/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46.2</v>
      </c>
      <c r="Q65" s="13" t="n">
        <f aca="false">SUMPRODUCT($F65:$M65,$F$7:$M$7)</f>
        <v>161</v>
      </c>
      <c r="R65" s="13" t="n">
        <f aca="false">SUMPRODUCT($F65:$M65,$F$8:$M$8)</f>
        <v>298.2</v>
      </c>
      <c r="S65" s="13" t="n">
        <f aca="false">SUMPRODUCT($F65:$M65,$F$9:$M$9)</f>
        <v>432.6</v>
      </c>
      <c r="T65" s="13" t="n">
        <f aca="false">SUMPRODUCT($F65:$M65,$F$10:$M$10)</f>
        <v>611.8</v>
      </c>
      <c r="U65" s="13" t="n">
        <f aca="false">SUMPRODUCT($F65:$M65,$F$11:$M$11)</f>
        <v>791</v>
      </c>
      <c r="V65" s="13" t="n">
        <f aca="false">SUMPRODUCT($F65:$M65,$F$12:$M$12)</f>
        <v>886.6</v>
      </c>
      <c r="W65" s="13" t="n">
        <f aca="false">SUMPRODUCT($F65:$M65,$F$13:$M$13)</f>
        <v>1030</v>
      </c>
      <c r="X65" s="13" t="n">
        <f aca="false">SUMPRODUCT($F65:$M65,$F$14:$M$14)</f>
        <v>92.7</v>
      </c>
    </row>
    <row r="66" customFormat="false" ht="15" hidden="false" customHeight="false" outlineLevel="0" collapsed="false">
      <c r="A66" s="3" t="s">
        <v>479</v>
      </c>
      <c r="B66" s="3" t="s">
        <v>480</v>
      </c>
      <c r="C66" s="3" t="s">
        <v>481</v>
      </c>
      <c r="D66" s="3" t="s">
        <v>214</v>
      </c>
      <c r="E66" s="3"/>
      <c r="F66" s="3"/>
      <c r="G66" s="3"/>
      <c r="H66" s="3"/>
      <c r="I66" s="3"/>
      <c r="J66" s="3"/>
      <c r="K66" s="3"/>
      <c r="L66" s="12" t="n">
        <v>1</v>
      </c>
      <c r="M66" s="12" t="n">
        <v>1</v>
      </c>
      <c r="N66" s="13" t="n">
        <f aca="false">SUMPRODUCT($F66:$M66,$F$4:$M$4)</f>
        <v>0</v>
      </c>
      <c r="O66" s="13" t="n">
        <f aca="false">SUMPRODUCT($F66:$M66,$F$5:$M$5)</f>
        <v>0</v>
      </c>
      <c r="P66" s="13" t="n">
        <f aca="false">SUMPRODUCT($F66:$M66,$F$6:$M$6)</f>
        <v>11.6</v>
      </c>
      <c r="Q66" s="13" t="n">
        <f aca="false">SUMPRODUCT($F66:$M66,$F$7:$M$7)</f>
        <v>40.4</v>
      </c>
      <c r="R66" s="13" t="n">
        <f aca="false">SUMPRODUCT($F66:$M66,$F$8:$M$8)</f>
        <v>74.8</v>
      </c>
      <c r="S66" s="13" t="n">
        <f aca="false">SUMPRODUCT($F66:$M66,$F$9:$M$9)</f>
        <v>108.2</v>
      </c>
      <c r="T66" s="13" t="n">
        <f aca="false">SUMPRODUCT($F66:$M66,$F$10:$M$10)</f>
        <v>152.6</v>
      </c>
      <c r="U66" s="13" t="n">
        <f aca="false">SUMPRODUCT($F66:$M66,$F$11:$M$11)</f>
        <v>197</v>
      </c>
      <c r="V66" s="13" t="n">
        <f aca="false">SUMPRODUCT($F66:$M66,$F$12:$M$12)</f>
        <v>221</v>
      </c>
      <c r="W66" s="13" t="n">
        <f aca="false">SUMPRODUCT($F66:$M66,$F$13:$M$13)</f>
        <v>257</v>
      </c>
      <c r="X66" s="13" t="n">
        <f aca="false">SUMPRODUCT($F66:$M66,$F$14:$M$14)</f>
        <v>23.13</v>
      </c>
    </row>
    <row r="67" customFormat="false" ht="15" hidden="false" customHeight="false" outlineLevel="0" collapsed="false">
      <c r="A67" s="3" t="s">
        <v>482</v>
      </c>
      <c r="B67" s="3" t="s">
        <v>339</v>
      </c>
      <c r="C67" s="3" t="s">
        <v>340</v>
      </c>
      <c r="D67" s="3" t="s">
        <v>214</v>
      </c>
      <c r="E67" s="3"/>
      <c r="F67" s="3"/>
      <c r="G67" s="3"/>
      <c r="H67" s="3"/>
      <c r="I67" s="3"/>
      <c r="J67" s="12" t="n">
        <f aca="false">1/24</f>
        <v>0.0416666666666667</v>
      </c>
      <c r="K67" s="12" t="n">
        <f aca="false">1/9</f>
        <v>0.111111111111111</v>
      </c>
      <c r="L67" s="12" t="n">
        <f aca="false">1/6</f>
        <v>0.166666666666667</v>
      </c>
      <c r="M67" s="12" t="n">
        <f aca="false">1/6</f>
        <v>0.166666666666667</v>
      </c>
      <c r="N67" s="13" t="n">
        <f aca="false">SUMPRODUCT($F67:$M67,$F$4:$M$4)</f>
        <v>0</v>
      </c>
      <c r="O67" s="13" t="n">
        <f aca="false">SUMPRODUCT($F67:$M67,$F$5:$M$5)</f>
        <v>0</v>
      </c>
      <c r="P67" s="13" t="n">
        <f aca="false">SUMPRODUCT($F67:$M67,$F$6:$M$6)</f>
        <v>6.06666666666667</v>
      </c>
      <c r="Q67" s="13" t="n">
        <f aca="false">SUMPRODUCT($F67:$M67,$F$7:$M$7)</f>
        <v>21.1361111111111</v>
      </c>
      <c r="R67" s="13" t="n">
        <f aca="false">SUMPRODUCT($F67:$M67,$F$8:$M$8)</f>
        <v>39.1416666666667</v>
      </c>
      <c r="S67" s="13" t="n">
        <f aca="false">SUMPRODUCT($F67:$M67,$F$9:$M$9)</f>
        <v>56.725</v>
      </c>
      <c r="T67" s="13" t="n">
        <f aca="false">SUMPRODUCT($F67:$M67,$F$10:$M$10)</f>
        <v>80.1472222222222</v>
      </c>
      <c r="U67" s="13" t="n">
        <f aca="false">SUMPRODUCT($F67:$M67,$F$11:$M$11)</f>
        <v>103.569444444444</v>
      </c>
      <c r="V67" s="13" t="n">
        <f aca="false">SUMPRODUCT($F67:$M67,$F$12:$M$12)</f>
        <v>116.108333333333</v>
      </c>
      <c r="W67" s="13" t="n">
        <f aca="false">SUMPRODUCT($F67:$M67,$F$13:$M$13)</f>
        <v>134.916666666667</v>
      </c>
      <c r="X67" s="13" t="n">
        <f aca="false">SUMPRODUCT($F67:$M67,$F$14:$M$14)</f>
        <v>12.1425</v>
      </c>
    </row>
    <row r="68" customFormat="false" ht="15" hidden="false" customHeight="false" outlineLevel="0" collapsed="false">
      <c r="A68" s="3" t="s">
        <v>483</v>
      </c>
      <c r="B68" s="3" t="s">
        <v>342</v>
      </c>
      <c r="C68" s="3" t="s">
        <v>343</v>
      </c>
      <c r="D68" s="3" t="s">
        <v>214</v>
      </c>
      <c r="E68" s="3"/>
      <c r="F68" s="3"/>
      <c r="G68" s="3"/>
      <c r="H68" s="3"/>
      <c r="I68" s="3"/>
      <c r="J68" s="12" t="n">
        <f aca="false">1/24</f>
        <v>0.0416666666666667</v>
      </c>
      <c r="K68" s="12" t="n">
        <f aca="false">1/9</f>
        <v>0.111111111111111</v>
      </c>
      <c r="L68" s="12" t="n">
        <f aca="false">1/6</f>
        <v>0.166666666666667</v>
      </c>
      <c r="M68" s="12" t="n">
        <f aca="false">1/6</f>
        <v>0.166666666666667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6.06666666666667</v>
      </c>
      <c r="Q68" s="13" t="n">
        <f aca="false">SUMPRODUCT($F68:$M68,$F$7:$M$7)</f>
        <v>21.1361111111111</v>
      </c>
      <c r="R68" s="13" t="n">
        <f aca="false">SUMPRODUCT($F68:$M68,$F$8:$M$8)</f>
        <v>39.1416666666667</v>
      </c>
      <c r="S68" s="13" t="n">
        <f aca="false">SUMPRODUCT($F68:$M68,$F$9:$M$9)</f>
        <v>56.725</v>
      </c>
      <c r="T68" s="13" t="n">
        <f aca="false">SUMPRODUCT($F68:$M68,$F$10:$M$10)</f>
        <v>80.1472222222222</v>
      </c>
      <c r="U68" s="13" t="n">
        <f aca="false">SUMPRODUCT($F68:$M68,$F$11:$M$11)</f>
        <v>103.569444444444</v>
      </c>
      <c r="V68" s="13" t="n">
        <f aca="false">SUMPRODUCT($F68:$M68,$F$12:$M$12)</f>
        <v>116.108333333333</v>
      </c>
      <c r="W68" s="13" t="n">
        <f aca="false">SUMPRODUCT($F68:$M68,$F$13:$M$13)</f>
        <v>134.916666666667</v>
      </c>
      <c r="X68" s="13" t="n">
        <f aca="false">SUMPRODUCT($F68:$M68,$F$14:$M$14)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484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485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1190.66405032074</v>
      </c>
      <c r="G4" s="9" t="n">
        <f aca="false">DEMANDA!D25</f>
        <v>112.988407907599</v>
      </c>
      <c r="H4" s="9" t="n">
        <f aca="false">DEMANDA!D26</f>
        <v>689.37118436382</v>
      </c>
      <c r="I4" s="9" t="n">
        <f aca="false">DEMANDA!D27</f>
        <v>41.204765917802</v>
      </c>
      <c r="J4" s="9" t="n">
        <f aca="false">DEMANDA!D28</f>
        <v>55.2309130886216</v>
      </c>
      <c r="K4" s="9" t="n">
        <f aca="false">DEMANDA!D29</f>
        <v>8.13469656543686</v>
      </c>
      <c r="L4" s="9" t="n">
        <f aca="false">DEMANDA!D30</f>
        <v>4.23854456897729</v>
      </c>
      <c r="M4" s="9" t="n">
        <f aca="false">DEMANDA!D31</f>
        <v>2.68008377073585</v>
      </c>
      <c r="N4" s="9" t="n">
        <f aca="false">DEMANDA!D32</f>
        <v>28.3946869518201</v>
      </c>
      <c r="O4" s="9" t="n">
        <f aca="false">DEMANDA!D33</f>
        <v>154.287619084451</v>
      </c>
      <c r="P4" s="9" t="n">
        <f aca="false">DEMANDA!D34</f>
        <v>45.2544199584075</v>
      </c>
      <c r="Q4" s="9" t="n">
        <f aca="false">DEMANDA!D35</f>
        <v>6.57623576753782</v>
      </c>
      <c r="R4" s="9" t="n">
        <f aca="false">DEMANDA!D36</f>
        <v>2.68008377073585</v>
      </c>
      <c r="S4" s="9" t="n">
        <f aca="false">DEMANDA!D37</f>
        <v>6.03903559571071</v>
      </c>
      <c r="T4" s="9" t="n">
        <f aca="false">DEMANDA!D38</f>
        <v>13.6282708817117</v>
      </c>
      <c r="U4" s="9" t="n">
        <f aca="false">DEMANDA!D39</f>
        <v>2.89873708573571</v>
      </c>
      <c r="V4" s="9" t="n">
        <f aca="false">DEMANDA!D40</f>
        <v>2.27488396300819</v>
      </c>
      <c r="W4" s="9" t="n">
        <f aca="false">DEMANDA!D41</f>
        <v>28.076190946453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5810.60247441186</v>
      </c>
      <c r="G5" s="9" t="n">
        <f aca="false">DEMANDA!E25</f>
        <v>440.800999572748</v>
      </c>
      <c r="H5" s="9" t="n">
        <f aca="false">DEMANDA!E26</f>
        <v>2785.23296151308</v>
      </c>
      <c r="I5" s="9" t="n">
        <f aca="false">DEMANDA!E27</f>
        <v>151.582868003422</v>
      </c>
      <c r="J5" s="9" t="n">
        <f aca="false">DEMANDA!E28</f>
        <v>222.700189702988</v>
      </c>
      <c r="K5" s="9" t="n">
        <f aca="false">DEMANDA!E29</f>
        <v>55.9181001175532</v>
      </c>
      <c r="L5" s="9" t="n">
        <f aca="false">DEMANDA!E30</f>
        <v>28.8375075560362</v>
      </c>
      <c r="M5" s="9" t="n">
        <f aca="false">DEMANDA!E31</f>
        <v>16.4598765174278</v>
      </c>
      <c r="N5" s="9" t="n">
        <f aca="false">DEMANDA!E32</f>
        <v>116.207647175736</v>
      </c>
      <c r="O5" s="9" t="n">
        <f aca="false">DEMANDA!E33</f>
        <v>581.102336390555</v>
      </c>
      <c r="P5" s="9" t="n">
        <f aca="false">DEMANDA!E34</f>
        <v>229.276465294206</v>
      </c>
      <c r="Q5" s="9" t="n">
        <f aca="false">DEMANDA!E35</f>
        <v>39.0584744476134</v>
      </c>
      <c r="R5" s="9" t="n">
        <f aca="false">DEMANDA!E36</f>
        <v>16.4598765174278</v>
      </c>
      <c r="S5" s="9" t="n">
        <f aca="false">DEMANDA!E37</f>
        <v>29.441590689555</v>
      </c>
      <c r="T5" s="9" t="n">
        <f aca="false">DEMANDA!E38</f>
        <v>65.798677241422</v>
      </c>
      <c r="U5" s="9" t="n">
        <f aca="false">DEMANDA!E39</f>
        <v>14.1319635303016</v>
      </c>
      <c r="V5" s="9" t="n">
        <f aca="false">DEMANDA!E40</f>
        <v>9.76370159386011</v>
      </c>
      <c r="W5" s="9" t="n">
        <f aca="false">DEMANDA!E41</f>
        <v>87.9891845827654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10458.7541676854</v>
      </c>
      <c r="G6" s="9" t="n">
        <f aca="false">DEMANDA!F25</f>
        <v>1009.08884951127</v>
      </c>
      <c r="H6" s="9" t="n">
        <f aca="false">DEMANDA!F26</f>
        <v>6275.66450296333</v>
      </c>
      <c r="I6" s="9" t="n">
        <f aca="false">DEMANDA!F27</f>
        <v>355.052476598291</v>
      </c>
      <c r="J6" s="9" t="n">
        <f aca="false">DEMANDA!F28</f>
        <v>510.289132875549</v>
      </c>
      <c r="K6" s="9" t="n">
        <f aca="false">DEMANDA!F29</f>
        <v>109.773550031778</v>
      </c>
      <c r="L6" s="9" t="n">
        <f aca="false">DEMANDA!F30</f>
        <v>56.9959802517048</v>
      </c>
      <c r="M6" s="9" t="n">
        <f aca="false">DEMANDA!F31</f>
        <v>30.7775574871746</v>
      </c>
      <c r="N6" s="9" t="n">
        <f aca="false">DEMANDA!F32</f>
        <v>258.711263565668</v>
      </c>
      <c r="O6" s="9" t="n">
        <f aca="false">DEMANDA!F33</f>
        <v>1354.23002702462</v>
      </c>
      <c r="P6" s="9" t="n">
        <f aca="false">DEMANDA!F34</f>
        <v>490.863140348547</v>
      </c>
      <c r="Q6" s="9" t="n">
        <f aca="false">DEMANDA!F35</f>
        <v>80.0698867601326</v>
      </c>
      <c r="R6" s="9" t="n">
        <f aca="false">DEMANDA!F36</f>
        <v>30.7775574871746</v>
      </c>
      <c r="S6" s="9" t="n">
        <f aca="false">DEMANDA!F37</f>
        <v>63.98275187312</v>
      </c>
      <c r="T6" s="9" t="n">
        <f aca="false">DEMANDA!F38</f>
        <v>143.158802107945</v>
      </c>
      <c r="U6" s="9" t="n">
        <f aca="false">DEMANDA!F39</f>
        <v>30.7117208943041</v>
      </c>
      <c r="V6" s="9" t="n">
        <f aca="false">DEMANDA!F40</f>
        <v>21.1592657423795</v>
      </c>
      <c r="W6" s="9" t="n">
        <f aca="false">DEMANDA!F41</f>
        <v>119.603432134728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19190.5254091067</v>
      </c>
      <c r="G7" s="9" t="n">
        <f aca="false">DEMANDA!G25</f>
        <v>1857.83691346536</v>
      </c>
      <c r="H7" s="9" t="n">
        <f aca="false">DEMANDA!G26</f>
        <v>11857.2493851072</v>
      </c>
      <c r="I7" s="9" t="n">
        <f aca="false">DEMANDA!G27</f>
        <v>678.762412434676</v>
      </c>
      <c r="J7" s="9" t="n">
        <f aca="false">DEMANDA!G28</f>
        <v>957.484122000225</v>
      </c>
      <c r="K7" s="9" t="n">
        <f aca="false">DEMANDA!G29</f>
        <v>182.630356074672</v>
      </c>
      <c r="L7" s="9" t="n">
        <f aca="false">DEMANDA!G30</f>
        <v>97.6986887844192</v>
      </c>
      <c r="M7" s="9" t="n">
        <f aca="false">DEMANDA!G31</f>
        <v>55.2972534642275</v>
      </c>
      <c r="N7" s="9" t="n">
        <f aca="false">DEMANDA!G32</f>
        <v>470.413099572105</v>
      </c>
      <c r="O7" s="9" t="n">
        <f aca="false">DEMANDA!G33</f>
        <v>2588.91937586488</v>
      </c>
      <c r="P7" s="9" t="n">
        <f aca="false">DEMANDA!G34</f>
        <v>879.703849022647</v>
      </c>
      <c r="Q7" s="9" t="n">
        <f aca="false">DEMANDA!G35</f>
        <v>138.913917089342</v>
      </c>
      <c r="R7" s="9" t="n">
        <f aca="false">DEMANDA!G36</f>
        <v>51.4544758577955</v>
      </c>
      <c r="S7" s="9" t="n">
        <f aca="false">DEMANDA!G37</f>
        <v>115.24373179304</v>
      </c>
      <c r="T7" s="9" t="n">
        <f aca="false">DEMANDA!G38</f>
        <v>257.644920794358</v>
      </c>
      <c r="U7" s="9" t="n">
        <f aca="false">DEMANDA!G39</f>
        <v>55.3169912661377</v>
      </c>
      <c r="V7" s="9" t="n">
        <f aca="false">DEMANDA!G40</f>
        <v>37.9051718721521</v>
      </c>
      <c r="W7" s="9" t="n">
        <f aca="false">DEMANDA!G41</f>
        <v>205.241521041458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28853.4995113006</v>
      </c>
      <c r="G8" s="9" t="n">
        <f aca="false">DEMANDA!H25</f>
        <v>2688.08156373346</v>
      </c>
      <c r="H8" s="9" t="n">
        <f aca="false">DEMANDA!H26</f>
        <v>17093.1178161179</v>
      </c>
      <c r="I8" s="9" t="n">
        <f aca="false">DEMANDA!H27</f>
        <v>984.713110803336</v>
      </c>
      <c r="J8" s="9" t="n">
        <f aca="false">DEMANDA!H28</f>
        <v>1381.71331832398</v>
      </c>
      <c r="K8" s="9" t="n">
        <f aca="false">DEMANDA!H29</f>
        <v>257.74934388656</v>
      </c>
      <c r="L8" s="9" t="n">
        <f aca="false">DEMANDA!H30</f>
        <v>138.29321913711</v>
      </c>
      <c r="M8" s="9" t="n">
        <f aca="false">DEMANDA!H31</f>
        <v>76.2837647157181</v>
      </c>
      <c r="N8" s="9" t="n">
        <f aca="false">DEMANDA!H32</f>
        <v>679.007449103124</v>
      </c>
      <c r="O8" s="9" t="n">
        <f aca="false">DEMANDA!H33</f>
        <v>3738.97647376192</v>
      </c>
      <c r="P8" s="9" t="n">
        <f aca="false">DEMANDA!H34</f>
        <v>1267.28313963334</v>
      </c>
      <c r="Q8" s="9" t="n">
        <f aca="false">DEMANDA!H35</f>
        <v>199.103947985997</v>
      </c>
      <c r="R8" s="9" t="n">
        <f aca="false">DEMANDA!H36</f>
        <v>71.2950540203594</v>
      </c>
      <c r="S8" s="9" t="n">
        <f aca="false">DEMANDA!H37</f>
        <v>165.763405566189</v>
      </c>
      <c r="T8" s="9" t="n">
        <f aca="false">DEMANDA!H38</f>
        <v>370.50016599896</v>
      </c>
      <c r="U8" s="9" t="n">
        <f aca="false">DEMANDA!H39</f>
        <v>79.5664346731402</v>
      </c>
      <c r="V8" s="9" t="n">
        <f aca="false">DEMANDA!H40</f>
        <v>54.7562526560952</v>
      </c>
      <c r="W8" s="9" t="n">
        <f aca="false">DEMANDA!H41</f>
        <v>219.793205373461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40199.5665849143</v>
      </c>
      <c r="G9" s="9" t="n">
        <f aca="false">DEMANDA!I25</f>
        <v>3569.08088210324</v>
      </c>
      <c r="H9" s="9" t="n">
        <f aca="false">DEMANDA!I26</f>
        <v>22733.1694930204</v>
      </c>
      <c r="I9" s="9" t="n">
        <f aca="false">DEMANDA!I27</f>
        <v>1319.02993540972</v>
      </c>
      <c r="J9" s="9" t="n">
        <f aca="false">DEMANDA!I28</f>
        <v>1846.78191704652</v>
      </c>
      <c r="K9" s="9" t="n">
        <f aca="false">DEMANDA!I29</f>
        <v>333.447338938111</v>
      </c>
      <c r="L9" s="9" t="n">
        <f aca="false">DEMANDA!I30</f>
        <v>178.224675971378</v>
      </c>
      <c r="M9" s="9" t="n">
        <f aca="false">DEMANDA!I31</f>
        <v>101.303640133349</v>
      </c>
      <c r="N9" s="9" t="n">
        <f aca="false">DEMANDA!I32</f>
        <v>899.65066345152</v>
      </c>
      <c r="O9" s="9" t="n">
        <f aca="false">DEMANDA!I33</f>
        <v>4969.78889027522</v>
      </c>
      <c r="P9" s="9" t="n">
        <f aca="false">DEMANDA!I34</f>
        <v>1688.49588649658</v>
      </c>
      <c r="Q9" s="9" t="n">
        <f aca="false">DEMANDA!I35</f>
        <v>261.363871510632</v>
      </c>
      <c r="R9" s="9" t="n">
        <f aca="false">DEMANDA!I36</f>
        <v>88.5992636744705</v>
      </c>
      <c r="S9" s="9" t="n">
        <f aca="false">DEMANDA!I37</f>
        <v>220.233882452945</v>
      </c>
      <c r="T9" s="9" t="n">
        <f aca="false">DEMANDA!I38</f>
        <v>492.389570605473</v>
      </c>
      <c r="U9" s="9" t="n">
        <f aca="false">DEMANDA!I39</f>
        <v>105.712263580153</v>
      </c>
      <c r="V9" s="9" t="n">
        <f aca="false">DEMANDA!I40</f>
        <v>72.5291978104616</v>
      </c>
      <c r="W9" s="9" t="n">
        <f aca="false">DEMANDA!I41</f>
        <v>254.140886951277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50540.7852540596</v>
      </c>
      <c r="G10" s="9" t="n">
        <f aca="false">DEMANDA!J25</f>
        <v>4386.01314583059</v>
      </c>
      <c r="H10" s="9" t="n">
        <f aca="false">DEMANDA!J26</f>
        <v>27836.5505184809</v>
      </c>
      <c r="I10" s="9" t="n">
        <f aca="false">DEMANDA!J27</f>
        <v>1614.27075298017</v>
      </c>
      <c r="J10" s="9" t="n">
        <f aca="false">DEMANDA!J28</f>
        <v>2263.20082755629</v>
      </c>
      <c r="K10" s="9" t="n">
        <f aca="false">DEMANDA!J29</f>
        <v>413.590439707461</v>
      </c>
      <c r="L10" s="9" t="n">
        <f aca="false">DEMANDA!J30</f>
        <v>217.784104580971</v>
      </c>
      <c r="M10" s="9" t="n">
        <f aca="false">DEMANDA!J31</f>
        <v>127.65907424062</v>
      </c>
      <c r="N10" s="9" t="n">
        <f aca="false">DEMANDA!J32</f>
        <v>1106.7030069451</v>
      </c>
      <c r="O10" s="9" t="n">
        <f aca="false">DEMANDA!J33</f>
        <v>6076.26953823912</v>
      </c>
      <c r="P10" s="9" t="n">
        <f aca="false">DEMANDA!J34</f>
        <v>2091.64375916223</v>
      </c>
      <c r="Q10" s="9" t="n">
        <f aca="false">DEMANDA!J35</f>
        <v>327.275543402635</v>
      </c>
      <c r="R10" s="9" t="n">
        <f aca="false">DEMANDA!J36</f>
        <v>113.817420548244</v>
      </c>
      <c r="S10" s="9" t="n">
        <f aca="false">DEMANDA!J37</f>
        <v>271.322742790795</v>
      </c>
      <c r="T10" s="9" t="n">
        <f aca="false">DEMANDA!J38</f>
        <v>606.497026149702</v>
      </c>
      <c r="U10" s="9" t="n">
        <f aca="false">DEMANDA!J39</f>
        <v>130.234916538212</v>
      </c>
      <c r="V10" s="9" t="n">
        <f aca="false">DEMANDA!J40</f>
        <v>89.2200256883523</v>
      </c>
      <c r="W10" s="9" t="n">
        <f aca="false">DEMANDA!J41</f>
        <v>244.496829480615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58687.580000828</v>
      </c>
      <c r="G11" s="9" t="n">
        <f aca="false">DEMANDA!K25</f>
        <v>4883.56865065685</v>
      </c>
      <c r="H11" s="9" t="n">
        <f aca="false">DEMANDA!K26</f>
        <v>30877.3773064028</v>
      </c>
      <c r="I11" s="9" t="n">
        <f aca="false">DEMANDA!K27</f>
        <v>1787.46541828203</v>
      </c>
      <c r="J11" s="9" t="n">
        <f aca="false">DEMANDA!K28</f>
        <v>2516.18127554643</v>
      </c>
      <c r="K11" s="9" t="n">
        <f aca="false">DEMANDA!K29</f>
        <v>467.919572934288</v>
      </c>
      <c r="L11" s="9" t="n">
        <f aca="false">DEMANDA!K30</f>
        <v>246.241213632852</v>
      </c>
      <c r="M11" s="9" t="n">
        <f aca="false">DEMANDA!K31</f>
        <v>141.548154953766</v>
      </c>
      <c r="N11" s="9" t="n">
        <f aca="false">DEMANDA!K32</f>
        <v>1238.61863915462</v>
      </c>
      <c r="O11" s="9" t="n">
        <f aca="false">DEMANDA!K33</f>
        <v>6716.78544305804</v>
      </c>
      <c r="P11" s="9" t="n">
        <f aca="false">DEMANDA!K34</f>
        <v>2359.58468664524</v>
      </c>
      <c r="Q11" s="9" t="n">
        <f aca="false">DEMANDA!K35</f>
        <v>371.233898216593</v>
      </c>
      <c r="R11" s="9" t="n">
        <f aca="false">DEMANDA!K36</f>
        <v>126.996168699993</v>
      </c>
      <c r="S11" s="9" t="n">
        <f aca="false">DEMANDA!K37</f>
        <v>304.619038811395</v>
      </c>
      <c r="T11" s="9" t="n">
        <f aca="false">DEMANDA!K38</f>
        <v>680.776054996162</v>
      </c>
      <c r="U11" s="9" t="n">
        <f aca="false">DEMANDA!K39</f>
        <v>146.217138608926</v>
      </c>
      <c r="V11" s="9" t="n">
        <f aca="false">DEMANDA!K40</f>
        <v>100.217232986093</v>
      </c>
      <c r="W11" s="9" t="n">
        <f aca="false">DEMANDA!K41</f>
        <v>194.478981190064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62894.2854399758</v>
      </c>
      <c r="G12" s="9" t="n">
        <f aca="false">DEMANDA!L25</f>
        <v>5284.10000242479</v>
      </c>
      <c r="H12" s="9" t="n">
        <f aca="false">DEMANDA!L26</f>
        <v>33303.7269357863</v>
      </c>
      <c r="I12" s="9" t="n">
        <f aca="false">DEMANDA!L27</f>
        <v>1928.54134228401</v>
      </c>
      <c r="J12" s="9" t="n">
        <f aca="false">DEMANDA!L28</f>
        <v>2718.74815444827</v>
      </c>
      <c r="K12" s="9" t="n">
        <f aca="false">DEMANDA!L29</f>
        <v>511.380036356306</v>
      </c>
      <c r="L12" s="9" t="n">
        <f aca="false">DEMANDA!L30</f>
        <v>267.891708139831</v>
      </c>
      <c r="M12" s="9" t="n">
        <f aca="false">DEMANDA!L31</f>
        <v>154.344389553416</v>
      </c>
      <c r="N12" s="9" t="n">
        <f aca="false">DEMANDA!L32</f>
        <v>1339.69585230638</v>
      </c>
      <c r="O12" s="9" t="n">
        <f aca="false">DEMANDA!L33</f>
        <v>7245.64528105904</v>
      </c>
      <c r="P12" s="9" t="n">
        <f aca="false">DEMANDA!L34</f>
        <v>2565.10531060143</v>
      </c>
      <c r="Q12" s="9" t="n">
        <f aca="false">DEMANDA!L35</f>
        <v>405.631026520486</v>
      </c>
      <c r="R12" s="9" t="n">
        <f aca="false">DEMANDA!L36</f>
        <v>139.244795889866</v>
      </c>
      <c r="S12" s="9" t="n">
        <f aca="false">DEMANDA!L37</f>
        <v>330.515354061639</v>
      </c>
      <c r="T12" s="9" t="n">
        <f aca="false">DEMANDA!L38</f>
        <v>738.775126435446</v>
      </c>
      <c r="U12" s="9" t="n">
        <f aca="false">DEMANDA!L39</f>
        <v>158.647369963282</v>
      </c>
      <c r="V12" s="9" t="n">
        <f aca="false">DEMANDA!L40</f>
        <v>108.846446438688</v>
      </c>
      <c r="W12" s="9" t="n">
        <f aca="false">DEMANDA!L41</f>
        <v>148.763866204661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67205.7354094728</v>
      </c>
      <c r="G13" s="9" t="n">
        <f aca="false">DEMANDA!M25</f>
        <v>5690.82517419891</v>
      </c>
      <c r="H13" s="9" t="n">
        <f aca="false">DEMANDA!M26</f>
        <v>35774.2634839401</v>
      </c>
      <c r="I13" s="9" t="n">
        <f aca="false">DEMANDA!M27</f>
        <v>2071.80062942174</v>
      </c>
      <c r="J13" s="9" t="n">
        <f aca="false">DEMANDA!M28</f>
        <v>2924.99608973418</v>
      </c>
      <c r="K13" s="9" t="n">
        <f aca="false">DEMANDA!M29</f>
        <v>555.511892237886</v>
      </c>
      <c r="L13" s="9" t="n">
        <f aca="false">DEMANDA!M30</f>
        <v>289.784229410632</v>
      </c>
      <c r="M13" s="9" t="n">
        <f aca="false">DEMANDA!M31</f>
        <v>167.59404364605</v>
      </c>
      <c r="N13" s="9" t="n">
        <f aca="false">DEMANDA!M32</f>
        <v>1442.34912586085</v>
      </c>
      <c r="O13" s="9" t="n">
        <f aca="false">DEMANDA!M33</f>
        <v>7784.12452539538</v>
      </c>
      <c r="P13" s="9" t="n">
        <f aca="false">DEMANDA!M34</f>
        <v>2773.23504881921</v>
      </c>
      <c r="Q13" s="9" t="n">
        <f aca="false">DEMANDA!M35</f>
        <v>440.296680992873</v>
      </c>
      <c r="R13" s="9" t="n">
        <f aca="false">DEMANDA!M36</f>
        <v>151.230273638771</v>
      </c>
      <c r="S13" s="9" t="n">
        <f aca="false">DEMANDA!M37</f>
        <v>356.752414976125</v>
      </c>
      <c r="T13" s="9" t="n">
        <f aca="false">DEMANDA!M38</f>
        <v>797.181445078764</v>
      </c>
      <c r="U13" s="9" t="n">
        <f aca="false">DEMANDA!M39</f>
        <v>171.241159099518</v>
      </c>
      <c r="V13" s="9" t="n">
        <f aca="false">DEMANDA!M40</f>
        <v>117.242305897085</v>
      </c>
      <c r="W13" s="9" t="n">
        <f aca="false">DEMANDA!M41</f>
        <v>154.538887605872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5600.4779507894</v>
      </c>
      <c r="G14" s="9" t="n">
        <f aca="false">ESTACIONALIDAD!P29</f>
        <v>474.235431183243</v>
      </c>
      <c r="H14" s="9" t="n">
        <f aca="false">ESTACIONALIDAD!P30</f>
        <v>2981.18862366168</v>
      </c>
      <c r="I14" s="9" t="n">
        <f aca="false">ESTACIONALIDAD!P31</f>
        <v>172.650052451812</v>
      </c>
      <c r="J14" s="9" t="n">
        <f aca="false">ESTACIONALIDAD!P32</f>
        <v>243.749674144515</v>
      </c>
      <c r="K14" s="9" t="n">
        <f aca="false">ESTACIONALIDAD!P33</f>
        <v>46.2926576864905</v>
      </c>
      <c r="L14" s="9" t="n">
        <f aca="false">ESTACIONALIDAD!P34</f>
        <v>24.1486857842193</v>
      </c>
      <c r="M14" s="9" t="n">
        <f aca="false">ESTACIONALIDAD!P35</f>
        <v>13.9661703038375</v>
      </c>
      <c r="N14" s="9" t="n">
        <f aca="false">ESTACIONALIDAD!P36</f>
        <v>120.195760488404</v>
      </c>
      <c r="O14" s="9" t="n">
        <f aca="false">ESTACIONALIDAD!P37</f>
        <v>648.677043782948</v>
      </c>
      <c r="P14" s="9" t="n">
        <f aca="false">ESTACIONALIDAD!P38</f>
        <v>231.102920734934</v>
      </c>
      <c r="Q14" s="9" t="n">
        <f aca="false">ESTACIONALIDAD!P39</f>
        <v>36.6913900827394</v>
      </c>
      <c r="R14" s="9" t="n">
        <f aca="false">ESTACIONALIDAD!P40</f>
        <v>12.6025228032309</v>
      </c>
      <c r="S14" s="9" t="n">
        <f aca="false">ESTACIONALIDAD!P41</f>
        <v>29.7293679146771</v>
      </c>
      <c r="T14" s="9" t="n">
        <f aca="false">ESTACIONALIDAD!P42</f>
        <v>66.431787089897</v>
      </c>
      <c r="U14" s="9" t="n">
        <f aca="false">ESTACIONALIDAD!P43</f>
        <v>14.2700965916265</v>
      </c>
      <c r="V14" s="9" t="n">
        <f aca="false">ESTACIONALIDAD!P44</f>
        <v>9.77019215809039</v>
      </c>
      <c r="W14" s="9" t="n">
        <f aca="false">DEMANDA!M41/12</f>
        <v>12.8782406338227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486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</v>
      </c>
      <c r="G16" s="12" t="n">
        <f aca="false">2.55*(0.1+DEMANDA!$M$7)+(1-0.1-DEMANDA!$M$7)*0.0499999999999998</f>
        <v>0.4190825</v>
      </c>
      <c r="H16" s="12" t="n">
        <f aca="false">5.15*(0.1+DEMANDA!$M$7)+(1-0.1-DEMANDA!$M$7)*0.15</f>
        <v>0.888165</v>
      </c>
      <c r="I16" s="12" t="n">
        <f aca="false">10.15*(0.1+DEMANDA!$M$7)+(1-0.1-DEMANDA!$M$7)*0.15</f>
        <v>1.62633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961.953877629567</v>
      </c>
      <c r="Y16" s="13" t="n">
        <f aca="false">SUMPRODUCT($F16:$W16,$F$5:$W$5)</f>
        <v>4053.36898271116</v>
      </c>
      <c r="Z16" s="13" t="n">
        <f aca="false">SUMPRODUCT($F16:$W16,$F$6:$W$6)</f>
        <v>8641.144497738</v>
      </c>
      <c r="AA16" s="13" t="n">
        <f aca="false">SUMPRODUCT($F16:$W16,$F$7:$W$7)</f>
        <v>16206.353620804</v>
      </c>
      <c r="AB16" s="13" t="n">
        <f aca="false">SUMPRODUCT($F16:$W16,$F$8:$W$8)</f>
        <v>23611.9090694953</v>
      </c>
      <c r="AC16" s="13" t="n">
        <f aca="false">SUMPRODUCT($F16:$W16,$F$9:$W$9)</f>
        <v>31776.4837192737</v>
      </c>
      <c r="AD16" s="13" t="n">
        <f aca="false">SUMPRODUCT($F16:$W16,$F$10:$W$10)</f>
        <v>39175.415211244</v>
      </c>
      <c r="AE16" s="13" t="n">
        <f aca="false">SUMPRODUCT($F16:$W16,$F$11:$W$11)</f>
        <v>43976.4351063984</v>
      </c>
      <c r="AF16" s="13" t="n">
        <f aca="false">SUMPRODUCT($F16:$W16,$F$12:$W$12)</f>
        <v>47360.1094287443</v>
      </c>
      <c r="AG16" s="13" t="n">
        <f aca="false">SUMPRODUCT($F16:$W16,$F$13:$W$13)</f>
        <v>50809.8765921077</v>
      </c>
      <c r="AH16" s="13" t="n">
        <f aca="false">SUMPRODUCT($F16:$W16,$F$14:$W$14)</f>
        <v>4234.15638267564</v>
      </c>
    </row>
    <row r="17" customFormat="false" ht="15" hidden="false" customHeight="false" outlineLevel="0" collapsed="false">
      <c r="A17" s="3" t="s">
        <v>487</v>
      </c>
      <c r="B17" s="3" t="s">
        <v>418</v>
      </c>
      <c r="C17" s="3" t="s">
        <v>419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4.33010025</v>
      </c>
      <c r="T17" s="12" t="n">
        <f aca="false">50*(0.1+DEMANDA!$M$7)+(1-0.1-DEMANDA!$M$7)*1.5</f>
        <v>8.6602005</v>
      </c>
      <c r="U17" s="12" t="n">
        <f aca="false">70*(0.1+DEMANDA!$M$7)+(1-0.1-DEMANDA!$M$7)*2.09999999999999</f>
        <v>12.1242807</v>
      </c>
      <c r="V17" s="12" t="n">
        <f aca="false">100*(0.1+DEMANDA!$M$7)+(1-0.1-DEMANDA!$M$7)*3</f>
        <v>17.320401</v>
      </c>
      <c r="W17" s="3"/>
      <c r="X17" s="13" t="n">
        <f aca="false">SUMPRODUCT($F17:$W17,$F$4:$W$4)</f>
        <v>218.720192417412</v>
      </c>
      <c r="Y17" s="13" t="n">
        <f aca="false">SUMPRODUCT($F17:$W17,$F$5:$W$5)</f>
        <v>1037.76589628428</v>
      </c>
      <c r="Z17" s="13" t="n">
        <f aca="false">SUMPRODUCT($F17:$W17,$F$6:$W$6)</f>
        <v>2255.68015190228</v>
      </c>
      <c r="AA17" s="13" t="n">
        <f aca="false">SUMPRODUCT($F17:$W17,$F$7:$W$7)</f>
        <v>4057.48509012343</v>
      </c>
      <c r="AB17" s="13" t="n">
        <f aca="false">SUMPRODUCT($F17:$W17,$F$8:$W$8)</f>
        <v>5839.46392825353</v>
      </c>
      <c r="AC17" s="13" t="n">
        <f aca="false">SUMPRODUCT($F17:$W17,$F$9:$W$9)</f>
        <v>7755.74714238394</v>
      </c>
      <c r="AD17" s="13" t="n">
        <f aca="false">SUMPRODUCT($F17:$W17,$F$10:$W$10)</f>
        <v>9551.57183270219</v>
      </c>
      <c r="AE17" s="13" t="n">
        <f aca="false">SUMPRODUCT($F17:$W17,$F$11:$W$11)</f>
        <v>10723.2684020528</v>
      </c>
      <c r="AF17" s="13" t="n">
        <f aca="false">SUMPRODUCT($F17:$W17,$F$12:$W$12)</f>
        <v>11637.8546820896</v>
      </c>
      <c r="AG17" s="13" t="n">
        <f aca="false">SUMPRODUCT($F17:$W17,$F$13:$W$13)</f>
        <v>12555.3845031561</v>
      </c>
      <c r="AH17" s="13" t="n">
        <f aca="false">SUMPRODUCT($F17:$W17,$F$14:$W$14)</f>
        <v>1046.28204192968</v>
      </c>
    </row>
    <row r="18" customFormat="false" ht="15" hidden="false" customHeight="false" outlineLevel="0" collapsed="false">
      <c r="A18" s="3" t="s">
        <v>488</v>
      </c>
      <c r="B18" s="3" t="s">
        <v>489</v>
      </c>
      <c r="C18" s="3" t="s">
        <v>490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13.8024314192896</v>
      </c>
      <c r="Y18" s="13" t="n">
        <f aca="false">SUMPRODUCT($F18:$W18,$F$5:$W$5)</f>
        <v>84.7683640647529</v>
      </c>
      <c r="Z18" s="13" t="n">
        <f aca="false">SUMPRODUCT($F18:$W18,$F$6:$W$6)</f>
        <v>158.504421058949</v>
      </c>
      <c r="AA18" s="13" t="n">
        <f aca="false">SUMPRODUCT($F18:$W18,$F$7:$W$7)</f>
        <v>284.780855340772</v>
      </c>
      <c r="AB18" s="13" t="n">
        <f aca="false">SUMPRODUCT($F18:$W18,$F$8:$W$8)</f>
        <v>392.861388285948</v>
      </c>
      <c r="AC18" s="13" t="n">
        <f aca="false">SUMPRODUCT($F18:$W18,$F$9:$W$9)</f>
        <v>521.713746686745</v>
      </c>
      <c r="AD18" s="13" t="n">
        <f aca="false">SUMPRODUCT($F18:$W18,$F$10:$W$10)</f>
        <v>657.444232339191</v>
      </c>
      <c r="AE18" s="13" t="n">
        <f aca="false">SUMPRODUCT($F18:$W18,$F$11:$W$11)</f>
        <v>728.972998011895</v>
      </c>
      <c r="AF18" s="13" t="n">
        <f aca="false">SUMPRODUCT($F18:$W18,$F$12:$W$12)</f>
        <v>794.873606200093</v>
      </c>
      <c r="AG18" s="13" t="n">
        <f aca="false">SUMPRODUCT($F18:$W18,$F$13:$W$13)</f>
        <v>863.109324777157</v>
      </c>
      <c r="AH18" s="13" t="n">
        <f aca="false">SUMPRODUCT($F18:$W18,$F$14:$W$14)</f>
        <v>71.925777064763</v>
      </c>
    </row>
    <row r="19" customFormat="false" ht="15" hidden="false" customHeight="false" outlineLevel="0" collapsed="false">
      <c r="A19" s="3" t="s">
        <v>491</v>
      </c>
      <c r="B19" s="3" t="s">
        <v>492</v>
      </c>
      <c r="C19" s="3" t="s">
        <v>493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24.5227665022331</v>
      </c>
      <c r="Y19" s="13" t="n">
        <f aca="false">SUMPRODUCT($F19:$W19,$F$5:$W$5)</f>
        <v>150.607870134464</v>
      </c>
      <c r="Z19" s="13" t="n">
        <f aca="false">SUMPRODUCT($F19:$W19,$F$6:$W$6)</f>
        <v>281.614651007647</v>
      </c>
      <c r="AA19" s="13" t="n">
        <f aca="false">SUMPRODUCT($F19:$W19,$F$7:$W$7)</f>
        <v>470.808454098829</v>
      </c>
      <c r="AB19" s="13" t="n">
        <f aca="false">SUMPRODUCT($F19:$W19,$F$8:$W$8)</f>
        <v>652.349744286289</v>
      </c>
      <c r="AC19" s="13" t="n">
        <f aca="false">SUMPRODUCT($F19:$W19,$F$9:$W$9)</f>
        <v>810.683262621405</v>
      </c>
      <c r="AD19" s="13" t="n">
        <f aca="false">SUMPRODUCT($F19:$W19,$F$10:$W$10)</f>
        <v>1041.42939801644</v>
      </c>
      <c r="AE19" s="13" t="n">
        <f aca="false">SUMPRODUCT($F19:$W19,$F$11:$W$11)</f>
        <v>1162.01494360493</v>
      </c>
      <c r="AF19" s="13" t="n">
        <f aca="false">SUMPRODUCT($F19:$W19,$F$12:$W$12)</f>
        <v>1274.08988239228</v>
      </c>
      <c r="AG19" s="13" t="n">
        <f aca="false">SUMPRODUCT($F19:$W19,$F$13:$W$13)</f>
        <v>1383.75700379475</v>
      </c>
      <c r="AH19" s="13" t="n">
        <f aca="false">SUMPRODUCT($F19:$W19,$F$14:$W$14)</f>
        <v>115.313083649563</v>
      </c>
    </row>
    <row r="20" customFormat="false" ht="15" hidden="false" customHeight="false" outlineLevel="0" collapsed="false">
      <c r="A20" s="3" t="s">
        <v>494</v>
      </c>
      <c r="B20" s="3" t="s">
        <v>495</v>
      </c>
      <c r="C20" s="3" t="s">
        <v>496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53.484733796094</v>
      </c>
      <c r="Y20" s="13" t="n">
        <f aca="false">SUMPRODUCT($F20:$W20,$F$5:$W$5)</f>
        <v>230.858699925214</v>
      </c>
      <c r="Z20" s="13" t="n">
        <f aca="false">SUMPRODUCT($F20:$W20,$F$6:$W$6)</f>
        <v>516.277575579197</v>
      </c>
      <c r="AA20" s="13" t="n">
        <f aca="false">SUMPRODUCT($F20:$W20,$F$7:$W$7)</f>
        <v>957.635799684299</v>
      </c>
      <c r="AB20" s="13" t="n">
        <f aca="false">SUMPRODUCT($F20:$W20,$F$8:$W$8)</f>
        <v>1381.43686456905</v>
      </c>
      <c r="AC20" s="13" t="n">
        <f aca="false">SUMPRODUCT($F20:$W20,$F$9:$W$9)</f>
        <v>1838.20572130333</v>
      </c>
      <c r="AD20" s="13" t="n">
        <f aca="false">SUMPRODUCT($F20:$W20,$F$10:$W$10)</f>
        <v>2261.07578722894</v>
      </c>
      <c r="AE20" s="13" t="n">
        <f aca="false">SUMPRODUCT($F20:$W20,$F$11:$W$11)</f>
        <v>2523.14943193423</v>
      </c>
      <c r="AF20" s="13" t="n">
        <f aca="false">SUMPRODUCT($F20:$W20,$F$12:$W$12)</f>
        <v>2731.68171151252</v>
      </c>
      <c r="AG20" s="13" t="n">
        <f aca="false">SUMPRODUCT($F20:$W20,$F$13:$W$13)</f>
        <v>2943.44242948868</v>
      </c>
      <c r="AH20" s="13" t="n">
        <f aca="false">SUMPRODUCT($F20:$W20,$F$14:$W$14)</f>
        <v>245.286869124057</v>
      </c>
    </row>
    <row r="21" customFormat="false" ht="15" hidden="false" customHeight="false" outlineLevel="0" collapsed="false">
      <c r="A21" s="3" t="s">
        <v>497</v>
      </c>
      <c r="B21" s="3" t="s">
        <v>498</v>
      </c>
      <c r="C21" s="3" t="s">
        <v>499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3.28811788376891</v>
      </c>
      <c r="Y21" s="13" t="n">
        <f aca="false">SUMPRODUCT($F21:$W21,$F$5:$W$5)</f>
        <v>19.5292372238067</v>
      </c>
      <c r="Z21" s="13" t="n">
        <f aca="false">SUMPRODUCT($F21:$W21,$F$6:$W$6)</f>
        <v>40.0349433800663</v>
      </c>
      <c r="AA21" s="13" t="n">
        <f aca="false">SUMPRODUCT($F21:$W21,$F$7:$W$7)</f>
        <v>69.4569585446709</v>
      </c>
      <c r="AB21" s="13" t="n">
        <f aca="false">SUMPRODUCT($F21:$W21,$F$8:$W$8)</f>
        <v>99.5519739929986</v>
      </c>
      <c r="AC21" s="13" t="n">
        <f aca="false">SUMPRODUCT($F21:$W21,$F$9:$W$9)</f>
        <v>130.681935755316</v>
      </c>
      <c r="AD21" s="13" t="n">
        <f aca="false">SUMPRODUCT($F21:$W21,$F$10:$W$10)</f>
        <v>163.637771701317</v>
      </c>
      <c r="AE21" s="13" t="n">
        <f aca="false">SUMPRODUCT($F21:$W21,$F$11:$W$11)</f>
        <v>185.616949108296</v>
      </c>
      <c r="AF21" s="13" t="n">
        <f aca="false">SUMPRODUCT($F21:$W21,$F$12:$W$12)</f>
        <v>202.815513260243</v>
      </c>
      <c r="AG21" s="13" t="n">
        <f aca="false">SUMPRODUCT($F21:$W21,$F$13:$W$13)</f>
        <v>220.148340496436</v>
      </c>
      <c r="AH21" s="13" t="n">
        <f aca="false">SUMPRODUCT($F21:$W21,$F$14:$W$14)</f>
        <v>18.3456950413697</v>
      </c>
    </row>
    <row r="22" customFormat="false" ht="15" hidden="false" customHeight="false" outlineLevel="0" collapsed="false">
      <c r="A22" s="3" t="s">
        <v>500</v>
      </c>
      <c r="B22" s="3" t="s">
        <v>501</v>
      </c>
      <c r="C22" s="3" t="s">
        <v>502</v>
      </c>
      <c r="D22" s="3" t="s">
        <v>503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8.79822582309699</v>
      </c>
      <c r="Y22" s="13" t="n">
        <f aca="false">SUMPRODUCT($F22:$W22,$F$5:$W$5)</f>
        <v>60.0316913693203</v>
      </c>
      <c r="Z22" s="13" t="n">
        <f aca="false">SUMPRODUCT($F22:$W22,$F$6:$W$6)</f>
        <v>118.42603538709</v>
      </c>
      <c r="AA22" s="13" t="n">
        <f aca="false">SUMPRODUCT($F22:$W22,$F$7:$W$7)</f>
        <v>201.33713999903</v>
      </c>
      <c r="AB22" s="13" t="n">
        <f aca="false">SUMPRODUCT($F22:$W22,$F$8:$W$8)</f>
        <v>284.764631871634</v>
      </c>
      <c r="AC22" s="13" t="n">
        <f aca="false">SUMPRODUCT($F22:$W22,$F$9:$W$9)</f>
        <v>367.371215638501</v>
      </c>
      <c r="AD22" s="13" t="n">
        <f aca="false">SUMPRODUCT($F22:$W22,$F$10:$W$10)</f>
        <v>450.753288783695</v>
      </c>
      <c r="AE22" s="13" t="n">
        <f aca="false">SUMPRODUCT($F22:$W22,$F$11:$W$11)</f>
        <v>509.737692329565</v>
      </c>
      <c r="AF22" s="13" t="n">
        <f aca="false">SUMPRODUCT($F22:$W22,$F$12:$W$12)</f>
        <v>555.251573116638</v>
      </c>
      <c r="AG22" s="13" t="n">
        <f aca="false">SUMPRODUCT($F22:$W22,$F$13:$W$13)</f>
        <v>601.329911787313</v>
      </c>
      <c r="AH22" s="13" t="n">
        <f aca="false">SUMPRODUCT($F22:$W22,$F$14:$W$14)</f>
        <v>50.1108259822761</v>
      </c>
    </row>
    <row r="23" customFormat="false" ht="15" hidden="false" customHeight="false" outlineLevel="0" collapsed="false">
      <c r="A23" s="3" t="s">
        <v>504</v>
      </c>
      <c r="B23" s="3" t="s">
        <v>505</v>
      </c>
      <c r="C23" s="3" t="s">
        <v>506</v>
      </c>
      <c r="D23" s="3" t="s">
        <v>503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172.923643536585</v>
      </c>
      <c r="Y23" s="13" t="n">
        <f aca="false">SUMPRODUCT($F23:$W23,$F$5:$W$5)</f>
        <v>707.704571300233</v>
      </c>
      <c r="Z23" s="13" t="n">
        <f aca="false">SUMPRODUCT($F23:$W23,$F$6:$W$6)</f>
        <v>1575.55159511492</v>
      </c>
      <c r="AA23" s="13" t="n">
        <f aca="false">SUMPRODUCT($F23:$W23,$F$7:$W$7)</f>
        <v>2864.81577639412</v>
      </c>
      <c r="AB23" s="13" t="n">
        <f aca="false">SUMPRODUCT($F23:$W23,$F$8:$W$8)</f>
        <v>4135.15536503803</v>
      </c>
      <c r="AC23" s="13" t="n">
        <f aca="false">SUMPRODUCT($F23:$W23,$F$9:$W$9)</f>
        <v>5478.87254041975</v>
      </c>
      <c r="AD23" s="13" t="n">
        <f aca="false">SUMPRODUCT($F23:$W23,$F$10:$W$10)</f>
        <v>6739.82131229564</v>
      </c>
      <c r="AE23" s="13" t="n">
        <f aca="false">SUMPRODUCT($F23:$W23,$F$11:$W$11)</f>
        <v>7543.18751245163</v>
      </c>
      <c r="AF23" s="13" t="n">
        <f aca="false">SUMPRODUCT($F23:$W23,$F$12:$W$12)</f>
        <v>8158.74774054587</v>
      </c>
      <c r="AG23" s="13" t="n">
        <f aca="false">SUMPRODUCT($F23:$W23,$F$13:$W$13)</f>
        <v>8783.90617649257</v>
      </c>
      <c r="AH23" s="13" t="n">
        <f aca="false">SUMPRODUCT($F23:$W23,$F$14:$W$14)</f>
        <v>731.992181374381</v>
      </c>
    </row>
    <row r="24" customFormat="false" ht="15" hidden="false" customHeight="false" outlineLevel="0" collapsed="false">
      <c r="A24" s="3" t="s">
        <v>507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40.9558596824848</v>
      </c>
      <c r="Y24" s="13" t="n">
        <f aca="false">SUMPRODUCT($F24:$W24,$F$5:$W$5)</f>
        <v>177.470902118161</v>
      </c>
      <c r="Z24" s="13" t="n">
        <f aca="false">SUMPRODUCT($F24:$W24,$F$6:$W$6)</f>
        <v>382.105516855881</v>
      </c>
      <c r="AA24" s="13" t="n">
        <f aca="false">SUMPRODUCT($F24:$W24,$F$7:$W$7)</f>
        <v>708.616497582342</v>
      </c>
      <c r="AB24" s="13" t="n">
        <f aca="false">SUMPRODUCT($F24:$W24,$F$8:$W$8)</f>
        <v>1027.73818080999</v>
      </c>
      <c r="AC24" s="13" t="n">
        <f aca="false">SUMPRODUCT($F24:$W24,$F$9:$W$9)</f>
        <v>1376.04078959468</v>
      </c>
      <c r="AD24" s="13" t="n">
        <f aca="false">SUMPRODUCT($F24:$W24,$F$10:$W$10)</f>
        <v>1694.91292779006</v>
      </c>
      <c r="AE24" s="13" t="n">
        <f aca="false">SUMPRODUCT($F24:$W24,$F$11:$W$11)</f>
        <v>1900.34138797225</v>
      </c>
      <c r="AF24" s="13" t="n">
        <f aca="false">SUMPRODUCT($F24:$W24,$F$12:$W$12)</f>
        <v>2051.05690147254</v>
      </c>
      <c r="AG24" s="13" t="n">
        <f aca="false">SUMPRODUCT($F24:$W24,$F$13:$W$13)</f>
        <v>2204.12499089217</v>
      </c>
      <c r="AH24" s="13" t="n">
        <f aca="false">SUMPRODUCT($F24:$W24,$F$14:$W$14)</f>
        <v>183.677082574347</v>
      </c>
    </row>
    <row r="25" customFormat="false" ht="15" hidden="false" customHeight="false" outlineLevel="0" collapsed="false">
      <c r="A25" s="3" t="s">
        <v>508</v>
      </c>
      <c r="B25" s="3" t="s">
        <v>509</v>
      </c>
      <c r="C25" s="3" t="s">
        <v>510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2232.5697409361</v>
      </c>
      <c r="Y25" s="13" t="n">
        <f aca="false">SUMPRODUCT($F25:$W25,$F$5:$W$5)</f>
        <v>10061.2414807897</v>
      </c>
      <c r="Z25" s="13" t="n">
        <f aca="false">SUMPRODUCT($F25:$W25,$F$6:$W$6)</f>
        <v>20028.7046480217</v>
      </c>
      <c r="AA25" s="13" t="n">
        <f aca="false">SUMPRODUCT($F25:$W25,$F$7:$W$7)</f>
        <v>37128.100931285</v>
      </c>
      <c r="AB25" s="13" t="n">
        <f aca="false">SUMPRODUCT($F25:$W25,$F$8:$W$8)</f>
        <v>54716.2176565199</v>
      </c>
      <c r="AC25" s="13" t="n">
        <f aca="false">SUMPRODUCT($F25:$W25,$F$9:$W$9)</f>
        <v>74581.5963360108</v>
      </c>
      <c r="AD25" s="13" t="n">
        <f aca="false">SUMPRODUCT($F25:$W25,$F$10:$W$10)</f>
        <v>92690.9653503784</v>
      </c>
      <c r="AE25" s="13" t="n">
        <f aca="false">SUMPRODUCT($F25:$W25,$F$11:$W$11)</f>
        <v>105511.987276266</v>
      </c>
      <c r="AF25" s="13" t="n">
        <f aca="false">SUMPRODUCT($F25:$W25,$F$12:$W$12)</f>
        <v>113454.476520427</v>
      </c>
      <c r="AG25" s="13" t="n">
        <f aca="false">SUMPRODUCT($F25:$W25,$F$13:$W$13)</f>
        <v>121565.687365936</v>
      </c>
      <c r="AH25" s="13" t="n">
        <f aca="false">SUMPRODUCT($F25:$W25,$F$14:$W$14)</f>
        <v>10130.4739471613</v>
      </c>
    </row>
    <row r="26" customFormat="false" ht="15" hidden="false" customHeight="false" outlineLevel="0" collapsed="false">
      <c r="A26" s="3" t="s">
        <v>511</v>
      </c>
      <c r="B26" s="3" t="s">
        <v>512</v>
      </c>
      <c r="C26" s="3" t="s">
        <v>513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69.8397136650006</v>
      </c>
      <c r="Y26" s="13" t="n">
        <f aca="false">SUMPRODUCT($F26:$W26,$F$5:$W$5)</f>
        <v>283.632580589666</v>
      </c>
      <c r="Z26" s="13" t="n">
        <f aca="false">SUMPRODUCT($F26:$W26,$F$6:$W$6)</f>
        <v>645.782608580608</v>
      </c>
      <c r="AA26" s="13" t="n">
        <f aca="false">SUMPRODUCT($F26:$W26,$F$7:$W$7)</f>
        <v>1214.01812871063</v>
      </c>
      <c r="AB26" s="13" t="n">
        <f aca="false">SUMPRODUCT($F26:$W26,$F$8:$W$8)</f>
        <v>1752.19086468834</v>
      </c>
      <c r="AC26" s="13" t="n">
        <f aca="false">SUMPRODUCT($F26:$W26,$F$9:$W$9)</f>
        <v>2330.39967187013</v>
      </c>
      <c r="AD26" s="13" t="n">
        <f aca="false">SUMPRODUCT($F26:$W26,$F$10:$W$10)</f>
        <v>2858.76965409047</v>
      </c>
      <c r="AE26" s="13" t="n">
        <f aca="false">SUMPRODUCT($F26:$W26,$F$11:$W$11)</f>
        <v>3176.72954539615</v>
      </c>
      <c r="AF26" s="13" t="n">
        <f aca="false">SUMPRODUCT($F26:$W26,$F$12:$W$12)</f>
        <v>3433.76270708116</v>
      </c>
      <c r="AG26" s="13" t="n">
        <f aca="false">SUMPRODUCT($F26:$W26,$F$13:$W$13)</f>
        <v>3695.0758509751</v>
      </c>
      <c r="AH26" s="13" t="n">
        <f aca="false">SUMPRODUCT($F26:$W26,$F$14:$W$14)</f>
        <v>307.922987581259</v>
      </c>
    </row>
    <row r="27" customFormat="false" ht="15" hidden="false" customHeight="false" outlineLevel="0" collapsed="false">
      <c r="A27" s="3" t="s">
        <v>514</v>
      </c>
      <c r="B27" s="3" t="s">
        <v>515</v>
      </c>
      <c r="C27" s="3" t="s">
        <v>516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2366.54661956285</v>
      </c>
      <c r="Y27" s="13" t="n">
        <f aca="false">SUMPRODUCT($F27:$W27,$F$5:$W$5)</f>
        <v>10613.3757102758</v>
      </c>
      <c r="Z27" s="13" t="n">
        <f aca="false">SUMPRODUCT($F27:$W27,$F$6:$W$6)</f>
        <v>21280.0606332084</v>
      </c>
      <c r="AA27" s="13" t="n">
        <f aca="false">SUMPRODUCT($F27:$W27,$F$7:$W$7)</f>
        <v>39473.00007357</v>
      </c>
      <c r="AB27" s="13" t="n">
        <f aca="false">SUMPRODUCT($F27:$W27,$F$8:$W$8)</f>
        <v>58099.7039714177</v>
      </c>
      <c r="AC27" s="13" t="n">
        <f aca="false">SUMPRODUCT($F27:$W27,$F$9:$W$9)</f>
        <v>79079.3679573944</v>
      </c>
      <c r="AD27" s="13" t="n">
        <f aca="false">SUMPRODUCT($F27:$W27,$F$10:$W$10)</f>
        <v>98212.838096901</v>
      </c>
      <c r="AE27" s="13" t="n">
        <f aca="false">SUMPRODUCT($F27:$W27,$F$11:$W$11)</f>
        <v>111652.929894414</v>
      </c>
      <c r="AF27" s="13" t="n">
        <f aca="false">SUMPRODUCT($F27:$W27,$F$12:$W$12)</f>
        <v>120095.124572245</v>
      </c>
      <c r="AG27" s="13" t="n">
        <f aca="false">SUMPRODUCT($F27:$W27,$F$13:$W$13)</f>
        <v>128714.163931821</v>
      </c>
      <c r="AH27" s="13" t="n">
        <f aca="false">SUMPRODUCT($F27:$W27,$F$14:$W$14)</f>
        <v>10726.1803276517</v>
      </c>
    </row>
    <row r="28" customFormat="false" ht="15" hidden="false" customHeight="false" outlineLevel="0" collapsed="false">
      <c r="A28" s="3" t="s">
        <v>517</v>
      </c>
      <c r="B28" s="3" t="s">
        <v>518</v>
      </c>
      <c r="C28" s="3" t="s">
        <v>519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2366.54661956285</v>
      </c>
      <c r="Y28" s="13" t="n">
        <f aca="false">SUMPRODUCT($F28:$W28,$F$5:$W$5)</f>
        <v>10613.3757102758</v>
      </c>
      <c r="Z28" s="13" t="n">
        <f aca="false">SUMPRODUCT($F28:$W28,$F$6:$W$6)</f>
        <v>21280.0606332084</v>
      </c>
      <c r="AA28" s="13" t="n">
        <f aca="false">SUMPRODUCT($F28:$W28,$F$7:$W$7)</f>
        <v>39473.00007357</v>
      </c>
      <c r="AB28" s="13" t="n">
        <f aca="false">SUMPRODUCT($F28:$W28,$F$8:$W$8)</f>
        <v>58099.7039714177</v>
      </c>
      <c r="AC28" s="13" t="n">
        <f aca="false">SUMPRODUCT($F28:$W28,$F$9:$W$9)</f>
        <v>79079.3679573944</v>
      </c>
      <c r="AD28" s="13" t="n">
        <f aca="false">SUMPRODUCT($F28:$W28,$F$10:$W$10)</f>
        <v>98212.838096901</v>
      </c>
      <c r="AE28" s="13" t="n">
        <f aca="false">SUMPRODUCT($F28:$W28,$F$11:$W$11)</f>
        <v>111652.929894414</v>
      </c>
      <c r="AF28" s="13" t="n">
        <f aca="false">SUMPRODUCT($F28:$W28,$F$12:$W$12)</f>
        <v>120095.124572245</v>
      </c>
      <c r="AG28" s="13" t="n">
        <f aca="false">SUMPRODUCT($F28:$W28,$F$13:$W$13)</f>
        <v>128714.163931821</v>
      </c>
      <c r="AH28" s="13" t="n">
        <f aca="false">SUMPRODUCT($F28:$W28,$F$14:$W$14)</f>
        <v>10726.1803276517</v>
      </c>
    </row>
    <row r="29" customFormat="false" ht="15" hidden="false" customHeight="false" outlineLevel="0" collapsed="false">
      <c r="A29" s="3" t="s">
        <v>520</v>
      </c>
      <c r="B29" s="3" t="s">
        <v>521</v>
      </c>
      <c r="C29" s="3" t="s">
        <v>522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2366.54661956285</v>
      </c>
      <c r="Y29" s="13" t="n">
        <f aca="false">SUMPRODUCT($F29:$W29,$F$5:$W$5)</f>
        <v>10613.3757102758</v>
      </c>
      <c r="Z29" s="13" t="n">
        <f aca="false">SUMPRODUCT($F29:$W29,$F$6:$W$6)</f>
        <v>21280.0606332084</v>
      </c>
      <c r="AA29" s="13" t="n">
        <f aca="false">SUMPRODUCT($F29:$W29,$F$7:$W$7)</f>
        <v>39473.00007357</v>
      </c>
      <c r="AB29" s="13" t="n">
        <f aca="false">SUMPRODUCT($F29:$W29,$F$8:$W$8)</f>
        <v>58099.7039714177</v>
      </c>
      <c r="AC29" s="13" t="n">
        <f aca="false">SUMPRODUCT($F29:$W29,$F$9:$W$9)</f>
        <v>79079.3679573944</v>
      </c>
      <c r="AD29" s="13" t="n">
        <f aca="false">SUMPRODUCT($F29:$W29,$F$10:$W$10)</f>
        <v>98212.838096901</v>
      </c>
      <c r="AE29" s="13" t="n">
        <f aca="false">SUMPRODUCT($F29:$W29,$F$11:$W$11)</f>
        <v>111652.929894414</v>
      </c>
      <c r="AF29" s="13" t="n">
        <f aca="false">SUMPRODUCT($F29:$W29,$F$12:$W$12)</f>
        <v>120095.124572245</v>
      </c>
      <c r="AG29" s="13" t="n">
        <f aca="false">SUMPRODUCT($F29:$W29,$F$13:$W$13)</f>
        <v>128714.163931821</v>
      </c>
      <c r="AH29" s="13" t="n">
        <f aca="false">SUMPRODUCT($F29:$W29,$F$14:$W$14)</f>
        <v>10726.1803276517</v>
      </c>
    </row>
    <row r="30" customFormat="false" ht="15" hidden="false" customHeight="false" outlineLevel="0" collapsed="false">
      <c r="A30" s="3" t="s">
        <v>523</v>
      </c>
      <c r="B30" s="3" t="s">
        <v>524</v>
      </c>
      <c r="C30" s="3" t="s">
        <v>525</v>
      </c>
      <c r="D30" s="3" t="s">
        <v>214</v>
      </c>
      <c r="E30" s="3" t="s">
        <v>294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1865.91573787574</v>
      </c>
      <c r="Y30" s="13" t="n">
        <f aca="false">SUMPRODUCT($F30:$W30,$F$5:$W$5)*(1-DEMANDA!E$6)</f>
        <v>8375.98105162818</v>
      </c>
      <c r="Z30" s="13" t="n">
        <f aca="false">SUMPRODUCT($F30:$W30,$F$6:$W$6)*(1-DEMANDA!F$6)</f>
        <v>16808.6193760597</v>
      </c>
      <c r="AA30" s="13" t="n">
        <f aca="false">SUMPRODUCT($F30:$W30,$F$7:$W$7)*(1-DEMANDA!G$6)</f>
        <v>31203.653678813</v>
      </c>
      <c r="AB30" s="13" t="n">
        <f aca="false">SUMPRODUCT($F30:$W30,$F$8:$W$8)*(1-DEMANDA!H$6)</f>
        <v>45960.8334086225</v>
      </c>
      <c r="AC30" s="13" t="n">
        <f aca="false">SUMPRODUCT($F30:$W30,$F$9:$W$9)*(1-DEMANDA!I$6)</f>
        <v>62595.7484370389</v>
      </c>
      <c r="AD30" s="13" t="n">
        <f aca="false">SUMPRODUCT($F30:$W30,$F$10:$W$10)*(1-DEMANDA!J$6)</f>
        <v>77780.1057959486</v>
      </c>
      <c r="AE30" s="13" t="n">
        <f aca="false">SUMPRODUCT($F30:$W30,$F$11:$W$11)*(1-DEMANDA!K$6)</f>
        <v>88457.2391859871</v>
      </c>
      <c r="AF30" s="13" t="n">
        <f aca="false">SUMPRODUCT($F30:$W30,$F$12:$W$12)*(1-DEMANDA!L$6)</f>
        <v>95167.0587660899</v>
      </c>
      <c r="AG30" s="13" t="n">
        <f aca="false">SUMPRODUCT($F30:$W30,$F$13:$W$13)*(1-DEMANDA!M$6)</f>
        <v>102002.308194588</v>
      </c>
      <c r="AH30" s="13" t="n">
        <f aca="false">SUMPRODUCT($F30:$W30,$F$14:$W$14)*(1-DEMANDA!M$6)</f>
        <v>8500.19234954897</v>
      </c>
    </row>
    <row r="31" customFormat="false" ht="15" hidden="false" customHeight="false" outlineLevel="0" collapsed="false">
      <c r="A31" s="3" t="s">
        <v>526</v>
      </c>
      <c r="B31" s="3" t="s">
        <v>527</v>
      </c>
      <c r="C31" s="3" t="s">
        <v>528</v>
      </c>
      <c r="D31" s="3" t="s">
        <v>214</v>
      </c>
      <c r="E31" s="3" t="s">
        <v>294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1865.91573787574</v>
      </c>
      <c r="Y31" s="13" t="n">
        <f aca="false">SUMPRODUCT($F31:$W31,$F$5:$W$5)*(1-DEMANDA!E$6)</f>
        <v>8375.98105162818</v>
      </c>
      <c r="Z31" s="13" t="n">
        <f aca="false">SUMPRODUCT($F31:$W31,$F$6:$W$6)*(1-DEMANDA!F$6)</f>
        <v>16808.6193760597</v>
      </c>
      <c r="AA31" s="13" t="n">
        <f aca="false">SUMPRODUCT($F31:$W31,$F$7:$W$7)*(1-DEMANDA!G$6)</f>
        <v>31203.653678813</v>
      </c>
      <c r="AB31" s="13" t="n">
        <f aca="false">SUMPRODUCT($F31:$W31,$F$8:$W$8)*(1-DEMANDA!H$6)</f>
        <v>45960.8334086225</v>
      </c>
      <c r="AC31" s="13" t="n">
        <f aca="false">SUMPRODUCT($F31:$W31,$F$9:$W$9)*(1-DEMANDA!I$6)</f>
        <v>62595.7484370389</v>
      </c>
      <c r="AD31" s="13" t="n">
        <f aca="false">SUMPRODUCT($F31:$W31,$F$10:$W$10)*(1-DEMANDA!J$6)</f>
        <v>77780.1057959486</v>
      </c>
      <c r="AE31" s="13" t="n">
        <f aca="false">SUMPRODUCT($F31:$W31,$F$11:$W$11)*(1-DEMANDA!K$6)</f>
        <v>88457.2391859871</v>
      </c>
      <c r="AF31" s="13" t="n">
        <f aca="false">SUMPRODUCT($F31:$W31,$F$12:$W$12)*(1-DEMANDA!L$6)</f>
        <v>95167.0587660899</v>
      </c>
      <c r="AG31" s="13" t="n">
        <f aca="false">SUMPRODUCT($F31:$W31,$F$13:$W$13)*(1-DEMANDA!M$6)</f>
        <v>102002.308194588</v>
      </c>
      <c r="AH31" s="13" t="n">
        <f aca="false">SUMPRODUCT($F31:$W31,$F$14:$W$14)*(1-DEMANDA!M$6)</f>
        <v>8500.19234954897</v>
      </c>
    </row>
    <row r="32" customFormat="false" ht="15" hidden="false" customHeight="false" outlineLevel="0" collapsed="false">
      <c r="A32" s="3" t="s">
        <v>529</v>
      </c>
      <c r="B32" s="3" t="s">
        <v>299</v>
      </c>
      <c r="C32" s="3" t="s">
        <v>300</v>
      </c>
      <c r="D32" s="3" t="s">
        <v>214</v>
      </c>
      <c r="E32" s="3" t="s">
        <v>301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500.630881687111</v>
      </c>
      <c r="Y32" s="13" t="n">
        <f aca="false">SUMPRODUCT($F32:$W32,$F$5:$W$5)*DEMANDA!E$6</f>
        <v>2237.39465864761</v>
      </c>
      <c r="Z32" s="13" t="n">
        <f aca="false">SUMPRODUCT($F32:$W32,$F$6:$W$6)*DEMANDA!F$6</f>
        <v>4471.44125714871</v>
      </c>
      <c r="AA32" s="13" t="n">
        <f aca="false">SUMPRODUCT($F32:$W32,$F$7:$W$7)*DEMANDA!G$6</f>
        <v>8269.34639475691</v>
      </c>
      <c r="AB32" s="13" t="n">
        <f aca="false">SUMPRODUCT($F32:$W32,$F$8:$W$8)*DEMANDA!H$6</f>
        <v>12138.8705627952</v>
      </c>
      <c r="AC32" s="13" t="n">
        <f aca="false">SUMPRODUCT($F32:$W32,$F$9:$W$9)*DEMANDA!I$6</f>
        <v>16483.6195203555</v>
      </c>
      <c r="AD32" s="13" t="n">
        <f aca="false">SUMPRODUCT($F32:$W32,$F$10:$W$10)*DEMANDA!J$6</f>
        <v>20432.7323009524</v>
      </c>
      <c r="AE32" s="13" t="n">
        <f aca="false">SUMPRODUCT($F32:$W32,$F$11:$W$11)*DEMANDA!K$6</f>
        <v>23195.690708427</v>
      </c>
      <c r="AF32" s="13" t="n">
        <f aca="false">SUMPRODUCT($F32:$W32,$F$12:$W$12)*DEMANDA!L$6</f>
        <v>24928.0658061551</v>
      </c>
      <c r="AG32" s="13" t="n">
        <f aca="false">SUMPRODUCT($F32:$W32,$F$13:$W$13)*DEMANDA!M$6</f>
        <v>26711.8557372333</v>
      </c>
      <c r="AH32" s="13" t="n">
        <f aca="false">SUMPRODUCT($F32:$W32,$F$14:$W$14)*DEMANDA!M$6</f>
        <v>2225.98797810277</v>
      </c>
    </row>
    <row r="33" customFormat="false" ht="15" hidden="false" customHeight="false" outlineLevel="0" collapsed="false">
      <c r="A33" s="3" t="s">
        <v>530</v>
      </c>
      <c r="B33" s="3" t="s">
        <v>531</v>
      </c>
      <c r="C33" s="3" t="s">
        <v>532</v>
      </c>
      <c r="D33" s="3" t="s">
        <v>503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6.1581069706354</v>
      </c>
      <c r="Y33" s="13" t="n">
        <f aca="false">SUMPRODUCT($F33:$W33,$F$5:$W$5)</f>
        <v>26.9047543814857</v>
      </c>
      <c r="Z33" s="13" t="n">
        <f aca="false">SUMPRODUCT($F33:$W33,$F$6:$W$6)</f>
        <v>56.8464211316317</v>
      </c>
      <c r="AA33" s="13" t="n">
        <f aca="false">SUMPRODUCT($F33:$W33,$F$7:$W$7)</f>
        <v>105.532920075223</v>
      </c>
      <c r="AB33" s="13" t="n">
        <f aca="false">SUMPRODUCT($F33:$W33,$F$8:$W$8)</f>
        <v>153.649219739765</v>
      </c>
      <c r="AC33" s="13" t="n">
        <f aca="false">SUMPRODUCT($F33:$W33,$F$9:$W$9)</f>
        <v>206.615913473005</v>
      </c>
      <c r="AD33" s="13" t="n">
        <f aca="false">SUMPRODUCT($F33:$W33,$F$10:$W$10)</f>
        <v>255.082136190677</v>
      </c>
      <c r="AE33" s="13" t="n">
        <f aca="false">SUMPRODUCT($F33:$W33,$F$11:$W$11)</f>
        <v>287.028304568504</v>
      </c>
      <c r="AF33" s="13" t="n">
        <f aca="false">SUMPRODUCT($F33:$W33,$F$12:$W$12)</f>
        <v>309.488736276327</v>
      </c>
      <c r="AG33" s="13" t="n">
        <f aca="false">SUMPRODUCT($F33:$W33,$F$13:$W$13)</f>
        <v>332.354015156375</v>
      </c>
      <c r="AH33" s="13" t="n">
        <f aca="false">SUMPRODUCT($F33:$W33,$F$14:$W$14)</f>
        <v>27.6961679296979</v>
      </c>
    </row>
    <row r="34" customFormat="false" ht="15" hidden="false" customHeight="false" outlineLevel="0" collapsed="false">
      <c r="A34" s="3" t="s">
        <v>533</v>
      </c>
      <c r="B34" s="3" t="s">
        <v>534</v>
      </c>
      <c r="C34" s="3" t="s">
        <v>535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28.076190946453</v>
      </c>
      <c r="Y34" s="13" t="n">
        <f aca="false">SUMPRODUCT($F34:$W34,$F$5:$W$5)</f>
        <v>87.9891845827654</v>
      </c>
      <c r="Z34" s="13" t="n">
        <f aca="false">SUMPRODUCT($F34:$W34,$F$6:$W$6)</f>
        <v>119.603432134728</v>
      </c>
      <c r="AA34" s="13" t="n">
        <f aca="false">SUMPRODUCT($F34:$W34,$F$7:$W$7)</f>
        <v>205.241521041458</v>
      </c>
      <c r="AB34" s="13" t="n">
        <f aca="false">SUMPRODUCT($F34:$W34,$F$8:$W$8)</f>
        <v>219.793205373461</v>
      </c>
      <c r="AC34" s="13" t="n">
        <f aca="false">SUMPRODUCT($F34:$W34,$F$9:$W$9)</f>
        <v>254.140886951277</v>
      </c>
      <c r="AD34" s="13" t="n">
        <f aca="false">SUMPRODUCT($F34:$W34,$F$10:$W$10)</f>
        <v>244.496829480615</v>
      </c>
      <c r="AE34" s="13" t="n">
        <f aca="false">SUMPRODUCT($F34:$W34,$F$11:$W$11)</f>
        <v>194.478981190064</v>
      </c>
      <c r="AF34" s="13" t="n">
        <f aca="false">SUMPRODUCT($F34:$W34,$F$12:$W$12)</f>
        <v>148.763866204661</v>
      </c>
      <c r="AG34" s="13" t="n">
        <f aca="false">SUMPRODUCT($F34:$W34,$F$13:$W$13)</f>
        <v>154.538887605872</v>
      </c>
      <c r="AH34" s="13" t="n">
        <f aca="false">SUMPRODUCT($F34:$W34,$F$14:$W$14)</f>
        <v>12.8782406338227</v>
      </c>
    </row>
    <row r="35" customFormat="false" ht="15" hidden="false" customHeight="false" outlineLevel="0" collapsed="false">
      <c r="A35" s="3" t="s">
        <v>536</v>
      </c>
      <c r="B35" s="3" t="s">
        <v>537</v>
      </c>
      <c r="C35" s="3" t="s">
        <v>538</v>
      </c>
      <c r="D35" s="3" t="s">
        <v>214</v>
      </c>
      <c r="E35" s="3" t="s">
        <v>294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22.1368157776955</v>
      </c>
      <c r="Y35" s="13" t="n">
        <f aca="false">SUMPRODUCT($F35:$W35,$F$5:$W$5)*(1-DEMANDA!E$6)</f>
        <v>69.4402763957469</v>
      </c>
      <c r="Z35" s="13" t="n">
        <f aca="false">SUMPRODUCT($F35:$W35,$F$6:$W$6)*(1-DEMANDA!F$6)</f>
        <v>94.4719379081919</v>
      </c>
      <c r="AA35" s="13" t="n">
        <f aca="false">SUMPRODUCT($F35:$W35,$F$7:$W$7)*(1-DEMANDA!G$6)</f>
        <v>162.244707297498</v>
      </c>
      <c r="AB35" s="13" t="n">
        <f aca="false">SUMPRODUCT($F35:$W35,$F$8:$W$8)*(1-DEMANDA!H$6)</f>
        <v>173.871434895545</v>
      </c>
      <c r="AC35" s="13" t="n">
        <f aca="false">SUMPRODUCT($F35:$W35,$F$9:$W$9)*(1-DEMANDA!I$6)</f>
        <v>201.166744728396</v>
      </c>
      <c r="AD35" s="13" t="n">
        <f aca="false">SUMPRODUCT($F35:$W35,$F$10:$W$10)*(1-DEMANDA!J$6)</f>
        <v>193.630381040544</v>
      </c>
      <c r="AE35" s="13" t="n">
        <f aca="false">SUMPRODUCT($F35:$W35,$F$11:$W$11)*(1-DEMANDA!K$6)</f>
        <v>154.076330751418</v>
      </c>
      <c r="AF35" s="13" t="n">
        <f aca="false">SUMPRODUCT($F35:$W35,$F$12:$W$12)*(1-DEMANDA!L$6)</f>
        <v>117.885048604559</v>
      </c>
      <c r="AG35" s="13" t="n">
        <f aca="false">SUMPRODUCT($F35:$W35,$F$13:$W$13)*(1-DEMANDA!M$6)</f>
        <v>122.467666029146</v>
      </c>
      <c r="AH35" s="13" t="n">
        <f aca="false">SUMPRODUCT($F35:$W35,$F$14:$W$14)*(1-DEMANDA!M$6)</f>
        <v>10.2056388357621</v>
      </c>
    </row>
    <row r="36" customFormat="false" ht="15" hidden="false" customHeight="false" outlineLevel="0" collapsed="false">
      <c r="A36" s="3" t="s">
        <v>539</v>
      </c>
      <c r="B36" s="3" t="s">
        <v>540</v>
      </c>
      <c r="C36" s="3" t="s">
        <v>541</v>
      </c>
      <c r="D36" s="3" t="s">
        <v>214</v>
      </c>
      <c r="E36" s="3" t="s">
        <v>301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5.93937516875742</v>
      </c>
      <c r="Y36" s="13" t="n">
        <f aca="false">SUMPRODUCT($F36:$W36,$F$5:$W$5)*DEMANDA!E$6</f>
        <v>18.5489081870185</v>
      </c>
      <c r="Z36" s="13" t="n">
        <f aca="false">SUMPRODUCT($F36:$W36,$F$6:$W$6)*DEMANDA!F$6</f>
        <v>25.1314942265357</v>
      </c>
      <c r="AA36" s="13" t="n">
        <f aca="false">SUMPRODUCT($F36:$W36,$F$7:$W$7)*DEMANDA!G$6</f>
        <v>42.99681374396</v>
      </c>
      <c r="AB36" s="13" t="n">
        <f aca="false">SUMPRODUCT($F36:$W36,$F$8:$W$8)*DEMANDA!H$6</f>
        <v>45.921770477916</v>
      </c>
      <c r="AC36" s="13" t="n">
        <f aca="false">SUMPRODUCT($F36:$W36,$F$9:$W$9)*DEMANDA!I$6</f>
        <v>52.9741422228807</v>
      </c>
      <c r="AD36" s="13" t="n">
        <f aca="false">SUMPRODUCT($F36:$W36,$F$10:$W$10)*DEMANDA!J$6</f>
        <v>50.8664484400704</v>
      </c>
      <c r="AE36" s="13" t="n">
        <f aca="false">SUMPRODUCT($F36:$W36,$F$11:$W$11)*DEMANDA!K$6</f>
        <v>40.4026504386465</v>
      </c>
      <c r="AF36" s="13" t="n">
        <f aca="false">SUMPRODUCT($F36:$W36,$F$12:$W$12)*DEMANDA!L$6</f>
        <v>30.8788176001016</v>
      </c>
      <c r="AG36" s="13" t="n">
        <f aca="false">SUMPRODUCT($F36:$W36,$F$13:$W$13)*DEMANDA!M$6</f>
        <v>32.0712215767269</v>
      </c>
      <c r="AH36" s="13" t="n">
        <f aca="false">SUMPRODUCT($F36:$W36,$F$14:$W$14)*DEMANDA!M$6</f>
        <v>2.67260179806057</v>
      </c>
    </row>
    <row r="37" customFormat="false" ht="15" hidden="false" customHeight="false" outlineLevel="0" collapsed="false">
      <c r="A37" s="3" t="s">
        <v>542</v>
      </c>
      <c r="B37" s="3" t="s">
        <v>321</v>
      </c>
      <c r="C37" s="3" t="s">
        <v>322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28.076190946453</v>
      </c>
      <c r="Y37" s="13" t="n">
        <f aca="false">SUMPRODUCT($F37:$W37,$F$5:$W$5)</f>
        <v>87.9891845827654</v>
      </c>
      <c r="Z37" s="13" t="n">
        <f aca="false">SUMPRODUCT($F37:$W37,$F$6:$W$6)</f>
        <v>119.603432134728</v>
      </c>
      <c r="AA37" s="13" t="n">
        <f aca="false">SUMPRODUCT($F37:$W37,$F$7:$W$7)</f>
        <v>205.241521041458</v>
      </c>
      <c r="AB37" s="13" t="n">
        <f aca="false">SUMPRODUCT($F37:$W37,$F$8:$W$8)</f>
        <v>219.793205373461</v>
      </c>
      <c r="AC37" s="13" t="n">
        <f aca="false">SUMPRODUCT($F37:$W37,$F$9:$W$9)</f>
        <v>254.140886951277</v>
      </c>
      <c r="AD37" s="13" t="n">
        <f aca="false">SUMPRODUCT($F37:$W37,$F$10:$W$10)</f>
        <v>244.496829480615</v>
      </c>
      <c r="AE37" s="13" t="n">
        <f aca="false">SUMPRODUCT($F37:$W37,$F$11:$W$11)</f>
        <v>194.478981190064</v>
      </c>
      <c r="AF37" s="13" t="n">
        <f aca="false">SUMPRODUCT($F37:$W37,$F$12:$W$12)</f>
        <v>148.763866204661</v>
      </c>
      <c r="AG37" s="13" t="n">
        <f aca="false">SUMPRODUCT($F37:$W37,$F$13:$W$13)</f>
        <v>154.538887605872</v>
      </c>
      <c r="AH37" s="13" t="n">
        <f aca="false">SUMPRODUCT($F37:$W37,$F$14:$W$14)</f>
        <v>12.8782406338227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543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544</v>
      </c>
      <c r="G3" s="2" t="s">
        <v>545</v>
      </c>
      <c r="H3" s="2" t="s">
        <v>546</v>
      </c>
      <c r="I3" s="2" t="s">
        <v>547</v>
      </c>
      <c r="J3" s="2" t="s">
        <v>548</v>
      </c>
      <c r="K3" s="2" t="s">
        <v>549</v>
      </c>
      <c r="L3" s="2" t="s">
        <v>550</v>
      </c>
      <c r="M3" s="2" t="s">
        <v>551</v>
      </c>
      <c r="N3" s="2" t="s">
        <v>552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176.292744445035</v>
      </c>
      <c r="G4" s="9" t="n">
        <f aca="false">DEMANDA!D43</f>
        <v>99.8441779025177</v>
      </c>
      <c r="H4" s="9" t="n">
        <f aca="false">DEMANDA!D44</f>
        <v>42.9860148625177</v>
      </c>
      <c r="I4" s="9" t="n">
        <f aca="false">DEMANDA!D45</f>
        <v>28.7714740925177</v>
      </c>
      <c r="J4" s="9" t="n">
        <f aca="false">DEMANDA!D46</f>
        <v>100.953526272518</v>
      </c>
      <c r="K4" s="9" t="n">
        <f aca="false">DEMANDA!D47</f>
        <v>421.9843726</v>
      </c>
      <c r="L4" s="9" t="n">
        <f aca="false">DEMANDA!D48</f>
        <v>286.436253107624</v>
      </c>
      <c r="M4" s="9" t="n">
        <f aca="false">DEMANDA!D49</f>
        <v>59.2019966425177</v>
      </c>
      <c r="N4" s="9" t="n">
        <f aca="false">DEMANDA!D50</f>
        <v>28.7714740925177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322.13681361984</v>
      </c>
      <c r="G5" s="9" t="n">
        <f aca="false">DEMANDA!E43</f>
        <v>160.246354601144</v>
      </c>
      <c r="H5" s="9" t="n">
        <f aca="false">DEMANDA!E44</f>
        <v>68.5400520986259</v>
      </c>
      <c r="I5" s="9" t="n">
        <f aca="false">DEMANDA!E45</f>
        <v>45.6990746086259</v>
      </c>
      <c r="J5" s="9" t="n">
        <f aca="false">DEMANDA!E46</f>
        <v>189.941524446179</v>
      </c>
      <c r="K5" s="9" t="n">
        <f aca="false">DEMANDA!E47</f>
        <v>772.3206222</v>
      </c>
      <c r="L5" s="9" t="n">
        <f aca="false">DEMANDA!E48</f>
        <v>496.03832377695</v>
      </c>
      <c r="M5" s="9" t="n">
        <f aca="false">DEMANDA!E49</f>
        <v>100.621408001144</v>
      </c>
      <c r="N5" s="9" t="n">
        <f aca="false">DEMANDA!E50</f>
        <v>45.6990746086259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439.790151253041</v>
      </c>
      <c r="G6" s="9" t="n">
        <f aca="false">DEMANDA!F43</f>
        <v>194.134174202287</v>
      </c>
      <c r="H6" s="9" t="n">
        <f aca="false">DEMANDA!F44</f>
        <v>83.2517192711436</v>
      </c>
      <c r="I6" s="9" t="n">
        <f aca="false">DEMANDA!F45</f>
        <v>55.2785910086259</v>
      </c>
      <c r="J6" s="9" t="n">
        <f aca="false">DEMANDA!F46</f>
        <v>250.769624577092</v>
      </c>
      <c r="K6" s="9" t="n">
        <f aca="false">DEMANDA!F47</f>
        <v>1066.363722</v>
      </c>
      <c r="L6" s="9" t="n">
        <f aca="false">DEMANDA!F48</f>
        <v>636.683913951224</v>
      </c>
      <c r="M6" s="9" t="n">
        <f aca="false">DEMANDA!F49</f>
        <v>126.90629362977</v>
      </c>
      <c r="N6" s="9" t="n">
        <f aca="false">DEMANDA!F50</f>
        <v>55.2785910086259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607.353985773262</v>
      </c>
      <c r="G7" s="9" t="n">
        <f aca="false">DEMANDA!G43</f>
        <v>248.635496559539</v>
      </c>
      <c r="H7" s="9" t="n">
        <f aca="false">DEMANDA!G44</f>
        <v>106.954267102287</v>
      </c>
      <c r="I7" s="9" t="n">
        <f aca="false">DEMANDA!G45</f>
        <v>71.1830073211436</v>
      </c>
      <c r="J7" s="9" t="n">
        <f aca="false">DEMANDA!G46</f>
        <v>350.622178092739</v>
      </c>
      <c r="K7" s="9" t="n">
        <f aca="false">DEMANDA!G47</f>
        <v>1474.963344</v>
      </c>
      <c r="L7" s="9" t="n">
        <f aca="false">DEMANDA!G48</f>
        <v>855.075847670797</v>
      </c>
      <c r="M7" s="9" t="n">
        <f aca="false">DEMANDA!G49</f>
        <v>168.554136330913</v>
      </c>
      <c r="N7" s="9" t="n">
        <f aca="false">DEMANDA!G50</f>
        <v>71.1830073211436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980.066460274025</v>
      </c>
      <c r="G8" s="9" t="n">
        <f aca="false">DEMANDA!H43</f>
        <v>361.397538689309</v>
      </c>
      <c r="H8" s="9" t="n">
        <f aca="false">DEMANDA!H44</f>
        <v>154.811289587021</v>
      </c>
      <c r="I8" s="9" t="n">
        <f aca="false">DEMANDA!H45</f>
        <v>103.310244129769</v>
      </c>
      <c r="J8" s="9" t="n">
        <f aca="false">DEMANDA!H46</f>
        <v>548.830226537012</v>
      </c>
      <c r="K8" s="9" t="n">
        <f aca="false">DEMANDA!H47</f>
        <v>2394.644883</v>
      </c>
      <c r="L8" s="9" t="n">
        <f aca="false">DEMANDA!H48</f>
        <v>1306.47979225401</v>
      </c>
      <c r="M8" s="9" t="n">
        <f aca="false">DEMANDA!H49</f>
        <v>257.360523588165</v>
      </c>
      <c r="N8" s="9" t="n">
        <f aca="false">DEMANDA!H50</f>
        <v>103.310244129769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1375.62808767479</v>
      </c>
      <c r="G9" s="9" t="n">
        <f aca="false">DEMANDA!I43</f>
        <v>448.708475102668</v>
      </c>
      <c r="H9" s="9" t="n">
        <f aca="false">DEMANDA!I44</f>
        <v>192.372110715647</v>
      </c>
      <c r="I9" s="9" t="n">
        <f aca="false">DEMANDA!I45</f>
        <v>128.356498158395</v>
      </c>
      <c r="J9" s="9" t="n">
        <f aca="false">DEMANDA!I46</f>
        <v>754.631459737394</v>
      </c>
      <c r="K9" s="9" t="n">
        <f aca="false">DEMANDA!I47</f>
        <v>3311.547454</v>
      </c>
      <c r="L9" s="9" t="n">
        <f aca="false">DEMANDA!I48</f>
        <v>1771.32057014801</v>
      </c>
      <c r="M9" s="9" t="n">
        <f aca="false">DEMANDA!I49</f>
        <v>346.919199145417</v>
      </c>
      <c r="N9" s="9" t="n">
        <f aca="false">DEMANDA!I50</f>
        <v>128.014105585878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1772.62741190303</v>
      </c>
      <c r="G10" s="9" t="n">
        <f aca="false">DEMANDA!J43</f>
        <v>574.81908035992</v>
      </c>
      <c r="H10" s="9" t="n">
        <f aca="false">DEMANDA!J44</f>
        <v>246.421958644273</v>
      </c>
      <c r="I10" s="9" t="n">
        <f aca="false">DEMANDA!J45</f>
        <v>164.053044014504</v>
      </c>
      <c r="J10" s="9" t="n">
        <f aca="false">DEMANDA!J46</f>
        <v>962.597949965257</v>
      </c>
      <c r="K10" s="9" t="n">
        <f aca="false">DEMANDA!J47</f>
        <v>4274.187843</v>
      </c>
      <c r="L10" s="9" t="n">
        <f aca="false">DEMANDA!J48</f>
        <v>2268.71344074331</v>
      </c>
      <c r="M10" s="9" t="n">
        <f aca="false">DEMANDA!J49</f>
        <v>445.537770502668</v>
      </c>
      <c r="N10" s="9" t="n">
        <f aca="false">DEMANDA!J50</f>
        <v>164.378316958395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2192.42135221258</v>
      </c>
      <c r="G11" s="9" t="n">
        <f aca="false">DEMANDA!K43</f>
        <v>712.638685317172</v>
      </c>
      <c r="H11" s="9" t="n">
        <f aca="false">DEMANDA!K44</f>
        <v>305.489949272899</v>
      </c>
      <c r="I11" s="9" t="n">
        <f aca="false">DEMANDA!K45</f>
        <v>203.762683987021</v>
      </c>
      <c r="J11" s="9" t="n">
        <f aca="false">DEMANDA!K46</f>
        <v>1193.38786029198</v>
      </c>
      <c r="K11" s="9" t="n">
        <f aca="false">DEMANDA!K47</f>
        <v>5292.394724</v>
      </c>
      <c r="L11" s="9" t="n">
        <f aca="false">DEMANDA!K48</f>
        <v>2801.5567228969</v>
      </c>
      <c r="M11" s="9" t="n">
        <f aca="false">DEMANDA!K49</f>
        <v>551.688552987402</v>
      </c>
      <c r="N11" s="9" t="n">
        <f aca="false">DEMANDA!K50</f>
        <v>203.420291414504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2539.75006009655</v>
      </c>
      <c r="G12" s="9" t="n">
        <f aca="false">DEMANDA!L43</f>
        <v>836.643748001906</v>
      </c>
      <c r="H12" s="9" t="n">
        <f aca="false">DEMANDA!L44</f>
        <v>358.784161501525</v>
      </c>
      <c r="I12" s="9" t="n">
        <f aca="false">DEMANDA!L45</f>
        <v>238.955472743129</v>
      </c>
      <c r="J12" s="9" t="n">
        <f aca="false">DEMANDA!L46</f>
        <v>1411.62521723396</v>
      </c>
      <c r="K12" s="9" t="n">
        <f aca="false">DEMANDA!L47</f>
        <v>6125.204809</v>
      </c>
      <c r="L12" s="9" t="n">
        <f aca="false">DEMANDA!L48</f>
        <v>3271.07973643418</v>
      </c>
      <c r="M12" s="9" t="n">
        <f aca="false">DEMANDA!L49</f>
        <v>644.505244616028</v>
      </c>
      <c r="N12" s="9" t="n">
        <f aca="false">DEMANDA!L50</f>
        <v>239.280745687021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2908.74932244082</v>
      </c>
      <c r="G13" s="9" t="n">
        <f aca="false">DEMANDA!M43</f>
        <v>971.66283030305</v>
      </c>
      <c r="H13" s="9" t="n">
        <f aca="false">DEMANDA!M44</f>
        <v>416.512525430151</v>
      </c>
      <c r="I13" s="9" t="n">
        <f aca="false">DEMANDA!M45</f>
        <v>277.772028115647</v>
      </c>
      <c r="J13" s="9" t="n">
        <f aca="false">DEMANDA!M46</f>
        <v>1650.88180111984</v>
      </c>
      <c r="K13" s="9" t="n">
        <f aca="false">DEMANDA!M47</f>
        <v>7005.27737</v>
      </c>
      <c r="L13" s="9" t="n">
        <f aca="false">DEMANDA!M48</f>
        <v>3777.88529798011</v>
      </c>
      <c r="M13" s="9" t="n">
        <f aca="false">DEMANDA!M49</f>
        <v>744.210555144654</v>
      </c>
      <c r="N13" s="9" t="n">
        <f aca="false">DEMANDA!M50</f>
        <v>277.429635543129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319.962425468491</v>
      </c>
      <c r="G14" s="9" t="n">
        <f aca="false">ESTACIONALIDAD!P47</f>
        <v>106.882911333335</v>
      </c>
      <c r="H14" s="9" t="n">
        <f aca="false">ESTACIONALIDAD!P48</f>
        <v>33.3210020344121</v>
      </c>
      <c r="I14" s="9" t="n">
        <f aca="false">ESTACIONALIDAD!P49</f>
        <v>30.5549230927212</v>
      </c>
      <c r="J14" s="9" t="n">
        <f aca="false">ESTACIONALIDAD!P50</f>
        <v>181.596998123182</v>
      </c>
      <c r="K14" s="9" t="n">
        <f aca="false">ESTACIONALIDAD!P51</f>
        <v>770.5805107</v>
      </c>
      <c r="L14" s="9" t="n">
        <f aca="false">ESTACIONALIDAD!P52</f>
        <v>415.567382777812</v>
      </c>
      <c r="M14" s="9" t="n">
        <f aca="false">ESTACIONALIDAD!P53</f>
        <v>81.863161065912</v>
      </c>
      <c r="N14" s="9" t="n">
        <f aca="false">ESTACIONALIDAD!P54</f>
        <v>30.5172599097442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553</v>
      </c>
      <c r="B16" s="3" t="s">
        <v>554</v>
      </c>
      <c r="C16" s="3" t="s">
        <v>555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176.292744445035</v>
      </c>
      <c r="P16" s="13" t="n">
        <f aca="false">SUMPRODUCT($F16:$N16,$F$5:$N$5)</f>
        <v>322.13681361984</v>
      </c>
      <c r="Q16" s="13" t="n">
        <f aca="false">SUMPRODUCT($F16:$N16,$F$6:$N$6)</f>
        <v>439.790151253041</v>
      </c>
      <c r="R16" s="13" t="n">
        <f aca="false">SUMPRODUCT($F16:$N16,$F$7:$N$7)</f>
        <v>607.353985773262</v>
      </c>
      <c r="S16" s="13" t="n">
        <f aca="false">SUMPRODUCT($F16:$N16,$F$8:$N$8)</f>
        <v>980.066460274025</v>
      </c>
      <c r="T16" s="13" t="n">
        <f aca="false">SUMPRODUCT($F16:$N16,$F$9:$N$9)</f>
        <v>1375.62808767479</v>
      </c>
      <c r="U16" s="13" t="n">
        <f aca="false">SUMPRODUCT($F16:$N16,$F$10:$N$10)</f>
        <v>1772.62741190303</v>
      </c>
      <c r="V16" s="13" t="n">
        <f aca="false">SUMPRODUCT($F16:$N16,$F$11:$N$11)</f>
        <v>2192.42135221258</v>
      </c>
      <c r="W16" s="13" t="n">
        <f aca="false">SUMPRODUCT($F16:$N16,$F$12:$N$12)</f>
        <v>2539.75006009655</v>
      </c>
      <c r="X16" s="13" t="n">
        <f aca="false">SUMPRODUCT($F16:$N16,$F$13:$N$13)</f>
        <v>2908.74932244082</v>
      </c>
      <c r="Y16" s="13" t="n">
        <f aca="false">SUMPRODUCT($F16:$N16,$F$14:$N$14)</f>
        <v>319.962425468491</v>
      </c>
    </row>
    <row r="17" customFormat="false" ht="15" hidden="false" customHeight="false" outlineLevel="0" collapsed="false">
      <c r="A17" s="3" t="s">
        <v>556</v>
      </c>
      <c r="B17" s="3" t="s">
        <v>557</v>
      </c>
      <c r="C17" s="3" t="s">
        <v>558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99.8441779025177</v>
      </c>
      <c r="P17" s="13" t="n">
        <f aca="false">SUMPRODUCT($F17:$N17,$F$5:$N$5)</f>
        <v>160.246354601144</v>
      </c>
      <c r="Q17" s="13" t="n">
        <f aca="false">SUMPRODUCT($F17:$N17,$F$6:$N$6)</f>
        <v>194.134174202287</v>
      </c>
      <c r="R17" s="13" t="n">
        <f aca="false">SUMPRODUCT($F17:$N17,$F$7:$N$7)</f>
        <v>248.635496559539</v>
      </c>
      <c r="S17" s="13" t="n">
        <f aca="false">SUMPRODUCT($F17:$N17,$F$8:$N$8)</f>
        <v>361.397538689309</v>
      </c>
      <c r="T17" s="13" t="n">
        <f aca="false">SUMPRODUCT($F17:$N17,$F$9:$N$9)</f>
        <v>448.708475102668</v>
      </c>
      <c r="U17" s="13" t="n">
        <f aca="false">SUMPRODUCT($F17:$N17,$F$10:$N$10)</f>
        <v>574.81908035992</v>
      </c>
      <c r="V17" s="13" t="n">
        <f aca="false">SUMPRODUCT($F17:$N17,$F$11:$N$11)</f>
        <v>712.638685317172</v>
      </c>
      <c r="W17" s="13" t="n">
        <f aca="false">SUMPRODUCT($F17:$N17,$F$12:$N$12)</f>
        <v>836.643748001906</v>
      </c>
      <c r="X17" s="13" t="n">
        <f aca="false">SUMPRODUCT($F17:$N17,$F$13:$N$13)</f>
        <v>971.66283030305</v>
      </c>
      <c r="Y17" s="13" t="n">
        <f aca="false">SUMPRODUCT($F17:$N17,$F$14:$N$14)</f>
        <v>106.882911333335</v>
      </c>
    </row>
    <row r="18" customFormat="false" ht="15" hidden="false" customHeight="false" outlineLevel="0" collapsed="false">
      <c r="A18" s="3" t="s">
        <v>559</v>
      </c>
      <c r="B18" s="3" t="s">
        <v>560</v>
      </c>
      <c r="C18" s="3" t="s">
        <v>561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42.9860148625177</v>
      </c>
      <c r="P18" s="13" t="n">
        <f aca="false">SUMPRODUCT($F18:$N18,$F$5:$N$5)</f>
        <v>68.5400520986259</v>
      </c>
      <c r="Q18" s="13" t="n">
        <f aca="false">SUMPRODUCT($F18:$N18,$F$6:$N$6)</f>
        <v>83.2517192711436</v>
      </c>
      <c r="R18" s="13" t="n">
        <f aca="false">SUMPRODUCT($F18:$N18,$F$7:$N$7)</f>
        <v>106.954267102287</v>
      </c>
      <c r="S18" s="13" t="n">
        <f aca="false">SUMPRODUCT($F18:$N18,$F$8:$N$8)</f>
        <v>154.811289587021</v>
      </c>
      <c r="T18" s="13" t="n">
        <f aca="false">SUMPRODUCT($F18:$N18,$F$9:$N$9)</f>
        <v>192.372110715647</v>
      </c>
      <c r="U18" s="13" t="n">
        <f aca="false">SUMPRODUCT($F18:$N18,$F$10:$N$10)</f>
        <v>246.421958644273</v>
      </c>
      <c r="V18" s="13" t="n">
        <f aca="false">SUMPRODUCT($F18:$N18,$F$11:$N$11)</f>
        <v>305.489949272899</v>
      </c>
      <c r="W18" s="13" t="n">
        <f aca="false">SUMPRODUCT($F18:$N18,$F$12:$N$12)</f>
        <v>358.784161501525</v>
      </c>
      <c r="X18" s="13" t="n">
        <f aca="false">SUMPRODUCT($F18:$N18,$F$13:$N$13)</f>
        <v>416.512525430151</v>
      </c>
      <c r="Y18" s="13" t="n">
        <f aca="false">SUMPRODUCT($F18:$N18,$F$14:$N$14)</f>
        <v>33.3210020344121</v>
      </c>
    </row>
    <row r="19" customFormat="false" ht="15" hidden="false" customHeight="false" outlineLevel="0" collapsed="false">
      <c r="A19" s="3" t="s">
        <v>562</v>
      </c>
      <c r="B19" s="3" t="s">
        <v>563</v>
      </c>
      <c r="C19" s="3" t="s">
        <v>564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28.7714740925177</v>
      </c>
      <c r="P19" s="13" t="n">
        <f aca="false">SUMPRODUCT($F19:$N19,$F$5:$N$5)</f>
        <v>45.6990746086259</v>
      </c>
      <c r="Q19" s="13" t="n">
        <f aca="false">SUMPRODUCT($F19:$N19,$F$6:$N$6)</f>
        <v>55.2785910086259</v>
      </c>
      <c r="R19" s="13" t="n">
        <f aca="false">SUMPRODUCT($F19:$N19,$F$7:$N$7)</f>
        <v>71.1830073211436</v>
      </c>
      <c r="S19" s="13" t="n">
        <f aca="false">SUMPRODUCT($F19:$N19,$F$8:$N$8)</f>
        <v>103.310244129769</v>
      </c>
      <c r="T19" s="13" t="n">
        <f aca="false">SUMPRODUCT($F19:$N19,$F$9:$N$9)</f>
        <v>128.356498158395</v>
      </c>
      <c r="U19" s="13" t="n">
        <f aca="false">SUMPRODUCT($F19:$N19,$F$10:$N$10)</f>
        <v>164.053044014504</v>
      </c>
      <c r="V19" s="13" t="n">
        <f aca="false">SUMPRODUCT($F19:$N19,$F$11:$N$11)</f>
        <v>203.762683987021</v>
      </c>
      <c r="W19" s="13" t="n">
        <f aca="false">SUMPRODUCT($F19:$N19,$F$12:$N$12)</f>
        <v>238.955472743129</v>
      </c>
      <c r="X19" s="13" t="n">
        <f aca="false">SUMPRODUCT($F19:$N19,$F$13:$N$13)</f>
        <v>277.772028115647</v>
      </c>
      <c r="Y19" s="13" t="n">
        <f aca="false">SUMPRODUCT($F19:$N19,$F$14:$N$14)</f>
        <v>30.5549230927212</v>
      </c>
    </row>
    <row r="20" customFormat="false" ht="15" hidden="false" customHeight="false" outlineLevel="0" collapsed="false">
      <c r="A20" s="3" t="s">
        <v>565</v>
      </c>
      <c r="B20" s="3" t="s">
        <v>566</v>
      </c>
      <c r="C20" s="3" t="s">
        <v>567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100.953526272518</v>
      </c>
      <c r="P20" s="13" t="n">
        <f aca="false">SUMPRODUCT($F20:$N20,$F$5:$N$5)</f>
        <v>189.941524446179</v>
      </c>
      <c r="Q20" s="13" t="n">
        <f aca="false">SUMPRODUCT($F20:$N20,$F$6:$N$6)</f>
        <v>250.769624577092</v>
      </c>
      <c r="R20" s="13" t="n">
        <f aca="false">SUMPRODUCT($F20:$N20,$F$7:$N$7)</f>
        <v>350.622178092739</v>
      </c>
      <c r="S20" s="13" t="n">
        <f aca="false">SUMPRODUCT($F20:$N20,$F$8:$N$8)</f>
        <v>548.830226537012</v>
      </c>
      <c r="T20" s="13" t="n">
        <f aca="false">SUMPRODUCT($F20:$N20,$F$9:$N$9)</f>
        <v>754.631459737394</v>
      </c>
      <c r="U20" s="13" t="n">
        <f aca="false">SUMPRODUCT($F20:$N20,$F$10:$N$10)</f>
        <v>962.597949965257</v>
      </c>
      <c r="V20" s="13" t="n">
        <f aca="false">SUMPRODUCT($F20:$N20,$F$11:$N$11)</f>
        <v>1193.38786029198</v>
      </c>
      <c r="W20" s="13" t="n">
        <f aca="false">SUMPRODUCT($F20:$N20,$F$12:$N$12)</f>
        <v>1411.62521723396</v>
      </c>
      <c r="X20" s="13" t="n">
        <f aca="false">SUMPRODUCT($F20:$N20,$F$13:$N$13)</f>
        <v>1650.88180111984</v>
      </c>
      <c r="Y20" s="13" t="n">
        <f aca="false">SUMPRODUCT($F20:$N20,$F$14:$N$14)</f>
        <v>181.596998123182</v>
      </c>
    </row>
    <row r="21" customFormat="false" ht="15" hidden="false" customHeight="false" outlineLevel="0" collapsed="false">
      <c r="A21" s="3" t="s">
        <v>568</v>
      </c>
      <c r="B21" s="3" t="s">
        <v>569</v>
      </c>
      <c r="C21" s="3" t="s">
        <v>570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571</v>
      </c>
      <c r="B22" s="3" t="s">
        <v>572</v>
      </c>
      <c r="C22" s="3" t="s">
        <v>573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286.436253107624</v>
      </c>
      <c r="P22" s="13" t="n">
        <f aca="false">SUMPRODUCT($F22:$N22,$F$5:$N$5)</f>
        <v>496.03832377695</v>
      </c>
      <c r="Q22" s="13" t="n">
        <f aca="false">SUMPRODUCT($F22:$N22,$F$6:$N$6)</f>
        <v>636.683913951224</v>
      </c>
      <c r="R22" s="13" t="n">
        <f aca="false">SUMPRODUCT($F22:$N22,$F$7:$N$7)</f>
        <v>855.075847670797</v>
      </c>
      <c r="S22" s="13" t="n">
        <f aca="false">SUMPRODUCT($F22:$N22,$F$8:$N$8)</f>
        <v>1306.47979225401</v>
      </c>
      <c r="T22" s="13" t="n">
        <f aca="false">SUMPRODUCT($F22:$N22,$F$9:$N$9)</f>
        <v>1771.32057014801</v>
      </c>
      <c r="U22" s="13" t="n">
        <f aca="false">SUMPRODUCT($F22:$N22,$F$10:$N$10)</f>
        <v>2268.71344074331</v>
      </c>
      <c r="V22" s="13" t="n">
        <f aca="false">SUMPRODUCT($F22:$N22,$F$11:$N$11)</f>
        <v>2801.5567228969</v>
      </c>
      <c r="W22" s="13" t="n">
        <f aca="false">SUMPRODUCT($F22:$N22,$F$12:$N$12)</f>
        <v>3271.07973643418</v>
      </c>
      <c r="X22" s="13" t="n">
        <f aca="false">SUMPRODUCT($F22:$N22,$F$13:$N$13)</f>
        <v>3777.88529798011</v>
      </c>
      <c r="Y22" s="13" t="n">
        <f aca="false">SUMPRODUCT($F22:$N22,$F$14:$N$14)</f>
        <v>415.567382777812</v>
      </c>
    </row>
    <row r="23" customFormat="false" ht="15" hidden="false" customHeight="false" outlineLevel="0" collapsed="false">
      <c r="A23" s="3" t="s">
        <v>574</v>
      </c>
      <c r="B23" s="3" t="s">
        <v>575</v>
      </c>
      <c r="C23" s="3" t="s">
        <v>576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59.2019966425177</v>
      </c>
      <c r="P23" s="13" t="n">
        <f aca="false">SUMPRODUCT($F23:$N23,$F$5:$N$5)</f>
        <v>100.621408001144</v>
      </c>
      <c r="Q23" s="13" t="n">
        <f aca="false">SUMPRODUCT($F23:$N23,$F$6:$N$6)</f>
        <v>126.90629362977</v>
      </c>
      <c r="R23" s="13" t="n">
        <f aca="false">SUMPRODUCT($F23:$N23,$F$7:$N$7)</f>
        <v>168.554136330913</v>
      </c>
      <c r="S23" s="13" t="n">
        <f aca="false">SUMPRODUCT($F23:$N23,$F$8:$N$8)</f>
        <v>257.360523588165</v>
      </c>
      <c r="T23" s="13" t="n">
        <f aca="false">SUMPRODUCT($F23:$N23,$F$9:$N$9)</f>
        <v>346.919199145417</v>
      </c>
      <c r="U23" s="13" t="n">
        <f aca="false">SUMPRODUCT($F23:$N23,$F$10:$N$10)</f>
        <v>445.537770502668</v>
      </c>
      <c r="V23" s="13" t="n">
        <f aca="false">SUMPRODUCT($F23:$N23,$F$11:$N$11)</f>
        <v>551.688552987402</v>
      </c>
      <c r="W23" s="13" t="n">
        <f aca="false">SUMPRODUCT($F23:$N23,$F$12:$N$12)</f>
        <v>644.505244616028</v>
      </c>
      <c r="X23" s="13" t="n">
        <f aca="false">SUMPRODUCT($F23:$N23,$F$13:$N$13)</f>
        <v>744.210555144654</v>
      </c>
      <c r="Y23" s="13" t="n">
        <f aca="false">SUMPRODUCT($F23:$N23,$F$14:$N$14)</f>
        <v>81.863161065912</v>
      </c>
    </row>
    <row r="24" customFormat="false" ht="15" hidden="false" customHeight="false" outlineLevel="0" collapsed="false">
      <c r="A24" s="3" t="s">
        <v>577</v>
      </c>
      <c r="B24" s="3" t="s">
        <v>578</v>
      </c>
      <c r="C24" s="3" t="s">
        <v>579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28.7714740925177</v>
      </c>
      <c r="P24" s="13" t="n">
        <f aca="false">SUMPRODUCT($F24:$N24,$F$5:$N$5)</f>
        <v>45.6990746086259</v>
      </c>
      <c r="Q24" s="13" t="n">
        <f aca="false">SUMPRODUCT($F24:$N24,$F$6:$N$6)</f>
        <v>55.2785910086259</v>
      </c>
      <c r="R24" s="13" t="n">
        <f aca="false">SUMPRODUCT($F24:$N24,$F$7:$N$7)</f>
        <v>71.1830073211436</v>
      </c>
      <c r="S24" s="13" t="n">
        <f aca="false">SUMPRODUCT($F24:$N24,$F$8:$N$8)</f>
        <v>103.310244129769</v>
      </c>
      <c r="T24" s="13" t="n">
        <f aca="false">SUMPRODUCT($F24:$N24,$F$9:$N$9)</f>
        <v>128.014105585878</v>
      </c>
      <c r="U24" s="13" t="n">
        <f aca="false">SUMPRODUCT($F24:$N24,$F$10:$N$10)</f>
        <v>164.378316958395</v>
      </c>
      <c r="V24" s="13" t="n">
        <f aca="false">SUMPRODUCT($F24:$N24,$F$11:$N$11)</f>
        <v>203.420291414504</v>
      </c>
      <c r="W24" s="13" t="n">
        <f aca="false">SUMPRODUCT($F24:$N24,$F$12:$N$12)</f>
        <v>239.280745687021</v>
      </c>
      <c r="X24" s="13" t="n">
        <f aca="false">SUMPRODUCT($F24:$N24,$F$13:$N$13)</f>
        <v>277.429635543129</v>
      </c>
      <c r="Y24" s="13" t="n">
        <f aca="false">SUMPRODUCT($F24:$N24,$F$14:$N$14)</f>
        <v>30.5172599097442</v>
      </c>
    </row>
    <row r="25" customFormat="false" ht="15" hidden="false" customHeight="false" outlineLevel="0" collapsed="false">
      <c r="A25" s="3" t="s">
        <v>580</v>
      </c>
      <c r="B25" s="3" t="s">
        <v>299</v>
      </c>
      <c r="C25" s="3" t="s">
        <v>300</v>
      </c>
      <c r="D25" s="3" t="s">
        <v>214</v>
      </c>
      <c r="E25" s="3" t="s">
        <v>301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290.331903239706</v>
      </c>
      <c r="P25" s="13" t="n">
        <f aca="false">SUMPRODUCT($F25:$N25,$F$5:$N$5)*DEMANDA!E$5</f>
        <v>513.03222273981</v>
      </c>
      <c r="Q25" s="13" t="n">
        <f aca="false">SUMPRODUCT($F25:$N25,$F$6:$N$6)*DEMANDA!F$5</f>
        <v>677.844112849779</v>
      </c>
      <c r="R25" s="13" t="n">
        <f aca="false">SUMPRODUCT($F25:$N25,$F$7:$N$7)*DEMANDA!G$5</f>
        <v>921.899472565163</v>
      </c>
      <c r="S25" s="13" t="n">
        <f aca="false">SUMPRODUCT($F25:$N25,$F$8:$N$8)*DEMANDA!H$5</f>
        <v>1448.77696600646</v>
      </c>
      <c r="T25" s="13" t="n">
        <f aca="false">SUMPRODUCT($F25:$N25,$F$9:$N$9)*DEMANDA!I$5</f>
        <v>1975.40538020082</v>
      </c>
      <c r="U25" s="13" t="n">
        <f aca="false">SUMPRODUCT($F25:$N25,$F$10:$N$10)*DEMANDA!J$5</f>
        <v>2544.14960741454</v>
      </c>
      <c r="V25" s="13" t="n">
        <f aca="false">SUMPRODUCT($F25:$N25,$F$11:$N$11)*DEMANDA!K$5</f>
        <v>3156.17370923036</v>
      </c>
      <c r="W25" s="13" t="n">
        <f aca="false">SUMPRODUCT($F25:$N25,$F$12:$N$12)*DEMANDA!L$5</f>
        <v>3685.77503866544</v>
      </c>
      <c r="X25" s="13" t="n">
        <f aca="false">SUMPRODUCT($F25:$N25,$F$13:$N$13)*DEMANDA!M$5</f>
        <v>4259.04954794446</v>
      </c>
      <c r="Y25" s="13" t="n">
        <f aca="false">SUMPRODUCT($F25:$N25,$F$14:$N$14)*DEMANDA!M$5</f>
        <v>465.543852999608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581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582</v>
      </c>
      <c r="E3" s="2" t="s">
        <v>583</v>
      </c>
      <c r="F3" s="2" t="s">
        <v>584</v>
      </c>
      <c r="G3" s="2" t="s">
        <v>585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SUMIF(MANUALES!$B$16:$B$69,$A4,MANUALES!W$16:W$69)</f>
        <v>8809.59300565217</v>
      </c>
      <c r="E4" s="13" t="n">
        <f aca="false">SUMIF(RODANTES!$B$16:$B$68,$A4,RODANTES!W$16:W$68)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SUMIF(MANUALES!$B$16:$B$69,$A4,MANUALES!N$16:N$69)+SUMIF(RODANTES!$B$16:$B$68,$A4,RODANTES!N$16:N$68)+SUMIF(RECARGAS!$B$16:$B$37,$A4,RECARGAS!X$16:X$37)+SUMIF(REVENDIDOS!$B$16:$B$25,$A4,REVENDIDOS!O$16:O$25)</f>
        <v>181.684197521739</v>
      </c>
      <c r="I4" s="13" t="n">
        <f aca="false">SUMIF(MANUALES!$B$16:$B$69,$A4,MANUALES!O$16:O$69)+SUMIF(RODANTES!$B$16:$B$68,$A4,RODANTES!O$16:O$68)+SUMIF(RECARGAS!$B$16:$B$37,$A4,RECARGAS!Y$16:Y$37)+SUMIF(REVENDIDOS!$B$16:$B$25,$A4,REVENDIDOS!P$16:P$25)</f>
        <v>260.752346826087</v>
      </c>
      <c r="J4" s="13" t="n">
        <f aca="false">SUMIF(MANUALES!$B$16:$B$69,$A4,MANUALES!P$16:P$69)+SUMIF(RODANTES!$B$16:$B$68,$A4,RODANTES!P$16:P$68)+SUMIF(RECARGAS!$B$16:$B$37,$A4,RECARGAS!Z$16:Z$37)+SUMIF(REVENDIDOS!$B$16:$B$25,$A4,REVENDIDOS!Q$16:Q$25)</f>
        <v>631.049902521739</v>
      </c>
      <c r="K4" s="13" t="n">
        <f aca="false">SUMIF(MANUALES!$B$16:$B$69,$A4,MANUALES!Q$16:Q$69)+SUMIF(RODANTES!$B$16:$B$68,$A4,RODANTES!Q$16:Q$68)+SUMIF(RECARGAS!$B$16:$B$37,$A4,RECARGAS!AA$16:AA$37)+SUMIF(REVENDIDOS!$B$16:$B$25,$A4,REVENDIDOS!R$16:R$25)</f>
        <v>1528.77980647826</v>
      </c>
      <c r="L4" s="13" t="n">
        <f aca="false">SUMIF(MANUALES!$B$16:$B$69,$A4,MANUALES!R$16:R$69)+SUMIF(RODANTES!$B$16:$B$68,$A4,RODANTES!R$16:R$68)+SUMIF(RECARGAS!$B$16:$B$37,$A4,RECARGAS!AB$16:AB$37)+SUMIF(REVENDIDOS!$B$16:$B$25,$A4,REVENDIDOS!S$16:S$25)</f>
        <v>2700.6709873913</v>
      </c>
      <c r="M4" s="13" t="n">
        <f aca="false">SUMIF(MANUALES!$B$16:$B$69,$A4,MANUALES!S$16:S$69)+SUMIF(RODANTES!$B$16:$B$68,$A4,RODANTES!S$16:S$68)+SUMIF(RECARGAS!$B$16:$B$37,$A4,RECARGAS!AC$16:AC$37)+SUMIF(REVENDIDOS!$B$16:$B$25,$A4,REVENDIDOS!T$16:T$25)</f>
        <v>3795.6718726087</v>
      </c>
      <c r="N4" s="13" t="n">
        <f aca="false">SUMIF(MANUALES!$B$16:$B$69,$A4,MANUALES!T$16:T$69)+SUMIF(RODANTES!$B$16:$B$68,$A4,RODANTES!T$16:T$68)+SUMIF(RECARGAS!$B$16:$B$37,$A4,RECARGAS!AD$16:AD$37)+SUMIF(REVENDIDOS!$B$16:$B$25,$A4,REVENDIDOS!U$16:U$25)</f>
        <v>5290.13709826087</v>
      </c>
      <c r="O4" s="13" t="n">
        <f aca="false">SUMIF(MANUALES!$B$16:$B$69,$A4,MANUALES!U$16:U$69)+SUMIF(RODANTES!$B$16:$B$68,$A4,RODANTES!U$16:U$68)+SUMIF(RECARGAS!$B$16:$B$37,$A4,RECARGAS!AE$16:AE$37)+SUMIF(REVENDIDOS!$B$16:$B$25,$A4,REVENDIDOS!V$16:V$25)</f>
        <v>6788.39471652174</v>
      </c>
      <c r="P4" s="13" t="n">
        <f aca="false">SUMIF(MANUALES!$B$16:$B$69,$A4,MANUALES!V$16:V$69)+SUMIF(RODANTES!$B$16:$B$68,$A4,RODANTES!V$16:V$68)+SUMIF(RECARGAS!$B$16:$B$37,$A4,RECARGAS!AF$16:AF$37)+SUMIF(REVENDIDOS!$B$16:$B$25,$A4,REVENDIDOS!W$16:W$25)</f>
        <v>7625.78852782609</v>
      </c>
      <c r="Q4" s="13" t="n">
        <f aca="false">SUMIF(MANUALES!$B$16:$B$69,$A4,MANUALES!W$16:W$69)+SUMIF(RODANTES!$B$16:$B$68,$A4,RODANTES!W$16:W$68)+SUMIF(RECARGAS!$B$16:$B$37,$A4,RECARGAS!AG$16:AG$37)+SUMIF(REVENDIDOS!$B$16:$B$25,$A4,REVENDIDOS!X$16:X$25)</f>
        <v>8809.59300565217</v>
      </c>
      <c r="R4" s="13" t="n">
        <f aca="false">SUMIF(MANUALES!$B$16:$B$69,$A4,MANUALES!X$16:X$69)+SUMIF(RODANTES!$B$16:$B$68,$A4,RODANTES!X$16:X$68)+SUMIF(RECARGAS!$B$16:$B$37,$A4,RECARGAS!AH$16:AH$37)+SUMIF(REVENDIDOS!$B$16:$B$25,$A4,REVENDIDOS!Y$16:Y$25)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SUMIF(MANUALES!$B$16:$B$69,$A5,MANUALES!W$16:W$69)</f>
        <v>521.994757185185</v>
      </c>
      <c r="E5" s="13" t="n">
        <f aca="false">SUMIF(RODANTES!$B$16:$B$68,$A5,RODANTES!W$16:W$68)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SUMIF(MANUALES!$B$16:$B$69,$A5,MANUALES!N$16:N$69)+SUMIF(RODANTES!$B$16:$B$68,$A5,RODANTES!N$16:N$68)+SUMIF(RECARGAS!$B$16:$B$37,$A5,RECARGAS!X$16:X$37)+SUMIF(REVENDIDOS!$B$16:$B$25,$A5,REVENDIDOS!O$16:O$25)</f>
        <v>10.9270502666667</v>
      </c>
      <c r="I5" s="13" t="n">
        <f aca="false">SUMIF(MANUALES!$B$16:$B$69,$A5,MANUALES!O$16:O$69)+SUMIF(RODANTES!$B$16:$B$68,$A5,RODANTES!O$16:O$68)+SUMIF(RECARGAS!$B$16:$B$37,$A5,RECARGAS!Y$16:Y$37)+SUMIF(REVENDIDOS!$B$16:$B$25,$A5,REVENDIDOS!P$16:P$25)</f>
        <v>26.286201862963</v>
      </c>
      <c r="J5" s="13" t="n">
        <f aca="false">SUMIF(MANUALES!$B$16:$B$69,$A5,MANUALES!P$16:P$69)+SUMIF(RODANTES!$B$16:$B$68,$A5,RODANTES!P$16:P$68)+SUMIF(RECARGAS!$B$16:$B$37,$A5,RECARGAS!Z$16:Z$37)+SUMIF(REVENDIDOS!$B$16:$B$25,$A5,REVENDIDOS!Q$16:Q$25)</f>
        <v>47.6469650962963</v>
      </c>
      <c r="K5" s="13" t="n">
        <f aca="false">SUMIF(MANUALES!$B$16:$B$69,$A5,MANUALES!Q$16:Q$69)+SUMIF(RODANTES!$B$16:$B$68,$A5,RODANTES!Q$16:Q$68)+SUMIF(RECARGAS!$B$16:$B$37,$A5,RECARGAS!AA$16:AA$37)+SUMIF(REVENDIDOS!$B$16:$B$25,$A5,REVENDIDOS!R$16:R$25)</f>
        <v>94.2384508888889</v>
      </c>
      <c r="L5" s="13" t="n">
        <f aca="false">SUMIF(MANUALES!$B$16:$B$69,$A5,MANUALES!R$16:R$69)+SUMIF(RODANTES!$B$16:$B$68,$A5,RODANTES!R$16:R$68)+SUMIF(RECARGAS!$B$16:$B$37,$A5,RECARGAS!AB$16:AB$37)+SUMIF(REVENDIDOS!$B$16:$B$25,$A5,REVENDIDOS!S$16:S$25)</f>
        <v>157.245471333333</v>
      </c>
      <c r="M5" s="13" t="n">
        <f aca="false">SUMIF(MANUALES!$B$16:$B$69,$A5,MANUALES!S$16:S$69)+SUMIF(RODANTES!$B$16:$B$68,$A5,RODANTES!S$16:S$68)+SUMIF(RECARGAS!$B$16:$B$37,$A5,RECARGAS!AC$16:AC$37)+SUMIF(REVENDIDOS!$B$16:$B$25,$A5,REVENDIDOS!T$16:T$25)</f>
        <v>224.291477296296</v>
      </c>
      <c r="N5" s="13" t="n">
        <f aca="false">SUMIF(MANUALES!$B$16:$B$69,$A5,MANUALES!T$16:T$69)+SUMIF(RODANTES!$B$16:$B$68,$A5,RODANTES!T$16:T$68)+SUMIF(RECARGAS!$B$16:$B$37,$A5,RECARGAS!AD$16:AD$37)+SUMIF(REVENDIDOS!$B$16:$B$25,$A5,REVENDIDOS!U$16:U$25)</f>
        <v>298.715389777778</v>
      </c>
      <c r="O5" s="13" t="n">
        <f aca="false">SUMIF(MANUALES!$B$16:$B$69,$A5,MANUALES!U$16:U$69)+SUMIF(RODANTES!$B$16:$B$68,$A5,RODANTES!U$16:U$68)+SUMIF(RECARGAS!$B$16:$B$37,$A5,RECARGAS!AE$16:AE$37)+SUMIF(REVENDIDOS!$B$16:$B$25,$A5,REVENDIDOS!V$16:V$25)</f>
        <v>378.789132851852</v>
      </c>
      <c r="P5" s="13" t="n">
        <f aca="false">SUMIF(MANUALES!$B$16:$B$69,$A5,MANUALES!V$16:V$69)+SUMIF(RODANTES!$B$16:$B$68,$A5,RODANTES!V$16:V$68)+SUMIF(RECARGAS!$B$16:$B$37,$A5,RECARGAS!AF$16:AF$37)+SUMIF(REVENDIDOS!$B$16:$B$25,$A5,REVENDIDOS!W$16:W$25)</f>
        <v>442.095786777778</v>
      </c>
      <c r="Q5" s="13" t="n">
        <f aca="false">SUMIF(MANUALES!$B$16:$B$69,$A5,MANUALES!W$16:W$69)+SUMIF(RODANTES!$B$16:$B$68,$A5,RODANTES!W$16:W$68)+SUMIF(RECARGAS!$B$16:$B$37,$A5,RECARGAS!AG$16:AG$37)+SUMIF(REVENDIDOS!$B$16:$B$25,$A5,REVENDIDOS!X$16:X$25)</f>
        <v>521.994757185185</v>
      </c>
      <c r="R5" s="13" t="n">
        <f aca="false">SUMIF(MANUALES!$B$16:$B$69,$A5,MANUALES!X$16:X$69)+SUMIF(RODANTES!$B$16:$B$68,$A5,RODANTES!X$16:X$68)+SUMIF(RECARGAS!$B$16:$B$37,$A5,RECARGAS!AH$16:AH$37)+SUMIF(REVENDIDOS!$B$16:$B$25,$A5,REVENDIDOS!Y$16:Y$25)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SUMIF(MANUALES!$B$16:$B$69,$A6,MANUALES!W$16:W$69)</f>
        <v>5447.05343010136</v>
      </c>
      <c r="E6" s="13" t="n">
        <f aca="false">SUMIF(RODANTES!$B$16:$B$68,$A6,RODANTES!W$16:W$68)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SUMIF(MANUALES!$B$16:$B$69,$A6,MANUALES!N$16:N$69)+SUMIF(RODANTES!$B$16:$B$68,$A6,RODANTES!N$16:N$68)+SUMIF(RECARGAS!$B$16:$B$37,$A6,RECARGAS!X$16:X$37)+SUMIF(REVENDIDOS!$B$16:$B$25,$A6,REVENDIDOS!O$16:O$25)</f>
        <v>227.611979755718</v>
      </c>
      <c r="I6" s="13" t="n">
        <f aca="false">SUMIF(MANUALES!$B$16:$B$69,$A6,MANUALES!O$16:O$69)+SUMIF(RODANTES!$B$16:$B$68,$A6,RODANTES!O$16:O$68)+SUMIF(RECARGAS!$B$16:$B$37,$A6,RECARGAS!Y$16:Y$37)+SUMIF(REVENDIDOS!$B$16:$B$25,$A6,REVENDIDOS!P$16:P$25)</f>
        <v>458.420115915401</v>
      </c>
      <c r="J6" s="13" t="n">
        <f aca="false">SUMIF(MANUALES!$B$16:$B$69,$A6,MANUALES!P$16:P$69)+SUMIF(RODANTES!$B$16:$B$68,$A6,RODANTES!P$16:P$68)+SUMIF(RECARGAS!$B$16:$B$37,$A6,RECARGAS!Z$16:Z$37)+SUMIF(REVENDIDOS!$B$16:$B$25,$A6,REVENDIDOS!Q$16:Q$25)</f>
        <v>725.079476118734</v>
      </c>
      <c r="K6" s="13" t="n">
        <f aca="false">SUMIF(MANUALES!$B$16:$B$69,$A6,MANUALES!Q$16:Q$69)+SUMIF(RODANTES!$B$16:$B$68,$A6,RODANTES!Q$16:Q$68)+SUMIF(RECARGAS!$B$16:$B$37,$A6,RECARGAS!AA$16:AA$37)+SUMIF(REVENDIDOS!$B$16:$B$25,$A6,REVENDIDOS!R$16:R$25)</f>
        <v>1300.01598015487</v>
      </c>
      <c r="L6" s="13" t="n">
        <f aca="false">SUMIF(MANUALES!$B$16:$B$69,$A6,MANUALES!R$16:R$69)+SUMIF(RODANTES!$B$16:$B$68,$A6,RODANTES!R$16:R$68)+SUMIF(RECARGAS!$B$16:$B$37,$A6,RECARGAS!AB$16:AB$37)+SUMIF(REVENDIDOS!$B$16:$B$25,$A6,REVENDIDOS!S$16:S$25)</f>
        <v>2005.45224332293</v>
      </c>
      <c r="M6" s="13" t="n">
        <f aca="false">SUMIF(MANUALES!$B$16:$B$69,$A6,MANUALES!S$16:S$69)+SUMIF(RODANTES!$B$16:$B$68,$A6,RODANTES!S$16:S$68)+SUMIF(RECARGAS!$B$16:$B$37,$A6,RECARGAS!AC$16:AC$37)+SUMIF(REVENDIDOS!$B$16:$B$25,$A6,REVENDIDOS!T$16:T$25)</f>
        <v>2717.15108418838</v>
      </c>
      <c r="N6" s="13" t="n">
        <f aca="false">SUMIF(MANUALES!$B$16:$B$69,$A6,MANUALES!T$16:T$69)+SUMIF(RODANTES!$B$16:$B$68,$A6,RODANTES!T$16:T$68)+SUMIF(RECARGAS!$B$16:$B$37,$A6,RECARGAS!AD$16:AD$37)+SUMIF(REVENDIDOS!$B$16:$B$25,$A6,REVENDIDOS!U$16:U$25)</f>
        <v>3518.86872873161</v>
      </c>
      <c r="O6" s="13" t="n">
        <f aca="false">SUMIF(MANUALES!$B$16:$B$69,$A6,MANUALES!U$16:U$69)+SUMIF(RODANTES!$B$16:$B$68,$A6,RODANTES!U$16:U$68)+SUMIF(RECARGAS!$B$16:$B$37,$A6,RECARGAS!AE$16:AE$37)+SUMIF(REVENDIDOS!$B$16:$B$25,$A6,REVENDIDOS!V$16:V$25)</f>
        <v>4276.02593176626</v>
      </c>
      <c r="P6" s="13" t="n">
        <f aca="false">SUMIF(MANUALES!$B$16:$B$69,$A6,MANUALES!V$16:V$69)+SUMIF(RODANTES!$B$16:$B$68,$A6,RODANTES!V$16:V$68)+SUMIF(RECARGAS!$B$16:$B$37,$A6,RECARGAS!AF$16:AF$37)+SUMIF(REVENDIDOS!$B$16:$B$25,$A6,REVENDIDOS!W$16:W$25)</f>
        <v>4747.43759188571</v>
      </c>
      <c r="Q6" s="13" t="n">
        <f aca="false">SUMIF(MANUALES!$B$16:$B$69,$A6,MANUALES!W$16:W$69)+SUMIF(RODANTES!$B$16:$B$68,$A6,RODANTES!W$16:W$68)+SUMIF(RECARGAS!$B$16:$B$37,$A6,RECARGAS!AG$16:AG$37)+SUMIF(REVENDIDOS!$B$16:$B$25,$A6,REVENDIDOS!X$16:X$25)</f>
        <v>5447.05343010136</v>
      </c>
      <c r="R6" s="13" t="n">
        <f aca="false">SUMIF(MANUALES!$B$16:$B$69,$A6,MANUALES!X$16:X$69)+SUMIF(RODANTES!$B$16:$B$68,$A6,RODANTES!X$16:X$68)+SUMIF(RECARGAS!$B$16:$B$37,$A6,RECARGAS!AH$16:AH$37)+SUMIF(REVENDIDOS!$B$16:$B$25,$A6,REVENDIDOS!Y$16:Y$25)</f>
        <v>599.175877311149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SUMIF(MANUALES!$B$16:$B$69,$A7,MANUALES!W$16:W$69)</f>
        <v>256.950796442417</v>
      </c>
      <c r="E7" s="13" t="n">
        <f aca="false">SUMIF(RODANTES!$B$16:$B$68,$A7,RODANTES!W$16:W$68)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SUMIF(MANUALES!$B$16:$B$69,$A7,MANUALES!N$16:N$69)+SUMIF(RODANTES!$B$16:$B$68,$A7,RODANTES!N$16:N$68)+SUMIF(RECARGAS!$B$16:$B$37,$A7,RECARGAS!X$16:X$37)+SUMIF(REVENDIDOS!$B$16:$B$25,$A7,REVENDIDOS!O$16:O$25)</f>
        <v>6.16786444500236</v>
      </c>
      <c r="I7" s="13" t="n">
        <f aca="false">SUMIF(MANUALES!$B$16:$B$69,$A7,MANUALES!O$16:O$69)+SUMIF(RODANTES!$B$16:$B$68,$A7,RODANTES!O$16:O$68)+SUMIF(RECARGAS!$B$16:$B$37,$A7,RECARGAS!Y$16:Y$37)+SUMIF(REVENDIDOS!$B$16:$B$25,$A7,REVENDIDOS!P$16:P$25)</f>
        <v>11.8872475783203</v>
      </c>
      <c r="J7" s="13" t="n">
        <f aca="false">SUMIF(MANUALES!$B$16:$B$69,$A7,MANUALES!P$16:P$69)+SUMIF(RODANTES!$B$16:$B$68,$A7,RODANTES!P$16:P$68)+SUMIF(RECARGAS!$B$16:$B$37,$A7,RECARGAS!Z$16:Z$37)+SUMIF(REVENDIDOS!$B$16:$B$25,$A7,REVENDIDOS!Q$16:Q$25)</f>
        <v>23.0574083967169</v>
      </c>
      <c r="K7" s="13" t="n">
        <f aca="false">SUMIF(MANUALES!$B$16:$B$69,$A7,MANUALES!Q$16:Q$69)+SUMIF(RODANTES!$B$16:$B$68,$A7,RODANTES!Q$16:Q$68)+SUMIF(RECARGAS!$B$16:$B$37,$A7,RECARGAS!AA$16:AA$37)+SUMIF(REVENDIDOS!$B$16:$B$25,$A7,REVENDIDOS!R$16:R$25)</f>
        <v>45.1099903579125</v>
      </c>
      <c r="L7" s="13" t="n">
        <f aca="false">SUMIF(MANUALES!$B$16:$B$69,$A7,MANUALES!R$16:R$69)+SUMIF(RODANTES!$B$16:$B$68,$A7,RODANTES!R$16:R$68)+SUMIF(RECARGAS!$B$16:$B$37,$A7,RECARGAS!AB$16:AB$37)+SUMIF(REVENDIDOS!$B$16:$B$25,$A7,REVENDIDOS!S$16:S$25)</f>
        <v>79.3050877921619</v>
      </c>
      <c r="M7" s="13" t="n">
        <f aca="false">SUMIF(MANUALES!$B$16:$B$69,$A7,MANUALES!S$16:S$69)+SUMIF(RODANTES!$B$16:$B$68,$A7,RODANTES!S$16:S$68)+SUMIF(RECARGAS!$B$16:$B$37,$A7,RECARGAS!AC$16:AC$37)+SUMIF(REVENDIDOS!$B$16:$B$25,$A7,REVENDIDOS!T$16:T$25)</f>
        <v>114.846803919006</v>
      </c>
      <c r="N7" s="13" t="n">
        <f aca="false">SUMIF(MANUALES!$B$16:$B$69,$A7,MANUALES!T$16:T$69)+SUMIF(RODANTES!$B$16:$B$68,$A7,RODANTES!T$16:T$68)+SUMIF(RECARGAS!$B$16:$B$37,$A7,RECARGAS!AD$16:AD$37)+SUMIF(REVENDIDOS!$B$16:$B$25,$A7,REVENDIDOS!U$16:U$25)</f>
        <v>155.09074017033</v>
      </c>
      <c r="O7" s="13" t="n">
        <f aca="false">SUMIF(MANUALES!$B$16:$B$69,$A7,MANUALES!U$16:U$69)+SUMIF(RODANTES!$B$16:$B$68,$A7,RODANTES!U$16:U$68)+SUMIF(RECARGAS!$B$16:$B$37,$A7,RECARGAS!AE$16:AE$37)+SUMIF(REVENDIDOS!$B$16:$B$25,$A7,REVENDIDOS!V$16:V$25)</f>
        <v>196.201991728167</v>
      </c>
      <c r="P7" s="13" t="n">
        <f aca="false">SUMIF(MANUALES!$B$16:$B$69,$A7,MANUALES!V$16:V$69)+SUMIF(RODANTES!$B$16:$B$68,$A7,RODANTES!V$16:V$68)+SUMIF(RECARGAS!$B$16:$B$37,$A7,RECARGAS!AF$16:AF$37)+SUMIF(REVENDIDOS!$B$16:$B$25,$A7,REVENDIDOS!W$16:W$25)</f>
        <v>223.094714404376</v>
      </c>
      <c r="Q7" s="13" t="n">
        <f aca="false">SUMIF(MANUALES!$B$16:$B$69,$A7,MANUALES!W$16:W$69)+SUMIF(RODANTES!$B$16:$B$68,$A7,RODANTES!W$16:W$68)+SUMIF(RECARGAS!$B$16:$B$37,$A7,RECARGAS!AG$16:AG$37)+SUMIF(REVENDIDOS!$B$16:$B$25,$A7,REVENDIDOS!X$16:X$25)</f>
        <v>256.950796442417</v>
      </c>
      <c r="R7" s="13" t="n">
        <f aca="false">SUMIF(MANUALES!$B$16:$B$69,$A7,MANUALES!X$16:X$69)+SUMIF(RODANTES!$B$16:$B$68,$A7,RODANTES!X$16:X$68)+SUMIF(RECARGAS!$B$16:$B$37,$A7,RECARGAS!AH$16:AH$37)+SUMIF(REVENDIDOS!$B$16:$B$25,$A7,REVENDIDOS!Y$16:Y$25)</f>
        <v>28.2645876086658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SUMIF(MANUALES!$B$16:$B$69,$A8,MANUALES!W$16:W$69)</f>
        <v>15992.8835182459</v>
      </c>
      <c r="E8" s="13" t="n">
        <f aca="false">SUMIF(RODANTES!$B$16:$B$68,$A8,RODANTES!W$16:W$68)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SUMIF(MANUALES!$B$16:$B$69,$A8,MANUALES!N$16:N$69)+SUMIF(RODANTES!$B$16:$B$68,$A8,RODANTES!N$16:N$68)+SUMIF(RECARGAS!$B$16:$B$37,$A8,RECARGAS!X$16:X$37)+SUMIF(REVENDIDOS!$B$16:$B$25,$A8,REVENDIDOS!O$16:O$25)</f>
        <v>329.828427511568</v>
      </c>
      <c r="I8" s="13" t="n">
        <f aca="false">SUMIF(MANUALES!$B$16:$B$69,$A8,MANUALES!O$16:O$69)+SUMIF(RODANTES!$B$16:$B$68,$A8,RODANTES!O$16:O$68)+SUMIF(RECARGAS!$B$16:$B$37,$A8,RECARGAS!Y$16:Y$37)+SUMIF(REVENDIDOS!$B$16:$B$25,$A8,REVENDIDOS!P$16:P$25)</f>
        <v>473.368282419326</v>
      </c>
      <c r="J8" s="13" t="n">
        <f aca="false">SUMIF(MANUALES!$B$16:$B$69,$A8,MANUALES!P$16:P$69)+SUMIF(RODANTES!$B$16:$B$68,$A8,RODANTES!P$16:P$68)+SUMIF(RECARGAS!$B$16:$B$37,$A8,RECARGAS!Z$16:Z$37)+SUMIF(REVENDIDOS!$B$16:$B$25,$A8,REVENDIDOS!Q$16:Q$25)</f>
        <v>1145.60429508554</v>
      </c>
      <c r="K8" s="13" t="n">
        <f aca="false">SUMIF(MANUALES!$B$16:$B$69,$A8,MANUALES!Q$16:Q$69)+SUMIF(RODANTES!$B$16:$B$68,$A8,RODANTES!Q$16:Q$68)+SUMIF(RECARGAS!$B$16:$B$37,$A8,RECARGAS!AA$16:AA$37)+SUMIF(REVENDIDOS!$B$16:$B$25,$A8,REVENDIDOS!R$16:R$25)</f>
        <v>2775.33790203097</v>
      </c>
      <c r="L8" s="13" t="n">
        <f aca="false">SUMIF(MANUALES!$B$16:$B$69,$A8,MANUALES!R$16:R$69)+SUMIF(RODANTES!$B$16:$B$68,$A8,RODANTES!R$16:R$68)+SUMIF(RECARGAS!$B$16:$B$37,$A8,RECARGAS!AB$16:AB$37)+SUMIF(REVENDIDOS!$B$16:$B$25,$A8,REVENDIDOS!S$16:S$25)</f>
        <v>4902.78228457819</v>
      </c>
      <c r="M8" s="13" t="n">
        <f aca="false">SUMIF(MANUALES!$B$16:$B$69,$A8,MANUALES!S$16:S$69)+SUMIF(RODANTES!$B$16:$B$68,$A8,RODANTES!S$16:S$68)+SUMIF(RECARGAS!$B$16:$B$37,$A8,RECARGAS!AC$16:AC$37)+SUMIF(REVENDIDOS!$B$16:$B$25,$A8,REVENDIDOS!T$16:T$25)</f>
        <v>6890.64047489665</v>
      </c>
      <c r="N8" s="13" t="n">
        <f aca="false">SUMIF(MANUALES!$B$16:$B$69,$A8,MANUALES!T$16:T$69)+SUMIF(RODANTES!$B$16:$B$68,$A8,RODANTES!T$16:T$68)+SUMIF(RECARGAS!$B$16:$B$37,$A8,RECARGAS!AD$16:AD$37)+SUMIF(REVENDIDOS!$B$16:$B$25,$A8,REVENDIDOS!U$16:U$25)</f>
        <v>9603.68388797939</v>
      </c>
      <c r="O8" s="13" t="n">
        <f aca="false">SUMIF(MANUALES!$B$16:$B$69,$A8,MANUALES!U$16:U$69)+SUMIF(RODANTES!$B$16:$B$68,$A8,RODANTES!U$16:U$68)+SUMIF(RECARGAS!$B$16:$B$37,$A8,RECARGAS!AE$16:AE$37)+SUMIF(REVENDIDOS!$B$16:$B$25,$A8,REVENDIDOS!V$16:V$25)</f>
        <v>12323.6119883805</v>
      </c>
      <c r="P8" s="13" t="n">
        <f aca="false">SUMIF(MANUALES!$B$16:$B$69,$A8,MANUALES!V$16:V$69)+SUMIF(RODANTES!$B$16:$B$68,$A8,RODANTES!V$16:V$68)+SUMIF(RECARGAS!$B$16:$B$37,$A8,RECARGAS!AF$16:AF$37)+SUMIF(REVENDIDOS!$B$16:$B$25,$A8,REVENDIDOS!W$16:W$25)</f>
        <v>13843.8118062947</v>
      </c>
      <c r="Q8" s="13" t="n">
        <f aca="false">SUMIF(MANUALES!$B$16:$B$69,$A8,MANUALES!W$16:W$69)+SUMIF(RODANTES!$B$16:$B$68,$A8,RODANTES!W$16:W$68)+SUMIF(RECARGAS!$B$16:$B$37,$A8,RECARGAS!AG$16:AG$37)+SUMIF(REVENDIDOS!$B$16:$B$25,$A8,REVENDIDOS!X$16:X$25)</f>
        <v>15992.8835182459</v>
      </c>
      <c r="R8" s="13" t="n">
        <f aca="false">SUMIF(MANUALES!$B$16:$B$69,$A8,MANUALES!X$16:X$69)+SUMIF(RODANTES!$B$16:$B$68,$A8,RODANTES!X$16:X$68)+SUMIF(RECARGAS!$B$16:$B$37,$A8,RECARGAS!AH$16:AH$37)+SUMIF(REVENDIDOS!$B$16:$B$25,$A8,REVENDIDOS!Y$16:Y$25)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SUMIF(MANUALES!$B$16:$B$69,$A9,MANUALES!W$16:W$69)</f>
        <v>30867.038208215</v>
      </c>
      <c r="E9" s="13" t="n">
        <f aca="false">SUMIF(RODANTES!$B$16:$B$68,$A9,RODANTES!W$16:W$68)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SUMIF(MANUALES!$B$16:$B$69,$A9,MANUALES!N$16:N$69)+SUMIF(RODANTES!$B$16:$B$68,$A9,RODANTES!N$16:N$68)+SUMIF(RECARGAS!$B$16:$B$37,$A9,RECARGAS!X$16:X$37)+SUMIF(REVENDIDOS!$B$16:$B$25,$A9,REVENDIDOS!O$16:O$25)</f>
        <v>636.584807395111</v>
      </c>
      <c r="I9" s="13" t="n">
        <f aca="false">SUMIF(MANUALES!$B$16:$B$69,$A9,MANUALES!O$16:O$69)+SUMIF(RODANTES!$B$16:$B$68,$A9,RODANTES!O$16:O$68)+SUMIF(RECARGAS!$B$16:$B$37,$A9,RECARGAS!Y$16:Y$37)+SUMIF(REVENDIDOS!$B$16:$B$25,$A9,REVENDIDOS!P$16:P$25)</f>
        <v>913.623665383702</v>
      </c>
      <c r="J9" s="13" t="n">
        <f aca="false">SUMIF(MANUALES!$B$16:$B$69,$A9,MANUALES!P$16:P$69)+SUMIF(RODANTES!$B$16:$B$68,$A9,RODANTES!P$16:P$68)+SUMIF(RECARGAS!$B$16:$B$37,$A9,RECARGAS!Z$16:Z$37)+SUMIF(REVENDIDOS!$B$16:$B$25,$A9,REVENDIDOS!Q$16:Q$25)</f>
        <v>2211.0716624402</v>
      </c>
      <c r="K9" s="13" t="n">
        <f aca="false">SUMIF(MANUALES!$B$16:$B$69,$A9,MANUALES!Q$16:Q$69)+SUMIF(RODANTES!$B$16:$B$68,$A9,RODANTES!Q$16:Q$68)+SUMIF(RECARGAS!$B$16:$B$37,$A9,RECARGAS!AA$16:AA$37)+SUMIF(REVENDIDOS!$B$16:$B$25,$A9,REVENDIDOS!R$16:R$25)</f>
        <v>5356.53629722008</v>
      </c>
      <c r="L9" s="13" t="n">
        <f aca="false">SUMIF(MANUALES!$B$16:$B$69,$A9,MANUALES!R$16:R$69)+SUMIF(RODANTES!$B$16:$B$68,$A9,RODANTES!R$16:R$68)+SUMIF(RECARGAS!$B$16:$B$37,$A9,RECARGAS!AB$16:AB$37)+SUMIF(REVENDIDOS!$B$16:$B$25,$A9,REVENDIDOS!S$16:S$25)</f>
        <v>9462.60678582324</v>
      </c>
      <c r="M9" s="13" t="n">
        <f aca="false">SUMIF(MANUALES!$B$16:$B$69,$A9,MANUALES!S$16:S$69)+SUMIF(RODANTES!$B$16:$B$68,$A9,RODANTES!S$16:S$68)+SUMIF(RECARGAS!$B$16:$B$37,$A9,RECARGAS!AC$16:AC$37)+SUMIF(REVENDIDOS!$B$16:$B$25,$A9,REVENDIDOS!T$16:T$25)</f>
        <v>13299.269176509</v>
      </c>
      <c r="N9" s="13" t="n">
        <f aca="false">SUMIF(MANUALES!$B$16:$B$69,$A9,MANUALES!T$16:T$69)+SUMIF(RODANTES!$B$16:$B$68,$A9,RODANTES!T$16:T$68)+SUMIF(RECARGAS!$B$16:$B$37,$A9,RECARGAS!AD$16:AD$37)+SUMIF(REVENDIDOS!$B$16:$B$25,$A9,REVENDIDOS!U$16:U$25)</f>
        <v>18535.5740990472</v>
      </c>
      <c r="O9" s="13" t="n">
        <f aca="false">SUMIF(MANUALES!$B$16:$B$69,$A9,MANUALES!U$16:U$69)+SUMIF(RODANTES!$B$16:$B$68,$A9,RODANTES!U$16:U$68)+SUMIF(RECARGAS!$B$16:$B$37,$A9,RECARGAS!AE$16:AE$37)+SUMIF(REVENDIDOS!$B$16:$B$25,$A9,REVENDIDOS!V$16:V$25)</f>
        <v>23785.1668008821</v>
      </c>
      <c r="P9" s="13" t="n">
        <f aca="false">SUMIF(MANUALES!$B$16:$B$69,$A9,MANUALES!V$16:V$69)+SUMIF(RODANTES!$B$16:$B$68,$A9,RODANTES!V$16:V$68)+SUMIF(RECARGAS!$B$16:$B$37,$A9,RECARGAS!AF$16:AF$37)+SUMIF(REVENDIDOS!$B$16:$B$25,$A9,REVENDIDOS!W$16:W$25)</f>
        <v>26719.2259285025</v>
      </c>
      <c r="Q9" s="13" t="n">
        <f aca="false">SUMIF(MANUALES!$B$16:$B$69,$A9,MANUALES!W$16:W$69)+SUMIF(RODANTES!$B$16:$B$68,$A9,RODANTES!W$16:W$68)+SUMIF(RECARGAS!$B$16:$B$37,$A9,RECARGAS!AG$16:AG$37)+SUMIF(REVENDIDOS!$B$16:$B$25,$A9,REVENDIDOS!X$16:X$25)</f>
        <v>30867.038208215</v>
      </c>
      <c r="R9" s="13" t="n">
        <f aca="false">SUMIF(MANUALES!$B$16:$B$69,$A9,MANUALES!X$16:X$69)+SUMIF(RODANTES!$B$16:$B$68,$A9,RODANTES!X$16:X$68)+SUMIF(RECARGAS!$B$16:$B$37,$A9,RECARGAS!AH$16:AH$37)+SUMIF(REVENDIDOS!$B$16:$B$25,$A9,REVENDIDOS!Y$16:Y$25)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SUMIF(MANUALES!$B$16:$B$69,$A10,MANUALES!W$16:W$69)</f>
        <v>9210.51266638455</v>
      </c>
      <c r="E10" s="13" t="n">
        <f aca="false">SUMIF(RODANTES!$B$16:$B$68,$A10,RODANTES!W$16:W$68)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SUMIF(MANUALES!$B$16:$B$69,$A10,MANUALES!N$16:N$69)+SUMIF(RODANTES!$B$16:$B$68,$A10,RODANTES!N$16:N$68)+SUMIF(RECARGAS!$B$16:$B$37,$A10,RECARGAS!X$16:X$37)+SUMIF(REVENDIDOS!$B$16:$B$25,$A10,REVENDIDOS!O$16:O$25)</f>
        <v>192.806026309665</v>
      </c>
      <c r="I10" s="13" t="n">
        <f aca="false">SUMIF(MANUALES!$B$16:$B$69,$A10,MANUALES!O$16:O$69)+SUMIF(RODANTES!$B$16:$B$68,$A10,RODANTES!O$16:O$68)+SUMIF(RECARGAS!$B$16:$B$37,$A10,RECARGAS!Y$16:Y$37)+SUMIF(REVENDIDOS!$B$16:$B$25,$A10,REVENDIDOS!P$16:P$25)</f>
        <v>463.815760364179</v>
      </c>
      <c r="J10" s="13" t="n">
        <f aca="false">SUMIF(MANUALES!$B$16:$B$69,$A10,MANUALES!P$16:P$69)+SUMIF(RODANTES!$B$16:$B$68,$A10,RODANTES!P$16:P$68)+SUMIF(RECARGAS!$B$16:$B$37,$A10,RECARGAS!Z$16:Z$37)+SUMIF(REVENDIDOS!$B$16:$B$25,$A10,REVENDIDOS!Q$16:Q$25)</f>
        <v>840.72295649232</v>
      </c>
      <c r="K10" s="13" t="n">
        <f aca="false">SUMIF(MANUALES!$B$16:$B$69,$A10,MANUALES!Q$16:Q$69)+SUMIF(RODANTES!$B$16:$B$68,$A10,RODANTES!Q$16:Q$68)+SUMIF(RECARGAS!$B$16:$B$37,$A10,RECARGAS!AA$16:AA$37)+SUMIF(REVENDIDOS!$B$16:$B$25,$A10,REVENDIDOS!R$16:R$25)</f>
        <v>1662.82215218617</v>
      </c>
      <c r="L10" s="13" t="n">
        <f aca="false">SUMIF(MANUALES!$B$16:$B$69,$A10,MANUALES!R$16:R$69)+SUMIF(RODANTES!$B$16:$B$68,$A10,RODANTES!R$16:R$68)+SUMIF(RECARGAS!$B$16:$B$37,$A10,RECARGAS!AB$16:AB$37)+SUMIF(REVENDIDOS!$B$16:$B$25,$A10,REVENDIDOS!S$16:S$25)</f>
        <v>2774.57078928758</v>
      </c>
      <c r="M10" s="13" t="n">
        <f aca="false">SUMIF(MANUALES!$B$16:$B$69,$A10,MANUALES!S$16:S$69)+SUMIF(RODANTES!$B$16:$B$68,$A10,RODANTES!S$16:S$68)+SUMIF(RECARGAS!$B$16:$B$37,$A10,RECARGAS!AC$16:AC$37)+SUMIF(REVENDIDOS!$B$16:$B$25,$A10,REVENDIDOS!T$16:T$25)</f>
        <v>3957.58666952809</v>
      </c>
      <c r="N10" s="13" t="n">
        <f aca="false">SUMIF(MANUALES!$B$16:$B$69,$A10,MANUALES!T$16:T$69)+SUMIF(RODANTES!$B$16:$B$68,$A10,RODANTES!T$16:T$68)+SUMIF(RECARGAS!$B$16:$B$37,$A10,RECARGAS!AD$16:AD$37)+SUMIF(REVENDIDOS!$B$16:$B$25,$A10,REVENDIDOS!U$16:U$25)</f>
        <v>5270.78451137805</v>
      </c>
      <c r="O10" s="13" t="n">
        <f aca="false">SUMIF(MANUALES!$B$16:$B$69,$A10,MANUALES!U$16:U$69)+SUMIF(RODANTES!$B$16:$B$68,$A10,RODANTES!U$16:U$68)+SUMIF(RECARGAS!$B$16:$B$37,$A10,RECARGAS!AE$16:AE$37)+SUMIF(REVENDIDOS!$B$16:$B$25,$A10,REVENDIDOS!V$16:V$25)</f>
        <v>6683.67269593684</v>
      </c>
      <c r="P10" s="13" t="n">
        <f aca="false">SUMIF(MANUALES!$B$16:$B$69,$A10,MANUALES!V$16:V$69)+SUMIF(RODANTES!$B$16:$B$68,$A10,RODANTES!V$16:V$68)+SUMIF(RECARGAS!$B$16:$B$37,$A10,RECARGAS!AF$16:AF$37)+SUMIF(REVENDIDOS!$B$16:$B$25,$A10,REVENDIDOS!W$16:W$25)</f>
        <v>7800.70831712854</v>
      </c>
      <c r="Q10" s="13" t="n">
        <f aca="false">SUMIF(MANUALES!$B$16:$B$69,$A10,MANUALES!W$16:W$69)+SUMIF(RODANTES!$B$16:$B$68,$A10,RODANTES!W$16:W$68)+SUMIF(RECARGAS!$B$16:$B$37,$A10,RECARGAS!AG$16:AG$37)+SUMIF(REVENDIDOS!$B$16:$B$25,$A10,REVENDIDOS!X$16:X$25)</f>
        <v>9210.51266638455</v>
      </c>
      <c r="R10" s="13" t="n">
        <f aca="false">SUMIF(MANUALES!$B$16:$B$69,$A10,MANUALES!X$16:X$69)+SUMIF(RODANTES!$B$16:$B$68,$A10,RODANTES!X$16:X$68)+SUMIF(RECARGAS!$B$16:$B$37,$A10,RECARGAS!AH$16:AH$37)+SUMIF(REVENDIDOS!$B$16:$B$25,$A10,REVENDIDOS!Y$16:Y$25)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SUMIF(MANUALES!$B$16:$B$69,$A11,MANUALES!W$16:W$69)</f>
        <v>45974.8740071531</v>
      </c>
      <c r="E11" s="13" t="n">
        <f aca="false">SUMIF(RODANTES!$B$16:$B$68,$A11,RODANTES!W$16:W$68)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SUMIF(MANUALES!$B$16:$B$69,$A11,MANUALES!N$16:N$69)+SUMIF(RODANTES!$B$16:$B$68,$A11,RODANTES!N$16:N$68)+SUMIF(RECARGAS!$B$16:$B$37,$A11,RECARGAS!X$16:X$37)+SUMIF(REVENDIDOS!$B$16:$B$25,$A11,REVENDIDOS!O$16:O$25)</f>
        <v>1921.11794497178</v>
      </c>
      <c r="I11" s="13" t="n">
        <f aca="false">SUMIF(MANUALES!$B$16:$B$69,$A11,MANUALES!O$16:O$69)+SUMIF(RODANTES!$B$16:$B$68,$A11,RODANTES!O$16:O$68)+SUMIF(RECARGAS!$B$16:$B$37,$A11,RECARGAS!Y$16:Y$37)+SUMIF(REVENDIDOS!$B$16:$B$25,$A11,REVENDIDOS!P$16:P$25)</f>
        <v>3869.21247276308</v>
      </c>
      <c r="J11" s="13" t="n">
        <f aca="false">SUMIF(MANUALES!$B$16:$B$69,$A11,MANUALES!P$16:P$69)+SUMIF(RODANTES!$B$16:$B$68,$A11,RODANTES!P$16:P$68)+SUMIF(RECARGAS!$B$16:$B$37,$A11,RECARGAS!Z$16:Z$37)+SUMIF(REVENDIDOS!$B$16:$B$25,$A11,REVENDIDOS!Q$16:Q$25)</f>
        <v>6119.90280387447</v>
      </c>
      <c r="K11" s="13" t="n">
        <f aca="false">SUMIF(MANUALES!$B$16:$B$69,$A11,MANUALES!Q$16:Q$69)+SUMIF(RODANTES!$B$16:$B$68,$A11,RODANTES!Q$16:Q$68)+SUMIF(RECARGAS!$B$16:$B$37,$A11,RECARGAS!AA$16:AA$37)+SUMIF(REVENDIDOS!$B$16:$B$25,$A11,REVENDIDOS!R$16:R$25)</f>
        <v>10972.5508776208</v>
      </c>
      <c r="L11" s="13" t="n">
        <f aca="false">SUMIF(MANUALES!$B$16:$B$69,$A11,MANUALES!R$16:R$69)+SUMIF(RODANTES!$B$16:$B$68,$A11,RODANTES!R$16:R$68)+SUMIF(RECARGAS!$B$16:$B$37,$A11,RECARGAS!AB$16:AB$37)+SUMIF(REVENDIDOS!$B$16:$B$25,$A11,REVENDIDOS!S$16:S$25)</f>
        <v>16926.6586783634</v>
      </c>
      <c r="M11" s="13" t="n">
        <f aca="false">SUMIF(MANUALES!$B$16:$B$69,$A11,MANUALES!S$16:S$69)+SUMIF(RODANTES!$B$16:$B$68,$A11,RODANTES!S$16:S$68)+SUMIF(RECARGAS!$B$16:$B$37,$A11,RECARGAS!AC$16:AC$37)+SUMIF(REVENDIDOS!$B$16:$B$25,$A11,REVENDIDOS!T$16:T$25)</f>
        <v>22933.6246388969</v>
      </c>
      <c r="N11" s="13" t="n">
        <f aca="false">SUMIF(MANUALES!$B$16:$B$69,$A11,MANUALES!T$16:T$69)+SUMIF(RODANTES!$B$16:$B$68,$A11,RODANTES!T$16:T$68)+SUMIF(RECARGAS!$B$16:$B$37,$A11,RECARGAS!AD$16:AD$37)+SUMIF(REVENDIDOS!$B$16:$B$25,$A11,REVENDIDOS!U$16:U$25)</f>
        <v>29700.378108488</v>
      </c>
      <c r="O11" s="13" t="n">
        <f aca="false">SUMIF(MANUALES!$B$16:$B$69,$A11,MANUALES!U$16:U$69)+SUMIF(RODANTES!$B$16:$B$68,$A11,RODANTES!U$16:U$68)+SUMIF(RECARGAS!$B$16:$B$37,$A11,RECARGAS!AE$16:AE$37)+SUMIF(REVENDIDOS!$B$16:$B$25,$A11,REVENDIDOS!V$16:V$25)</f>
        <v>36091.0271924054</v>
      </c>
      <c r="P11" s="13" t="n">
        <f aca="false">SUMIF(MANUALES!$B$16:$B$69,$A11,MANUALES!V$16:V$69)+SUMIF(RODANTES!$B$16:$B$68,$A11,RODANTES!V$16:V$68)+SUMIF(RECARGAS!$B$16:$B$37,$A11,RECARGAS!AF$16:AF$37)+SUMIF(REVENDIDOS!$B$16:$B$25,$A11,REVENDIDOS!W$16:W$25)</f>
        <v>40069.8924555448</v>
      </c>
      <c r="Q11" s="13" t="n">
        <f aca="false">SUMIF(MANUALES!$B$16:$B$69,$A11,MANUALES!W$16:W$69)+SUMIF(RODANTES!$B$16:$B$68,$A11,RODANTES!W$16:W$68)+SUMIF(RECARGAS!$B$16:$B$37,$A11,RECARGAS!AG$16:AG$37)+SUMIF(REVENDIDOS!$B$16:$B$25,$A11,REVENDIDOS!X$16:X$25)</f>
        <v>45974.8740071531</v>
      </c>
      <c r="R11" s="13" t="n">
        <f aca="false">SUMIF(MANUALES!$B$16:$B$69,$A11,MANUALES!X$16:X$69)+SUMIF(RODANTES!$B$16:$B$68,$A11,RODANTES!X$16:X$68)+SUMIF(RECARGAS!$B$16:$B$37,$A11,RECARGAS!AH$16:AH$37)+SUMIF(REVENDIDOS!$B$16:$B$25,$A11,REVENDIDOS!Y$16:Y$25)</f>
        <v>5057.23614078684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SUMIF(MANUALES!$B$16:$B$69,$A12,MANUALES!W$16:W$69)</f>
        <v>29555.2761474556</v>
      </c>
      <c r="E12" s="13" t="n">
        <f aca="false">SUMIF(RODANTES!$B$16:$B$68,$A12,RODANTES!W$16:W$68)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SUMIF(MANUALES!$B$16:$B$69,$A12,MANUALES!N$16:N$69)+SUMIF(RODANTES!$B$16:$B$68,$A12,RODANTES!N$16:N$68)+SUMIF(RECARGAS!$B$16:$B$37,$A12,RECARGAS!X$16:X$37)+SUMIF(REVENDIDOS!$B$16:$B$25,$A12,REVENDIDOS!O$16:O$25)</f>
        <v>1235.00439319615</v>
      </c>
      <c r="I12" s="13" t="n">
        <f aca="false">SUMIF(MANUALES!$B$16:$B$69,$A12,MANUALES!O$16:O$69)+SUMIF(RODANTES!$B$16:$B$68,$A12,RODANTES!O$16:O$68)+SUMIF(RECARGAS!$B$16:$B$37,$A12,RECARGAS!Y$16:Y$37)+SUMIF(REVENDIDOS!$B$16:$B$25,$A12,REVENDIDOS!P$16:P$25)</f>
        <v>2487.35087534769</v>
      </c>
      <c r="J12" s="13" t="n">
        <f aca="false">SUMIF(MANUALES!$B$16:$B$69,$A12,MANUALES!P$16:P$69)+SUMIF(RODANTES!$B$16:$B$68,$A12,RODANTES!P$16:P$68)+SUMIF(RECARGAS!$B$16:$B$37,$A12,RECARGAS!Z$16:Z$37)+SUMIF(REVENDIDOS!$B$16:$B$25,$A12,REVENDIDOS!Q$16:Q$25)</f>
        <v>3934.22323106216</v>
      </c>
      <c r="K12" s="13" t="n">
        <f aca="false">SUMIF(MANUALES!$B$16:$B$69,$A12,MANUALES!Q$16:Q$69)+SUMIF(RODANTES!$B$16:$B$68,$A12,RODANTES!Q$16:Q$68)+SUMIF(RECARGAS!$B$16:$B$37,$A12,RECARGAS!AA$16:AA$37)+SUMIF(REVENDIDOS!$B$16:$B$25,$A12,REVENDIDOS!R$16:R$25)</f>
        <v>7053.78270704193</v>
      </c>
      <c r="L12" s="13" t="n">
        <f aca="false">SUMIF(MANUALES!$B$16:$B$69,$A12,MANUALES!R$16:R$69)+SUMIF(RODANTES!$B$16:$B$68,$A12,RODANTES!R$16:R$68)+SUMIF(RECARGAS!$B$16:$B$37,$A12,RECARGAS!AB$16:AB$37)+SUMIF(REVENDIDOS!$B$16:$B$25,$A12,REVENDIDOS!S$16:S$25)</f>
        <v>10881.4234360908</v>
      </c>
      <c r="M12" s="13" t="n">
        <f aca="false">SUMIF(MANUALES!$B$16:$B$69,$A12,MANUALES!S$16:S$69)+SUMIF(RODANTES!$B$16:$B$68,$A12,RODANTES!S$16:S$68)+SUMIF(RECARGAS!$B$16:$B$37,$A12,RECARGAS!AC$16:AC$37)+SUMIF(REVENDIDOS!$B$16:$B$25,$A12,REVENDIDOS!T$16:T$25)</f>
        <v>14743.0444107194</v>
      </c>
      <c r="N12" s="13" t="n">
        <f aca="false">SUMIF(MANUALES!$B$16:$B$69,$A12,MANUALES!T$16:T$69)+SUMIF(RODANTES!$B$16:$B$68,$A12,RODANTES!T$16:T$68)+SUMIF(RECARGAS!$B$16:$B$37,$A12,RECARGAS!AD$16:AD$37)+SUMIF(REVENDIDOS!$B$16:$B$25,$A12,REVENDIDOS!U$16:U$25)</f>
        <v>19093.1002125994</v>
      </c>
      <c r="O12" s="13" t="n">
        <f aca="false">SUMIF(MANUALES!$B$16:$B$69,$A12,MANUALES!U$16:U$69)+SUMIF(RODANTES!$B$16:$B$68,$A12,RODANTES!U$16:U$68)+SUMIF(RECARGAS!$B$16:$B$37,$A12,RECARGAS!AE$16:AE$37)+SUMIF(REVENDIDOS!$B$16:$B$25,$A12,REVENDIDOS!V$16:V$25)</f>
        <v>23201.3746236892</v>
      </c>
      <c r="P12" s="13" t="n">
        <f aca="false">SUMIF(MANUALES!$B$16:$B$69,$A12,MANUALES!V$16:V$69)+SUMIF(RODANTES!$B$16:$B$68,$A12,RODANTES!V$16:V$68)+SUMIF(RECARGAS!$B$16:$B$37,$A12,RECARGAS!AF$16:AF$37)+SUMIF(REVENDIDOS!$B$16:$B$25,$A12,REVENDIDOS!W$16:W$25)</f>
        <v>25759.2165785645</v>
      </c>
      <c r="Q12" s="13" t="n">
        <f aca="false">SUMIF(MANUALES!$B$16:$B$69,$A12,MANUALES!W$16:W$69)+SUMIF(RODANTES!$B$16:$B$68,$A12,RODANTES!W$16:W$68)+SUMIF(RECARGAS!$B$16:$B$37,$A12,RECARGAS!AG$16:AG$37)+SUMIF(REVENDIDOS!$B$16:$B$25,$A12,REVENDIDOS!X$16:X$25)</f>
        <v>29555.2761474556</v>
      </c>
      <c r="R12" s="13" t="n">
        <f aca="false">SUMIF(MANUALES!$B$16:$B$69,$A12,MANUALES!X$16:X$69)+SUMIF(RODANTES!$B$16:$B$68,$A12,RODANTES!X$16:X$68)+SUMIF(RECARGAS!$B$16:$B$37,$A12,RECARGAS!AH$16:AH$37)+SUMIF(REVENDIDOS!$B$16:$B$25,$A12,REVENDIDOS!Y$16:Y$25)</f>
        <v>3251.08037622011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SUMIF(MANUALES!$B$16:$B$69,$A13,MANUALES!W$16:W$69)</f>
        <v>3790.46620289553</v>
      </c>
      <c r="E13" s="13" t="n">
        <f aca="false">SUMIF(RODANTES!$B$16:$B$68,$A13,RODANTES!W$16:W$68)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SUMIF(MANUALES!$B$16:$B$69,$A13,MANUALES!N$16:N$69)+SUMIF(RODANTES!$B$16:$B$68,$A13,RODANTES!N$16:N$68)+SUMIF(RECARGAS!$B$16:$B$37,$A13,RECARGAS!X$16:X$37)+SUMIF(REVENDIDOS!$B$16:$B$25,$A13,REVENDIDOS!O$16:O$25)</f>
        <v>90.9866092906303</v>
      </c>
      <c r="I13" s="13" t="n">
        <f aca="false">SUMIF(MANUALES!$B$16:$B$69,$A13,MANUALES!O$16:O$69)+SUMIF(RODANTES!$B$16:$B$68,$A13,RODANTES!O$16:O$68)+SUMIF(RECARGAS!$B$16:$B$37,$A13,RECARGAS!Y$16:Y$37)+SUMIF(REVENDIDOS!$B$16:$B$25,$A13,REVENDIDOS!P$16:P$25)</f>
        <v>175.35734784606</v>
      </c>
      <c r="J13" s="13" t="n">
        <f aca="false">SUMIF(MANUALES!$B$16:$B$69,$A13,MANUALES!P$16:P$69)+SUMIF(RODANTES!$B$16:$B$68,$A13,RODANTES!P$16:P$68)+SUMIF(RECARGAS!$B$16:$B$37,$A13,RECARGAS!Z$16:Z$37)+SUMIF(REVENDIDOS!$B$16:$B$25,$A13,REVENDIDOS!Q$16:Q$25)</f>
        <v>340.136432594017</v>
      </c>
      <c r="K13" s="13" t="n">
        <f aca="false">SUMIF(MANUALES!$B$16:$B$69,$A13,MANUALES!Q$16:Q$69)+SUMIF(RODANTES!$B$16:$B$68,$A13,RODANTES!Q$16:Q$68)+SUMIF(RECARGAS!$B$16:$B$37,$A13,RECARGAS!AA$16:AA$37)+SUMIF(REVENDIDOS!$B$16:$B$25,$A13,REVENDIDOS!R$16:R$25)</f>
        <v>665.449946962625</v>
      </c>
      <c r="L13" s="13" t="n">
        <f aca="false">SUMIF(MANUALES!$B$16:$B$69,$A13,MANUALES!R$16:R$69)+SUMIF(RODANTES!$B$16:$B$68,$A13,RODANTES!R$16:R$68)+SUMIF(RECARGAS!$B$16:$B$37,$A13,RECARGAS!AB$16:AB$37)+SUMIF(REVENDIDOS!$B$16:$B$25,$A13,REVENDIDOS!S$16:S$25)</f>
        <v>1169.88644968539</v>
      </c>
      <c r="M13" s="13" t="n">
        <f aca="false">SUMIF(MANUALES!$B$16:$B$69,$A13,MANUALES!S$16:S$69)+SUMIF(RODANTES!$B$16:$B$68,$A13,RODANTES!S$16:S$68)+SUMIF(RECARGAS!$B$16:$B$37,$A13,RECARGAS!AC$16:AC$37)+SUMIF(REVENDIDOS!$B$16:$B$25,$A13,REVENDIDOS!T$16:T$25)</f>
        <v>1694.18789430809</v>
      </c>
      <c r="N13" s="13" t="n">
        <f aca="false">SUMIF(MANUALES!$B$16:$B$69,$A13,MANUALES!T$16:T$69)+SUMIF(RODANTES!$B$16:$B$68,$A13,RODANTES!T$16:T$68)+SUMIF(RECARGAS!$B$16:$B$37,$A13,RECARGAS!AD$16:AD$37)+SUMIF(REVENDIDOS!$B$16:$B$25,$A13,REVENDIDOS!U$16:U$25)</f>
        <v>2287.85517358546</v>
      </c>
      <c r="O13" s="13" t="n">
        <f aca="false">SUMIF(MANUALES!$B$16:$B$69,$A13,MANUALES!U$16:U$69)+SUMIF(RODANTES!$B$16:$B$68,$A13,RODANTES!U$16:U$68)+SUMIF(RECARGAS!$B$16:$B$37,$A13,RECARGAS!AE$16:AE$37)+SUMIF(REVENDIDOS!$B$16:$B$25,$A13,REVENDIDOS!V$16:V$25)</f>
        <v>2894.31684541624</v>
      </c>
      <c r="P13" s="13" t="n">
        <f aca="false">SUMIF(MANUALES!$B$16:$B$69,$A13,MANUALES!V$16:V$69)+SUMIF(RODANTES!$B$16:$B$68,$A13,RODANTES!V$16:V$68)+SUMIF(RECARGAS!$B$16:$B$37,$A13,RECARGAS!AF$16:AF$37)+SUMIF(REVENDIDOS!$B$16:$B$25,$A13,REVENDIDOS!W$16:W$25)</f>
        <v>3291.03076037332</v>
      </c>
      <c r="Q13" s="13" t="n">
        <f aca="false">SUMIF(MANUALES!$B$16:$B$69,$A13,MANUALES!W$16:W$69)+SUMIF(RODANTES!$B$16:$B$68,$A13,RODANTES!W$16:W$68)+SUMIF(RECARGAS!$B$16:$B$37,$A13,RECARGAS!AG$16:AG$37)+SUMIF(REVENDIDOS!$B$16:$B$25,$A13,REVENDIDOS!X$16:X$25)</f>
        <v>3790.46620289553</v>
      </c>
      <c r="R13" s="13" t="n">
        <f aca="false">SUMIF(MANUALES!$B$16:$B$69,$A13,MANUALES!X$16:X$69)+SUMIF(RODANTES!$B$16:$B$68,$A13,RODANTES!X$16:X$68)+SUMIF(RECARGAS!$B$16:$B$37,$A13,RECARGAS!AH$16:AH$37)+SUMIF(REVENDIDOS!$B$16:$B$25,$A13,REVENDIDOS!Y$16:Y$25)</f>
        <v>416.951282318508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SUMIF(MANUALES!$B$16:$B$69,$A14,MANUALES!W$16:W$69)</f>
        <v>3134.0329754209</v>
      </c>
      <c r="E14" s="13" t="n">
        <f aca="false">SUMIF(RODANTES!$B$16:$B$68,$A14,RODANTES!W$16:W$68)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SUMIF(MANUALES!$B$16:$B$69,$A14,MANUALES!N$16:N$69)+SUMIF(RODANTES!$B$16:$B$68,$A14,RODANTES!N$16:N$68)+SUMIF(RECARGAS!$B$16:$B$37,$A14,RECARGAS!X$16:X$37)+SUMIF(REVENDIDOS!$B$16:$B$25,$A14,REVENDIDOS!O$16:O$25)</f>
        <v>75.2295413215249</v>
      </c>
      <c r="I14" s="13" t="n">
        <f aca="false">SUMIF(MANUALES!$B$16:$B$69,$A14,MANUALES!O$16:O$69)+SUMIF(RODANTES!$B$16:$B$68,$A14,RODANTES!O$16:O$68)+SUMIF(RECARGAS!$B$16:$B$37,$A14,RECARGAS!Y$16:Y$37)+SUMIF(REVENDIDOS!$B$16:$B$25,$A14,REVENDIDOS!P$16:P$25)</f>
        <v>144.988948908734</v>
      </c>
      <c r="J14" s="13" t="n">
        <f aca="false">SUMIF(MANUALES!$B$16:$B$69,$A14,MANUALES!P$16:P$69)+SUMIF(RODANTES!$B$16:$B$68,$A14,RODANTES!P$16:P$68)+SUMIF(RECARGAS!$B$16:$B$37,$A14,RECARGAS!Z$16:Z$37)+SUMIF(REVENDIDOS!$B$16:$B$25,$A14,REVENDIDOS!Q$16:Q$25)</f>
        <v>281.23157913329</v>
      </c>
      <c r="K14" s="13" t="n">
        <f aca="false">SUMIF(MANUALES!$B$16:$B$69,$A14,MANUALES!Q$16:Q$69)+SUMIF(RODANTES!$B$16:$B$68,$A14,RODANTES!Q$16:Q$68)+SUMIF(RECARGAS!$B$16:$B$37,$A14,RECARGAS!AA$16:AA$37)+SUMIF(REVENDIDOS!$B$16:$B$25,$A14,REVENDIDOS!R$16:R$25)</f>
        <v>550.207274155305</v>
      </c>
      <c r="L14" s="13" t="n">
        <f aca="false">SUMIF(MANUALES!$B$16:$B$69,$A14,MANUALES!R$16:R$69)+SUMIF(RODANTES!$B$16:$B$68,$A14,RODANTES!R$16:R$68)+SUMIF(RECARGAS!$B$16:$B$37,$A14,RECARGAS!AB$16:AB$37)+SUMIF(REVENDIDOS!$B$16:$B$25,$A14,REVENDIDOS!S$16:S$25)</f>
        <v>967.285424682404</v>
      </c>
      <c r="M14" s="13" t="n">
        <f aca="false">SUMIF(MANUALES!$B$16:$B$69,$A14,MANUALES!S$16:S$69)+SUMIF(RODANTES!$B$16:$B$68,$A14,RODANTES!S$16:S$68)+SUMIF(RECARGAS!$B$16:$B$37,$A14,RECARGAS!AC$16:AC$37)+SUMIF(REVENDIDOS!$B$16:$B$25,$A14,REVENDIDOS!T$16:T$25)</f>
        <v>1400.78830494898</v>
      </c>
      <c r="N14" s="13" t="n">
        <f aca="false">SUMIF(MANUALES!$B$16:$B$69,$A14,MANUALES!T$16:T$69)+SUMIF(RODANTES!$B$16:$B$68,$A14,RODANTES!T$16:T$68)+SUMIF(RECARGAS!$B$16:$B$37,$A14,RECARGAS!AD$16:AD$37)+SUMIF(REVENDIDOS!$B$16:$B$25,$A14,REVENDIDOS!U$16:U$25)</f>
        <v>1891.64423930935</v>
      </c>
      <c r="O14" s="13" t="n">
        <f aca="false">SUMIF(MANUALES!$B$16:$B$69,$A14,MANUALES!U$16:U$69)+SUMIF(RODANTES!$B$16:$B$68,$A14,RODANTES!U$16:U$68)+SUMIF(RECARGAS!$B$16:$B$37,$A14,RECARGAS!AE$16:AE$37)+SUMIF(REVENDIDOS!$B$16:$B$25,$A14,REVENDIDOS!V$16:V$25)</f>
        <v>2393.07883234032</v>
      </c>
      <c r="P14" s="13" t="n">
        <f aca="false">SUMIF(MANUALES!$B$16:$B$69,$A14,MANUALES!V$16:V$69)+SUMIF(RODANTES!$B$16:$B$68,$A14,RODANTES!V$16:V$68)+SUMIF(RECARGAS!$B$16:$B$37,$A14,RECARGAS!AF$16:AF$37)+SUMIF(REVENDIDOS!$B$16:$B$25,$A14,REVENDIDOS!W$16:W$25)</f>
        <v>2721.0898011056</v>
      </c>
      <c r="Q14" s="13" t="n">
        <f aca="false">SUMIF(MANUALES!$B$16:$B$69,$A14,MANUALES!W$16:W$69)+SUMIF(RODANTES!$B$16:$B$68,$A14,RODANTES!W$16:W$68)+SUMIF(RECARGAS!$B$16:$B$37,$A14,RECARGAS!AG$16:AG$37)+SUMIF(REVENDIDOS!$B$16:$B$25,$A14,REVENDIDOS!X$16:X$25)</f>
        <v>3134.0329754209</v>
      </c>
      <c r="R14" s="13" t="n">
        <f aca="false">SUMIF(MANUALES!$B$16:$B$69,$A14,MANUALES!X$16:X$69)+SUMIF(RODANTES!$B$16:$B$68,$A14,RODANTES!X$16:X$68)+SUMIF(RECARGAS!$B$16:$B$37,$A14,RECARGAS!AH$16:AH$37)+SUMIF(REVENDIDOS!$B$16:$B$25,$A14,REVENDIDOS!Y$16:Y$25)</f>
        <v>344.743627296299</v>
      </c>
    </row>
    <row r="15" customFormat="false" ht="15" hidden="false" customHeight="false" outlineLevel="0" collapsed="false">
      <c r="A15" s="3" t="s">
        <v>354</v>
      </c>
      <c r="B15" s="3" t="s">
        <v>355</v>
      </c>
      <c r="C15" s="3" t="s">
        <v>182</v>
      </c>
      <c r="D15" s="13" t="n">
        <f aca="false">SUMIF(MANUALES!$B$16:$B$69,$A15,MANUALES!W$16:W$69)</f>
        <v>0</v>
      </c>
      <c r="E15" s="13" t="n">
        <f aca="false">SUMIF(RODANTES!$B$16:$B$68,$A15,RODANTES!W$16:W$68)</f>
        <v>370.551507958608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SUMIF(MANUALES!$B$16:$B$69,$A15,MANUALES!N$16:N$69)+SUMIF(RODANTES!$B$16:$B$68,$A15,RODANTES!N$16:N$68)+SUMIF(RECARGAS!$B$16:$B$37,$A15,RECARGAS!X$16:X$37)+SUMIF(REVENDIDOS!$B$16:$B$25,$A15,REVENDIDOS!O$16:O$25)</f>
        <v>16.3262546354196</v>
      </c>
      <c r="I15" s="13" t="n">
        <f aca="false">SUMIF(MANUALES!$B$16:$B$69,$A15,MANUALES!O$16:O$69)+SUMIF(RODANTES!$B$16:$B$68,$A15,RODANTES!O$16:O$68)+SUMIF(RECARGAS!$B$16:$B$37,$A15,RECARGAS!Y$16:Y$37)+SUMIF(REVENDIDOS!$B$16:$B$25,$A15,REVENDIDOS!P$16:P$25)</f>
        <v>28.048899023388</v>
      </c>
      <c r="J15" s="13" t="n">
        <f aca="false">SUMIF(MANUALES!$B$16:$B$69,$A15,MANUALES!P$16:P$69)+SUMIF(RODANTES!$B$16:$B$68,$A15,RODANTES!P$16:P$68)+SUMIF(RECARGAS!$B$16:$B$37,$A15,RECARGAS!Z$16:Z$37)+SUMIF(REVENDIDOS!$B$16:$B$25,$A15,REVENDIDOS!Q$16:Q$25)</f>
        <v>43.0697906382137</v>
      </c>
      <c r="K15" s="13" t="n">
        <f aca="false">SUMIF(MANUALES!$B$16:$B$69,$A15,MANUALES!Q$16:Q$69)+SUMIF(RODANTES!$B$16:$B$68,$A15,RODANTES!Q$16:Q$68)+SUMIF(RECARGAS!$B$16:$B$37,$A15,RECARGAS!AA$16:AA$37)+SUMIF(REVENDIDOS!$B$16:$B$25,$A15,REVENDIDOS!R$16:R$25)</f>
        <v>72.3806742271616</v>
      </c>
      <c r="L15" s="13" t="n">
        <f aca="false">SUMIF(MANUALES!$B$16:$B$69,$A15,MANUALES!R$16:R$69)+SUMIF(RODANTES!$B$16:$B$68,$A15,RODANTES!R$16:R$68)+SUMIF(RECARGAS!$B$16:$B$37,$A15,RECARGAS!AB$16:AB$37)+SUMIF(REVENDIDOS!$B$16:$B$25,$A15,REVENDIDOS!S$16:S$25)</f>
        <v>119.326990295461</v>
      </c>
      <c r="M15" s="13" t="n">
        <f aca="false">SUMIF(MANUALES!$B$16:$B$69,$A15,MANUALES!S$16:S$69)+SUMIF(RODANTES!$B$16:$B$68,$A15,RODANTES!S$16:S$68)+SUMIF(RECARGAS!$B$16:$B$37,$A15,RECARGAS!AC$16:AC$37)+SUMIF(REVENDIDOS!$B$16:$B$25,$A15,REVENDIDOS!T$16:T$25)</f>
        <v>166.248484375847</v>
      </c>
      <c r="N15" s="13" t="n">
        <f aca="false">SUMIF(MANUALES!$B$16:$B$69,$A15,MANUALES!T$16:T$69)+SUMIF(RODANTES!$B$16:$B$68,$A15,RODANTES!T$16:T$68)+SUMIF(RECARGAS!$B$16:$B$37,$A15,RECARGAS!AD$16:AD$37)+SUMIF(REVENDIDOS!$B$16:$B$25,$A15,REVENDIDOS!U$16:U$25)</f>
        <v>221.981330447942</v>
      </c>
      <c r="O15" s="13" t="n">
        <f aca="false">SUMIF(MANUALES!$B$16:$B$69,$A15,MANUALES!U$16:U$69)+SUMIF(RODANTES!$B$16:$B$68,$A15,RODANTES!U$16:U$68)+SUMIF(RECARGAS!$B$16:$B$37,$A15,RECARGAS!AE$16:AE$37)+SUMIF(REVENDIDOS!$B$16:$B$25,$A15,REVENDIDOS!V$16:V$25)</f>
        <v>279.778786119846</v>
      </c>
      <c r="P15" s="13" t="n">
        <f aca="false">SUMIF(MANUALES!$B$16:$B$69,$A15,MANUALES!V$16:V$69)+SUMIF(RODANTES!$B$16:$B$68,$A15,RODANTES!V$16:V$68)+SUMIF(RECARGAS!$B$16:$B$37,$A15,RECARGAS!AF$16:AF$37)+SUMIF(REVENDIDOS!$B$16:$B$25,$A15,REVENDIDOS!W$16:W$25)</f>
        <v>320.703857373048</v>
      </c>
      <c r="Q15" s="13" t="n">
        <f aca="false">SUMIF(MANUALES!$B$16:$B$69,$A15,MANUALES!W$16:W$69)+SUMIF(RODANTES!$B$16:$B$68,$A15,RODANTES!W$16:W$68)+SUMIF(RECARGAS!$B$16:$B$37,$A15,RECARGAS!AG$16:AG$37)+SUMIF(REVENDIDOS!$B$16:$B$25,$A15,REVENDIDOS!X$16:X$25)</f>
        <v>370.551507958608</v>
      </c>
      <c r="R15" s="13" t="n">
        <f aca="false">SUMIF(MANUALES!$B$16:$B$69,$A15,MANUALES!X$16:X$69)+SUMIF(RODANTES!$B$16:$B$68,$A15,RODANTES!X$16:X$68)+SUMIF(RECARGAS!$B$16:$B$37,$A15,RECARGAS!AH$16:AH$37)+SUMIF(REVENDIDOS!$B$16:$B$25,$A15,REVENDIDOS!Y$16:Y$25)</f>
        <v>33.3496357162747</v>
      </c>
    </row>
    <row r="16" customFormat="false" ht="15" hidden="false" customHeight="false" outlineLevel="0" collapsed="false">
      <c r="A16" s="3" t="s">
        <v>357</v>
      </c>
      <c r="B16" s="3" t="s">
        <v>358</v>
      </c>
      <c r="C16" s="3" t="s">
        <v>182</v>
      </c>
      <c r="D16" s="13" t="n">
        <f aca="false">SUMIF(MANUALES!$B$16:$B$69,$A16,MANUALES!W$16:W$69)</f>
        <v>0</v>
      </c>
      <c r="E16" s="13" t="n">
        <f aca="false">SUMIF(RODANTES!$B$16:$B$68,$A16,RODANTES!W$16:W$68)</f>
        <v>165.193517085878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SUMIF(MANUALES!$B$16:$B$69,$A16,MANUALES!N$16:N$69)+SUMIF(RODANTES!$B$16:$B$68,$A16,RODANTES!N$16:N$68)+SUMIF(RECARGAS!$B$16:$B$37,$A16,RECARGAS!X$16:X$37)+SUMIF(REVENDIDOS!$B$16:$B$25,$A16,REVENDIDOS!O$16:O$25)</f>
        <v>7.37851301528368</v>
      </c>
      <c r="I16" s="13" t="n">
        <f aca="false">SUMIF(MANUALES!$B$16:$B$69,$A16,MANUALES!O$16:O$69)+SUMIF(RODANTES!$B$16:$B$68,$A16,RODANTES!O$16:O$68)+SUMIF(RECARGAS!$B$16:$B$37,$A16,RECARGAS!Y$16:Y$37)+SUMIF(REVENDIDOS!$B$16:$B$25,$A16,REVENDIDOS!P$16:P$25)</f>
        <v>12.4776313350975</v>
      </c>
      <c r="J16" s="13" t="n">
        <f aca="false">SUMIF(MANUALES!$B$16:$B$69,$A16,MANUALES!P$16:P$69)+SUMIF(RODANTES!$B$16:$B$68,$A16,RODANTES!P$16:P$68)+SUMIF(RECARGAS!$B$16:$B$37,$A16,RECARGAS!Z$16:Z$37)+SUMIF(REVENDIDOS!$B$16:$B$25,$A16,REVENDIDOS!Q$16:Q$25)</f>
        <v>19.2532148170479</v>
      </c>
      <c r="K16" s="13" t="n">
        <f aca="false">SUMIF(MANUALES!$B$16:$B$69,$A16,MANUALES!Q$16:Q$69)+SUMIF(RODANTES!$B$16:$B$68,$A16,RODANTES!Q$16:Q$68)+SUMIF(RECARGAS!$B$16:$B$37,$A16,RECARGAS!AA$16:AA$37)+SUMIF(REVENDIDOS!$B$16:$B$25,$A16,REVENDIDOS!R$16:R$25)</f>
        <v>32.3274681254787</v>
      </c>
      <c r="L16" s="13" t="n">
        <f aca="false">SUMIF(MANUALES!$B$16:$B$69,$A16,MANUALES!R$16:R$69)+SUMIF(RODANTES!$B$16:$B$68,$A16,RODANTES!R$16:R$68)+SUMIF(RECARGAS!$B$16:$B$37,$A16,RECARGAS!AB$16:AB$37)+SUMIF(REVENDIDOS!$B$16:$B$25,$A16,REVENDIDOS!S$16:S$25)</f>
        <v>53.4100398658599</v>
      </c>
      <c r="M16" s="13" t="n">
        <f aca="false">SUMIF(MANUALES!$B$16:$B$69,$A16,MANUALES!S$16:S$69)+SUMIF(RODANTES!$B$16:$B$68,$A16,RODANTES!S$16:S$68)+SUMIF(RECARGAS!$B$16:$B$37,$A16,RECARGAS!AC$16:AC$37)+SUMIF(REVENDIDOS!$B$16:$B$25,$A16,REVENDIDOS!T$16:T$25)</f>
        <v>74.1553532174379</v>
      </c>
      <c r="N16" s="13" t="n">
        <f aca="false">SUMIF(MANUALES!$B$16:$B$69,$A16,MANUALES!T$16:T$69)+SUMIF(RODANTES!$B$16:$B$68,$A16,RODANTES!T$16:T$68)+SUMIF(RECARGAS!$B$16:$B$37,$A16,RECARGAS!AD$16:AD$37)+SUMIF(REVENDIDOS!$B$16:$B$25,$A16,REVENDIDOS!U$16:U$25)</f>
        <v>98.9398154069799</v>
      </c>
      <c r="O16" s="13" t="n">
        <f aca="false">SUMIF(MANUALES!$B$16:$B$69,$A16,MANUALES!U$16:U$69)+SUMIF(RODANTES!$B$16:$B$68,$A16,RODANTES!U$16:U$68)+SUMIF(RECARGAS!$B$16:$B$37,$A16,RECARGAS!AE$16:AE$37)+SUMIF(REVENDIDOS!$B$16:$B$25,$A16,REVENDIDOS!V$16:V$25)</f>
        <v>124.672904168744</v>
      </c>
      <c r="P16" s="13" t="n">
        <f aca="false">SUMIF(MANUALES!$B$16:$B$69,$A16,MANUALES!V$16:V$69)+SUMIF(RODANTES!$B$16:$B$68,$A16,RODANTES!V$16:V$68)+SUMIF(RECARGAS!$B$16:$B$37,$A16,RECARGAS!AF$16:AF$37)+SUMIF(REVENDIDOS!$B$16:$B$25,$A16,REVENDIDOS!W$16:W$25)</f>
        <v>142.978076311619</v>
      </c>
      <c r="Q16" s="13" t="n">
        <f aca="false">SUMIF(MANUALES!$B$16:$B$69,$A16,MANUALES!W$16:W$69)+SUMIF(RODANTES!$B$16:$B$68,$A16,RODANTES!W$16:W$68)+SUMIF(RECARGAS!$B$16:$B$37,$A16,RECARGAS!AG$16:AG$37)+SUMIF(REVENDIDOS!$B$16:$B$25,$A16,REVENDIDOS!X$16:X$25)</f>
        <v>165.193517085878</v>
      </c>
      <c r="R16" s="13" t="n">
        <f aca="false">SUMIF(MANUALES!$B$16:$B$69,$A16,MANUALES!X$16:X$69)+SUMIF(RODANTES!$B$16:$B$68,$A16,RODANTES!X$16:X$68)+SUMIF(RECARGAS!$B$16:$B$37,$A16,RECARGAS!AH$16:AH$37)+SUMIF(REVENDIDOS!$B$16:$B$25,$A16,REVENDIDOS!Y$16:Y$25)</f>
        <v>14.867416537729</v>
      </c>
    </row>
    <row r="17" customFormat="false" ht="15" hidden="false" customHeight="false" outlineLevel="0" collapsed="false">
      <c r="A17" s="3" t="s">
        <v>360</v>
      </c>
      <c r="B17" s="3" t="s">
        <v>361</v>
      </c>
      <c r="C17" s="3" t="s">
        <v>214</v>
      </c>
      <c r="D17" s="13" t="n">
        <f aca="false">SUMIF(MANUALES!$B$16:$B$69,$A17,MANUALES!W$16:W$69)</f>
        <v>0</v>
      </c>
      <c r="E17" s="13" t="n">
        <f aca="false">SUMIF(RODANTES!$B$16:$B$68,$A17,RODANTES!W$16:W$68)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SUMIF(MANUALES!$B$16:$B$69,$A17,MANUALES!N$16:N$69)+SUMIF(RODANTES!$B$16:$B$68,$A17,RODANTES!N$16:N$68)+SUMIF(RECARGAS!$B$16:$B$37,$A17,RECARGAS!X$16:X$37)+SUMIF(REVENDIDOS!$B$16:$B$25,$A17,REVENDIDOS!O$16:O$25)</f>
        <v>68.10358272</v>
      </c>
      <c r="I17" s="13" t="n">
        <f aca="false">SUMIF(MANUALES!$B$16:$B$69,$A17,MANUALES!O$16:O$69)+SUMIF(RODANTES!$B$16:$B$68,$A17,RODANTES!O$16:O$68)+SUMIF(RECARGAS!$B$16:$B$37,$A17,RECARGAS!Y$16:Y$37)+SUMIF(REVENDIDOS!$B$16:$B$25,$A17,REVENDIDOS!P$16:P$25)</f>
        <v>116.9242949</v>
      </c>
      <c r="J17" s="13" t="n">
        <f aca="false">SUMIF(MANUALES!$B$16:$B$69,$A17,MANUALES!P$16:P$69)+SUMIF(RODANTES!$B$16:$B$68,$A17,RODANTES!P$16:P$68)+SUMIF(RECARGAS!$B$16:$B$37,$A17,RECARGAS!Z$16:Z$37)+SUMIF(REVENDIDOS!$B$16:$B$25,$A17,REVENDIDOS!Q$16:Q$25)</f>
        <v>179.21707996</v>
      </c>
      <c r="K17" s="13" t="n">
        <f aca="false">SUMIF(MANUALES!$B$16:$B$69,$A17,MANUALES!Q$16:Q$69)+SUMIF(RODANTES!$B$16:$B$68,$A17,RODANTES!Q$16:Q$68)+SUMIF(RECARGAS!$B$16:$B$37,$A17,RECARGAS!AA$16:AA$37)+SUMIF(REVENDIDOS!$B$16:$B$25,$A17,REVENDIDOS!R$16:R$25)</f>
        <v>301.4597058</v>
      </c>
      <c r="L17" s="13" t="n">
        <f aca="false">SUMIF(MANUALES!$B$16:$B$69,$A17,MANUALES!R$16:R$69)+SUMIF(RODANTES!$B$16:$B$68,$A17,RODANTES!R$16:R$68)+SUMIF(RECARGAS!$B$16:$B$37,$A17,RECARGAS!AB$16:AB$37)+SUMIF(REVENDIDOS!$B$16:$B$25,$A17,REVENDIDOS!S$16:S$25)</f>
        <v>497.752007</v>
      </c>
      <c r="M17" s="13" t="n">
        <f aca="false">SUMIF(MANUALES!$B$16:$B$69,$A17,MANUALES!S$16:S$69)+SUMIF(RODANTES!$B$16:$B$68,$A17,RODANTES!S$16:S$68)+SUMIF(RECARGAS!$B$16:$B$37,$A17,RECARGAS!AC$16:AC$37)+SUMIF(REVENDIDOS!$B$16:$B$25,$A17,REVENDIDOS!T$16:T$25)</f>
        <v>693.8689654</v>
      </c>
      <c r="N17" s="13" t="n">
        <f aca="false">SUMIF(MANUALES!$B$16:$B$69,$A17,MANUALES!T$16:T$69)+SUMIF(RODANTES!$B$16:$B$68,$A17,RODANTES!T$16:T$68)+SUMIF(RECARGAS!$B$16:$B$37,$A17,RECARGAS!AD$16:AD$37)+SUMIF(REVENDIDOS!$B$16:$B$25,$A17,REVENDIDOS!U$16:U$25)</f>
        <v>927.3364664</v>
      </c>
      <c r="O17" s="13" t="n">
        <f aca="false">SUMIF(MANUALES!$B$16:$B$69,$A17,MANUALES!U$16:U$69)+SUMIF(RODANTES!$B$16:$B$68,$A17,RODANTES!U$16:U$68)+SUMIF(RECARGAS!$B$16:$B$37,$A17,RECARGAS!AE$16:AE$37)+SUMIF(REVENDIDOS!$B$16:$B$25,$A17,REVENDIDOS!V$16:V$25)</f>
        <v>1169.6973414</v>
      </c>
      <c r="P17" s="13" t="n">
        <f aca="false">SUMIF(MANUALES!$B$16:$B$69,$A17,MANUALES!V$16:V$69)+SUMIF(RODANTES!$B$16:$B$68,$A17,RODANTES!V$16:V$68)+SUMIF(RECARGAS!$B$16:$B$37,$A17,RECARGAS!AF$16:AF$37)+SUMIF(REVENDIDOS!$B$16:$B$25,$A17,REVENDIDOS!W$16:W$25)</f>
        <v>1341.2548312</v>
      </c>
      <c r="Q17" s="13" t="n">
        <f aca="false">SUMIF(MANUALES!$B$16:$B$69,$A17,MANUALES!W$16:W$69)+SUMIF(RODANTES!$B$16:$B$68,$A17,RODANTES!W$16:W$68)+SUMIF(RECARGAS!$B$16:$B$37,$A17,RECARGAS!AG$16:AG$37)+SUMIF(REVENDIDOS!$B$16:$B$25,$A17,REVENDIDOS!X$16:X$25)</f>
        <v>1550.5410664</v>
      </c>
      <c r="R17" s="13" t="n">
        <f aca="false">SUMIF(MANUALES!$B$16:$B$69,$A17,MANUALES!X$16:X$69)+SUMIF(RODANTES!$B$16:$B$68,$A17,RODANTES!X$16:X$68)+SUMIF(RECARGAS!$B$16:$B$37,$A17,RECARGAS!AH$16:AH$37)+SUMIF(REVENDIDOS!$B$16:$B$25,$A17,REVENDIDOS!Y$16:Y$25)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363</v>
      </c>
      <c r="B18" s="3" t="s">
        <v>364</v>
      </c>
      <c r="C18" s="3" t="s">
        <v>214</v>
      </c>
      <c r="D18" s="13" t="n">
        <f aca="false">SUMIF(MANUALES!$B$16:$B$69,$A18,MANUALES!W$16:W$69)</f>
        <v>0</v>
      </c>
      <c r="E18" s="13" t="n">
        <f aca="false">SUMIF(RODANTES!$B$16:$B$68,$A18,RODANTES!W$16:W$68)</f>
        <v>3412.92405123663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SUMIF(MANUALES!$B$16:$B$69,$A18,MANUALES!N$16:N$69)+SUMIF(RODANTES!$B$16:$B$68,$A18,RODANTES!N$16:N$68)+SUMIF(RECARGAS!$B$16:$B$37,$A18,RECARGAS!X$16:X$37)+SUMIF(REVENDIDOS!$B$16:$B$25,$A18,REVENDIDOS!O$16:O$25)</f>
        <v>150.512667145035</v>
      </c>
      <c r="I18" s="13" t="n">
        <f aca="false">SUMIF(MANUALES!$B$16:$B$69,$A18,MANUALES!O$16:O$69)+SUMIF(RODANTES!$B$16:$B$68,$A18,RODANTES!O$16:O$68)+SUMIF(RECARGAS!$B$16:$B$37,$A18,RECARGAS!Y$16:Y$37)+SUMIF(REVENDIDOS!$B$16:$B$25,$A18,REVENDIDOS!P$16:P$25)</f>
        <v>258.637258347323</v>
      </c>
      <c r="J18" s="13" t="n">
        <f aca="false">SUMIF(MANUALES!$B$16:$B$69,$A18,MANUALES!P$16:P$69)+SUMIF(RODANTES!$B$16:$B$68,$A18,RODANTES!P$16:P$68)+SUMIF(RECARGAS!$B$16:$B$37,$A18,RECARGAS!Z$16:Z$37)+SUMIF(REVENDIDOS!$B$16:$B$25,$A18,REVENDIDOS!Q$16:Q$25)</f>
        <v>397.359434351897</v>
      </c>
      <c r="K18" s="13" t="n">
        <f aca="false">SUMIF(MANUALES!$B$16:$B$69,$A18,MANUALES!Q$16:Q$69)+SUMIF(RODANTES!$B$16:$B$68,$A18,RODANTES!Q$16:Q$68)+SUMIF(RECARGAS!$B$16:$B$37,$A18,RECARGAS!AA$16:AA$37)+SUMIF(REVENDIDOS!$B$16:$B$25,$A18,REVENDIDOS!R$16:R$25)</f>
        <v>667.59495352594</v>
      </c>
      <c r="L18" s="13" t="n">
        <f aca="false">SUMIF(MANUALES!$B$16:$B$69,$A18,MANUALES!R$16:R$69)+SUMIF(RODANTES!$B$16:$B$68,$A18,RODANTES!R$16:R$68)+SUMIF(RECARGAS!$B$16:$B$37,$A18,RECARGAS!AB$16:AB$37)+SUMIF(REVENDIDOS!$B$16:$B$25,$A18,REVENDIDOS!S$16:S$25)</f>
        <v>1100.0892122122</v>
      </c>
      <c r="M18" s="13" t="n">
        <f aca="false">SUMIF(MANUALES!$B$16:$B$69,$A18,MANUALES!S$16:S$69)+SUMIF(RODANTES!$B$16:$B$68,$A18,RODANTES!S$16:S$68)+SUMIF(RECARGAS!$B$16:$B$37,$A18,RECARGAS!AC$16:AC$37)+SUMIF(REVENDIDOS!$B$16:$B$25,$A18,REVENDIDOS!T$16:T$25)</f>
        <v>1532.40250224349</v>
      </c>
      <c r="N18" s="13" t="n">
        <f aca="false">SUMIF(MANUALES!$B$16:$B$69,$A18,MANUALES!T$16:T$69)+SUMIF(RODANTES!$B$16:$B$68,$A18,RODANTES!T$16:T$68)+SUMIF(RECARGAS!$B$16:$B$37,$A18,RECARGAS!AD$16:AD$37)+SUMIF(REVENDIDOS!$B$16:$B$25,$A18,REVENDIDOS!U$16:U$25)</f>
        <v>2045.55165444197</v>
      </c>
      <c r="O18" s="13" t="n">
        <f aca="false">SUMIF(MANUALES!$B$16:$B$69,$A18,MANUALES!U$16:U$69)+SUMIF(RODANTES!$B$16:$B$68,$A18,RODANTES!U$16:U$68)+SUMIF(RECARGAS!$B$16:$B$37,$A18,RECARGAS!AE$16:AE$37)+SUMIF(REVENDIDOS!$B$16:$B$25,$A18,REVENDIDOS!V$16:V$25)</f>
        <v>2577.54720583816</v>
      </c>
      <c r="P18" s="13" t="n">
        <f aca="false">SUMIF(MANUALES!$B$16:$B$69,$A18,MANUALES!V$16:V$69)+SUMIF(RODANTES!$B$16:$B$68,$A18,RODANTES!V$16:V$68)+SUMIF(RECARGAS!$B$16:$B$37,$A18,RECARGAS!AF$16:AF$37)+SUMIF(REVENDIDOS!$B$16:$B$25,$A18,REVENDIDOS!W$16:W$25)</f>
        <v>2954.27640100991</v>
      </c>
      <c r="Q18" s="13" t="n">
        <f aca="false">SUMIF(MANUALES!$B$16:$B$69,$A18,MANUALES!W$16:W$69)+SUMIF(RODANTES!$B$16:$B$68,$A18,RODANTES!W$16:W$68)+SUMIF(RECARGAS!$B$16:$B$37,$A18,RECARGAS!AG$16:AG$37)+SUMIF(REVENDIDOS!$B$16:$B$25,$A18,REVENDIDOS!X$16:X$25)</f>
        <v>3412.92405123663</v>
      </c>
      <c r="R18" s="13" t="n">
        <f aca="false">SUMIF(MANUALES!$B$16:$B$69,$A18,MANUALES!X$16:X$69)+SUMIF(RODANTES!$B$16:$B$68,$A18,RODANTES!X$16:X$68)+SUMIF(RECARGAS!$B$16:$B$37,$A18,RECARGAS!AH$16:AH$37)+SUMIF(REVENDIDOS!$B$16:$B$25,$A18,REVENDIDOS!Y$16:Y$25)</f>
        <v>307.163164611297</v>
      </c>
    </row>
    <row r="19" customFormat="false" ht="15" hidden="false" customHeight="false" outlineLevel="0" collapsed="false">
      <c r="A19" s="3" t="s">
        <v>366</v>
      </c>
      <c r="B19" s="3" t="s">
        <v>367</v>
      </c>
      <c r="C19" s="3" t="s">
        <v>214</v>
      </c>
      <c r="D19" s="13" t="n">
        <f aca="false">SUMIF(MANUALES!$B$16:$B$69,$A19,MANUALES!W$16:W$69)</f>
        <v>0</v>
      </c>
      <c r="E19" s="13" t="n">
        <f aca="false">SUMIF(RODANTES!$B$16:$B$68,$A19,RODANTES!W$16:W$68)</f>
        <v>1239.54100651527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SUMIF(MANUALES!$B$16:$B$69,$A19,MANUALES!N$16:N$69)+SUMIF(RODANTES!$B$16:$B$68,$A19,RODANTES!N$16:N$68)+SUMIF(RECARGAS!$B$16:$B$37,$A19,RECARGAS!X$16:X$37)+SUMIF(REVENDIDOS!$B$16:$B$25,$A19,REVENDIDOS!O$16:O$25)</f>
        <v>55.1676513250354</v>
      </c>
      <c r="I19" s="13" t="n">
        <f aca="false">SUMIF(MANUALES!$B$16:$B$69,$A19,MANUALES!O$16:O$69)+SUMIF(RODANTES!$B$16:$B$68,$A19,RODANTES!O$16:O$68)+SUMIF(RECARGAS!$B$16:$B$37,$A19,RECARGAS!Y$16:Y$37)+SUMIF(REVENDIDOS!$B$16:$B$25,$A19,REVENDIDOS!P$16:P$25)</f>
        <v>93.5736751972518</v>
      </c>
      <c r="J19" s="13" t="n">
        <f aca="false">SUMIF(MANUALES!$B$16:$B$69,$A19,MANUALES!P$16:P$69)+SUMIF(RODANTES!$B$16:$B$68,$A19,RODANTES!P$16:P$68)+SUMIF(RECARGAS!$B$16:$B$37,$A19,RECARGAS!Z$16:Z$37)+SUMIF(REVENDIDOS!$B$16:$B$25,$A19,REVENDIDOS!Q$16:Q$25)</f>
        <v>144.252688362287</v>
      </c>
      <c r="K19" s="13" t="n">
        <f aca="false">SUMIF(MANUALES!$B$16:$B$69,$A19,MANUALES!Q$16:Q$69)+SUMIF(RODANTES!$B$16:$B$68,$A19,RODANTES!Q$16:Q$68)+SUMIF(RECARGAS!$B$16:$B$37,$A19,RECARGAS!AA$16:AA$37)+SUMIF(REVENDIDOS!$B$16:$B$25,$A19,REVENDIDOS!R$16:R$25)</f>
        <v>242.401028359539</v>
      </c>
      <c r="L19" s="13" t="n">
        <f aca="false">SUMIF(MANUALES!$B$16:$B$69,$A19,MANUALES!R$16:R$69)+SUMIF(RODANTES!$B$16:$B$68,$A19,RODANTES!R$16:R$68)+SUMIF(RECARGAS!$B$16:$B$37,$A19,RECARGAS!AB$16:AB$37)+SUMIF(REVENDIDOS!$B$16:$B$25,$A19,REVENDIDOS!S$16:S$25)</f>
        <v>400.473893641826</v>
      </c>
      <c r="M19" s="13" t="n">
        <f aca="false">SUMIF(MANUALES!$B$16:$B$69,$A19,MANUALES!S$16:S$69)+SUMIF(RODANTES!$B$16:$B$68,$A19,RODANTES!S$16:S$68)+SUMIF(RECARGAS!$B$16:$B$37,$A19,RECARGAS!AC$16:AC$37)+SUMIF(REVENDIDOS!$B$16:$B$25,$A19,REVENDIDOS!T$16:T$25)</f>
        <v>556.351153771294</v>
      </c>
      <c r="N19" s="13" t="n">
        <f aca="false">SUMIF(MANUALES!$B$16:$B$69,$A19,MANUALES!T$16:T$69)+SUMIF(RODANTES!$B$16:$B$68,$A19,RODANTES!T$16:T$68)+SUMIF(RECARGAS!$B$16:$B$37,$A19,RECARGAS!AD$16:AD$37)+SUMIF(REVENDIDOS!$B$16:$B$25,$A19,REVENDIDOS!U$16:U$25)</f>
        <v>742.359393708546</v>
      </c>
      <c r="O19" s="13" t="n">
        <f aca="false">SUMIF(MANUALES!$B$16:$B$69,$A19,MANUALES!U$16:U$69)+SUMIF(RODANTES!$B$16:$B$68,$A19,RODANTES!U$16:U$68)+SUMIF(RECARGAS!$B$16:$B$37,$A19,RECARGAS!AE$16:AE$37)+SUMIF(REVENDIDOS!$B$16:$B$25,$A19,REVENDIDOS!V$16:V$25)</f>
        <v>935.482332945798</v>
      </c>
      <c r="P19" s="13" t="n">
        <f aca="false">SUMIF(MANUALES!$B$16:$B$69,$A19,MANUALES!V$16:V$69)+SUMIF(RODANTES!$B$16:$B$68,$A19,RODANTES!V$16:V$68)+SUMIF(RECARGAS!$B$16:$B$37,$A19,RECARGAS!AF$16:AF$37)+SUMIF(REVENDIDOS!$B$16:$B$25,$A19,REVENDIDOS!W$16:W$25)</f>
        <v>1072.76256420305</v>
      </c>
      <c r="Q19" s="13" t="n">
        <f aca="false">SUMIF(MANUALES!$B$16:$B$69,$A19,MANUALES!W$16:W$69)+SUMIF(RODANTES!$B$16:$B$68,$A19,RODANTES!W$16:W$68)+SUMIF(RECARGAS!$B$16:$B$37,$A19,RECARGAS!AG$16:AG$37)+SUMIF(REVENDIDOS!$B$16:$B$25,$A19,REVENDIDOS!X$16:X$25)</f>
        <v>1239.54100651527</v>
      </c>
      <c r="R19" s="13" t="n">
        <f aca="false">SUMIF(MANUALES!$B$16:$B$69,$A19,MANUALES!X$16:X$69)+SUMIF(RODANTES!$B$16:$B$68,$A19,RODANTES!X$16:X$68)+SUMIF(RECARGAS!$B$16:$B$37,$A19,RECARGAS!AH$16:AH$37)+SUMIF(REVENDIDOS!$B$16:$B$25,$A19,REVENDIDOS!Y$16:Y$25)</f>
        <v>111.558690586374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SUMIF(MANUALES!$B$16:$B$69,$A20,MANUALES!W$16:W$69)</f>
        <v>202620.63913</v>
      </c>
      <c r="E20" s="13" t="n">
        <f aca="false">SUMIF(RODANTES!$B$16:$B$68,$A20,RODANTES!W$16:W$68)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SUMIF(MANUALES!$B$16:$B$69,$A20,MANUALES!N$16:N$69)+SUMIF(RODANTES!$B$16:$B$68,$A20,RODANTES!N$16:N$68)+SUMIF(RECARGAS!$B$16:$B$37,$A20,RECARGAS!X$16:X$37)+SUMIF(REVENDIDOS!$B$16:$B$25,$A20,REVENDIDOS!O$16:O$25)</f>
        <v>4178.736543</v>
      </c>
      <c r="I20" s="13" t="n">
        <f aca="false">SUMIF(MANUALES!$B$16:$B$69,$A20,MANUALES!O$16:O$69)+SUMIF(RODANTES!$B$16:$B$68,$A20,RODANTES!O$16:O$68)+SUMIF(RECARGAS!$B$16:$B$37,$A20,RECARGAS!Y$16:Y$37)+SUMIF(REVENDIDOS!$B$16:$B$25,$A20,REVENDIDOS!P$16:P$25)</f>
        <v>5997.303977</v>
      </c>
      <c r="J20" s="13" t="n">
        <f aca="false">SUMIF(MANUALES!$B$16:$B$69,$A20,MANUALES!P$16:P$69)+SUMIF(RODANTES!$B$16:$B$68,$A20,RODANTES!P$16:P$68)+SUMIF(RECARGAS!$B$16:$B$37,$A20,RECARGAS!Z$16:Z$37)+SUMIF(REVENDIDOS!$B$16:$B$25,$A20,REVENDIDOS!Q$16:Q$25)</f>
        <v>14514.147758</v>
      </c>
      <c r="K20" s="13" t="n">
        <f aca="false">SUMIF(MANUALES!$B$16:$B$69,$A20,MANUALES!Q$16:Q$69)+SUMIF(RODANTES!$B$16:$B$68,$A20,RODANTES!Q$16:Q$68)+SUMIF(RECARGAS!$B$16:$B$37,$A20,RECARGAS!AA$16:AA$37)+SUMIF(REVENDIDOS!$B$16:$B$25,$A20,REVENDIDOS!R$16:R$25)</f>
        <v>35161.935549</v>
      </c>
      <c r="L20" s="13" t="n">
        <f aca="false">SUMIF(MANUALES!$B$16:$B$69,$A20,MANUALES!R$16:R$69)+SUMIF(RODANTES!$B$16:$B$68,$A20,RODANTES!R$16:R$68)+SUMIF(RECARGAS!$B$16:$B$37,$A20,RECARGAS!AB$16:AB$37)+SUMIF(REVENDIDOS!$B$16:$B$25,$A20,REVENDIDOS!S$16:S$25)</f>
        <v>62115.43271</v>
      </c>
      <c r="M20" s="13" t="n">
        <f aca="false">SUMIF(MANUALES!$B$16:$B$69,$A20,MANUALES!S$16:S$69)+SUMIF(RODANTES!$B$16:$B$68,$A20,RODANTES!S$16:S$68)+SUMIF(RECARGAS!$B$16:$B$37,$A20,RECARGAS!AC$16:AC$37)+SUMIF(REVENDIDOS!$B$16:$B$25,$A20,REVENDIDOS!T$16:T$25)</f>
        <v>87300.45307</v>
      </c>
      <c r="N20" s="13" t="n">
        <f aca="false">SUMIF(MANUALES!$B$16:$B$69,$A20,MANUALES!T$16:T$69)+SUMIF(RODANTES!$B$16:$B$68,$A20,RODANTES!T$16:T$68)+SUMIF(RECARGAS!$B$16:$B$37,$A20,RECARGAS!AD$16:AD$37)+SUMIF(REVENDIDOS!$B$16:$B$25,$A20,REVENDIDOS!U$16:U$25)</f>
        <v>121673.15326</v>
      </c>
      <c r="O20" s="13" t="n">
        <f aca="false">SUMIF(MANUALES!$B$16:$B$69,$A20,MANUALES!U$16:U$69)+SUMIF(RODANTES!$B$16:$B$68,$A20,RODANTES!U$16:U$68)+SUMIF(RECARGAS!$B$16:$B$37,$A20,RECARGAS!AE$16:AE$37)+SUMIF(REVENDIDOS!$B$16:$B$25,$A20,REVENDIDOS!V$16:V$25)</f>
        <v>156133.07848</v>
      </c>
      <c r="P20" s="13" t="n">
        <f aca="false">SUMIF(MANUALES!$B$16:$B$69,$A20,MANUALES!V$16:V$69)+SUMIF(RODANTES!$B$16:$B$68,$A20,RODANTES!V$16:V$68)+SUMIF(RECARGAS!$B$16:$B$37,$A20,RECARGAS!AF$16:AF$37)+SUMIF(REVENDIDOS!$B$16:$B$25,$A20,REVENDIDOS!W$16:W$25)</f>
        <v>175393.13614</v>
      </c>
      <c r="Q20" s="13" t="n">
        <f aca="false">SUMIF(MANUALES!$B$16:$B$69,$A20,MANUALES!W$16:W$69)+SUMIF(RODANTES!$B$16:$B$68,$A20,RODANTES!W$16:W$68)+SUMIF(RECARGAS!$B$16:$B$37,$A20,RECARGAS!AG$16:AG$37)+SUMIF(REVENDIDOS!$B$16:$B$25,$A20,REVENDIDOS!X$16:X$25)</f>
        <v>202620.63913</v>
      </c>
      <c r="R20" s="13" t="n">
        <f aca="false">SUMIF(MANUALES!$B$16:$B$69,$A20,MANUALES!X$16:X$69)+SUMIF(RODANTES!$B$16:$B$68,$A20,RODANTES!X$16:X$68)+SUMIF(RECARGAS!$B$16:$B$37,$A20,RECARGAS!AH$16:AH$37)+SUMIF(REVENDIDOS!$B$16:$B$25,$A20,REVENDIDOS!Y$16:Y$25)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SUMIF(MANUALES!$B$16:$B$69,$A21,MANUALES!W$16:W$69)</f>
        <v>83312.7615518525</v>
      </c>
      <c r="E21" s="13" t="n">
        <f aca="false">SUMIF(RODANTES!$B$16:$B$68,$A21,RODANTES!W$16:W$68)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SUMIF(MANUALES!$B$16:$B$69,$A21,MANUALES!N$16:N$69)+SUMIF(RODANTES!$B$16:$B$68,$A21,RODANTES!N$16:N$68)+SUMIF(RECARGAS!$B$16:$B$37,$A21,RECARGAS!X$16:X$37)+SUMIF(REVENDIDOS!$B$16:$B$25,$A21,REVENDIDOS!O$16:O$25)</f>
        <v>3118.89208094365</v>
      </c>
      <c r="I21" s="13" t="n">
        <f aca="false">SUMIF(MANUALES!$B$16:$B$69,$A21,MANUALES!O$16:O$69)+SUMIF(RODANTES!$B$16:$B$68,$A21,RODANTES!O$16:O$68)+SUMIF(RECARGAS!$B$16:$B$37,$A21,RECARGAS!Y$16:Y$37)+SUMIF(REVENDIDOS!$B$16:$B$25,$A21,REVENDIDOS!P$16:P$25)</f>
        <v>6389.07755495962</v>
      </c>
      <c r="J21" s="13" t="n">
        <f aca="false">SUMIF(MANUALES!$B$16:$B$69,$A21,MANUALES!P$16:P$69)+SUMIF(RODANTES!$B$16:$B$68,$A21,RODANTES!P$16:P$68)+SUMIF(RECARGAS!$B$16:$B$37,$A21,RECARGAS!Z$16:Z$37)+SUMIF(REVENDIDOS!$B$16:$B$25,$A21,REVENDIDOS!Q$16:Q$25)</f>
        <v>10333.2828969756</v>
      </c>
      <c r="K21" s="13" t="n">
        <f aca="false">SUMIF(MANUALES!$B$16:$B$69,$A21,MANUALES!Q$16:Q$69)+SUMIF(RODANTES!$B$16:$B$68,$A21,RODANTES!Q$16:Q$68)+SUMIF(RECARGAS!$B$16:$B$37,$A21,RECARGAS!AA$16:AA$37)+SUMIF(REVENDIDOS!$B$16:$B$25,$A21,REVENDIDOS!R$16:R$25)</f>
        <v>18821.2797912272</v>
      </c>
      <c r="L21" s="13" t="n">
        <f aca="false">SUMIF(MANUALES!$B$16:$B$69,$A21,MANUALES!R$16:R$69)+SUMIF(RODANTES!$B$16:$B$68,$A21,RODANTES!R$16:R$68)+SUMIF(RECARGAS!$B$16:$B$37,$A21,RECARGAS!AB$16:AB$37)+SUMIF(REVENDIDOS!$B$16:$B$25,$A21,REVENDIDOS!S$16:S$25)</f>
        <v>29500.6309627576</v>
      </c>
      <c r="M21" s="13" t="n">
        <f aca="false">SUMIF(MANUALES!$B$16:$B$69,$A21,MANUALES!S$16:S$69)+SUMIF(RODANTES!$B$16:$B$68,$A21,RODANTES!S$16:S$68)+SUMIF(RECARGAS!$B$16:$B$37,$A21,RECARGAS!AC$16:AC$37)+SUMIF(REVENDIDOS!$B$16:$B$25,$A21,REVENDIDOS!T$16:T$25)</f>
        <v>40384.3849560457</v>
      </c>
      <c r="N21" s="13" t="n">
        <f aca="false">SUMIF(MANUALES!$B$16:$B$69,$A21,MANUALES!T$16:T$69)+SUMIF(RODANTES!$B$16:$B$68,$A21,RODANTES!T$16:T$68)+SUMIF(RECARGAS!$B$16:$B$37,$A21,RECARGAS!AD$16:AD$37)+SUMIF(REVENDIDOS!$B$16:$B$25,$A21,REVENDIDOS!U$16:U$25)</f>
        <v>52618.1013713343</v>
      </c>
      <c r="O21" s="13" t="n">
        <f aca="false">SUMIF(MANUALES!$B$16:$B$69,$A21,MANUALES!U$16:U$69)+SUMIF(RODANTES!$B$16:$B$68,$A21,RODANTES!U$16:U$68)+SUMIF(RECARGAS!$B$16:$B$37,$A21,RECARGAS!AE$16:AE$37)+SUMIF(REVENDIDOS!$B$16:$B$25,$A21,REVENDIDOS!V$16:V$25)</f>
        <v>64482.6476441176</v>
      </c>
      <c r="P21" s="13" t="n">
        <f aca="false">SUMIF(MANUALES!$B$16:$B$69,$A21,MANUALES!V$16:V$69)+SUMIF(RODANTES!$B$16:$B$68,$A21,RODANTES!V$16:V$68)+SUMIF(RECARGAS!$B$16:$B$37,$A21,RECARGAS!AF$16:AF$37)+SUMIF(REVENDIDOS!$B$16:$B$25,$A21,REVENDIDOS!W$16:W$25)</f>
        <v>72252.2580616941</v>
      </c>
      <c r="Q21" s="13" t="n">
        <f aca="false">SUMIF(MANUALES!$B$16:$B$69,$A21,MANUALES!W$16:W$69)+SUMIF(RODANTES!$B$16:$B$68,$A21,RODANTES!W$16:W$68)+SUMIF(RECARGAS!$B$16:$B$37,$A21,RECARGAS!AG$16:AG$37)+SUMIF(REVENDIDOS!$B$16:$B$25,$A21,REVENDIDOS!X$16:X$25)</f>
        <v>83312.7615518525</v>
      </c>
      <c r="R21" s="13" t="n">
        <f aca="false">SUMIF(MANUALES!$B$16:$B$69,$A21,MANUALES!X$16:X$69)+SUMIF(RODANTES!$B$16:$B$68,$A21,RODANTES!X$16:X$68)+SUMIF(RECARGAS!$B$16:$B$37,$A21,RECARGAS!AH$16:AH$37)+SUMIF(REVENDIDOS!$B$16:$B$25,$A21,REVENDIDOS!Y$16:Y$25)</f>
        <v>9164.40377070378</v>
      </c>
    </row>
    <row r="22" customFormat="false" ht="15" hidden="false" customHeight="false" outlineLevel="0" collapsed="false">
      <c r="A22" s="3" t="s">
        <v>369</v>
      </c>
      <c r="B22" s="3" t="s">
        <v>370</v>
      </c>
      <c r="C22" s="3" t="s">
        <v>214</v>
      </c>
      <c r="D22" s="13" t="n">
        <f aca="false">SUMIF(MANUALES!$B$16:$B$69,$A22,MANUALES!W$16:W$69)</f>
        <v>0</v>
      </c>
      <c r="E22" s="13" t="n">
        <f aca="false">SUMIF(RODANTES!$B$16:$B$68,$A22,RODANTES!W$16:W$68)</f>
        <v>2481.73255881832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SUMIF(MANUALES!$B$16:$B$69,$A22,MANUALES!N$16:N$69)+SUMIF(RODANTES!$B$16:$B$68,$A22,RODANTES!N$16:N$68)+SUMIF(RECARGAS!$B$16:$B$37,$A22,RECARGAS!X$16:X$37)+SUMIF(REVENDIDOS!$B$16:$B$25,$A22,REVENDIDOS!O$16:O$25)</f>
        <v>109.308124932518</v>
      </c>
      <c r="I22" s="13" t="n">
        <f aca="false">SUMIF(MANUALES!$B$16:$B$69,$A22,MANUALES!O$16:O$69)+SUMIF(RODANTES!$B$16:$B$68,$A22,RODANTES!O$16:O$68)+SUMIF(RECARGAS!$B$16:$B$37,$A22,RECARGAS!Y$16:Y$37)+SUMIF(REVENDIDOS!$B$16:$B$25,$A22,REVENDIDOS!P$16:P$25)</f>
        <v>187.780776623661</v>
      </c>
      <c r="J22" s="13" t="n">
        <f aca="false">SUMIF(MANUALES!$B$16:$B$69,$A22,MANUALES!P$16:P$69)+SUMIF(RODANTES!$B$16:$B$68,$A22,RODANTES!P$16:P$68)+SUMIF(RECARGAS!$B$16:$B$37,$A22,RECARGAS!Z$16:Z$37)+SUMIF(REVENDIDOS!$B$16:$B$25,$A22,REVENDIDOS!Q$16:Q$25)</f>
        <v>288.288257155949</v>
      </c>
      <c r="K22" s="13" t="n">
        <f aca="false">SUMIF(MANUALES!$B$16:$B$69,$A22,MANUALES!Q$16:Q$69)+SUMIF(RODANTES!$B$16:$B$68,$A22,RODANTES!Q$16:Q$68)+SUMIF(RECARGAS!$B$16:$B$37,$A22,RECARGAS!AA$16:AA$37)+SUMIF(REVENDIDOS!$B$16:$B$25,$A22,REVENDIDOS!R$16:R$25)</f>
        <v>484.52732966297</v>
      </c>
      <c r="L22" s="13" t="n">
        <f aca="false">SUMIF(MANUALES!$B$16:$B$69,$A22,MANUALES!R$16:R$69)+SUMIF(RODANTES!$B$16:$B$68,$A22,RODANTES!R$16:R$68)+SUMIF(RECARGAS!$B$16:$B$37,$A22,RECARGAS!AB$16:AB$37)+SUMIF(REVENDIDOS!$B$16:$B$25,$A22,REVENDIDOS!S$16:S$25)</f>
        <v>798.920609606099</v>
      </c>
      <c r="M22" s="13" t="n">
        <f aca="false">SUMIF(MANUALES!$B$16:$B$69,$A22,MANUALES!S$16:S$69)+SUMIF(RODANTES!$B$16:$B$68,$A22,RODANTES!S$16:S$68)+SUMIF(RECARGAS!$B$16:$B$37,$A22,RECARGAS!AC$16:AC$37)+SUMIF(REVENDIDOS!$B$16:$B$25,$A22,REVENDIDOS!T$16:T$25)</f>
        <v>1113.13573382175</v>
      </c>
      <c r="N22" s="13" t="n">
        <f aca="false">SUMIF(MANUALES!$B$16:$B$69,$A22,MANUALES!T$16:T$69)+SUMIF(RODANTES!$B$16:$B$68,$A22,RODANTES!T$16:T$68)+SUMIF(RECARGAS!$B$16:$B$37,$A22,RECARGAS!AD$16:AD$37)+SUMIF(REVENDIDOS!$B$16:$B$25,$A22,REVENDIDOS!U$16:U$25)</f>
        <v>1486.44406042098</v>
      </c>
      <c r="O22" s="13" t="n">
        <f aca="false">SUMIF(MANUALES!$B$16:$B$69,$A22,MANUALES!U$16:U$69)+SUMIF(RODANTES!$B$16:$B$68,$A22,RODANTES!U$16:U$68)+SUMIF(RECARGAS!$B$16:$B$37,$A22,RECARGAS!AE$16:AE$37)+SUMIF(REVENDIDOS!$B$16:$B$25,$A22,REVENDIDOS!V$16:V$25)</f>
        <v>1873.62227361908</v>
      </c>
      <c r="P22" s="13" t="n">
        <f aca="false">SUMIF(MANUALES!$B$16:$B$69,$A22,MANUALES!V$16:V$69)+SUMIF(RODANTES!$B$16:$B$68,$A22,RODANTES!V$16:V$68)+SUMIF(RECARGAS!$B$16:$B$37,$A22,RECARGAS!AF$16:AF$37)+SUMIF(REVENDIDOS!$B$16:$B$25,$A22,REVENDIDOS!W$16:W$25)</f>
        <v>2147.76561610496</v>
      </c>
      <c r="Q22" s="13" t="n">
        <f aca="false">SUMIF(MANUALES!$B$16:$B$69,$A22,MANUALES!W$16:W$69)+SUMIF(RODANTES!$B$16:$B$68,$A22,RODANTES!W$16:W$68)+SUMIF(RECARGAS!$B$16:$B$37,$A22,RECARGAS!AG$16:AG$37)+SUMIF(REVENDIDOS!$B$16:$B$25,$A22,REVENDIDOS!X$16:X$25)</f>
        <v>2481.73255881832</v>
      </c>
      <c r="R22" s="13" t="n">
        <f aca="false">SUMIF(MANUALES!$B$16:$B$69,$A22,MANUALES!X$16:X$69)+SUMIF(RODANTES!$B$16:$B$68,$A22,RODANTES!X$16:X$68)+SUMIF(RECARGAS!$B$16:$B$37,$A22,RECARGAS!AH$16:AH$37)+SUMIF(REVENDIDOS!$B$16:$B$25,$A22,REVENDIDOS!Y$16:Y$25)</f>
        <v>223.355930293648</v>
      </c>
    </row>
    <row r="23" customFormat="false" ht="15" hidden="false" customHeight="false" outlineLevel="0" collapsed="false">
      <c r="A23" s="3" t="s">
        <v>372</v>
      </c>
      <c r="B23" s="3" t="s">
        <v>373</v>
      </c>
      <c r="C23" s="3" t="s">
        <v>214</v>
      </c>
      <c r="D23" s="13" t="n">
        <f aca="false">SUMIF(MANUALES!$B$16:$B$69,$A23,MANUALES!W$16:W$69)</f>
        <v>0</v>
      </c>
      <c r="E23" s="13" t="n">
        <f aca="false">SUMIF(RODANTES!$B$16:$B$68,$A23,RODANTES!W$16:W$68)</f>
        <v>619.770503257633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SUMIF(MANUALES!$B$16:$B$69,$A23,MANUALES!N$16:N$69)+SUMIF(RODANTES!$B$16:$B$68,$A23,RODANTES!N$16:N$68)+SUMIF(RECARGAS!$B$16:$B$37,$A23,RECARGAS!X$16:X$37)+SUMIF(REVENDIDOS!$B$16:$B$25,$A23,REVENDIDOS!O$16:O$25)</f>
        <v>27.5838256625177</v>
      </c>
      <c r="I23" s="13" t="n">
        <f aca="false">SUMIF(MANUALES!$B$16:$B$69,$A23,MANUALES!O$16:O$69)+SUMIF(RODANTES!$B$16:$B$68,$A23,RODANTES!O$16:O$68)+SUMIF(RECARGAS!$B$16:$B$37,$A23,RECARGAS!Y$16:Y$37)+SUMIF(REVENDIDOS!$B$16:$B$25,$A23,REVENDIDOS!P$16:P$25)</f>
        <v>46.7868375986259</v>
      </c>
      <c r="J23" s="13" t="n">
        <f aca="false">SUMIF(MANUALES!$B$16:$B$69,$A23,MANUALES!P$16:P$69)+SUMIF(RODANTES!$B$16:$B$68,$A23,RODANTES!P$16:P$68)+SUMIF(RECARGAS!$B$16:$B$37,$A23,RECARGAS!Z$16:Z$37)+SUMIF(REVENDIDOS!$B$16:$B$25,$A23,REVENDIDOS!Q$16:Q$25)</f>
        <v>72.1263441811436</v>
      </c>
      <c r="K23" s="13" t="n">
        <f aca="false">SUMIF(MANUALES!$B$16:$B$69,$A23,MANUALES!Q$16:Q$69)+SUMIF(RODANTES!$B$16:$B$68,$A23,RODANTES!Q$16:Q$68)+SUMIF(RECARGAS!$B$16:$B$37,$A23,RECARGAS!AA$16:AA$37)+SUMIF(REVENDIDOS!$B$16:$B$25,$A23,REVENDIDOS!R$16:R$25)</f>
        <v>121.20051417977</v>
      </c>
      <c r="L23" s="13" t="n">
        <f aca="false">SUMIF(MANUALES!$B$16:$B$69,$A23,MANUALES!R$16:R$69)+SUMIF(RODANTES!$B$16:$B$68,$A23,RODANTES!R$16:R$68)+SUMIF(RECARGAS!$B$16:$B$37,$A23,RECARGAS!AB$16:AB$37)+SUMIF(REVENDIDOS!$B$16:$B$25,$A23,REVENDIDOS!S$16:S$25)</f>
        <v>200.236946820913</v>
      </c>
      <c r="M23" s="13" t="n">
        <f aca="false">SUMIF(MANUALES!$B$16:$B$69,$A23,MANUALES!S$16:S$69)+SUMIF(RODANTES!$B$16:$B$68,$A23,RODANTES!S$16:S$68)+SUMIF(RECARGAS!$B$16:$B$37,$A23,RECARGAS!AC$16:AC$37)+SUMIF(REVENDIDOS!$B$16:$B$25,$A23,REVENDIDOS!T$16:T$25)</f>
        <v>278.175576885647</v>
      </c>
      <c r="N23" s="13" t="n">
        <f aca="false">SUMIF(MANUALES!$B$16:$B$69,$A23,MANUALES!T$16:T$69)+SUMIF(RODANTES!$B$16:$B$68,$A23,RODANTES!T$16:T$68)+SUMIF(RECARGAS!$B$16:$B$37,$A23,RECARGAS!AD$16:AD$37)+SUMIF(REVENDIDOS!$B$16:$B$25,$A23,REVENDIDOS!U$16:U$25)</f>
        <v>371.179696854273</v>
      </c>
      <c r="O23" s="13" t="n">
        <f aca="false">SUMIF(MANUALES!$B$16:$B$69,$A23,MANUALES!U$16:U$69)+SUMIF(RODANTES!$B$16:$B$68,$A23,RODANTES!U$16:U$68)+SUMIF(RECARGAS!$B$16:$B$37,$A23,RECARGAS!AE$16:AE$37)+SUMIF(REVENDIDOS!$B$16:$B$25,$A23,REVENDIDOS!V$16:V$25)</f>
        <v>467.741166472899</v>
      </c>
      <c r="P23" s="13" t="n">
        <f aca="false">SUMIF(MANUALES!$B$16:$B$69,$A23,MANUALES!V$16:V$69)+SUMIF(RODANTES!$B$16:$B$68,$A23,RODANTES!V$16:V$68)+SUMIF(RECARGAS!$B$16:$B$37,$A23,RECARGAS!AF$16:AF$37)+SUMIF(REVENDIDOS!$B$16:$B$25,$A23,REVENDIDOS!W$16:W$25)</f>
        <v>536.381282101525</v>
      </c>
      <c r="Q23" s="13" t="n">
        <f aca="false">SUMIF(MANUALES!$B$16:$B$69,$A23,MANUALES!W$16:W$69)+SUMIF(RODANTES!$B$16:$B$68,$A23,RODANTES!W$16:W$68)+SUMIF(RECARGAS!$B$16:$B$37,$A23,RECARGAS!AG$16:AG$37)+SUMIF(REVENDIDOS!$B$16:$B$25,$A23,REVENDIDOS!X$16:X$25)</f>
        <v>619.770503257633</v>
      </c>
      <c r="R23" s="13" t="n">
        <f aca="false">SUMIF(MANUALES!$B$16:$B$69,$A23,MANUALES!X$16:X$69)+SUMIF(RODANTES!$B$16:$B$68,$A23,RODANTES!X$16:X$68)+SUMIF(RECARGAS!$B$16:$B$37,$A23,RECARGAS!AH$16:AH$37)+SUMIF(REVENDIDOS!$B$16:$B$25,$A23,REVENDIDOS!Y$16:Y$25)</f>
        <v>55.779345293187</v>
      </c>
    </row>
    <row r="24" customFormat="false" ht="15" hidden="false" customHeight="false" outlineLevel="0" collapsed="false">
      <c r="A24" s="3" t="s">
        <v>375</v>
      </c>
      <c r="B24" s="3" t="s">
        <v>376</v>
      </c>
      <c r="C24" s="3" t="s">
        <v>178</v>
      </c>
      <c r="D24" s="13" t="n">
        <f aca="false">SUMIF(MANUALES!$B$16:$B$69,$A24,MANUALES!W$16:W$69)</f>
        <v>0</v>
      </c>
      <c r="E24" s="13" t="n">
        <f aca="false">SUMIF(RODANTES!$B$16:$B$68,$A24,RODANTES!W$16:W$68)</f>
        <v>510.111353628119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SUMIF(MANUALES!$B$16:$B$69,$A24,MANUALES!N$16:N$69)+SUMIF(RODANTES!$B$16:$B$68,$A24,RODANTES!N$16:N$68)+SUMIF(RECARGAS!$B$16:$B$37,$A24,RECARGAS!X$16:X$37)+SUMIF(REVENDIDOS!$B$16:$B$25,$A24,REVENDIDOS!O$16:O$25)</f>
        <v>38.4801444795562</v>
      </c>
      <c r="I24" s="13" t="n">
        <f aca="false">SUMIF(MANUALES!$B$16:$B$69,$A24,MANUALES!O$16:O$69)+SUMIF(RODANTES!$B$16:$B$68,$A24,RODANTES!O$16:O$68)+SUMIF(RECARGAS!$B$16:$B$37,$A24,RECARGAS!Y$16:Y$37)+SUMIF(REVENDIDOS!$B$16:$B$25,$A24,REVENDIDOS!P$16:P$25)</f>
        <v>65.9362246756282</v>
      </c>
      <c r="J24" s="13" t="n">
        <f aca="false">SUMIF(MANUALES!$B$16:$B$69,$A24,MANUALES!P$16:P$69)+SUMIF(RODANTES!$B$16:$B$68,$A24,RODANTES!P$16:P$68)+SUMIF(RECARGAS!$B$16:$B$37,$A24,RECARGAS!Z$16:Z$37)+SUMIF(REVENDIDOS!$B$16:$B$25,$A24,REVENDIDOS!Q$16:Q$25)</f>
        <v>85.0558207157158</v>
      </c>
      <c r="K24" s="13" t="n">
        <f aca="false">SUMIF(MANUALES!$B$16:$B$69,$A24,MANUALES!Q$16:Q$69)+SUMIF(RODANTES!$B$16:$B$68,$A24,RODANTES!Q$16:Q$68)+SUMIF(RECARGAS!$B$16:$B$37,$A24,RECARGAS!AA$16:AA$37)+SUMIF(REVENDIDOS!$B$16:$B$25,$A24,REVENDIDOS!R$16:R$25)</f>
        <v>113.645533040026</v>
      </c>
      <c r="L24" s="13" t="n">
        <f aca="false">SUMIF(MANUALES!$B$16:$B$69,$A24,MANUALES!R$16:R$69)+SUMIF(RODANTES!$B$16:$B$68,$A24,RODANTES!R$16:R$68)+SUMIF(RECARGAS!$B$16:$B$37,$A24,RECARGAS!AB$16:AB$37)+SUMIF(REVENDIDOS!$B$16:$B$25,$A24,REVENDIDOS!S$16:S$25)</f>
        <v>176.008788948337</v>
      </c>
      <c r="M24" s="13" t="n">
        <f aca="false">SUMIF(MANUALES!$B$16:$B$69,$A24,MANUALES!S$16:S$69)+SUMIF(RODANTES!$B$16:$B$68,$A24,RODANTES!S$16:S$68)+SUMIF(RECARGAS!$B$16:$B$37,$A24,RECARGAS!AC$16:AC$37)+SUMIF(REVENDIDOS!$B$16:$B$25,$A24,REVENDIDOS!T$16:T$25)</f>
        <v>239.078163318778</v>
      </c>
      <c r="N24" s="13" t="n">
        <f aca="false">SUMIF(MANUALES!$B$16:$B$69,$A24,MANUALES!T$16:T$69)+SUMIF(RODANTES!$B$16:$B$68,$A24,RODANTES!T$16:T$68)+SUMIF(RECARGAS!$B$16:$B$37,$A24,RECARGAS!AD$16:AD$37)+SUMIF(REVENDIDOS!$B$16:$B$25,$A24,REVENDIDOS!U$16:U$25)</f>
        <v>307.31785714649</v>
      </c>
      <c r="O24" s="13" t="n">
        <f aca="false">SUMIF(MANUALES!$B$16:$B$69,$A24,MANUALES!U$16:U$69)+SUMIF(RODANTES!$B$16:$B$68,$A24,RODANTES!U$16:U$68)+SUMIF(RECARGAS!$B$16:$B$37,$A24,RECARGAS!AE$16:AE$37)+SUMIF(REVENDIDOS!$B$16:$B$25,$A24,REVENDIDOS!V$16:V$25)</f>
        <v>380.462253748194</v>
      </c>
      <c r="P24" s="13" t="n">
        <f aca="false">SUMIF(MANUALES!$B$16:$B$69,$A24,MANUALES!V$16:V$69)+SUMIF(RODANTES!$B$16:$B$68,$A24,RODANTES!V$16:V$68)+SUMIF(RECARGAS!$B$16:$B$37,$A24,RECARGAS!AF$16:AF$37)+SUMIF(REVENDIDOS!$B$16:$B$25,$A24,REVENDIDOS!W$16:W$25)</f>
        <v>443.207348578133</v>
      </c>
      <c r="Q24" s="13" t="n">
        <f aca="false">SUMIF(MANUALES!$B$16:$B$69,$A24,MANUALES!W$16:W$69)+SUMIF(RODANTES!$B$16:$B$68,$A24,RODANTES!W$16:W$68)+SUMIF(RECARGAS!$B$16:$B$37,$A24,RECARGAS!AG$16:AG$37)+SUMIF(REVENDIDOS!$B$16:$B$25,$A24,REVENDIDOS!X$16:X$25)</f>
        <v>510.111353628119</v>
      </c>
      <c r="R24" s="13" t="n">
        <f aca="false">SUMIF(MANUALES!$B$16:$B$69,$A24,MANUALES!X$16:X$69)+SUMIF(RODANTES!$B$16:$B$68,$A24,RODANTES!X$16:X$68)+SUMIF(RECARGAS!$B$16:$B$37,$A24,RECARGAS!AH$16:AH$37)+SUMIF(REVENDIDOS!$B$16:$B$25,$A24,REVENDIDOS!Y$16:Y$25)</f>
        <v>45.9100218265307</v>
      </c>
    </row>
    <row r="25" customFormat="false" ht="15" hidden="false" customHeight="false" outlineLevel="0" collapsed="false">
      <c r="A25" s="3" t="s">
        <v>378</v>
      </c>
      <c r="B25" s="3" t="s">
        <v>379</v>
      </c>
      <c r="C25" s="3" t="s">
        <v>178</v>
      </c>
      <c r="D25" s="13" t="n">
        <f aca="false">SUMIF(MANUALES!$B$16:$B$69,$A25,MANUALES!W$16:W$69)</f>
        <v>0</v>
      </c>
      <c r="E25" s="13" t="n">
        <f aca="false">SUMIF(RODANTES!$B$16:$B$68,$A25,RODANTES!W$16:W$68)</f>
        <v>89.6312202601222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SUMIF(MANUALES!$B$16:$B$69,$A25,MANUALES!N$16:N$69)+SUMIF(RODANTES!$B$16:$B$68,$A25,RODANTES!N$16:N$68)+SUMIF(RECARGAS!$B$16:$B$37,$A25,RECARGAS!X$16:X$37)+SUMIF(REVENDIDOS!$B$16:$B$25,$A25,REVENDIDOS!O$16:O$25)</f>
        <v>6.77405656529894</v>
      </c>
      <c r="I25" s="13" t="n">
        <f aca="false">SUMIF(MANUALES!$B$16:$B$69,$A25,MANUALES!O$16:O$69)+SUMIF(RODANTES!$B$16:$B$68,$A25,RODANTES!O$16:O$68)+SUMIF(RECARGAS!$B$16:$B$37,$A25,RECARGAS!Y$16:Y$37)+SUMIF(REVENDIDOS!$B$16:$B$25,$A25,REVENDIDOS!P$16:P$25)</f>
        <v>11.5937337272421</v>
      </c>
      <c r="J25" s="13" t="n">
        <f aca="false">SUMIF(MANUALES!$B$16:$B$69,$A25,MANUALES!P$16:P$69)+SUMIF(RODANTES!$B$16:$B$68,$A25,RODANTES!P$16:P$68)+SUMIF(RECARGAS!$B$16:$B$37,$A25,RECARGAS!Z$16:Z$37)+SUMIF(REVENDIDOS!$B$16:$B$25,$A25,REVENDIDOS!Q$16:Q$25)</f>
        <v>14.9726058341934</v>
      </c>
      <c r="K25" s="13" t="n">
        <f aca="false">SUMIF(MANUALES!$B$16:$B$69,$A25,MANUALES!Q$16:Q$69)+SUMIF(RODANTES!$B$16:$B$68,$A25,RODANTES!Q$16:Q$68)+SUMIF(RECARGAS!$B$16:$B$37,$A25,RECARGAS!AA$16:AA$37)+SUMIF(REVENDIDOS!$B$16:$B$25,$A25,REVENDIDOS!R$16:R$25)</f>
        <v>20.001496478616</v>
      </c>
      <c r="L25" s="13" t="n">
        <f aca="false">SUMIF(MANUALES!$B$16:$B$69,$A25,MANUALES!R$16:R$69)+SUMIF(RODANTES!$B$16:$B$68,$A25,RODANTES!R$16:R$68)+SUMIF(RECARGAS!$B$16:$B$37,$A25,RECARGAS!AB$16:AB$37)+SUMIF(REVENDIDOS!$B$16:$B$25,$A25,REVENDIDOS!S$16:S$25)</f>
        <v>30.967478154708</v>
      </c>
      <c r="M25" s="13" t="n">
        <f aca="false">SUMIF(MANUALES!$B$16:$B$69,$A25,MANUALES!S$16:S$69)+SUMIF(RODANTES!$B$16:$B$68,$A25,RODANTES!S$16:S$68)+SUMIF(RECARGAS!$B$16:$B$37,$A25,RECARGAS!AC$16:AC$37)+SUMIF(REVENDIDOS!$B$16:$B$25,$A25,REVENDIDOS!T$16:T$25)</f>
        <v>42.0446040816612</v>
      </c>
      <c r="N25" s="13" t="n">
        <f aca="false">SUMIF(MANUALES!$B$16:$B$69,$A25,MANUALES!T$16:T$69)+SUMIF(RODANTES!$B$16:$B$68,$A25,RODANTES!T$16:T$68)+SUMIF(RECARGAS!$B$16:$B$37,$A25,RECARGAS!AD$16:AD$37)+SUMIF(REVENDIDOS!$B$16:$B$25,$A25,REVENDIDOS!U$16:U$25)</f>
        <v>54.0286019773654</v>
      </c>
      <c r="O25" s="13" t="n">
        <f aca="false">SUMIF(MANUALES!$B$16:$B$69,$A25,MANUALES!U$16:U$69)+SUMIF(RODANTES!$B$16:$B$68,$A25,RODANTES!U$16:U$68)+SUMIF(RECARGAS!$B$16:$B$37,$A25,RECARGAS!AE$16:AE$37)+SUMIF(REVENDIDOS!$B$16:$B$25,$A25,REVENDIDOS!V$16:V$25)</f>
        <v>66.8686880144898</v>
      </c>
      <c r="P25" s="13" t="n">
        <f aca="false">SUMIF(MANUALES!$B$16:$B$69,$A25,MANUALES!V$16:V$69)+SUMIF(RODANTES!$B$16:$B$68,$A25,RODANTES!V$16:V$68)+SUMIF(RECARGAS!$B$16:$B$37,$A25,RECARGAS!AF$16:AF$37)+SUMIF(REVENDIDOS!$B$16:$B$25,$A25,REVENDIDOS!W$16:W$25)</f>
        <v>77.8919297211958</v>
      </c>
      <c r="Q25" s="13" t="n">
        <f aca="false">SUMIF(MANUALES!$B$16:$B$69,$A25,MANUALES!W$16:W$69)+SUMIF(RODANTES!$B$16:$B$68,$A25,RODANTES!W$16:W$68)+SUMIF(RECARGAS!$B$16:$B$37,$A25,RECARGAS!AG$16:AG$37)+SUMIF(REVENDIDOS!$B$16:$B$25,$A25,REVENDIDOS!X$16:X$25)</f>
        <v>89.6312202601222</v>
      </c>
      <c r="R25" s="13" t="n">
        <f aca="false">SUMIF(MANUALES!$B$16:$B$69,$A25,MANUALES!X$16:X$69)+SUMIF(RODANTES!$B$16:$B$68,$A25,RODANTES!X$16:X$68)+SUMIF(RECARGAS!$B$16:$B$37,$A25,RECARGAS!AH$16:AH$37)+SUMIF(REVENDIDOS!$B$16:$B$25,$A25,REVENDIDOS!Y$16:Y$25)</f>
        <v>8.066809823411</v>
      </c>
    </row>
    <row r="26" customFormat="false" ht="15" hidden="false" customHeight="false" outlineLevel="0" collapsed="false">
      <c r="A26" s="3" t="s">
        <v>381</v>
      </c>
      <c r="B26" s="3" t="s">
        <v>382</v>
      </c>
      <c r="C26" s="3" t="s">
        <v>178</v>
      </c>
      <c r="D26" s="13" t="n">
        <f aca="false">SUMIF(MANUALES!$B$16:$B$69,$A26,MANUALES!W$16:W$69)</f>
        <v>0</v>
      </c>
      <c r="E26" s="13" t="n">
        <f aca="false">SUMIF(RODANTES!$B$16:$B$68,$A26,RODANTES!W$16:W$68)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SUMIF(MANUALES!$B$16:$B$69,$A26,MANUALES!N$16:N$69)+SUMIF(RODANTES!$B$16:$B$68,$A26,RODANTES!N$16:N$68)+SUMIF(RECARGAS!$B$16:$B$37,$A26,RECARGAS!X$16:X$37)+SUMIF(REVENDIDOS!$B$16:$B$25,$A26,REVENDIDOS!O$16:O$25)</f>
        <v>4.25647392</v>
      </c>
      <c r="I26" s="13" t="n">
        <f aca="false">SUMIF(MANUALES!$B$16:$B$69,$A26,MANUALES!O$16:O$69)+SUMIF(RODANTES!$B$16:$B$68,$A26,RODANTES!O$16:O$68)+SUMIF(RECARGAS!$B$16:$B$37,$A26,RECARGAS!Y$16:Y$37)+SUMIF(REVENDIDOS!$B$16:$B$25,$A26,REVENDIDOS!P$16:P$25)</f>
        <v>7.30776843125</v>
      </c>
      <c r="J26" s="13" t="n">
        <f aca="false">SUMIF(MANUALES!$B$16:$B$69,$A26,MANUALES!P$16:P$69)+SUMIF(RODANTES!$B$16:$B$68,$A26,RODANTES!P$16:P$68)+SUMIF(RECARGAS!$B$16:$B$37,$A26,RECARGAS!Z$16:Z$37)+SUMIF(REVENDIDOS!$B$16:$B$25,$A26,REVENDIDOS!Q$16:Q$25)</f>
        <v>9.4010674975</v>
      </c>
      <c r="K26" s="13" t="n">
        <f aca="false">SUMIF(MANUALES!$B$16:$B$69,$A26,MANUALES!Q$16:Q$69)+SUMIF(RODANTES!$B$16:$B$68,$A26,RODANTES!Q$16:Q$68)+SUMIF(RECARGAS!$B$16:$B$37,$A26,RECARGAS!AA$16:AA$37)+SUMIF(REVENDIDOS!$B$16:$B$25,$A26,REVENDIDOS!R$16:R$25)</f>
        <v>12.5662316125</v>
      </c>
      <c r="L26" s="13" t="n">
        <f aca="false">SUMIF(MANUALES!$B$16:$B$69,$A26,MANUALES!R$16:R$69)+SUMIF(RODANTES!$B$16:$B$68,$A26,RODANTES!R$16:R$68)+SUMIF(RECARGAS!$B$16:$B$37,$A26,RECARGAS!AB$16:AB$37)+SUMIF(REVENDIDOS!$B$16:$B$25,$A26,REVENDIDOS!S$16:S$25)</f>
        <v>19.4845004375</v>
      </c>
      <c r="M26" s="13" t="n">
        <f aca="false">SUMIF(MANUALES!$B$16:$B$69,$A26,MANUALES!S$16:S$69)+SUMIF(RODANTES!$B$16:$B$68,$A26,RODANTES!S$16:S$68)+SUMIF(RECARGAS!$B$16:$B$37,$A26,RECARGAS!AC$16:AC$37)+SUMIF(REVENDIDOS!$B$16:$B$25,$A26,REVENDIDOS!T$16:T$25)</f>
        <v>26.4918103375</v>
      </c>
      <c r="N26" s="13" t="n">
        <f aca="false">SUMIF(MANUALES!$B$16:$B$69,$A26,MANUALES!T$16:T$69)+SUMIF(RODANTES!$B$16:$B$68,$A26,RODANTES!T$16:T$68)+SUMIF(RECARGAS!$B$16:$B$37,$A26,RECARGAS!AD$16:AD$37)+SUMIF(REVENDIDOS!$B$16:$B$25,$A26,REVENDIDOS!U$16:U$25)</f>
        <v>34.08352915</v>
      </c>
      <c r="O26" s="13" t="n">
        <f aca="false">SUMIF(MANUALES!$B$16:$B$69,$A26,MANUALES!U$16:U$69)+SUMIF(RODANTES!$B$16:$B$68,$A26,RODANTES!U$16:U$68)+SUMIF(RECARGAS!$B$16:$B$37,$A26,RECARGAS!AE$16:AE$37)+SUMIF(REVENDIDOS!$B$16:$B$25,$A26,REVENDIDOS!V$16:V$25)</f>
        <v>42.2310838375</v>
      </c>
      <c r="P26" s="13" t="n">
        <f aca="false">SUMIF(MANUALES!$B$16:$B$69,$A26,MANUALES!V$16:V$69)+SUMIF(RODANTES!$B$16:$B$68,$A26,RODANTES!V$16:V$68)+SUMIF(RECARGAS!$B$16:$B$37,$A26,RECARGAS!AF$16:AF$37)+SUMIF(REVENDIDOS!$B$16:$B$25,$A26,REVENDIDOS!W$16:W$25)</f>
        <v>49.20342695</v>
      </c>
      <c r="Q26" s="13" t="n">
        <f aca="false">SUMIF(MANUALES!$B$16:$B$69,$A26,MANUALES!W$16:W$69)+SUMIF(RODANTES!$B$16:$B$68,$A26,RODANTES!W$16:W$68)+SUMIF(RECARGAS!$B$16:$B$37,$A26,RECARGAS!AG$16:AG$37)+SUMIF(REVENDIDOS!$B$16:$B$25,$A26,REVENDIDOS!X$16:X$25)</f>
        <v>56.65881665</v>
      </c>
      <c r="R26" s="13" t="n">
        <f aca="false">SUMIF(MANUALES!$B$16:$B$69,$A26,MANUALES!X$16:X$69)+SUMIF(RODANTES!$B$16:$B$68,$A26,RODANTES!X$16:X$68)+SUMIF(RECARGAS!$B$16:$B$37,$A26,RECARGAS!AH$16:AH$37)+SUMIF(REVENDIDOS!$B$16:$B$25,$A26,REVENDIDOS!Y$16:Y$25)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384</v>
      </c>
      <c r="B27" s="3" t="s">
        <v>385</v>
      </c>
      <c r="C27" s="3" t="s">
        <v>178</v>
      </c>
      <c r="D27" s="13" t="n">
        <f aca="false">SUMIF(MANUALES!$B$16:$B$69,$A27,MANUALES!W$16:W$69)</f>
        <v>0</v>
      </c>
      <c r="E27" s="13" t="n">
        <f aca="false">SUMIF(RODANTES!$B$16:$B$68,$A27,RODANTES!W$16:W$68)</f>
        <v>127.046325381974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SUMIF(MANUALES!$B$16:$B$69,$A27,MANUALES!N$16:N$69)+SUMIF(RODANTES!$B$16:$B$68,$A27,RODANTES!N$16:N$68)+SUMIF(RECARGAS!$B$16:$B$37,$A27,RECARGAS!X$16:X$37)+SUMIF(REVENDIDOS!$B$16:$B$25,$A27,REVENDIDOS!O$16:O$25)</f>
        <v>9.59986743648066</v>
      </c>
      <c r="I27" s="13" t="n">
        <f aca="false">SUMIF(MANUALES!$B$16:$B$69,$A27,MANUALES!O$16:O$69)+SUMIF(RODANTES!$B$16:$B$68,$A27,RODANTES!O$16:O$68)+SUMIF(RECARGAS!$B$16:$B$37,$A27,RECARGAS!Y$16:Y$37)+SUMIF(REVENDIDOS!$B$16:$B$25,$A27,REVENDIDOS!P$16:P$25)</f>
        <v>16.43492277565</v>
      </c>
      <c r="J27" s="13" t="n">
        <f aca="false">SUMIF(MANUALES!$B$16:$B$69,$A27,MANUALES!P$16:P$69)+SUMIF(RODANTES!$B$16:$B$68,$A27,RODANTES!P$16:P$68)+SUMIF(RECARGAS!$B$16:$B$37,$A27,RECARGAS!Z$16:Z$37)+SUMIF(REVENDIDOS!$B$16:$B$25,$A27,REVENDIDOS!Q$16:Q$25)</f>
        <v>21.223517797746</v>
      </c>
      <c r="K27" s="13" t="n">
        <f aca="false">SUMIF(MANUALES!$B$16:$B$69,$A27,MANUALES!Q$16:Q$69)+SUMIF(RODANTES!$B$16:$B$68,$A27,RODANTES!Q$16:Q$68)+SUMIF(RECARGAS!$B$16:$B$37,$A27,RECARGAS!AA$16:AA$37)+SUMIF(REVENDIDOS!$B$16:$B$25,$A27,REVENDIDOS!R$16:R$25)</f>
        <v>28.3525493055197</v>
      </c>
      <c r="L27" s="13" t="n">
        <f aca="false">SUMIF(MANUALES!$B$16:$B$69,$A27,MANUALES!R$16:R$69)+SUMIF(RODANTES!$B$16:$B$68,$A27,RODANTES!R$16:R$68)+SUMIF(RECARGAS!$B$16:$B$37,$A27,RECARGAS!AB$16:AB$37)+SUMIF(REVENDIDOS!$B$16:$B$25,$A27,REVENDIDOS!S$16:S$25)</f>
        <v>43.8932043281003</v>
      </c>
      <c r="M27" s="13" t="n">
        <f aca="false">SUMIF(MANUALES!$B$16:$B$69,$A27,MANUALES!S$16:S$69)+SUMIF(RODANTES!$B$16:$B$68,$A27,RODANTES!S$16:S$68)+SUMIF(RECARGAS!$B$16:$B$37,$A27,RECARGAS!AC$16:AC$37)+SUMIF(REVENDIDOS!$B$16:$B$25,$A27,REVENDIDOS!T$16:T$25)</f>
        <v>59.5976714269053</v>
      </c>
      <c r="N27" s="13" t="n">
        <f aca="false">SUMIF(MANUALES!$B$16:$B$69,$A27,MANUALES!T$16:T$69)+SUMIF(RODANTES!$B$16:$B$68,$A27,RODANTES!T$16:T$68)+SUMIF(RECARGAS!$B$16:$B$37,$A27,RECARGAS!AD$16:AD$37)+SUMIF(REVENDIDOS!$B$16:$B$25,$A27,REVENDIDOS!U$16:U$25)</f>
        <v>76.5830448873349</v>
      </c>
      <c r="O27" s="13" t="n">
        <f aca="false">SUMIF(MANUALES!$B$16:$B$69,$A27,MANUALES!U$16:U$69)+SUMIF(RODANTES!$B$16:$B$68,$A27,RODANTES!U$16:U$68)+SUMIF(RECARGAS!$B$16:$B$37,$A27,RECARGAS!AE$16:AE$37)+SUMIF(REVENDIDOS!$B$16:$B$25,$A27,REVENDIDOS!V$16:V$25)</f>
        <v>94.7808078217515</v>
      </c>
      <c r="P27" s="13" t="n">
        <f aca="false">SUMIF(MANUALES!$B$16:$B$69,$A27,MANUALES!V$16:V$69)+SUMIF(RODANTES!$B$16:$B$68,$A27,RODANTES!V$16:V$68)+SUMIF(RECARGAS!$B$16:$B$37,$A27,RECARGAS!AF$16:AF$37)+SUMIF(REVENDIDOS!$B$16:$B$25,$A27,REVENDIDOS!W$16:W$25)</f>
        <v>110.405237346967</v>
      </c>
      <c r="Q27" s="13" t="n">
        <f aca="false">SUMIF(MANUALES!$B$16:$B$69,$A27,MANUALES!W$16:W$69)+SUMIF(RODANTES!$B$16:$B$68,$A27,RODANTES!W$16:W$68)+SUMIF(RECARGAS!$B$16:$B$37,$A27,RECARGAS!AG$16:AG$37)+SUMIF(REVENDIDOS!$B$16:$B$25,$A27,REVENDIDOS!X$16:X$25)</f>
        <v>127.046325381974</v>
      </c>
      <c r="R27" s="13" t="n">
        <f aca="false">SUMIF(MANUALES!$B$16:$B$69,$A27,MANUALES!X$16:X$69)+SUMIF(RODANTES!$B$16:$B$68,$A27,RODANTES!X$16:X$68)+SUMIF(RECARGAS!$B$16:$B$37,$A27,RECARGAS!AH$16:AH$37)+SUMIF(REVENDIDOS!$B$16:$B$25,$A27,REVENDIDOS!Y$16:Y$25)</f>
        <v>11.4341692843776</v>
      </c>
    </row>
    <row r="28" customFormat="false" ht="15" hidden="false" customHeight="false" outlineLevel="0" collapsed="false">
      <c r="A28" s="3" t="s">
        <v>422</v>
      </c>
      <c r="B28" s="3" t="s">
        <v>423</v>
      </c>
      <c r="C28" s="3" t="s">
        <v>214</v>
      </c>
      <c r="D28" s="13" t="n">
        <f aca="false">SUMIF(MANUALES!$B$16:$B$69,$A28,MANUALES!W$16:W$69)</f>
        <v>0</v>
      </c>
      <c r="E28" s="13" t="n">
        <f aca="false">SUMIF(RODANTES!$B$16:$B$68,$A28,RODANTES!W$16:W$68)</f>
        <v>7258.01224830379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SUMIF(MANUALES!$B$16:$B$69,$A28,MANUALES!N$16:N$69)+SUMIF(RODANTES!$B$16:$B$68,$A28,RODANTES!N$16:N$68)+SUMIF(RECARGAS!$B$16:$B$37,$A28,RECARGAS!X$16:X$37)+SUMIF(REVENDIDOS!$B$16:$B$25,$A28,REVENDIDOS!O$16:O$25)</f>
        <v>547.567802380142</v>
      </c>
      <c r="I28" s="13" t="n">
        <f aca="false">SUMIF(MANUALES!$B$16:$B$69,$A28,MANUALES!O$16:O$69)+SUMIF(RODANTES!$B$16:$B$68,$A28,RODANTES!O$16:O$68)+SUMIF(RECARGAS!$B$16:$B$37,$A28,RECARGAS!Y$16:Y$37)+SUMIF(REVENDIDOS!$B$16:$B$25,$A28,REVENDIDOS!P$16:P$25)</f>
        <v>938.270456889149</v>
      </c>
      <c r="J28" s="13" t="n">
        <f aca="false">SUMIF(MANUALES!$B$16:$B$69,$A28,MANUALES!P$16:P$69)+SUMIF(RODANTES!$B$16:$B$68,$A28,RODANTES!P$16:P$68)+SUMIF(RECARGAS!$B$16:$B$37,$A28,RECARGAS!Z$16:Z$37)+SUMIF(REVENDIDOS!$B$16:$B$25,$A28,REVENDIDOS!Q$16:Q$25)</f>
        <v>1210.45840534837</v>
      </c>
      <c r="K28" s="13" t="n">
        <f aca="false">SUMIF(MANUALES!$B$16:$B$69,$A28,MANUALES!Q$16:Q$69)+SUMIF(RODANTES!$B$16:$B$68,$A28,RODANTES!Q$16:Q$68)+SUMIF(RECARGAS!$B$16:$B$37,$A28,RECARGAS!AA$16:AA$37)+SUMIF(REVENDIDOS!$B$16:$B$25,$A28,REVENDIDOS!R$16:R$25)</f>
        <v>1617.31137537096</v>
      </c>
      <c r="L28" s="13" t="n">
        <f aca="false">SUMIF(MANUALES!$B$16:$B$69,$A28,MANUALES!R$16:R$69)+SUMIF(RODANTES!$B$16:$B$68,$A28,RODANTES!R$16:R$68)+SUMIF(RECARGAS!$B$16:$B$37,$A28,RECARGAS!AB$16:AB$37)+SUMIF(REVENDIDOS!$B$16:$B$25,$A28,REVENDIDOS!S$16:S$25)</f>
        <v>2504.63022570805</v>
      </c>
      <c r="M28" s="13" t="n">
        <f aca="false">SUMIF(MANUALES!$B$16:$B$69,$A28,MANUALES!S$16:S$69)+SUMIF(RODANTES!$B$16:$B$68,$A28,RODANTES!S$16:S$68)+SUMIF(RECARGAS!$B$16:$B$37,$A28,RECARGAS!AC$16:AC$37)+SUMIF(REVENDIDOS!$B$16:$B$25,$A28,REVENDIDOS!T$16:T$25)</f>
        <v>3402.04524282957</v>
      </c>
      <c r="N28" s="13" t="n">
        <f aca="false">SUMIF(MANUALES!$B$16:$B$69,$A28,MANUALES!T$16:T$69)+SUMIF(RODANTES!$B$16:$B$68,$A28,RODANTES!T$16:T$68)+SUMIF(RECARGAS!$B$16:$B$37,$A28,RECARGAS!AD$16:AD$37)+SUMIF(REVENDIDOS!$B$16:$B$25,$A28,REVENDIDOS!U$16:U$25)</f>
        <v>4372.89502910103</v>
      </c>
      <c r="O28" s="13" t="n">
        <f aca="false">SUMIF(MANUALES!$B$16:$B$69,$A28,MANUALES!U$16:U$69)+SUMIF(RODANTES!$B$16:$B$68,$A28,RODANTES!U$16:U$68)+SUMIF(RECARGAS!$B$16:$B$37,$A28,RECARGAS!AE$16:AE$37)+SUMIF(REVENDIDOS!$B$16:$B$25,$A28,REVENDIDOS!V$16:V$25)</f>
        <v>5413.45376036791</v>
      </c>
      <c r="P28" s="13" t="n">
        <f aca="false">SUMIF(MANUALES!$B$16:$B$69,$A28,MANUALES!V$16:V$69)+SUMIF(RODANTES!$B$16:$B$68,$A28,RODANTES!V$16:V$68)+SUMIF(RECARGAS!$B$16:$B$37,$A28,RECARGAS!AF$16:AF$37)+SUMIF(REVENDIDOS!$B$16:$B$25,$A28,REVENDIDOS!W$16:W$25)</f>
        <v>6306.18759282592</v>
      </c>
      <c r="Q28" s="13" t="n">
        <f aca="false">SUMIF(MANUALES!$B$16:$B$69,$A28,MANUALES!W$16:W$69)+SUMIF(RODANTES!$B$16:$B$68,$A28,RODANTES!W$16:W$68)+SUMIF(RECARGAS!$B$16:$B$37,$A28,RECARGAS!AG$16:AG$37)+SUMIF(REVENDIDOS!$B$16:$B$25,$A28,REVENDIDOS!X$16:X$25)</f>
        <v>7258.01224830379</v>
      </c>
      <c r="R28" s="13" t="n">
        <f aca="false">SUMIF(MANUALES!$B$16:$B$69,$A28,MANUALES!X$16:X$69)+SUMIF(RODANTES!$B$16:$B$68,$A28,RODANTES!X$16:X$68)+SUMIF(RECARGAS!$B$16:$B$37,$A28,RECARGAS!AH$16:AH$37)+SUMIF(REVENDIDOS!$B$16:$B$25,$A28,REVENDIDOS!Y$16:Y$25)</f>
        <v>653.221102347342</v>
      </c>
    </row>
    <row r="29" customFormat="false" ht="15" hidden="false" customHeight="false" outlineLevel="0" collapsed="false">
      <c r="A29" s="3" t="s">
        <v>425</v>
      </c>
      <c r="B29" s="3" t="s">
        <v>426</v>
      </c>
      <c r="C29" s="3" t="s">
        <v>214</v>
      </c>
      <c r="D29" s="13" t="n">
        <f aca="false">SUMIF(MANUALES!$B$16:$B$69,$A29,MANUALES!W$16:W$69)</f>
        <v>0</v>
      </c>
      <c r="E29" s="13" t="n">
        <f aca="false">SUMIF(RODANTES!$B$16:$B$68,$A29,RODANTES!W$16:W$68)</f>
        <v>3629.0061241519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SUMIF(MANUALES!$B$16:$B$69,$A29,MANUALES!N$16:N$69)+SUMIF(RODANTES!$B$16:$B$68,$A29,RODANTES!N$16:N$68)+SUMIF(RECARGAS!$B$16:$B$37,$A29,RECARGAS!X$16:X$37)+SUMIF(REVENDIDOS!$B$16:$B$25,$A29,REVENDIDOS!O$16:O$25)</f>
        <v>273.783901190071</v>
      </c>
      <c r="I29" s="13" t="n">
        <f aca="false">SUMIF(MANUALES!$B$16:$B$69,$A29,MANUALES!O$16:O$69)+SUMIF(RODANTES!$B$16:$B$68,$A29,RODANTES!O$16:O$68)+SUMIF(RECARGAS!$B$16:$B$37,$A29,RECARGAS!Y$16:Y$37)+SUMIF(REVENDIDOS!$B$16:$B$25,$A29,REVENDIDOS!P$16:P$25)</f>
        <v>469.135228444574</v>
      </c>
      <c r="J29" s="13" t="n">
        <f aca="false">SUMIF(MANUALES!$B$16:$B$69,$A29,MANUALES!P$16:P$69)+SUMIF(RODANTES!$B$16:$B$68,$A29,RODANTES!P$16:P$68)+SUMIF(RECARGAS!$B$16:$B$37,$A29,RECARGAS!Z$16:Z$37)+SUMIF(REVENDIDOS!$B$16:$B$25,$A29,REVENDIDOS!Q$16:Q$25)</f>
        <v>605.229202674184</v>
      </c>
      <c r="K29" s="13" t="n">
        <f aca="false">SUMIF(MANUALES!$B$16:$B$69,$A29,MANUALES!Q$16:Q$69)+SUMIF(RODANTES!$B$16:$B$68,$A29,RODANTES!Q$16:Q$68)+SUMIF(RECARGAS!$B$16:$B$37,$A29,RECARGAS!AA$16:AA$37)+SUMIF(REVENDIDOS!$B$16:$B$25,$A29,REVENDIDOS!R$16:R$25)</f>
        <v>808.655687685479</v>
      </c>
      <c r="L29" s="13" t="n">
        <f aca="false">SUMIF(MANUALES!$B$16:$B$69,$A29,MANUALES!R$16:R$69)+SUMIF(RODANTES!$B$16:$B$68,$A29,RODANTES!R$16:R$68)+SUMIF(RECARGAS!$B$16:$B$37,$A29,RECARGAS!AB$16:AB$37)+SUMIF(REVENDIDOS!$B$16:$B$25,$A29,REVENDIDOS!S$16:S$25)</f>
        <v>1252.31511285402</v>
      </c>
      <c r="M29" s="13" t="n">
        <f aca="false">SUMIF(MANUALES!$B$16:$B$69,$A29,MANUALES!S$16:S$69)+SUMIF(RODANTES!$B$16:$B$68,$A29,RODANTES!S$16:S$68)+SUMIF(RECARGAS!$B$16:$B$37,$A29,RECARGAS!AC$16:AC$37)+SUMIF(REVENDIDOS!$B$16:$B$25,$A29,REVENDIDOS!T$16:T$25)</f>
        <v>1701.02262141479</v>
      </c>
      <c r="N29" s="13" t="n">
        <f aca="false">SUMIF(MANUALES!$B$16:$B$69,$A29,MANUALES!T$16:T$69)+SUMIF(RODANTES!$B$16:$B$68,$A29,RODANTES!T$16:T$68)+SUMIF(RECARGAS!$B$16:$B$37,$A29,RECARGAS!AD$16:AD$37)+SUMIF(REVENDIDOS!$B$16:$B$25,$A29,REVENDIDOS!U$16:U$25)</f>
        <v>2186.44751455051</v>
      </c>
      <c r="O29" s="13" t="n">
        <f aca="false">SUMIF(MANUALES!$B$16:$B$69,$A29,MANUALES!U$16:U$69)+SUMIF(RODANTES!$B$16:$B$68,$A29,RODANTES!U$16:U$68)+SUMIF(RECARGAS!$B$16:$B$37,$A29,RECARGAS!AE$16:AE$37)+SUMIF(REVENDIDOS!$B$16:$B$25,$A29,REVENDIDOS!V$16:V$25)</f>
        <v>2706.72688018395</v>
      </c>
      <c r="P29" s="13" t="n">
        <f aca="false">SUMIF(MANUALES!$B$16:$B$69,$A29,MANUALES!V$16:V$69)+SUMIF(RODANTES!$B$16:$B$68,$A29,RODANTES!V$16:V$68)+SUMIF(RECARGAS!$B$16:$B$37,$A29,RECARGAS!AF$16:AF$37)+SUMIF(REVENDIDOS!$B$16:$B$25,$A29,REVENDIDOS!W$16:W$25)</f>
        <v>3153.09379641296</v>
      </c>
      <c r="Q29" s="13" t="n">
        <f aca="false">SUMIF(MANUALES!$B$16:$B$69,$A29,MANUALES!W$16:W$69)+SUMIF(RODANTES!$B$16:$B$68,$A29,RODANTES!W$16:W$68)+SUMIF(RECARGAS!$B$16:$B$37,$A29,RECARGAS!AG$16:AG$37)+SUMIF(REVENDIDOS!$B$16:$B$25,$A29,REVENDIDOS!X$16:X$25)</f>
        <v>3629.0061241519</v>
      </c>
      <c r="R29" s="13" t="n">
        <f aca="false">SUMIF(MANUALES!$B$16:$B$69,$A29,MANUALES!X$16:X$69)+SUMIF(RODANTES!$B$16:$B$68,$A29,RODANTES!X$16:X$68)+SUMIF(RECARGAS!$B$16:$B$37,$A29,RECARGAS!AH$16:AH$37)+SUMIF(REVENDIDOS!$B$16:$B$25,$A29,REVENDIDOS!Y$16:Y$25)</f>
        <v>326.610551173671</v>
      </c>
    </row>
    <row r="30" customFormat="false" ht="15" hidden="false" customHeight="false" outlineLevel="0" collapsed="false">
      <c r="A30" s="3" t="s">
        <v>428</v>
      </c>
      <c r="B30" s="3" t="s">
        <v>429</v>
      </c>
      <c r="C30" s="3" t="s">
        <v>214</v>
      </c>
      <c r="D30" s="13" t="n">
        <f aca="false">SUMIF(MANUALES!$B$16:$B$69,$A30,MANUALES!W$16:W$69)</f>
        <v>0</v>
      </c>
      <c r="E30" s="13" t="n">
        <f aca="false">SUMIF(RODANTES!$B$16:$B$68,$A30,RODANTES!W$16:W$68)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SUMIF(MANUALES!$B$16:$B$69,$A30,MANUALES!N$16:N$69)+SUMIF(RODANTES!$B$16:$B$68,$A30,RODANTES!N$16:N$68)+SUMIF(RECARGAS!$B$16:$B$37,$A30,RECARGAS!X$16:X$37)+SUMIF(REVENDIDOS!$B$16:$B$25,$A30,REVENDIDOS!O$16:O$25)</f>
        <v>68.10358272</v>
      </c>
      <c r="I30" s="13" t="n">
        <f aca="false">SUMIF(MANUALES!$B$16:$B$69,$A30,MANUALES!O$16:O$69)+SUMIF(RODANTES!$B$16:$B$68,$A30,RODANTES!O$16:O$68)+SUMIF(RECARGAS!$B$16:$B$37,$A30,RECARGAS!Y$16:Y$37)+SUMIF(REVENDIDOS!$B$16:$B$25,$A30,REVENDIDOS!P$16:P$25)</f>
        <v>116.9242949</v>
      </c>
      <c r="J30" s="13" t="n">
        <f aca="false">SUMIF(MANUALES!$B$16:$B$69,$A30,MANUALES!P$16:P$69)+SUMIF(RODANTES!$B$16:$B$68,$A30,RODANTES!P$16:P$68)+SUMIF(RECARGAS!$B$16:$B$37,$A30,RECARGAS!Z$16:Z$37)+SUMIF(REVENDIDOS!$B$16:$B$25,$A30,REVENDIDOS!Q$16:Q$25)</f>
        <v>150.41707996</v>
      </c>
      <c r="K30" s="13" t="n">
        <f aca="false">SUMIF(MANUALES!$B$16:$B$69,$A30,MANUALES!Q$16:Q$69)+SUMIF(RODANTES!$B$16:$B$68,$A30,RODANTES!Q$16:Q$68)+SUMIF(RECARGAS!$B$16:$B$37,$A30,RECARGAS!AA$16:AA$37)+SUMIF(REVENDIDOS!$B$16:$B$25,$A30,REVENDIDOS!R$16:R$25)</f>
        <v>201.0597058</v>
      </c>
      <c r="L30" s="13" t="n">
        <f aca="false">SUMIF(MANUALES!$B$16:$B$69,$A30,MANUALES!R$16:R$69)+SUMIF(RODANTES!$B$16:$B$68,$A30,RODANTES!R$16:R$68)+SUMIF(RECARGAS!$B$16:$B$37,$A30,RECARGAS!AB$16:AB$37)+SUMIF(REVENDIDOS!$B$16:$B$25,$A30,REVENDIDOS!S$16:S$25)</f>
        <v>311.752007</v>
      </c>
      <c r="M30" s="13" t="n">
        <f aca="false">SUMIF(MANUALES!$B$16:$B$69,$A30,MANUALES!S$16:S$69)+SUMIF(RODANTES!$B$16:$B$68,$A30,RODANTES!S$16:S$68)+SUMIF(RECARGAS!$B$16:$B$37,$A30,RECARGAS!AC$16:AC$37)+SUMIF(REVENDIDOS!$B$16:$B$25,$A30,REVENDIDOS!T$16:T$25)</f>
        <v>423.8689654</v>
      </c>
      <c r="N30" s="13" t="n">
        <f aca="false">SUMIF(MANUALES!$B$16:$B$69,$A30,MANUALES!T$16:T$69)+SUMIF(RODANTES!$B$16:$B$68,$A30,RODANTES!T$16:T$68)+SUMIF(RECARGAS!$B$16:$B$37,$A30,RECARGAS!AD$16:AD$37)+SUMIF(REVENDIDOS!$B$16:$B$25,$A30,REVENDIDOS!U$16:U$25)</f>
        <v>545.3364664</v>
      </c>
      <c r="O30" s="13" t="n">
        <f aca="false">SUMIF(MANUALES!$B$16:$B$69,$A30,MANUALES!U$16:U$69)+SUMIF(RODANTES!$B$16:$B$68,$A30,RODANTES!U$16:U$68)+SUMIF(RECARGAS!$B$16:$B$37,$A30,RECARGAS!AE$16:AE$37)+SUMIF(REVENDIDOS!$B$16:$B$25,$A30,REVENDIDOS!V$16:V$25)</f>
        <v>675.6973414</v>
      </c>
      <c r="P30" s="13" t="n">
        <f aca="false">SUMIF(MANUALES!$B$16:$B$69,$A30,MANUALES!V$16:V$69)+SUMIF(RODANTES!$B$16:$B$68,$A30,RODANTES!V$16:V$68)+SUMIF(RECARGAS!$B$16:$B$37,$A30,RECARGAS!AF$16:AF$37)+SUMIF(REVENDIDOS!$B$16:$B$25,$A30,REVENDIDOS!W$16:W$25)</f>
        <v>787.2548312</v>
      </c>
      <c r="Q30" s="13" t="n">
        <f aca="false">SUMIF(MANUALES!$B$16:$B$69,$A30,MANUALES!W$16:W$69)+SUMIF(RODANTES!$B$16:$B$68,$A30,RODANTES!W$16:W$68)+SUMIF(RECARGAS!$B$16:$B$37,$A30,RECARGAS!AG$16:AG$37)+SUMIF(REVENDIDOS!$B$16:$B$25,$A30,REVENDIDOS!X$16:X$25)</f>
        <v>906.5410664</v>
      </c>
      <c r="R30" s="13" t="n">
        <f aca="false">SUMIF(MANUALES!$B$16:$B$69,$A30,MANUALES!X$16:X$69)+SUMIF(RODANTES!$B$16:$B$68,$A30,RODANTES!X$16:X$68)+SUMIF(RECARGAS!$B$16:$B$37,$A30,RECARGAS!AH$16:AH$37)+SUMIF(REVENDIDOS!$B$16:$B$25,$A30,REVENDIDOS!Y$16:Y$25)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431</v>
      </c>
      <c r="B31" s="3" t="s">
        <v>432</v>
      </c>
      <c r="C31" s="3" t="s">
        <v>214</v>
      </c>
      <c r="D31" s="13" t="n">
        <f aca="false">SUMIF(MANUALES!$B$16:$B$69,$A31,MANUALES!W$16:W$69)</f>
        <v>0</v>
      </c>
      <c r="E31" s="13" t="n">
        <f aca="false">SUMIF(RODANTES!$B$16:$B$68,$A31,RODANTES!W$16:W$68)</f>
        <v>1996.92405123663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SUMIF(MANUALES!$B$16:$B$69,$A31,MANUALES!N$16:N$69)+SUMIF(RODANTES!$B$16:$B$68,$A31,RODANTES!N$16:N$68)+SUMIF(RECARGAS!$B$16:$B$37,$A31,RECARGAS!X$16:X$37)+SUMIF(REVENDIDOS!$B$16:$B$25,$A31,REVENDIDOS!O$16:O$25)</f>
        <v>150.512667145035</v>
      </c>
      <c r="I31" s="13" t="n">
        <f aca="false">SUMIF(MANUALES!$B$16:$B$69,$A31,MANUALES!O$16:O$69)+SUMIF(RODANTES!$B$16:$B$68,$A31,RODANTES!O$16:O$68)+SUMIF(RECARGAS!$B$16:$B$37,$A31,RECARGAS!Y$16:Y$37)+SUMIF(REVENDIDOS!$B$16:$B$25,$A31,REVENDIDOS!P$16:P$25)</f>
        <v>258.637258347323</v>
      </c>
      <c r="J31" s="13" t="n">
        <f aca="false">SUMIF(MANUALES!$B$16:$B$69,$A31,MANUALES!P$16:P$69)+SUMIF(RODANTES!$B$16:$B$68,$A31,RODANTES!P$16:P$68)+SUMIF(RECARGAS!$B$16:$B$37,$A31,RECARGAS!Z$16:Z$37)+SUMIF(REVENDIDOS!$B$16:$B$25,$A31,REVENDIDOS!Q$16:Q$25)</f>
        <v>333.759434351897</v>
      </c>
      <c r="K31" s="13" t="n">
        <f aca="false">SUMIF(MANUALES!$B$16:$B$69,$A31,MANUALES!Q$16:Q$69)+SUMIF(RODANTES!$B$16:$B$68,$A31,RODANTES!Q$16:Q$68)+SUMIF(RECARGAS!$B$16:$B$37,$A31,RECARGAS!AA$16:AA$37)+SUMIF(REVENDIDOS!$B$16:$B$25,$A31,REVENDIDOS!R$16:R$25)</f>
        <v>445.99495352594</v>
      </c>
      <c r="L31" s="13" t="n">
        <f aca="false">SUMIF(MANUALES!$B$16:$B$69,$A31,MANUALES!R$16:R$69)+SUMIF(RODANTES!$B$16:$B$68,$A31,RODANTES!R$16:R$68)+SUMIF(RECARGAS!$B$16:$B$37,$A31,RECARGAS!AB$16:AB$37)+SUMIF(REVENDIDOS!$B$16:$B$25,$A31,REVENDIDOS!S$16:S$25)</f>
        <v>689.689212212198</v>
      </c>
      <c r="M31" s="13" t="n">
        <f aca="false">SUMIF(MANUALES!$B$16:$B$69,$A31,MANUALES!S$16:S$69)+SUMIF(RODANTES!$B$16:$B$68,$A31,RODANTES!S$16:S$68)+SUMIF(RECARGAS!$B$16:$B$37,$A31,RECARGAS!AC$16:AC$37)+SUMIF(REVENDIDOS!$B$16:$B$25,$A31,REVENDIDOS!T$16:T$25)</f>
        <v>937.202502243493</v>
      </c>
      <c r="N31" s="13" t="n">
        <f aca="false">SUMIF(MANUALES!$B$16:$B$69,$A31,MANUALES!T$16:T$69)+SUMIF(RODANTES!$B$16:$B$68,$A31,RODANTES!T$16:T$68)+SUMIF(RECARGAS!$B$16:$B$37,$A31,RECARGAS!AD$16:AD$37)+SUMIF(REVENDIDOS!$B$16:$B$25,$A31,REVENDIDOS!U$16:U$25)</f>
        <v>1203.95165444197</v>
      </c>
      <c r="O31" s="13" t="n">
        <f aca="false">SUMIF(MANUALES!$B$16:$B$69,$A31,MANUALES!U$16:U$69)+SUMIF(RODANTES!$B$16:$B$68,$A31,RODANTES!U$16:U$68)+SUMIF(RECARGAS!$B$16:$B$37,$A31,RECARGAS!AE$16:AE$37)+SUMIF(REVENDIDOS!$B$16:$B$25,$A31,REVENDIDOS!V$16:V$25)</f>
        <v>1489.54720583816</v>
      </c>
      <c r="P31" s="13" t="n">
        <f aca="false">SUMIF(MANUALES!$B$16:$B$69,$A31,MANUALES!V$16:V$69)+SUMIF(RODANTES!$B$16:$B$68,$A31,RODANTES!V$16:V$68)+SUMIF(RECARGAS!$B$16:$B$37,$A31,RECARGAS!AF$16:AF$37)+SUMIF(REVENDIDOS!$B$16:$B$25,$A31,REVENDIDOS!W$16:W$25)</f>
        <v>1735.07640100991</v>
      </c>
      <c r="Q31" s="13" t="n">
        <f aca="false">SUMIF(MANUALES!$B$16:$B$69,$A31,MANUALES!W$16:W$69)+SUMIF(RODANTES!$B$16:$B$68,$A31,RODANTES!W$16:W$68)+SUMIF(RECARGAS!$B$16:$B$37,$A31,RECARGAS!AG$16:AG$37)+SUMIF(REVENDIDOS!$B$16:$B$25,$A31,REVENDIDOS!X$16:X$25)</f>
        <v>1996.92405123663</v>
      </c>
      <c r="R31" s="13" t="n">
        <f aca="false">SUMIF(MANUALES!$B$16:$B$69,$A31,MANUALES!X$16:X$69)+SUMIF(RODANTES!$B$16:$B$68,$A31,RODANTES!X$16:X$68)+SUMIF(RECARGAS!$B$16:$B$37,$A31,RECARGAS!AH$16:AH$37)+SUMIF(REVENDIDOS!$B$16:$B$25,$A31,REVENDIDOS!Y$16:Y$25)</f>
        <v>179.723164611297</v>
      </c>
    </row>
    <row r="32" customFormat="false" ht="15" hidden="false" customHeight="false" outlineLevel="0" collapsed="false">
      <c r="A32" s="3" t="s">
        <v>434</v>
      </c>
      <c r="B32" s="3" t="s">
        <v>435</v>
      </c>
      <c r="C32" s="3" t="s">
        <v>214</v>
      </c>
      <c r="D32" s="13" t="n">
        <f aca="false">SUMIF(MANUALES!$B$16:$B$69,$A32,MANUALES!W$16:W$69)</f>
        <v>0</v>
      </c>
      <c r="E32" s="13" t="n">
        <f aca="false">SUMIF(RODANTES!$B$16:$B$68,$A32,RODANTES!W$16:W$68)</f>
        <v>725.541006515266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SUMIF(MANUALES!$B$16:$B$69,$A32,MANUALES!N$16:N$69)+SUMIF(RODANTES!$B$16:$B$68,$A32,RODANTES!N$16:N$68)+SUMIF(RECARGAS!$B$16:$B$37,$A32,RECARGAS!X$16:X$37)+SUMIF(REVENDIDOS!$B$16:$B$25,$A32,REVENDIDOS!O$16:O$25)</f>
        <v>55.1676513250354</v>
      </c>
      <c r="I32" s="13" t="n">
        <f aca="false">SUMIF(MANUALES!$B$16:$B$69,$A32,MANUALES!O$16:O$69)+SUMIF(RODANTES!$B$16:$B$68,$A32,RODANTES!O$16:O$68)+SUMIF(RECARGAS!$B$16:$B$37,$A32,RECARGAS!Y$16:Y$37)+SUMIF(REVENDIDOS!$B$16:$B$25,$A32,REVENDIDOS!P$16:P$25)</f>
        <v>93.5736751972518</v>
      </c>
      <c r="J32" s="13" t="n">
        <f aca="false">SUMIF(MANUALES!$B$16:$B$69,$A32,MANUALES!P$16:P$69)+SUMIF(RODANTES!$B$16:$B$68,$A32,RODANTES!P$16:P$68)+SUMIF(RECARGAS!$B$16:$B$37,$A32,RECARGAS!Z$16:Z$37)+SUMIF(REVENDIDOS!$B$16:$B$25,$A32,REVENDIDOS!Q$16:Q$25)</f>
        <v>121.052688362287</v>
      </c>
      <c r="K32" s="13" t="n">
        <f aca="false">SUMIF(MANUALES!$B$16:$B$69,$A32,MANUALES!Q$16:Q$69)+SUMIF(RODANTES!$B$16:$B$68,$A32,RODANTES!Q$16:Q$68)+SUMIF(RECARGAS!$B$16:$B$37,$A32,RECARGAS!AA$16:AA$37)+SUMIF(REVENDIDOS!$B$16:$B$25,$A32,REVENDIDOS!R$16:R$25)</f>
        <v>161.601028359539</v>
      </c>
      <c r="L32" s="13" t="n">
        <f aca="false">SUMIF(MANUALES!$B$16:$B$69,$A32,MANUALES!R$16:R$69)+SUMIF(RODANTES!$B$16:$B$68,$A32,RODANTES!R$16:R$68)+SUMIF(RECARGAS!$B$16:$B$37,$A32,RECARGAS!AB$16:AB$37)+SUMIF(REVENDIDOS!$B$16:$B$25,$A32,REVENDIDOS!S$16:S$25)</f>
        <v>250.873893641826</v>
      </c>
      <c r="M32" s="13" t="n">
        <f aca="false">SUMIF(MANUALES!$B$16:$B$69,$A32,MANUALES!S$16:S$69)+SUMIF(RODANTES!$B$16:$B$68,$A32,RODANTES!S$16:S$68)+SUMIF(RECARGAS!$B$16:$B$37,$A32,RECARGAS!AC$16:AC$37)+SUMIF(REVENDIDOS!$B$16:$B$25,$A32,REVENDIDOS!T$16:T$25)</f>
        <v>339.951153771294</v>
      </c>
      <c r="N32" s="13" t="n">
        <f aca="false">SUMIF(MANUALES!$B$16:$B$69,$A32,MANUALES!T$16:T$69)+SUMIF(RODANTES!$B$16:$B$68,$A32,RODANTES!T$16:T$68)+SUMIF(RECARGAS!$B$16:$B$37,$A32,RECARGAS!AD$16:AD$37)+SUMIF(REVENDIDOS!$B$16:$B$25,$A32,REVENDIDOS!U$16:U$25)</f>
        <v>437.159393708546</v>
      </c>
      <c r="O32" s="13" t="n">
        <f aca="false">SUMIF(MANUALES!$B$16:$B$69,$A32,MANUALES!U$16:U$69)+SUMIF(RODANTES!$B$16:$B$68,$A32,RODANTES!U$16:U$68)+SUMIF(RECARGAS!$B$16:$B$37,$A32,RECARGAS!AE$16:AE$37)+SUMIF(REVENDIDOS!$B$16:$B$25,$A32,REVENDIDOS!V$16:V$25)</f>
        <v>541.482332945798</v>
      </c>
      <c r="P32" s="13" t="n">
        <f aca="false">SUMIF(MANUALES!$B$16:$B$69,$A32,MANUALES!V$16:V$69)+SUMIF(RODANTES!$B$16:$B$68,$A32,RODANTES!V$16:V$68)+SUMIF(RECARGAS!$B$16:$B$37,$A32,RECARGAS!AF$16:AF$37)+SUMIF(REVENDIDOS!$B$16:$B$25,$A32,REVENDIDOS!W$16:W$25)</f>
        <v>630.76256420305</v>
      </c>
      <c r="Q32" s="13" t="n">
        <f aca="false">SUMIF(MANUALES!$B$16:$B$69,$A32,MANUALES!W$16:W$69)+SUMIF(RODANTES!$B$16:$B$68,$A32,RODANTES!W$16:W$68)+SUMIF(RECARGAS!$B$16:$B$37,$A32,RECARGAS!AG$16:AG$37)+SUMIF(REVENDIDOS!$B$16:$B$25,$A32,REVENDIDOS!X$16:X$25)</f>
        <v>725.541006515266</v>
      </c>
      <c r="R32" s="13" t="n">
        <f aca="false">SUMIF(MANUALES!$B$16:$B$69,$A32,MANUALES!X$16:X$69)+SUMIF(RODANTES!$B$16:$B$68,$A32,RODANTES!X$16:X$68)+SUMIF(RECARGAS!$B$16:$B$37,$A32,RECARGAS!AH$16:AH$37)+SUMIF(REVENDIDOS!$B$16:$B$25,$A32,REVENDIDOS!Y$16:Y$25)</f>
        <v>65.2986905863739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SUMIF(MANUALES!$B$16:$B$69,$A33,MANUALES!W$16:W$69)</f>
        <v>6044.21972398961</v>
      </c>
      <c r="E33" s="13" t="n">
        <f aca="false">SUMIF(RODANTES!$B$16:$B$68,$A33,RODANTES!W$16:W$68)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SUMIF(MANUALES!$B$16:$B$69,$A33,MANUALES!N$16:N$69)+SUMIF(RODANTES!$B$16:$B$68,$A33,RODANTES!N$16:N$68)+SUMIF(RECARGAS!$B$16:$B$37,$A33,RECARGAS!X$16:X$37)+SUMIF(REVENDIDOS!$B$16:$B$25,$A33,REVENDIDOS!O$16:O$25)</f>
        <v>176.217763686105</v>
      </c>
      <c r="I33" s="13" t="n">
        <f aca="false">SUMIF(MANUALES!$B$16:$B$69,$A33,MANUALES!O$16:O$69)+SUMIF(RODANTES!$B$16:$B$68,$A33,RODANTES!O$16:O$68)+SUMIF(RECARGAS!$B$16:$B$37,$A33,RECARGAS!Y$16:Y$37)+SUMIF(REVENDIDOS!$B$16:$B$25,$A33,REVENDIDOS!P$16:P$25)</f>
        <v>321.796195873664</v>
      </c>
      <c r="J33" s="13" t="n">
        <f aca="false">SUMIF(MANUALES!$B$16:$B$69,$A33,MANUALES!P$16:P$69)+SUMIF(RODANTES!$B$16:$B$68,$A33,RODANTES!P$16:P$68)+SUMIF(RECARGAS!$B$16:$B$37,$A33,RECARGAS!Z$16:Z$37)+SUMIF(REVENDIDOS!$B$16:$B$25,$A33,REVENDIDOS!Q$16:Q$25)</f>
        <v>592.258899324069</v>
      </c>
      <c r="K33" s="13" t="n">
        <f aca="false">SUMIF(MANUALES!$B$16:$B$69,$A33,MANUALES!Q$16:Q$69)+SUMIF(RODANTES!$B$16:$B$68,$A33,RODANTES!Q$16:Q$68)+SUMIF(RECARGAS!$B$16:$B$37,$A33,RECARGAS!AA$16:AA$37)+SUMIF(REVENDIDOS!$B$16:$B$25,$A33,REVENDIDOS!R$16:R$25)</f>
        <v>1208.69211250053</v>
      </c>
      <c r="L33" s="13" t="n">
        <f aca="false">SUMIF(MANUALES!$B$16:$B$69,$A33,MANUALES!R$16:R$69)+SUMIF(RODANTES!$B$16:$B$68,$A33,RODANTES!R$16:R$68)+SUMIF(RECARGAS!$B$16:$B$37,$A33,RECARGAS!AB$16:AB$37)+SUMIF(REVENDIDOS!$B$16:$B$25,$A33,REVENDIDOS!S$16:S$25)</f>
        <v>1999.00497499609</v>
      </c>
      <c r="M33" s="13" t="n">
        <f aca="false">SUMIF(MANUALES!$B$16:$B$69,$A33,MANUALES!S$16:S$69)+SUMIF(RODANTES!$B$16:$B$68,$A33,RODANTES!S$16:S$68)+SUMIF(RECARGAS!$B$16:$B$37,$A33,RECARGAS!AC$16:AC$37)+SUMIF(REVENDIDOS!$B$16:$B$25,$A33,REVENDIDOS!T$16:T$25)</f>
        <v>2769.80948340059</v>
      </c>
      <c r="N33" s="13" t="n">
        <f aca="false">SUMIF(MANUALES!$B$16:$B$69,$A33,MANUALES!T$16:T$69)+SUMIF(RODANTES!$B$16:$B$68,$A33,RODANTES!T$16:T$68)+SUMIF(RECARGAS!$B$16:$B$37,$A33,RECARGAS!AD$16:AD$37)+SUMIF(REVENDIDOS!$B$16:$B$25,$A33,REVENDIDOS!U$16:U$25)</f>
        <v>3727.31828910953</v>
      </c>
      <c r="O33" s="13" t="n">
        <f aca="false">SUMIF(MANUALES!$B$16:$B$69,$A33,MANUALES!U$16:U$69)+SUMIF(RODANTES!$B$16:$B$68,$A33,RODANTES!U$16:U$68)+SUMIF(RECARGAS!$B$16:$B$37,$A33,RECARGAS!AE$16:AE$37)+SUMIF(REVENDIDOS!$B$16:$B$25,$A33,REVENDIDOS!V$16:V$25)</f>
        <v>4671.71601939238</v>
      </c>
      <c r="P33" s="13" t="n">
        <f aca="false">SUMIF(MANUALES!$B$16:$B$69,$A33,MANUALES!V$16:V$69)+SUMIF(RODANTES!$B$16:$B$68,$A33,RODANTES!V$16:V$68)+SUMIF(RECARGAS!$B$16:$B$37,$A33,RECARGAS!AF$16:AF$37)+SUMIF(REVENDIDOS!$B$16:$B$25,$A33,REVENDIDOS!W$16:W$25)</f>
        <v>5238.7340583074</v>
      </c>
      <c r="Q33" s="13" t="n">
        <f aca="false">SUMIF(MANUALES!$B$16:$B$69,$A33,MANUALES!W$16:W$69)+SUMIF(RODANTES!$B$16:$B$68,$A33,RODANTES!W$16:W$68)+SUMIF(RECARGAS!$B$16:$B$37,$A33,RECARGAS!AG$16:AG$37)+SUMIF(REVENDIDOS!$B$16:$B$25,$A33,REVENDIDOS!X$16:X$25)</f>
        <v>6044.21972398961</v>
      </c>
      <c r="R33" s="13" t="n">
        <f aca="false">SUMIF(MANUALES!$B$16:$B$69,$A33,MANUALES!X$16:X$69)+SUMIF(RODANTES!$B$16:$B$68,$A33,RODANTES!X$16:X$68)+SUMIF(RECARGAS!$B$16:$B$37,$A33,RECARGAS!AH$16:AH$37)+SUMIF(REVENDIDOS!$B$16:$B$25,$A33,REVENDIDOS!Y$16:Y$25)</f>
        <v>695.237003444444</v>
      </c>
    </row>
    <row r="34" customFormat="false" ht="15" hidden="false" customHeight="false" outlineLevel="0" collapsed="false">
      <c r="A34" s="3" t="s">
        <v>387</v>
      </c>
      <c r="B34" s="3" t="s">
        <v>388</v>
      </c>
      <c r="C34" s="3" t="s">
        <v>192</v>
      </c>
      <c r="D34" s="13" t="n">
        <f aca="false">SUMIF(MANUALES!$B$16:$B$69,$A34,MANUALES!W$16:W$69)</f>
        <v>0</v>
      </c>
      <c r="E34" s="13" t="n">
        <f aca="false">SUMIF(RODANTES!$B$16:$B$68,$A34,RODANTES!W$16:W$68)</f>
        <v>1388.30644664223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SUMIF(MANUALES!$B$16:$B$69,$A34,MANUALES!N$16:N$69)+SUMIF(RODANTES!$B$16:$B$68,$A34,RODANTES!N$16:N$68)+SUMIF(RECARGAS!$B$16:$B$37,$A34,RECARGAS!X$16:X$37)+SUMIF(REVENDIDOS!$B$16:$B$25,$A34,REVENDIDOS!O$16:O$25)</f>
        <v>70.2084333658615</v>
      </c>
      <c r="I34" s="13" t="n">
        <f aca="false">SUMIF(MANUALES!$B$16:$B$69,$A34,MANUALES!O$16:O$69)+SUMIF(RODANTES!$B$16:$B$68,$A34,RODANTES!O$16:O$68)+SUMIF(RECARGAS!$B$16:$B$37,$A34,RECARGAS!Y$16:Y$37)+SUMIF(REVENDIDOS!$B$16:$B$25,$A34,REVENDIDOS!P$16:P$25)</f>
        <v>120.093938141435</v>
      </c>
      <c r="J34" s="13" t="n">
        <f aca="false">SUMIF(MANUALES!$B$16:$B$69,$A34,MANUALES!P$16:P$69)+SUMIF(RODANTES!$B$16:$B$68,$A34,RODANTES!P$16:P$68)+SUMIF(RECARGAS!$B$16:$B$37,$A34,RECARGAS!Z$16:Z$37)+SUMIF(REVENDIDOS!$B$16:$B$25,$A34,REVENDIDOS!Q$16:Q$25)</f>
        <v>175.655464307038</v>
      </c>
      <c r="K34" s="13" t="n">
        <f aca="false">SUMIF(MANUALES!$B$16:$B$69,$A34,MANUALES!Q$16:Q$69)+SUMIF(RODANTES!$B$16:$B$68,$A34,RODANTES!Q$16:Q$68)+SUMIF(RECARGAS!$B$16:$B$37,$A34,RECARGAS!AA$16:AA$37)+SUMIF(REVENDIDOS!$B$16:$B$25,$A34,REVENDIDOS!R$16:R$25)</f>
        <v>278.991590819431</v>
      </c>
      <c r="L34" s="13" t="n">
        <f aca="false">SUMIF(MANUALES!$B$16:$B$69,$A34,MANUALES!R$16:R$69)+SUMIF(RODANTES!$B$16:$B$68,$A34,RODANTES!R$16:R$68)+SUMIF(RECARGAS!$B$16:$B$37,$A34,RECARGAS!AB$16:AB$37)+SUMIF(REVENDIDOS!$B$16:$B$25,$A34,REVENDIDOS!S$16:S$25)</f>
        <v>453.9785257319</v>
      </c>
      <c r="M34" s="13" t="n">
        <f aca="false">SUMIF(MANUALES!$B$16:$B$69,$A34,MANUALES!S$16:S$69)+SUMIF(RODANTES!$B$16:$B$68,$A34,RODANTES!S$16:S$68)+SUMIF(RECARGAS!$B$16:$B$37,$A34,RECARGAS!AC$16:AC$37)+SUMIF(REVENDIDOS!$B$16:$B$25,$A34,REVENDIDOS!T$16:T$25)</f>
        <v>628.552670214907</v>
      </c>
      <c r="N34" s="13" t="n">
        <f aca="false">SUMIF(MANUALES!$B$16:$B$69,$A34,MANUALES!T$16:T$69)+SUMIF(RODANTES!$B$16:$B$68,$A34,RODANTES!T$16:T$68)+SUMIF(RECARGAS!$B$16:$B$37,$A34,RECARGAS!AD$16:AD$37)+SUMIF(REVENDIDOS!$B$16:$B$25,$A34,REVENDIDOS!U$16:U$25)</f>
        <v>832.542028293946</v>
      </c>
      <c r="O34" s="13" t="n">
        <f aca="false">SUMIF(MANUALES!$B$16:$B$69,$A34,MANUALES!U$16:U$69)+SUMIF(RODANTES!$B$16:$B$68,$A34,RODANTES!U$16:U$68)+SUMIF(RECARGAS!$B$16:$B$37,$A34,RECARGAS!AE$16:AE$37)+SUMIF(REVENDIDOS!$B$16:$B$25,$A34,REVENDIDOS!V$16:V$25)</f>
        <v>1045.48110122549</v>
      </c>
      <c r="P34" s="13" t="n">
        <f aca="false">SUMIF(MANUALES!$B$16:$B$69,$A34,MANUALES!V$16:V$69)+SUMIF(RODANTES!$B$16:$B$68,$A34,RODANTES!V$16:V$68)+SUMIF(RECARGAS!$B$16:$B$37,$A34,RECARGAS!AF$16:AF$37)+SUMIF(REVENDIDOS!$B$16:$B$25,$A34,REVENDIDOS!W$16:W$25)</f>
        <v>1202.48569876398</v>
      </c>
      <c r="Q34" s="13" t="n">
        <f aca="false">SUMIF(MANUALES!$B$16:$B$69,$A34,MANUALES!W$16:W$69)+SUMIF(RODANTES!$B$16:$B$68,$A34,RODANTES!W$16:W$68)+SUMIF(RECARGAS!$B$16:$B$37,$A34,RECARGAS!AG$16:AG$37)+SUMIF(REVENDIDOS!$B$16:$B$25,$A34,REVENDIDOS!X$16:X$25)</f>
        <v>1388.30644664223</v>
      </c>
      <c r="R34" s="13" t="n">
        <f aca="false">SUMIF(MANUALES!$B$16:$B$69,$A34,MANUALES!X$16:X$69)+SUMIF(RODANTES!$B$16:$B$68,$A34,RODANTES!X$16:X$68)+SUMIF(RECARGAS!$B$16:$B$37,$A34,RECARGAS!AH$16:AH$37)+SUMIF(REVENDIDOS!$B$16:$B$25,$A34,REVENDIDOS!Y$16:Y$25)</f>
        <v>124.947580197801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SUMIF(MANUALES!$B$16:$B$69,$A35,MANUALES!W$16:W$69)</f>
        <v>7465.2691203826</v>
      </c>
      <c r="E35" s="13" t="n">
        <f aca="false">SUMIF(RODANTES!$B$16:$B$68,$A35,RODANTES!W$16:W$68)</f>
        <v>560.518138296411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SUMIF(MANUALES!$B$16:$B$69,$A35,MANUALES!N$16:N$69)+SUMIF(RODANTES!$B$16:$B$68,$A35,RODANTES!N$16:N$68)+SUMIF(RECARGAS!$B$16:$B$37,$A35,RECARGAS!X$16:X$37)+SUMIF(REVENDIDOS!$B$16:$B$25,$A35,REVENDIDOS!O$16:O$25)</f>
        <v>248.070414666905</v>
      </c>
      <c r="I35" s="13" t="n">
        <f aca="false">SUMIF(MANUALES!$B$16:$B$69,$A35,MANUALES!O$16:O$69)+SUMIF(RODANTES!$B$16:$B$68,$A35,RODANTES!O$16:O$68)+SUMIF(RECARGAS!$B$16:$B$37,$A35,RECARGAS!Y$16:Y$37)+SUMIF(REVENDIDOS!$B$16:$B$25,$A35,REVENDIDOS!P$16:P$25)</f>
        <v>449.530673894673</v>
      </c>
      <c r="J35" s="13" t="n">
        <f aca="false">SUMIF(MANUALES!$B$16:$B$69,$A35,MANUALES!P$16:P$69)+SUMIF(RODANTES!$B$16:$B$68,$A35,RODANTES!P$16:P$68)+SUMIF(RECARGAS!$B$16:$B$37,$A35,RECARGAS!Z$16:Z$37)+SUMIF(REVENDIDOS!$B$16:$B$25,$A35,REVENDIDOS!Q$16:Q$25)</f>
        <v>805.789883039141</v>
      </c>
      <c r="K35" s="13" t="n">
        <f aca="false">SUMIF(MANUALES!$B$16:$B$69,$A35,MANUALES!Q$16:Q$69)+SUMIF(RODANTES!$B$16:$B$68,$A35,RODANTES!Q$16:Q$68)+SUMIF(RECARGAS!$B$16:$B$37,$A35,RECARGAS!AA$16:AA$37)+SUMIF(REVENDIDOS!$B$16:$B$25,$A35,REVENDIDOS!R$16:R$25)</f>
        <v>1607.3236421375</v>
      </c>
      <c r="L35" s="13" t="n">
        <f aca="false">SUMIF(MANUALES!$B$16:$B$69,$A35,MANUALES!R$16:R$69)+SUMIF(RODANTES!$B$16:$B$68,$A35,RODANTES!R$16:R$68)+SUMIF(RECARGAS!$B$16:$B$37,$A35,RECARGAS!AB$16:AB$37)+SUMIF(REVENDIDOS!$B$16:$B$25,$A35,REVENDIDOS!S$16:S$25)</f>
        <v>2653.75699866356</v>
      </c>
      <c r="M35" s="13" t="n">
        <f aca="false">SUMIF(MANUALES!$B$16:$B$69,$A35,MANUALES!S$16:S$69)+SUMIF(RODANTES!$B$16:$B$68,$A35,RODANTES!S$16:S$68)+SUMIF(RECARGAS!$B$16:$B$37,$A35,RECARGAS!AC$16:AC$37)+SUMIF(REVENDIDOS!$B$16:$B$25,$A35,REVENDIDOS!T$16:T$25)</f>
        <v>3676.11099592406</v>
      </c>
      <c r="N35" s="13" t="n">
        <f aca="false">SUMIF(MANUALES!$B$16:$B$69,$A35,MANUALES!T$16:T$69)+SUMIF(RODANTES!$B$16:$B$68,$A35,RODANTES!T$16:T$68)+SUMIF(RECARGAS!$B$16:$B$37,$A35,RECARGAS!AD$16:AD$37)+SUMIF(REVENDIDOS!$B$16:$B$25,$A35,REVENDIDOS!U$16:U$25)</f>
        <v>4940.00413582688</v>
      </c>
      <c r="O35" s="13" t="n">
        <f aca="false">SUMIF(MANUALES!$B$16:$B$69,$A35,MANUALES!U$16:U$69)+SUMIF(RODANTES!$B$16:$B$68,$A35,RODANTES!U$16:U$68)+SUMIF(RECARGAS!$B$16:$B$37,$A35,RECARGAS!AE$16:AE$37)+SUMIF(REVENDIDOS!$B$16:$B$25,$A35,REVENDIDOS!V$16:V$25)</f>
        <v>6191.58044446303</v>
      </c>
      <c r="P35" s="13" t="n">
        <f aca="false">SUMIF(MANUALES!$B$16:$B$69,$A35,MANUALES!V$16:V$69)+SUMIF(RODANTES!$B$16:$B$68,$A35,RODANTES!V$16:V$68)+SUMIF(RECARGAS!$B$16:$B$37,$A35,RECARGAS!AF$16:AF$37)+SUMIF(REVENDIDOS!$B$16:$B$25,$A35,REVENDIDOS!W$16:W$25)</f>
        <v>6956.12657219841</v>
      </c>
      <c r="Q35" s="13" t="n">
        <f aca="false">SUMIF(MANUALES!$B$16:$B$69,$A35,MANUALES!W$16:W$69)+SUMIF(RODANTES!$B$16:$B$68,$A35,RODANTES!W$16:W$68)+SUMIF(RECARGAS!$B$16:$B$37,$A35,RECARGAS!AG$16:AG$37)+SUMIF(REVENDIDOS!$B$16:$B$25,$A35,REVENDIDOS!X$16:X$25)</f>
        <v>8025.78725867901</v>
      </c>
      <c r="R35" s="13" t="n">
        <f aca="false">SUMIF(MANUALES!$B$16:$B$69,$A35,MANUALES!X$16:X$69)+SUMIF(RODANTES!$B$16:$B$68,$A35,RODANTES!X$16:X$68)+SUMIF(RECARGAS!$B$16:$B$37,$A35,RECARGAS!AH$16:AH$37)+SUMIF(REVENDIDOS!$B$16:$B$25,$A35,REVENDIDOS!Y$16:Y$25)</f>
        <v>909.143101923112</v>
      </c>
    </row>
    <row r="36" customFormat="false" ht="15" hidden="false" customHeight="false" outlineLevel="0" collapsed="false">
      <c r="A36" s="3" t="s">
        <v>391</v>
      </c>
      <c r="B36" s="3" t="s">
        <v>392</v>
      </c>
      <c r="C36" s="3" t="s">
        <v>214</v>
      </c>
      <c r="D36" s="13" t="n">
        <f aca="false">SUMIF(MANUALES!$B$16:$B$69,$A36,MANUALES!W$16:W$69)</f>
        <v>0</v>
      </c>
      <c r="E36" s="13" t="n">
        <f aca="false">SUMIF(RODANTES!$B$16:$B$68,$A36,RODANTES!W$16:W$68)</f>
        <v>27.2175459311392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SUMIF(MANUALES!$B$16:$B$69,$A36,MANUALES!N$16:N$69)+SUMIF(RODANTES!$B$16:$B$68,$A36,RODANTES!N$16:N$68)+SUMIF(RECARGAS!$B$16:$B$37,$A36,RECARGAS!X$16:X$37)+SUMIF(REVENDIDOS!$B$16:$B$25,$A36,REVENDIDOS!O$16:O$25)</f>
        <v>2.05337925892553</v>
      </c>
      <c r="I36" s="13" t="n">
        <f aca="false">SUMIF(MANUALES!$B$16:$B$69,$A36,MANUALES!O$16:O$69)+SUMIF(RODANTES!$B$16:$B$68,$A36,RODANTES!O$16:O$68)+SUMIF(RECARGAS!$B$16:$B$37,$A36,RECARGAS!Y$16:Y$37)+SUMIF(REVENDIDOS!$B$16:$B$25,$A36,REVENDIDOS!P$16:P$25)</f>
        <v>3.51851421333431</v>
      </c>
      <c r="J36" s="13" t="n">
        <f aca="false">SUMIF(MANUALES!$B$16:$B$69,$A36,MANUALES!P$16:P$69)+SUMIF(RODANTES!$B$16:$B$68,$A36,RODANTES!P$16:P$68)+SUMIF(RECARGAS!$B$16:$B$37,$A36,RECARGAS!Z$16:Z$37)+SUMIF(REVENDIDOS!$B$16:$B$25,$A36,REVENDIDOS!Q$16:Q$25)</f>
        <v>4.53921902005638</v>
      </c>
      <c r="K36" s="13" t="n">
        <f aca="false">SUMIF(MANUALES!$B$16:$B$69,$A36,MANUALES!Q$16:Q$69)+SUMIF(RODANTES!$B$16:$B$68,$A36,RODANTES!Q$16:Q$68)+SUMIF(RECARGAS!$B$16:$B$37,$A36,RECARGAS!AA$16:AA$37)+SUMIF(REVENDIDOS!$B$16:$B$25,$A36,REVENDIDOS!R$16:R$25)</f>
        <v>6.06491765764109</v>
      </c>
      <c r="L36" s="13" t="n">
        <f aca="false">SUMIF(MANUALES!$B$16:$B$69,$A36,MANUALES!R$16:R$69)+SUMIF(RODANTES!$B$16:$B$68,$A36,RODANTES!R$16:R$68)+SUMIF(RECARGAS!$B$16:$B$37,$A36,RECARGAS!AB$16:AB$37)+SUMIF(REVENDIDOS!$B$16:$B$25,$A36,REVENDIDOS!S$16:S$25)</f>
        <v>9.39236334640519</v>
      </c>
      <c r="M36" s="13" t="n">
        <f aca="false">SUMIF(MANUALES!$B$16:$B$69,$A36,MANUALES!S$16:S$69)+SUMIF(RODANTES!$B$16:$B$68,$A36,RODANTES!S$16:S$68)+SUMIF(RECARGAS!$B$16:$B$37,$A36,RECARGAS!AC$16:AC$37)+SUMIF(REVENDIDOS!$B$16:$B$25,$A36,REVENDIDOS!T$16:T$25)</f>
        <v>12.7576696606109</v>
      </c>
      <c r="N36" s="13" t="n">
        <f aca="false">SUMIF(MANUALES!$B$16:$B$69,$A36,MANUALES!T$16:T$69)+SUMIF(RODANTES!$B$16:$B$68,$A36,RODANTES!T$16:T$68)+SUMIF(RECARGAS!$B$16:$B$37,$A36,RECARGAS!AD$16:AD$37)+SUMIF(REVENDIDOS!$B$16:$B$25,$A36,REVENDIDOS!U$16:U$25)</f>
        <v>16.3983563591289</v>
      </c>
      <c r="O36" s="13" t="n">
        <f aca="false">SUMIF(MANUALES!$B$16:$B$69,$A36,MANUALES!U$16:U$69)+SUMIF(RODANTES!$B$16:$B$68,$A36,RODANTES!U$16:U$68)+SUMIF(RECARGAS!$B$16:$B$37,$A36,RECARGAS!AE$16:AE$37)+SUMIF(REVENDIDOS!$B$16:$B$25,$A36,REVENDIDOS!V$16:V$25)</f>
        <v>20.3004516013797</v>
      </c>
      <c r="P36" s="13" t="n">
        <f aca="false">SUMIF(MANUALES!$B$16:$B$69,$A36,MANUALES!V$16:V$69)+SUMIF(RODANTES!$B$16:$B$68,$A36,RODANTES!V$16:V$68)+SUMIF(RECARGAS!$B$16:$B$37,$A36,RECARGAS!AF$16:AF$37)+SUMIF(REVENDIDOS!$B$16:$B$25,$A36,REVENDIDOS!W$16:W$25)</f>
        <v>23.6482034730972</v>
      </c>
      <c r="Q36" s="13" t="n">
        <f aca="false">SUMIF(MANUALES!$B$16:$B$69,$A36,MANUALES!W$16:W$69)+SUMIF(RODANTES!$B$16:$B$68,$A36,RODANTES!W$16:W$68)+SUMIF(RECARGAS!$B$16:$B$37,$A36,RECARGAS!AG$16:AG$37)+SUMIF(REVENDIDOS!$B$16:$B$25,$A36,REVENDIDOS!X$16:X$25)</f>
        <v>27.2175459311392</v>
      </c>
      <c r="R36" s="13" t="n">
        <f aca="false">SUMIF(MANUALES!$B$16:$B$69,$A36,MANUALES!X$16:X$69)+SUMIF(RODANTES!$B$16:$B$68,$A36,RODANTES!X$16:X$68)+SUMIF(RECARGAS!$B$16:$B$37,$A36,RECARGAS!AH$16:AH$37)+SUMIF(REVENDIDOS!$B$16:$B$25,$A36,REVENDIDOS!Y$16:Y$25)</f>
        <v>2.44957913380253</v>
      </c>
    </row>
    <row r="37" customFormat="false" ht="15" hidden="false" customHeight="false" outlineLevel="0" collapsed="false">
      <c r="A37" s="3" t="s">
        <v>394</v>
      </c>
      <c r="B37" s="3" t="s">
        <v>395</v>
      </c>
      <c r="C37" s="3" t="s">
        <v>214</v>
      </c>
      <c r="D37" s="13" t="n">
        <f aca="false">SUMIF(MANUALES!$B$16:$B$69,$A37,MANUALES!W$16:W$69)</f>
        <v>0</v>
      </c>
      <c r="E37" s="13" t="n">
        <f aca="false">SUMIF(RODANTES!$B$16:$B$68,$A37,RODANTES!W$16:W$68)</f>
        <v>99.5924955869416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SUMIF(MANUALES!$B$16:$B$69,$A37,MANUALES!N$16:N$69)+SUMIF(RODANTES!$B$16:$B$68,$A37,RODANTES!N$16:N$68)+SUMIF(RECARGAS!$B$16:$B$37,$A37,RECARGAS!X$16:X$37)+SUMIF(REVENDIDOS!$B$16:$B$25,$A37,REVENDIDOS!O$16:O$25)</f>
        <v>5.83588351034619</v>
      </c>
      <c r="I37" s="13" t="n">
        <f aca="false">SUMIF(MANUALES!$B$16:$B$69,$A37,MANUALES!O$16:O$69)+SUMIF(RODANTES!$B$16:$B$68,$A37,RODANTES!O$16:O$68)+SUMIF(RECARGAS!$B$16:$B$37,$A37,RECARGAS!Y$16:Y$37)+SUMIF(REVENDIDOS!$B$16:$B$25,$A37,REVENDIDOS!P$16:P$25)</f>
        <v>9.95803864543695</v>
      </c>
      <c r="J37" s="13" t="n">
        <f aca="false">SUMIF(MANUALES!$B$16:$B$69,$A37,MANUALES!P$16:P$69)+SUMIF(RODANTES!$B$16:$B$68,$A37,RODANTES!P$16:P$68)+SUMIF(RECARGAS!$B$16:$B$37,$A37,RECARGAS!Z$16:Z$37)+SUMIF(REVENDIDOS!$B$16:$B$25,$A37,REVENDIDOS!Q$16:Q$25)</f>
        <v>13.8764201492774</v>
      </c>
      <c r="K37" s="13" t="n">
        <f aca="false">SUMIF(MANUALES!$B$16:$B$69,$A37,MANUALES!Q$16:Q$69)+SUMIF(RODANTES!$B$16:$B$68,$A37,RODANTES!Q$16:Q$68)+SUMIF(RECARGAS!$B$16:$B$37,$A37,RECARGAS!AA$16:AA$37)+SUMIF(REVENDIDOS!$B$16:$B$25,$A37,REVENDIDOS!R$16:R$25)</f>
        <v>20.7132410867983</v>
      </c>
      <c r="L37" s="13" t="n">
        <f aca="false">SUMIF(MANUALES!$B$16:$B$69,$A37,MANUALES!R$16:R$69)+SUMIF(RODANTES!$B$16:$B$68,$A37,RODANTES!R$16:R$68)+SUMIF(RECARGAS!$B$16:$B$37,$A37,RECARGAS!AB$16:AB$37)+SUMIF(REVENDIDOS!$B$16:$B$25,$A37,REVENDIDOS!S$16:S$25)</f>
        <v>33.1746717575052</v>
      </c>
      <c r="M37" s="13" t="n">
        <f aca="false">SUMIF(MANUALES!$B$16:$B$69,$A37,MANUALES!S$16:S$69)+SUMIF(RODANTES!$B$16:$B$68,$A37,RODANTES!S$16:S$68)+SUMIF(RECARGAS!$B$16:$B$37,$A37,RECARGAS!AC$16:AC$37)+SUMIF(REVENDIDOS!$B$16:$B$25,$A37,REVENDIDOS!T$16:T$25)</f>
        <v>45.603145745179</v>
      </c>
      <c r="N37" s="13" t="n">
        <f aca="false">SUMIF(MANUALES!$B$16:$B$69,$A37,MANUALES!T$16:T$69)+SUMIF(RODANTES!$B$16:$B$68,$A37,RODANTES!T$16:T$68)+SUMIF(RECARGAS!$B$16:$B$37,$A37,RECARGAS!AD$16:AD$37)+SUMIF(REVENDIDOS!$B$16:$B$25,$A37,REVENDIDOS!U$16:U$25)</f>
        <v>59.8088174066303</v>
      </c>
      <c r="O37" s="13" t="n">
        <f aca="false">SUMIF(MANUALES!$B$16:$B$69,$A37,MANUALES!U$16:U$69)+SUMIF(RODANTES!$B$16:$B$68,$A37,RODANTES!U$16:U$68)+SUMIF(RECARGAS!$B$16:$B$37,$A37,RECARGAS!AE$16:AE$37)+SUMIF(REVENDIDOS!$B$16:$B$25,$A37,REVENDIDOS!V$16:V$25)</f>
        <v>74.7614380686781</v>
      </c>
      <c r="P37" s="13" t="n">
        <f aca="false">SUMIF(MANUALES!$B$16:$B$69,$A37,MANUALES!V$16:V$69)+SUMIF(RODANTES!$B$16:$B$68,$A37,RODANTES!V$16:V$68)+SUMIF(RECARGAS!$B$16:$B$37,$A37,RECARGAS!AF$16:AF$37)+SUMIF(REVENDIDOS!$B$16:$B$25,$A37,REVENDIDOS!W$16:W$25)</f>
        <v>86.3470346390454</v>
      </c>
      <c r="Q37" s="13" t="n">
        <f aca="false">SUMIF(MANUALES!$B$16:$B$69,$A37,MANUALES!W$16:W$69)+SUMIF(RODANTES!$B$16:$B$68,$A37,RODANTES!W$16:W$68)+SUMIF(RECARGAS!$B$16:$B$37,$A37,RECARGAS!AG$16:AG$37)+SUMIF(REVENDIDOS!$B$16:$B$25,$A37,REVENDIDOS!X$16:X$25)</f>
        <v>99.5924955869416</v>
      </c>
      <c r="R37" s="13" t="n">
        <f aca="false">SUMIF(MANUALES!$B$16:$B$69,$A37,MANUALES!X$16:X$69)+SUMIF(RODANTES!$B$16:$B$68,$A37,RODANTES!X$16:X$68)+SUMIF(RECARGAS!$B$16:$B$37,$A37,RECARGAS!AH$16:AH$37)+SUMIF(REVENDIDOS!$B$16:$B$25,$A37,REVENDIDOS!Y$16:Y$25)</f>
        <v>8.96332460282474</v>
      </c>
    </row>
    <row r="38" customFormat="false" ht="15" hidden="false" customHeight="false" outlineLevel="0" collapsed="false">
      <c r="A38" s="3" t="s">
        <v>397</v>
      </c>
      <c r="B38" s="3" t="s">
        <v>398</v>
      </c>
      <c r="C38" s="3" t="s">
        <v>214</v>
      </c>
      <c r="D38" s="13" t="n">
        <f aca="false">SUMIF(MANUALES!$B$16:$B$69,$A38,MANUALES!W$16:W$69)</f>
        <v>0</v>
      </c>
      <c r="E38" s="13" t="n">
        <f aca="false">SUMIF(RODANTES!$B$16:$B$68,$A38,RODANTES!W$16:W$68)</f>
        <v>22.6299950691405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SUMIF(MANUALES!$B$16:$B$69,$A38,MANUALES!N$16:N$69)+SUMIF(RODANTES!$B$16:$B$68,$A38,RODANTES!N$16:N$68)+SUMIF(RECARGAS!$B$16:$B$37,$A38,RECARGAS!X$16:X$37)+SUMIF(REVENDIDOS!$B$16:$B$25,$A38,REVENDIDOS!O$16:O$25)</f>
        <v>1.28785593934275</v>
      </c>
      <c r="I38" s="13" t="n">
        <f aca="false">SUMIF(MANUALES!$B$16:$B$69,$A38,MANUALES!O$16:O$69)+SUMIF(RODANTES!$B$16:$B$68,$A38,RODANTES!O$16:O$68)+SUMIF(RECARGAS!$B$16:$B$37,$A38,RECARGAS!Y$16:Y$37)+SUMIF(REVENDIDOS!$B$16:$B$25,$A38,REVENDIDOS!P$16:P$25)</f>
        <v>2.19630014358138</v>
      </c>
      <c r="J38" s="13" t="n">
        <f aca="false">SUMIF(MANUALES!$B$16:$B$69,$A38,MANUALES!P$16:P$69)+SUMIF(RODANTES!$B$16:$B$68,$A38,RODANTES!P$16:P$68)+SUMIF(RECARGAS!$B$16:$B$37,$A38,RECARGAS!Z$16:Z$37)+SUMIF(REVENDIDOS!$B$16:$B$25,$A38,REVENDIDOS!Q$16:Q$25)</f>
        <v>3.09083678564798</v>
      </c>
      <c r="K38" s="13" t="n">
        <f aca="false">SUMIF(MANUALES!$B$16:$B$69,$A38,MANUALES!Q$16:Q$69)+SUMIF(RODANTES!$B$16:$B$68,$A38,RODANTES!Q$16:Q$68)+SUMIF(RECARGAS!$B$16:$B$37,$A38,RECARGAS!AA$16:AA$37)+SUMIF(REVENDIDOS!$B$16:$B$25,$A38,REVENDIDOS!R$16:R$25)</f>
        <v>4.67290046689615</v>
      </c>
      <c r="L38" s="13" t="n">
        <f aca="false">SUMIF(MANUALES!$B$16:$B$69,$A38,MANUALES!R$16:R$69)+SUMIF(RODANTES!$B$16:$B$68,$A38,RODANTES!R$16:R$68)+SUMIF(RECARGAS!$B$16:$B$37,$A38,RECARGAS!AB$16:AB$37)+SUMIF(REVENDIDOS!$B$16:$B$25,$A38,REVENDIDOS!S$16:S$25)</f>
        <v>7.51097099384254</v>
      </c>
      <c r="M38" s="13" t="n">
        <f aca="false">SUMIF(MANUALES!$B$16:$B$69,$A38,MANUALES!S$16:S$69)+SUMIF(RODANTES!$B$16:$B$68,$A38,RODANTES!S$16:S$68)+SUMIF(RECARGAS!$B$16:$B$37,$A38,RECARGAS!AC$16:AC$37)+SUMIF(REVENDIDOS!$B$16:$B$25,$A38,REVENDIDOS!T$16:T$25)</f>
        <v>10.3376472979105</v>
      </c>
      <c r="N38" s="13" t="n">
        <f aca="false">SUMIF(MANUALES!$B$16:$B$69,$A38,MANUALES!T$16:T$69)+SUMIF(RODANTES!$B$16:$B$68,$A38,RODANTES!T$16:T$68)+SUMIF(RECARGAS!$B$16:$B$37,$A38,RECARGAS!AD$16:AD$37)+SUMIF(REVENDIDOS!$B$16:$B$25,$A38,REVENDIDOS!U$16:U$25)</f>
        <v>13.5856746550635</v>
      </c>
      <c r="O38" s="13" t="n">
        <f aca="false">SUMIF(MANUALES!$B$16:$B$69,$A38,MANUALES!U$16:U$69)+SUMIF(RODANTES!$B$16:$B$68,$A38,RODANTES!U$16:U$68)+SUMIF(RECARGAS!$B$16:$B$37,$A38,RECARGAS!AE$16:AE$37)+SUMIF(REVENDIDOS!$B$16:$B$25,$A38,REVENDIDOS!V$16:V$25)</f>
        <v>16.9986552170545</v>
      </c>
      <c r="P38" s="13" t="n">
        <f aca="false">SUMIF(MANUALES!$B$16:$B$69,$A38,MANUALES!V$16:V$69)+SUMIF(RODANTES!$B$16:$B$68,$A38,RODANTES!V$16:V$68)+SUMIF(RECARGAS!$B$16:$B$37,$A38,RECARGAS!AF$16:AF$37)+SUMIF(REVENDIDOS!$B$16:$B$25,$A38,REVENDIDOS!W$16:W$25)</f>
        <v>19.6160750370033</v>
      </c>
      <c r="Q38" s="13" t="n">
        <f aca="false">SUMIF(MANUALES!$B$16:$B$69,$A38,MANUALES!W$16:W$69)+SUMIF(RODANTES!$B$16:$B$68,$A38,RODANTES!W$16:W$68)+SUMIF(RECARGAS!$B$16:$B$37,$A38,RECARGAS!AG$16:AG$37)+SUMIF(REVENDIDOS!$B$16:$B$25,$A38,REVENDIDOS!X$16:X$25)</f>
        <v>22.6299950691405</v>
      </c>
      <c r="R38" s="13" t="n">
        <f aca="false">SUMIF(MANUALES!$B$16:$B$69,$A38,MANUALES!X$16:X$69)+SUMIF(RODANTES!$B$16:$B$68,$A38,RODANTES!X$16:X$68)+SUMIF(RECARGAS!$B$16:$B$37,$A38,RECARGAS!AH$16:AH$37)+SUMIF(REVENDIDOS!$B$16:$B$25,$A38,REVENDIDOS!Y$16:Y$25)</f>
        <v>2.03669955622264</v>
      </c>
    </row>
    <row r="39" customFormat="false" ht="15" hidden="false" customHeight="false" outlineLevel="0" collapsed="false">
      <c r="A39" s="3" t="s">
        <v>400</v>
      </c>
      <c r="B39" s="3" t="s">
        <v>401</v>
      </c>
      <c r="C39" s="3" t="s">
        <v>214</v>
      </c>
      <c r="D39" s="13" t="n">
        <f aca="false">SUMIF(MANUALES!$B$16:$B$69,$A39,MANUALES!W$16:W$69)</f>
        <v>0</v>
      </c>
      <c r="E39" s="13" t="n">
        <f aca="false">SUMIF(RODANTES!$B$16:$B$68,$A39,RODANTES!W$16:W$68)</f>
        <v>18.1450306207595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SUMIF(MANUALES!$B$16:$B$69,$A39,MANUALES!N$16:N$69)+SUMIF(RODANTES!$B$16:$B$68,$A39,RODANTES!N$16:N$68)+SUMIF(RECARGAS!$B$16:$B$37,$A39,RECARGAS!X$16:X$37)+SUMIF(REVENDIDOS!$B$16:$B$25,$A39,REVENDIDOS!O$16:O$25)</f>
        <v>1.36891950595035</v>
      </c>
      <c r="I39" s="13" t="n">
        <f aca="false">SUMIF(MANUALES!$B$16:$B$69,$A39,MANUALES!O$16:O$69)+SUMIF(RODANTES!$B$16:$B$68,$A39,RODANTES!O$16:O$68)+SUMIF(RECARGAS!$B$16:$B$37,$A39,RECARGAS!Y$16:Y$37)+SUMIF(REVENDIDOS!$B$16:$B$25,$A39,REVENDIDOS!P$16:P$25)</f>
        <v>2.34567614222287</v>
      </c>
      <c r="J39" s="13" t="n">
        <f aca="false">SUMIF(MANUALES!$B$16:$B$69,$A39,MANUALES!P$16:P$69)+SUMIF(RODANTES!$B$16:$B$68,$A39,RODANTES!P$16:P$68)+SUMIF(RECARGAS!$B$16:$B$37,$A39,RECARGAS!Z$16:Z$37)+SUMIF(REVENDIDOS!$B$16:$B$25,$A39,REVENDIDOS!Q$16:Q$25)</f>
        <v>3.02614601337092</v>
      </c>
      <c r="K39" s="13" t="n">
        <f aca="false">SUMIF(MANUALES!$B$16:$B$69,$A39,MANUALES!Q$16:Q$69)+SUMIF(RODANTES!$B$16:$B$68,$A39,RODANTES!Q$16:Q$68)+SUMIF(RECARGAS!$B$16:$B$37,$A39,RECARGAS!AA$16:AA$37)+SUMIF(REVENDIDOS!$B$16:$B$25,$A39,REVENDIDOS!R$16:R$25)</f>
        <v>4.04327843842739</v>
      </c>
      <c r="L39" s="13" t="n">
        <f aca="false">SUMIF(MANUALES!$B$16:$B$69,$A39,MANUALES!R$16:R$69)+SUMIF(RODANTES!$B$16:$B$68,$A39,RODANTES!R$16:R$68)+SUMIF(RECARGAS!$B$16:$B$37,$A39,RECARGAS!AB$16:AB$37)+SUMIF(REVENDIDOS!$B$16:$B$25,$A39,REVENDIDOS!S$16:S$25)</f>
        <v>6.26157556427012</v>
      </c>
      <c r="M39" s="13" t="n">
        <f aca="false">SUMIF(MANUALES!$B$16:$B$69,$A39,MANUALES!S$16:S$69)+SUMIF(RODANTES!$B$16:$B$68,$A39,RODANTES!S$16:S$68)+SUMIF(RECARGAS!$B$16:$B$37,$A39,RECARGAS!AC$16:AC$37)+SUMIF(REVENDIDOS!$B$16:$B$25,$A39,REVENDIDOS!T$16:T$25)</f>
        <v>8.50511310707394</v>
      </c>
      <c r="N39" s="13" t="n">
        <f aca="false">SUMIF(MANUALES!$B$16:$B$69,$A39,MANUALES!T$16:T$69)+SUMIF(RODANTES!$B$16:$B$68,$A39,RODANTES!T$16:T$68)+SUMIF(RECARGAS!$B$16:$B$37,$A39,RECARGAS!AD$16:AD$37)+SUMIF(REVENDIDOS!$B$16:$B$25,$A39,REVENDIDOS!U$16:U$25)</f>
        <v>10.9322375727526</v>
      </c>
      <c r="O39" s="13" t="n">
        <f aca="false">SUMIF(MANUALES!$B$16:$B$69,$A39,MANUALES!U$16:U$69)+SUMIF(RODANTES!$B$16:$B$68,$A39,RODANTES!U$16:U$68)+SUMIF(RECARGAS!$B$16:$B$37,$A39,RECARGAS!AE$16:AE$37)+SUMIF(REVENDIDOS!$B$16:$B$25,$A39,REVENDIDOS!V$16:V$25)</f>
        <v>13.5336344009198</v>
      </c>
      <c r="P39" s="13" t="n">
        <f aca="false">SUMIF(MANUALES!$B$16:$B$69,$A39,MANUALES!V$16:V$69)+SUMIF(RODANTES!$B$16:$B$68,$A39,RODANTES!V$16:V$68)+SUMIF(RECARGAS!$B$16:$B$37,$A39,RECARGAS!AF$16:AF$37)+SUMIF(REVENDIDOS!$B$16:$B$25,$A39,REVENDIDOS!W$16:W$25)</f>
        <v>15.7654689820648</v>
      </c>
      <c r="Q39" s="13" t="n">
        <f aca="false">SUMIF(MANUALES!$B$16:$B$69,$A39,MANUALES!W$16:W$69)+SUMIF(RODANTES!$B$16:$B$68,$A39,RODANTES!W$16:W$68)+SUMIF(RECARGAS!$B$16:$B$37,$A39,RECARGAS!AG$16:AG$37)+SUMIF(REVENDIDOS!$B$16:$B$25,$A39,REVENDIDOS!X$16:X$25)</f>
        <v>18.1450306207595</v>
      </c>
      <c r="R39" s="13" t="n">
        <f aca="false">SUMIF(MANUALES!$B$16:$B$69,$A39,MANUALES!X$16:X$69)+SUMIF(RODANTES!$B$16:$B$68,$A39,RODANTES!X$16:X$68)+SUMIF(RECARGAS!$B$16:$B$37,$A39,RECARGAS!AH$16:AH$37)+SUMIF(REVENDIDOS!$B$16:$B$25,$A39,REVENDIDOS!Y$16:Y$25)</f>
        <v>1.63305275586835</v>
      </c>
    </row>
    <row r="40" customFormat="false" ht="15" hidden="false" customHeight="false" outlineLevel="0" collapsed="false">
      <c r="A40" s="3" t="s">
        <v>403</v>
      </c>
      <c r="B40" s="3" t="s">
        <v>404</v>
      </c>
      <c r="C40" s="3" t="s">
        <v>214</v>
      </c>
      <c r="D40" s="13" t="n">
        <f aca="false">SUMIF(MANUALES!$B$16:$B$69,$A40,MANUALES!W$16:W$69)</f>
        <v>0</v>
      </c>
      <c r="E40" s="13" t="n">
        <f aca="false">SUMIF(RODANTES!$B$16:$B$68,$A40,RODANTES!W$16:W$68)</f>
        <v>7.75375765518987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SUMIF(MANUALES!$B$16:$B$69,$A40,MANUALES!N$16:N$69)+SUMIF(RODANTES!$B$16:$B$68,$A40,RODANTES!N$16:N$68)+SUMIF(RECARGAS!$B$16:$B$37,$A40,RECARGAS!X$16:X$37)+SUMIF(REVENDIDOS!$B$16:$B$25,$A40,REVENDIDOS!O$16:O$25)</f>
        <v>0.342229876487589</v>
      </c>
      <c r="I40" s="13" t="n">
        <f aca="false">SUMIF(MANUALES!$B$16:$B$69,$A40,MANUALES!O$16:O$69)+SUMIF(RODANTES!$B$16:$B$68,$A40,RODANTES!O$16:O$68)+SUMIF(RECARGAS!$B$16:$B$37,$A40,RECARGAS!Y$16:Y$37)+SUMIF(REVENDIDOS!$B$16:$B$25,$A40,REVENDIDOS!P$16:P$25)</f>
        <v>0.586419035555718</v>
      </c>
      <c r="J40" s="13" t="n">
        <f aca="false">SUMIF(MANUALES!$B$16:$B$69,$A40,MANUALES!P$16:P$69)+SUMIF(RODANTES!$B$16:$B$68,$A40,RODANTES!P$16:P$68)+SUMIF(RECARGAS!$B$16:$B$37,$A40,RECARGAS!Z$16:Z$37)+SUMIF(REVENDIDOS!$B$16:$B$25,$A40,REVENDIDOS!Q$16:Q$25)</f>
        <v>0.90103650334273</v>
      </c>
      <c r="K40" s="13" t="n">
        <f aca="false">SUMIF(MANUALES!$B$16:$B$69,$A40,MANUALES!Q$16:Q$69)+SUMIF(RODANTES!$B$16:$B$68,$A40,RODANTES!Q$16:Q$68)+SUMIF(RECARGAS!$B$16:$B$37,$A40,RECARGAS!AA$16:AA$37)+SUMIF(REVENDIDOS!$B$16:$B$25,$A40,REVENDIDOS!R$16:R$25)</f>
        <v>1.51431960960685</v>
      </c>
      <c r="L40" s="13" t="n">
        <f aca="false">SUMIF(MANUALES!$B$16:$B$69,$A40,MANUALES!R$16:R$69)+SUMIF(RODANTES!$B$16:$B$68,$A40,RODANTES!R$16:R$68)+SUMIF(RECARGAS!$B$16:$B$37,$A40,RECARGAS!AB$16:AB$37)+SUMIF(REVENDIDOS!$B$16:$B$25,$A40,REVENDIDOS!S$16:S$25)</f>
        <v>2.49789389106753</v>
      </c>
      <c r="M40" s="13" t="n">
        <f aca="false">SUMIF(MANUALES!$B$16:$B$69,$A40,MANUALES!S$16:S$69)+SUMIF(RODANTES!$B$16:$B$68,$A40,RODANTES!S$16:S$68)+SUMIF(RECARGAS!$B$16:$B$37,$A40,RECARGAS!AC$16:AC$37)+SUMIF(REVENDIDOS!$B$16:$B$25,$A40,REVENDIDOS!T$16:T$25)</f>
        <v>3.47827827676848</v>
      </c>
      <c r="N40" s="13" t="n">
        <f aca="false">SUMIF(MANUALES!$B$16:$B$69,$A40,MANUALES!T$16:T$69)+SUMIF(RODANTES!$B$16:$B$68,$A40,RODANTES!T$16:T$68)+SUMIF(RECARGAS!$B$16:$B$37,$A40,RECARGAS!AD$16:AD$37)+SUMIF(REVENDIDOS!$B$16:$B$25,$A40,REVENDIDOS!U$16:U$25)</f>
        <v>4.64405939318814</v>
      </c>
      <c r="O40" s="13" t="n">
        <f aca="false">SUMIF(MANUALES!$B$16:$B$69,$A40,MANUALES!U$16:U$69)+SUMIF(RODANTES!$B$16:$B$68,$A40,RODANTES!U$16:U$68)+SUMIF(RECARGAS!$B$16:$B$37,$A40,RECARGAS!AE$16:AE$37)+SUMIF(REVENDIDOS!$B$16:$B$25,$A40,REVENDIDOS!V$16:V$25)</f>
        <v>5.85340860022994</v>
      </c>
      <c r="P40" s="13" t="n">
        <f aca="false">SUMIF(MANUALES!$B$16:$B$69,$A40,MANUALES!V$16:V$69)+SUMIF(RODANTES!$B$16:$B$68,$A40,RODANTES!V$16:V$68)+SUMIF(RECARGAS!$B$16:$B$37,$A40,RECARGAS!AF$16:AF$37)+SUMIF(REVENDIDOS!$B$16:$B$25,$A40,REVENDIDOS!W$16:W$25)</f>
        <v>6.7103672455162</v>
      </c>
      <c r="Q40" s="13" t="n">
        <f aca="false">SUMIF(MANUALES!$B$16:$B$69,$A40,MANUALES!W$16:W$69)+SUMIF(RODANTES!$B$16:$B$68,$A40,RODANTES!W$16:W$68)+SUMIF(RECARGAS!$B$16:$B$37,$A40,RECARGAS!AG$16:AG$37)+SUMIF(REVENDIDOS!$B$16:$B$25,$A40,REVENDIDOS!X$16:X$25)</f>
        <v>7.75375765518987</v>
      </c>
      <c r="R40" s="13" t="n">
        <f aca="false">SUMIF(MANUALES!$B$16:$B$69,$A40,MANUALES!X$16:X$69)+SUMIF(RODANTES!$B$16:$B$68,$A40,RODANTES!X$16:X$68)+SUMIF(RECARGAS!$B$16:$B$37,$A40,RECARGAS!AH$16:AH$37)+SUMIF(REVENDIDOS!$B$16:$B$25,$A40,REVENDIDOS!Y$16:Y$25)</f>
        <v>0.697838188967088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SUMIF(MANUALES!$B$16:$B$69,$A41,MANUALES!W$16:W$69)</f>
        <v>22874.6720545482</v>
      </c>
      <c r="E41" s="13" t="n">
        <f aca="false">SUMIF(RODANTES!$B$16:$B$68,$A41,RODANTES!W$16:W$68)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SUMIF(MANUALES!$B$16:$B$69,$A41,MANUALES!N$16:N$69)+SUMIF(RODANTES!$B$16:$B$68,$A41,RODANTES!N$16:N$68)+SUMIF(RECARGAS!$B$16:$B$37,$A41,RECARGAS!X$16:X$37)+SUMIF(REVENDIDOS!$B$16:$B$25,$A41,REVENDIDOS!O$16:O$25)</f>
        <v>583.810289915492</v>
      </c>
      <c r="I41" s="13" t="n">
        <f aca="false">SUMIF(MANUALES!$B$16:$B$69,$A41,MANUALES!O$16:O$69)+SUMIF(RODANTES!$B$16:$B$68,$A41,RODANTES!O$16:O$68)+SUMIF(RECARGAS!$B$16:$B$37,$A41,RECARGAS!Y$16:Y$37)+SUMIF(REVENDIDOS!$B$16:$B$25,$A41,REVENDIDOS!P$16:P$25)</f>
        <v>990.910522556769</v>
      </c>
      <c r="J41" s="13" t="n">
        <f aca="false">SUMIF(MANUALES!$B$16:$B$69,$A41,MANUALES!P$16:P$69)+SUMIF(RODANTES!$B$16:$B$68,$A41,RODANTES!P$16:P$68)+SUMIF(RECARGAS!$B$16:$B$37,$A41,RECARGAS!Z$16:Z$37)+SUMIF(REVENDIDOS!$B$16:$B$25,$A41,REVENDIDOS!Q$16:Q$25)</f>
        <v>1987.79445239804</v>
      </c>
      <c r="K41" s="13" t="n">
        <f aca="false">SUMIF(MANUALES!$B$16:$B$69,$A41,MANUALES!Q$16:Q$69)+SUMIF(RODANTES!$B$16:$B$68,$A41,RODANTES!Q$16:Q$68)+SUMIF(RECARGAS!$B$16:$B$37,$A41,RECARGAS!AA$16:AA$37)+SUMIF(REVENDIDOS!$B$16:$B$25,$A41,REVENDIDOS!R$16:R$25)</f>
        <v>4318.65722721817</v>
      </c>
      <c r="L41" s="13" t="n">
        <f aca="false">SUMIF(MANUALES!$B$16:$B$69,$A41,MANUALES!R$16:R$69)+SUMIF(RODANTES!$B$16:$B$68,$A41,RODANTES!R$16:R$68)+SUMIF(RECARGAS!$B$16:$B$37,$A41,RECARGAS!AB$16:AB$37)+SUMIF(REVENDIDOS!$B$16:$B$25,$A41,REVENDIDOS!S$16:S$25)</f>
        <v>7329.28509382061</v>
      </c>
      <c r="M41" s="13" t="n">
        <f aca="false">SUMIF(MANUALES!$B$16:$B$69,$A41,MANUALES!S$16:S$69)+SUMIF(RODANTES!$B$16:$B$68,$A41,RODANTES!S$16:S$68)+SUMIF(RECARGAS!$B$16:$B$37,$A41,RECARGAS!AC$16:AC$37)+SUMIF(REVENDIDOS!$B$16:$B$25,$A41,REVENDIDOS!T$16:T$25)</f>
        <v>10214.7870420837</v>
      </c>
      <c r="N41" s="13" t="n">
        <f aca="false">SUMIF(MANUALES!$B$16:$B$69,$A41,MANUALES!T$16:T$69)+SUMIF(RODANTES!$B$16:$B$68,$A41,RODANTES!T$16:T$68)+SUMIF(RECARGAS!$B$16:$B$37,$A41,RECARGAS!AD$16:AD$37)+SUMIF(REVENDIDOS!$B$16:$B$25,$A41,REVENDIDOS!U$16:U$25)</f>
        <v>13943.3003705067</v>
      </c>
      <c r="O41" s="13" t="n">
        <f aca="false">SUMIF(MANUALES!$B$16:$B$69,$A41,MANUALES!U$16:U$69)+SUMIF(RODANTES!$B$16:$B$68,$A41,RODANTES!U$16:U$68)+SUMIF(RECARGAS!$B$16:$B$37,$A41,RECARGAS!AE$16:AE$37)+SUMIF(REVENDIDOS!$B$16:$B$25,$A41,REVENDIDOS!V$16:V$25)</f>
        <v>17649.2580899294</v>
      </c>
      <c r="P41" s="13" t="n">
        <f aca="false">SUMIF(MANUALES!$B$16:$B$69,$A41,MANUALES!V$16:V$69)+SUMIF(RODANTES!$B$16:$B$68,$A41,RODANTES!V$16:V$68)+SUMIF(RECARGAS!$B$16:$B$37,$A41,RECARGAS!AF$16:AF$37)+SUMIF(REVENDIDOS!$B$16:$B$25,$A41,REVENDIDOS!W$16:W$25)</f>
        <v>19811.6315361355</v>
      </c>
      <c r="Q41" s="13" t="n">
        <f aca="false">SUMIF(MANUALES!$B$16:$B$69,$A41,MANUALES!W$16:W$69)+SUMIF(RODANTES!$B$16:$B$68,$A41,RODANTES!W$16:W$68)+SUMIF(RECARGAS!$B$16:$B$37,$A41,RECARGAS!AG$16:AG$37)+SUMIF(REVENDIDOS!$B$16:$B$25,$A41,REVENDIDOS!X$16:X$25)</f>
        <v>22874.6720545482</v>
      </c>
      <c r="R41" s="13" t="n">
        <f aca="false">SUMIF(MANUALES!$B$16:$B$69,$A41,MANUALES!X$16:X$69)+SUMIF(RODANTES!$B$16:$B$68,$A41,RODANTES!X$16:X$68)+SUMIF(RECARGAS!$B$16:$B$37,$A41,RECARGAS!AH$16:AH$37)+SUMIF(REVENDIDOS!$B$16:$B$25,$A41,REVENDIDOS!Y$16:Y$25)</f>
        <v>2678.3104373043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SUMIF(MANUALES!$B$16:$B$69,$A42,MANUALES!W$16:W$69)</f>
        <v>3609.5153861869</v>
      </c>
      <c r="E42" s="13" t="n">
        <f aca="false">SUMIF(RODANTES!$B$16:$B$68,$A42,RODANTES!W$16:W$68)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SUMIF(MANUALES!$B$16:$B$69,$A42,MANUALES!N$16:N$69)+SUMIF(RODANTES!$B$16:$B$68,$A42,RODANTES!N$16:N$68)+SUMIF(RECARGAS!$B$16:$B$37,$A42,RECARGAS!X$16:X$37)+SUMIF(REVENDIDOS!$B$16:$B$25,$A42,REVENDIDOS!O$16:O$25)</f>
        <v>107.201505720061</v>
      </c>
      <c r="I42" s="13" t="n">
        <f aca="false">SUMIF(MANUALES!$B$16:$B$69,$A42,MANUALES!O$16:O$69)+SUMIF(RODANTES!$B$16:$B$68,$A42,RODANTES!O$16:O$68)+SUMIF(RECARGAS!$B$16:$B$37,$A42,RECARGAS!Y$16:Y$37)+SUMIF(REVENDIDOS!$B$16:$B$25,$A42,REVENDIDOS!P$16:P$25)</f>
        <v>196.799339224862</v>
      </c>
      <c r="J42" s="13" t="n">
        <f aca="false">SUMIF(MANUALES!$B$16:$B$69,$A42,MANUALES!P$16:P$69)+SUMIF(RODANTES!$B$16:$B$68,$A42,RODANTES!P$16:P$68)+SUMIF(RECARGAS!$B$16:$B$37,$A42,RECARGAS!Z$16:Z$37)+SUMIF(REVENDIDOS!$B$16:$B$25,$A42,REVENDIDOS!Q$16:Q$25)</f>
        <v>359.022690922114</v>
      </c>
      <c r="K42" s="13" t="n">
        <f aca="false">SUMIF(MANUALES!$B$16:$B$69,$A42,MANUALES!Q$16:Q$69)+SUMIF(RODANTES!$B$16:$B$68,$A42,RODANTES!Q$16:Q$68)+SUMIF(RECARGAS!$B$16:$B$37,$A42,RECARGAS!AA$16:AA$37)+SUMIF(REVENDIDOS!$B$16:$B$25,$A42,REVENDIDOS!R$16:R$25)</f>
        <v>727.243387282477</v>
      </c>
      <c r="L42" s="13" t="n">
        <f aca="false">SUMIF(MANUALES!$B$16:$B$69,$A42,MANUALES!R$16:R$69)+SUMIF(RODANTES!$B$16:$B$68,$A42,RODANTES!R$16:R$68)+SUMIF(RECARGAS!$B$16:$B$37,$A42,RECARGAS!AB$16:AB$37)+SUMIF(REVENDIDOS!$B$16:$B$25,$A42,REVENDIDOS!S$16:S$25)</f>
        <v>1199.40079309454</v>
      </c>
      <c r="M42" s="13" t="n">
        <f aca="false">SUMIF(MANUALES!$B$16:$B$69,$A42,MANUALES!S$16:S$69)+SUMIF(RODANTES!$B$16:$B$68,$A42,RODANTES!S$16:S$68)+SUMIF(RECARGAS!$B$16:$B$37,$A42,RECARGAS!AC$16:AC$37)+SUMIF(REVENDIDOS!$B$16:$B$25,$A42,REVENDIDOS!T$16:T$25)</f>
        <v>1660.73001525421</v>
      </c>
      <c r="N42" s="13" t="n">
        <f aca="false">SUMIF(MANUALES!$B$16:$B$69,$A42,MANUALES!T$16:T$69)+SUMIF(RODANTES!$B$16:$B$68,$A42,RODANTES!T$16:T$68)+SUMIF(RECARGAS!$B$16:$B$37,$A42,RECARGAS!AD$16:AD$37)+SUMIF(REVENDIDOS!$B$16:$B$25,$A42,REVENDIDOS!U$16:U$25)</f>
        <v>2231.10136360789</v>
      </c>
      <c r="O42" s="13" t="n">
        <f aca="false">SUMIF(MANUALES!$B$16:$B$69,$A42,MANUALES!U$16:U$69)+SUMIF(RODANTES!$B$16:$B$68,$A42,RODANTES!U$16:U$68)+SUMIF(RECARGAS!$B$16:$B$37,$A42,RECARGAS!AE$16:AE$37)+SUMIF(REVENDIDOS!$B$16:$B$25,$A42,REVENDIDOS!V$16:V$25)</f>
        <v>2792.61484433306</v>
      </c>
      <c r="P42" s="13" t="n">
        <f aca="false">SUMIF(MANUALES!$B$16:$B$69,$A42,MANUALES!V$16:V$69)+SUMIF(RODANTES!$B$16:$B$68,$A42,RODANTES!V$16:V$68)+SUMIF(RECARGAS!$B$16:$B$37,$A42,RECARGAS!AF$16:AF$37)+SUMIF(REVENDIDOS!$B$16:$B$25,$A42,REVENDIDOS!W$16:W$25)</f>
        <v>3129.87429469313</v>
      </c>
      <c r="Q42" s="13" t="n">
        <f aca="false">SUMIF(MANUALES!$B$16:$B$69,$A42,MANUALES!W$16:W$69)+SUMIF(RODANTES!$B$16:$B$68,$A42,RODANTES!W$16:W$68)+SUMIF(RECARGAS!$B$16:$B$37,$A42,RECARGAS!AG$16:AG$37)+SUMIF(REVENDIDOS!$B$16:$B$25,$A42,REVENDIDOS!X$16:X$25)</f>
        <v>3609.5153861869</v>
      </c>
      <c r="R42" s="13" t="n">
        <f aca="false">SUMIF(MANUALES!$B$16:$B$69,$A42,MANUALES!X$16:X$69)+SUMIF(RODANTES!$B$16:$B$68,$A42,RODANTES!X$16:X$68)+SUMIF(RECARGAS!$B$16:$B$37,$A42,RECARGAS!AH$16:AH$37)+SUMIF(REVENDIDOS!$B$16:$B$25,$A42,REVENDIDOS!Y$16:Y$25)</f>
        <v>414.271814133537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SUMIF(MANUALES!$B$16:$B$69,$A43,MANUALES!W$16:W$69)</f>
        <v>238434.420857322</v>
      </c>
      <c r="E43" s="13" t="n">
        <f aca="false">SUMIF(RODANTES!$B$16:$B$68,$A43,RODANTES!W$16:W$68)</f>
        <v>0</v>
      </c>
      <c r="F43" s="13" t="n">
        <f aca="false">SUMIF(RECARGAS!$B$16:$B$37,$A43,RECARGAS!AG$16:AG$37)</f>
        <v>50809.8765921077</v>
      </c>
      <c r="G43" s="13" t="n">
        <f aca="false">SUMIF(REVENDIDOS!$B$16:$B$25,$A43,REVENDIDOS!X$16:X$25)</f>
        <v>0</v>
      </c>
      <c r="H43" s="13" t="n">
        <f aca="false">SUMIF(MANUALES!$B$16:$B$69,$A43,MANUALES!N$16:N$69)+SUMIF(RODANTES!$B$16:$B$68,$A43,RODANTES!N$16:N$68)+SUMIF(RECARGAS!$B$16:$B$37,$A43,RECARGAS!X$16:X$37)+SUMIF(REVENDIDOS!$B$16:$B$25,$A43,REVENDIDOS!O$16:O$25)</f>
        <v>21107.4323692946</v>
      </c>
      <c r="I43" s="13" t="n">
        <f aca="false">SUMIF(MANUALES!$B$16:$B$69,$A43,MANUALES!O$16:O$69)+SUMIF(RODANTES!$B$16:$B$68,$A43,RODANTES!O$16:O$68)+SUMIF(RECARGAS!$B$16:$B$37,$A43,RECARGAS!Y$16:Y$37)+SUMIF(REVENDIDOS!$B$16:$B$25,$A43,REVENDIDOS!P$16:P$25)</f>
        <v>42300.5397641972</v>
      </c>
      <c r="J43" s="13" t="n">
        <f aca="false">SUMIF(MANUALES!$B$16:$B$69,$A43,MANUALES!P$16:P$69)+SUMIF(RODANTES!$B$16:$B$68,$A43,RODANTES!P$16:P$68)+SUMIF(RECARGAS!$B$16:$B$37,$A43,RECARGAS!Z$16:Z$37)+SUMIF(REVENDIDOS!$B$16:$B$25,$A43,REVENDIDOS!Q$16:Q$25)</f>
        <v>58139.0152430559</v>
      </c>
      <c r="K43" s="13" t="n">
        <f aca="false">SUMIF(MANUALES!$B$16:$B$69,$A43,MANUALES!Q$16:Q$69)+SUMIF(RODANTES!$B$16:$B$68,$A43,RODANTES!Q$16:Q$68)+SUMIF(RECARGAS!$B$16:$B$37,$A43,RECARGAS!AA$16:AA$37)+SUMIF(REVENDIDOS!$B$16:$B$25,$A43,REVENDIDOS!R$16:R$25)</f>
        <v>86402.4068965173</v>
      </c>
      <c r="L43" s="13" t="n">
        <f aca="false">SUMIF(MANUALES!$B$16:$B$69,$A43,MANUALES!R$16:R$69)+SUMIF(RODANTES!$B$16:$B$68,$A43,RODANTES!R$16:R$68)+SUMIF(RECARGAS!$B$16:$B$37,$A43,RECARGAS!AB$16:AB$37)+SUMIF(REVENDIDOS!$B$16:$B$25,$A43,REVENDIDOS!S$16:S$25)</f>
        <v>123778.292370009</v>
      </c>
      <c r="M43" s="13" t="n">
        <f aca="false">SUMIF(MANUALES!$B$16:$B$69,$A43,MANUALES!S$16:S$69)+SUMIF(RODANTES!$B$16:$B$68,$A43,RODANTES!S$16:S$68)+SUMIF(RECARGAS!$B$16:$B$37,$A43,RECARGAS!AC$16:AC$37)+SUMIF(REVENDIDOS!$B$16:$B$25,$A43,REVENDIDOS!T$16:T$25)</f>
        <v>162046.930554134</v>
      </c>
      <c r="N43" s="13" t="n">
        <f aca="false">SUMIF(MANUALES!$B$16:$B$69,$A43,MANUALES!T$16:T$69)+SUMIF(RODANTES!$B$16:$B$68,$A43,RODANTES!T$16:T$68)+SUMIF(RECARGAS!$B$16:$B$37,$A43,RECARGAS!AD$16:AD$37)+SUMIF(REVENDIDOS!$B$16:$B$25,$A43,REVENDIDOS!U$16:U$25)</f>
        <v>199204.05334699</v>
      </c>
      <c r="O43" s="13" t="n">
        <f aca="false">SUMIF(MANUALES!$B$16:$B$69,$A43,MANUALES!U$16:U$69)+SUMIF(RODANTES!$B$16:$B$68,$A43,RODANTES!U$16:U$68)+SUMIF(RECARGAS!$B$16:$B$37,$A43,RECARGAS!AE$16:AE$37)+SUMIF(REVENDIDOS!$B$16:$B$25,$A43,REVENDIDOS!V$16:V$25)</f>
        <v>231622.055131017</v>
      </c>
      <c r="P43" s="13" t="n">
        <f aca="false">SUMIF(MANUALES!$B$16:$B$69,$A43,MANUALES!V$16:V$69)+SUMIF(RODANTES!$B$16:$B$68,$A43,RODANTES!V$16:V$68)+SUMIF(RECARGAS!$B$16:$B$37,$A43,RECARGAS!AF$16:AF$37)+SUMIF(REVENDIDOS!$B$16:$B$25,$A43,REVENDIDOS!W$16:W$25)</f>
        <v>257014.570741997</v>
      </c>
      <c r="Q43" s="13" t="n">
        <f aca="false">SUMIF(MANUALES!$B$16:$B$69,$A43,MANUALES!W$16:W$69)+SUMIF(RODANTES!$B$16:$B$68,$A43,RODANTES!W$16:W$68)+SUMIF(RECARGAS!$B$16:$B$37,$A43,RECARGAS!AG$16:AG$37)+SUMIF(REVENDIDOS!$B$16:$B$25,$A43,REVENDIDOS!X$16:X$25)</f>
        <v>289244.297449429</v>
      </c>
      <c r="R43" s="13" t="n">
        <f aca="false">SUMIF(MANUALES!$B$16:$B$69,$A43,MANUALES!X$16:X$69)+SUMIF(RODANTES!$B$16:$B$68,$A43,RODANTES!X$16:X$68)+SUMIF(RECARGAS!$B$16:$B$37,$A43,RECARGAS!AH$16:AH$37)+SUMIF(REVENDIDOS!$B$16:$B$25,$A43,REVENDIDOS!Y$16:Y$25)</f>
        <v>30798.705387846</v>
      </c>
    </row>
    <row r="44" customFormat="false" ht="15" hidden="false" customHeight="false" outlineLevel="0" collapsed="false">
      <c r="A44" s="3" t="s">
        <v>418</v>
      </c>
      <c r="B44" s="3" t="s">
        <v>419</v>
      </c>
      <c r="C44" s="3" t="s">
        <v>192</v>
      </c>
      <c r="D44" s="13" t="n">
        <f aca="false">SUMIF(MANUALES!$B$16:$B$69,$A44,MANUALES!W$16:W$69)</f>
        <v>0</v>
      </c>
      <c r="E44" s="13" t="n">
        <f aca="false">SUMIF(RODANTES!$B$16:$B$68,$A44,RODANTES!W$16:W$68)</f>
        <v>91914.8674492459</v>
      </c>
      <c r="F44" s="13" t="n">
        <f aca="false">SUMIF(RECARGAS!$B$16:$B$37,$A44,RECARGAS!AG$16:AG$37)</f>
        <v>12555.3845031561</v>
      </c>
      <c r="G44" s="13" t="n">
        <f aca="false">SUMIF(REVENDIDOS!$B$16:$B$25,$A44,REVENDIDOS!X$16:X$25)</f>
        <v>0</v>
      </c>
      <c r="H44" s="13" t="n">
        <f aca="false">SUMIF(MANUALES!$B$16:$B$69,$A44,MANUALES!N$16:N$69)+SUMIF(RODANTES!$B$16:$B$68,$A44,RODANTES!N$16:N$68)+SUMIF(RECARGAS!$B$16:$B$37,$A44,RECARGAS!X$16:X$37)+SUMIF(REVENDIDOS!$B$16:$B$25,$A44,REVENDIDOS!O$16:O$25)</f>
        <v>7169.68990812885</v>
      </c>
      <c r="I44" s="13" t="n">
        <f aca="false">SUMIF(MANUALES!$B$16:$B$69,$A44,MANUALES!O$16:O$69)+SUMIF(RODANTES!$B$16:$B$68,$A44,RODANTES!O$16:O$68)+SUMIF(RECARGAS!$B$16:$B$37,$A44,RECARGAS!Y$16:Y$37)+SUMIF(REVENDIDOS!$B$16:$B$25,$A44,REVENDIDOS!P$16:P$25)</f>
        <v>12919.7230174939</v>
      </c>
      <c r="J44" s="13" t="n">
        <f aca="false">SUMIF(MANUALES!$B$16:$B$69,$A44,MANUALES!P$16:P$69)+SUMIF(RODANTES!$B$16:$B$68,$A44,RODANTES!P$16:P$68)+SUMIF(RECARGAS!$B$16:$B$37,$A44,RECARGAS!Z$16:Z$37)+SUMIF(REVENDIDOS!$B$16:$B$25,$A44,REVENDIDOS!Q$16:Q$25)</f>
        <v>17601.4492606212</v>
      </c>
      <c r="K44" s="13" t="n">
        <f aca="false">SUMIF(MANUALES!$B$16:$B$69,$A44,MANUALES!Q$16:Q$69)+SUMIF(RODANTES!$B$16:$B$68,$A44,RODANTES!Q$16:Q$68)+SUMIF(RECARGAS!$B$16:$B$37,$A44,RECARGAS!AA$16:AA$37)+SUMIF(REVENDIDOS!$B$16:$B$25,$A44,REVENDIDOS!R$16:R$25)</f>
        <v>24555.9822034121</v>
      </c>
      <c r="L44" s="13" t="n">
        <f aca="false">SUMIF(MANUALES!$B$16:$B$69,$A44,MANUALES!R$16:R$69)+SUMIF(RODANTES!$B$16:$B$68,$A44,RODANTES!R$16:R$68)+SUMIF(RECARGAS!$B$16:$B$37,$A44,RECARGAS!AB$16:AB$37)+SUMIF(REVENDIDOS!$B$16:$B$25,$A44,REVENDIDOS!S$16:S$25)</f>
        <v>37592.0566592978</v>
      </c>
      <c r="M44" s="13" t="n">
        <f aca="false">SUMIF(MANUALES!$B$16:$B$69,$A44,MANUALES!S$16:S$69)+SUMIF(RODANTES!$B$16:$B$68,$A44,RODANTES!S$16:S$68)+SUMIF(RECARGAS!$B$16:$B$37,$A44,RECARGAS!AC$16:AC$37)+SUMIF(REVENDIDOS!$B$16:$B$25,$A44,REVENDIDOS!T$16:T$25)</f>
        <v>50856.6141611475</v>
      </c>
      <c r="N44" s="13" t="n">
        <f aca="false">SUMIF(MANUALES!$B$16:$B$69,$A44,MANUALES!T$16:T$69)+SUMIF(RODANTES!$B$16:$B$68,$A44,RODANTES!T$16:T$68)+SUMIF(RECARGAS!$B$16:$B$37,$A44,RECARGAS!AD$16:AD$37)+SUMIF(REVENDIDOS!$B$16:$B$25,$A44,REVENDIDOS!U$16:U$25)</f>
        <v>64947.0865953735</v>
      </c>
      <c r="O44" s="13" t="n">
        <f aca="false">SUMIF(MANUALES!$B$16:$B$69,$A44,MANUALES!U$16:U$69)+SUMIF(RODANTES!$B$16:$B$68,$A44,RODANTES!U$16:U$68)+SUMIF(RECARGAS!$B$16:$B$37,$A44,RECARGAS!AE$16:AE$37)+SUMIF(REVENDIDOS!$B$16:$B$25,$A44,REVENDIDOS!V$16:V$25)</f>
        <v>79296.201032834</v>
      </c>
      <c r="P44" s="13" t="n">
        <f aca="false">SUMIF(MANUALES!$B$16:$B$69,$A44,MANUALES!V$16:V$69)+SUMIF(RODANTES!$B$16:$B$68,$A44,RODANTES!V$16:V$68)+SUMIF(RECARGAS!$B$16:$B$37,$A44,RECARGAS!AF$16:AF$37)+SUMIF(REVENDIDOS!$B$16:$B$25,$A44,REVENDIDOS!W$16:W$25)</f>
        <v>91516.2184108939</v>
      </c>
      <c r="Q44" s="13" t="n">
        <f aca="false">SUMIF(MANUALES!$B$16:$B$69,$A44,MANUALES!W$16:W$69)+SUMIF(RODANTES!$B$16:$B$68,$A44,RODANTES!W$16:W$68)+SUMIF(RECARGAS!$B$16:$B$37,$A44,RECARGAS!AG$16:AG$37)+SUMIF(REVENDIDOS!$B$16:$B$25,$A44,REVENDIDOS!X$16:X$25)</f>
        <v>104470.251952402</v>
      </c>
      <c r="R44" s="13" t="n">
        <f aca="false">SUMIF(MANUALES!$B$16:$B$69,$A44,MANUALES!X$16:X$69)+SUMIF(RODANTES!$B$16:$B$68,$A44,RODANTES!X$16:X$68)+SUMIF(RECARGAS!$B$16:$B$37,$A44,RECARGAS!AH$16:AH$37)+SUMIF(REVENDIDOS!$B$16:$B$25,$A44,REVENDIDOS!Y$16:Y$25)</f>
        <v>9318.62011236181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SUMIF(MANUALES!$B$16:$B$69,$A45,MANUALES!W$16:W$69)</f>
        <v>1313.9995867957</v>
      </c>
      <c r="E45" s="13" t="n">
        <f aca="false">SUMIF(RODANTES!$B$16:$B$68,$A45,RODANTES!W$16:W$68)</f>
        <v>540.182738757506</v>
      </c>
      <c r="F45" s="13" t="n">
        <f aca="false">SUMIF(RECARGAS!$B$16:$B$37,$A45,RECARGAS!AG$16:AG$37)</f>
        <v>2204.12499089217</v>
      </c>
      <c r="G45" s="13" t="n">
        <f aca="false">SUMIF(REVENDIDOS!$B$16:$B$25,$A45,REVENDIDOS!X$16:X$25)</f>
        <v>0</v>
      </c>
      <c r="H45" s="13" t="n">
        <f aca="false">SUMIF(MANUALES!$B$16:$B$69,$A45,MANUALES!N$16:N$69)+SUMIF(RODANTES!$B$16:$B$68,$A45,RODANTES!N$16:N$68)+SUMIF(RECARGAS!$B$16:$B$37,$A45,RECARGAS!X$16:X$37)+SUMIF(REVENDIDOS!$B$16:$B$25,$A45,REVENDIDOS!O$16:O$25)</f>
        <v>191.499245417744</v>
      </c>
      <c r="I45" s="13" t="n">
        <f aca="false">SUMIF(MANUALES!$B$16:$B$69,$A45,MANUALES!O$16:O$69)+SUMIF(RODANTES!$B$16:$B$68,$A45,RODANTES!O$16:O$68)+SUMIF(RECARGAS!$B$16:$B$37,$A45,RECARGAS!Y$16:Y$37)+SUMIF(REVENDIDOS!$B$16:$B$25,$A45,REVENDIDOS!P$16:P$25)</f>
        <v>456.344475049027</v>
      </c>
      <c r="J45" s="13" t="n">
        <f aca="false">SUMIF(MANUALES!$B$16:$B$69,$A45,MANUALES!P$16:P$69)+SUMIF(RODANTES!$B$16:$B$68,$A45,RODANTES!P$16:P$68)+SUMIF(RECARGAS!$B$16:$B$37,$A45,RECARGAS!Z$16:Z$37)+SUMIF(REVENDIDOS!$B$16:$B$25,$A45,REVENDIDOS!Q$16:Q$25)</f>
        <v>743.243974600875</v>
      </c>
      <c r="K45" s="13" t="n">
        <f aca="false">SUMIF(MANUALES!$B$16:$B$69,$A45,MANUALES!Q$16:Q$69)+SUMIF(RODANTES!$B$16:$B$68,$A45,RODANTES!Q$16:Q$68)+SUMIF(RECARGAS!$B$16:$B$37,$A45,RECARGAS!AA$16:AA$37)+SUMIF(REVENDIDOS!$B$16:$B$25,$A45,REVENDIDOS!R$16:R$25)</f>
        <v>1213.84477500238</v>
      </c>
      <c r="L45" s="13" t="n">
        <f aca="false">SUMIF(MANUALES!$B$16:$B$69,$A45,MANUALES!R$16:R$69)+SUMIF(RODANTES!$B$16:$B$68,$A45,RODANTES!R$16:R$68)+SUMIF(RECARGAS!$B$16:$B$37,$A45,RECARGAS!AB$16:AB$37)+SUMIF(REVENDIDOS!$B$16:$B$25,$A45,REVENDIDOS!S$16:S$25)</f>
        <v>1763.96644197194</v>
      </c>
      <c r="M45" s="13" t="n">
        <f aca="false">SUMIF(MANUALES!$B$16:$B$69,$A45,MANUALES!S$16:S$69)+SUMIF(RODANTES!$B$16:$B$68,$A45,RODANTES!S$16:S$68)+SUMIF(RECARGAS!$B$16:$B$37,$A45,RECARGAS!AC$16:AC$37)+SUMIF(REVENDIDOS!$B$16:$B$25,$A45,REVENDIDOS!T$16:T$25)</f>
        <v>2345.22267020029</v>
      </c>
      <c r="N45" s="13" t="n">
        <f aca="false">SUMIF(MANUALES!$B$16:$B$69,$A45,MANUALES!T$16:T$69)+SUMIF(RODANTES!$B$16:$B$68,$A45,RODANTES!T$16:T$68)+SUMIF(RECARGAS!$B$16:$B$37,$A45,RECARGAS!AD$16:AD$37)+SUMIF(REVENDIDOS!$B$16:$B$25,$A45,REVENDIDOS!U$16:U$25)</f>
        <v>2900.09124851227</v>
      </c>
      <c r="O45" s="13" t="n">
        <f aca="false">SUMIF(MANUALES!$B$16:$B$69,$A45,MANUALES!U$16:U$69)+SUMIF(RODANTES!$B$16:$B$68,$A45,RODANTES!U$16:U$68)+SUMIF(RECARGAS!$B$16:$B$37,$A45,RECARGAS!AE$16:AE$37)+SUMIF(REVENDIDOS!$B$16:$B$25,$A45,REVENDIDOS!V$16:V$25)</f>
        <v>3335.46583035699</v>
      </c>
      <c r="P45" s="13" t="n">
        <f aca="false">SUMIF(MANUALES!$B$16:$B$69,$A45,MANUALES!V$16:V$69)+SUMIF(RODANTES!$B$16:$B$68,$A45,RODANTES!V$16:V$68)+SUMIF(RECARGAS!$B$16:$B$37,$A45,RECARGAS!AF$16:AF$37)+SUMIF(REVENDIDOS!$B$16:$B$25,$A45,REVENDIDOS!W$16:W$25)</f>
        <v>3674.96545392484</v>
      </c>
      <c r="Q45" s="13" t="n">
        <f aca="false">SUMIF(MANUALES!$B$16:$B$69,$A45,MANUALES!W$16:W$69)+SUMIF(RODANTES!$B$16:$B$68,$A45,RODANTES!W$16:W$68)+SUMIF(RECARGAS!$B$16:$B$37,$A45,RECARGAS!AG$16:AG$37)+SUMIF(REVENDIDOS!$B$16:$B$25,$A45,REVENDIDOS!X$16:X$25)</f>
        <v>4058.30731644538</v>
      </c>
      <c r="R45" s="13" t="n">
        <f aca="false">SUMIF(MANUALES!$B$16:$B$69,$A45,MANUALES!X$16:X$69)+SUMIF(RODANTES!$B$16:$B$68,$A45,RODANTES!X$16:X$68)+SUMIF(RECARGAS!$B$16:$B$37,$A45,RECARGAS!AH$16:AH$37)+SUMIF(REVENDIDOS!$B$16:$B$25,$A45,REVENDIDOS!Y$16:Y$25)</f>
        <v>378.599616938142</v>
      </c>
    </row>
    <row r="46" customFormat="false" ht="15" hidden="false" customHeight="false" outlineLevel="0" collapsed="false">
      <c r="A46" s="3" t="s">
        <v>489</v>
      </c>
      <c r="B46" s="3" t="s">
        <v>490</v>
      </c>
      <c r="C46" s="3" t="s">
        <v>192</v>
      </c>
      <c r="D46" s="13" t="n">
        <f aca="false">SUMIF(MANUALES!$B$16:$B$69,$A46,MANUALES!W$16:W$69)</f>
        <v>0</v>
      </c>
      <c r="E46" s="13" t="n">
        <f aca="false">SUMIF(RODANTES!$B$16:$B$68,$A46,RODANTES!W$16:W$68)</f>
        <v>0</v>
      </c>
      <c r="F46" s="13" t="n">
        <f aca="false">SUMIF(RECARGAS!$B$16:$B$37,$A46,RECARGAS!AG$16:AG$37)</f>
        <v>863.109324777157</v>
      </c>
      <c r="G46" s="13" t="n">
        <f aca="false">SUMIF(REVENDIDOS!$B$16:$B$25,$A46,REVENDIDOS!X$16:X$25)</f>
        <v>0</v>
      </c>
      <c r="H46" s="13" t="n">
        <f aca="false">SUMIF(MANUALES!$B$16:$B$69,$A46,MANUALES!N$16:N$69)+SUMIF(RODANTES!$B$16:$B$68,$A46,RODANTES!N$16:N$68)+SUMIF(RECARGAS!$B$16:$B$37,$A46,RECARGAS!X$16:X$37)+SUMIF(REVENDIDOS!$B$16:$B$25,$A46,REVENDIDOS!O$16:O$25)</f>
        <v>13.8024314192896</v>
      </c>
      <c r="I46" s="13" t="n">
        <f aca="false">SUMIF(MANUALES!$B$16:$B$69,$A46,MANUALES!O$16:O$69)+SUMIF(RODANTES!$B$16:$B$68,$A46,RODANTES!O$16:O$68)+SUMIF(RECARGAS!$B$16:$B$37,$A46,RECARGAS!Y$16:Y$37)+SUMIF(REVENDIDOS!$B$16:$B$25,$A46,REVENDIDOS!P$16:P$25)</f>
        <v>84.7683640647529</v>
      </c>
      <c r="J46" s="13" t="n">
        <f aca="false">SUMIF(MANUALES!$B$16:$B$69,$A46,MANUALES!P$16:P$69)+SUMIF(RODANTES!$B$16:$B$68,$A46,RODANTES!P$16:P$68)+SUMIF(RECARGAS!$B$16:$B$37,$A46,RECARGAS!Z$16:Z$37)+SUMIF(REVENDIDOS!$B$16:$B$25,$A46,REVENDIDOS!Q$16:Q$25)</f>
        <v>158.504421058949</v>
      </c>
      <c r="K46" s="13" t="n">
        <f aca="false">SUMIF(MANUALES!$B$16:$B$69,$A46,MANUALES!Q$16:Q$69)+SUMIF(RODANTES!$B$16:$B$68,$A46,RODANTES!Q$16:Q$68)+SUMIF(RECARGAS!$B$16:$B$37,$A46,RECARGAS!AA$16:AA$37)+SUMIF(REVENDIDOS!$B$16:$B$25,$A46,REVENDIDOS!R$16:R$25)</f>
        <v>284.780855340772</v>
      </c>
      <c r="L46" s="13" t="n">
        <f aca="false">SUMIF(MANUALES!$B$16:$B$69,$A46,MANUALES!R$16:R$69)+SUMIF(RODANTES!$B$16:$B$68,$A46,RODANTES!R$16:R$68)+SUMIF(RECARGAS!$B$16:$B$37,$A46,RECARGAS!AB$16:AB$37)+SUMIF(REVENDIDOS!$B$16:$B$25,$A46,REVENDIDOS!S$16:S$25)</f>
        <v>392.861388285948</v>
      </c>
      <c r="M46" s="13" t="n">
        <f aca="false">SUMIF(MANUALES!$B$16:$B$69,$A46,MANUALES!S$16:S$69)+SUMIF(RODANTES!$B$16:$B$68,$A46,RODANTES!S$16:S$68)+SUMIF(RECARGAS!$B$16:$B$37,$A46,RECARGAS!AC$16:AC$37)+SUMIF(REVENDIDOS!$B$16:$B$25,$A46,REVENDIDOS!T$16:T$25)</f>
        <v>521.713746686745</v>
      </c>
      <c r="N46" s="13" t="n">
        <f aca="false">SUMIF(MANUALES!$B$16:$B$69,$A46,MANUALES!T$16:T$69)+SUMIF(RODANTES!$B$16:$B$68,$A46,RODANTES!T$16:T$68)+SUMIF(RECARGAS!$B$16:$B$37,$A46,RECARGAS!AD$16:AD$37)+SUMIF(REVENDIDOS!$B$16:$B$25,$A46,REVENDIDOS!U$16:U$25)</f>
        <v>657.444232339191</v>
      </c>
      <c r="O46" s="13" t="n">
        <f aca="false">SUMIF(MANUALES!$B$16:$B$69,$A46,MANUALES!U$16:U$69)+SUMIF(RODANTES!$B$16:$B$68,$A46,RODANTES!U$16:U$68)+SUMIF(RECARGAS!$B$16:$B$37,$A46,RECARGAS!AE$16:AE$37)+SUMIF(REVENDIDOS!$B$16:$B$25,$A46,REVENDIDOS!V$16:V$25)</f>
        <v>728.972998011895</v>
      </c>
      <c r="P46" s="13" t="n">
        <f aca="false">SUMIF(MANUALES!$B$16:$B$69,$A46,MANUALES!V$16:V$69)+SUMIF(RODANTES!$B$16:$B$68,$A46,RODANTES!V$16:V$68)+SUMIF(RECARGAS!$B$16:$B$37,$A46,RECARGAS!AF$16:AF$37)+SUMIF(REVENDIDOS!$B$16:$B$25,$A46,REVENDIDOS!W$16:W$25)</f>
        <v>794.873606200093</v>
      </c>
      <c r="Q46" s="13" t="n">
        <f aca="false">SUMIF(MANUALES!$B$16:$B$69,$A46,MANUALES!W$16:W$69)+SUMIF(RODANTES!$B$16:$B$68,$A46,RODANTES!W$16:W$68)+SUMIF(RECARGAS!$B$16:$B$37,$A46,RECARGAS!AG$16:AG$37)+SUMIF(REVENDIDOS!$B$16:$B$25,$A46,REVENDIDOS!X$16:X$25)</f>
        <v>863.109324777157</v>
      </c>
      <c r="R46" s="13" t="n">
        <f aca="false">SUMIF(MANUALES!$B$16:$B$69,$A46,MANUALES!X$16:X$69)+SUMIF(RODANTES!$B$16:$B$68,$A46,RODANTES!X$16:X$68)+SUMIF(RECARGAS!$B$16:$B$37,$A46,RECARGAS!AH$16:AH$37)+SUMIF(REVENDIDOS!$B$16:$B$25,$A46,REVENDIDOS!Y$16:Y$25)</f>
        <v>71.925777064763</v>
      </c>
    </row>
    <row r="47" customFormat="false" ht="15" hidden="false" customHeight="false" outlineLevel="0" collapsed="false">
      <c r="A47" s="3" t="s">
        <v>492</v>
      </c>
      <c r="B47" s="3" t="s">
        <v>493</v>
      </c>
      <c r="C47" s="3" t="s">
        <v>192</v>
      </c>
      <c r="D47" s="13" t="n">
        <f aca="false">SUMIF(MANUALES!$B$16:$B$69,$A47,MANUALES!W$16:W$69)</f>
        <v>0</v>
      </c>
      <c r="E47" s="13" t="n">
        <f aca="false">SUMIF(RODANTES!$B$16:$B$68,$A47,RODANTES!W$16:W$68)</f>
        <v>0</v>
      </c>
      <c r="F47" s="13" t="n">
        <f aca="false">SUMIF(RECARGAS!$B$16:$B$37,$A47,RECARGAS!AG$16:AG$37)</f>
        <v>1383.75700379475</v>
      </c>
      <c r="G47" s="13" t="n">
        <f aca="false">SUMIF(REVENDIDOS!$B$16:$B$25,$A47,REVENDIDOS!X$16:X$25)</f>
        <v>0</v>
      </c>
      <c r="H47" s="13" t="n">
        <f aca="false">SUMIF(MANUALES!$B$16:$B$69,$A47,MANUALES!N$16:N$69)+SUMIF(RODANTES!$B$16:$B$68,$A47,RODANTES!N$16:N$68)+SUMIF(RECARGAS!$B$16:$B$37,$A47,RECARGAS!X$16:X$37)+SUMIF(REVENDIDOS!$B$16:$B$25,$A47,REVENDIDOS!O$16:O$25)</f>
        <v>24.5227665022331</v>
      </c>
      <c r="I47" s="13" t="n">
        <f aca="false">SUMIF(MANUALES!$B$16:$B$69,$A47,MANUALES!O$16:O$69)+SUMIF(RODANTES!$B$16:$B$68,$A47,RODANTES!O$16:O$68)+SUMIF(RECARGAS!$B$16:$B$37,$A47,RECARGAS!Y$16:Y$37)+SUMIF(REVENDIDOS!$B$16:$B$25,$A47,REVENDIDOS!P$16:P$25)</f>
        <v>150.607870134464</v>
      </c>
      <c r="J47" s="13" t="n">
        <f aca="false">SUMIF(MANUALES!$B$16:$B$69,$A47,MANUALES!P$16:P$69)+SUMIF(RODANTES!$B$16:$B$68,$A47,RODANTES!P$16:P$68)+SUMIF(RECARGAS!$B$16:$B$37,$A47,RECARGAS!Z$16:Z$37)+SUMIF(REVENDIDOS!$B$16:$B$25,$A47,REVENDIDOS!Q$16:Q$25)</f>
        <v>281.614651007647</v>
      </c>
      <c r="K47" s="13" t="n">
        <f aca="false">SUMIF(MANUALES!$B$16:$B$69,$A47,MANUALES!Q$16:Q$69)+SUMIF(RODANTES!$B$16:$B$68,$A47,RODANTES!Q$16:Q$68)+SUMIF(RECARGAS!$B$16:$B$37,$A47,RECARGAS!AA$16:AA$37)+SUMIF(REVENDIDOS!$B$16:$B$25,$A47,REVENDIDOS!R$16:R$25)</f>
        <v>470.808454098829</v>
      </c>
      <c r="L47" s="13" t="n">
        <f aca="false">SUMIF(MANUALES!$B$16:$B$69,$A47,MANUALES!R$16:R$69)+SUMIF(RODANTES!$B$16:$B$68,$A47,RODANTES!R$16:R$68)+SUMIF(RECARGAS!$B$16:$B$37,$A47,RECARGAS!AB$16:AB$37)+SUMIF(REVENDIDOS!$B$16:$B$25,$A47,REVENDIDOS!S$16:S$25)</f>
        <v>652.349744286289</v>
      </c>
      <c r="M47" s="13" t="n">
        <f aca="false">SUMIF(MANUALES!$B$16:$B$69,$A47,MANUALES!S$16:S$69)+SUMIF(RODANTES!$B$16:$B$68,$A47,RODANTES!S$16:S$68)+SUMIF(RECARGAS!$B$16:$B$37,$A47,RECARGAS!AC$16:AC$37)+SUMIF(REVENDIDOS!$B$16:$B$25,$A47,REVENDIDOS!T$16:T$25)</f>
        <v>810.683262621405</v>
      </c>
      <c r="N47" s="13" t="n">
        <f aca="false">SUMIF(MANUALES!$B$16:$B$69,$A47,MANUALES!T$16:T$69)+SUMIF(RODANTES!$B$16:$B$68,$A47,RODANTES!T$16:T$68)+SUMIF(RECARGAS!$B$16:$B$37,$A47,RECARGAS!AD$16:AD$37)+SUMIF(REVENDIDOS!$B$16:$B$25,$A47,REVENDIDOS!U$16:U$25)</f>
        <v>1041.42939801644</v>
      </c>
      <c r="O47" s="13" t="n">
        <f aca="false">SUMIF(MANUALES!$B$16:$B$69,$A47,MANUALES!U$16:U$69)+SUMIF(RODANTES!$B$16:$B$68,$A47,RODANTES!U$16:U$68)+SUMIF(RECARGAS!$B$16:$B$37,$A47,RECARGAS!AE$16:AE$37)+SUMIF(REVENDIDOS!$B$16:$B$25,$A47,REVENDIDOS!V$16:V$25)</f>
        <v>1162.01494360493</v>
      </c>
      <c r="P47" s="13" t="n">
        <f aca="false">SUMIF(MANUALES!$B$16:$B$69,$A47,MANUALES!V$16:V$69)+SUMIF(RODANTES!$B$16:$B$68,$A47,RODANTES!V$16:V$68)+SUMIF(RECARGAS!$B$16:$B$37,$A47,RECARGAS!AF$16:AF$37)+SUMIF(REVENDIDOS!$B$16:$B$25,$A47,REVENDIDOS!W$16:W$25)</f>
        <v>1274.08988239228</v>
      </c>
      <c r="Q47" s="13" t="n">
        <f aca="false">SUMIF(MANUALES!$B$16:$B$69,$A47,MANUALES!W$16:W$69)+SUMIF(RODANTES!$B$16:$B$68,$A47,RODANTES!W$16:W$68)+SUMIF(RECARGAS!$B$16:$B$37,$A47,RECARGAS!AG$16:AG$37)+SUMIF(REVENDIDOS!$B$16:$B$25,$A47,REVENDIDOS!X$16:X$25)</f>
        <v>1383.75700379475</v>
      </c>
      <c r="R47" s="13" t="n">
        <f aca="false">SUMIF(MANUALES!$B$16:$B$69,$A47,MANUALES!X$16:X$69)+SUMIF(RODANTES!$B$16:$B$68,$A47,RODANTES!X$16:X$68)+SUMIF(RECARGAS!$B$16:$B$37,$A47,RECARGAS!AH$16:AH$37)+SUMIF(REVENDIDOS!$B$16:$B$25,$A47,REVENDIDOS!Y$16:Y$25)</f>
        <v>115.313083649563</v>
      </c>
    </row>
    <row r="48" customFormat="false" ht="15" hidden="false" customHeight="false" outlineLevel="0" collapsed="false">
      <c r="A48" s="3" t="s">
        <v>495</v>
      </c>
      <c r="B48" s="3" t="s">
        <v>496</v>
      </c>
      <c r="C48" s="3" t="s">
        <v>192</v>
      </c>
      <c r="D48" s="13" t="n">
        <f aca="false">SUMIF(MANUALES!$B$16:$B$69,$A48,MANUALES!W$16:W$69)</f>
        <v>0</v>
      </c>
      <c r="E48" s="13" t="n">
        <f aca="false">SUMIF(RODANTES!$B$16:$B$68,$A48,RODANTES!W$16:W$68)</f>
        <v>0</v>
      </c>
      <c r="F48" s="13" t="n">
        <f aca="false">SUMIF(RECARGAS!$B$16:$B$37,$A48,RECARGAS!AG$16:AG$37)</f>
        <v>2943.44242948868</v>
      </c>
      <c r="G48" s="13" t="n">
        <f aca="false">SUMIF(REVENDIDOS!$B$16:$B$25,$A48,REVENDIDOS!X$16:X$25)</f>
        <v>0</v>
      </c>
      <c r="H48" s="13" t="n">
        <f aca="false">SUMIF(MANUALES!$B$16:$B$69,$A48,MANUALES!N$16:N$69)+SUMIF(RODANTES!$B$16:$B$68,$A48,RODANTES!N$16:N$68)+SUMIF(RECARGAS!$B$16:$B$37,$A48,RECARGAS!X$16:X$37)+SUMIF(REVENDIDOS!$B$16:$B$25,$A48,REVENDIDOS!O$16:O$25)</f>
        <v>53.484733796094</v>
      </c>
      <c r="I48" s="13" t="n">
        <f aca="false">SUMIF(MANUALES!$B$16:$B$69,$A48,MANUALES!O$16:O$69)+SUMIF(RODANTES!$B$16:$B$68,$A48,RODANTES!O$16:O$68)+SUMIF(RECARGAS!$B$16:$B$37,$A48,RECARGAS!Y$16:Y$37)+SUMIF(REVENDIDOS!$B$16:$B$25,$A48,REVENDIDOS!P$16:P$25)</f>
        <v>230.858699925214</v>
      </c>
      <c r="J48" s="13" t="n">
        <f aca="false">SUMIF(MANUALES!$B$16:$B$69,$A48,MANUALES!P$16:P$69)+SUMIF(RODANTES!$B$16:$B$68,$A48,RODANTES!P$16:P$68)+SUMIF(RECARGAS!$B$16:$B$37,$A48,RECARGAS!Z$16:Z$37)+SUMIF(REVENDIDOS!$B$16:$B$25,$A48,REVENDIDOS!Q$16:Q$25)</f>
        <v>516.277575579197</v>
      </c>
      <c r="K48" s="13" t="n">
        <f aca="false">SUMIF(MANUALES!$B$16:$B$69,$A48,MANUALES!Q$16:Q$69)+SUMIF(RODANTES!$B$16:$B$68,$A48,RODANTES!Q$16:Q$68)+SUMIF(RECARGAS!$B$16:$B$37,$A48,RECARGAS!AA$16:AA$37)+SUMIF(REVENDIDOS!$B$16:$B$25,$A48,REVENDIDOS!R$16:R$25)</f>
        <v>957.635799684299</v>
      </c>
      <c r="L48" s="13" t="n">
        <f aca="false">SUMIF(MANUALES!$B$16:$B$69,$A48,MANUALES!R$16:R$69)+SUMIF(RODANTES!$B$16:$B$68,$A48,RODANTES!R$16:R$68)+SUMIF(RECARGAS!$B$16:$B$37,$A48,RECARGAS!AB$16:AB$37)+SUMIF(REVENDIDOS!$B$16:$B$25,$A48,REVENDIDOS!S$16:S$25)</f>
        <v>1381.43686456905</v>
      </c>
      <c r="M48" s="13" t="n">
        <f aca="false">SUMIF(MANUALES!$B$16:$B$69,$A48,MANUALES!S$16:S$69)+SUMIF(RODANTES!$B$16:$B$68,$A48,RODANTES!S$16:S$68)+SUMIF(RECARGAS!$B$16:$B$37,$A48,RECARGAS!AC$16:AC$37)+SUMIF(REVENDIDOS!$B$16:$B$25,$A48,REVENDIDOS!T$16:T$25)</f>
        <v>1838.20572130333</v>
      </c>
      <c r="N48" s="13" t="n">
        <f aca="false">SUMIF(MANUALES!$B$16:$B$69,$A48,MANUALES!T$16:T$69)+SUMIF(RODANTES!$B$16:$B$68,$A48,RODANTES!T$16:T$68)+SUMIF(RECARGAS!$B$16:$B$37,$A48,RECARGAS!AD$16:AD$37)+SUMIF(REVENDIDOS!$B$16:$B$25,$A48,REVENDIDOS!U$16:U$25)</f>
        <v>2261.07578722894</v>
      </c>
      <c r="O48" s="13" t="n">
        <f aca="false">SUMIF(MANUALES!$B$16:$B$69,$A48,MANUALES!U$16:U$69)+SUMIF(RODANTES!$B$16:$B$68,$A48,RODANTES!U$16:U$68)+SUMIF(RECARGAS!$B$16:$B$37,$A48,RECARGAS!AE$16:AE$37)+SUMIF(REVENDIDOS!$B$16:$B$25,$A48,REVENDIDOS!V$16:V$25)</f>
        <v>2523.14943193423</v>
      </c>
      <c r="P48" s="13" t="n">
        <f aca="false">SUMIF(MANUALES!$B$16:$B$69,$A48,MANUALES!V$16:V$69)+SUMIF(RODANTES!$B$16:$B$68,$A48,RODANTES!V$16:V$68)+SUMIF(RECARGAS!$B$16:$B$37,$A48,RECARGAS!AF$16:AF$37)+SUMIF(REVENDIDOS!$B$16:$B$25,$A48,REVENDIDOS!W$16:W$25)</f>
        <v>2731.68171151252</v>
      </c>
      <c r="Q48" s="13" t="n">
        <f aca="false">SUMIF(MANUALES!$B$16:$B$69,$A48,MANUALES!W$16:W$69)+SUMIF(RODANTES!$B$16:$B$68,$A48,RODANTES!W$16:W$68)+SUMIF(RECARGAS!$B$16:$B$37,$A48,RECARGAS!AG$16:AG$37)+SUMIF(REVENDIDOS!$B$16:$B$25,$A48,REVENDIDOS!X$16:X$25)</f>
        <v>2943.44242948868</v>
      </c>
      <c r="R48" s="13" t="n">
        <f aca="false">SUMIF(MANUALES!$B$16:$B$69,$A48,MANUALES!X$16:X$69)+SUMIF(RODANTES!$B$16:$B$68,$A48,RODANTES!X$16:X$68)+SUMIF(RECARGAS!$B$16:$B$37,$A48,RECARGAS!AH$16:AH$37)+SUMIF(REVENDIDOS!$B$16:$B$25,$A48,REVENDIDOS!Y$16:Y$25)</f>
        <v>245.286869124057</v>
      </c>
    </row>
    <row r="49" customFormat="false" ht="15" hidden="false" customHeight="false" outlineLevel="0" collapsed="false">
      <c r="A49" s="3" t="s">
        <v>498</v>
      </c>
      <c r="B49" s="3" t="s">
        <v>499</v>
      </c>
      <c r="C49" s="3" t="s">
        <v>192</v>
      </c>
      <c r="D49" s="13" t="n">
        <f aca="false">SUMIF(MANUALES!$B$16:$B$69,$A49,MANUALES!W$16:W$69)</f>
        <v>0</v>
      </c>
      <c r="E49" s="13" t="n">
        <f aca="false">SUMIF(RODANTES!$B$16:$B$68,$A49,RODANTES!W$16:W$68)</f>
        <v>0</v>
      </c>
      <c r="F49" s="13" t="n">
        <f aca="false">SUMIF(RECARGAS!$B$16:$B$37,$A49,RECARGAS!AG$16:AG$37)</f>
        <v>220.148340496436</v>
      </c>
      <c r="G49" s="13" t="n">
        <f aca="false">SUMIF(REVENDIDOS!$B$16:$B$25,$A49,REVENDIDOS!X$16:X$25)</f>
        <v>0</v>
      </c>
      <c r="H49" s="13" t="n">
        <f aca="false">SUMIF(MANUALES!$B$16:$B$69,$A49,MANUALES!N$16:N$69)+SUMIF(RODANTES!$B$16:$B$68,$A49,RODANTES!N$16:N$68)+SUMIF(RECARGAS!$B$16:$B$37,$A49,RECARGAS!X$16:X$37)+SUMIF(REVENDIDOS!$B$16:$B$25,$A49,REVENDIDOS!O$16:O$25)</f>
        <v>3.28811788376891</v>
      </c>
      <c r="I49" s="13" t="n">
        <f aca="false">SUMIF(MANUALES!$B$16:$B$69,$A49,MANUALES!O$16:O$69)+SUMIF(RODANTES!$B$16:$B$68,$A49,RODANTES!O$16:O$68)+SUMIF(RECARGAS!$B$16:$B$37,$A49,RECARGAS!Y$16:Y$37)+SUMIF(REVENDIDOS!$B$16:$B$25,$A49,REVENDIDOS!P$16:P$25)</f>
        <v>19.5292372238067</v>
      </c>
      <c r="J49" s="13" t="n">
        <f aca="false">SUMIF(MANUALES!$B$16:$B$69,$A49,MANUALES!P$16:P$69)+SUMIF(RODANTES!$B$16:$B$68,$A49,RODANTES!P$16:P$68)+SUMIF(RECARGAS!$B$16:$B$37,$A49,RECARGAS!Z$16:Z$37)+SUMIF(REVENDIDOS!$B$16:$B$25,$A49,REVENDIDOS!Q$16:Q$25)</f>
        <v>40.0349433800663</v>
      </c>
      <c r="K49" s="13" t="n">
        <f aca="false">SUMIF(MANUALES!$B$16:$B$69,$A49,MANUALES!Q$16:Q$69)+SUMIF(RODANTES!$B$16:$B$68,$A49,RODANTES!Q$16:Q$68)+SUMIF(RECARGAS!$B$16:$B$37,$A49,RECARGAS!AA$16:AA$37)+SUMIF(REVENDIDOS!$B$16:$B$25,$A49,REVENDIDOS!R$16:R$25)</f>
        <v>69.4569585446709</v>
      </c>
      <c r="L49" s="13" t="n">
        <f aca="false">SUMIF(MANUALES!$B$16:$B$69,$A49,MANUALES!R$16:R$69)+SUMIF(RODANTES!$B$16:$B$68,$A49,RODANTES!R$16:R$68)+SUMIF(RECARGAS!$B$16:$B$37,$A49,RECARGAS!AB$16:AB$37)+SUMIF(REVENDIDOS!$B$16:$B$25,$A49,REVENDIDOS!S$16:S$25)</f>
        <v>99.5519739929986</v>
      </c>
      <c r="M49" s="13" t="n">
        <f aca="false">SUMIF(MANUALES!$B$16:$B$69,$A49,MANUALES!S$16:S$69)+SUMIF(RODANTES!$B$16:$B$68,$A49,RODANTES!S$16:S$68)+SUMIF(RECARGAS!$B$16:$B$37,$A49,RECARGAS!AC$16:AC$37)+SUMIF(REVENDIDOS!$B$16:$B$25,$A49,REVENDIDOS!T$16:T$25)</f>
        <v>130.681935755316</v>
      </c>
      <c r="N49" s="13" t="n">
        <f aca="false">SUMIF(MANUALES!$B$16:$B$69,$A49,MANUALES!T$16:T$69)+SUMIF(RODANTES!$B$16:$B$68,$A49,RODANTES!T$16:T$68)+SUMIF(RECARGAS!$B$16:$B$37,$A49,RECARGAS!AD$16:AD$37)+SUMIF(REVENDIDOS!$B$16:$B$25,$A49,REVENDIDOS!U$16:U$25)</f>
        <v>163.637771701317</v>
      </c>
      <c r="O49" s="13" t="n">
        <f aca="false">SUMIF(MANUALES!$B$16:$B$69,$A49,MANUALES!U$16:U$69)+SUMIF(RODANTES!$B$16:$B$68,$A49,RODANTES!U$16:U$68)+SUMIF(RECARGAS!$B$16:$B$37,$A49,RECARGAS!AE$16:AE$37)+SUMIF(REVENDIDOS!$B$16:$B$25,$A49,REVENDIDOS!V$16:V$25)</f>
        <v>185.616949108296</v>
      </c>
      <c r="P49" s="13" t="n">
        <f aca="false">SUMIF(MANUALES!$B$16:$B$69,$A49,MANUALES!V$16:V$69)+SUMIF(RODANTES!$B$16:$B$68,$A49,RODANTES!V$16:V$68)+SUMIF(RECARGAS!$B$16:$B$37,$A49,RECARGAS!AF$16:AF$37)+SUMIF(REVENDIDOS!$B$16:$B$25,$A49,REVENDIDOS!W$16:W$25)</f>
        <v>202.815513260243</v>
      </c>
      <c r="Q49" s="13" t="n">
        <f aca="false">SUMIF(MANUALES!$B$16:$B$69,$A49,MANUALES!W$16:W$69)+SUMIF(RODANTES!$B$16:$B$68,$A49,RODANTES!W$16:W$68)+SUMIF(RECARGAS!$B$16:$B$37,$A49,RECARGAS!AG$16:AG$37)+SUMIF(REVENDIDOS!$B$16:$B$25,$A49,REVENDIDOS!X$16:X$25)</f>
        <v>220.148340496436</v>
      </c>
      <c r="R49" s="13" t="n">
        <f aca="false">SUMIF(MANUALES!$B$16:$B$69,$A49,MANUALES!X$16:X$69)+SUMIF(RODANTES!$B$16:$B$68,$A49,RODANTES!X$16:X$68)+SUMIF(RECARGAS!$B$16:$B$37,$A49,RECARGAS!AH$16:AH$37)+SUMIF(REVENDIDOS!$B$16:$B$25,$A49,REVENDIDOS!Y$16:Y$25)</f>
        <v>18.3456950413697</v>
      </c>
    </row>
    <row r="50" customFormat="false" ht="15" hidden="false" customHeight="false" outlineLevel="0" collapsed="false">
      <c r="A50" s="3" t="s">
        <v>501</v>
      </c>
      <c r="B50" s="3" t="s">
        <v>502</v>
      </c>
      <c r="C50" s="3" t="s">
        <v>503</v>
      </c>
      <c r="D50" s="13" t="n">
        <f aca="false">SUMIF(MANUALES!$B$16:$B$69,$A50,MANUALES!W$16:W$69)</f>
        <v>0</v>
      </c>
      <c r="E50" s="13" t="n">
        <f aca="false">SUMIF(RODANTES!$B$16:$B$68,$A50,RODANTES!W$16:W$68)</f>
        <v>0</v>
      </c>
      <c r="F50" s="13" t="n">
        <f aca="false">SUMIF(RECARGAS!$B$16:$B$37,$A50,RECARGAS!AG$16:AG$37)</f>
        <v>601.329911787313</v>
      </c>
      <c r="G50" s="13" t="n">
        <f aca="false">SUMIF(REVENDIDOS!$B$16:$B$25,$A50,REVENDIDOS!X$16:X$25)</f>
        <v>0</v>
      </c>
      <c r="H50" s="13" t="n">
        <f aca="false">SUMIF(MANUALES!$B$16:$B$69,$A50,MANUALES!N$16:N$69)+SUMIF(RODANTES!$B$16:$B$68,$A50,RODANTES!N$16:N$68)+SUMIF(RECARGAS!$B$16:$B$37,$A50,RECARGAS!X$16:X$37)+SUMIF(REVENDIDOS!$B$16:$B$25,$A50,REVENDIDOS!O$16:O$25)</f>
        <v>8.79822582309699</v>
      </c>
      <c r="I50" s="13" t="n">
        <f aca="false">SUMIF(MANUALES!$B$16:$B$69,$A50,MANUALES!O$16:O$69)+SUMIF(RODANTES!$B$16:$B$68,$A50,RODANTES!O$16:O$68)+SUMIF(RECARGAS!$B$16:$B$37,$A50,RECARGAS!Y$16:Y$37)+SUMIF(REVENDIDOS!$B$16:$B$25,$A50,REVENDIDOS!P$16:P$25)</f>
        <v>60.0316913693203</v>
      </c>
      <c r="J50" s="13" t="n">
        <f aca="false">SUMIF(MANUALES!$B$16:$B$69,$A50,MANUALES!P$16:P$69)+SUMIF(RODANTES!$B$16:$B$68,$A50,RODANTES!P$16:P$68)+SUMIF(RECARGAS!$B$16:$B$37,$A50,RECARGAS!Z$16:Z$37)+SUMIF(REVENDIDOS!$B$16:$B$25,$A50,REVENDIDOS!Q$16:Q$25)</f>
        <v>118.42603538709</v>
      </c>
      <c r="K50" s="13" t="n">
        <f aca="false">SUMIF(MANUALES!$B$16:$B$69,$A50,MANUALES!Q$16:Q$69)+SUMIF(RODANTES!$B$16:$B$68,$A50,RODANTES!Q$16:Q$68)+SUMIF(RECARGAS!$B$16:$B$37,$A50,RECARGAS!AA$16:AA$37)+SUMIF(REVENDIDOS!$B$16:$B$25,$A50,REVENDIDOS!R$16:R$25)</f>
        <v>201.33713999903</v>
      </c>
      <c r="L50" s="13" t="n">
        <f aca="false">SUMIF(MANUALES!$B$16:$B$69,$A50,MANUALES!R$16:R$69)+SUMIF(RODANTES!$B$16:$B$68,$A50,RODANTES!R$16:R$68)+SUMIF(RECARGAS!$B$16:$B$37,$A50,RECARGAS!AB$16:AB$37)+SUMIF(REVENDIDOS!$B$16:$B$25,$A50,REVENDIDOS!S$16:S$25)</f>
        <v>284.764631871634</v>
      </c>
      <c r="M50" s="13" t="n">
        <f aca="false">SUMIF(MANUALES!$B$16:$B$69,$A50,MANUALES!S$16:S$69)+SUMIF(RODANTES!$B$16:$B$68,$A50,RODANTES!S$16:S$68)+SUMIF(RECARGAS!$B$16:$B$37,$A50,RECARGAS!AC$16:AC$37)+SUMIF(REVENDIDOS!$B$16:$B$25,$A50,REVENDIDOS!T$16:T$25)</f>
        <v>367.371215638501</v>
      </c>
      <c r="N50" s="13" t="n">
        <f aca="false">SUMIF(MANUALES!$B$16:$B$69,$A50,MANUALES!T$16:T$69)+SUMIF(RODANTES!$B$16:$B$68,$A50,RODANTES!T$16:T$68)+SUMIF(RECARGAS!$B$16:$B$37,$A50,RECARGAS!AD$16:AD$37)+SUMIF(REVENDIDOS!$B$16:$B$25,$A50,REVENDIDOS!U$16:U$25)</f>
        <v>450.753288783695</v>
      </c>
      <c r="O50" s="13" t="n">
        <f aca="false">SUMIF(MANUALES!$B$16:$B$69,$A50,MANUALES!U$16:U$69)+SUMIF(RODANTES!$B$16:$B$68,$A50,RODANTES!U$16:U$68)+SUMIF(RECARGAS!$B$16:$B$37,$A50,RECARGAS!AE$16:AE$37)+SUMIF(REVENDIDOS!$B$16:$B$25,$A50,REVENDIDOS!V$16:V$25)</f>
        <v>509.737692329565</v>
      </c>
      <c r="P50" s="13" t="n">
        <f aca="false">SUMIF(MANUALES!$B$16:$B$69,$A50,MANUALES!V$16:V$69)+SUMIF(RODANTES!$B$16:$B$68,$A50,RODANTES!V$16:V$68)+SUMIF(RECARGAS!$B$16:$B$37,$A50,RECARGAS!AF$16:AF$37)+SUMIF(REVENDIDOS!$B$16:$B$25,$A50,REVENDIDOS!W$16:W$25)</f>
        <v>555.251573116638</v>
      </c>
      <c r="Q50" s="13" t="n">
        <f aca="false">SUMIF(MANUALES!$B$16:$B$69,$A50,MANUALES!W$16:W$69)+SUMIF(RODANTES!$B$16:$B$68,$A50,RODANTES!W$16:W$68)+SUMIF(RECARGAS!$B$16:$B$37,$A50,RECARGAS!AG$16:AG$37)+SUMIF(REVENDIDOS!$B$16:$B$25,$A50,REVENDIDOS!X$16:X$25)</f>
        <v>601.329911787313</v>
      </c>
      <c r="R50" s="13" t="n">
        <f aca="false">SUMIF(MANUALES!$B$16:$B$69,$A50,MANUALES!X$16:X$69)+SUMIF(RODANTES!$B$16:$B$68,$A50,RODANTES!X$16:X$68)+SUMIF(RECARGAS!$B$16:$B$37,$A50,RECARGAS!AH$16:AH$37)+SUMIF(REVENDIDOS!$B$16:$B$25,$A50,REVENDIDOS!Y$16:Y$25)</f>
        <v>50.1108259822761</v>
      </c>
    </row>
    <row r="51" customFormat="false" ht="15" hidden="false" customHeight="false" outlineLevel="0" collapsed="false">
      <c r="A51" s="3" t="s">
        <v>505</v>
      </c>
      <c r="B51" s="3" t="s">
        <v>506</v>
      </c>
      <c r="C51" s="3" t="s">
        <v>503</v>
      </c>
      <c r="D51" s="13" t="n">
        <f aca="false">SUMIF(MANUALES!$B$16:$B$69,$A51,MANUALES!W$16:W$69)</f>
        <v>0</v>
      </c>
      <c r="E51" s="13" t="n">
        <f aca="false">SUMIF(RODANTES!$B$16:$B$68,$A51,RODANTES!W$16:W$68)</f>
        <v>0</v>
      </c>
      <c r="F51" s="13" t="n">
        <f aca="false">SUMIF(RECARGAS!$B$16:$B$37,$A51,RECARGAS!AG$16:AG$37)</f>
        <v>8783.90617649257</v>
      </c>
      <c r="G51" s="13" t="n">
        <f aca="false">SUMIF(REVENDIDOS!$B$16:$B$25,$A51,REVENDIDOS!X$16:X$25)</f>
        <v>0</v>
      </c>
      <c r="H51" s="13" t="n">
        <f aca="false">SUMIF(MANUALES!$B$16:$B$69,$A51,MANUALES!N$16:N$69)+SUMIF(RODANTES!$B$16:$B$68,$A51,RODANTES!N$16:N$68)+SUMIF(RECARGAS!$B$16:$B$37,$A51,RECARGAS!X$16:X$37)+SUMIF(REVENDIDOS!$B$16:$B$25,$A51,REVENDIDOS!O$16:O$25)</f>
        <v>172.923643536585</v>
      </c>
      <c r="I51" s="13" t="n">
        <f aca="false">SUMIF(MANUALES!$B$16:$B$69,$A51,MANUALES!O$16:O$69)+SUMIF(RODANTES!$B$16:$B$68,$A51,RODANTES!O$16:O$68)+SUMIF(RECARGAS!$B$16:$B$37,$A51,RECARGAS!Y$16:Y$37)+SUMIF(REVENDIDOS!$B$16:$B$25,$A51,REVENDIDOS!P$16:P$25)</f>
        <v>707.704571300233</v>
      </c>
      <c r="J51" s="13" t="n">
        <f aca="false">SUMIF(MANUALES!$B$16:$B$69,$A51,MANUALES!P$16:P$69)+SUMIF(RODANTES!$B$16:$B$68,$A51,RODANTES!P$16:P$68)+SUMIF(RECARGAS!$B$16:$B$37,$A51,RECARGAS!Z$16:Z$37)+SUMIF(REVENDIDOS!$B$16:$B$25,$A51,REVENDIDOS!Q$16:Q$25)</f>
        <v>1575.55159511492</v>
      </c>
      <c r="K51" s="13" t="n">
        <f aca="false">SUMIF(MANUALES!$B$16:$B$69,$A51,MANUALES!Q$16:Q$69)+SUMIF(RODANTES!$B$16:$B$68,$A51,RODANTES!Q$16:Q$68)+SUMIF(RECARGAS!$B$16:$B$37,$A51,RECARGAS!AA$16:AA$37)+SUMIF(REVENDIDOS!$B$16:$B$25,$A51,REVENDIDOS!R$16:R$25)</f>
        <v>2864.81577639412</v>
      </c>
      <c r="L51" s="13" t="n">
        <f aca="false">SUMIF(MANUALES!$B$16:$B$69,$A51,MANUALES!R$16:R$69)+SUMIF(RODANTES!$B$16:$B$68,$A51,RODANTES!R$16:R$68)+SUMIF(RECARGAS!$B$16:$B$37,$A51,RECARGAS!AB$16:AB$37)+SUMIF(REVENDIDOS!$B$16:$B$25,$A51,REVENDIDOS!S$16:S$25)</f>
        <v>4135.15536503803</v>
      </c>
      <c r="M51" s="13" t="n">
        <f aca="false">SUMIF(MANUALES!$B$16:$B$69,$A51,MANUALES!S$16:S$69)+SUMIF(RODANTES!$B$16:$B$68,$A51,RODANTES!S$16:S$68)+SUMIF(RECARGAS!$B$16:$B$37,$A51,RECARGAS!AC$16:AC$37)+SUMIF(REVENDIDOS!$B$16:$B$25,$A51,REVENDIDOS!T$16:T$25)</f>
        <v>5478.87254041975</v>
      </c>
      <c r="N51" s="13" t="n">
        <f aca="false">SUMIF(MANUALES!$B$16:$B$69,$A51,MANUALES!T$16:T$69)+SUMIF(RODANTES!$B$16:$B$68,$A51,RODANTES!T$16:T$68)+SUMIF(RECARGAS!$B$16:$B$37,$A51,RECARGAS!AD$16:AD$37)+SUMIF(REVENDIDOS!$B$16:$B$25,$A51,REVENDIDOS!U$16:U$25)</f>
        <v>6739.82131229564</v>
      </c>
      <c r="O51" s="13" t="n">
        <f aca="false">SUMIF(MANUALES!$B$16:$B$69,$A51,MANUALES!U$16:U$69)+SUMIF(RODANTES!$B$16:$B$68,$A51,RODANTES!U$16:U$68)+SUMIF(RECARGAS!$B$16:$B$37,$A51,RECARGAS!AE$16:AE$37)+SUMIF(REVENDIDOS!$B$16:$B$25,$A51,REVENDIDOS!V$16:V$25)</f>
        <v>7543.18751245163</v>
      </c>
      <c r="P51" s="13" t="n">
        <f aca="false">SUMIF(MANUALES!$B$16:$B$69,$A51,MANUALES!V$16:V$69)+SUMIF(RODANTES!$B$16:$B$68,$A51,RODANTES!V$16:V$68)+SUMIF(RECARGAS!$B$16:$B$37,$A51,RECARGAS!AF$16:AF$37)+SUMIF(REVENDIDOS!$B$16:$B$25,$A51,REVENDIDOS!W$16:W$25)</f>
        <v>8158.74774054587</v>
      </c>
      <c r="Q51" s="13" t="n">
        <f aca="false">SUMIF(MANUALES!$B$16:$B$69,$A51,MANUALES!W$16:W$69)+SUMIF(RODANTES!$B$16:$B$68,$A51,RODANTES!W$16:W$68)+SUMIF(RECARGAS!$B$16:$B$37,$A51,RECARGAS!AG$16:AG$37)+SUMIF(REVENDIDOS!$B$16:$B$25,$A51,REVENDIDOS!X$16:X$25)</f>
        <v>8783.90617649257</v>
      </c>
      <c r="R51" s="13" t="n">
        <f aca="false">SUMIF(MANUALES!$B$16:$B$69,$A51,MANUALES!X$16:X$69)+SUMIF(RODANTES!$B$16:$B$68,$A51,RODANTES!X$16:X$68)+SUMIF(RECARGAS!$B$16:$B$37,$A51,RECARGAS!AH$16:AH$37)+SUMIF(REVENDIDOS!$B$16:$B$25,$A51,REVENDIDOS!Y$16:Y$25)</f>
        <v>731.992181374381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SUMIF(MANUALES!$B$16:$B$69,$A52,MANUALES!W$16:W$69)</f>
        <v>32072.63913</v>
      </c>
      <c r="E52" s="13" t="n">
        <f aca="false">SUMIF(RODANTES!$B$16:$B$68,$A52,RODANTES!W$16:W$68)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SUMIF(MANUALES!$B$16:$B$69,$A52,MANUALES!N$16:N$69)+SUMIF(RODANTES!$B$16:$B$68,$A52,RODANTES!N$16:N$68)+SUMIF(RECARGAS!$B$16:$B$37,$A52,RECARGAS!X$16:X$37)+SUMIF(REVENDIDOS!$B$16:$B$25,$A52,REVENDIDOS!O$16:O$25)</f>
        <v>4178.736543</v>
      </c>
      <c r="I52" s="13" t="n">
        <f aca="false">SUMIF(MANUALES!$B$16:$B$69,$A52,MANUALES!O$16:O$69)+SUMIF(RODANTES!$B$16:$B$68,$A52,RODANTES!O$16:O$68)+SUMIF(RECARGAS!$B$16:$B$37,$A52,RECARGAS!Y$16:Y$37)+SUMIF(REVENDIDOS!$B$16:$B$25,$A52,REVENDIDOS!P$16:P$25)</f>
        <v>5997.303977</v>
      </c>
      <c r="J52" s="13" t="n">
        <f aca="false">SUMIF(MANUALES!$B$16:$B$69,$A52,MANUALES!P$16:P$69)+SUMIF(RODANTES!$B$16:$B$68,$A52,RODANTES!P$16:P$68)+SUMIF(RECARGAS!$B$16:$B$37,$A52,RECARGAS!Z$16:Z$37)+SUMIF(REVENDIDOS!$B$16:$B$25,$A52,REVENDIDOS!Q$16:Q$25)</f>
        <v>6851.747758</v>
      </c>
      <c r="K52" s="13" t="n">
        <f aca="false">SUMIF(MANUALES!$B$16:$B$69,$A52,MANUALES!Q$16:Q$69)+SUMIF(RODANTES!$B$16:$B$68,$A52,RODANTES!Q$16:Q$68)+SUMIF(RECARGAS!$B$16:$B$37,$A52,RECARGAS!AA$16:AA$37)+SUMIF(REVENDIDOS!$B$16:$B$25,$A52,REVENDIDOS!R$16:R$25)</f>
        <v>8467.135549</v>
      </c>
      <c r="L52" s="13" t="n">
        <f aca="false">SUMIF(MANUALES!$B$16:$B$69,$A52,MANUALES!R$16:R$69)+SUMIF(RODANTES!$B$16:$B$68,$A52,RODANTES!R$16:R$68)+SUMIF(RECARGAS!$B$16:$B$37,$A52,RECARGAS!AB$16:AB$37)+SUMIF(REVENDIDOS!$B$16:$B$25,$A52,REVENDIDOS!S$16:S$25)</f>
        <v>12680.63271</v>
      </c>
      <c r="M52" s="13" t="n">
        <f aca="false">SUMIF(MANUALES!$B$16:$B$69,$A52,MANUALES!S$16:S$69)+SUMIF(RODANTES!$B$16:$B$68,$A52,RODANTES!S$16:S$68)+SUMIF(RECARGAS!$B$16:$B$37,$A52,RECARGAS!AC$16:AC$37)+SUMIF(REVENDIDOS!$B$16:$B$25,$A52,REVENDIDOS!T$16:T$25)</f>
        <v>15620.25307</v>
      </c>
      <c r="N52" s="13" t="n">
        <f aca="false">SUMIF(MANUALES!$B$16:$B$69,$A52,MANUALES!T$16:T$69)+SUMIF(RODANTES!$B$16:$B$68,$A52,RODANTES!T$16:T$68)+SUMIF(RECARGAS!$B$16:$B$37,$A52,RECARGAS!AD$16:AD$37)+SUMIF(REVENDIDOS!$B$16:$B$25,$A52,REVENDIDOS!U$16:U$25)</f>
        <v>20332.55326</v>
      </c>
      <c r="O52" s="13" t="n">
        <f aca="false">SUMIF(MANUALES!$B$16:$B$69,$A52,MANUALES!U$16:U$69)+SUMIF(RODANTES!$B$16:$B$68,$A52,RODANTES!U$16:U$68)+SUMIF(RECARGAS!$B$16:$B$37,$A52,RECARGAS!AE$16:AE$37)+SUMIF(REVENDIDOS!$B$16:$B$25,$A52,REVENDIDOS!V$16:V$25)</f>
        <v>25132.07848</v>
      </c>
      <c r="P52" s="13" t="n">
        <f aca="false">SUMIF(MANUALES!$B$16:$B$69,$A52,MANUALES!V$16:V$69)+SUMIF(RODANTES!$B$16:$B$68,$A52,RODANTES!V$16:V$68)+SUMIF(RECARGAS!$B$16:$B$37,$A52,RECARGAS!AF$16:AF$37)+SUMIF(REVENDIDOS!$B$16:$B$25,$A52,REVENDIDOS!W$16:W$25)</f>
        <v>28573.33614</v>
      </c>
      <c r="Q52" s="13" t="n">
        <f aca="false">SUMIF(MANUALES!$B$16:$B$69,$A52,MANUALES!W$16:W$69)+SUMIF(RODANTES!$B$16:$B$68,$A52,RODANTES!W$16:W$68)+SUMIF(RECARGAS!$B$16:$B$37,$A52,RECARGAS!AG$16:AG$37)+SUMIF(REVENDIDOS!$B$16:$B$25,$A52,REVENDIDOS!X$16:X$25)</f>
        <v>32072.63913</v>
      </c>
      <c r="R52" s="13" t="n">
        <f aca="false">SUMIF(MANUALES!$B$16:$B$69,$A52,MANUALES!X$16:X$69)+SUMIF(RODANTES!$B$16:$B$68,$A52,RODANTES!X$16:X$68)+SUMIF(RECARGAS!$B$16:$B$37,$A52,RECARGAS!AH$16:AH$37)+SUMIF(REVENDIDOS!$B$16:$B$25,$A52,REVENDIDOS!Y$16:Y$25)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SUMIF(MANUALES!$B$16:$B$69,$A53,MANUALES!W$16:W$69)</f>
        <v>41717.7615518525</v>
      </c>
      <c r="E53" s="13" t="n">
        <f aca="false">SUMIF(RODANTES!$B$16:$B$68,$A53,RODANTES!W$16:W$68)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SUMIF(MANUALES!$B$16:$B$69,$A53,MANUALES!N$16:N$69)+SUMIF(RODANTES!$B$16:$B$68,$A53,RODANTES!N$16:N$68)+SUMIF(RECARGAS!$B$16:$B$37,$A53,RECARGAS!X$16:X$37)+SUMIF(REVENDIDOS!$B$16:$B$25,$A53,REVENDIDOS!O$16:O$25)</f>
        <v>3118.89208094365</v>
      </c>
      <c r="I53" s="13" t="n">
        <f aca="false">SUMIF(MANUALES!$B$16:$B$69,$A53,MANUALES!O$16:O$69)+SUMIF(RODANTES!$B$16:$B$68,$A53,RODANTES!O$16:O$68)+SUMIF(RECARGAS!$B$16:$B$37,$A53,RECARGAS!Y$16:Y$37)+SUMIF(REVENDIDOS!$B$16:$B$25,$A53,REVENDIDOS!P$16:P$25)</f>
        <v>6389.07755495962</v>
      </c>
      <c r="J53" s="13" t="n">
        <f aca="false">SUMIF(MANUALES!$B$16:$B$69,$A53,MANUALES!P$16:P$69)+SUMIF(RODANTES!$B$16:$B$68,$A53,RODANTES!P$16:P$68)+SUMIF(RECARGAS!$B$16:$B$37,$A53,RECARGAS!Z$16:Z$37)+SUMIF(REVENDIDOS!$B$16:$B$25,$A53,REVENDIDOS!Q$16:Q$25)</f>
        <v>8464.48289697556</v>
      </c>
      <c r="K53" s="13" t="n">
        <f aca="false">SUMIF(MANUALES!$B$16:$B$69,$A53,MANUALES!Q$16:Q$69)+SUMIF(RODANTES!$B$16:$B$68,$A53,RODANTES!Q$16:Q$68)+SUMIF(RECARGAS!$B$16:$B$37,$A53,RECARGAS!AA$16:AA$37)+SUMIF(REVENDIDOS!$B$16:$B$25,$A53,REVENDIDOS!R$16:R$25)</f>
        <v>12310.4797912272</v>
      </c>
      <c r="L53" s="13" t="n">
        <f aca="false">SUMIF(MANUALES!$B$16:$B$69,$A53,MANUALES!R$16:R$69)+SUMIF(RODANTES!$B$16:$B$68,$A53,RODANTES!R$16:R$68)+SUMIF(RECARGAS!$B$16:$B$37,$A53,RECARGAS!AB$16:AB$37)+SUMIF(REVENDIDOS!$B$16:$B$25,$A53,REVENDIDOS!S$16:S$25)</f>
        <v>17443.4309627576</v>
      </c>
      <c r="M53" s="13" t="n">
        <f aca="false">SUMIF(MANUALES!$B$16:$B$69,$A53,MANUALES!S$16:S$69)+SUMIF(RODANTES!$B$16:$B$68,$A53,RODANTES!S$16:S$68)+SUMIF(RECARGAS!$B$16:$B$37,$A53,RECARGAS!AC$16:AC$37)+SUMIF(REVENDIDOS!$B$16:$B$25,$A53,REVENDIDOS!T$16:T$25)</f>
        <v>22901.3849560457</v>
      </c>
      <c r="N53" s="13" t="n">
        <f aca="false">SUMIF(MANUALES!$B$16:$B$69,$A53,MANUALES!T$16:T$69)+SUMIF(RODANTES!$B$16:$B$68,$A53,RODANTES!T$16:T$68)+SUMIF(RECARGAS!$B$16:$B$37,$A53,RECARGAS!AD$16:AD$37)+SUMIF(REVENDIDOS!$B$16:$B$25,$A53,REVENDIDOS!U$16:U$25)</f>
        <v>27901.1013713343</v>
      </c>
      <c r="O53" s="13" t="n">
        <f aca="false">SUMIF(MANUALES!$B$16:$B$69,$A53,MANUALES!U$16:U$69)+SUMIF(RODANTES!$B$16:$B$68,$A53,RODANTES!U$16:U$68)+SUMIF(RECARGAS!$B$16:$B$37,$A53,RECARGAS!AE$16:AE$37)+SUMIF(REVENDIDOS!$B$16:$B$25,$A53,REVENDIDOS!V$16:V$25)</f>
        <v>32531.6476441176</v>
      </c>
      <c r="P53" s="13" t="n">
        <f aca="false">SUMIF(MANUALES!$B$16:$B$69,$A53,MANUALES!V$16:V$69)+SUMIF(RODANTES!$B$16:$B$68,$A53,RODANTES!V$16:V$68)+SUMIF(RECARGAS!$B$16:$B$37,$A53,RECARGAS!AF$16:AF$37)+SUMIF(REVENDIDOS!$B$16:$B$25,$A53,REVENDIDOS!W$16:W$25)</f>
        <v>36443.6580616941</v>
      </c>
      <c r="Q53" s="13" t="n">
        <f aca="false">SUMIF(MANUALES!$B$16:$B$69,$A53,MANUALES!W$16:W$69)+SUMIF(RODANTES!$B$16:$B$68,$A53,RODANTES!W$16:W$68)+SUMIF(RECARGAS!$B$16:$B$37,$A53,RECARGAS!AG$16:AG$37)+SUMIF(REVENDIDOS!$B$16:$B$25,$A53,REVENDIDOS!X$16:X$25)</f>
        <v>41717.7615518525</v>
      </c>
      <c r="R53" s="13" t="n">
        <f aca="false">SUMIF(MANUALES!$B$16:$B$69,$A53,MANUALES!X$16:X$69)+SUMIF(RODANTES!$B$16:$B$68,$A53,RODANTES!X$16:X$68)+SUMIF(RECARGAS!$B$16:$B$37,$A53,RECARGAS!AH$16:AH$37)+SUMIF(REVENDIDOS!$B$16:$B$25,$A53,REVENDIDOS!Y$16:Y$25)</f>
        <v>4588.95377070378</v>
      </c>
    </row>
    <row r="54" customFormat="false" ht="15" hidden="false" customHeight="false" outlineLevel="0" collapsed="false">
      <c r="A54" s="3" t="s">
        <v>437</v>
      </c>
      <c r="B54" s="3" t="s">
        <v>438</v>
      </c>
      <c r="C54" s="3" t="s">
        <v>214</v>
      </c>
      <c r="D54" s="13" t="n">
        <f aca="false">SUMIF(MANUALES!$B$16:$B$69,$A54,MANUALES!W$16:W$69)</f>
        <v>0</v>
      </c>
      <c r="E54" s="13" t="n">
        <f aca="false">SUMIF(RODANTES!$B$16:$B$68,$A54,RODANTES!W$16:W$68)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SUMIF(MANUALES!$B$16:$B$69,$A54,MANUALES!N$16:N$69)+SUMIF(RODANTES!$B$16:$B$68,$A54,RODANTES!N$16:N$68)+SUMIF(RECARGAS!$B$16:$B$37,$A54,RECARGAS!X$16:X$37)+SUMIF(REVENDIDOS!$B$16:$B$25,$A54,REVENDIDOS!O$16:O$25)</f>
        <v>34.05179136</v>
      </c>
      <c r="I54" s="13" t="n">
        <f aca="false">SUMIF(MANUALES!$B$16:$B$69,$A54,MANUALES!O$16:O$69)+SUMIF(RODANTES!$B$16:$B$68,$A54,RODANTES!O$16:O$68)+SUMIF(RECARGAS!$B$16:$B$37,$A54,RECARGAS!Y$16:Y$37)+SUMIF(REVENDIDOS!$B$16:$B$25,$A54,REVENDIDOS!P$16:P$25)</f>
        <v>58.46214745</v>
      </c>
      <c r="J54" s="13" t="n">
        <f aca="false">SUMIF(MANUALES!$B$16:$B$69,$A54,MANUALES!P$16:P$69)+SUMIF(RODANTES!$B$16:$B$68,$A54,RODANTES!P$16:P$68)+SUMIF(RECARGAS!$B$16:$B$37,$A54,RECARGAS!Z$16:Z$37)+SUMIF(REVENDIDOS!$B$16:$B$25,$A54,REVENDIDOS!Q$16:Q$25)</f>
        <v>75.20853998</v>
      </c>
      <c r="K54" s="13" t="n">
        <f aca="false">SUMIF(MANUALES!$B$16:$B$69,$A54,MANUALES!Q$16:Q$69)+SUMIF(RODANTES!$B$16:$B$68,$A54,RODANTES!Q$16:Q$68)+SUMIF(RECARGAS!$B$16:$B$37,$A54,RECARGAS!AA$16:AA$37)+SUMIF(REVENDIDOS!$B$16:$B$25,$A54,REVENDIDOS!R$16:R$25)</f>
        <v>100.5298529</v>
      </c>
      <c r="L54" s="13" t="n">
        <f aca="false">SUMIF(MANUALES!$B$16:$B$69,$A54,MANUALES!R$16:R$69)+SUMIF(RODANTES!$B$16:$B$68,$A54,RODANTES!R$16:R$68)+SUMIF(RECARGAS!$B$16:$B$37,$A54,RECARGAS!AB$16:AB$37)+SUMIF(REVENDIDOS!$B$16:$B$25,$A54,REVENDIDOS!S$16:S$25)</f>
        <v>155.8760035</v>
      </c>
      <c r="M54" s="13" t="n">
        <f aca="false">SUMIF(MANUALES!$B$16:$B$69,$A54,MANUALES!S$16:S$69)+SUMIF(RODANTES!$B$16:$B$68,$A54,RODANTES!S$16:S$68)+SUMIF(RECARGAS!$B$16:$B$37,$A54,RECARGAS!AC$16:AC$37)+SUMIF(REVENDIDOS!$B$16:$B$25,$A54,REVENDIDOS!T$16:T$25)</f>
        <v>211.9344827</v>
      </c>
      <c r="N54" s="13" t="n">
        <f aca="false">SUMIF(MANUALES!$B$16:$B$69,$A54,MANUALES!T$16:T$69)+SUMIF(RODANTES!$B$16:$B$68,$A54,RODANTES!T$16:T$68)+SUMIF(RECARGAS!$B$16:$B$37,$A54,RECARGAS!AD$16:AD$37)+SUMIF(REVENDIDOS!$B$16:$B$25,$A54,REVENDIDOS!U$16:U$25)</f>
        <v>272.6682332</v>
      </c>
      <c r="O54" s="13" t="n">
        <f aca="false">SUMIF(MANUALES!$B$16:$B$69,$A54,MANUALES!U$16:U$69)+SUMIF(RODANTES!$B$16:$B$68,$A54,RODANTES!U$16:U$68)+SUMIF(RECARGAS!$B$16:$B$37,$A54,RECARGAS!AE$16:AE$37)+SUMIF(REVENDIDOS!$B$16:$B$25,$A54,REVENDIDOS!V$16:V$25)</f>
        <v>337.8486707</v>
      </c>
      <c r="P54" s="13" t="n">
        <f aca="false">SUMIF(MANUALES!$B$16:$B$69,$A54,MANUALES!V$16:V$69)+SUMIF(RODANTES!$B$16:$B$68,$A54,RODANTES!V$16:V$68)+SUMIF(RECARGAS!$B$16:$B$37,$A54,RECARGAS!AF$16:AF$37)+SUMIF(REVENDIDOS!$B$16:$B$25,$A54,REVENDIDOS!W$16:W$25)</f>
        <v>393.6274156</v>
      </c>
      <c r="Q54" s="13" t="n">
        <f aca="false">SUMIF(MANUALES!$B$16:$B$69,$A54,MANUALES!W$16:W$69)+SUMIF(RODANTES!$B$16:$B$68,$A54,RODANTES!W$16:W$68)+SUMIF(RECARGAS!$B$16:$B$37,$A54,RECARGAS!AG$16:AG$37)+SUMIF(REVENDIDOS!$B$16:$B$25,$A54,REVENDIDOS!X$16:X$25)</f>
        <v>453.2705332</v>
      </c>
      <c r="R54" s="13" t="n">
        <f aca="false">SUMIF(MANUALES!$B$16:$B$69,$A54,MANUALES!X$16:X$69)+SUMIF(RODANTES!$B$16:$B$68,$A54,RODANTES!X$16:X$68)+SUMIF(RECARGAS!$B$16:$B$37,$A54,RECARGAS!AH$16:AH$37)+SUMIF(REVENDIDOS!$B$16:$B$25,$A54,REVENDIDOS!Y$16:Y$25)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440</v>
      </c>
      <c r="B55" s="3" t="s">
        <v>441</v>
      </c>
      <c r="C55" s="3" t="s">
        <v>214</v>
      </c>
      <c r="D55" s="13" t="n">
        <f aca="false">SUMIF(MANUALES!$B$16:$B$69,$A55,MANUALES!W$16:W$69)</f>
        <v>0</v>
      </c>
      <c r="E55" s="13" t="n">
        <f aca="false">SUMIF(RODANTES!$B$16:$B$68,$A55,RODANTES!W$16:W$68)</f>
        <v>1361.23252887595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SUMIF(MANUALES!$B$16:$B$69,$A55,MANUALES!N$16:N$69)+SUMIF(RODANTES!$B$16:$B$68,$A55,RODANTES!N$16:N$68)+SUMIF(RECARGAS!$B$16:$B$37,$A55,RECARGAS!X$16:X$37)+SUMIF(REVENDIDOS!$B$16:$B$25,$A55,REVENDIDOS!O$16:O$25)</f>
        <v>102.840159235035</v>
      </c>
      <c r="I55" s="13" t="n">
        <f aca="false">SUMIF(MANUALES!$B$16:$B$69,$A55,MANUALES!O$16:O$69)+SUMIF(RODANTES!$B$16:$B$68,$A55,RODANTES!O$16:O$68)+SUMIF(RECARGAS!$B$16:$B$37,$A55,RECARGAS!Y$16:Y$37)+SUMIF(REVENDIDOS!$B$16:$B$25,$A55,REVENDIDOS!P$16:P$25)</f>
        <v>176.105466772287</v>
      </c>
      <c r="J55" s="13" t="n">
        <f aca="false">SUMIF(MANUALES!$B$16:$B$69,$A55,MANUALES!P$16:P$69)+SUMIF(RODANTES!$B$16:$B$68,$A55,RODANTES!P$16:P$68)+SUMIF(RECARGAS!$B$16:$B$37,$A55,RECARGAS!Z$16:Z$37)+SUMIF(REVENDIDOS!$B$16:$B$25,$A55,REVENDIDOS!Q$16:Q$25)</f>
        <v>227.406061357092</v>
      </c>
      <c r="K55" s="13" t="n">
        <f aca="false">SUMIF(MANUALES!$B$16:$B$69,$A55,MANUALES!Q$16:Q$69)+SUMIF(RODANTES!$B$16:$B$68,$A55,RODANTES!Q$16:Q$68)+SUMIF(RECARGAS!$B$16:$B$37,$A55,RECARGAS!AA$16:AA$37)+SUMIF(REVENDIDOS!$B$16:$B$25,$A55,REVENDIDOS!R$16:R$25)</f>
        <v>303.797990942739</v>
      </c>
      <c r="L55" s="13" t="n">
        <f aca="false">SUMIF(MANUALES!$B$16:$B$69,$A55,MANUALES!R$16:R$69)+SUMIF(RODANTES!$B$16:$B$68,$A55,RODANTES!R$16:R$68)+SUMIF(RECARGAS!$B$16:$B$37,$A55,RECARGAS!AB$16:AB$37)+SUMIF(REVENDIDOS!$B$16:$B$25,$A55,REVENDIDOS!S$16:S$25)</f>
        <v>470.281552927012</v>
      </c>
      <c r="M55" s="13" t="n">
        <f aca="false">SUMIF(MANUALES!$B$16:$B$69,$A55,MANUALES!S$16:S$69)+SUMIF(RODANTES!$B$16:$B$68,$A55,RODANTES!S$16:S$68)+SUMIF(RECARGAS!$B$16:$B$37,$A55,RECARGAS!AC$16:AC$37)+SUMIF(REVENDIDOS!$B$16:$B$25,$A55,REVENDIDOS!T$16:T$25)</f>
        <v>638.576828007394</v>
      </c>
      <c r="N55" s="13" t="n">
        <f aca="false">SUMIF(MANUALES!$B$16:$B$69,$A55,MANUALES!T$16:T$69)+SUMIF(RODANTES!$B$16:$B$68,$A55,RODANTES!T$16:T$68)+SUMIF(RECARGAS!$B$16:$B$37,$A55,RECARGAS!AD$16:AD$37)+SUMIF(REVENDIDOS!$B$16:$B$25,$A55,REVENDIDOS!U$16:U$25)</f>
        <v>820.555524075257</v>
      </c>
      <c r="O55" s="13" t="n">
        <f aca="false">SUMIF(MANUALES!$B$16:$B$69,$A55,MANUALES!U$16:U$69)+SUMIF(RODANTES!$B$16:$B$68,$A55,RODANTES!U$16:U$68)+SUMIF(RECARGAS!$B$16:$B$37,$A55,RECARGAS!AE$16:AE$37)+SUMIF(REVENDIDOS!$B$16:$B$25,$A55,REVENDIDOS!V$16:V$25)</f>
        <v>1015.51476939198</v>
      </c>
      <c r="P55" s="13" t="n">
        <f aca="false">SUMIF(MANUALES!$B$16:$B$69,$A55,MANUALES!V$16:V$69)+SUMIF(RODANTES!$B$16:$B$68,$A55,RODANTES!V$16:V$68)+SUMIF(RECARGAS!$B$16:$B$37,$A55,RECARGAS!AF$16:AF$37)+SUMIF(REVENDIDOS!$B$16:$B$25,$A55,REVENDIDOS!W$16:W$25)</f>
        <v>1182.91948260648</v>
      </c>
      <c r="Q55" s="13" t="n">
        <f aca="false">SUMIF(MANUALES!$B$16:$B$69,$A55,MANUALES!W$16:W$69)+SUMIF(RODANTES!$B$16:$B$68,$A55,RODANTES!W$16:W$68)+SUMIF(RECARGAS!$B$16:$B$37,$A55,RECARGAS!AG$16:AG$37)+SUMIF(REVENDIDOS!$B$16:$B$25,$A55,REVENDIDOS!X$16:X$25)</f>
        <v>1361.23252887595</v>
      </c>
      <c r="R55" s="13" t="n">
        <f aca="false">SUMIF(MANUALES!$B$16:$B$69,$A55,MANUALES!X$16:X$69)+SUMIF(RODANTES!$B$16:$B$68,$A55,RODANTES!X$16:X$68)+SUMIF(RECARGAS!$B$16:$B$37,$A55,RECARGAS!AH$16:AH$37)+SUMIF(REVENDIDOS!$B$16:$B$25,$A55,REVENDIDOS!Y$16:Y$25)</f>
        <v>122.510927598835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SUMIF(MANUALES!$B$16:$B$69,$A56,MANUALES!W$16:W$69)</f>
        <v>73790.4006818525</v>
      </c>
      <c r="E56" s="13" t="n">
        <f aca="false">SUMIF(RODANTES!$B$16:$B$68,$A56,RODANTES!W$16:W$68)</f>
        <v>1814.50306207595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SUMIF(MANUALES!$B$16:$B$69,$A56,MANUALES!N$16:N$69)+SUMIF(RODANTES!$B$16:$B$68,$A56,RODANTES!N$16:N$68)+SUMIF(RECARGAS!$B$16:$B$37,$A56,RECARGAS!X$16:X$37)+SUMIF(REVENDIDOS!$B$16:$B$25,$A56,REVENDIDOS!O$16:O$25)</f>
        <v>7434.52057453869</v>
      </c>
      <c r="I56" s="13" t="n">
        <f aca="false">SUMIF(MANUALES!$B$16:$B$69,$A56,MANUALES!O$16:O$69)+SUMIF(RODANTES!$B$16:$B$68,$A56,RODANTES!O$16:O$68)+SUMIF(RECARGAS!$B$16:$B$37,$A56,RECARGAS!Y$16:Y$37)+SUMIF(REVENDIDOS!$B$16:$B$25,$A56,REVENDIDOS!P$16:P$25)</f>
        <v>12620.9491461819</v>
      </c>
      <c r="J56" s="13" t="n">
        <f aca="false">SUMIF(MANUALES!$B$16:$B$69,$A56,MANUALES!P$16:P$69)+SUMIF(RODANTES!$B$16:$B$68,$A56,RODANTES!P$16:P$68)+SUMIF(RECARGAS!$B$16:$B$37,$A56,RECARGAS!Z$16:Z$37)+SUMIF(REVENDIDOS!$B$16:$B$25,$A56,REVENDIDOS!Q$16:Q$25)</f>
        <v>15618.8452563126</v>
      </c>
      <c r="K56" s="13" t="n">
        <f aca="false">SUMIF(MANUALES!$B$16:$B$69,$A56,MANUALES!Q$16:Q$69)+SUMIF(RODANTES!$B$16:$B$68,$A56,RODANTES!Q$16:Q$68)+SUMIF(RECARGAS!$B$16:$B$37,$A56,RECARGAS!AA$16:AA$37)+SUMIF(REVENDIDOS!$B$16:$B$25,$A56,REVENDIDOS!R$16:R$25)</f>
        <v>21181.9431840699</v>
      </c>
      <c r="L56" s="13" t="n">
        <f aca="false">SUMIF(MANUALES!$B$16:$B$69,$A56,MANUALES!R$16:R$69)+SUMIF(RODANTES!$B$16:$B$68,$A56,RODANTES!R$16:R$68)+SUMIF(RECARGAS!$B$16:$B$37,$A56,RECARGAS!AB$16:AB$37)+SUMIF(REVENDIDOS!$B$16:$B$25,$A56,REVENDIDOS!S$16:S$25)</f>
        <v>30750.2212291847</v>
      </c>
      <c r="M56" s="13" t="n">
        <f aca="false">SUMIF(MANUALES!$B$16:$B$69,$A56,MANUALES!S$16:S$69)+SUMIF(RODANTES!$B$16:$B$68,$A56,RODANTES!S$16:S$68)+SUMIF(RECARGAS!$B$16:$B$37,$A56,RECARGAS!AC$16:AC$37)+SUMIF(REVENDIDOS!$B$16:$B$25,$A56,REVENDIDOS!T$16:T$25)</f>
        <v>39372.1493367531</v>
      </c>
      <c r="N56" s="13" t="n">
        <f aca="false">SUMIF(MANUALES!$B$16:$B$69,$A56,MANUALES!T$16:T$69)+SUMIF(RODANTES!$B$16:$B$68,$A56,RODANTES!T$16:T$68)+SUMIF(RECARGAS!$B$16:$B$37,$A56,RECARGAS!AD$16:AD$37)+SUMIF(REVENDIDOS!$B$16:$B$25,$A56,REVENDIDOS!U$16:U$25)</f>
        <v>49326.8783886095</v>
      </c>
      <c r="O56" s="13" t="n">
        <f aca="false">SUMIF(MANUALES!$B$16:$B$69,$A56,MANUALES!U$16:U$69)+SUMIF(RODANTES!$B$16:$B$68,$A56,RODANTES!U$16:U$68)+SUMIF(RECARGAS!$B$16:$B$37,$A56,RECARGAS!AE$16:AE$37)+SUMIF(REVENDIDOS!$B$16:$B$25,$A56,REVENDIDOS!V$16:V$25)</f>
        <v>59017.0895642096</v>
      </c>
      <c r="P56" s="13" t="n">
        <f aca="false">SUMIF(MANUALES!$B$16:$B$69,$A56,MANUALES!V$16:V$69)+SUMIF(RODANTES!$B$16:$B$68,$A56,RODANTES!V$16:V$68)+SUMIF(RECARGAS!$B$16:$B$37,$A56,RECARGAS!AF$16:AF$37)+SUMIF(REVENDIDOS!$B$16:$B$25,$A56,REVENDIDOS!W$16:W$25)</f>
        <v>66593.5410999006</v>
      </c>
      <c r="Q56" s="13" t="n">
        <f aca="false">SUMIF(MANUALES!$B$16:$B$69,$A56,MANUALES!W$16:W$69)+SUMIF(RODANTES!$B$16:$B$68,$A56,RODANTES!W$16:W$68)+SUMIF(RECARGAS!$B$16:$B$37,$A56,RECARGAS!AG$16:AG$37)+SUMIF(REVENDIDOS!$B$16:$B$25,$A56,REVENDIDOS!X$16:X$25)</f>
        <v>75604.9037439285</v>
      </c>
      <c r="R56" s="13" t="n">
        <f aca="false">SUMIF(MANUALES!$B$16:$B$69,$A56,MANUALES!X$16:X$69)+SUMIF(RODANTES!$B$16:$B$68,$A56,RODANTES!X$16:X$68)+SUMIF(RECARGAS!$B$16:$B$37,$A56,RECARGAS!AH$16:AH$37)+SUMIF(REVENDIDOS!$B$16:$B$25,$A56,REVENDIDOS!Y$16:Y$25)</f>
        <v>8600.97574189061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SUMIF(MANUALES!$B$16:$B$69,$A57,MANUALES!W$16:W$69)</f>
        <v>32072.63913</v>
      </c>
      <c r="E57" s="13" t="n">
        <f aca="false">SUMIF(RODANTES!$B$16:$B$68,$A57,RODANTES!W$16:W$68)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SUMIF(MANUALES!$B$16:$B$69,$A57,MANUALES!N$16:N$69)+SUMIF(RODANTES!$B$16:$B$68,$A57,RODANTES!N$16:N$68)+SUMIF(RECARGAS!$B$16:$B$37,$A57,RECARGAS!X$16:X$37)+SUMIF(REVENDIDOS!$B$16:$B$25,$A57,REVENDIDOS!O$16:O$25)</f>
        <v>4178.736543</v>
      </c>
      <c r="I57" s="13" t="n">
        <f aca="false">SUMIF(MANUALES!$B$16:$B$69,$A57,MANUALES!O$16:O$69)+SUMIF(RODANTES!$B$16:$B$68,$A57,RODANTES!O$16:O$68)+SUMIF(RECARGAS!$B$16:$B$37,$A57,RECARGAS!Y$16:Y$37)+SUMIF(REVENDIDOS!$B$16:$B$25,$A57,REVENDIDOS!P$16:P$25)</f>
        <v>5997.303977</v>
      </c>
      <c r="J57" s="13" t="n">
        <f aca="false">SUMIF(MANUALES!$B$16:$B$69,$A57,MANUALES!P$16:P$69)+SUMIF(RODANTES!$B$16:$B$68,$A57,RODANTES!P$16:P$68)+SUMIF(RECARGAS!$B$16:$B$37,$A57,RECARGAS!Z$16:Z$37)+SUMIF(REVENDIDOS!$B$16:$B$25,$A57,REVENDIDOS!Q$16:Q$25)</f>
        <v>6851.747758</v>
      </c>
      <c r="K57" s="13" t="n">
        <f aca="false">SUMIF(MANUALES!$B$16:$B$69,$A57,MANUALES!Q$16:Q$69)+SUMIF(RODANTES!$B$16:$B$68,$A57,RODANTES!Q$16:Q$68)+SUMIF(RECARGAS!$B$16:$B$37,$A57,RECARGAS!AA$16:AA$37)+SUMIF(REVENDIDOS!$B$16:$B$25,$A57,REVENDIDOS!R$16:R$25)</f>
        <v>8467.135549</v>
      </c>
      <c r="L57" s="13" t="n">
        <f aca="false">SUMIF(MANUALES!$B$16:$B$69,$A57,MANUALES!R$16:R$69)+SUMIF(RODANTES!$B$16:$B$68,$A57,RODANTES!R$16:R$68)+SUMIF(RECARGAS!$B$16:$B$37,$A57,RECARGAS!AB$16:AB$37)+SUMIF(REVENDIDOS!$B$16:$B$25,$A57,REVENDIDOS!S$16:S$25)</f>
        <v>12680.63271</v>
      </c>
      <c r="M57" s="13" t="n">
        <f aca="false">SUMIF(MANUALES!$B$16:$B$69,$A57,MANUALES!S$16:S$69)+SUMIF(RODANTES!$B$16:$B$68,$A57,RODANTES!S$16:S$68)+SUMIF(RECARGAS!$B$16:$B$37,$A57,RECARGAS!AC$16:AC$37)+SUMIF(REVENDIDOS!$B$16:$B$25,$A57,REVENDIDOS!T$16:T$25)</f>
        <v>15620.25307</v>
      </c>
      <c r="N57" s="13" t="n">
        <f aca="false">SUMIF(MANUALES!$B$16:$B$69,$A57,MANUALES!T$16:T$69)+SUMIF(RODANTES!$B$16:$B$68,$A57,RODANTES!T$16:T$68)+SUMIF(RECARGAS!$B$16:$B$37,$A57,RECARGAS!AD$16:AD$37)+SUMIF(REVENDIDOS!$B$16:$B$25,$A57,REVENDIDOS!U$16:U$25)</f>
        <v>20332.55326</v>
      </c>
      <c r="O57" s="13" t="n">
        <f aca="false">SUMIF(MANUALES!$B$16:$B$69,$A57,MANUALES!U$16:U$69)+SUMIF(RODANTES!$B$16:$B$68,$A57,RODANTES!U$16:U$68)+SUMIF(RECARGAS!$B$16:$B$37,$A57,RECARGAS!AE$16:AE$37)+SUMIF(REVENDIDOS!$B$16:$B$25,$A57,REVENDIDOS!V$16:V$25)</f>
        <v>25132.07848</v>
      </c>
      <c r="P57" s="13" t="n">
        <f aca="false">SUMIF(MANUALES!$B$16:$B$69,$A57,MANUALES!V$16:V$69)+SUMIF(RODANTES!$B$16:$B$68,$A57,RODANTES!V$16:V$68)+SUMIF(RECARGAS!$B$16:$B$37,$A57,RECARGAS!AF$16:AF$37)+SUMIF(REVENDIDOS!$B$16:$B$25,$A57,REVENDIDOS!W$16:W$25)</f>
        <v>28573.33614</v>
      </c>
      <c r="Q57" s="13" t="n">
        <f aca="false">SUMIF(MANUALES!$B$16:$B$69,$A57,MANUALES!W$16:W$69)+SUMIF(RODANTES!$B$16:$B$68,$A57,RODANTES!W$16:W$68)+SUMIF(RECARGAS!$B$16:$B$37,$A57,RECARGAS!AG$16:AG$37)+SUMIF(REVENDIDOS!$B$16:$B$25,$A57,REVENDIDOS!X$16:X$25)</f>
        <v>32072.63913</v>
      </c>
      <c r="R57" s="13" t="n">
        <f aca="false">SUMIF(MANUALES!$B$16:$B$69,$A57,MANUALES!X$16:X$69)+SUMIF(RODANTES!$B$16:$B$68,$A57,RODANTES!X$16:X$68)+SUMIF(RECARGAS!$B$16:$B$37,$A57,RECARGAS!AH$16:AH$37)+SUMIF(REVENDIDOS!$B$16:$B$25,$A57,REVENDIDOS!Y$16:Y$25)</f>
        <v>3848.7166956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SUMIF(MANUALES!$B$16:$B$69,$A58,MANUALES!W$16:W$69)</f>
        <v>7424.858444</v>
      </c>
      <c r="E58" s="13" t="n">
        <f aca="false">SUMIF(RODANTES!$B$16:$B$68,$A58,RODANTES!W$16:W$68)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SUMIF(MANUALES!$B$16:$B$69,$A58,MANUALES!N$16:N$69)+SUMIF(RODANTES!$B$16:$B$68,$A58,RODANTES!N$16:N$68)+SUMIF(RECARGAS!$B$16:$B$37,$A58,RECARGAS!X$16:X$37)+SUMIF(REVENDIDOS!$B$16:$B$25,$A58,REVENDIDOS!O$16:O$25)</f>
        <v>295.0303572</v>
      </c>
      <c r="I58" s="13" t="n">
        <f aca="false">SUMIF(MANUALES!$B$16:$B$69,$A58,MANUALES!O$16:O$69)+SUMIF(RODANTES!$B$16:$B$68,$A58,RODANTES!O$16:O$68)+SUMIF(RECARGAS!$B$16:$B$37,$A58,RECARGAS!Y$16:Y$37)+SUMIF(REVENDIDOS!$B$16:$B$25,$A58,REVENDIDOS!P$16:P$25)</f>
        <v>709.7274503</v>
      </c>
      <c r="J58" s="13" t="n">
        <f aca="false">SUMIF(MANUALES!$B$16:$B$69,$A58,MANUALES!P$16:P$69)+SUMIF(RODANTES!$B$16:$B$68,$A58,RODANTES!P$16:P$68)+SUMIF(RECARGAS!$B$16:$B$37,$A58,RECARGAS!Z$16:Z$37)+SUMIF(REVENDIDOS!$B$16:$B$25,$A58,REVENDIDOS!Q$16:Q$25)</f>
        <v>986.8680576</v>
      </c>
      <c r="K58" s="13" t="n">
        <f aca="false">SUMIF(MANUALES!$B$16:$B$69,$A58,MANUALES!Q$16:Q$69)+SUMIF(RODANTES!$B$16:$B$68,$A58,RODANTES!Q$16:Q$68)+SUMIF(RECARGAS!$B$16:$B$37,$A58,RECARGAS!AA$16:AA$37)+SUMIF(REVENDIDOS!$B$16:$B$25,$A58,REVENDIDOS!R$16:R$25)</f>
        <v>1500.638174</v>
      </c>
      <c r="L58" s="13" t="n">
        <f aca="false">SUMIF(MANUALES!$B$16:$B$69,$A58,MANUALES!R$16:R$69)+SUMIF(RODANTES!$B$16:$B$68,$A58,RODANTES!R$16:R$68)+SUMIF(RECARGAS!$B$16:$B$37,$A58,RECARGAS!AB$16:AB$37)+SUMIF(REVENDIDOS!$B$16:$B$25,$A58,REVENDIDOS!S$16:S$25)</f>
        <v>2312.627726</v>
      </c>
      <c r="M58" s="13" t="n">
        <f aca="false">SUMIF(MANUALES!$B$16:$B$69,$A58,MANUALES!S$16:S$69)+SUMIF(RODANTES!$B$16:$B$68,$A58,RODANTES!S$16:S$68)+SUMIF(RECARGAS!$B$16:$B$37,$A58,RECARGAS!AC$16:AC$37)+SUMIF(REVENDIDOS!$B$16:$B$25,$A58,REVENDIDOS!T$16:T$25)</f>
        <v>3252.869887</v>
      </c>
      <c r="N58" s="13" t="n">
        <f aca="false">SUMIF(MANUALES!$B$16:$B$69,$A58,MANUALES!T$16:T$69)+SUMIF(RODANTES!$B$16:$B$68,$A58,RODANTES!T$16:T$68)+SUMIF(RECARGAS!$B$16:$B$37,$A58,RECARGAS!AD$16:AD$37)+SUMIF(REVENDIDOS!$B$16:$B$25,$A58,REVENDIDOS!U$16:U$25)</f>
        <v>4102.315524</v>
      </c>
      <c r="O58" s="13" t="n">
        <f aca="false">SUMIF(MANUALES!$B$16:$B$69,$A58,MANUALES!U$16:U$69)+SUMIF(RODANTES!$B$16:$B$68,$A58,RODANTES!U$16:U$68)+SUMIF(RECARGAS!$B$16:$B$37,$A58,RECARGAS!AE$16:AE$37)+SUMIF(REVENDIDOS!$B$16:$B$25,$A58,REVENDIDOS!V$16:V$25)</f>
        <v>5104.306587</v>
      </c>
      <c r="P58" s="13" t="n">
        <f aca="false">SUMIF(MANUALES!$B$16:$B$69,$A58,MANUALES!V$16:V$69)+SUMIF(RODANTES!$B$16:$B$68,$A58,RODANTES!V$16:V$68)+SUMIF(RECARGAS!$B$16:$B$37,$A58,RECARGAS!AF$16:AF$37)+SUMIF(REVENDIDOS!$B$16:$B$25,$A58,REVENDIDOS!W$16:W$25)</f>
        <v>6195.186243</v>
      </c>
      <c r="Q58" s="13" t="n">
        <f aca="false">SUMIF(MANUALES!$B$16:$B$69,$A58,MANUALES!W$16:W$69)+SUMIF(RODANTES!$B$16:$B$68,$A58,RODANTES!W$16:W$68)+SUMIF(RECARGAS!$B$16:$B$37,$A58,RECARGAS!AG$16:AG$37)+SUMIF(REVENDIDOS!$B$16:$B$25,$A58,REVENDIDOS!X$16:X$25)</f>
        <v>7424.858444</v>
      </c>
      <c r="R58" s="13" t="n">
        <f aca="false">SUMIF(MANUALES!$B$16:$B$69,$A58,MANUALES!X$16:X$69)+SUMIF(RODANTES!$B$16:$B$68,$A58,RODANTES!X$16:X$68)+SUMIF(RECARGAS!$B$16:$B$37,$A58,RECARGAS!AH$16:AH$37)+SUMIF(REVENDIDOS!$B$16:$B$25,$A58,REVENDIDOS!Y$16:Y$25)</f>
        <v>816.73442884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SUMIF(MANUALES!$B$16:$B$69,$A59,MANUALES!W$16:W$69)</f>
        <v>32449.6411612163</v>
      </c>
      <c r="E59" s="13" t="n">
        <f aca="false">SUMIF(RODANTES!$B$16:$B$68,$A59,RODANTES!W$16:W$68)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SUMIF(MANUALES!$B$16:$B$69,$A59,MANUALES!N$16:N$69)+SUMIF(RODANTES!$B$16:$B$68,$A59,RODANTES!N$16:N$68)+SUMIF(RECARGAS!$B$16:$B$37,$A59,RECARGAS!X$16:X$37)+SUMIF(REVENDIDOS!$B$16:$B$25,$A59,REVENDIDOS!O$16:O$25)</f>
        <v>2731.34375706862</v>
      </c>
      <c r="I59" s="13" t="n">
        <f aca="false">SUMIF(MANUALES!$B$16:$B$69,$A59,MANUALES!O$16:O$69)+SUMIF(RODANTES!$B$16:$B$68,$A59,RODANTES!O$16:O$68)+SUMIF(RECARGAS!$B$16:$B$37,$A59,RECARGAS!Y$16:Y$37)+SUMIF(REVENDIDOS!$B$16:$B$25,$A59,REVENDIDOS!P$16:P$25)</f>
        <v>5501.04139098481</v>
      </c>
      <c r="J59" s="13" t="n">
        <f aca="false">SUMIF(MANUALES!$B$16:$B$69,$A59,MANUALES!P$16:P$69)+SUMIF(RODANTES!$B$16:$B$68,$A59,RODANTES!P$16:P$68)+SUMIF(RECARGAS!$B$16:$B$37,$A59,RECARGAS!Z$16:Z$37)+SUMIF(REVENDIDOS!$B$16:$B$25,$A59,REVENDIDOS!Q$16:Q$25)</f>
        <v>7222.1537134248</v>
      </c>
      <c r="K59" s="13" t="n">
        <f aca="false">SUMIF(MANUALES!$B$16:$B$69,$A59,MANUALES!Q$16:Q$69)+SUMIF(RODANTES!$B$16:$B$68,$A59,RODANTES!Q$16:Q$68)+SUMIF(RECARGAS!$B$16:$B$37,$A59,RECARGAS!AA$16:AA$37)+SUMIF(REVENDIDOS!$B$16:$B$25,$A59,REVENDIDOS!R$16:R$25)</f>
        <v>10448.1917618585</v>
      </c>
      <c r="L59" s="13" t="n">
        <f aca="false">SUMIF(MANUALES!$B$16:$B$69,$A59,MANUALES!R$16:R$69)+SUMIF(RODANTES!$B$16:$B$68,$A59,RODANTES!R$16:R$68)+SUMIF(RECARGAS!$B$16:$B$37,$A59,RECARGAS!AB$16:AB$37)+SUMIF(REVENDIDOS!$B$16:$B$25,$A59,REVENDIDOS!S$16:S$25)</f>
        <v>14524.6269198752</v>
      </c>
      <c r="M59" s="13" t="n">
        <f aca="false">SUMIF(MANUALES!$B$16:$B$69,$A59,MANUALES!S$16:S$69)+SUMIF(RODANTES!$B$16:$B$68,$A59,RODANTES!S$16:S$68)+SUMIF(RECARGAS!$B$16:$B$37,$A59,RECARGAS!AC$16:AC$37)+SUMIF(REVENDIDOS!$B$16:$B$25,$A59,REVENDIDOS!T$16:T$25)</f>
        <v>18771.6130102606</v>
      </c>
      <c r="N59" s="13" t="n">
        <f aca="false">SUMIF(MANUALES!$B$16:$B$69,$A59,MANUALES!T$16:T$69)+SUMIF(RODANTES!$B$16:$B$68,$A59,RODANTES!T$16:T$68)+SUMIF(RECARGAS!$B$16:$B$37,$A59,RECARGAS!AD$16:AD$37)+SUMIF(REVENDIDOS!$B$16:$B$25,$A59,REVENDIDOS!U$16:U$25)</f>
        <v>22667.8247447793</v>
      </c>
      <c r="O59" s="13" t="n">
        <f aca="false">SUMIF(MANUALES!$B$16:$B$69,$A59,MANUALES!U$16:U$69)+SUMIF(RODANTES!$B$16:$B$68,$A59,RODANTES!U$16:U$68)+SUMIF(RECARGAS!$B$16:$B$37,$A59,RECARGAS!AE$16:AE$37)+SUMIF(REVENDIDOS!$B$16:$B$25,$A59,REVENDIDOS!V$16:V$25)</f>
        <v>26029.3111811951</v>
      </c>
      <c r="P59" s="13" t="n">
        <f aca="false">SUMIF(MANUALES!$B$16:$B$69,$A59,MANUALES!V$16:V$69)+SUMIF(RODANTES!$B$16:$B$68,$A59,RODANTES!V$16:V$68)+SUMIF(RECARGAS!$B$16:$B$37,$A59,RECARGAS!AF$16:AF$37)+SUMIF(REVENDIDOS!$B$16:$B$25,$A59,REVENDIDOS!W$16:W$25)</f>
        <v>28633.4511026285</v>
      </c>
      <c r="Q59" s="13" t="n">
        <f aca="false">SUMIF(MANUALES!$B$16:$B$69,$A59,MANUALES!W$16:W$69)+SUMIF(RODANTES!$B$16:$B$68,$A59,RODANTES!W$16:W$68)+SUMIF(RECARGAS!$B$16:$B$37,$A59,RECARGAS!AG$16:AG$37)+SUMIF(REVENDIDOS!$B$16:$B$25,$A59,REVENDIDOS!X$16:X$25)</f>
        <v>32449.6411612163</v>
      </c>
      <c r="R59" s="13" t="n">
        <f aca="false">SUMIF(MANUALES!$B$16:$B$69,$A59,MANUALES!X$16:X$69)+SUMIF(RODANTES!$B$16:$B$68,$A59,RODANTES!X$16:X$68)+SUMIF(RECARGAS!$B$16:$B$37,$A59,RECARGAS!AH$16:AH$37)+SUMIF(REVENDIDOS!$B$16:$B$25,$A59,REVENDIDOS!Y$16:Y$25)</f>
        <v>3569.46052773379</v>
      </c>
    </row>
    <row r="60" customFormat="false" ht="15" hidden="false" customHeight="false" outlineLevel="0" collapsed="false">
      <c r="A60" s="3" t="s">
        <v>256</v>
      </c>
      <c r="B60" s="3" t="s">
        <v>257</v>
      </c>
      <c r="C60" s="3" t="s">
        <v>214</v>
      </c>
      <c r="D60" s="13" t="n">
        <f aca="false">SUMIF(MANUALES!$B$16:$B$69,$A60,MANUALES!W$16:W$69)</f>
        <v>1843.26194663625</v>
      </c>
      <c r="E60" s="13" t="n">
        <f aca="false">SUMIF(RODANTES!$B$16:$B$68,$A60,RODANTES!W$16:W$68)</f>
        <v>0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SUMIF(MANUALES!$B$16:$B$69,$A60,MANUALES!N$16:N$69)+SUMIF(RODANTES!$B$16:$B$68,$A60,RODANTES!N$16:N$68)+SUMIF(RECARGAS!$B$16:$B$37,$A60,RECARGAS!X$16:X$37)+SUMIF(REVENDIDOS!$B$16:$B$25,$A60,REVENDIDOS!O$16:O$25)</f>
        <v>92.5179666750354</v>
      </c>
      <c r="I60" s="13" t="n">
        <f aca="false">SUMIF(MANUALES!$B$16:$B$69,$A60,MANUALES!O$16:O$69)+SUMIF(RODANTES!$B$16:$B$68,$A60,RODANTES!O$16:O$68)+SUMIF(RECARGAS!$B$16:$B$37,$A60,RECARGAS!Y$16:Y$37)+SUMIF(REVENDIDOS!$B$16:$B$25,$A60,REVENDIDOS!P$16:P$25)</f>
        <v>178.308713674805</v>
      </c>
      <c r="J60" s="13" t="n">
        <f aca="false">SUMIF(MANUALES!$B$16:$B$69,$A60,MANUALES!P$16:P$69)+SUMIF(RODANTES!$B$16:$B$68,$A60,RODANTES!P$16:P$68)+SUMIF(RECARGAS!$B$16:$B$37,$A60,RECARGAS!Z$16:Z$37)+SUMIF(REVENDIDOS!$B$16:$B$25,$A60,REVENDIDOS!Q$16:Q$25)</f>
        <v>255.461125950753</v>
      </c>
      <c r="K60" s="13" t="n">
        <f aca="false">SUMIF(MANUALES!$B$16:$B$69,$A60,MANUALES!Q$16:Q$69)+SUMIF(RODANTES!$B$16:$B$68,$A60,RODANTES!Q$16:Q$68)+SUMIF(RECARGAS!$B$16:$B$37,$A60,RECARGAS!AA$16:AA$37)+SUMIF(REVENDIDOS!$B$16:$B$25,$A60,REVENDIDOS!R$16:R$25)</f>
        <v>361.649855368688</v>
      </c>
      <c r="L60" s="13" t="n">
        <f aca="false">SUMIF(MANUALES!$B$16:$B$69,$A60,MANUALES!R$16:R$69)+SUMIF(RODANTES!$B$16:$B$68,$A60,RODANTES!R$16:R$68)+SUMIF(RECARGAS!$B$16:$B$37,$A60,RECARGAS!AB$16:AB$37)+SUMIF(REVENDIDOS!$B$16:$B$25,$A60,REVENDIDOS!S$16:S$25)</f>
        <v>606.176316882429</v>
      </c>
      <c r="M60" s="13" t="n">
        <f aca="false">SUMIF(MANUALES!$B$16:$B$69,$A60,MANUALES!S$16:S$69)+SUMIF(RODANTES!$B$16:$B$68,$A60,RODANTES!S$16:S$68)+SUMIF(RECARGAS!$B$16:$B$37,$A60,RECARGAS!AC$16:AC$37)+SUMIF(REVENDIDOS!$B$16:$B$25,$A60,REVENDIDOS!T$16:T$25)</f>
        <v>876.902058785097</v>
      </c>
      <c r="N60" s="13" t="n">
        <f aca="false">SUMIF(MANUALES!$B$16:$B$69,$A60,MANUALES!T$16:T$69)+SUMIF(RODANTES!$B$16:$B$68,$A60,RODANTES!T$16:T$68)+SUMIF(RECARGAS!$B$16:$B$37,$A60,RECARGAS!AD$16:AD$37)+SUMIF(REVENDIDOS!$B$16:$B$25,$A60,REVENDIDOS!U$16:U$25)</f>
        <v>1130.96110255495</v>
      </c>
      <c r="O60" s="13" t="n">
        <f aca="false">SUMIF(MANUALES!$B$16:$B$69,$A60,MANUALES!U$16:U$69)+SUMIF(RODANTES!$B$16:$B$68,$A60,RODANTES!U$16:U$68)+SUMIF(RECARGAS!$B$16:$B$37,$A60,RECARGAS!AE$16:AE$37)+SUMIF(REVENDIDOS!$B$16:$B$25,$A60,REVENDIDOS!V$16:V$25)</f>
        <v>1398.02987592251</v>
      </c>
      <c r="P60" s="13" t="n">
        <f aca="false">SUMIF(MANUALES!$B$16:$B$69,$A60,MANUALES!V$16:V$69)+SUMIF(RODANTES!$B$16:$B$68,$A60,RODANTES!V$16:V$68)+SUMIF(RECARGAS!$B$16:$B$37,$A60,RECARGAS!AF$16:AF$37)+SUMIF(REVENDIDOS!$B$16:$B$25,$A60,REVENDIDOS!W$16:W$25)</f>
        <v>1615.02071606564</v>
      </c>
      <c r="Q60" s="13" t="n">
        <f aca="false">SUMIF(MANUALES!$B$16:$B$69,$A60,MANUALES!W$16:W$69)+SUMIF(RODANTES!$B$16:$B$68,$A60,RODANTES!W$16:W$68)+SUMIF(RECARGAS!$B$16:$B$37,$A60,RECARGAS!AG$16:AG$37)+SUMIF(REVENDIDOS!$B$16:$B$25,$A60,REVENDIDOS!X$16:X$25)</f>
        <v>1843.26194663625</v>
      </c>
      <c r="R60" s="13" t="n">
        <f aca="false">SUMIF(MANUALES!$B$16:$B$69,$A60,MANUALES!X$16:X$69)+SUMIF(RODANTES!$B$16:$B$68,$A60,RODANTES!X$16:X$68)+SUMIF(RECARGAS!$B$16:$B$37,$A60,RECARGAS!AH$16:AH$37)+SUMIF(REVENDIDOS!$B$16:$B$25,$A60,REVENDIDOS!Y$16:Y$25)</f>
        <v>202.758814129988</v>
      </c>
    </row>
    <row r="61" customFormat="false" ht="15" hidden="false" customHeight="false" outlineLevel="0" collapsed="false">
      <c r="A61" s="3" t="s">
        <v>444</v>
      </c>
      <c r="B61" s="3" t="s">
        <v>445</v>
      </c>
      <c r="C61" s="3" t="s">
        <v>214</v>
      </c>
      <c r="D61" s="13" t="n">
        <f aca="false">SUMIF(MANUALES!$B$16:$B$69,$A61,MANUALES!W$16:W$69)</f>
        <v>0</v>
      </c>
      <c r="E61" s="13" t="n">
        <f aca="false">SUMIF(RODANTES!$B$16:$B$68,$A61,RODANTES!W$16:W$68)</f>
        <v>453.2705332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SUMIF(MANUALES!$B$16:$B$69,$A61,MANUALES!N$16:N$69)+SUMIF(RODANTES!$B$16:$B$68,$A61,RODANTES!N$16:N$68)+SUMIF(RECARGAS!$B$16:$B$37,$A61,RECARGAS!X$16:X$37)+SUMIF(REVENDIDOS!$B$16:$B$25,$A61,REVENDIDOS!O$16:O$25)</f>
        <v>34.05179136</v>
      </c>
      <c r="I61" s="13" t="n">
        <f aca="false">SUMIF(MANUALES!$B$16:$B$69,$A61,MANUALES!O$16:O$69)+SUMIF(RODANTES!$B$16:$B$68,$A61,RODANTES!O$16:O$68)+SUMIF(RECARGAS!$B$16:$B$37,$A61,RECARGAS!Y$16:Y$37)+SUMIF(REVENDIDOS!$B$16:$B$25,$A61,REVENDIDOS!P$16:P$25)</f>
        <v>58.46214745</v>
      </c>
      <c r="J61" s="13" t="n">
        <f aca="false">SUMIF(MANUALES!$B$16:$B$69,$A61,MANUALES!P$16:P$69)+SUMIF(RODANTES!$B$16:$B$68,$A61,RODANTES!P$16:P$68)+SUMIF(RECARGAS!$B$16:$B$37,$A61,RECARGAS!Z$16:Z$37)+SUMIF(REVENDIDOS!$B$16:$B$25,$A61,REVENDIDOS!Q$16:Q$25)</f>
        <v>75.20853998</v>
      </c>
      <c r="K61" s="13" t="n">
        <f aca="false">SUMIF(MANUALES!$B$16:$B$69,$A61,MANUALES!Q$16:Q$69)+SUMIF(RODANTES!$B$16:$B$68,$A61,RODANTES!Q$16:Q$68)+SUMIF(RECARGAS!$B$16:$B$37,$A61,RECARGAS!AA$16:AA$37)+SUMIF(REVENDIDOS!$B$16:$B$25,$A61,REVENDIDOS!R$16:R$25)</f>
        <v>100.5298529</v>
      </c>
      <c r="L61" s="13" t="n">
        <f aca="false">SUMIF(MANUALES!$B$16:$B$69,$A61,MANUALES!R$16:R$69)+SUMIF(RODANTES!$B$16:$B$68,$A61,RODANTES!R$16:R$68)+SUMIF(RECARGAS!$B$16:$B$37,$A61,RECARGAS!AB$16:AB$37)+SUMIF(REVENDIDOS!$B$16:$B$25,$A61,REVENDIDOS!S$16:S$25)</f>
        <v>155.8760035</v>
      </c>
      <c r="M61" s="13" t="n">
        <f aca="false">SUMIF(MANUALES!$B$16:$B$69,$A61,MANUALES!S$16:S$69)+SUMIF(RODANTES!$B$16:$B$68,$A61,RODANTES!S$16:S$68)+SUMIF(RECARGAS!$B$16:$B$37,$A61,RECARGAS!AC$16:AC$37)+SUMIF(REVENDIDOS!$B$16:$B$25,$A61,REVENDIDOS!T$16:T$25)</f>
        <v>211.9344827</v>
      </c>
      <c r="N61" s="13" t="n">
        <f aca="false">SUMIF(MANUALES!$B$16:$B$69,$A61,MANUALES!T$16:T$69)+SUMIF(RODANTES!$B$16:$B$68,$A61,RODANTES!T$16:T$68)+SUMIF(RECARGAS!$B$16:$B$37,$A61,RECARGAS!AD$16:AD$37)+SUMIF(REVENDIDOS!$B$16:$B$25,$A61,REVENDIDOS!U$16:U$25)</f>
        <v>272.6682332</v>
      </c>
      <c r="O61" s="13" t="n">
        <f aca="false">SUMIF(MANUALES!$B$16:$B$69,$A61,MANUALES!U$16:U$69)+SUMIF(RODANTES!$B$16:$B$68,$A61,RODANTES!U$16:U$68)+SUMIF(RECARGAS!$B$16:$B$37,$A61,RECARGAS!AE$16:AE$37)+SUMIF(REVENDIDOS!$B$16:$B$25,$A61,REVENDIDOS!V$16:V$25)</f>
        <v>337.8486707</v>
      </c>
      <c r="P61" s="13" t="n">
        <f aca="false">SUMIF(MANUALES!$B$16:$B$69,$A61,MANUALES!V$16:V$69)+SUMIF(RODANTES!$B$16:$B$68,$A61,RODANTES!V$16:V$68)+SUMIF(RECARGAS!$B$16:$B$37,$A61,RECARGAS!AF$16:AF$37)+SUMIF(REVENDIDOS!$B$16:$B$25,$A61,REVENDIDOS!W$16:W$25)</f>
        <v>393.6274156</v>
      </c>
      <c r="Q61" s="13" t="n">
        <f aca="false">SUMIF(MANUALES!$B$16:$B$69,$A61,MANUALES!W$16:W$69)+SUMIF(RODANTES!$B$16:$B$68,$A61,RODANTES!W$16:W$68)+SUMIF(RECARGAS!$B$16:$B$37,$A61,RECARGAS!AG$16:AG$37)+SUMIF(REVENDIDOS!$B$16:$B$25,$A61,REVENDIDOS!X$16:X$25)</f>
        <v>453.2705332</v>
      </c>
      <c r="R61" s="13" t="n">
        <f aca="false">SUMIF(MANUALES!$B$16:$B$69,$A61,MANUALES!X$16:X$69)+SUMIF(RODANTES!$B$16:$B$68,$A61,RODANTES!X$16:X$68)+SUMIF(RECARGAS!$B$16:$B$37,$A61,RECARGAS!AH$16:AH$37)+SUMIF(REVENDIDOS!$B$16:$B$25,$A61,REVENDIDOS!Y$16:Y$25)</f>
        <v>40.794347988</v>
      </c>
    </row>
    <row r="62" customFormat="false" ht="15" hidden="false" customHeight="false" outlineLevel="0" collapsed="false">
      <c r="A62" s="3" t="s">
        <v>447</v>
      </c>
      <c r="B62" s="3" t="s">
        <v>448</v>
      </c>
      <c r="C62" s="3" t="s">
        <v>214</v>
      </c>
      <c r="D62" s="13" t="n">
        <f aca="false">SUMIF(MANUALES!$B$16:$B$69,$A62,MANUALES!W$16:W$69)</f>
        <v>0</v>
      </c>
      <c r="E62" s="13" t="n">
        <f aca="false">SUMIF(RODANTES!$B$16:$B$68,$A62,RODANTES!W$16:W$68)</f>
        <v>998.462025618316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SUMIF(MANUALES!$B$16:$B$69,$A62,MANUALES!N$16:N$69)+SUMIF(RODANTES!$B$16:$B$68,$A62,RODANTES!N$16:N$68)+SUMIF(RECARGAS!$B$16:$B$37,$A62,RECARGAS!X$16:X$37)+SUMIF(REVENDIDOS!$B$16:$B$25,$A62,REVENDIDOS!O$16:O$25)</f>
        <v>75.2563335725177</v>
      </c>
      <c r="I62" s="13" t="n">
        <f aca="false">SUMIF(MANUALES!$B$16:$B$69,$A62,MANUALES!O$16:O$69)+SUMIF(RODANTES!$B$16:$B$68,$A62,RODANTES!O$16:O$68)+SUMIF(RECARGAS!$B$16:$B$37,$A62,RECARGAS!Y$16:Y$37)+SUMIF(REVENDIDOS!$B$16:$B$25,$A62,REVENDIDOS!P$16:P$25)</f>
        <v>129.318629173661</v>
      </c>
      <c r="J62" s="13" t="n">
        <f aca="false">SUMIF(MANUALES!$B$16:$B$69,$A62,MANUALES!P$16:P$69)+SUMIF(RODANTES!$B$16:$B$68,$A62,RODANTES!P$16:P$68)+SUMIF(RECARGAS!$B$16:$B$37,$A62,RECARGAS!Z$16:Z$37)+SUMIF(REVENDIDOS!$B$16:$B$25,$A62,REVENDIDOS!Q$16:Q$25)</f>
        <v>166.879717175949</v>
      </c>
      <c r="K62" s="13" t="n">
        <f aca="false">SUMIF(MANUALES!$B$16:$B$69,$A62,MANUALES!Q$16:Q$69)+SUMIF(RODANTES!$B$16:$B$68,$A62,RODANTES!Q$16:Q$68)+SUMIF(RECARGAS!$B$16:$B$37,$A62,RECARGAS!AA$16:AA$37)+SUMIF(REVENDIDOS!$B$16:$B$25,$A62,REVENDIDOS!R$16:R$25)</f>
        <v>222.99747676297</v>
      </c>
      <c r="L62" s="13" t="n">
        <f aca="false">SUMIF(MANUALES!$B$16:$B$69,$A62,MANUALES!R$16:R$69)+SUMIF(RODANTES!$B$16:$B$68,$A62,RODANTES!R$16:R$68)+SUMIF(RECARGAS!$B$16:$B$37,$A62,RECARGAS!AB$16:AB$37)+SUMIF(REVENDIDOS!$B$16:$B$25,$A62,REVENDIDOS!S$16:S$25)</f>
        <v>344.844606106099</v>
      </c>
      <c r="M62" s="13" t="n">
        <f aca="false">SUMIF(MANUALES!$B$16:$B$69,$A62,MANUALES!S$16:S$69)+SUMIF(RODANTES!$B$16:$B$68,$A62,RODANTES!S$16:S$68)+SUMIF(RECARGAS!$B$16:$B$37,$A62,RECARGAS!AC$16:AC$37)+SUMIF(REVENDIDOS!$B$16:$B$25,$A62,REVENDIDOS!T$16:T$25)</f>
        <v>468.601251121746</v>
      </c>
      <c r="N62" s="13" t="n">
        <f aca="false">SUMIF(MANUALES!$B$16:$B$69,$A62,MANUALES!T$16:T$69)+SUMIF(RODANTES!$B$16:$B$68,$A62,RODANTES!T$16:T$68)+SUMIF(RECARGAS!$B$16:$B$37,$A62,RECARGAS!AD$16:AD$37)+SUMIF(REVENDIDOS!$B$16:$B$25,$A62,REVENDIDOS!U$16:U$25)</f>
        <v>601.975827220984</v>
      </c>
      <c r="O62" s="13" t="n">
        <f aca="false">SUMIF(MANUALES!$B$16:$B$69,$A62,MANUALES!U$16:U$69)+SUMIF(RODANTES!$B$16:$B$68,$A62,RODANTES!U$16:U$68)+SUMIF(RECARGAS!$B$16:$B$37,$A62,RECARGAS!AE$16:AE$37)+SUMIF(REVENDIDOS!$B$16:$B$25,$A62,REVENDIDOS!V$16:V$25)</f>
        <v>744.773602919078</v>
      </c>
      <c r="P62" s="13" t="n">
        <f aca="false">SUMIF(MANUALES!$B$16:$B$69,$A62,MANUALES!V$16:V$69)+SUMIF(RODANTES!$B$16:$B$68,$A62,RODANTES!V$16:V$68)+SUMIF(RECARGAS!$B$16:$B$37,$A62,RECARGAS!AF$16:AF$37)+SUMIF(REVENDIDOS!$B$16:$B$25,$A62,REVENDIDOS!W$16:W$25)</f>
        <v>867.538200504956</v>
      </c>
      <c r="Q62" s="13" t="n">
        <f aca="false">SUMIF(MANUALES!$B$16:$B$69,$A62,MANUALES!W$16:W$69)+SUMIF(RODANTES!$B$16:$B$68,$A62,RODANTES!W$16:W$68)+SUMIF(RECARGAS!$B$16:$B$37,$A62,RECARGAS!AG$16:AG$37)+SUMIF(REVENDIDOS!$B$16:$B$25,$A62,REVENDIDOS!X$16:X$25)</f>
        <v>998.462025618316</v>
      </c>
      <c r="R62" s="13" t="n">
        <f aca="false">SUMIF(MANUALES!$B$16:$B$69,$A62,MANUALES!X$16:X$69)+SUMIF(RODANTES!$B$16:$B$68,$A62,RODANTES!X$16:X$68)+SUMIF(RECARGAS!$B$16:$B$37,$A62,RECARGAS!AH$16:AH$37)+SUMIF(REVENDIDOS!$B$16:$B$25,$A62,REVENDIDOS!Y$16:Y$25)</f>
        <v>89.8615823056484</v>
      </c>
    </row>
    <row r="63" customFormat="false" ht="15" hidden="false" customHeight="false" outlineLevel="0" collapsed="false">
      <c r="A63" s="3" t="s">
        <v>450</v>
      </c>
      <c r="B63" s="3" t="s">
        <v>451</v>
      </c>
      <c r="C63" s="3" t="s">
        <v>214</v>
      </c>
      <c r="D63" s="13" t="n">
        <f aca="false">SUMIF(MANUALES!$B$16:$B$69,$A63,MANUALES!W$16:W$69)</f>
        <v>0</v>
      </c>
      <c r="E63" s="13" t="n">
        <f aca="false">SUMIF(RODANTES!$B$16:$B$68,$A63,RODANTES!W$16:W$68)</f>
        <v>217.569856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SUMIF(MANUALES!$B$16:$B$69,$A63,MANUALES!N$16:N$69)+SUMIF(RODANTES!$B$16:$B$68,$A63,RODANTES!N$16:N$68)+SUMIF(RECARGAS!$B$16:$B$37,$A63,RECARGAS!X$16:X$37)+SUMIF(REVENDIDOS!$B$16:$B$25,$A63,REVENDIDOS!O$16:O$25)</f>
        <v>16.34485985</v>
      </c>
      <c r="I63" s="13" t="n">
        <f aca="false">SUMIF(MANUALES!$B$16:$B$69,$A63,MANUALES!O$16:O$69)+SUMIF(RODANTES!$B$16:$B$68,$A63,RODANTES!O$16:O$68)+SUMIF(RECARGAS!$B$16:$B$37,$A63,RECARGAS!Y$16:Y$37)+SUMIF(REVENDIDOS!$B$16:$B$25,$A63,REVENDIDOS!P$16:P$25)</f>
        <v>28.06183078</v>
      </c>
      <c r="J63" s="13" t="n">
        <f aca="false">SUMIF(MANUALES!$B$16:$B$69,$A63,MANUALES!P$16:P$69)+SUMIF(RODANTES!$B$16:$B$68,$A63,RODANTES!P$16:P$68)+SUMIF(RECARGAS!$B$16:$B$37,$A63,RECARGAS!Z$16:Z$37)+SUMIF(REVENDIDOS!$B$16:$B$25,$A63,REVENDIDOS!Q$16:Q$25)</f>
        <v>36.10009919</v>
      </c>
      <c r="K63" s="13" t="n">
        <f aca="false">SUMIF(MANUALES!$B$16:$B$69,$A63,MANUALES!Q$16:Q$69)+SUMIF(RODANTES!$B$16:$B$68,$A63,RODANTES!Q$16:Q$68)+SUMIF(RECARGAS!$B$16:$B$37,$A63,RECARGAS!AA$16:AA$37)+SUMIF(REVENDIDOS!$B$16:$B$25,$A63,REVENDIDOS!R$16:R$25)</f>
        <v>48.25432941</v>
      </c>
      <c r="L63" s="13" t="n">
        <f aca="false">SUMIF(MANUALES!$B$16:$B$69,$A63,MANUALES!R$16:R$69)+SUMIF(RODANTES!$B$16:$B$68,$A63,RODANTES!R$16:R$68)+SUMIF(RECARGAS!$B$16:$B$37,$A63,RECARGAS!AB$16:AB$37)+SUMIF(REVENDIDOS!$B$16:$B$25,$A63,REVENDIDOS!S$16:S$25)</f>
        <v>74.82048167</v>
      </c>
      <c r="M63" s="13" t="n">
        <f aca="false">SUMIF(MANUALES!$B$16:$B$69,$A63,MANUALES!S$16:S$69)+SUMIF(RODANTES!$B$16:$B$68,$A63,RODANTES!S$16:S$68)+SUMIF(RECARGAS!$B$16:$B$37,$A63,RECARGAS!AC$16:AC$37)+SUMIF(REVENDIDOS!$B$16:$B$25,$A63,REVENDIDOS!T$16:T$25)</f>
        <v>101.7285517</v>
      </c>
      <c r="N63" s="13" t="n">
        <f aca="false">SUMIF(MANUALES!$B$16:$B$69,$A63,MANUALES!T$16:T$69)+SUMIF(RODANTES!$B$16:$B$68,$A63,RODANTES!T$16:T$68)+SUMIF(RECARGAS!$B$16:$B$37,$A63,RECARGAS!AD$16:AD$37)+SUMIF(REVENDIDOS!$B$16:$B$25,$A63,REVENDIDOS!U$16:U$25)</f>
        <v>130.8807519</v>
      </c>
      <c r="O63" s="13" t="n">
        <f aca="false">SUMIF(MANUALES!$B$16:$B$69,$A63,MANUALES!U$16:U$69)+SUMIF(RODANTES!$B$16:$B$68,$A63,RODANTES!U$16:U$68)+SUMIF(RECARGAS!$B$16:$B$37,$A63,RECARGAS!AE$16:AE$37)+SUMIF(REVENDIDOS!$B$16:$B$25,$A63,REVENDIDOS!V$16:V$25)</f>
        <v>162.1673619</v>
      </c>
      <c r="P63" s="13" t="n">
        <f aca="false">SUMIF(MANUALES!$B$16:$B$69,$A63,MANUALES!V$16:V$69)+SUMIF(RODANTES!$B$16:$B$68,$A63,RODANTES!V$16:V$68)+SUMIF(RECARGAS!$B$16:$B$37,$A63,RECARGAS!AF$16:AF$37)+SUMIF(REVENDIDOS!$B$16:$B$25,$A63,REVENDIDOS!W$16:W$25)</f>
        <v>188.9411595</v>
      </c>
      <c r="Q63" s="13" t="n">
        <f aca="false">SUMIF(MANUALES!$B$16:$B$69,$A63,MANUALES!W$16:W$69)+SUMIF(RODANTES!$B$16:$B$68,$A63,RODANTES!W$16:W$68)+SUMIF(RECARGAS!$B$16:$B$37,$A63,RECARGAS!AG$16:AG$37)+SUMIF(REVENDIDOS!$B$16:$B$25,$A63,REVENDIDOS!X$16:X$25)</f>
        <v>217.569856</v>
      </c>
      <c r="R63" s="13" t="n">
        <f aca="false">SUMIF(MANUALES!$B$16:$B$69,$A63,MANUALES!X$16:X$69)+SUMIF(RODANTES!$B$16:$B$68,$A63,RODANTES!X$16:X$68)+SUMIF(RECARGAS!$B$16:$B$37,$A63,RECARGAS!AH$16:AH$37)+SUMIF(REVENDIDOS!$B$16:$B$25,$A63,REVENDIDOS!Y$16:Y$25)</f>
        <v>19.58128704</v>
      </c>
    </row>
    <row r="64" customFormat="false" ht="15" hidden="false" customHeight="false" outlineLevel="0" collapsed="false">
      <c r="A64" s="3" t="s">
        <v>453</v>
      </c>
      <c r="B64" s="3" t="s">
        <v>454</v>
      </c>
      <c r="C64" s="3" t="s">
        <v>214</v>
      </c>
      <c r="D64" s="13" t="n">
        <f aca="false">SUMIF(MANUALES!$B$16:$B$69,$A64,MANUALES!W$16:W$69)</f>
        <v>0</v>
      </c>
      <c r="E64" s="13" t="n">
        <f aca="false">SUMIF(RODANTES!$B$16:$B$68,$A64,RODANTES!W$16:W$68)</f>
        <v>145.200647257633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SUMIF(MANUALES!$B$16:$B$69,$A64,MANUALES!N$16:N$69)+SUMIF(RODANTES!$B$16:$B$68,$A64,RODANTES!N$16:N$68)+SUMIF(RECARGAS!$B$16:$B$37,$A64,RECARGAS!X$16:X$37)+SUMIF(REVENDIDOS!$B$16:$B$25,$A64,REVENDIDOS!O$16:O$25)</f>
        <v>11.2389658125177</v>
      </c>
      <c r="I64" s="13" t="n">
        <f aca="false">SUMIF(MANUALES!$B$16:$B$69,$A64,MANUALES!O$16:O$69)+SUMIF(RODANTES!$B$16:$B$68,$A64,RODANTES!O$16:O$68)+SUMIF(RECARGAS!$B$16:$B$37,$A64,RECARGAS!Y$16:Y$37)+SUMIF(REVENDIDOS!$B$16:$B$25,$A64,REVENDIDOS!P$16:P$25)</f>
        <v>18.7250068186259</v>
      </c>
      <c r="J64" s="13" t="n">
        <f aca="false">SUMIF(MANUALES!$B$16:$B$69,$A64,MANUALES!P$16:P$69)+SUMIF(RODANTES!$B$16:$B$68,$A64,RODANTES!P$16:P$68)+SUMIF(RECARGAS!$B$16:$B$37,$A64,RECARGAS!Z$16:Z$37)+SUMIF(REVENDIDOS!$B$16:$B$25,$A64,REVENDIDOS!Q$16:Q$25)</f>
        <v>24.4262449911436</v>
      </c>
      <c r="K64" s="13" t="n">
        <f aca="false">SUMIF(MANUALES!$B$16:$B$69,$A64,MANUALES!Q$16:Q$69)+SUMIF(RODANTES!$B$16:$B$68,$A64,RODANTES!Q$16:Q$68)+SUMIF(RECARGAS!$B$16:$B$37,$A64,RECARGAS!AA$16:AA$37)+SUMIF(REVENDIDOS!$B$16:$B$25,$A64,REVENDIDOS!R$16:R$25)</f>
        <v>32.5461847697695</v>
      </c>
      <c r="L64" s="13" t="n">
        <f aca="false">SUMIF(MANUALES!$B$16:$B$69,$A64,MANUALES!R$16:R$69)+SUMIF(RODANTES!$B$16:$B$68,$A64,RODANTES!R$16:R$68)+SUMIF(RECARGAS!$B$16:$B$37,$A64,RECARGAS!AB$16:AB$37)+SUMIF(REVENDIDOS!$B$16:$B$25,$A64,REVENDIDOS!S$16:S$25)</f>
        <v>50.6164651509131</v>
      </c>
      <c r="M64" s="13" t="n">
        <f aca="false">SUMIF(MANUALES!$B$16:$B$69,$A64,MANUALES!S$16:S$69)+SUMIF(RODANTES!$B$16:$B$68,$A64,RODANTES!S$16:S$68)+SUMIF(RECARGAS!$B$16:$B$37,$A64,RECARGAS!AC$16:AC$37)+SUMIF(REVENDIDOS!$B$16:$B$25,$A64,REVENDIDOS!T$16:T$25)</f>
        <v>68.2470251856472</v>
      </c>
      <c r="N64" s="13" t="n">
        <f aca="false">SUMIF(MANUALES!$B$16:$B$69,$A64,MANUALES!T$16:T$69)+SUMIF(RODANTES!$B$16:$B$68,$A64,RODANTES!T$16:T$68)+SUMIF(RECARGAS!$B$16:$B$37,$A64,RECARGAS!AD$16:AD$37)+SUMIF(REVENDIDOS!$B$16:$B$25,$A64,REVENDIDOS!U$16:U$25)</f>
        <v>87.698944954273</v>
      </c>
      <c r="O64" s="13" t="n">
        <f aca="false">SUMIF(MANUALES!$B$16:$B$69,$A64,MANUALES!U$16:U$69)+SUMIF(RODANTES!$B$16:$B$68,$A64,RODANTES!U$16:U$68)+SUMIF(RECARGAS!$B$16:$B$37,$A64,RECARGAS!AE$16:AE$37)+SUMIF(REVENDIDOS!$B$16:$B$25,$A64,REVENDIDOS!V$16:V$25)</f>
        <v>108.573804572899</v>
      </c>
      <c r="P64" s="13" t="n">
        <f aca="false">SUMIF(MANUALES!$B$16:$B$69,$A64,MANUALES!V$16:V$69)+SUMIF(RODANTES!$B$16:$B$68,$A64,RODANTES!V$16:V$68)+SUMIF(RECARGAS!$B$16:$B$37,$A64,RECARGAS!AF$16:AF$37)+SUMIF(REVENDIDOS!$B$16:$B$25,$A64,REVENDIDOS!W$16:W$25)</f>
        <v>126.440122601525</v>
      </c>
      <c r="Q64" s="13" t="n">
        <f aca="false">SUMIF(MANUALES!$B$16:$B$69,$A64,MANUALES!W$16:W$69)+SUMIF(RODANTES!$B$16:$B$68,$A64,RODANTES!W$16:W$68)+SUMIF(RECARGAS!$B$16:$B$37,$A64,RECARGAS!AG$16:AG$37)+SUMIF(REVENDIDOS!$B$16:$B$25,$A64,REVENDIDOS!X$16:X$25)</f>
        <v>145.200647257633</v>
      </c>
      <c r="R64" s="13" t="n">
        <f aca="false">SUMIF(MANUALES!$B$16:$B$69,$A64,MANUALES!X$16:X$69)+SUMIF(RODANTES!$B$16:$B$68,$A64,RODANTES!X$16:X$68)+SUMIF(RECARGAS!$B$16:$B$37,$A64,RECARGAS!AH$16:AH$37)+SUMIF(REVENDIDOS!$B$16:$B$25,$A64,REVENDIDOS!Y$16:Y$25)</f>
        <v>13.068058253187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SUMIF(MANUALES!$B$16:$B$69,$A65,MANUALES!W$16:W$69)</f>
        <v>32072.63913</v>
      </c>
      <c r="E65" s="13" t="n">
        <f aca="false">SUMIF(RODANTES!$B$16:$B$68,$A65,RODANTES!W$16:W$68)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SUMIF(MANUALES!$B$16:$B$69,$A65,MANUALES!N$16:N$69)+SUMIF(RODANTES!$B$16:$B$68,$A65,RODANTES!N$16:N$68)+SUMIF(RECARGAS!$B$16:$B$37,$A65,RECARGAS!X$16:X$37)+SUMIF(REVENDIDOS!$B$16:$B$25,$A65,REVENDIDOS!O$16:O$25)</f>
        <v>4178.736543</v>
      </c>
      <c r="I65" s="13" t="n">
        <f aca="false">SUMIF(MANUALES!$B$16:$B$69,$A65,MANUALES!O$16:O$69)+SUMIF(RODANTES!$B$16:$B$68,$A65,RODANTES!O$16:O$68)+SUMIF(RECARGAS!$B$16:$B$37,$A65,RECARGAS!Y$16:Y$37)+SUMIF(REVENDIDOS!$B$16:$B$25,$A65,REVENDIDOS!P$16:P$25)</f>
        <v>5997.303977</v>
      </c>
      <c r="J65" s="13" t="n">
        <f aca="false">SUMIF(MANUALES!$B$16:$B$69,$A65,MANUALES!P$16:P$69)+SUMIF(RODANTES!$B$16:$B$68,$A65,RODANTES!P$16:P$68)+SUMIF(RECARGAS!$B$16:$B$37,$A65,RECARGAS!Z$16:Z$37)+SUMIF(REVENDIDOS!$B$16:$B$25,$A65,REVENDIDOS!Q$16:Q$25)</f>
        <v>6851.747758</v>
      </c>
      <c r="K65" s="13" t="n">
        <f aca="false">SUMIF(MANUALES!$B$16:$B$69,$A65,MANUALES!Q$16:Q$69)+SUMIF(RODANTES!$B$16:$B$68,$A65,RODANTES!Q$16:Q$68)+SUMIF(RECARGAS!$B$16:$B$37,$A65,RECARGAS!AA$16:AA$37)+SUMIF(REVENDIDOS!$B$16:$B$25,$A65,REVENDIDOS!R$16:R$25)</f>
        <v>8467.135549</v>
      </c>
      <c r="L65" s="13" t="n">
        <f aca="false">SUMIF(MANUALES!$B$16:$B$69,$A65,MANUALES!R$16:R$69)+SUMIF(RODANTES!$B$16:$B$68,$A65,RODANTES!R$16:R$68)+SUMIF(RECARGAS!$B$16:$B$37,$A65,RECARGAS!AB$16:AB$37)+SUMIF(REVENDIDOS!$B$16:$B$25,$A65,REVENDIDOS!S$16:S$25)</f>
        <v>12680.63271</v>
      </c>
      <c r="M65" s="13" t="n">
        <f aca="false">SUMIF(MANUALES!$B$16:$B$69,$A65,MANUALES!S$16:S$69)+SUMIF(RODANTES!$B$16:$B$68,$A65,RODANTES!S$16:S$68)+SUMIF(RECARGAS!$B$16:$B$37,$A65,RECARGAS!AC$16:AC$37)+SUMIF(REVENDIDOS!$B$16:$B$25,$A65,REVENDIDOS!T$16:T$25)</f>
        <v>15620.25307</v>
      </c>
      <c r="N65" s="13" t="n">
        <f aca="false">SUMIF(MANUALES!$B$16:$B$69,$A65,MANUALES!T$16:T$69)+SUMIF(RODANTES!$B$16:$B$68,$A65,RODANTES!T$16:T$68)+SUMIF(RECARGAS!$B$16:$B$37,$A65,RECARGAS!AD$16:AD$37)+SUMIF(REVENDIDOS!$B$16:$B$25,$A65,REVENDIDOS!U$16:U$25)</f>
        <v>20332.55326</v>
      </c>
      <c r="O65" s="13" t="n">
        <f aca="false">SUMIF(MANUALES!$B$16:$B$69,$A65,MANUALES!U$16:U$69)+SUMIF(RODANTES!$B$16:$B$68,$A65,RODANTES!U$16:U$68)+SUMIF(RECARGAS!$B$16:$B$37,$A65,RECARGAS!AE$16:AE$37)+SUMIF(REVENDIDOS!$B$16:$B$25,$A65,REVENDIDOS!V$16:V$25)</f>
        <v>25132.07848</v>
      </c>
      <c r="P65" s="13" t="n">
        <f aca="false">SUMIF(MANUALES!$B$16:$B$69,$A65,MANUALES!V$16:V$69)+SUMIF(RODANTES!$B$16:$B$68,$A65,RODANTES!V$16:V$68)+SUMIF(RECARGAS!$B$16:$B$37,$A65,RECARGAS!AF$16:AF$37)+SUMIF(REVENDIDOS!$B$16:$B$25,$A65,REVENDIDOS!W$16:W$25)</f>
        <v>28573.33614</v>
      </c>
      <c r="Q65" s="13" t="n">
        <f aca="false">SUMIF(MANUALES!$B$16:$B$69,$A65,MANUALES!W$16:W$69)+SUMIF(RODANTES!$B$16:$B$68,$A65,RODANTES!W$16:W$68)+SUMIF(RECARGAS!$B$16:$B$37,$A65,RECARGAS!AG$16:AG$37)+SUMIF(REVENDIDOS!$B$16:$B$25,$A65,REVENDIDOS!X$16:X$25)</f>
        <v>32072.63913</v>
      </c>
      <c r="R65" s="13" t="n">
        <f aca="false">SUMIF(MANUALES!$B$16:$B$69,$A65,MANUALES!X$16:X$69)+SUMIF(RODANTES!$B$16:$B$68,$A65,RODANTES!X$16:X$68)+SUMIF(RECARGAS!$B$16:$B$37,$A65,RECARGAS!AH$16:AH$37)+SUMIF(REVENDIDOS!$B$16:$B$25,$A65,REVENDIDOS!Y$16:Y$25)</f>
        <v>3848.7166956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SUMIF(MANUALES!$B$16:$B$69,$A66,MANUALES!W$16:W$69)</f>
        <v>41717.7615518525</v>
      </c>
      <c r="E66" s="13" t="n">
        <f aca="false">SUMIF(RODANTES!$B$16:$B$68,$A66,RODANTES!W$16:W$68)</f>
        <v>1451.73255881832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SUMIF(MANUALES!$B$16:$B$69,$A66,MANUALES!N$16:N$69)+SUMIF(RODANTES!$B$16:$B$68,$A66,RODANTES!N$16:N$68)+SUMIF(RECARGAS!$B$16:$B$37,$A66,RECARGAS!X$16:X$37)+SUMIF(REVENDIDOS!$B$16:$B$25,$A66,REVENDIDOS!O$16:O$25)</f>
        <v>3228.20020587617</v>
      </c>
      <c r="I66" s="13" t="n">
        <f aca="false">SUMIF(MANUALES!$B$16:$B$69,$A66,MANUALES!O$16:O$69)+SUMIF(RODANTES!$B$16:$B$68,$A66,RODANTES!O$16:O$68)+SUMIF(RECARGAS!$B$16:$B$37,$A66,RECARGAS!Y$16:Y$37)+SUMIF(REVENDIDOS!$B$16:$B$25,$A66,REVENDIDOS!P$16:P$25)</f>
        <v>6576.85833158328</v>
      </c>
      <c r="J66" s="13" t="n">
        <f aca="false">SUMIF(MANUALES!$B$16:$B$69,$A66,MANUALES!P$16:P$69)+SUMIF(RODANTES!$B$16:$B$68,$A66,RODANTES!P$16:P$68)+SUMIF(RECARGAS!$B$16:$B$37,$A66,RECARGAS!Z$16:Z$37)+SUMIF(REVENDIDOS!$B$16:$B$25,$A66,REVENDIDOS!Q$16:Q$25)</f>
        <v>8706.57115413151</v>
      </c>
      <c r="K66" s="13" t="n">
        <f aca="false">SUMIF(MANUALES!$B$16:$B$69,$A66,MANUALES!Q$16:Q$69)+SUMIF(RODANTES!$B$16:$B$68,$A66,RODANTES!Q$16:Q$68)+SUMIF(RECARGAS!$B$16:$B$37,$A66,RECARGAS!AA$16:AA$37)+SUMIF(REVENDIDOS!$B$16:$B$25,$A66,REVENDIDOS!R$16:R$25)</f>
        <v>12634.0071208901</v>
      </c>
      <c r="L66" s="13" t="n">
        <f aca="false">SUMIF(MANUALES!$B$16:$B$69,$A66,MANUALES!R$16:R$69)+SUMIF(RODANTES!$B$16:$B$68,$A66,RODANTES!R$16:R$68)+SUMIF(RECARGAS!$B$16:$B$37,$A66,RECARGAS!AB$16:AB$37)+SUMIF(REVENDIDOS!$B$16:$B$25,$A66,REVENDIDOS!S$16:S$25)</f>
        <v>17944.1515723637</v>
      </c>
      <c r="M66" s="13" t="n">
        <f aca="false">SUMIF(MANUALES!$B$16:$B$69,$A66,MANUALES!S$16:S$69)+SUMIF(RODANTES!$B$16:$B$68,$A66,RODANTES!S$16:S$68)+SUMIF(RECARGAS!$B$16:$B$37,$A66,RECARGAS!AC$16:AC$37)+SUMIF(REVENDIDOS!$B$16:$B$25,$A66,REVENDIDOS!T$16:T$25)</f>
        <v>23581.9206898674</v>
      </c>
      <c r="N66" s="13" t="n">
        <f aca="false">SUMIF(MANUALES!$B$16:$B$69,$A66,MANUALES!T$16:T$69)+SUMIF(RODANTES!$B$16:$B$68,$A66,RODANTES!T$16:T$68)+SUMIF(RECARGAS!$B$16:$B$37,$A66,RECARGAS!AD$16:AD$37)+SUMIF(REVENDIDOS!$B$16:$B$25,$A66,REVENDIDOS!U$16:U$25)</f>
        <v>28775.7454317553</v>
      </c>
      <c r="O66" s="13" t="n">
        <f aca="false">SUMIF(MANUALES!$B$16:$B$69,$A66,MANUALES!U$16:U$69)+SUMIF(RODANTES!$B$16:$B$68,$A66,RODANTES!U$16:U$68)+SUMIF(RECARGAS!$B$16:$B$37,$A66,RECARGAS!AE$16:AE$37)+SUMIF(REVENDIDOS!$B$16:$B$25,$A66,REVENDIDOS!V$16:V$25)</f>
        <v>33614.2699177367</v>
      </c>
      <c r="P66" s="13" t="n">
        <f aca="false">SUMIF(MANUALES!$B$16:$B$69,$A66,MANUALES!V$16:V$69)+SUMIF(RODANTES!$B$16:$B$68,$A66,RODANTES!V$16:V$68)+SUMIF(RECARGAS!$B$16:$B$37,$A66,RECARGAS!AF$16:AF$37)+SUMIF(REVENDIDOS!$B$16:$B$25,$A66,REVENDIDOS!W$16:W$25)</f>
        <v>37704.8236777991</v>
      </c>
      <c r="Q66" s="13" t="n">
        <f aca="false">SUMIF(MANUALES!$B$16:$B$69,$A66,MANUALES!W$16:W$69)+SUMIF(RODANTES!$B$16:$B$68,$A66,RODANTES!W$16:W$68)+SUMIF(RECARGAS!$B$16:$B$37,$A66,RECARGAS!AG$16:AG$37)+SUMIF(REVENDIDOS!$B$16:$B$25,$A66,REVENDIDOS!X$16:X$25)</f>
        <v>43169.4941106708</v>
      </c>
      <c r="R66" s="13" t="n">
        <f aca="false">SUMIF(MANUALES!$B$16:$B$69,$A66,MANUALES!X$16:X$69)+SUMIF(RODANTES!$B$16:$B$68,$A66,RODANTES!X$16:X$68)+SUMIF(RECARGAS!$B$16:$B$37,$A66,RECARGAS!AH$16:AH$37)+SUMIF(REVENDIDOS!$B$16:$B$25,$A66,REVENDIDOS!Y$16:Y$25)</f>
        <v>4719.60970099743</v>
      </c>
    </row>
    <row r="67" customFormat="false" ht="15" hidden="false" customHeight="false" outlineLevel="0" collapsed="false">
      <c r="A67" s="3" t="s">
        <v>457</v>
      </c>
      <c r="B67" s="3" t="s">
        <v>458</v>
      </c>
      <c r="C67" s="3" t="s">
        <v>214</v>
      </c>
      <c r="D67" s="13" t="n">
        <f aca="false">SUMIF(MANUALES!$B$16:$B$69,$A67,MANUALES!W$16:W$69)</f>
        <v>0</v>
      </c>
      <c r="E67" s="13" t="n">
        <f aca="false">SUMIF(RODANTES!$B$16:$B$68,$A67,RODANTES!W$16:W$68)</f>
        <v>362.770503257633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SUMIF(MANUALES!$B$16:$B$69,$A67,MANUALES!N$16:N$69)+SUMIF(RODANTES!$B$16:$B$68,$A67,RODANTES!N$16:N$68)+SUMIF(RECARGAS!$B$16:$B$37,$A67,RECARGAS!X$16:X$37)+SUMIF(REVENDIDOS!$B$16:$B$25,$A67,REVENDIDOS!O$16:O$25)</f>
        <v>27.5838256625177</v>
      </c>
      <c r="I67" s="13" t="n">
        <f aca="false">SUMIF(MANUALES!$B$16:$B$69,$A67,MANUALES!O$16:O$69)+SUMIF(RODANTES!$B$16:$B$68,$A67,RODANTES!O$16:O$68)+SUMIF(RECARGAS!$B$16:$B$37,$A67,RECARGAS!Y$16:Y$37)+SUMIF(REVENDIDOS!$B$16:$B$25,$A67,REVENDIDOS!P$16:P$25)</f>
        <v>46.7868375986259</v>
      </c>
      <c r="J67" s="13" t="n">
        <f aca="false">SUMIF(MANUALES!$B$16:$B$69,$A67,MANUALES!P$16:P$69)+SUMIF(RODANTES!$B$16:$B$68,$A67,RODANTES!P$16:P$68)+SUMIF(RECARGAS!$B$16:$B$37,$A67,RECARGAS!Z$16:Z$37)+SUMIF(REVENDIDOS!$B$16:$B$25,$A67,REVENDIDOS!Q$16:Q$25)</f>
        <v>60.5263441811436</v>
      </c>
      <c r="K67" s="13" t="n">
        <f aca="false">SUMIF(MANUALES!$B$16:$B$69,$A67,MANUALES!Q$16:Q$69)+SUMIF(RODANTES!$B$16:$B$68,$A67,RODANTES!Q$16:Q$68)+SUMIF(RECARGAS!$B$16:$B$37,$A67,RECARGAS!AA$16:AA$37)+SUMIF(REVENDIDOS!$B$16:$B$25,$A67,REVENDIDOS!R$16:R$25)</f>
        <v>80.8005141797695</v>
      </c>
      <c r="L67" s="13" t="n">
        <f aca="false">SUMIF(MANUALES!$B$16:$B$69,$A67,MANUALES!R$16:R$69)+SUMIF(RODANTES!$B$16:$B$68,$A67,RODANTES!R$16:R$68)+SUMIF(RECARGAS!$B$16:$B$37,$A67,RECARGAS!AB$16:AB$37)+SUMIF(REVENDIDOS!$B$16:$B$25,$A67,REVENDIDOS!S$16:S$25)</f>
        <v>125.436946820913</v>
      </c>
      <c r="M67" s="13" t="n">
        <f aca="false">SUMIF(MANUALES!$B$16:$B$69,$A67,MANUALES!S$16:S$69)+SUMIF(RODANTES!$B$16:$B$68,$A67,RODANTES!S$16:S$68)+SUMIF(RECARGAS!$B$16:$B$37,$A67,RECARGAS!AC$16:AC$37)+SUMIF(REVENDIDOS!$B$16:$B$25,$A67,REVENDIDOS!T$16:T$25)</f>
        <v>169.975576885647</v>
      </c>
      <c r="N67" s="13" t="n">
        <f aca="false">SUMIF(MANUALES!$B$16:$B$69,$A67,MANUALES!T$16:T$69)+SUMIF(RODANTES!$B$16:$B$68,$A67,RODANTES!T$16:T$68)+SUMIF(RECARGAS!$B$16:$B$37,$A67,RECARGAS!AD$16:AD$37)+SUMIF(REVENDIDOS!$B$16:$B$25,$A67,REVENDIDOS!U$16:U$25)</f>
        <v>218.579696854273</v>
      </c>
      <c r="O67" s="13" t="n">
        <f aca="false">SUMIF(MANUALES!$B$16:$B$69,$A67,MANUALES!U$16:U$69)+SUMIF(RODANTES!$B$16:$B$68,$A67,RODANTES!U$16:U$68)+SUMIF(RECARGAS!$B$16:$B$37,$A67,RECARGAS!AE$16:AE$37)+SUMIF(REVENDIDOS!$B$16:$B$25,$A67,REVENDIDOS!V$16:V$25)</f>
        <v>270.741166472899</v>
      </c>
      <c r="P67" s="13" t="n">
        <f aca="false">SUMIF(MANUALES!$B$16:$B$69,$A67,MANUALES!V$16:V$69)+SUMIF(RODANTES!$B$16:$B$68,$A67,RODANTES!V$16:V$68)+SUMIF(RECARGAS!$B$16:$B$37,$A67,RECARGAS!AF$16:AF$37)+SUMIF(REVENDIDOS!$B$16:$B$25,$A67,REVENDIDOS!W$16:W$25)</f>
        <v>315.381282101525</v>
      </c>
      <c r="Q67" s="13" t="n">
        <f aca="false">SUMIF(MANUALES!$B$16:$B$69,$A67,MANUALES!W$16:W$69)+SUMIF(RODANTES!$B$16:$B$68,$A67,RODANTES!W$16:W$68)+SUMIF(RECARGAS!$B$16:$B$37,$A67,RECARGAS!AG$16:AG$37)+SUMIF(REVENDIDOS!$B$16:$B$25,$A67,REVENDIDOS!X$16:X$25)</f>
        <v>362.770503257633</v>
      </c>
      <c r="R67" s="13" t="n">
        <f aca="false">SUMIF(MANUALES!$B$16:$B$69,$A67,MANUALES!X$16:X$69)+SUMIF(RODANTES!$B$16:$B$68,$A67,RODANTES!X$16:X$68)+SUMIF(RECARGAS!$B$16:$B$37,$A67,RECARGAS!AH$16:AH$37)+SUMIF(REVENDIDOS!$B$16:$B$25,$A67,REVENDIDOS!Y$16:Y$25)</f>
        <v>32.649345293187</v>
      </c>
    </row>
    <row r="68" customFormat="false" ht="15" hidden="false" customHeight="false" outlineLevel="0" collapsed="false">
      <c r="A68" s="3" t="s">
        <v>509</v>
      </c>
      <c r="B68" s="3" t="s">
        <v>510</v>
      </c>
      <c r="C68" s="3" t="s">
        <v>214</v>
      </c>
      <c r="D68" s="13" t="n">
        <f aca="false">SUMIF(MANUALES!$B$16:$B$69,$A68,MANUALES!W$16:W$69)</f>
        <v>0</v>
      </c>
      <c r="E68" s="13" t="n">
        <f aca="false">SUMIF(RODANTES!$B$16:$B$68,$A68,RODANTES!W$16:W$68)</f>
        <v>0</v>
      </c>
      <c r="F68" s="13" t="n">
        <f aca="false">SUMIF(RECARGAS!$B$16:$B$37,$A68,RECARGAS!AG$16:AG$37)</f>
        <v>121565.687365936</v>
      </c>
      <c r="G68" s="13" t="n">
        <f aca="false">SUMIF(REVENDIDOS!$B$16:$B$25,$A68,REVENDIDOS!X$16:X$25)</f>
        <v>0</v>
      </c>
      <c r="H68" s="13" t="n">
        <f aca="false">SUMIF(MANUALES!$B$16:$B$69,$A68,MANUALES!N$16:N$69)+SUMIF(RODANTES!$B$16:$B$68,$A68,RODANTES!N$16:N$68)+SUMIF(RECARGAS!$B$16:$B$37,$A68,RECARGAS!X$16:X$37)+SUMIF(REVENDIDOS!$B$16:$B$25,$A68,REVENDIDOS!O$16:O$25)</f>
        <v>2232.5697409361</v>
      </c>
      <c r="I68" s="13" t="n">
        <f aca="false">SUMIF(MANUALES!$B$16:$B$69,$A68,MANUALES!O$16:O$69)+SUMIF(RODANTES!$B$16:$B$68,$A68,RODANTES!O$16:O$68)+SUMIF(RECARGAS!$B$16:$B$37,$A68,RECARGAS!Y$16:Y$37)+SUMIF(REVENDIDOS!$B$16:$B$25,$A68,REVENDIDOS!P$16:P$25)</f>
        <v>10061.2414807897</v>
      </c>
      <c r="J68" s="13" t="n">
        <f aca="false">SUMIF(MANUALES!$B$16:$B$69,$A68,MANUALES!P$16:P$69)+SUMIF(RODANTES!$B$16:$B$68,$A68,RODANTES!P$16:P$68)+SUMIF(RECARGAS!$B$16:$B$37,$A68,RECARGAS!Z$16:Z$37)+SUMIF(REVENDIDOS!$B$16:$B$25,$A68,REVENDIDOS!Q$16:Q$25)</f>
        <v>20028.7046480217</v>
      </c>
      <c r="K68" s="13" t="n">
        <f aca="false">SUMIF(MANUALES!$B$16:$B$69,$A68,MANUALES!Q$16:Q$69)+SUMIF(RODANTES!$B$16:$B$68,$A68,RODANTES!Q$16:Q$68)+SUMIF(RECARGAS!$B$16:$B$37,$A68,RECARGAS!AA$16:AA$37)+SUMIF(REVENDIDOS!$B$16:$B$25,$A68,REVENDIDOS!R$16:R$25)</f>
        <v>37128.100931285</v>
      </c>
      <c r="L68" s="13" t="n">
        <f aca="false">SUMIF(MANUALES!$B$16:$B$69,$A68,MANUALES!R$16:R$69)+SUMIF(RODANTES!$B$16:$B$68,$A68,RODANTES!R$16:R$68)+SUMIF(RECARGAS!$B$16:$B$37,$A68,RECARGAS!AB$16:AB$37)+SUMIF(REVENDIDOS!$B$16:$B$25,$A68,REVENDIDOS!S$16:S$25)</f>
        <v>54716.2176565199</v>
      </c>
      <c r="M68" s="13" t="n">
        <f aca="false">SUMIF(MANUALES!$B$16:$B$69,$A68,MANUALES!S$16:S$69)+SUMIF(RODANTES!$B$16:$B$68,$A68,RODANTES!S$16:S$68)+SUMIF(RECARGAS!$B$16:$B$37,$A68,RECARGAS!AC$16:AC$37)+SUMIF(REVENDIDOS!$B$16:$B$25,$A68,REVENDIDOS!T$16:T$25)</f>
        <v>74581.5963360108</v>
      </c>
      <c r="N68" s="13" t="n">
        <f aca="false">SUMIF(MANUALES!$B$16:$B$69,$A68,MANUALES!T$16:T$69)+SUMIF(RODANTES!$B$16:$B$68,$A68,RODANTES!T$16:T$68)+SUMIF(RECARGAS!$B$16:$B$37,$A68,RECARGAS!AD$16:AD$37)+SUMIF(REVENDIDOS!$B$16:$B$25,$A68,REVENDIDOS!U$16:U$25)</f>
        <v>92690.9653503784</v>
      </c>
      <c r="O68" s="13" t="n">
        <f aca="false">SUMIF(MANUALES!$B$16:$B$69,$A68,MANUALES!U$16:U$69)+SUMIF(RODANTES!$B$16:$B$68,$A68,RODANTES!U$16:U$68)+SUMIF(RECARGAS!$B$16:$B$37,$A68,RECARGAS!AE$16:AE$37)+SUMIF(REVENDIDOS!$B$16:$B$25,$A68,REVENDIDOS!V$16:V$25)</f>
        <v>105511.987276266</v>
      </c>
      <c r="P68" s="13" t="n">
        <f aca="false">SUMIF(MANUALES!$B$16:$B$69,$A68,MANUALES!V$16:V$69)+SUMIF(RODANTES!$B$16:$B$68,$A68,RODANTES!V$16:V$68)+SUMIF(RECARGAS!$B$16:$B$37,$A68,RECARGAS!AF$16:AF$37)+SUMIF(REVENDIDOS!$B$16:$B$25,$A68,REVENDIDOS!W$16:W$25)</f>
        <v>113454.476520427</v>
      </c>
      <c r="Q68" s="13" t="n">
        <f aca="false">SUMIF(MANUALES!$B$16:$B$69,$A68,MANUALES!W$16:W$69)+SUMIF(RODANTES!$B$16:$B$68,$A68,RODANTES!W$16:W$68)+SUMIF(RECARGAS!$B$16:$B$37,$A68,RECARGAS!AG$16:AG$37)+SUMIF(REVENDIDOS!$B$16:$B$25,$A68,REVENDIDOS!X$16:X$25)</f>
        <v>121565.687365936</v>
      </c>
      <c r="R68" s="13" t="n">
        <f aca="false">SUMIF(MANUALES!$B$16:$B$69,$A68,MANUALES!X$16:X$69)+SUMIF(RODANTES!$B$16:$B$68,$A68,RODANTES!X$16:X$68)+SUMIF(RECARGAS!$B$16:$B$37,$A68,RECARGAS!AH$16:AH$37)+SUMIF(REVENDIDOS!$B$16:$B$25,$A68,REVENDIDOS!Y$16:Y$25)</f>
        <v>10130.4739471613</v>
      </c>
    </row>
    <row r="69" customFormat="false" ht="15" hidden="false" customHeight="false" outlineLevel="0" collapsed="false">
      <c r="A69" s="3" t="s">
        <v>265</v>
      </c>
      <c r="B69" s="3" t="s">
        <v>266</v>
      </c>
      <c r="C69" s="3" t="s">
        <v>214</v>
      </c>
      <c r="D69" s="13" t="n">
        <f aca="false">SUMIF(MANUALES!$B$16:$B$69,$A69,MANUALES!W$16:W$69)</f>
        <v>7424.858444</v>
      </c>
      <c r="E69" s="13" t="n">
        <f aca="false">SUMIF(RODANTES!$B$16:$B$68,$A69,RODANTES!W$16:W$68)</f>
        <v>0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SUMIF(MANUALES!$B$16:$B$69,$A69,MANUALES!N$16:N$69)+SUMIF(RODANTES!$B$16:$B$68,$A69,RODANTES!N$16:N$68)+SUMIF(RECARGAS!$B$16:$B$37,$A69,RECARGAS!X$16:X$37)+SUMIF(REVENDIDOS!$B$16:$B$25,$A69,REVENDIDOS!O$16:O$25)</f>
        <v>295.0303572</v>
      </c>
      <c r="I69" s="13" t="n">
        <f aca="false">SUMIF(MANUALES!$B$16:$B$69,$A69,MANUALES!O$16:O$69)+SUMIF(RODANTES!$B$16:$B$68,$A69,RODANTES!O$16:O$68)+SUMIF(RECARGAS!$B$16:$B$37,$A69,RECARGAS!Y$16:Y$37)+SUMIF(REVENDIDOS!$B$16:$B$25,$A69,REVENDIDOS!P$16:P$25)</f>
        <v>709.7274503</v>
      </c>
      <c r="J69" s="13" t="n">
        <f aca="false">SUMIF(MANUALES!$B$16:$B$69,$A69,MANUALES!P$16:P$69)+SUMIF(RODANTES!$B$16:$B$68,$A69,RODANTES!P$16:P$68)+SUMIF(RECARGAS!$B$16:$B$37,$A69,RECARGAS!Z$16:Z$37)+SUMIF(REVENDIDOS!$B$16:$B$25,$A69,REVENDIDOS!Q$16:Q$25)</f>
        <v>986.8680576</v>
      </c>
      <c r="K69" s="13" t="n">
        <f aca="false">SUMIF(MANUALES!$B$16:$B$69,$A69,MANUALES!Q$16:Q$69)+SUMIF(RODANTES!$B$16:$B$68,$A69,RODANTES!Q$16:Q$68)+SUMIF(RECARGAS!$B$16:$B$37,$A69,RECARGAS!AA$16:AA$37)+SUMIF(REVENDIDOS!$B$16:$B$25,$A69,REVENDIDOS!R$16:R$25)</f>
        <v>1500.638174</v>
      </c>
      <c r="L69" s="13" t="n">
        <f aca="false">SUMIF(MANUALES!$B$16:$B$69,$A69,MANUALES!R$16:R$69)+SUMIF(RODANTES!$B$16:$B$68,$A69,RODANTES!R$16:R$68)+SUMIF(RECARGAS!$B$16:$B$37,$A69,RECARGAS!AB$16:AB$37)+SUMIF(REVENDIDOS!$B$16:$B$25,$A69,REVENDIDOS!S$16:S$25)</f>
        <v>2312.627726</v>
      </c>
      <c r="M69" s="13" t="n">
        <f aca="false">SUMIF(MANUALES!$B$16:$B$69,$A69,MANUALES!S$16:S$69)+SUMIF(RODANTES!$B$16:$B$68,$A69,RODANTES!S$16:S$68)+SUMIF(RECARGAS!$B$16:$B$37,$A69,RECARGAS!AC$16:AC$37)+SUMIF(REVENDIDOS!$B$16:$B$25,$A69,REVENDIDOS!T$16:T$25)</f>
        <v>3252.869887</v>
      </c>
      <c r="N69" s="13" t="n">
        <f aca="false">SUMIF(MANUALES!$B$16:$B$69,$A69,MANUALES!T$16:T$69)+SUMIF(RODANTES!$B$16:$B$68,$A69,RODANTES!T$16:T$68)+SUMIF(RECARGAS!$B$16:$B$37,$A69,RECARGAS!AD$16:AD$37)+SUMIF(REVENDIDOS!$B$16:$B$25,$A69,REVENDIDOS!U$16:U$25)</f>
        <v>4102.315524</v>
      </c>
      <c r="O69" s="13" t="n">
        <f aca="false">SUMIF(MANUALES!$B$16:$B$69,$A69,MANUALES!U$16:U$69)+SUMIF(RODANTES!$B$16:$B$68,$A69,RODANTES!U$16:U$68)+SUMIF(RECARGAS!$B$16:$B$37,$A69,RECARGAS!AE$16:AE$37)+SUMIF(REVENDIDOS!$B$16:$B$25,$A69,REVENDIDOS!V$16:V$25)</f>
        <v>5104.306587</v>
      </c>
      <c r="P69" s="13" t="n">
        <f aca="false">SUMIF(MANUALES!$B$16:$B$69,$A69,MANUALES!V$16:V$69)+SUMIF(RODANTES!$B$16:$B$68,$A69,RODANTES!V$16:V$68)+SUMIF(RECARGAS!$B$16:$B$37,$A69,RECARGAS!AF$16:AF$37)+SUMIF(REVENDIDOS!$B$16:$B$25,$A69,REVENDIDOS!W$16:W$25)</f>
        <v>6195.186243</v>
      </c>
      <c r="Q69" s="13" t="n">
        <f aca="false">SUMIF(MANUALES!$B$16:$B$69,$A69,MANUALES!W$16:W$69)+SUMIF(RODANTES!$B$16:$B$68,$A69,RODANTES!W$16:W$68)+SUMIF(RECARGAS!$B$16:$B$37,$A69,RECARGAS!AG$16:AG$37)+SUMIF(REVENDIDOS!$B$16:$B$25,$A69,REVENDIDOS!X$16:X$25)</f>
        <v>7424.858444</v>
      </c>
      <c r="R69" s="13" t="n">
        <f aca="false">SUMIF(MANUALES!$B$16:$B$69,$A69,MANUALES!X$16:X$69)+SUMIF(RODANTES!$B$16:$B$68,$A69,RODANTES!X$16:X$68)+SUMIF(RECARGAS!$B$16:$B$37,$A69,RECARGAS!AH$16:AH$37)+SUMIF(REVENDIDOS!$B$16:$B$25,$A69,REVENDIDOS!Y$16:Y$25)</f>
        <v>816.73442884</v>
      </c>
    </row>
    <row r="70" customFormat="false" ht="15" hidden="false" customHeight="false" outlineLevel="0" collapsed="false">
      <c r="A70" s="3" t="s">
        <v>268</v>
      </c>
      <c r="B70" s="3" t="s">
        <v>269</v>
      </c>
      <c r="C70" s="3" t="s">
        <v>214</v>
      </c>
      <c r="D70" s="13" t="n">
        <f aca="false">SUMIF(MANUALES!$B$16:$B$69,$A70,MANUALES!W$16:W$69)</f>
        <v>32449.6411612163</v>
      </c>
      <c r="E70" s="13" t="n">
        <f aca="false">SUMIF(RODANTES!$B$16:$B$68,$A70,RODANTES!W$16:W$68)</f>
        <v>0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SUMIF(MANUALES!$B$16:$B$69,$A70,MANUALES!N$16:N$69)+SUMIF(RODANTES!$B$16:$B$68,$A70,RODANTES!N$16:N$68)+SUMIF(RECARGAS!$B$16:$B$37,$A70,RECARGAS!X$16:X$37)+SUMIF(REVENDIDOS!$B$16:$B$25,$A70,REVENDIDOS!O$16:O$25)</f>
        <v>2731.34375706862</v>
      </c>
      <c r="I70" s="13" t="n">
        <f aca="false">SUMIF(MANUALES!$B$16:$B$69,$A70,MANUALES!O$16:O$69)+SUMIF(RODANTES!$B$16:$B$68,$A70,RODANTES!O$16:O$68)+SUMIF(RECARGAS!$B$16:$B$37,$A70,RECARGAS!Y$16:Y$37)+SUMIF(REVENDIDOS!$B$16:$B$25,$A70,REVENDIDOS!P$16:P$25)</f>
        <v>5501.04139098481</v>
      </c>
      <c r="J70" s="13" t="n">
        <f aca="false">SUMIF(MANUALES!$B$16:$B$69,$A70,MANUALES!P$16:P$69)+SUMIF(RODANTES!$B$16:$B$68,$A70,RODANTES!P$16:P$68)+SUMIF(RECARGAS!$B$16:$B$37,$A70,RECARGAS!Z$16:Z$37)+SUMIF(REVENDIDOS!$B$16:$B$25,$A70,REVENDIDOS!Q$16:Q$25)</f>
        <v>7222.1537134248</v>
      </c>
      <c r="K70" s="13" t="n">
        <f aca="false">SUMIF(MANUALES!$B$16:$B$69,$A70,MANUALES!Q$16:Q$69)+SUMIF(RODANTES!$B$16:$B$68,$A70,RODANTES!Q$16:Q$68)+SUMIF(RECARGAS!$B$16:$B$37,$A70,RECARGAS!AA$16:AA$37)+SUMIF(REVENDIDOS!$B$16:$B$25,$A70,REVENDIDOS!R$16:R$25)</f>
        <v>10448.1917618585</v>
      </c>
      <c r="L70" s="13" t="n">
        <f aca="false">SUMIF(MANUALES!$B$16:$B$69,$A70,MANUALES!R$16:R$69)+SUMIF(RODANTES!$B$16:$B$68,$A70,RODANTES!R$16:R$68)+SUMIF(RECARGAS!$B$16:$B$37,$A70,RECARGAS!AB$16:AB$37)+SUMIF(REVENDIDOS!$B$16:$B$25,$A70,REVENDIDOS!S$16:S$25)</f>
        <v>14524.6269198752</v>
      </c>
      <c r="M70" s="13" t="n">
        <f aca="false">SUMIF(MANUALES!$B$16:$B$69,$A70,MANUALES!S$16:S$69)+SUMIF(RODANTES!$B$16:$B$68,$A70,RODANTES!S$16:S$68)+SUMIF(RECARGAS!$B$16:$B$37,$A70,RECARGAS!AC$16:AC$37)+SUMIF(REVENDIDOS!$B$16:$B$25,$A70,REVENDIDOS!T$16:T$25)</f>
        <v>18771.6130102606</v>
      </c>
      <c r="N70" s="13" t="n">
        <f aca="false">SUMIF(MANUALES!$B$16:$B$69,$A70,MANUALES!T$16:T$69)+SUMIF(RODANTES!$B$16:$B$68,$A70,RODANTES!T$16:T$68)+SUMIF(RECARGAS!$B$16:$B$37,$A70,RECARGAS!AD$16:AD$37)+SUMIF(REVENDIDOS!$B$16:$B$25,$A70,REVENDIDOS!U$16:U$25)</f>
        <v>22667.8247447793</v>
      </c>
      <c r="O70" s="13" t="n">
        <f aca="false">SUMIF(MANUALES!$B$16:$B$69,$A70,MANUALES!U$16:U$69)+SUMIF(RODANTES!$B$16:$B$68,$A70,RODANTES!U$16:U$68)+SUMIF(RECARGAS!$B$16:$B$37,$A70,RECARGAS!AE$16:AE$37)+SUMIF(REVENDIDOS!$B$16:$B$25,$A70,REVENDIDOS!V$16:V$25)</f>
        <v>26029.3111811951</v>
      </c>
      <c r="P70" s="13" t="n">
        <f aca="false">SUMIF(MANUALES!$B$16:$B$69,$A70,MANUALES!V$16:V$69)+SUMIF(RODANTES!$B$16:$B$68,$A70,RODANTES!V$16:V$68)+SUMIF(RECARGAS!$B$16:$B$37,$A70,RECARGAS!AF$16:AF$37)+SUMIF(REVENDIDOS!$B$16:$B$25,$A70,REVENDIDOS!W$16:W$25)</f>
        <v>28633.4511026285</v>
      </c>
      <c r="Q70" s="13" t="n">
        <f aca="false">SUMIF(MANUALES!$B$16:$B$69,$A70,MANUALES!W$16:W$69)+SUMIF(RODANTES!$B$16:$B$68,$A70,RODANTES!W$16:W$68)+SUMIF(RECARGAS!$B$16:$B$37,$A70,RECARGAS!AG$16:AG$37)+SUMIF(REVENDIDOS!$B$16:$B$25,$A70,REVENDIDOS!X$16:X$25)</f>
        <v>32449.6411612163</v>
      </c>
      <c r="R70" s="13" t="n">
        <f aca="false">SUMIF(MANUALES!$B$16:$B$69,$A70,MANUALES!X$16:X$69)+SUMIF(RODANTES!$B$16:$B$68,$A70,RODANTES!X$16:X$68)+SUMIF(RECARGAS!$B$16:$B$37,$A70,RECARGAS!AH$16:AH$37)+SUMIF(REVENDIDOS!$B$16:$B$25,$A70,REVENDIDOS!Y$16:Y$25)</f>
        <v>3569.46052773379</v>
      </c>
    </row>
    <row r="71" customFormat="false" ht="15" hidden="false" customHeight="false" outlineLevel="0" collapsed="false">
      <c r="A71" s="3" t="s">
        <v>271</v>
      </c>
      <c r="B71" s="3" t="s">
        <v>272</v>
      </c>
      <c r="C71" s="3" t="s">
        <v>214</v>
      </c>
      <c r="D71" s="13" t="n">
        <f aca="false">SUMIF(MANUALES!$B$16:$B$69,$A71,MANUALES!W$16:W$69)</f>
        <v>1843.26194663625</v>
      </c>
      <c r="E71" s="13" t="n">
        <f aca="false">SUMIF(RODANTES!$B$16:$B$68,$A71,RODANTES!W$16:W$68)</f>
        <v>0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SUMIF(MANUALES!$B$16:$B$69,$A71,MANUALES!N$16:N$69)+SUMIF(RODANTES!$B$16:$B$68,$A71,RODANTES!N$16:N$68)+SUMIF(RECARGAS!$B$16:$B$37,$A71,RECARGAS!X$16:X$37)+SUMIF(REVENDIDOS!$B$16:$B$25,$A71,REVENDIDOS!O$16:O$25)</f>
        <v>92.5179666750354</v>
      </c>
      <c r="I71" s="13" t="n">
        <f aca="false">SUMIF(MANUALES!$B$16:$B$69,$A71,MANUALES!O$16:O$69)+SUMIF(RODANTES!$B$16:$B$68,$A71,RODANTES!O$16:O$68)+SUMIF(RECARGAS!$B$16:$B$37,$A71,RECARGAS!Y$16:Y$37)+SUMIF(REVENDIDOS!$B$16:$B$25,$A71,REVENDIDOS!P$16:P$25)</f>
        <v>178.308713674805</v>
      </c>
      <c r="J71" s="13" t="n">
        <f aca="false">SUMIF(MANUALES!$B$16:$B$69,$A71,MANUALES!P$16:P$69)+SUMIF(RODANTES!$B$16:$B$68,$A71,RODANTES!P$16:P$68)+SUMIF(RECARGAS!$B$16:$B$37,$A71,RECARGAS!Z$16:Z$37)+SUMIF(REVENDIDOS!$B$16:$B$25,$A71,REVENDIDOS!Q$16:Q$25)</f>
        <v>255.461125950753</v>
      </c>
      <c r="K71" s="13" t="n">
        <f aca="false">SUMIF(MANUALES!$B$16:$B$69,$A71,MANUALES!Q$16:Q$69)+SUMIF(RODANTES!$B$16:$B$68,$A71,RODANTES!Q$16:Q$68)+SUMIF(RECARGAS!$B$16:$B$37,$A71,RECARGAS!AA$16:AA$37)+SUMIF(REVENDIDOS!$B$16:$B$25,$A71,REVENDIDOS!R$16:R$25)</f>
        <v>361.649855368688</v>
      </c>
      <c r="L71" s="13" t="n">
        <f aca="false">SUMIF(MANUALES!$B$16:$B$69,$A71,MANUALES!R$16:R$69)+SUMIF(RODANTES!$B$16:$B$68,$A71,RODANTES!R$16:R$68)+SUMIF(RECARGAS!$B$16:$B$37,$A71,RECARGAS!AB$16:AB$37)+SUMIF(REVENDIDOS!$B$16:$B$25,$A71,REVENDIDOS!S$16:S$25)</f>
        <v>606.176316882429</v>
      </c>
      <c r="M71" s="13" t="n">
        <f aca="false">SUMIF(MANUALES!$B$16:$B$69,$A71,MANUALES!S$16:S$69)+SUMIF(RODANTES!$B$16:$B$68,$A71,RODANTES!S$16:S$68)+SUMIF(RECARGAS!$B$16:$B$37,$A71,RECARGAS!AC$16:AC$37)+SUMIF(REVENDIDOS!$B$16:$B$25,$A71,REVENDIDOS!T$16:T$25)</f>
        <v>876.902058785097</v>
      </c>
      <c r="N71" s="13" t="n">
        <f aca="false">SUMIF(MANUALES!$B$16:$B$69,$A71,MANUALES!T$16:T$69)+SUMIF(RODANTES!$B$16:$B$68,$A71,RODANTES!T$16:T$68)+SUMIF(RECARGAS!$B$16:$B$37,$A71,RECARGAS!AD$16:AD$37)+SUMIF(REVENDIDOS!$B$16:$B$25,$A71,REVENDIDOS!U$16:U$25)</f>
        <v>1130.96110255495</v>
      </c>
      <c r="O71" s="13" t="n">
        <f aca="false">SUMIF(MANUALES!$B$16:$B$69,$A71,MANUALES!U$16:U$69)+SUMIF(RODANTES!$B$16:$B$68,$A71,RODANTES!U$16:U$68)+SUMIF(RECARGAS!$B$16:$B$37,$A71,RECARGAS!AE$16:AE$37)+SUMIF(REVENDIDOS!$B$16:$B$25,$A71,REVENDIDOS!V$16:V$25)</f>
        <v>1398.02987592251</v>
      </c>
      <c r="P71" s="13" t="n">
        <f aca="false">SUMIF(MANUALES!$B$16:$B$69,$A71,MANUALES!V$16:V$69)+SUMIF(RODANTES!$B$16:$B$68,$A71,RODANTES!V$16:V$68)+SUMIF(RECARGAS!$B$16:$B$37,$A71,RECARGAS!AF$16:AF$37)+SUMIF(REVENDIDOS!$B$16:$B$25,$A71,REVENDIDOS!W$16:W$25)</f>
        <v>1615.02071606564</v>
      </c>
      <c r="Q71" s="13" t="n">
        <f aca="false">SUMIF(MANUALES!$B$16:$B$69,$A71,MANUALES!W$16:W$69)+SUMIF(RODANTES!$B$16:$B$68,$A71,RODANTES!W$16:W$68)+SUMIF(RECARGAS!$B$16:$B$37,$A71,RECARGAS!AG$16:AG$37)+SUMIF(REVENDIDOS!$B$16:$B$25,$A71,REVENDIDOS!X$16:X$25)</f>
        <v>1843.26194663625</v>
      </c>
      <c r="R71" s="13" t="n">
        <f aca="false">SUMIF(MANUALES!$B$16:$B$69,$A71,MANUALES!X$16:X$69)+SUMIF(RODANTES!$B$16:$B$68,$A71,RODANTES!X$16:X$68)+SUMIF(RECARGAS!$B$16:$B$37,$A71,RECARGAS!AH$16:AH$37)+SUMIF(REVENDIDOS!$B$16:$B$25,$A71,REVENDIDOS!Y$16:Y$25)</f>
        <v>202.758814129988</v>
      </c>
    </row>
    <row r="72" customFormat="false" ht="15" hidden="false" customHeight="false" outlineLevel="0" collapsed="false">
      <c r="A72" s="3" t="s">
        <v>274</v>
      </c>
      <c r="B72" s="3" t="s">
        <v>275</v>
      </c>
      <c r="C72" s="3" t="s">
        <v>214</v>
      </c>
      <c r="D72" s="13" t="n">
        <f aca="false">SUMIF(MANUALES!$B$16:$B$69,$A72,MANUALES!W$16:W$69)</f>
        <v>32072.63913</v>
      </c>
      <c r="E72" s="13" t="n">
        <f aca="false">SUMIF(RODANTES!$B$16:$B$68,$A72,RODANTES!W$16:W$68)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SUMIF(MANUALES!$B$16:$B$69,$A72,MANUALES!N$16:N$69)+SUMIF(RODANTES!$B$16:$B$68,$A72,RODANTES!N$16:N$68)+SUMIF(RECARGAS!$B$16:$B$37,$A72,RECARGAS!X$16:X$37)+SUMIF(REVENDIDOS!$B$16:$B$25,$A72,REVENDIDOS!O$16:O$25)</f>
        <v>4178.736543</v>
      </c>
      <c r="I72" s="13" t="n">
        <f aca="false">SUMIF(MANUALES!$B$16:$B$69,$A72,MANUALES!O$16:O$69)+SUMIF(RODANTES!$B$16:$B$68,$A72,RODANTES!O$16:O$68)+SUMIF(RECARGAS!$B$16:$B$37,$A72,RECARGAS!Y$16:Y$37)+SUMIF(REVENDIDOS!$B$16:$B$25,$A72,REVENDIDOS!P$16:P$25)</f>
        <v>5997.303977</v>
      </c>
      <c r="J72" s="13" t="n">
        <f aca="false">SUMIF(MANUALES!$B$16:$B$69,$A72,MANUALES!P$16:P$69)+SUMIF(RODANTES!$B$16:$B$68,$A72,RODANTES!P$16:P$68)+SUMIF(RECARGAS!$B$16:$B$37,$A72,RECARGAS!Z$16:Z$37)+SUMIF(REVENDIDOS!$B$16:$B$25,$A72,REVENDIDOS!Q$16:Q$25)</f>
        <v>6851.747758</v>
      </c>
      <c r="K72" s="13" t="n">
        <f aca="false">SUMIF(MANUALES!$B$16:$B$69,$A72,MANUALES!Q$16:Q$69)+SUMIF(RODANTES!$B$16:$B$68,$A72,RODANTES!Q$16:Q$68)+SUMIF(RECARGAS!$B$16:$B$37,$A72,RECARGAS!AA$16:AA$37)+SUMIF(REVENDIDOS!$B$16:$B$25,$A72,REVENDIDOS!R$16:R$25)</f>
        <v>8467.135549</v>
      </c>
      <c r="L72" s="13" t="n">
        <f aca="false">SUMIF(MANUALES!$B$16:$B$69,$A72,MANUALES!R$16:R$69)+SUMIF(RODANTES!$B$16:$B$68,$A72,RODANTES!R$16:R$68)+SUMIF(RECARGAS!$B$16:$B$37,$A72,RECARGAS!AB$16:AB$37)+SUMIF(REVENDIDOS!$B$16:$B$25,$A72,REVENDIDOS!S$16:S$25)</f>
        <v>12680.63271</v>
      </c>
      <c r="M72" s="13" t="n">
        <f aca="false">SUMIF(MANUALES!$B$16:$B$69,$A72,MANUALES!S$16:S$69)+SUMIF(RODANTES!$B$16:$B$68,$A72,RODANTES!S$16:S$68)+SUMIF(RECARGAS!$B$16:$B$37,$A72,RECARGAS!AC$16:AC$37)+SUMIF(REVENDIDOS!$B$16:$B$25,$A72,REVENDIDOS!T$16:T$25)</f>
        <v>15620.25307</v>
      </c>
      <c r="N72" s="13" t="n">
        <f aca="false">SUMIF(MANUALES!$B$16:$B$69,$A72,MANUALES!T$16:T$69)+SUMIF(RODANTES!$B$16:$B$68,$A72,RODANTES!T$16:T$68)+SUMIF(RECARGAS!$B$16:$B$37,$A72,RECARGAS!AD$16:AD$37)+SUMIF(REVENDIDOS!$B$16:$B$25,$A72,REVENDIDOS!U$16:U$25)</f>
        <v>20332.55326</v>
      </c>
      <c r="O72" s="13" t="n">
        <f aca="false">SUMIF(MANUALES!$B$16:$B$69,$A72,MANUALES!U$16:U$69)+SUMIF(RODANTES!$B$16:$B$68,$A72,RODANTES!U$16:U$68)+SUMIF(RECARGAS!$B$16:$B$37,$A72,RECARGAS!AE$16:AE$37)+SUMIF(REVENDIDOS!$B$16:$B$25,$A72,REVENDIDOS!V$16:V$25)</f>
        <v>25132.07848</v>
      </c>
      <c r="P72" s="13" t="n">
        <f aca="false">SUMIF(MANUALES!$B$16:$B$69,$A72,MANUALES!V$16:V$69)+SUMIF(RODANTES!$B$16:$B$68,$A72,RODANTES!V$16:V$68)+SUMIF(RECARGAS!$B$16:$B$37,$A72,RECARGAS!AF$16:AF$37)+SUMIF(REVENDIDOS!$B$16:$B$25,$A72,REVENDIDOS!W$16:W$25)</f>
        <v>28573.33614</v>
      </c>
      <c r="Q72" s="13" t="n">
        <f aca="false">SUMIF(MANUALES!$B$16:$B$69,$A72,MANUALES!W$16:W$69)+SUMIF(RODANTES!$B$16:$B$68,$A72,RODANTES!W$16:W$68)+SUMIF(RECARGAS!$B$16:$B$37,$A72,RECARGAS!AG$16:AG$37)+SUMIF(REVENDIDOS!$B$16:$B$25,$A72,REVENDIDOS!X$16:X$25)</f>
        <v>32072.63913</v>
      </c>
      <c r="R72" s="13" t="n">
        <f aca="false">SUMIF(MANUALES!$B$16:$B$69,$A72,MANUALES!X$16:X$69)+SUMIF(RODANTES!$B$16:$B$68,$A72,RODANTES!X$16:X$68)+SUMIF(RECARGAS!$B$16:$B$37,$A72,RECARGAS!AH$16:AH$37)+SUMIF(REVENDIDOS!$B$16:$B$25,$A72,REVENDIDOS!Y$16:Y$25)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277</v>
      </c>
      <c r="B73" s="3" t="s">
        <v>278</v>
      </c>
      <c r="C73" s="3" t="s">
        <v>214</v>
      </c>
      <c r="D73" s="13" t="n">
        <f aca="false">SUMIF(MANUALES!$B$16:$B$69,$A73,MANUALES!W$16:W$69)</f>
        <v>83435.523103705</v>
      </c>
      <c r="E73" s="13" t="n">
        <f aca="false">SUMIF(RODANTES!$B$16:$B$68,$A73,RODANTES!W$16:W$68)</f>
        <v>0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SUMIF(MANUALES!$B$16:$B$69,$A73,MANUALES!N$16:N$69)+SUMIF(RODANTES!$B$16:$B$68,$A73,RODANTES!N$16:N$68)+SUMIF(RECARGAS!$B$16:$B$37,$A73,RECARGAS!X$16:X$37)+SUMIF(REVENDIDOS!$B$16:$B$25,$A73,REVENDIDOS!O$16:O$25)</f>
        <v>6237.7841618873</v>
      </c>
      <c r="I73" s="13" t="n">
        <f aca="false">SUMIF(MANUALES!$B$16:$B$69,$A73,MANUALES!O$16:O$69)+SUMIF(RODANTES!$B$16:$B$68,$A73,RODANTES!O$16:O$68)+SUMIF(RECARGAS!$B$16:$B$37,$A73,RECARGAS!Y$16:Y$37)+SUMIF(REVENDIDOS!$B$16:$B$25,$A73,REVENDIDOS!P$16:P$25)</f>
        <v>12778.1551099192</v>
      </c>
      <c r="J73" s="13" t="n">
        <f aca="false">SUMIF(MANUALES!$B$16:$B$69,$A73,MANUALES!P$16:P$69)+SUMIF(RODANTES!$B$16:$B$68,$A73,RODANTES!P$16:P$68)+SUMIF(RECARGAS!$B$16:$B$37,$A73,RECARGAS!Z$16:Z$37)+SUMIF(REVENDIDOS!$B$16:$B$25,$A73,REVENDIDOS!Q$16:Q$25)</f>
        <v>16928.9657939511</v>
      </c>
      <c r="K73" s="13" t="n">
        <f aca="false">SUMIF(MANUALES!$B$16:$B$69,$A73,MANUALES!Q$16:Q$69)+SUMIF(RODANTES!$B$16:$B$68,$A73,RODANTES!Q$16:Q$68)+SUMIF(RECARGAS!$B$16:$B$37,$A73,RECARGAS!AA$16:AA$37)+SUMIF(REVENDIDOS!$B$16:$B$25,$A73,REVENDIDOS!R$16:R$25)</f>
        <v>24620.9595824543</v>
      </c>
      <c r="L73" s="13" t="n">
        <f aca="false">SUMIF(MANUALES!$B$16:$B$69,$A73,MANUALES!R$16:R$69)+SUMIF(RODANTES!$B$16:$B$68,$A73,RODANTES!R$16:R$68)+SUMIF(RECARGAS!$B$16:$B$37,$A73,RECARGAS!AB$16:AB$37)+SUMIF(REVENDIDOS!$B$16:$B$25,$A73,REVENDIDOS!S$16:S$25)</f>
        <v>34886.8619255153</v>
      </c>
      <c r="M73" s="13" t="n">
        <f aca="false">SUMIF(MANUALES!$B$16:$B$69,$A73,MANUALES!S$16:S$69)+SUMIF(RODANTES!$B$16:$B$68,$A73,RODANTES!S$16:S$68)+SUMIF(RECARGAS!$B$16:$B$37,$A73,RECARGAS!AC$16:AC$37)+SUMIF(REVENDIDOS!$B$16:$B$25,$A73,REVENDIDOS!T$16:T$25)</f>
        <v>45802.7699120914</v>
      </c>
      <c r="N73" s="13" t="n">
        <f aca="false">SUMIF(MANUALES!$B$16:$B$69,$A73,MANUALES!T$16:T$69)+SUMIF(RODANTES!$B$16:$B$68,$A73,RODANTES!T$16:T$68)+SUMIF(RECARGAS!$B$16:$B$37,$A73,RECARGAS!AD$16:AD$37)+SUMIF(REVENDIDOS!$B$16:$B$25,$A73,REVENDIDOS!U$16:U$25)</f>
        <v>55802.2027426685</v>
      </c>
      <c r="O73" s="13" t="n">
        <f aca="false">SUMIF(MANUALES!$B$16:$B$69,$A73,MANUALES!U$16:U$69)+SUMIF(RODANTES!$B$16:$B$68,$A73,RODANTES!U$16:U$68)+SUMIF(RECARGAS!$B$16:$B$37,$A73,RECARGAS!AE$16:AE$37)+SUMIF(REVENDIDOS!$B$16:$B$25,$A73,REVENDIDOS!V$16:V$25)</f>
        <v>65063.2952882353</v>
      </c>
      <c r="P73" s="13" t="n">
        <f aca="false">SUMIF(MANUALES!$B$16:$B$69,$A73,MANUALES!V$16:V$69)+SUMIF(RODANTES!$B$16:$B$68,$A73,RODANTES!V$16:V$68)+SUMIF(RECARGAS!$B$16:$B$37,$A73,RECARGAS!AF$16:AF$37)+SUMIF(REVENDIDOS!$B$16:$B$25,$A73,REVENDIDOS!W$16:W$25)</f>
        <v>72887.3161233883</v>
      </c>
      <c r="Q73" s="13" t="n">
        <f aca="false">SUMIF(MANUALES!$B$16:$B$69,$A73,MANUALES!W$16:W$69)+SUMIF(RODANTES!$B$16:$B$68,$A73,RODANTES!W$16:W$68)+SUMIF(RECARGAS!$B$16:$B$37,$A73,RECARGAS!AG$16:AG$37)+SUMIF(REVENDIDOS!$B$16:$B$25,$A73,REVENDIDOS!X$16:X$25)</f>
        <v>83435.523103705</v>
      </c>
      <c r="R73" s="13" t="n">
        <f aca="false">SUMIF(MANUALES!$B$16:$B$69,$A73,MANUALES!X$16:X$69)+SUMIF(RODANTES!$B$16:$B$68,$A73,RODANTES!X$16:X$68)+SUMIF(RECARGAS!$B$16:$B$37,$A73,RECARGAS!AH$16:AH$37)+SUMIF(REVENDIDOS!$B$16:$B$25,$A73,REVENDIDOS!Y$16:Y$25)</f>
        <v>9177.90754140755</v>
      </c>
    </row>
    <row r="74" customFormat="false" ht="15" hidden="false" customHeight="false" outlineLevel="0" collapsed="false">
      <c r="A74" s="3" t="s">
        <v>512</v>
      </c>
      <c r="B74" s="3" t="s">
        <v>513</v>
      </c>
      <c r="C74" s="3" t="s">
        <v>214</v>
      </c>
      <c r="D74" s="13" t="n">
        <f aca="false">SUMIF(MANUALES!$B$16:$B$69,$A74,MANUALES!W$16:W$69)</f>
        <v>0</v>
      </c>
      <c r="E74" s="13" t="n">
        <f aca="false">SUMIF(RODANTES!$B$16:$B$68,$A74,RODANTES!W$16:W$68)</f>
        <v>0</v>
      </c>
      <c r="F74" s="13" t="n">
        <f aca="false">SUMIF(RECARGAS!$B$16:$B$37,$A74,RECARGAS!AG$16:AG$37)</f>
        <v>3695.0758509751</v>
      </c>
      <c r="G74" s="13" t="n">
        <f aca="false">SUMIF(REVENDIDOS!$B$16:$B$25,$A74,REVENDIDOS!X$16:X$25)</f>
        <v>0</v>
      </c>
      <c r="H74" s="13" t="n">
        <f aca="false">SUMIF(MANUALES!$B$16:$B$69,$A74,MANUALES!N$16:N$69)+SUMIF(RODANTES!$B$16:$B$68,$A74,RODANTES!N$16:N$68)+SUMIF(RECARGAS!$B$16:$B$37,$A74,RECARGAS!X$16:X$37)+SUMIF(REVENDIDOS!$B$16:$B$25,$A74,REVENDIDOS!O$16:O$25)</f>
        <v>69.8397136650006</v>
      </c>
      <c r="I74" s="13" t="n">
        <f aca="false">SUMIF(MANUALES!$B$16:$B$69,$A74,MANUALES!O$16:O$69)+SUMIF(RODANTES!$B$16:$B$68,$A74,RODANTES!O$16:O$68)+SUMIF(RECARGAS!$B$16:$B$37,$A74,RECARGAS!Y$16:Y$37)+SUMIF(REVENDIDOS!$B$16:$B$25,$A74,REVENDIDOS!P$16:P$25)</f>
        <v>283.632580589666</v>
      </c>
      <c r="J74" s="13" t="n">
        <f aca="false">SUMIF(MANUALES!$B$16:$B$69,$A74,MANUALES!P$16:P$69)+SUMIF(RODANTES!$B$16:$B$68,$A74,RODANTES!P$16:P$68)+SUMIF(RECARGAS!$B$16:$B$37,$A74,RECARGAS!Z$16:Z$37)+SUMIF(REVENDIDOS!$B$16:$B$25,$A74,REVENDIDOS!Q$16:Q$25)</f>
        <v>645.782608580608</v>
      </c>
      <c r="K74" s="13" t="n">
        <f aca="false">SUMIF(MANUALES!$B$16:$B$69,$A74,MANUALES!Q$16:Q$69)+SUMIF(RODANTES!$B$16:$B$68,$A74,RODANTES!Q$16:Q$68)+SUMIF(RECARGAS!$B$16:$B$37,$A74,RECARGAS!AA$16:AA$37)+SUMIF(REVENDIDOS!$B$16:$B$25,$A74,REVENDIDOS!R$16:R$25)</f>
        <v>1214.01812871063</v>
      </c>
      <c r="L74" s="13" t="n">
        <f aca="false">SUMIF(MANUALES!$B$16:$B$69,$A74,MANUALES!R$16:R$69)+SUMIF(RODANTES!$B$16:$B$68,$A74,RODANTES!R$16:R$68)+SUMIF(RECARGAS!$B$16:$B$37,$A74,RECARGAS!AB$16:AB$37)+SUMIF(REVENDIDOS!$B$16:$B$25,$A74,REVENDIDOS!S$16:S$25)</f>
        <v>1752.19086468834</v>
      </c>
      <c r="M74" s="13" t="n">
        <f aca="false">SUMIF(MANUALES!$B$16:$B$69,$A74,MANUALES!S$16:S$69)+SUMIF(RODANTES!$B$16:$B$68,$A74,RODANTES!S$16:S$68)+SUMIF(RECARGAS!$B$16:$B$37,$A74,RECARGAS!AC$16:AC$37)+SUMIF(REVENDIDOS!$B$16:$B$25,$A74,REVENDIDOS!T$16:T$25)</f>
        <v>2330.39967187013</v>
      </c>
      <c r="N74" s="13" t="n">
        <f aca="false">SUMIF(MANUALES!$B$16:$B$69,$A74,MANUALES!T$16:T$69)+SUMIF(RODANTES!$B$16:$B$68,$A74,RODANTES!T$16:T$68)+SUMIF(RECARGAS!$B$16:$B$37,$A74,RECARGAS!AD$16:AD$37)+SUMIF(REVENDIDOS!$B$16:$B$25,$A74,REVENDIDOS!U$16:U$25)</f>
        <v>2858.76965409047</v>
      </c>
      <c r="O74" s="13" t="n">
        <f aca="false">SUMIF(MANUALES!$B$16:$B$69,$A74,MANUALES!U$16:U$69)+SUMIF(RODANTES!$B$16:$B$68,$A74,RODANTES!U$16:U$68)+SUMIF(RECARGAS!$B$16:$B$37,$A74,RECARGAS!AE$16:AE$37)+SUMIF(REVENDIDOS!$B$16:$B$25,$A74,REVENDIDOS!V$16:V$25)</f>
        <v>3176.72954539615</v>
      </c>
      <c r="P74" s="13" t="n">
        <f aca="false">SUMIF(MANUALES!$B$16:$B$69,$A74,MANUALES!V$16:V$69)+SUMIF(RODANTES!$B$16:$B$68,$A74,RODANTES!V$16:V$68)+SUMIF(RECARGAS!$B$16:$B$37,$A74,RECARGAS!AF$16:AF$37)+SUMIF(REVENDIDOS!$B$16:$B$25,$A74,REVENDIDOS!W$16:W$25)</f>
        <v>3433.76270708116</v>
      </c>
      <c r="Q74" s="13" t="n">
        <f aca="false">SUMIF(MANUALES!$B$16:$B$69,$A74,MANUALES!W$16:W$69)+SUMIF(RODANTES!$B$16:$B$68,$A74,RODANTES!W$16:W$68)+SUMIF(RECARGAS!$B$16:$B$37,$A74,RECARGAS!AG$16:AG$37)+SUMIF(REVENDIDOS!$B$16:$B$25,$A74,REVENDIDOS!X$16:X$25)</f>
        <v>3695.0758509751</v>
      </c>
      <c r="R74" s="13" t="n">
        <f aca="false">SUMIF(MANUALES!$B$16:$B$69,$A74,MANUALES!X$16:X$69)+SUMIF(RODANTES!$B$16:$B$68,$A74,RODANTES!X$16:X$68)+SUMIF(RECARGAS!$B$16:$B$37,$A74,RECARGAS!AH$16:AH$37)+SUMIF(REVENDIDOS!$B$16:$B$25,$A74,REVENDIDOS!Y$16:Y$25)</f>
        <v>307.922987581259</v>
      </c>
    </row>
    <row r="75" customFormat="false" ht="15" hidden="false" customHeight="false" outlineLevel="0" collapsed="false">
      <c r="A75" s="3" t="s">
        <v>280</v>
      </c>
      <c r="B75" s="3" t="s">
        <v>281</v>
      </c>
      <c r="C75" s="3" t="s">
        <v>214</v>
      </c>
      <c r="D75" s="13" t="n">
        <f aca="false">SUMIF(MANUALES!$B$16:$B$69,$A75,MANUALES!W$16:W$69)</f>
        <v>32072.63913</v>
      </c>
      <c r="E75" s="13" t="n">
        <f aca="false">SUMIF(RODANTES!$B$16:$B$68,$A75,RODANTES!W$16:W$68)</f>
        <v>0</v>
      </c>
      <c r="F75" s="13" t="n">
        <f aca="false">SUMIF(RECARGAS!$B$16:$B$37,$A75,RECARGAS!AG$16:AG$37)</f>
        <v>0</v>
      </c>
      <c r="G75" s="13" t="n">
        <f aca="false">SUMIF(REVENDIDOS!$B$16:$B$25,$A75,REVENDIDOS!X$16:X$25)</f>
        <v>0</v>
      </c>
      <c r="H75" s="13" t="n">
        <f aca="false">SUMIF(MANUALES!$B$16:$B$69,$A75,MANUALES!N$16:N$69)+SUMIF(RODANTES!$B$16:$B$68,$A75,RODANTES!N$16:N$68)+SUMIF(RECARGAS!$B$16:$B$37,$A75,RECARGAS!X$16:X$37)+SUMIF(REVENDIDOS!$B$16:$B$25,$A75,REVENDIDOS!O$16:O$25)</f>
        <v>4178.736543</v>
      </c>
      <c r="I75" s="13" t="n">
        <f aca="false">SUMIF(MANUALES!$B$16:$B$69,$A75,MANUALES!O$16:O$69)+SUMIF(RODANTES!$B$16:$B$68,$A75,RODANTES!O$16:O$68)+SUMIF(RECARGAS!$B$16:$B$37,$A75,RECARGAS!Y$16:Y$37)+SUMIF(REVENDIDOS!$B$16:$B$25,$A75,REVENDIDOS!P$16:P$25)</f>
        <v>5997.303977</v>
      </c>
      <c r="J75" s="13" t="n">
        <f aca="false">SUMIF(MANUALES!$B$16:$B$69,$A75,MANUALES!P$16:P$69)+SUMIF(RODANTES!$B$16:$B$68,$A75,RODANTES!P$16:P$68)+SUMIF(RECARGAS!$B$16:$B$37,$A75,RECARGAS!Z$16:Z$37)+SUMIF(REVENDIDOS!$B$16:$B$25,$A75,REVENDIDOS!Q$16:Q$25)</f>
        <v>6851.747758</v>
      </c>
      <c r="K75" s="13" t="n">
        <f aca="false">SUMIF(MANUALES!$B$16:$B$69,$A75,MANUALES!Q$16:Q$69)+SUMIF(RODANTES!$B$16:$B$68,$A75,RODANTES!Q$16:Q$68)+SUMIF(RECARGAS!$B$16:$B$37,$A75,RECARGAS!AA$16:AA$37)+SUMIF(REVENDIDOS!$B$16:$B$25,$A75,REVENDIDOS!R$16:R$25)</f>
        <v>8467.135549</v>
      </c>
      <c r="L75" s="13" t="n">
        <f aca="false">SUMIF(MANUALES!$B$16:$B$69,$A75,MANUALES!R$16:R$69)+SUMIF(RODANTES!$B$16:$B$68,$A75,RODANTES!R$16:R$68)+SUMIF(RECARGAS!$B$16:$B$37,$A75,RECARGAS!AB$16:AB$37)+SUMIF(REVENDIDOS!$B$16:$B$25,$A75,REVENDIDOS!S$16:S$25)</f>
        <v>12680.63271</v>
      </c>
      <c r="M75" s="13" t="n">
        <f aca="false">SUMIF(MANUALES!$B$16:$B$69,$A75,MANUALES!S$16:S$69)+SUMIF(RODANTES!$B$16:$B$68,$A75,RODANTES!S$16:S$68)+SUMIF(RECARGAS!$B$16:$B$37,$A75,RECARGAS!AC$16:AC$37)+SUMIF(REVENDIDOS!$B$16:$B$25,$A75,REVENDIDOS!T$16:T$25)</f>
        <v>15620.25307</v>
      </c>
      <c r="N75" s="13" t="n">
        <f aca="false">SUMIF(MANUALES!$B$16:$B$69,$A75,MANUALES!T$16:T$69)+SUMIF(RODANTES!$B$16:$B$68,$A75,RODANTES!T$16:T$68)+SUMIF(RECARGAS!$B$16:$B$37,$A75,RECARGAS!AD$16:AD$37)+SUMIF(REVENDIDOS!$B$16:$B$25,$A75,REVENDIDOS!U$16:U$25)</f>
        <v>20332.55326</v>
      </c>
      <c r="O75" s="13" t="n">
        <f aca="false">SUMIF(MANUALES!$B$16:$B$69,$A75,MANUALES!U$16:U$69)+SUMIF(RODANTES!$B$16:$B$68,$A75,RODANTES!U$16:U$68)+SUMIF(RECARGAS!$B$16:$B$37,$A75,RECARGAS!AE$16:AE$37)+SUMIF(REVENDIDOS!$B$16:$B$25,$A75,REVENDIDOS!V$16:V$25)</f>
        <v>25132.07848</v>
      </c>
      <c r="P75" s="13" t="n">
        <f aca="false">SUMIF(MANUALES!$B$16:$B$69,$A75,MANUALES!V$16:V$69)+SUMIF(RODANTES!$B$16:$B$68,$A75,RODANTES!V$16:V$68)+SUMIF(RECARGAS!$B$16:$B$37,$A75,RECARGAS!AF$16:AF$37)+SUMIF(REVENDIDOS!$B$16:$B$25,$A75,REVENDIDOS!W$16:W$25)</f>
        <v>28573.33614</v>
      </c>
      <c r="Q75" s="13" t="n">
        <f aca="false">SUMIF(MANUALES!$B$16:$B$69,$A75,MANUALES!W$16:W$69)+SUMIF(RODANTES!$B$16:$B$68,$A75,RODANTES!W$16:W$68)+SUMIF(RECARGAS!$B$16:$B$37,$A75,RECARGAS!AG$16:AG$37)+SUMIF(REVENDIDOS!$B$16:$B$25,$A75,REVENDIDOS!X$16:X$25)</f>
        <v>32072.63913</v>
      </c>
      <c r="R75" s="13" t="n">
        <f aca="false">SUMIF(MANUALES!$B$16:$B$69,$A75,MANUALES!X$16:X$69)+SUMIF(RODANTES!$B$16:$B$68,$A75,RODANTES!X$16:X$68)+SUMIF(RECARGAS!$B$16:$B$37,$A75,RECARGAS!AH$16:AH$37)+SUMIF(REVENDIDOS!$B$16:$B$25,$A75,REVENDIDOS!Y$16:Y$25)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3" t="s">
        <v>283</v>
      </c>
      <c r="B76" s="3" t="s">
        <v>284</v>
      </c>
      <c r="C76" s="3" t="s">
        <v>214</v>
      </c>
      <c r="D76" s="13" t="n">
        <f aca="false">SUMIF(MANUALES!$B$16:$B$69,$A76,MANUALES!W$16:W$69)</f>
        <v>7424.858444</v>
      </c>
      <c r="E76" s="13" t="n">
        <f aca="false">SUMIF(RODANTES!$B$16:$B$68,$A76,RODANTES!W$16:W$68)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SUMIF(MANUALES!$B$16:$B$69,$A76,MANUALES!N$16:N$69)+SUMIF(RODANTES!$B$16:$B$68,$A76,RODANTES!N$16:N$68)+SUMIF(RECARGAS!$B$16:$B$37,$A76,RECARGAS!X$16:X$37)+SUMIF(REVENDIDOS!$B$16:$B$25,$A76,REVENDIDOS!O$16:O$25)</f>
        <v>295.0303572</v>
      </c>
      <c r="I76" s="13" t="n">
        <f aca="false">SUMIF(MANUALES!$B$16:$B$69,$A76,MANUALES!O$16:O$69)+SUMIF(RODANTES!$B$16:$B$68,$A76,RODANTES!O$16:O$68)+SUMIF(RECARGAS!$B$16:$B$37,$A76,RECARGAS!Y$16:Y$37)+SUMIF(REVENDIDOS!$B$16:$B$25,$A76,REVENDIDOS!P$16:P$25)</f>
        <v>709.7274503</v>
      </c>
      <c r="J76" s="13" t="n">
        <f aca="false">SUMIF(MANUALES!$B$16:$B$69,$A76,MANUALES!P$16:P$69)+SUMIF(RODANTES!$B$16:$B$68,$A76,RODANTES!P$16:P$68)+SUMIF(RECARGAS!$B$16:$B$37,$A76,RECARGAS!Z$16:Z$37)+SUMIF(REVENDIDOS!$B$16:$B$25,$A76,REVENDIDOS!Q$16:Q$25)</f>
        <v>986.8680576</v>
      </c>
      <c r="K76" s="13" t="n">
        <f aca="false">SUMIF(MANUALES!$B$16:$B$69,$A76,MANUALES!Q$16:Q$69)+SUMIF(RODANTES!$B$16:$B$68,$A76,RODANTES!Q$16:Q$68)+SUMIF(RECARGAS!$B$16:$B$37,$A76,RECARGAS!AA$16:AA$37)+SUMIF(REVENDIDOS!$B$16:$B$25,$A76,REVENDIDOS!R$16:R$25)</f>
        <v>1500.638174</v>
      </c>
      <c r="L76" s="13" t="n">
        <f aca="false">SUMIF(MANUALES!$B$16:$B$69,$A76,MANUALES!R$16:R$69)+SUMIF(RODANTES!$B$16:$B$68,$A76,RODANTES!R$16:R$68)+SUMIF(RECARGAS!$B$16:$B$37,$A76,RECARGAS!AB$16:AB$37)+SUMIF(REVENDIDOS!$B$16:$B$25,$A76,REVENDIDOS!S$16:S$25)</f>
        <v>2312.627726</v>
      </c>
      <c r="M76" s="13" t="n">
        <f aca="false">SUMIF(MANUALES!$B$16:$B$69,$A76,MANUALES!S$16:S$69)+SUMIF(RODANTES!$B$16:$B$68,$A76,RODANTES!S$16:S$68)+SUMIF(RECARGAS!$B$16:$B$37,$A76,RECARGAS!AC$16:AC$37)+SUMIF(REVENDIDOS!$B$16:$B$25,$A76,REVENDIDOS!T$16:T$25)</f>
        <v>3252.869887</v>
      </c>
      <c r="N76" s="13" t="n">
        <f aca="false">SUMIF(MANUALES!$B$16:$B$69,$A76,MANUALES!T$16:T$69)+SUMIF(RODANTES!$B$16:$B$68,$A76,RODANTES!T$16:T$68)+SUMIF(RECARGAS!$B$16:$B$37,$A76,RECARGAS!AD$16:AD$37)+SUMIF(REVENDIDOS!$B$16:$B$25,$A76,REVENDIDOS!U$16:U$25)</f>
        <v>4102.315524</v>
      </c>
      <c r="O76" s="13" t="n">
        <f aca="false">SUMIF(MANUALES!$B$16:$B$69,$A76,MANUALES!U$16:U$69)+SUMIF(RODANTES!$B$16:$B$68,$A76,RODANTES!U$16:U$68)+SUMIF(RECARGAS!$B$16:$B$37,$A76,RECARGAS!AE$16:AE$37)+SUMIF(REVENDIDOS!$B$16:$B$25,$A76,REVENDIDOS!V$16:V$25)</f>
        <v>5104.306587</v>
      </c>
      <c r="P76" s="13" t="n">
        <f aca="false">SUMIF(MANUALES!$B$16:$B$69,$A76,MANUALES!V$16:V$69)+SUMIF(RODANTES!$B$16:$B$68,$A76,RODANTES!V$16:V$68)+SUMIF(RECARGAS!$B$16:$B$37,$A76,RECARGAS!AF$16:AF$37)+SUMIF(REVENDIDOS!$B$16:$B$25,$A76,REVENDIDOS!W$16:W$25)</f>
        <v>6195.186243</v>
      </c>
      <c r="Q76" s="13" t="n">
        <f aca="false">SUMIF(MANUALES!$B$16:$B$69,$A76,MANUALES!W$16:W$69)+SUMIF(RODANTES!$B$16:$B$68,$A76,RODANTES!W$16:W$68)+SUMIF(RECARGAS!$B$16:$B$37,$A76,RECARGAS!AG$16:AG$37)+SUMIF(REVENDIDOS!$B$16:$B$25,$A76,REVENDIDOS!X$16:X$25)</f>
        <v>7424.858444</v>
      </c>
      <c r="R76" s="13" t="n">
        <f aca="false">SUMIF(MANUALES!$B$16:$B$69,$A76,MANUALES!X$16:X$69)+SUMIF(RODANTES!$B$16:$B$68,$A76,RODANTES!X$16:X$68)+SUMIF(RECARGAS!$B$16:$B$37,$A76,RECARGAS!AH$16:AH$37)+SUMIF(REVENDIDOS!$B$16:$B$25,$A76,REVENDIDOS!Y$16:Y$25)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286</v>
      </c>
      <c r="B77" s="3" t="s">
        <v>287</v>
      </c>
      <c r="C77" s="3" t="s">
        <v>214</v>
      </c>
      <c r="D77" s="13" t="n">
        <f aca="false">SUMIF(MANUALES!$B$16:$B$69,$A77,MANUALES!W$16:W$69)</f>
        <v>32449.6411612163</v>
      </c>
      <c r="E77" s="13" t="n">
        <f aca="false">SUMIF(RODANTES!$B$16:$B$68,$A77,RODANTES!W$16:W$68)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SUMIF(MANUALES!$B$16:$B$69,$A77,MANUALES!N$16:N$69)+SUMIF(RODANTES!$B$16:$B$68,$A77,RODANTES!N$16:N$68)+SUMIF(RECARGAS!$B$16:$B$37,$A77,RECARGAS!X$16:X$37)+SUMIF(REVENDIDOS!$B$16:$B$25,$A77,REVENDIDOS!O$16:O$25)</f>
        <v>2731.34375706862</v>
      </c>
      <c r="I77" s="13" t="n">
        <f aca="false">SUMIF(MANUALES!$B$16:$B$69,$A77,MANUALES!O$16:O$69)+SUMIF(RODANTES!$B$16:$B$68,$A77,RODANTES!O$16:O$68)+SUMIF(RECARGAS!$B$16:$B$37,$A77,RECARGAS!Y$16:Y$37)+SUMIF(REVENDIDOS!$B$16:$B$25,$A77,REVENDIDOS!P$16:P$25)</f>
        <v>5501.04139098481</v>
      </c>
      <c r="J77" s="13" t="n">
        <f aca="false">SUMIF(MANUALES!$B$16:$B$69,$A77,MANUALES!P$16:P$69)+SUMIF(RODANTES!$B$16:$B$68,$A77,RODANTES!P$16:P$68)+SUMIF(RECARGAS!$B$16:$B$37,$A77,RECARGAS!Z$16:Z$37)+SUMIF(REVENDIDOS!$B$16:$B$25,$A77,REVENDIDOS!Q$16:Q$25)</f>
        <v>7222.1537134248</v>
      </c>
      <c r="K77" s="13" t="n">
        <f aca="false">SUMIF(MANUALES!$B$16:$B$69,$A77,MANUALES!Q$16:Q$69)+SUMIF(RODANTES!$B$16:$B$68,$A77,RODANTES!Q$16:Q$68)+SUMIF(RECARGAS!$B$16:$B$37,$A77,RECARGAS!AA$16:AA$37)+SUMIF(REVENDIDOS!$B$16:$B$25,$A77,REVENDIDOS!R$16:R$25)</f>
        <v>10448.1917618585</v>
      </c>
      <c r="L77" s="13" t="n">
        <f aca="false">SUMIF(MANUALES!$B$16:$B$69,$A77,MANUALES!R$16:R$69)+SUMIF(RODANTES!$B$16:$B$68,$A77,RODANTES!R$16:R$68)+SUMIF(RECARGAS!$B$16:$B$37,$A77,RECARGAS!AB$16:AB$37)+SUMIF(REVENDIDOS!$B$16:$B$25,$A77,REVENDIDOS!S$16:S$25)</f>
        <v>14524.6269198752</v>
      </c>
      <c r="M77" s="13" t="n">
        <f aca="false">SUMIF(MANUALES!$B$16:$B$69,$A77,MANUALES!S$16:S$69)+SUMIF(RODANTES!$B$16:$B$68,$A77,RODANTES!S$16:S$68)+SUMIF(RECARGAS!$B$16:$B$37,$A77,RECARGAS!AC$16:AC$37)+SUMIF(REVENDIDOS!$B$16:$B$25,$A77,REVENDIDOS!T$16:T$25)</f>
        <v>18771.6130102606</v>
      </c>
      <c r="N77" s="13" t="n">
        <f aca="false">SUMIF(MANUALES!$B$16:$B$69,$A77,MANUALES!T$16:T$69)+SUMIF(RODANTES!$B$16:$B$68,$A77,RODANTES!T$16:T$68)+SUMIF(RECARGAS!$B$16:$B$37,$A77,RECARGAS!AD$16:AD$37)+SUMIF(REVENDIDOS!$B$16:$B$25,$A77,REVENDIDOS!U$16:U$25)</f>
        <v>22667.8247447793</v>
      </c>
      <c r="O77" s="13" t="n">
        <f aca="false">SUMIF(MANUALES!$B$16:$B$69,$A77,MANUALES!U$16:U$69)+SUMIF(RODANTES!$B$16:$B$68,$A77,RODANTES!U$16:U$68)+SUMIF(RECARGAS!$B$16:$B$37,$A77,RECARGAS!AE$16:AE$37)+SUMIF(REVENDIDOS!$B$16:$B$25,$A77,REVENDIDOS!V$16:V$25)</f>
        <v>26029.3111811951</v>
      </c>
      <c r="P77" s="13" t="n">
        <f aca="false">SUMIF(MANUALES!$B$16:$B$69,$A77,MANUALES!V$16:V$69)+SUMIF(RODANTES!$B$16:$B$68,$A77,RODANTES!V$16:V$68)+SUMIF(RECARGAS!$B$16:$B$37,$A77,RECARGAS!AF$16:AF$37)+SUMIF(REVENDIDOS!$B$16:$B$25,$A77,REVENDIDOS!W$16:W$25)</f>
        <v>28633.4511026285</v>
      </c>
      <c r="Q77" s="13" t="n">
        <f aca="false">SUMIF(MANUALES!$B$16:$B$69,$A77,MANUALES!W$16:W$69)+SUMIF(RODANTES!$B$16:$B$68,$A77,RODANTES!W$16:W$68)+SUMIF(RECARGAS!$B$16:$B$37,$A77,RECARGAS!AG$16:AG$37)+SUMIF(REVENDIDOS!$B$16:$B$25,$A77,REVENDIDOS!X$16:X$25)</f>
        <v>32449.6411612163</v>
      </c>
      <c r="R77" s="13" t="n">
        <f aca="false">SUMIF(MANUALES!$B$16:$B$69,$A77,MANUALES!X$16:X$69)+SUMIF(RODANTES!$B$16:$B$68,$A77,RODANTES!X$16:X$68)+SUMIF(RECARGAS!$B$16:$B$37,$A77,RECARGAS!AH$16:AH$37)+SUMIF(REVENDIDOS!$B$16:$B$25,$A77,REVENDIDOS!Y$16:Y$25)</f>
        <v>3569.46052773379</v>
      </c>
    </row>
    <row r="78" customFormat="false" ht="15" hidden="false" customHeight="false" outlineLevel="0" collapsed="false">
      <c r="A78" s="3" t="s">
        <v>289</v>
      </c>
      <c r="B78" s="3" t="s">
        <v>290</v>
      </c>
      <c r="C78" s="3" t="s">
        <v>214</v>
      </c>
      <c r="D78" s="13" t="n">
        <f aca="false">SUMIF(MANUALES!$B$16:$B$69,$A78,MANUALES!W$16:W$69)</f>
        <v>1843.26194663625</v>
      </c>
      <c r="E78" s="13" t="n">
        <f aca="false">SUMIF(RODANTES!$B$16:$B$68,$A78,RODANTES!W$16:W$68)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SUMIF(MANUALES!$B$16:$B$69,$A78,MANUALES!N$16:N$69)+SUMIF(RODANTES!$B$16:$B$68,$A78,RODANTES!N$16:N$68)+SUMIF(RECARGAS!$B$16:$B$37,$A78,RECARGAS!X$16:X$37)+SUMIF(REVENDIDOS!$B$16:$B$25,$A78,REVENDIDOS!O$16:O$25)</f>
        <v>92.5179666750354</v>
      </c>
      <c r="I78" s="13" t="n">
        <f aca="false">SUMIF(MANUALES!$B$16:$B$69,$A78,MANUALES!O$16:O$69)+SUMIF(RODANTES!$B$16:$B$68,$A78,RODANTES!O$16:O$68)+SUMIF(RECARGAS!$B$16:$B$37,$A78,RECARGAS!Y$16:Y$37)+SUMIF(REVENDIDOS!$B$16:$B$25,$A78,REVENDIDOS!P$16:P$25)</f>
        <v>178.308713674805</v>
      </c>
      <c r="J78" s="13" t="n">
        <f aca="false">SUMIF(MANUALES!$B$16:$B$69,$A78,MANUALES!P$16:P$69)+SUMIF(RODANTES!$B$16:$B$68,$A78,RODANTES!P$16:P$68)+SUMIF(RECARGAS!$B$16:$B$37,$A78,RECARGAS!Z$16:Z$37)+SUMIF(REVENDIDOS!$B$16:$B$25,$A78,REVENDIDOS!Q$16:Q$25)</f>
        <v>255.461125950753</v>
      </c>
      <c r="K78" s="13" t="n">
        <f aca="false">SUMIF(MANUALES!$B$16:$B$69,$A78,MANUALES!Q$16:Q$69)+SUMIF(RODANTES!$B$16:$B$68,$A78,RODANTES!Q$16:Q$68)+SUMIF(RECARGAS!$B$16:$B$37,$A78,RECARGAS!AA$16:AA$37)+SUMIF(REVENDIDOS!$B$16:$B$25,$A78,REVENDIDOS!R$16:R$25)</f>
        <v>361.649855368688</v>
      </c>
      <c r="L78" s="13" t="n">
        <f aca="false">SUMIF(MANUALES!$B$16:$B$69,$A78,MANUALES!R$16:R$69)+SUMIF(RODANTES!$B$16:$B$68,$A78,RODANTES!R$16:R$68)+SUMIF(RECARGAS!$B$16:$B$37,$A78,RECARGAS!AB$16:AB$37)+SUMIF(REVENDIDOS!$B$16:$B$25,$A78,REVENDIDOS!S$16:S$25)</f>
        <v>606.176316882429</v>
      </c>
      <c r="M78" s="13" t="n">
        <f aca="false">SUMIF(MANUALES!$B$16:$B$69,$A78,MANUALES!S$16:S$69)+SUMIF(RODANTES!$B$16:$B$68,$A78,RODANTES!S$16:S$68)+SUMIF(RECARGAS!$B$16:$B$37,$A78,RECARGAS!AC$16:AC$37)+SUMIF(REVENDIDOS!$B$16:$B$25,$A78,REVENDIDOS!T$16:T$25)</f>
        <v>876.902058785097</v>
      </c>
      <c r="N78" s="13" t="n">
        <f aca="false">SUMIF(MANUALES!$B$16:$B$69,$A78,MANUALES!T$16:T$69)+SUMIF(RODANTES!$B$16:$B$68,$A78,RODANTES!T$16:T$68)+SUMIF(RECARGAS!$B$16:$B$37,$A78,RECARGAS!AD$16:AD$37)+SUMIF(REVENDIDOS!$B$16:$B$25,$A78,REVENDIDOS!U$16:U$25)</f>
        <v>1130.96110255495</v>
      </c>
      <c r="O78" s="13" t="n">
        <f aca="false">SUMIF(MANUALES!$B$16:$B$69,$A78,MANUALES!U$16:U$69)+SUMIF(RODANTES!$B$16:$B$68,$A78,RODANTES!U$16:U$68)+SUMIF(RECARGAS!$B$16:$B$37,$A78,RECARGAS!AE$16:AE$37)+SUMIF(REVENDIDOS!$B$16:$B$25,$A78,REVENDIDOS!V$16:V$25)</f>
        <v>1398.02987592251</v>
      </c>
      <c r="P78" s="13" t="n">
        <f aca="false">SUMIF(MANUALES!$B$16:$B$69,$A78,MANUALES!V$16:V$69)+SUMIF(RODANTES!$B$16:$B$68,$A78,RODANTES!V$16:V$68)+SUMIF(RECARGAS!$B$16:$B$37,$A78,RECARGAS!AF$16:AF$37)+SUMIF(REVENDIDOS!$B$16:$B$25,$A78,REVENDIDOS!W$16:W$25)</f>
        <v>1615.02071606564</v>
      </c>
      <c r="Q78" s="13" t="n">
        <f aca="false">SUMIF(MANUALES!$B$16:$B$69,$A78,MANUALES!W$16:W$69)+SUMIF(RODANTES!$B$16:$B$68,$A78,RODANTES!W$16:W$68)+SUMIF(RECARGAS!$B$16:$B$37,$A78,RECARGAS!AG$16:AG$37)+SUMIF(REVENDIDOS!$B$16:$B$25,$A78,REVENDIDOS!X$16:X$25)</f>
        <v>1843.26194663625</v>
      </c>
      <c r="R78" s="13" t="n">
        <f aca="false">SUMIF(MANUALES!$B$16:$B$69,$A78,MANUALES!X$16:X$69)+SUMIF(RODANTES!$B$16:$B$68,$A78,RODANTES!X$16:X$68)+SUMIF(RECARGAS!$B$16:$B$37,$A78,RECARGAS!AH$16:AH$37)+SUMIF(REVENDIDOS!$B$16:$B$25,$A78,REVENDIDOS!Y$16:Y$25)</f>
        <v>202.758814129988</v>
      </c>
    </row>
    <row r="79" customFormat="false" ht="15" hidden="false" customHeight="false" outlineLevel="0" collapsed="false">
      <c r="A79" s="3" t="s">
        <v>460</v>
      </c>
      <c r="B79" s="3" t="s">
        <v>461</v>
      </c>
      <c r="C79" s="3" t="s">
        <v>214</v>
      </c>
      <c r="D79" s="13" t="n">
        <f aca="false">SUMIF(MANUALES!$B$16:$B$69,$A79,MANUALES!W$16:W$69)</f>
        <v>0</v>
      </c>
      <c r="E79" s="13" t="n">
        <f aca="false">SUMIF(RODANTES!$B$16:$B$68,$A79,RODANTES!W$16:W$68)</f>
        <v>453.2705332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SUMIF(MANUALES!$B$16:$B$69,$A79,MANUALES!N$16:N$69)+SUMIF(RODANTES!$B$16:$B$68,$A79,RODANTES!N$16:N$68)+SUMIF(RECARGAS!$B$16:$B$37,$A79,RECARGAS!X$16:X$37)+SUMIF(REVENDIDOS!$B$16:$B$25,$A79,REVENDIDOS!O$16:O$25)</f>
        <v>34.05179136</v>
      </c>
      <c r="I79" s="13" t="n">
        <f aca="false">SUMIF(MANUALES!$B$16:$B$69,$A79,MANUALES!O$16:O$69)+SUMIF(RODANTES!$B$16:$B$68,$A79,RODANTES!O$16:O$68)+SUMIF(RECARGAS!$B$16:$B$37,$A79,RECARGAS!Y$16:Y$37)+SUMIF(REVENDIDOS!$B$16:$B$25,$A79,REVENDIDOS!P$16:P$25)</f>
        <v>58.46214745</v>
      </c>
      <c r="J79" s="13" t="n">
        <f aca="false">SUMIF(MANUALES!$B$16:$B$69,$A79,MANUALES!P$16:P$69)+SUMIF(RODANTES!$B$16:$B$68,$A79,RODANTES!P$16:P$68)+SUMIF(RECARGAS!$B$16:$B$37,$A79,RECARGAS!Z$16:Z$37)+SUMIF(REVENDIDOS!$B$16:$B$25,$A79,REVENDIDOS!Q$16:Q$25)</f>
        <v>75.20853998</v>
      </c>
      <c r="K79" s="13" t="n">
        <f aca="false">SUMIF(MANUALES!$B$16:$B$69,$A79,MANUALES!Q$16:Q$69)+SUMIF(RODANTES!$B$16:$B$68,$A79,RODANTES!Q$16:Q$68)+SUMIF(RECARGAS!$B$16:$B$37,$A79,RECARGAS!AA$16:AA$37)+SUMIF(REVENDIDOS!$B$16:$B$25,$A79,REVENDIDOS!R$16:R$25)</f>
        <v>100.5298529</v>
      </c>
      <c r="L79" s="13" t="n">
        <f aca="false">SUMIF(MANUALES!$B$16:$B$69,$A79,MANUALES!R$16:R$69)+SUMIF(RODANTES!$B$16:$B$68,$A79,RODANTES!R$16:R$68)+SUMIF(RECARGAS!$B$16:$B$37,$A79,RECARGAS!AB$16:AB$37)+SUMIF(REVENDIDOS!$B$16:$B$25,$A79,REVENDIDOS!S$16:S$25)</f>
        <v>155.8760035</v>
      </c>
      <c r="M79" s="13" t="n">
        <f aca="false">SUMIF(MANUALES!$B$16:$B$69,$A79,MANUALES!S$16:S$69)+SUMIF(RODANTES!$B$16:$B$68,$A79,RODANTES!S$16:S$68)+SUMIF(RECARGAS!$B$16:$B$37,$A79,RECARGAS!AC$16:AC$37)+SUMIF(REVENDIDOS!$B$16:$B$25,$A79,REVENDIDOS!T$16:T$25)</f>
        <v>211.9344827</v>
      </c>
      <c r="N79" s="13" t="n">
        <f aca="false">SUMIF(MANUALES!$B$16:$B$69,$A79,MANUALES!T$16:T$69)+SUMIF(RODANTES!$B$16:$B$68,$A79,RODANTES!T$16:T$68)+SUMIF(RECARGAS!$B$16:$B$37,$A79,RECARGAS!AD$16:AD$37)+SUMIF(REVENDIDOS!$B$16:$B$25,$A79,REVENDIDOS!U$16:U$25)</f>
        <v>272.6682332</v>
      </c>
      <c r="O79" s="13" t="n">
        <f aca="false">SUMIF(MANUALES!$B$16:$B$69,$A79,MANUALES!U$16:U$69)+SUMIF(RODANTES!$B$16:$B$68,$A79,RODANTES!U$16:U$68)+SUMIF(RECARGAS!$B$16:$B$37,$A79,RECARGAS!AE$16:AE$37)+SUMIF(REVENDIDOS!$B$16:$B$25,$A79,REVENDIDOS!V$16:V$25)</f>
        <v>337.8486707</v>
      </c>
      <c r="P79" s="13" t="n">
        <f aca="false">SUMIF(MANUALES!$B$16:$B$69,$A79,MANUALES!V$16:V$69)+SUMIF(RODANTES!$B$16:$B$68,$A79,RODANTES!V$16:V$68)+SUMIF(RECARGAS!$B$16:$B$37,$A79,RECARGAS!AF$16:AF$37)+SUMIF(REVENDIDOS!$B$16:$B$25,$A79,REVENDIDOS!W$16:W$25)</f>
        <v>393.6274156</v>
      </c>
      <c r="Q79" s="13" t="n">
        <f aca="false">SUMIF(MANUALES!$B$16:$B$69,$A79,MANUALES!W$16:W$69)+SUMIF(RODANTES!$B$16:$B$68,$A79,RODANTES!W$16:W$68)+SUMIF(RECARGAS!$B$16:$B$37,$A79,RECARGAS!AG$16:AG$37)+SUMIF(REVENDIDOS!$B$16:$B$25,$A79,REVENDIDOS!X$16:X$25)</f>
        <v>453.2705332</v>
      </c>
      <c r="R79" s="13" t="n">
        <f aca="false">SUMIF(MANUALES!$B$16:$B$69,$A79,MANUALES!X$16:X$69)+SUMIF(RODANTES!$B$16:$B$68,$A79,RODANTES!X$16:X$68)+SUMIF(RECARGAS!$B$16:$B$37,$A79,RECARGAS!AH$16:AH$37)+SUMIF(REVENDIDOS!$B$16:$B$25,$A79,REVENDIDOS!Y$16:Y$25)</f>
        <v>40.794347988</v>
      </c>
    </row>
    <row r="80" customFormat="false" ht="15" hidden="false" customHeight="false" outlineLevel="0" collapsed="false">
      <c r="A80" s="3" t="s">
        <v>463</v>
      </c>
      <c r="B80" s="3" t="s">
        <v>464</v>
      </c>
      <c r="C80" s="3" t="s">
        <v>214</v>
      </c>
      <c r="D80" s="13" t="n">
        <f aca="false">SUMIF(MANUALES!$B$16:$B$69,$A80,MANUALES!W$16:W$69)</f>
        <v>0</v>
      </c>
      <c r="E80" s="13" t="n">
        <f aca="false">SUMIF(RODANTES!$B$16:$B$68,$A80,RODANTES!W$16:W$68)</f>
        <v>998.462025618316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SUMIF(MANUALES!$B$16:$B$69,$A80,MANUALES!N$16:N$69)+SUMIF(RODANTES!$B$16:$B$68,$A80,RODANTES!N$16:N$68)+SUMIF(RECARGAS!$B$16:$B$37,$A80,RECARGAS!X$16:X$37)+SUMIF(REVENDIDOS!$B$16:$B$25,$A80,REVENDIDOS!O$16:O$25)</f>
        <v>75.2563335725177</v>
      </c>
      <c r="I80" s="13" t="n">
        <f aca="false">SUMIF(MANUALES!$B$16:$B$69,$A80,MANUALES!O$16:O$69)+SUMIF(RODANTES!$B$16:$B$68,$A80,RODANTES!O$16:O$68)+SUMIF(RECARGAS!$B$16:$B$37,$A80,RECARGAS!Y$16:Y$37)+SUMIF(REVENDIDOS!$B$16:$B$25,$A80,REVENDIDOS!P$16:P$25)</f>
        <v>129.318629173661</v>
      </c>
      <c r="J80" s="13" t="n">
        <f aca="false">SUMIF(MANUALES!$B$16:$B$69,$A80,MANUALES!P$16:P$69)+SUMIF(RODANTES!$B$16:$B$68,$A80,RODANTES!P$16:P$68)+SUMIF(RECARGAS!$B$16:$B$37,$A80,RECARGAS!Z$16:Z$37)+SUMIF(REVENDIDOS!$B$16:$B$25,$A80,REVENDIDOS!Q$16:Q$25)</f>
        <v>166.879717175949</v>
      </c>
      <c r="K80" s="13" t="n">
        <f aca="false">SUMIF(MANUALES!$B$16:$B$69,$A80,MANUALES!Q$16:Q$69)+SUMIF(RODANTES!$B$16:$B$68,$A80,RODANTES!Q$16:Q$68)+SUMIF(RECARGAS!$B$16:$B$37,$A80,RECARGAS!AA$16:AA$37)+SUMIF(REVENDIDOS!$B$16:$B$25,$A80,REVENDIDOS!R$16:R$25)</f>
        <v>222.99747676297</v>
      </c>
      <c r="L80" s="13" t="n">
        <f aca="false">SUMIF(MANUALES!$B$16:$B$69,$A80,MANUALES!R$16:R$69)+SUMIF(RODANTES!$B$16:$B$68,$A80,RODANTES!R$16:R$68)+SUMIF(RECARGAS!$B$16:$B$37,$A80,RECARGAS!AB$16:AB$37)+SUMIF(REVENDIDOS!$B$16:$B$25,$A80,REVENDIDOS!S$16:S$25)</f>
        <v>344.844606106099</v>
      </c>
      <c r="M80" s="13" t="n">
        <f aca="false">SUMIF(MANUALES!$B$16:$B$69,$A80,MANUALES!S$16:S$69)+SUMIF(RODANTES!$B$16:$B$68,$A80,RODANTES!S$16:S$68)+SUMIF(RECARGAS!$B$16:$B$37,$A80,RECARGAS!AC$16:AC$37)+SUMIF(REVENDIDOS!$B$16:$B$25,$A80,REVENDIDOS!T$16:T$25)</f>
        <v>468.601251121746</v>
      </c>
      <c r="N80" s="13" t="n">
        <f aca="false">SUMIF(MANUALES!$B$16:$B$69,$A80,MANUALES!T$16:T$69)+SUMIF(RODANTES!$B$16:$B$68,$A80,RODANTES!T$16:T$68)+SUMIF(RECARGAS!$B$16:$B$37,$A80,RECARGAS!AD$16:AD$37)+SUMIF(REVENDIDOS!$B$16:$B$25,$A80,REVENDIDOS!U$16:U$25)</f>
        <v>601.975827220984</v>
      </c>
      <c r="O80" s="13" t="n">
        <f aca="false">SUMIF(MANUALES!$B$16:$B$69,$A80,MANUALES!U$16:U$69)+SUMIF(RODANTES!$B$16:$B$68,$A80,RODANTES!U$16:U$68)+SUMIF(RECARGAS!$B$16:$B$37,$A80,RECARGAS!AE$16:AE$37)+SUMIF(REVENDIDOS!$B$16:$B$25,$A80,REVENDIDOS!V$16:V$25)</f>
        <v>744.773602919078</v>
      </c>
      <c r="P80" s="13" t="n">
        <f aca="false">SUMIF(MANUALES!$B$16:$B$69,$A80,MANUALES!V$16:V$69)+SUMIF(RODANTES!$B$16:$B$68,$A80,RODANTES!V$16:V$68)+SUMIF(RECARGAS!$B$16:$B$37,$A80,RECARGAS!AF$16:AF$37)+SUMIF(REVENDIDOS!$B$16:$B$25,$A80,REVENDIDOS!W$16:W$25)</f>
        <v>867.538200504956</v>
      </c>
      <c r="Q80" s="13" t="n">
        <f aca="false">SUMIF(MANUALES!$B$16:$B$69,$A80,MANUALES!W$16:W$69)+SUMIF(RODANTES!$B$16:$B$68,$A80,RODANTES!W$16:W$68)+SUMIF(RECARGAS!$B$16:$B$37,$A80,RECARGAS!AG$16:AG$37)+SUMIF(REVENDIDOS!$B$16:$B$25,$A80,REVENDIDOS!X$16:X$25)</f>
        <v>998.462025618316</v>
      </c>
      <c r="R80" s="13" t="n">
        <f aca="false">SUMIF(MANUALES!$B$16:$B$69,$A80,MANUALES!X$16:X$69)+SUMIF(RODANTES!$B$16:$B$68,$A80,RODANTES!X$16:X$68)+SUMIF(RECARGAS!$B$16:$B$37,$A80,RECARGAS!AH$16:AH$37)+SUMIF(REVENDIDOS!$B$16:$B$25,$A80,REVENDIDOS!Y$16:Y$25)</f>
        <v>89.8615823056484</v>
      </c>
    </row>
    <row r="81" customFormat="false" ht="15" hidden="false" customHeight="false" outlineLevel="0" collapsed="false">
      <c r="A81" s="3" t="s">
        <v>466</v>
      </c>
      <c r="B81" s="3" t="s">
        <v>467</v>
      </c>
      <c r="C81" s="3" t="s">
        <v>214</v>
      </c>
      <c r="D81" s="13" t="n">
        <f aca="false">SUMIF(MANUALES!$B$16:$B$69,$A81,MANUALES!W$16:W$69)</f>
        <v>0</v>
      </c>
      <c r="E81" s="13" t="n">
        <f aca="false">SUMIF(RODANTES!$B$16:$B$68,$A81,RODANTES!W$16:W$68)</f>
        <v>217.569856</v>
      </c>
      <c r="F81" s="13" t="n">
        <f aca="false">SUMIF(RECARGAS!$B$16:$B$37,$A81,RECARGAS!AG$16:AG$37)</f>
        <v>0</v>
      </c>
      <c r="G81" s="13" t="n">
        <f aca="false">SUMIF(REVENDIDOS!$B$16:$B$25,$A81,REVENDIDOS!X$16:X$25)</f>
        <v>0</v>
      </c>
      <c r="H81" s="13" t="n">
        <f aca="false">SUMIF(MANUALES!$B$16:$B$69,$A81,MANUALES!N$16:N$69)+SUMIF(RODANTES!$B$16:$B$68,$A81,RODANTES!N$16:N$68)+SUMIF(RECARGAS!$B$16:$B$37,$A81,RECARGAS!X$16:X$37)+SUMIF(REVENDIDOS!$B$16:$B$25,$A81,REVENDIDOS!O$16:O$25)</f>
        <v>16.34485985</v>
      </c>
      <c r="I81" s="13" t="n">
        <f aca="false">SUMIF(MANUALES!$B$16:$B$69,$A81,MANUALES!O$16:O$69)+SUMIF(RODANTES!$B$16:$B$68,$A81,RODANTES!O$16:O$68)+SUMIF(RECARGAS!$B$16:$B$37,$A81,RECARGAS!Y$16:Y$37)+SUMIF(REVENDIDOS!$B$16:$B$25,$A81,REVENDIDOS!P$16:P$25)</f>
        <v>28.06183078</v>
      </c>
      <c r="J81" s="13" t="n">
        <f aca="false">SUMIF(MANUALES!$B$16:$B$69,$A81,MANUALES!P$16:P$69)+SUMIF(RODANTES!$B$16:$B$68,$A81,RODANTES!P$16:P$68)+SUMIF(RECARGAS!$B$16:$B$37,$A81,RECARGAS!Z$16:Z$37)+SUMIF(REVENDIDOS!$B$16:$B$25,$A81,REVENDIDOS!Q$16:Q$25)</f>
        <v>36.10009919</v>
      </c>
      <c r="K81" s="13" t="n">
        <f aca="false">SUMIF(MANUALES!$B$16:$B$69,$A81,MANUALES!Q$16:Q$69)+SUMIF(RODANTES!$B$16:$B$68,$A81,RODANTES!Q$16:Q$68)+SUMIF(RECARGAS!$B$16:$B$37,$A81,RECARGAS!AA$16:AA$37)+SUMIF(REVENDIDOS!$B$16:$B$25,$A81,REVENDIDOS!R$16:R$25)</f>
        <v>48.25432941</v>
      </c>
      <c r="L81" s="13" t="n">
        <f aca="false">SUMIF(MANUALES!$B$16:$B$69,$A81,MANUALES!R$16:R$69)+SUMIF(RODANTES!$B$16:$B$68,$A81,RODANTES!R$16:R$68)+SUMIF(RECARGAS!$B$16:$B$37,$A81,RECARGAS!AB$16:AB$37)+SUMIF(REVENDIDOS!$B$16:$B$25,$A81,REVENDIDOS!S$16:S$25)</f>
        <v>74.82048167</v>
      </c>
      <c r="M81" s="13" t="n">
        <f aca="false">SUMIF(MANUALES!$B$16:$B$69,$A81,MANUALES!S$16:S$69)+SUMIF(RODANTES!$B$16:$B$68,$A81,RODANTES!S$16:S$68)+SUMIF(RECARGAS!$B$16:$B$37,$A81,RECARGAS!AC$16:AC$37)+SUMIF(REVENDIDOS!$B$16:$B$25,$A81,REVENDIDOS!T$16:T$25)</f>
        <v>101.7285517</v>
      </c>
      <c r="N81" s="13" t="n">
        <f aca="false">SUMIF(MANUALES!$B$16:$B$69,$A81,MANUALES!T$16:T$69)+SUMIF(RODANTES!$B$16:$B$68,$A81,RODANTES!T$16:T$68)+SUMIF(RECARGAS!$B$16:$B$37,$A81,RECARGAS!AD$16:AD$37)+SUMIF(REVENDIDOS!$B$16:$B$25,$A81,REVENDIDOS!U$16:U$25)</f>
        <v>130.8807519</v>
      </c>
      <c r="O81" s="13" t="n">
        <f aca="false">SUMIF(MANUALES!$B$16:$B$69,$A81,MANUALES!U$16:U$69)+SUMIF(RODANTES!$B$16:$B$68,$A81,RODANTES!U$16:U$68)+SUMIF(RECARGAS!$B$16:$B$37,$A81,RECARGAS!AE$16:AE$37)+SUMIF(REVENDIDOS!$B$16:$B$25,$A81,REVENDIDOS!V$16:V$25)</f>
        <v>162.1673619</v>
      </c>
      <c r="P81" s="13" t="n">
        <f aca="false">SUMIF(MANUALES!$B$16:$B$69,$A81,MANUALES!V$16:V$69)+SUMIF(RODANTES!$B$16:$B$68,$A81,RODANTES!V$16:V$68)+SUMIF(RECARGAS!$B$16:$B$37,$A81,RECARGAS!AF$16:AF$37)+SUMIF(REVENDIDOS!$B$16:$B$25,$A81,REVENDIDOS!W$16:W$25)</f>
        <v>188.9411595</v>
      </c>
      <c r="Q81" s="13" t="n">
        <f aca="false">SUMIF(MANUALES!$B$16:$B$69,$A81,MANUALES!W$16:W$69)+SUMIF(RODANTES!$B$16:$B$68,$A81,RODANTES!W$16:W$68)+SUMIF(RECARGAS!$B$16:$B$37,$A81,RECARGAS!AG$16:AG$37)+SUMIF(REVENDIDOS!$B$16:$B$25,$A81,REVENDIDOS!X$16:X$25)</f>
        <v>217.569856</v>
      </c>
      <c r="R81" s="13" t="n">
        <f aca="false">SUMIF(MANUALES!$B$16:$B$69,$A81,MANUALES!X$16:X$69)+SUMIF(RODANTES!$B$16:$B$68,$A81,RODANTES!X$16:X$68)+SUMIF(RECARGAS!$B$16:$B$37,$A81,RECARGAS!AH$16:AH$37)+SUMIF(REVENDIDOS!$B$16:$B$25,$A81,REVENDIDOS!Y$16:Y$25)</f>
        <v>19.58128704</v>
      </c>
    </row>
    <row r="82" customFormat="false" ht="15" hidden="false" customHeight="false" outlineLevel="0" collapsed="false">
      <c r="A82" s="3" t="s">
        <v>469</v>
      </c>
      <c r="B82" s="3" t="s">
        <v>470</v>
      </c>
      <c r="C82" s="3" t="s">
        <v>214</v>
      </c>
      <c r="D82" s="13" t="n">
        <f aca="false">SUMIF(MANUALES!$B$16:$B$69,$A82,MANUALES!W$16:W$69)</f>
        <v>0</v>
      </c>
      <c r="E82" s="13" t="n">
        <f aca="false">SUMIF(RODANTES!$B$16:$B$68,$A82,RODANTES!W$16:W$68)</f>
        <v>145.200647257633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SUMIF(MANUALES!$B$16:$B$69,$A82,MANUALES!N$16:N$69)+SUMIF(RODANTES!$B$16:$B$68,$A82,RODANTES!N$16:N$68)+SUMIF(RECARGAS!$B$16:$B$37,$A82,RECARGAS!X$16:X$37)+SUMIF(REVENDIDOS!$B$16:$B$25,$A82,REVENDIDOS!O$16:O$25)</f>
        <v>11.2389658125177</v>
      </c>
      <c r="I82" s="13" t="n">
        <f aca="false">SUMIF(MANUALES!$B$16:$B$69,$A82,MANUALES!O$16:O$69)+SUMIF(RODANTES!$B$16:$B$68,$A82,RODANTES!O$16:O$68)+SUMIF(RECARGAS!$B$16:$B$37,$A82,RECARGAS!Y$16:Y$37)+SUMIF(REVENDIDOS!$B$16:$B$25,$A82,REVENDIDOS!P$16:P$25)</f>
        <v>18.7250068186259</v>
      </c>
      <c r="J82" s="13" t="n">
        <f aca="false">SUMIF(MANUALES!$B$16:$B$69,$A82,MANUALES!P$16:P$69)+SUMIF(RODANTES!$B$16:$B$68,$A82,RODANTES!P$16:P$68)+SUMIF(RECARGAS!$B$16:$B$37,$A82,RECARGAS!Z$16:Z$37)+SUMIF(REVENDIDOS!$B$16:$B$25,$A82,REVENDIDOS!Q$16:Q$25)</f>
        <v>24.4262449911436</v>
      </c>
      <c r="K82" s="13" t="n">
        <f aca="false">SUMIF(MANUALES!$B$16:$B$69,$A82,MANUALES!Q$16:Q$69)+SUMIF(RODANTES!$B$16:$B$68,$A82,RODANTES!Q$16:Q$68)+SUMIF(RECARGAS!$B$16:$B$37,$A82,RECARGAS!AA$16:AA$37)+SUMIF(REVENDIDOS!$B$16:$B$25,$A82,REVENDIDOS!R$16:R$25)</f>
        <v>32.5461847697695</v>
      </c>
      <c r="L82" s="13" t="n">
        <f aca="false">SUMIF(MANUALES!$B$16:$B$69,$A82,MANUALES!R$16:R$69)+SUMIF(RODANTES!$B$16:$B$68,$A82,RODANTES!R$16:R$68)+SUMIF(RECARGAS!$B$16:$B$37,$A82,RECARGAS!AB$16:AB$37)+SUMIF(REVENDIDOS!$B$16:$B$25,$A82,REVENDIDOS!S$16:S$25)</f>
        <v>50.6164651509131</v>
      </c>
      <c r="M82" s="13" t="n">
        <f aca="false">SUMIF(MANUALES!$B$16:$B$69,$A82,MANUALES!S$16:S$69)+SUMIF(RODANTES!$B$16:$B$68,$A82,RODANTES!S$16:S$68)+SUMIF(RECARGAS!$B$16:$B$37,$A82,RECARGAS!AC$16:AC$37)+SUMIF(REVENDIDOS!$B$16:$B$25,$A82,REVENDIDOS!T$16:T$25)</f>
        <v>68.2470251856472</v>
      </c>
      <c r="N82" s="13" t="n">
        <f aca="false">SUMIF(MANUALES!$B$16:$B$69,$A82,MANUALES!T$16:T$69)+SUMIF(RODANTES!$B$16:$B$68,$A82,RODANTES!T$16:T$68)+SUMIF(RECARGAS!$B$16:$B$37,$A82,RECARGAS!AD$16:AD$37)+SUMIF(REVENDIDOS!$B$16:$B$25,$A82,REVENDIDOS!U$16:U$25)</f>
        <v>87.698944954273</v>
      </c>
      <c r="O82" s="13" t="n">
        <f aca="false">SUMIF(MANUALES!$B$16:$B$69,$A82,MANUALES!U$16:U$69)+SUMIF(RODANTES!$B$16:$B$68,$A82,RODANTES!U$16:U$68)+SUMIF(RECARGAS!$B$16:$B$37,$A82,RECARGAS!AE$16:AE$37)+SUMIF(REVENDIDOS!$B$16:$B$25,$A82,REVENDIDOS!V$16:V$25)</f>
        <v>108.573804572899</v>
      </c>
      <c r="P82" s="13" t="n">
        <f aca="false">SUMIF(MANUALES!$B$16:$B$69,$A82,MANUALES!V$16:V$69)+SUMIF(RODANTES!$B$16:$B$68,$A82,RODANTES!V$16:V$68)+SUMIF(RECARGAS!$B$16:$B$37,$A82,RECARGAS!AF$16:AF$37)+SUMIF(REVENDIDOS!$B$16:$B$25,$A82,REVENDIDOS!W$16:W$25)</f>
        <v>126.440122601525</v>
      </c>
      <c r="Q82" s="13" t="n">
        <f aca="false">SUMIF(MANUALES!$B$16:$B$69,$A82,MANUALES!W$16:W$69)+SUMIF(RODANTES!$B$16:$B$68,$A82,RODANTES!W$16:W$68)+SUMIF(RECARGAS!$B$16:$B$37,$A82,RECARGAS!AG$16:AG$37)+SUMIF(REVENDIDOS!$B$16:$B$25,$A82,REVENDIDOS!X$16:X$25)</f>
        <v>145.200647257633</v>
      </c>
      <c r="R82" s="13" t="n">
        <f aca="false">SUMIF(MANUALES!$B$16:$B$69,$A82,MANUALES!X$16:X$69)+SUMIF(RODANTES!$B$16:$B$68,$A82,RODANTES!X$16:X$68)+SUMIF(RECARGAS!$B$16:$B$37,$A82,RECARGAS!AH$16:AH$37)+SUMIF(REVENDIDOS!$B$16:$B$25,$A82,REVENDIDOS!Y$16:Y$25)</f>
        <v>13.068058253187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SUMIF(MANUALES!$B$16:$B$69,$A83,MANUALES!W$16:W$69)</f>
        <v>56359.9888516308</v>
      </c>
      <c r="E83" s="13" t="n">
        <f aca="false">SUMIF(RODANTES!$B$16:$B$68,$A83,RODANTES!W$16:W$68)</f>
        <v>1385.88991799581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SUMIF(MANUALES!$B$16:$B$69,$A83,MANUALES!N$16:N$69)+SUMIF(RODANTES!$B$16:$B$68,$A83,RODANTES!N$16:N$68)+SUMIF(RECARGAS!$B$16:$B$37,$A83,RECARGAS!X$16:X$37)+SUMIF(REVENDIDOS!$B$16:$B$25,$A83,REVENDIDOS!O$16:O$25)</f>
        <v>5701.13987495191</v>
      </c>
      <c r="I83" s="13" t="n">
        <f aca="false">SUMIF(MANUALES!$B$16:$B$69,$A83,MANUALES!O$16:O$69)+SUMIF(RODANTES!$B$16:$B$68,$A83,RODANTES!O$16:O$68)+SUMIF(RECARGAS!$B$16:$B$37,$A83,RECARGAS!Y$16:Y$37)+SUMIF(REVENDIDOS!$B$16:$B$25,$A83,REVENDIDOS!P$16:P$25)</f>
        <v>9679.4506999974</v>
      </c>
      <c r="J83" s="13" t="n">
        <f aca="false">SUMIF(MANUALES!$B$16:$B$69,$A83,MANUALES!P$16:P$69)+SUMIF(RODANTES!$B$16:$B$68,$A83,RODANTES!P$16:P$68)+SUMIF(RECARGAS!$B$16:$B$37,$A83,RECARGAS!Z$16:Z$37)+SUMIF(REVENDIDOS!$B$16:$B$25,$A83,REVENDIDOS!Q$16:Q$25)</f>
        <v>11978.7216086026</v>
      </c>
      <c r="K83" s="13" t="n">
        <f aca="false">SUMIF(MANUALES!$B$16:$B$69,$A83,MANUALES!Q$16:Q$69)+SUMIF(RODANTES!$B$16:$B$68,$A83,RODANTES!Q$16:Q$68)+SUMIF(RECARGAS!$B$16:$B$37,$A83,RECARGAS!AA$16:AA$37)+SUMIF(REVENDIDOS!$B$16:$B$25,$A83,REVENDIDOS!R$16:R$25)</f>
        <v>16243.8985604606</v>
      </c>
      <c r="L83" s="13" t="n">
        <f aca="false">SUMIF(MANUALES!$B$16:$B$69,$A83,MANUALES!R$16:R$69)+SUMIF(RODANTES!$B$16:$B$68,$A83,RODANTES!R$16:R$68)+SUMIF(RECARGAS!$B$16:$B$37,$A83,RECARGAS!AB$16:AB$37)+SUMIF(REVENDIDOS!$B$16:$B$25,$A83,REVENDIDOS!S$16:S$25)</f>
        <v>23576.5179901158</v>
      </c>
      <c r="M83" s="13" t="n">
        <f aca="false">SUMIF(MANUALES!$B$16:$B$69,$A83,MANUALES!S$16:S$69)+SUMIF(RODANTES!$B$16:$B$68,$A83,RODANTES!S$16:S$68)+SUMIF(RECARGAS!$B$16:$B$37,$A83,RECARGAS!AC$16:AC$37)+SUMIF(REVENDIDOS!$B$16:$B$25,$A83,REVENDIDOS!T$16:T$25)</f>
        <v>30176.0542273874</v>
      </c>
      <c r="N83" s="13" t="n">
        <f aca="false">SUMIF(MANUALES!$B$16:$B$69,$A83,MANUALES!T$16:T$69)+SUMIF(RODANTES!$B$16:$B$68,$A83,RODANTES!T$16:T$68)+SUMIF(RECARGAS!$B$16:$B$37,$A83,RECARGAS!AD$16:AD$37)+SUMIF(REVENDIDOS!$B$16:$B$25,$A83,REVENDIDOS!U$16:U$25)</f>
        <v>37785.3469884558</v>
      </c>
      <c r="O83" s="13" t="n">
        <f aca="false">SUMIF(MANUALES!$B$16:$B$69,$A83,MANUALES!U$16:U$69)+SUMIF(RODANTES!$B$16:$B$68,$A83,RODANTES!U$16:U$68)+SUMIF(RECARGAS!$B$16:$B$37,$A83,RECARGAS!AE$16:AE$37)+SUMIF(REVENDIDOS!$B$16:$B$25,$A83,REVENDIDOS!V$16:V$25)</f>
        <v>45175.1116219353</v>
      </c>
      <c r="P83" s="13" t="n">
        <f aca="false">SUMIF(MANUALES!$B$16:$B$69,$A83,MANUALES!V$16:V$69)+SUMIF(RODANTES!$B$16:$B$68,$A83,RODANTES!V$16:V$68)+SUMIF(RECARGAS!$B$16:$B$37,$A83,RECARGAS!AF$16:AF$37)+SUMIF(REVENDIDOS!$B$16:$B$25,$A83,REVENDIDOS!W$16:W$25)</f>
        <v>50925.7581525563</v>
      </c>
      <c r="Q83" s="13" t="n">
        <f aca="false">SUMIF(MANUALES!$B$16:$B$69,$A83,MANUALES!W$16:W$69)+SUMIF(RODANTES!$B$16:$B$68,$A83,RODANTES!W$16:W$68)+SUMIF(RECARGAS!$B$16:$B$37,$A83,RECARGAS!AG$16:AG$37)+SUMIF(REVENDIDOS!$B$16:$B$25,$A83,REVENDIDOS!X$16:X$25)</f>
        <v>57745.8787696266</v>
      </c>
      <c r="R83" s="13" t="n">
        <f aca="false">SUMIF(MANUALES!$B$16:$B$69,$A83,MANUALES!X$16:X$69)+SUMIF(RODANTES!$B$16:$B$68,$A83,RODANTES!X$16:X$68)+SUMIF(RECARGAS!$B$16:$B$37,$A83,RECARGAS!AH$16:AH$37)+SUMIF(REVENDIDOS!$B$16:$B$25,$A83,REVENDIDOS!Y$16:Y$25)</f>
        <v>6569.29481947261</v>
      </c>
    </row>
    <row r="84" customFormat="false" ht="15" hidden="false" customHeight="false" outlineLevel="0" collapsed="false">
      <c r="A84" s="3" t="s">
        <v>296</v>
      </c>
      <c r="B84" s="3" t="s">
        <v>297</v>
      </c>
      <c r="C84" s="3" t="s">
        <v>214</v>
      </c>
      <c r="D84" s="13" t="n">
        <f aca="false">SUMIF(MANUALES!$B$16:$B$69,$A84,MANUALES!W$16:W$69)</f>
        <v>73790.4006818525</v>
      </c>
      <c r="E84" s="13" t="n">
        <f aca="false">SUMIF(RODANTES!$B$16:$B$68,$A84,RODANTES!W$16:W$68)</f>
        <v>1814.50306207595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SUMIF(MANUALES!$B$16:$B$69,$A84,MANUALES!N$16:N$69)+SUMIF(RODANTES!$B$16:$B$68,$A84,RODANTES!N$16:N$68)+SUMIF(RECARGAS!$B$16:$B$37,$A84,RECARGAS!X$16:X$37)+SUMIF(REVENDIDOS!$B$16:$B$25,$A84,REVENDIDOS!O$16:O$25)</f>
        <v>7434.52057453869</v>
      </c>
      <c r="I84" s="13" t="n">
        <f aca="false">SUMIF(MANUALES!$B$16:$B$69,$A84,MANUALES!O$16:O$69)+SUMIF(RODANTES!$B$16:$B$68,$A84,RODANTES!O$16:O$68)+SUMIF(RECARGAS!$B$16:$B$37,$A84,RECARGAS!Y$16:Y$37)+SUMIF(REVENDIDOS!$B$16:$B$25,$A84,REVENDIDOS!P$16:P$25)</f>
        <v>12620.9491461819</v>
      </c>
      <c r="J84" s="13" t="n">
        <f aca="false">SUMIF(MANUALES!$B$16:$B$69,$A84,MANUALES!P$16:P$69)+SUMIF(RODANTES!$B$16:$B$68,$A84,RODANTES!P$16:P$68)+SUMIF(RECARGAS!$B$16:$B$37,$A84,RECARGAS!Z$16:Z$37)+SUMIF(REVENDIDOS!$B$16:$B$25,$A84,REVENDIDOS!Q$16:Q$25)</f>
        <v>15618.8452563126</v>
      </c>
      <c r="K84" s="13" t="n">
        <f aca="false">SUMIF(MANUALES!$B$16:$B$69,$A84,MANUALES!Q$16:Q$69)+SUMIF(RODANTES!$B$16:$B$68,$A84,RODANTES!Q$16:Q$68)+SUMIF(RECARGAS!$B$16:$B$37,$A84,RECARGAS!AA$16:AA$37)+SUMIF(REVENDIDOS!$B$16:$B$25,$A84,REVENDIDOS!R$16:R$25)</f>
        <v>21181.9431840699</v>
      </c>
      <c r="L84" s="13" t="n">
        <f aca="false">SUMIF(MANUALES!$B$16:$B$69,$A84,MANUALES!R$16:R$69)+SUMIF(RODANTES!$B$16:$B$68,$A84,RODANTES!R$16:R$68)+SUMIF(RECARGAS!$B$16:$B$37,$A84,RECARGAS!AB$16:AB$37)+SUMIF(REVENDIDOS!$B$16:$B$25,$A84,REVENDIDOS!S$16:S$25)</f>
        <v>30750.2212291847</v>
      </c>
      <c r="M84" s="13" t="n">
        <f aca="false">SUMIF(MANUALES!$B$16:$B$69,$A84,MANUALES!S$16:S$69)+SUMIF(RODANTES!$B$16:$B$68,$A84,RODANTES!S$16:S$68)+SUMIF(RECARGAS!$B$16:$B$37,$A84,RECARGAS!AC$16:AC$37)+SUMIF(REVENDIDOS!$B$16:$B$25,$A84,REVENDIDOS!T$16:T$25)</f>
        <v>39372.1493367531</v>
      </c>
      <c r="N84" s="13" t="n">
        <f aca="false">SUMIF(MANUALES!$B$16:$B$69,$A84,MANUALES!T$16:T$69)+SUMIF(RODANTES!$B$16:$B$68,$A84,RODANTES!T$16:T$68)+SUMIF(RECARGAS!$B$16:$B$37,$A84,RECARGAS!AD$16:AD$37)+SUMIF(REVENDIDOS!$B$16:$B$25,$A84,REVENDIDOS!U$16:U$25)</f>
        <v>49326.8783886095</v>
      </c>
      <c r="O84" s="13" t="n">
        <f aca="false">SUMIF(MANUALES!$B$16:$B$69,$A84,MANUALES!U$16:U$69)+SUMIF(RODANTES!$B$16:$B$68,$A84,RODANTES!U$16:U$68)+SUMIF(RECARGAS!$B$16:$B$37,$A84,RECARGAS!AE$16:AE$37)+SUMIF(REVENDIDOS!$B$16:$B$25,$A84,REVENDIDOS!V$16:V$25)</f>
        <v>59017.0895642096</v>
      </c>
      <c r="P84" s="13" t="n">
        <f aca="false">SUMIF(MANUALES!$B$16:$B$69,$A84,MANUALES!V$16:V$69)+SUMIF(RODANTES!$B$16:$B$68,$A84,RODANTES!V$16:V$68)+SUMIF(RECARGAS!$B$16:$B$37,$A84,RECARGAS!AF$16:AF$37)+SUMIF(REVENDIDOS!$B$16:$B$25,$A84,REVENDIDOS!W$16:W$25)</f>
        <v>66593.5410999006</v>
      </c>
      <c r="Q84" s="13" t="n">
        <f aca="false">SUMIF(MANUALES!$B$16:$B$69,$A84,MANUALES!W$16:W$69)+SUMIF(RODANTES!$B$16:$B$68,$A84,RODANTES!W$16:W$68)+SUMIF(RECARGAS!$B$16:$B$37,$A84,RECARGAS!AG$16:AG$37)+SUMIF(REVENDIDOS!$B$16:$B$25,$A84,REVENDIDOS!X$16:X$25)</f>
        <v>75604.9037439285</v>
      </c>
      <c r="R84" s="13" t="n">
        <f aca="false">SUMIF(MANUALES!$B$16:$B$69,$A84,MANUALES!X$16:X$69)+SUMIF(RODANTES!$B$16:$B$68,$A84,RODANTES!X$16:X$68)+SUMIF(RECARGAS!$B$16:$B$37,$A84,RECARGAS!AH$16:AH$37)+SUMIF(REVENDIDOS!$B$16:$B$25,$A84,REVENDIDOS!Y$16:Y$25)</f>
        <v>8600.97574189061</v>
      </c>
    </row>
    <row r="85" customFormat="false" ht="15" hidden="false" customHeight="false" outlineLevel="0" collapsed="false">
      <c r="A85" s="3" t="s">
        <v>299</v>
      </c>
      <c r="B85" s="3" t="s">
        <v>300</v>
      </c>
      <c r="C85" s="3" t="s">
        <v>214</v>
      </c>
      <c r="D85" s="13" t="n">
        <f aca="false">SUMIF(MANUALES!$B$16:$B$69,$A85,MANUALES!W$16:W$69)</f>
        <v>9854.36801758159</v>
      </c>
      <c r="E85" s="13" t="n">
        <f aca="false">SUMIF(RODANTES!$B$16:$B$68,$A85,RODANTES!W$16:W$68)</f>
        <v>428.61314408014</v>
      </c>
      <c r="F85" s="13" t="n">
        <f aca="false">SUMIF(RECARGAS!$B$16:$B$37,$A85,RECARGAS!AG$16:AG$37)</f>
        <v>26711.8557372333</v>
      </c>
      <c r="G85" s="13" t="n">
        <f aca="false">SUMIF(REVENDIDOS!$B$16:$B$25,$A85,REVENDIDOS!X$16:X$25)</f>
        <v>4259.04954794446</v>
      </c>
      <c r="H85" s="13" t="n">
        <f aca="false">SUMIF(MANUALES!$B$16:$B$69,$A85,MANUALES!N$16:N$69)+SUMIF(RODANTES!$B$16:$B$68,$A85,RODANTES!N$16:N$68)+SUMIF(RECARGAS!$B$16:$B$37,$A85,RECARGAS!X$16:X$37)+SUMIF(REVENDIDOS!$B$16:$B$25,$A85,REVENDIDOS!O$16:O$25)</f>
        <v>1550.05856598088</v>
      </c>
      <c r="I85" s="13" t="n">
        <f aca="false">SUMIF(MANUALES!$B$16:$B$69,$A85,MANUALES!O$16:O$69)+SUMIF(RODANTES!$B$16:$B$68,$A85,RODANTES!O$16:O$68)+SUMIF(RECARGAS!$B$16:$B$37,$A85,RECARGAS!Y$16:Y$37)+SUMIF(REVENDIDOS!$B$16:$B$25,$A85,REVENDIDOS!P$16:P$25)</f>
        <v>4294.1651333651</v>
      </c>
      <c r="J85" s="13" t="n">
        <f aca="false">SUMIF(MANUALES!$B$16:$B$69,$A85,MANUALES!P$16:P$69)+SUMIF(RODANTES!$B$16:$B$68,$A85,RODANTES!P$16:P$68)+SUMIF(RECARGAS!$B$16:$B$37,$A85,RECARGAS!Z$16:Z$37)+SUMIF(REVENDIDOS!$B$16:$B$25,$A85,REVENDIDOS!Q$16:Q$25)</f>
        <v>7192.54262760457</v>
      </c>
      <c r="K85" s="13" t="n">
        <f aca="false">SUMIF(MANUALES!$B$16:$B$69,$A85,MANUALES!Q$16:Q$69)+SUMIF(RODANTES!$B$16:$B$68,$A85,RODANTES!Q$16:Q$68)+SUMIF(RECARGAS!$B$16:$B$37,$A85,RECARGAS!AA$16:AA$37)+SUMIF(REVENDIDOS!$B$16:$B$25,$A85,REVENDIDOS!R$16:R$25)</f>
        <v>12155.3878696386</v>
      </c>
      <c r="L85" s="13" t="n">
        <f aca="false">SUMIF(MANUALES!$B$16:$B$69,$A85,MANUALES!R$16:R$69)+SUMIF(RODANTES!$B$16:$B$68,$A85,RODANTES!R$16:R$68)+SUMIF(RECARGAS!$B$16:$B$37,$A85,RECARGAS!AB$16:AB$37)+SUMIF(REVENDIDOS!$B$16:$B$25,$A85,REVENDIDOS!S$16:S$25)</f>
        <v>17803.0925079646</v>
      </c>
      <c r="M85" s="13" t="n">
        <f aca="false">SUMIF(MANUALES!$B$16:$B$69,$A85,MANUALES!S$16:S$69)+SUMIF(RODANTES!$B$16:$B$68,$A85,RODANTES!S$16:S$68)+SUMIF(RECARGAS!$B$16:$B$37,$A85,RECARGAS!AC$16:AC$37)+SUMIF(REVENDIDOS!$B$16:$B$25,$A85,REVENDIDOS!T$16:T$25)</f>
        <v>24006.7204360132</v>
      </c>
      <c r="N85" s="13" t="n">
        <f aca="false">SUMIF(MANUALES!$B$16:$B$69,$A85,MANUALES!T$16:T$69)+SUMIF(RODANTES!$B$16:$B$68,$A85,RODANTES!T$16:T$68)+SUMIF(RECARGAS!$B$16:$B$37,$A85,RECARGAS!AD$16:AD$37)+SUMIF(REVENDIDOS!$B$16:$B$25,$A85,REVENDIDOS!U$16:U$25)</f>
        <v>29760.9907924066</v>
      </c>
      <c r="O85" s="13" t="n">
        <f aca="false">SUMIF(MANUALES!$B$16:$B$69,$A85,MANUALES!U$16:U$69)+SUMIF(RODANTES!$B$16:$B$68,$A85,RODANTES!U$16:U$68)+SUMIF(RECARGAS!$B$16:$B$37,$A85,RECARGAS!AE$16:AE$37)+SUMIF(REVENDIDOS!$B$16:$B$25,$A85,REVENDIDOS!V$16:V$25)</f>
        <v>34299.3179343383</v>
      </c>
      <c r="P85" s="13" t="n">
        <f aca="false">SUMIF(MANUALES!$B$16:$B$69,$A85,MANUALES!V$16:V$69)+SUMIF(RODANTES!$B$16:$B$68,$A85,RODANTES!V$16:V$68)+SUMIF(RECARGAS!$B$16:$B$37,$A85,RECARGAS!AF$16:AF$37)+SUMIF(REVENDIDOS!$B$16:$B$25,$A85,REVENDIDOS!W$16:W$25)</f>
        <v>37559.0374672924</v>
      </c>
      <c r="Q85" s="13" t="n">
        <f aca="false">SUMIF(MANUALES!$B$16:$B$69,$A85,MANUALES!W$16:W$69)+SUMIF(RODANTES!$B$16:$B$68,$A85,RODANTES!W$16:W$68)+SUMIF(RECARGAS!$B$16:$B$37,$A85,RECARGAS!AG$16:AG$37)+SUMIF(REVENDIDOS!$B$16:$B$25,$A85,REVENDIDOS!X$16:X$25)</f>
        <v>41253.8864468395</v>
      </c>
      <c r="R85" s="13" t="n">
        <f aca="false">SUMIF(MANUALES!$B$16:$B$69,$A85,MANUALES!X$16:X$69)+SUMIF(RODANTES!$B$16:$B$68,$A85,RODANTES!X$16:X$68)+SUMIF(RECARGAS!$B$16:$B$37,$A85,RECARGAS!AH$16:AH$37)+SUMIF(REVENDIDOS!$B$16:$B$25,$A85,REVENDIDOS!Y$16:Y$25)</f>
        <v>3814.08749600357</v>
      </c>
    </row>
    <row r="86" customFormat="false" ht="15" hidden="false" customHeight="false" outlineLevel="0" collapsed="false">
      <c r="A86" s="3" t="s">
        <v>303</v>
      </c>
      <c r="B86" s="3" t="s">
        <v>304</v>
      </c>
      <c r="C86" s="3" t="s">
        <v>214</v>
      </c>
      <c r="D86" s="13" t="n">
        <f aca="false">SUMIF(MANUALES!$B$16:$B$69,$A86,MANUALES!W$16:W$69)</f>
        <v>73790.4006818525</v>
      </c>
      <c r="E86" s="13" t="n">
        <f aca="false">SUMIF(RODANTES!$B$16:$B$68,$A86,RODANTES!W$16:W$68)</f>
        <v>1814.50306207595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SUMIF(MANUALES!$B$16:$B$69,$A86,MANUALES!N$16:N$69)+SUMIF(RODANTES!$B$16:$B$68,$A86,RODANTES!N$16:N$68)+SUMIF(RECARGAS!$B$16:$B$37,$A86,RECARGAS!X$16:X$37)+SUMIF(REVENDIDOS!$B$16:$B$25,$A86,REVENDIDOS!O$16:O$25)</f>
        <v>7434.52057453869</v>
      </c>
      <c r="I86" s="13" t="n">
        <f aca="false">SUMIF(MANUALES!$B$16:$B$69,$A86,MANUALES!O$16:O$69)+SUMIF(RODANTES!$B$16:$B$68,$A86,RODANTES!O$16:O$68)+SUMIF(RECARGAS!$B$16:$B$37,$A86,RECARGAS!Y$16:Y$37)+SUMIF(REVENDIDOS!$B$16:$B$25,$A86,REVENDIDOS!P$16:P$25)</f>
        <v>12620.9491461819</v>
      </c>
      <c r="J86" s="13" t="n">
        <f aca="false">SUMIF(MANUALES!$B$16:$B$69,$A86,MANUALES!P$16:P$69)+SUMIF(RODANTES!$B$16:$B$68,$A86,RODANTES!P$16:P$68)+SUMIF(RECARGAS!$B$16:$B$37,$A86,RECARGAS!Z$16:Z$37)+SUMIF(REVENDIDOS!$B$16:$B$25,$A86,REVENDIDOS!Q$16:Q$25)</f>
        <v>15618.8452563126</v>
      </c>
      <c r="K86" s="13" t="n">
        <f aca="false">SUMIF(MANUALES!$B$16:$B$69,$A86,MANUALES!Q$16:Q$69)+SUMIF(RODANTES!$B$16:$B$68,$A86,RODANTES!Q$16:Q$68)+SUMIF(RECARGAS!$B$16:$B$37,$A86,RECARGAS!AA$16:AA$37)+SUMIF(REVENDIDOS!$B$16:$B$25,$A86,REVENDIDOS!R$16:R$25)</f>
        <v>21181.9431840699</v>
      </c>
      <c r="L86" s="13" t="n">
        <f aca="false">SUMIF(MANUALES!$B$16:$B$69,$A86,MANUALES!R$16:R$69)+SUMIF(RODANTES!$B$16:$B$68,$A86,RODANTES!R$16:R$68)+SUMIF(RECARGAS!$B$16:$B$37,$A86,RECARGAS!AB$16:AB$37)+SUMIF(REVENDIDOS!$B$16:$B$25,$A86,REVENDIDOS!S$16:S$25)</f>
        <v>30750.2212291847</v>
      </c>
      <c r="M86" s="13" t="n">
        <f aca="false">SUMIF(MANUALES!$B$16:$B$69,$A86,MANUALES!S$16:S$69)+SUMIF(RODANTES!$B$16:$B$68,$A86,RODANTES!S$16:S$68)+SUMIF(RECARGAS!$B$16:$B$37,$A86,RECARGAS!AC$16:AC$37)+SUMIF(REVENDIDOS!$B$16:$B$25,$A86,REVENDIDOS!T$16:T$25)</f>
        <v>39372.1493367531</v>
      </c>
      <c r="N86" s="13" t="n">
        <f aca="false">SUMIF(MANUALES!$B$16:$B$69,$A86,MANUALES!T$16:T$69)+SUMIF(RODANTES!$B$16:$B$68,$A86,RODANTES!T$16:T$68)+SUMIF(RECARGAS!$B$16:$B$37,$A86,RECARGAS!AD$16:AD$37)+SUMIF(REVENDIDOS!$B$16:$B$25,$A86,REVENDIDOS!U$16:U$25)</f>
        <v>49326.8783886095</v>
      </c>
      <c r="O86" s="13" t="n">
        <f aca="false">SUMIF(MANUALES!$B$16:$B$69,$A86,MANUALES!U$16:U$69)+SUMIF(RODANTES!$B$16:$B$68,$A86,RODANTES!U$16:U$68)+SUMIF(RECARGAS!$B$16:$B$37,$A86,RECARGAS!AE$16:AE$37)+SUMIF(REVENDIDOS!$B$16:$B$25,$A86,REVENDIDOS!V$16:V$25)</f>
        <v>59017.0895642096</v>
      </c>
      <c r="P86" s="13" t="n">
        <f aca="false">SUMIF(MANUALES!$B$16:$B$69,$A86,MANUALES!V$16:V$69)+SUMIF(RODANTES!$B$16:$B$68,$A86,RODANTES!V$16:V$68)+SUMIF(RECARGAS!$B$16:$B$37,$A86,RECARGAS!AF$16:AF$37)+SUMIF(REVENDIDOS!$B$16:$B$25,$A86,REVENDIDOS!W$16:W$25)</f>
        <v>66593.5410999006</v>
      </c>
      <c r="Q86" s="13" t="n">
        <f aca="false">SUMIF(MANUALES!$B$16:$B$69,$A86,MANUALES!W$16:W$69)+SUMIF(RODANTES!$B$16:$B$68,$A86,RODANTES!W$16:W$68)+SUMIF(RECARGAS!$B$16:$B$37,$A86,RECARGAS!AG$16:AG$37)+SUMIF(REVENDIDOS!$B$16:$B$25,$A86,REVENDIDOS!X$16:X$25)</f>
        <v>75604.9037439285</v>
      </c>
      <c r="R86" s="13" t="n">
        <f aca="false">SUMIF(MANUALES!$B$16:$B$69,$A86,MANUALES!X$16:X$69)+SUMIF(RODANTES!$B$16:$B$68,$A86,RODANTES!X$16:X$68)+SUMIF(RECARGAS!$B$16:$B$37,$A86,RECARGAS!AH$16:AH$37)+SUMIF(REVENDIDOS!$B$16:$B$25,$A86,REVENDIDOS!Y$16:Y$25)</f>
        <v>8600.97574189061</v>
      </c>
    </row>
    <row r="87" customFormat="false" ht="15" hidden="false" customHeight="false" outlineLevel="0" collapsed="false">
      <c r="A87" s="3" t="s">
        <v>306</v>
      </c>
      <c r="B87" s="3" t="s">
        <v>307</v>
      </c>
      <c r="C87" s="3" t="s">
        <v>214</v>
      </c>
      <c r="D87" s="13" t="n">
        <f aca="false">SUMIF(MANUALES!$B$16:$B$69,$A87,MANUALES!W$16:W$69)</f>
        <v>73790.4006818525</v>
      </c>
      <c r="E87" s="13" t="n">
        <f aca="false">SUMIF(RODANTES!$B$16:$B$68,$A87,RODANTES!W$16:W$68)</f>
        <v>1814.50306207595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SUMIF(MANUALES!$B$16:$B$69,$A87,MANUALES!N$16:N$69)+SUMIF(RODANTES!$B$16:$B$68,$A87,RODANTES!N$16:N$68)+SUMIF(RECARGAS!$B$16:$B$37,$A87,RECARGAS!X$16:X$37)+SUMIF(REVENDIDOS!$B$16:$B$25,$A87,REVENDIDOS!O$16:O$25)</f>
        <v>7434.52057453869</v>
      </c>
      <c r="I87" s="13" t="n">
        <f aca="false">SUMIF(MANUALES!$B$16:$B$69,$A87,MANUALES!O$16:O$69)+SUMIF(RODANTES!$B$16:$B$68,$A87,RODANTES!O$16:O$68)+SUMIF(RECARGAS!$B$16:$B$37,$A87,RECARGAS!Y$16:Y$37)+SUMIF(REVENDIDOS!$B$16:$B$25,$A87,REVENDIDOS!P$16:P$25)</f>
        <v>12620.9491461819</v>
      </c>
      <c r="J87" s="13" t="n">
        <f aca="false">SUMIF(MANUALES!$B$16:$B$69,$A87,MANUALES!P$16:P$69)+SUMIF(RODANTES!$B$16:$B$68,$A87,RODANTES!P$16:P$68)+SUMIF(RECARGAS!$B$16:$B$37,$A87,RECARGAS!Z$16:Z$37)+SUMIF(REVENDIDOS!$B$16:$B$25,$A87,REVENDIDOS!Q$16:Q$25)</f>
        <v>15618.8452563126</v>
      </c>
      <c r="K87" s="13" t="n">
        <f aca="false">SUMIF(MANUALES!$B$16:$B$69,$A87,MANUALES!Q$16:Q$69)+SUMIF(RODANTES!$B$16:$B$68,$A87,RODANTES!Q$16:Q$68)+SUMIF(RECARGAS!$B$16:$B$37,$A87,RECARGAS!AA$16:AA$37)+SUMIF(REVENDIDOS!$B$16:$B$25,$A87,REVENDIDOS!R$16:R$25)</f>
        <v>21181.9431840699</v>
      </c>
      <c r="L87" s="13" t="n">
        <f aca="false">SUMIF(MANUALES!$B$16:$B$69,$A87,MANUALES!R$16:R$69)+SUMIF(RODANTES!$B$16:$B$68,$A87,RODANTES!R$16:R$68)+SUMIF(RECARGAS!$B$16:$B$37,$A87,RECARGAS!AB$16:AB$37)+SUMIF(REVENDIDOS!$B$16:$B$25,$A87,REVENDIDOS!S$16:S$25)</f>
        <v>30750.2212291847</v>
      </c>
      <c r="M87" s="13" t="n">
        <f aca="false">SUMIF(MANUALES!$B$16:$B$69,$A87,MANUALES!S$16:S$69)+SUMIF(RODANTES!$B$16:$B$68,$A87,RODANTES!S$16:S$68)+SUMIF(RECARGAS!$B$16:$B$37,$A87,RECARGAS!AC$16:AC$37)+SUMIF(REVENDIDOS!$B$16:$B$25,$A87,REVENDIDOS!T$16:T$25)</f>
        <v>39372.1493367531</v>
      </c>
      <c r="N87" s="13" t="n">
        <f aca="false">SUMIF(MANUALES!$B$16:$B$69,$A87,MANUALES!T$16:T$69)+SUMIF(RODANTES!$B$16:$B$68,$A87,RODANTES!T$16:T$68)+SUMIF(RECARGAS!$B$16:$B$37,$A87,RECARGAS!AD$16:AD$37)+SUMIF(REVENDIDOS!$B$16:$B$25,$A87,REVENDIDOS!U$16:U$25)</f>
        <v>49326.8783886095</v>
      </c>
      <c r="O87" s="13" t="n">
        <f aca="false">SUMIF(MANUALES!$B$16:$B$69,$A87,MANUALES!U$16:U$69)+SUMIF(RODANTES!$B$16:$B$68,$A87,RODANTES!U$16:U$68)+SUMIF(RECARGAS!$B$16:$B$37,$A87,RECARGAS!AE$16:AE$37)+SUMIF(REVENDIDOS!$B$16:$B$25,$A87,REVENDIDOS!V$16:V$25)</f>
        <v>59017.0895642096</v>
      </c>
      <c r="P87" s="13" t="n">
        <f aca="false">SUMIF(MANUALES!$B$16:$B$69,$A87,MANUALES!V$16:V$69)+SUMIF(RODANTES!$B$16:$B$68,$A87,RODANTES!V$16:V$68)+SUMIF(RECARGAS!$B$16:$B$37,$A87,RECARGAS!AF$16:AF$37)+SUMIF(REVENDIDOS!$B$16:$B$25,$A87,REVENDIDOS!W$16:W$25)</f>
        <v>66593.5410999006</v>
      </c>
      <c r="Q87" s="13" t="n">
        <f aca="false">SUMIF(MANUALES!$B$16:$B$69,$A87,MANUALES!W$16:W$69)+SUMIF(RODANTES!$B$16:$B$68,$A87,RODANTES!W$16:W$68)+SUMIF(RECARGAS!$B$16:$B$37,$A87,RECARGAS!AG$16:AG$37)+SUMIF(REVENDIDOS!$B$16:$B$25,$A87,REVENDIDOS!X$16:X$25)</f>
        <v>75604.9037439285</v>
      </c>
      <c r="R87" s="13" t="n">
        <f aca="false">SUMIF(MANUALES!$B$16:$B$69,$A87,MANUALES!X$16:X$69)+SUMIF(RODANTES!$B$16:$B$68,$A87,RODANTES!X$16:X$68)+SUMIF(RECARGAS!$B$16:$B$37,$A87,RECARGAS!AH$16:AH$37)+SUMIF(REVENDIDOS!$B$16:$B$25,$A87,REVENDIDOS!Y$16:Y$25)</f>
        <v>8600.97574189061</v>
      </c>
    </row>
    <row r="88" customFormat="false" ht="15" hidden="false" customHeight="false" outlineLevel="0" collapsed="false">
      <c r="A88" s="3" t="s">
        <v>309</v>
      </c>
      <c r="B88" s="3" t="s">
        <v>310</v>
      </c>
      <c r="C88" s="3" t="s">
        <v>214</v>
      </c>
      <c r="D88" s="13" t="n">
        <f aca="false">SUMIF(MANUALES!$B$16:$B$69,$A88,MANUALES!W$16:W$69)</f>
        <v>73790.4006818525</v>
      </c>
      <c r="E88" s="13" t="n">
        <f aca="false">SUMIF(RODANTES!$B$16:$B$68,$A88,RODANTES!W$16:W$68)</f>
        <v>1814.50306207595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SUMIF(MANUALES!$B$16:$B$69,$A88,MANUALES!N$16:N$69)+SUMIF(RODANTES!$B$16:$B$68,$A88,RODANTES!N$16:N$68)+SUMIF(RECARGAS!$B$16:$B$37,$A88,RECARGAS!X$16:X$37)+SUMIF(REVENDIDOS!$B$16:$B$25,$A88,REVENDIDOS!O$16:O$25)</f>
        <v>7434.52057453869</v>
      </c>
      <c r="I88" s="13" t="n">
        <f aca="false">SUMIF(MANUALES!$B$16:$B$69,$A88,MANUALES!O$16:O$69)+SUMIF(RODANTES!$B$16:$B$68,$A88,RODANTES!O$16:O$68)+SUMIF(RECARGAS!$B$16:$B$37,$A88,RECARGAS!Y$16:Y$37)+SUMIF(REVENDIDOS!$B$16:$B$25,$A88,REVENDIDOS!P$16:P$25)</f>
        <v>12620.9491461819</v>
      </c>
      <c r="J88" s="13" t="n">
        <f aca="false">SUMIF(MANUALES!$B$16:$B$69,$A88,MANUALES!P$16:P$69)+SUMIF(RODANTES!$B$16:$B$68,$A88,RODANTES!P$16:P$68)+SUMIF(RECARGAS!$B$16:$B$37,$A88,RECARGAS!Z$16:Z$37)+SUMIF(REVENDIDOS!$B$16:$B$25,$A88,REVENDIDOS!Q$16:Q$25)</f>
        <v>15618.8452563126</v>
      </c>
      <c r="K88" s="13" t="n">
        <f aca="false">SUMIF(MANUALES!$B$16:$B$69,$A88,MANUALES!Q$16:Q$69)+SUMIF(RODANTES!$B$16:$B$68,$A88,RODANTES!Q$16:Q$68)+SUMIF(RECARGAS!$B$16:$B$37,$A88,RECARGAS!AA$16:AA$37)+SUMIF(REVENDIDOS!$B$16:$B$25,$A88,REVENDIDOS!R$16:R$25)</f>
        <v>21181.9431840699</v>
      </c>
      <c r="L88" s="13" t="n">
        <f aca="false">SUMIF(MANUALES!$B$16:$B$69,$A88,MANUALES!R$16:R$69)+SUMIF(RODANTES!$B$16:$B$68,$A88,RODANTES!R$16:R$68)+SUMIF(RECARGAS!$B$16:$B$37,$A88,RECARGAS!AB$16:AB$37)+SUMIF(REVENDIDOS!$B$16:$B$25,$A88,REVENDIDOS!S$16:S$25)</f>
        <v>30750.2212291847</v>
      </c>
      <c r="M88" s="13" t="n">
        <f aca="false">SUMIF(MANUALES!$B$16:$B$69,$A88,MANUALES!S$16:S$69)+SUMIF(RODANTES!$B$16:$B$68,$A88,RODANTES!S$16:S$68)+SUMIF(RECARGAS!$B$16:$B$37,$A88,RECARGAS!AC$16:AC$37)+SUMIF(REVENDIDOS!$B$16:$B$25,$A88,REVENDIDOS!T$16:T$25)</f>
        <v>39372.1493367531</v>
      </c>
      <c r="N88" s="13" t="n">
        <f aca="false">SUMIF(MANUALES!$B$16:$B$69,$A88,MANUALES!T$16:T$69)+SUMIF(RODANTES!$B$16:$B$68,$A88,RODANTES!T$16:T$68)+SUMIF(RECARGAS!$B$16:$B$37,$A88,RECARGAS!AD$16:AD$37)+SUMIF(REVENDIDOS!$B$16:$B$25,$A88,REVENDIDOS!U$16:U$25)</f>
        <v>49326.8783886095</v>
      </c>
      <c r="O88" s="13" t="n">
        <f aca="false">SUMIF(MANUALES!$B$16:$B$69,$A88,MANUALES!U$16:U$69)+SUMIF(RODANTES!$B$16:$B$68,$A88,RODANTES!U$16:U$68)+SUMIF(RECARGAS!$B$16:$B$37,$A88,RECARGAS!AE$16:AE$37)+SUMIF(REVENDIDOS!$B$16:$B$25,$A88,REVENDIDOS!V$16:V$25)</f>
        <v>59017.0895642096</v>
      </c>
      <c r="P88" s="13" t="n">
        <f aca="false">SUMIF(MANUALES!$B$16:$B$69,$A88,MANUALES!V$16:V$69)+SUMIF(RODANTES!$B$16:$B$68,$A88,RODANTES!V$16:V$68)+SUMIF(RECARGAS!$B$16:$B$37,$A88,RECARGAS!AF$16:AF$37)+SUMIF(REVENDIDOS!$B$16:$B$25,$A88,REVENDIDOS!W$16:W$25)</f>
        <v>66593.5410999006</v>
      </c>
      <c r="Q88" s="13" t="n">
        <f aca="false">SUMIF(MANUALES!$B$16:$B$69,$A88,MANUALES!W$16:W$69)+SUMIF(RODANTES!$B$16:$B$68,$A88,RODANTES!W$16:W$68)+SUMIF(RECARGAS!$B$16:$B$37,$A88,RECARGAS!AG$16:AG$37)+SUMIF(REVENDIDOS!$B$16:$B$25,$A88,REVENDIDOS!X$16:X$25)</f>
        <v>75604.9037439285</v>
      </c>
      <c r="R88" s="13" t="n">
        <f aca="false">SUMIF(MANUALES!$B$16:$B$69,$A88,MANUALES!X$16:X$69)+SUMIF(RODANTES!$B$16:$B$68,$A88,RODANTES!X$16:X$68)+SUMIF(RECARGAS!$B$16:$B$37,$A88,RECARGAS!AH$16:AH$37)+SUMIF(REVENDIDOS!$B$16:$B$25,$A88,REVENDIDOS!Y$16:Y$25)</f>
        <v>8600.97574189061</v>
      </c>
    </row>
    <row r="89" customFormat="false" ht="15" hidden="false" customHeight="false" outlineLevel="0" collapsed="false">
      <c r="A89" s="3" t="s">
        <v>312</v>
      </c>
      <c r="B89" s="3" t="s">
        <v>313</v>
      </c>
      <c r="C89" s="3" t="s">
        <v>214</v>
      </c>
      <c r="D89" s="13" t="n">
        <f aca="false">SUMIF(MANUALES!$B$16:$B$69,$A89,MANUALES!W$16:W$69)</f>
        <v>212143</v>
      </c>
      <c r="E89" s="13" t="n">
        <f aca="false">SUMIF(RODANTES!$B$16:$B$68,$A89,RODANTES!W$16:W$68)</f>
        <v>1287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SUMIF(MANUALES!$B$16:$B$69,$A89,MANUALES!N$16:N$69)+SUMIF(RODANTES!$B$16:$B$68,$A89,RODANTES!N$16:N$68)+SUMIF(RECARGAS!$B$16:$B$37,$A89,RECARGAS!X$16:X$37)+SUMIF(REVENDIDOS!$B$16:$B$25,$A89,REVENDIDOS!O$16:O$25)</f>
        <v>0</v>
      </c>
      <c r="I89" s="13" t="n">
        <f aca="false">SUMIF(MANUALES!$B$16:$B$69,$A89,MANUALES!O$16:O$69)+SUMIF(RODANTES!$B$16:$B$68,$A89,RODANTES!O$16:O$68)+SUMIF(RECARGAS!$B$16:$B$37,$A89,RECARGAS!Y$16:Y$37)+SUMIF(REVENDIDOS!$B$16:$B$25,$A89,REVENDIDOS!P$16:P$25)</f>
        <v>0</v>
      </c>
      <c r="J89" s="13" t="n">
        <f aca="false">SUMIF(MANUALES!$B$16:$B$69,$A89,MANUALES!P$16:P$69)+SUMIF(RODANTES!$B$16:$B$68,$A89,RODANTES!P$16:P$68)+SUMIF(RECARGAS!$B$16:$B$37,$A89,RECARGAS!Z$16:Z$37)+SUMIF(REVENDIDOS!$B$16:$B$25,$A89,REVENDIDOS!Q$16:Q$25)</f>
        <v>9589</v>
      </c>
      <c r="K89" s="13" t="n">
        <f aca="false">SUMIF(MANUALES!$B$16:$B$69,$A89,MANUALES!Q$16:Q$69)+SUMIF(RODANTES!$B$16:$B$68,$A89,RODANTES!Q$16:Q$68)+SUMIF(RECARGAS!$B$16:$B$37,$A89,RECARGAS!AA$16:AA$37)+SUMIF(REVENDIDOS!$B$16:$B$25,$A89,REVENDIDOS!R$16:R$25)</f>
        <v>33407</v>
      </c>
      <c r="L89" s="13" t="n">
        <f aca="false">SUMIF(MANUALES!$B$16:$B$69,$A89,MANUALES!R$16:R$69)+SUMIF(RODANTES!$B$16:$B$68,$A89,RODANTES!R$16:R$68)+SUMIF(RECARGAS!$B$16:$B$37,$A89,RECARGAS!AB$16:AB$37)+SUMIF(REVENDIDOS!$B$16:$B$25,$A89,REVENDIDOS!S$16:S$25)</f>
        <v>61865</v>
      </c>
      <c r="M89" s="13" t="n">
        <f aca="false">SUMIF(MANUALES!$B$16:$B$69,$A89,MANUALES!S$16:S$69)+SUMIF(RODANTES!$B$16:$B$68,$A89,RODANTES!S$16:S$68)+SUMIF(RECARGAS!$B$16:$B$37,$A89,RECARGAS!AC$16:AC$37)+SUMIF(REVENDIDOS!$B$16:$B$25,$A89,REVENDIDOS!T$16:T$25)</f>
        <v>89704</v>
      </c>
      <c r="N89" s="13" t="n">
        <f aca="false">SUMIF(MANUALES!$B$16:$B$69,$A89,MANUALES!T$16:T$69)+SUMIF(RODANTES!$B$16:$B$68,$A89,RODANTES!T$16:T$68)+SUMIF(RECARGAS!$B$16:$B$37,$A89,RECARGAS!AD$16:AD$37)+SUMIF(REVENDIDOS!$B$16:$B$25,$A89,REVENDIDOS!U$16:U$25)</f>
        <v>126822</v>
      </c>
      <c r="O89" s="13" t="n">
        <f aca="false">SUMIF(MANUALES!$B$16:$B$69,$A89,MANUALES!U$16:U$69)+SUMIF(RODANTES!$B$16:$B$68,$A89,RODANTES!U$16:U$68)+SUMIF(RECARGAS!$B$16:$B$37,$A89,RECARGAS!AE$16:AE$37)+SUMIF(REVENDIDOS!$B$16:$B$25,$A89,REVENDIDOS!V$16:V$25)</f>
        <v>163940</v>
      </c>
      <c r="P89" s="13" t="n">
        <f aca="false">SUMIF(MANUALES!$B$16:$B$69,$A89,MANUALES!V$16:V$69)+SUMIF(RODANTES!$B$16:$B$68,$A89,RODANTES!V$16:V$68)+SUMIF(RECARGAS!$B$16:$B$37,$A89,RECARGAS!AF$16:AF$37)+SUMIF(REVENDIDOS!$B$16:$B$25,$A89,REVENDIDOS!W$16:W$25)</f>
        <v>183736</v>
      </c>
      <c r="Q89" s="13" t="n">
        <f aca="false">SUMIF(MANUALES!$B$16:$B$69,$A89,MANUALES!W$16:W$69)+SUMIF(RODANTES!$B$16:$B$68,$A89,RODANTES!W$16:W$68)+SUMIF(RECARGAS!$B$16:$B$37,$A89,RECARGAS!AG$16:AG$37)+SUMIF(REVENDIDOS!$B$16:$B$25,$A89,REVENDIDOS!X$16:X$25)</f>
        <v>213430</v>
      </c>
      <c r="R89" s="13" t="n">
        <f aca="false">SUMIF(MANUALES!$B$16:$B$69,$A89,MANUALES!X$16:X$69)+SUMIF(RODANTES!$B$16:$B$68,$A89,RODANTES!X$16:X$68)+SUMIF(RECARGAS!$B$16:$B$37,$A89,RECARGAS!AH$16:AH$37)+SUMIF(REVENDIDOS!$B$16:$B$25,$A89,REVENDIDOS!Y$16:Y$25)</f>
        <v>25157.04</v>
      </c>
    </row>
    <row r="90" customFormat="false" ht="15" hidden="false" customHeight="false" outlineLevel="0" collapsed="false">
      <c r="A90" s="3" t="s">
        <v>315</v>
      </c>
      <c r="B90" s="3" t="s">
        <v>316</v>
      </c>
      <c r="C90" s="3" t="s">
        <v>214</v>
      </c>
      <c r="D90" s="13" t="n">
        <f aca="false">SUMIF(MANUALES!$B$16:$B$69,$A90,MANUALES!W$16:W$69)</f>
        <v>170548</v>
      </c>
      <c r="E90" s="13" t="n">
        <f aca="false">SUMIF(RODANTES!$B$16:$B$68,$A90,RODANTES!W$16:W$68)</f>
        <v>0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SUMIF(MANUALES!$B$16:$B$69,$A90,MANUALES!N$16:N$69)+SUMIF(RODANTES!$B$16:$B$68,$A90,RODANTES!N$16:N$68)+SUMIF(RECARGAS!$B$16:$B$37,$A90,RECARGAS!X$16:X$37)+SUMIF(REVENDIDOS!$B$16:$B$25,$A90,REVENDIDOS!O$16:O$25)</f>
        <v>0</v>
      </c>
      <c r="I90" s="13" t="n">
        <f aca="false">SUMIF(MANUALES!$B$16:$B$69,$A90,MANUALES!O$16:O$69)+SUMIF(RODANTES!$B$16:$B$68,$A90,RODANTES!O$16:O$68)+SUMIF(RECARGAS!$B$16:$B$37,$A90,RECARGAS!Y$16:Y$37)+SUMIF(REVENDIDOS!$B$16:$B$25,$A90,REVENDIDOS!P$16:P$25)</f>
        <v>0</v>
      </c>
      <c r="J90" s="13" t="n">
        <f aca="false">SUMIF(MANUALES!$B$16:$B$69,$A90,MANUALES!P$16:P$69)+SUMIF(RODANTES!$B$16:$B$68,$A90,RODANTES!P$16:P$68)+SUMIF(RECARGAS!$B$16:$B$37,$A90,RECARGAS!Z$16:Z$37)+SUMIF(REVENDIDOS!$B$16:$B$25,$A90,REVENDIDOS!Q$16:Q$25)</f>
        <v>7662.4</v>
      </c>
      <c r="K90" s="13" t="n">
        <f aca="false">SUMIF(MANUALES!$B$16:$B$69,$A90,MANUALES!Q$16:Q$69)+SUMIF(RODANTES!$B$16:$B$68,$A90,RODANTES!Q$16:Q$68)+SUMIF(RECARGAS!$B$16:$B$37,$A90,RECARGAS!AA$16:AA$37)+SUMIF(REVENDIDOS!$B$16:$B$25,$A90,REVENDIDOS!R$16:R$25)</f>
        <v>26694.8</v>
      </c>
      <c r="L90" s="13" t="n">
        <f aca="false">SUMIF(MANUALES!$B$16:$B$69,$A90,MANUALES!R$16:R$69)+SUMIF(RODANTES!$B$16:$B$68,$A90,RODANTES!R$16:R$68)+SUMIF(RECARGAS!$B$16:$B$37,$A90,RECARGAS!AB$16:AB$37)+SUMIF(REVENDIDOS!$B$16:$B$25,$A90,REVENDIDOS!S$16:S$25)</f>
        <v>49434.8</v>
      </c>
      <c r="M90" s="13" t="n">
        <f aca="false">SUMIF(MANUALES!$B$16:$B$69,$A90,MANUALES!S$16:S$69)+SUMIF(RODANTES!$B$16:$B$68,$A90,RODANTES!S$16:S$68)+SUMIF(RECARGAS!$B$16:$B$37,$A90,RECARGAS!AC$16:AC$37)+SUMIF(REVENDIDOS!$B$16:$B$25,$A90,REVENDIDOS!T$16:T$25)</f>
        <v>71680.2</v>
      </c>
      <c r="N90" s="13" t="n">
        <f aca="false">SUMIF(MANUALES!$B$16:$B$69,$A90,MANUALES!T$16:T$69)+SUMIF(RODANTES!$B$16:$B$68,$A90,RODANTES!T$16:T$68)+SUMIF(RECARGAS!$B$16:$B$37,$A90,RECARGAS!AD$16:AD$37)+SUMIF(REVENDIDOS!$B$16:$B$25,$A90,REVENDIDOS!U$16:U$25)</f>
        <v>101340.6</v>
      </c>
      <c r="O90" s="13" t="n">
        <f aca="false">SUMIF(MANUALES!$B$16:$B$69,$A90,MANUALES!U$16:U$69)+SUMIF(RODANTES!$B$16:$B$68,$A90,RODANTES!U$16:U$68)+SUMIF(RECARGAS!$B$16:$B$37,$A90,RECARGAS!AE$16:AE$37)+SUMIF(REVENDIDOS!$B$16:$B$25,$A90,REVENDIDOS!V$16:V$25)</f>
        <v>131001</v>
      </c>
      <c r="P90" s="13" t="n">
        <f aca="false">SUMIF(MANUALES!$B$16:$B$69,$A90,MANUALES!V$16:V$69)+SUMIF(RODANTES!$B$16:$B$68,$A90,RODANTES!V$16:V$68)+SUMIF(RECARGAS!$B$16:$B$37,$A90,RECARGAS!AF$16:AF$37)+SUMIF(REVENDIDOS!$B$16:$B$25,$A90,REVENDIDOS!W$16:W$25)</f>
        <v>146819.8</v>
      </c>
      <c r="Q90" s="13" t="n">
        <f aca="false">SUMIF(MANUALES!$B$16:$B$69,$A90,MANUALES!W$16:W$69)+SUMIF(RODANTES!$B$16:$B$68,$A90,RODANTES!W$16:W$68)+SUMIF(RECARGAS!$B$16:$B$37,$A90,RECARGAS!AG$16:AG$37)+SUMIF(REVENDIDOS!$B$16:$B$25,$A90,REVENDIDOS!X$16:X$25)</f>
        <v>170548</v>
      </c>
      <c r="R90" s="13" t="n">
        <f aca="false">SUMIF(MANUALES!$B$16:$B$69,$A90,MANUALES!X$16:X$69)+SUMIF(RODANTES!$B$16:$B$68,$A90,RODANTES!X$16:X$68)+SUMIF(RECARGAS!$B$16:$B$37,$A90,RECARGAS!AH$16:AH$37)+SUMIF(REVENDIDOS!$B$16:$B$25,$A90,REVENDIDOS!Y$16:Y$25)</f>
        <v>20465.76</v>
      </c>
    </row>
    <row r="91" customFormat="false" ht="15" hidden="false" customHeight="false" outlineLevel="0" collapsed="false">
      <c r="A91" s="3" t="s">
        <v>318</v>
      </c>
      <c r="B91" s="3" t="s">
        <v>319</v>
      </c>
      <c r="C91" s="3" t="s">
        <v>214</v>
      </c>
      <c r="D91" s="13" t="n">
        <f aca="false">SUMIF(MANUALES!$B$16:$B$69,$A91,MANUALES!W$16:W$69)</f>
        <v>41595</v>
      </c>
      <c r="E91" s="13" t="n">
        <f aca="false">SUMIF(RODANTES!$B$16:$B$68,$A91,RODANTES!W$16:W$68)</f>
        <v>1030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SUMIF(MANUALES!$B$16:$B$69,$A91,MANUALES!N$16:N$69)+SUMIF(RODANTES!$B$16:$B$68,$A91,RODANTES!N$16:N$68)+SUMIF(RECARGAS!$B$16:$B$37,$A91,RECARGAS!X$16:X$37)+SUMIF(REVENDIDOS!$B$16:$B$25,$A91,REVENDIDOS!O$16:O$25)</f>
        <v>0</v>
      </c>
      <c r="I91" s="13" t="n">
        <f aca="false">SUMIF(MANUALES!$B$16:$B$69,$A91,MANUALES!O$16:O$69)+SUMIF(RODANTES!$B$16:$B$68,$A91,RODANTES!O$16:O$68)+SUMIF(RECARGAS!$B$16:$B$37,$A91,RECARGAS!Y$16:Y$37)+SUMIF(REVENDIDOS!$B$16:$B$25,$A91,REVENDIDOS!P$16:P$25)</f>
        <v>0</v>
      </c>
      <c r="J91" s="13" t="n">
        <f aca="false">SUMIF(MANUALES!$B$16:$B$69,$A91,MANUALES!P$16:P$69)+SUMIF(RODANTES!$B$16:$B$68,$A91,RODANTES!P$16:P$68)+SUMIF(RECARGAS!$B$16:$B$37,$A91,RECARGAS!Z$16:Z$37)+SUMIF(REVENDIDOS!$B$16:$B$25,$A91,REVENDIDOS!Q$16:Q$25)</f>
        <v>1915</v>
      </c>
      <c r="K91" s="13" t="n">
        <f aca="false">SUMIF(MANUALES!$B$16:$B$69,$A91,MANUALES!Q$16:Q$69)+SUMIF(RODANTES!$B$16:$B$68,$A91,RODANTES!Q$16:Q$68)+SUMIF(RECARGAS!$B$16:$B$37,$A91,RECARGAS!AA$16:AA$37)+SUMIF(REVENDIDOS!$B$16:$B$25,$A91,REVENDIDOS!R$16:R$25)</f>
        <v>6671.8</v>
      </c>
      <c r="L91" s="13" t="n">
        <f aca="false">SUMIF(MANUALES!$B$16:$B$69,$A91,MANUALES!R$16:R$69)+SUMIF(RODANTES!$B$16:$B$68,$A91,RODANTES!R$16:R$68)+SUMIF(RECARGAS!$B$16:$B$37,$A91,RECARGAS!AB$16:AB$37)+SUMIF(REVENDIDOS!$B$16:$B$25,$A91,REVENDIDOS!S$16:S$25)</f>
        <v>12355.4</v>
      </c>
      <c r="M91" s="13" t="n">
        <f aca="false">SUMIF(MANUALES!$B$16:$B$69,$A91,MANUALES!S$16:S$69)+SUMIF(RODANTES!$B$16:$B$68,$A91,RODANTES!S$16:S$68)+SUMIF(RECARGAS!$B$16:$B$37,$A91,RECARGAS!AC$16:AC$37)+SUMIF(REVENDIDOS!$B$16:$B$25,$A91,REVENDIDOS!T$16:T$25)</f>
        <v>17915.6</v>
      </c>
      <c r="N91" s="13" t="n">
        <f aca="false">SUMIF(MANUALES!$B$16:$B$69,$A91,MANUALES!T$16:T$69)+SUMIF(RODANTES!$B$16:$B$68,$A91,RODANTES!T$16:T$68)+SUMIF(RECARGAS!$B$16:$B$37,$A91,RECARGAS!AD$16:AD$37)+SUMIF(REVENDIDOS!$B$16:$B$25,$A91,REVENDIDOS!U$16:U$25)</f>
        <v>25328.8</v>
      </c>
      <c r="O91" s="13" t="n">
        <f aca="false">SUMIF(MANUALES!$B$16:$B$69,$A91,MANUALES!U$16:U$69)+SUMIF(RODANTES!$B$16:$B$68,$A91,RODANTES!U$16:U$68)+SUMIF(RECARGAS!$B$16:$B$37,$A91,RECARGAS!AE$16:AE$37)+SUMIF(REVENDIDOS!$B$16:$B$25,$A91,REVENDIDOS!V$16:V$25)</f>
        <v>32742</v>
      </c>
      <c r="P91" s="13" t="n">
        <f aca="false">SUMIF(MANUALES!$B$16:$B$69,$A91,MANUALES!V$16:V$69)+SUMIF(RODANTES!$B$16:$B$68,$A91,RODANTES!V$16:V$68)+SUMIF(RECARGAS!$B$16:$B$37,$A91,RECARGAS!AF$16:AF$37)+SUMIF(REVENDIDOS!$B$16:$B$25,$A91,REVENDIDOS!W$16:W$25)</f>
        <v>36695.2</v>
      </c>
      <c r="Q91" s="13" t="n">
        <f aca="false">SUMIF(MANUALES!$B$16:$B$69,$A91,MANUALES!W$16:W$69)+SUMIF(RODANTES!$B$16:$B$68,$A91,RODANTES!W$16:W$68)+SUMIF(RECARGAS!$B$16:$B$37,$A91,RECARGAS!AG$16:AG$37)+SUMIF(REVENDIDOS!$B$16:$B$25,$A91,REVENDIDOS!X$16:X$25)</f>
        <v>42625</v>
      </c>
      <c r="R91" s="13" t="n">
        <f aca="false">SUMIF(MANUALES!$B$16:$B$69,$A91,MANUALES!X$16:X$69)+SUMIF(RODANTES!$B$16:$B$68,$A91,RODANTES!X$16:X$68)+SUMIF(RECARGAS!$B$16:$B$37,$A91,RECARGAS!AH$16:AH$37)+SUMIF(REVENDIDOS!$B$16:$B$25,$A91,REVENDIDOS!Y$16:Y$25)</f>
        <v>4668.15</v>
      </c>
    </row>
    <row r="92" customFormat="false" ht="15" hidden="false" customHeight="false" outlineLevel="0" collapsed="false">
      <c r="A92" s="3" t="s">
        <v>480</v>
      </c>
      <c r="B92" s="3" t="s">
        <v>481</v>
      </c>
      <c r="C92" s="3" t="s">
        <v>214</v>
      </c>
      <c r="D92" s="13" t="n">
        <f aca="false">SUMIF(MANUALES!$B$16:$B$69,$A92,MANUALES!W$16:W$69)</f>
        <v>0</v>
      </c>
      <c r="E92" s="13" t="n">
        <f aca="false">SUMIF(RODANTES!$B$16:$B$68,$A92,RODANTES!W$16:W$68)</f>
        <v>257</v>
      </c>
      <c r="F92" s="13" t="n">
        <f aca="false">SUMIF(RECARGAS!$B$16:$B$37,$A92,RECARGAS!AG$16:AG$37)</f>
        <v>0</v>
      </c>
      <c r="G92" s="13" t="n">
        <f aca="false">SUMIF(REVENDIDOS!$B$16:$B$25,$A92,REVENDIDOS!X$16:X$25)</f>
        <v>0</v>
      </c>
      <c r="H92" s="13" t="n">
        <f aca="false">SUMIF(MANUALES!$B$16:$B$69,$A92,MANUALES!N$16:N$69)+SUMIF(RODANTES!$B$16:$B$68,$A92,RODANTES!N$16:N$68)+SUMIF(RECARGAS!$B$16:$B$37,$A92,RECARGAS!X$16:X$37)+SUMIF(REVENDIDOS!$B$16:$B$25,$A92,REVENDIDOS!O$16:O$25)</f>
        <v>0</v>
      </c>
      <c r="I92" s="13" t="n">
        <f aca="false">SUMIF(MANUALES!$B$16:$B$69,$A92,MANUALES!O$16:O$69)+SUMIF(RODANTES!$B$16:$B$68,$A92,RODANTES!O$16:O$68)+SUMIF(RECARGAS!$B$16:$B$37,$A92,RECARGAS!Y$16:Y$37)+SUMIF(REVENDIDOS!$B$16:$B$25,$A92,REVENDIDOS!P$16:P$25)</f>
        <v>0</v>
      </c>
      <c r="J92" s="13" t="n">
        <f aca="false">SUMIF(MANUALES!$B$16:$B$69,$A92,MANUALES!P$16:P$69)+SUMIF(RODANTES!$B$16:$B$68,$A92,RODANTES!P$16:P$68)+SUMIF(RECARGAS!$B$16:$B$37,$A92,RECARGAS!Z$16:Z$37)+SUMIF(REVENDIDOS!$B$16:$B$25,$A92,REVENDIDOS!Q$16:Q$25)</f>
        <v>11.6</v>
      </c>
      <c r="K92" s="13" t="n">
        <f aca="false">SUMIF(MANUALES!$B$16:$B$69,$A92,MANUALES!Q$16:Q$69)+SUMIF(RODANTES!$B$16:$B$68,$A92,RODANTES!Q$16:Q$68)+SUMIF(RECARGAS!$B$16:$B$37,$A92,RECARGAS!AA$16:AA$37)+SUMIF(REVENDIDOS!$B$16:$B$25,$A92,REVENDIDOS!R$16:R$25)</f>
        <v>40.4</v>
      </c>
      <c r="L92" s="13" t="n">
        <f aca="false">SUMIF(MANUALES!$B$16:$B$69,$A92,MANUALES!R$16:R$69)+SUMIF(RODANTES!$B$16:$B$68,$A92,RODANTES!R$16:R$68)+SUMIF(RECARGAS!$B$16:$B$37,$A92,RECARGAS!AB$16:AB$37)+SUMIF(REVENDIDOS!$B$16:$B$25,$A92,REVENDIDOS!S$16:S$25)</f>
        <v>74.8</v>
      </c>
      <c r="M92" s="13" t="n">
        <f aca="false">SUMIF(MANUALES!$B$16:$B$69,$A92,MANUALES!S$16:S$69)+SUMIF(RODANTES!$B$16:$B$68,$A92,RODANTES!S$16:S$68)+SUMIF(RECARGAS!$B$16:$B$37,$A92,RECARGAS!AC$16:AC$37)+SUMIF(REVENDIDOS!$B$16:$B$25,$A92,REVENDIDOS!T$16:T$25)</f>
        <v>108.2</v>
      </c>
      <c r="N92" s="13" t="n">
        <f aca="false">SUMIF(MANUALES!$B$16:$B$69,$A92,MANUALES!T$16:T$69)+SUMIF(RODANTES!$B$16:$B$68,$A92,RODANTES!T$16:T$68)+SUMIF(RECARGAS!$B$16:$B$37,$A92,RECARGAS!AD$16:AD$37)+SUMIF(REVENDIDOS!$B$16:$B$25,$A92,REVENDIDOS!U$16:U$25)</f>
        <v>152.6</v>
      </c>
      <c r="O92" s="13" t="n">
        <f aca="false">SUMIF(MANUALES!$B$16:$B$69,$A92,MANUALES!U$16:U$69)+SUMIF(RODANTES!$B$16:$B$68,$A92,RODANTES!U$16:U$68)+SUMIF(RECARGAS!$B$16:$B$37,$A92,RECARGAS!AE$16:AE$37)+SUMIF(REVENDIDOS!$B$16:$B$25,$A92,REVENDIDOS!V$16:V$25)</f>
        <v>197</v>
      </c>
      <c r="P92" s="13" t="n">
        <f aca="false">SUMIF(MANUALES!$B$16:$B$69,$A92,MANUALES!V$16:V$69)+SUMIF(RODANTES!$B$16:$B$68,$A92,RODANTES!V$16:V$68)+SUMIF(RECARGAS!$B$16:$B$37,$A92,RECARGAS!AF$16:AF$37)+SUMIF(REVENDIDOS!$B$16:$B$25,$A92,REVENDIDOS!W$16:W$25)</f>
        <v>221</v>
      </c>
      <c r="Q92" s="13" t="n">
        <f aca="false">SUMIF(MANUALES!$B$16:$B$69,$A92,MANUALES!W$16:W$69)+SUMIF(RODANTES!$B$16:$B$68,$A92,RODANTES!W$16:W$68)+SUMIF(RECARGAS!$B$16:$B$37,$A92,RECARGAS!AG$16:AG$37)+SUMIF(REVENDIDOS!$B$16:$B$25,$A92,REVENDIDOS!X$16:X$25)</f>
        <v>257</v>
      </c>
      <c r="R92" s="13" t="n">
        <f aca="false">SUMIF(MANUALES!$B$16:$B$69,$A92,MANUALES!X$16:X$69)+SUMIF(RODANTES!$B$16:$B$68,$A92,RODANTES!X$16:X$68)+SUMIF(RECARGAS!$B$16:$B$37,$A92,RECARGAS!AH$16:AH$37)+SUMIF(REVENDIDOS!$B$16:$B$25,$A92,REVENDIDOS!Y$16:Y$25)</f>
        <v>23.13</v>
      </c>
    </row>
    <row r="93" customFormat="false" ht="15" hidden="false" customHeight="false" outlineLevel="0" collapsed="false">
      <c r="A93" s="3" t="s">
        <v>321</v>
      </c>
      <c r="B93" s="3" t="s">
        <v>322</v>
      </c>
      <c r="C93" s="3" t="s">
        <v>214</v>
      </c>
      <c r="D93" s="13" t="n">
        <f aca="false">SUMIF(MANUALES!$B$16:$B$69,$A93,MANUALES!W$16:W$69)</f>
        <v>212143</v>
      </c>
      <c r="E93" s="13" t="n">
        <f aca="false">SUMIF(RODANTES!$B$16:$B$68,$A93,RODANTES!W$16:W$68)</f>
        <v>0</v>
      </c>
      <c r="F93" s="13" t="n">
        <f aca="false">SUMIF(RECARGAS!$B$16:$B$37,$A93,RECARGAS!AG$16:AG$37)</f>
        <v>154.538887605872</v>
      </c>
      <c r="G93" s="13" t="n">
        <f aca="false">SUMIF(REVENDIDOS!$B$16:$B$25,$A93,REVENDIDOS!X$16:X$25)</f>
        <v>0</v>
      </c>
      <c r="H93" s="13" t="n">
        <f aca="false">SUMIF(MANUALES!$B$16:$B$69,$A93,MANUALES!N$16:N$69)+SUMIF(RODANTES!$B$16:$B$68,$A93,RODANTES!N$16:N$68)+SUMIF(RECARGAS!$B$16:$B$37,$A93,RECARGAS!X$16:X$37)+SUMIF(REVENDIDOS!$B$16:$B$25,$A93,REVENDIDOS!O$16:O$25)</f>
        <v>28.076190946453</v>
      </c>
      <c r="I93" s="13" t="n">
        <f aca="false">SUMIF(MANUALES!$B$16:$B$69,$A93,MANUALES!O$16:O$69)+SUMIF(RODANTES!$B$16:$B$68,$A93,RODANTES!O$16:O$68)+SUMIF(RECARGAS!$B$16:$B$37,$A93,RECARGAS!Y$16:Y$37)+SUMIF(REVENDIDOS!$B$16:$B$25,$A93,REVENDIDOS!P$16:P$25)</f>
        <v>87.9891845827654</v>
      </c>
      <c r="J93" s="13" t="n">
        <f aca="false">SUMIF(MANUALES!$B$16:$B$69,$A93,MANUALES!P$16:P$69)+SUMIF(RODANTES!$B$16:$B$68,$A93,RODANTES!P$16:P$68)+SUMIF(RECARGAS!$B$16:$B$37,$A93,RECARGAS!Z$16:Z$37)+SUMIF(REVENDIDOS!$B$16:$B$25,$A93,REVENDIDOS!Q$16:Q$25)</f>
        <v>9650.80343213473</v>
      </c>
      <c r="K93" s="13" t="n">
        <f aca="false">SUMIF(MANUALES!$B$16:$B$69,$A93,MANUALES!Q$16:Q$69)+SUMIF(RODANTES!$B$16:$B$68,$A93,RODANTES!Q$16:Q$68)+SUMIF(RECARGAS!$B$16:$B$37,$A93,RECARGAS!AA$16:AA$37)+SUMIF(REVENDIDOS!$B$16:$B$25,$A93,REVENDIDOS!R$16:R$25)</f>
        <v>33410.8415210415</v>
      </c>
      <c r="L93" s="13" t="n">
        <f aca="false">SUMIF(MANUALES!$B$16:$B$69,$A93,MANUALES!R$16:R$69)+SUMIF(RODANTES!$B$16:$B$68,$A93,RODANTES!R$16:R$68)+SUMIF(RECARGAS!$B$16:$B$37,$A93,RECARGAS!AB$16:AB$37)+SUMIF(REVENDIDOS!$B$16:$B$25,$A93,REVENDIDOS!S$16:S$25)</f>
        <v>61711.7932053735</v>
      </c>
      <c r="M93" s="13" t="n">
        <f aca="false">SUMIF(MANUALES!$B$16:$B$69,$A93,MANUALES!S$16:S$69)+SUMIF(RODANTES!$B$16:$B$68,$A93,RODANTES!S$16:S$68)+SUMIF(RECARGAS!$B$16:$B$37,$A93,RECARGAS!AC$16:AC$37)+SUMIF(REVENDIDOS!$B$16:$B$25,$A93,REVENDIDOS!T$16:T$25)</f>
        <v>89417.3408869513</v>
      </c>
      <c r="N93" s="13" t="n">
        <f aca="false">SUMIF(MANUALES!$B$16:$B$69,$A93,MANUALES!T$16:T$69)+SUMIF(RODANTES!$B$16:$B$68,$A93,RODANTES!T$16:T$68)+SUMIF(RECARGAS!$B$16:$B$37,$A93,RECARGAS!AD$16:AD$37)+SUMIF(REVENDIDOS!$B$16:$B$25,$A93,REVENDIDOS!U$16:U$25)</f>
        <v>126302.096829481</v>
      </c>
      <c r="O93" s="13" t="n">
        <f aca="false">SUMIF(MANUALES!$B$16:$B$69,$A93,MANUALES!U$16:U$69)+SUMIF(RODANTES!$B$16:$B$68,$A93,RODANTES!U$16:U$68)+SUMIF(RECARGAS!$B$16:$B$37,$A93,RECARGAS!AE$16:AE$37)+SUMIF(REVENDIDOS!$B$16:$B$25,$A93,REVENDIDOS!V$16:V$25)</f>
        <v>163146.47898119</v>
      </c>
      <c r="P93" s="13" t="n">
        <f aca="false">SUMIF(MANUALES!$B$16:$B$69,$A93,MANUALES!V$16:V$69)+SUMIF(RODANTES!$B$16:$B$68,$A93,RODANTES!V$16:V$68)+SUMIF(RECARGAS!$B$16:$B$37,$A93,RECARGAS!AF$16:AF$37)+SUMIF(REVENDIDOS!$B$16:$B$25,$A93,REVENDIDOS!W$16:W$25)</f>
        <v>182777.163866205</v>
      </c>
      <c r="Q93" s="13" t="n">
        <f aca="false">SUMIF(MANUALES!$B$16:$B$69,$A93,MANUALES!W$16:W$69)+SUMIF(RODANTES!$B$16:$B$68,$A93,RODANTES!W$16:W$68)+SUMIF(RECARGAS!$B$16:$B$37,$A93,RECARGAS!AG$16:AG$37)+SUMIF(REVENDIDOS!$B$16:$B$25,$A93,REVENDIDOS!X$16:X$25)</f>
        <v>212297.538887606</v>
      </c>
      <c r="R93" s="13" t="n">
        <f aca="false">SUMIF(MANUALES!$B$16:$B$69,$A93,MANUALES!X$16:X$69)+SUMIF(RODANTES!$B$16:$B$68,$A93,RODANTES!X$16:X$68)+SUMIF(RECARGAS!$B$16:$B$37,$A93,RECARGAS!AH$16:AH$37)+SUMIF(REVENDIDOS!$B$16:$B$25,$A93,REVENDIDOS!Y$16:Y$25)</f>
        <v>25054.0882406338</v>
      </c>
    </row>
    <row r="94" customFormat="false" ht="15" hidden="false" customHeight="false" outlineLevel="0" collapsed="false">
      <c r="A94" s="3" t="s">
        <v>515</v>
      </c>
      <c r="B94" s="3" t="s">
        <v>516</v>
      </c>
      <c r="C94" s="3" t="s">
        <v>214</v>
      </c>
      <c r="D94" s="13" t="n">
        <f aca="false">SUMIF(MANUALES!$B$16:$B$69,$A94,MANUALES!W$16:W$69)</f>
        <v>0</v>
      </c>
      <c r="E94" s="13" t="n">
        <f aca="false">SUMIF(RODANTES!$B$16:$B$68,$A94,RODANTES!W$16:W$68)</f>
        <v>0</v>
      </c>
      <c r="F94" s="13" t="n">
        <f aca="false">SUMIF(RECARGAS!$B$16:$B$37,$A94,RECARGAS!AG$16:AG$37)</f>
        <v>128714.163931821</v>
      </c>
      <c r="G94" s="13" t="n">
        <f aca="false">SUMIF(REVENDIDOS!$B$16:$B$25,$A94,REVENDIDOS!X$16:X$25)</f>
        <v>0</v>
      </c>
      <c r="H94" s="13" t="n">
        <f aca="false">SUMIF(MANUALES!$B$16:$B$69,$A94,MANUALES!N$16:N$69)+SUMIF(RODANTES!$B$16:$B$68,$A94,RODANTES!N$16:N$68)+SUMIF(RECARGAS!$B$16:$B$37,$A94,RECARGAS!X$16:X$37)+SUMIF(REVENDIDOS!$B$16:$B$25,$A94,REVENDIDOS!O$16:O$25)</f>
        <v>2366.54661956285</v>
      </c>
      <c r="I94" s="13" t="n">
        <f aca="false">SUMIF(MANUALES!$B$16:$B$69,$A94,MANUALES!O$16:O$69)+SUMIF(RODANTES!$B$16:$B$68,$A94,RODANTES!O$16:O$68)+SUMIF(RECARGAS!$B$16:$B$37,$A94,RECARGAS!Y$16:Y$37)+SUMIF(REVENDIDOS!$B$16:$B$25,$A94,REVENDIDOS!P$16:P$25)</f>
        <v>10613.3757102758</v>
      </c>
      <c r="J94" s="13" t="n">
        <f aca="false">SUMIF(MANUALES!$B$16:$B$69,$A94,MANUALES!P$16:P$69)+SUMIF(RODANTES!$B$16:$B$68,$A94,RODANTES!P$16:P$68)+SUMIF(RECARGAS!$B$16:$B$37,$A94,RECARGAS!Z$16:Z$37)+SUMIF(REVENDIDOS!$B$16:$B$25,$A94,REVENDIDOS!Q$16:Q$25)</f>
        <v>21280.0606332084</v>
      </c>
      <c r="K94" s="13" t="n">
        <f aca="false">SUMIF(MANUALES!$B$16:$B$69,$A94,MANUALES!Q$16:Q$69)+SUMIF(RODANTES!$B$16:$B$68,$A94,RODANTES!Q$16:Q$68)+SUMIF(RECARGAS!$B$16:$B$37,$A94,RECARGAS!AA$16:AA$37)+SUMIF(REVENDIDOS!$B$16:$B$25,$A94,REVENDIDOS!R$16:R$25)</f>
        <v>39473.00007357</v>
      </c>
      <c r="L94" s="13" t="n">
        <f aca="false">SUMIF(MANUALES!$B$16:$B$69,$A94,MANUALES!R$16:R$69)+SUMIF(RODANTES!$B$16:$B$68,$A94,RODANTES!R$16:R$68)+SUMIF(RECARGAS!$B$16:$B$37,$A94,RECARGAS!AB$16:AB$37)+SUMIF(REVENDIDOS!$B$16:$B$25,$A94,REVENDIDOS!S$16:S$25)</f>
        <v>58099.7039714177</v>
      </c>
      <c r="M94" s="13" t="n">
        <f aca="false">SUMIF(MANUALES!$B$16:$B$69,$A94,MANUALES!S$16:S$69)+SUMIF(RODANTES!$B$16:$B$68,$A94,RODANTES!S$16:S$68)+SUMIF(RECARGAS!$B$16:$B$37,$A94,RECARGAS!AC$16:AC$37)+SUMIF(REVENDIDOS!$B$16:$B$25,$A94,REVENDIDOS!T$16:T$25)</f>
        <v>79079.3679573944</v>
      </c>
      <c r="N94" s="13" t="n">
        <f aca="false">SUMIF(MANUALES!$B$16:$B$69,$A94,MANUALES!T$16:T$69)+SUMIF(RODANTES!$B$16:$B$68,$A94,RODANTES!T$16:T$68)+SUMIF(RECARGAS!$B$16:$B$37,$A94,RECARGAS!AD$16:AD$37)+SUMIF(REVENDIDOS!$B$16:$B$25,$A94,REVENDIDOS!U$16:U$25)</f>
        <v>98212.838096901</v>
      </c>
      <c r="O94" s="13" t="n">
        <f aca="false">SUMIF(MANUALES!$B$16:$B$69,$A94,MANUALES!U$16:U$69)+SUMIF(RODANTES!$B$16:$B$68,$A94,RODANTES!U$16:U$68)+SUMIF(RECARGAS!$B$16:$B$37,$A94,RECARGAS!AE$16:AE$37)+SUMIF(REVENDIDOS!$B$16:$B$25,$A94,REVENDIDOS!V$16:V$25)</f>
        <v>111652.929894414</v>
      </c>
      <c r="P94" s="13" t="n">
        <f aca="false">SUMIF(MANUALES!$B$16:$B$69,$A94,MANUALES!V$16:V$69)+SUMIF(RODANTES!$B$16:$B$68,$A94,RODANTES!V$16:V$68)+SUMIF(RECARGAS!$B$16:$B$37,$A94,RECARGAS!AF$16:AF$37)+SUMIF(REVENDIDOS!$B$16:$B$25,$A94,REVENDIDOS!W$16:W$25)</f>
        <v>120095.124572245</v>
      </c>
      <c r="Q94" s="13" t="n">
        <f aca="false">SUMIF(MANUALES!$B$16:$B$69,$A94,MANUALES!W$16:W$69)+SUMIF(RODANTES!$B$16:$B$68,$A94,RODANTES!W$16:W$68)+SUMIF(RECARGAS!$B$16:$B$37,$A94,RECARGAS!AG$16:AG$37)+SUMIF(REVENDIDOS!$B$16:$B$25,$A94,REVENDIDOS!X$16:X$25)</f>
        <v>128714.163931821</v>
      </c>
      <c r="R94" s="13" t="n">
        <f aca="false">SUMIF(MANUALES!$B$16:$B$69,$A94,MANUALES!X$16:X$69)+SUMIF(RODANTES!$B$16:$B$68,$A94,RODANTES!X$16:X$68)+SUMIF(RECARGAS!$B$16:$B$37,$A94,RECARGAS!AH$16:AH$37)+SUMIF(REVENDIDOS!$B$16:$B$25,$A94,REVENDIDOS!Y$16:Y$25)</f>
        <v>10726.1803276517</v>
      </c>
    </row>
    <row r="95" customFormat="false" ht="15" hidden="false" customHeight="false" outlineLevel="0" collapsed="false">
      <c r="A95" s="3" t="s">
        <v>518</v>
      </c>
      <c r="B95" s="3" t="s">
        <v>519</v>
      </c>
      <c r="C95" s="3" t="s">
        <v>214</v>
      </c>
      <c r="D95" s="13" t="n">
        <f aca="false">SUMIF(MANUALES!$B$16:$B$69,$A95,MANUALES!W$16:W$69)</f>
        <v>0</v>
      </c>
      <c r="E95" s="13" t="n">
        <f aca="false">SUMIF(RODANTES!$B$16:$B$68,$A95,RODANTES!W$16:W$68)</f>
        <v>0</v>
      </c>
      <c r="F95" s="13" t="n">
        <f aca="false">SUMIF(RECARGAS!$B$16:$B$37,$A95,RECARGAS!AG$16:AG$37)</f>
        <v>128714.163931821</v>
      </c>
      <c r="G95" s="13" t="n">
        <f aca="false">SUMIF(REVENDIDOS!$B$16:$B$25,$A95,REVENDIDOS!X$16:X$25)</f>
        <v>0</v>
      </c>
      <c r="H95" s="13" t="n">
        <f aca="false">SUMIF(MANUALES!$B$16:$B$69,$A95,MANUALES!N$16:N$69)+SUMIF(RODANTES!$B$16:$B$68,$A95,RODANTES!N$16:N$68)+SUMIF(RECARGAS!$B$16:$B$37,$A95,RECARGAS!X$16:X$37)+SUMIF(REVENDIDOS!$B$16:$B$25,$A95,REVENDIDOS!O$16:O$25)</f>
        <v>2366.54661956285</v>
      </c>
      <c r="I95" s="13" t="n">
        <f aca="false">SUMIF(MANUALES!$B$16:$B$69,$A95,MANUALES!O$16:O$69)+SUMIF(RODANTES!$B$16:$B$68,$A95,RODANTES!O$16:O$68)+SUMIF(RECARGAS!$B$16:$B$37,$A95,RECARGAS!Y$16:Y$37)+SUMIF(REVENDIDOS!$B$16:$B$25,$A95,REVENDIDOS!P$16:P$25)</f>
        <v>10613.3757102758</v>
      </c>
      <c r="J95" s="13" t="n">
        <f aca="false">SUMIF(MANUALES!$B$16:$B$69,$A95,MANUALES!P$16:P$69)+SUMIF(RODANTES!$B$16:$B$68,$A95,RODANTES!P$16:P$68)+SUMIF(RECARGAS!$B$16:$B$37,$A95,RECARGAS!Z$16:Z$37)+SUMIF(REVENDIDOS!$B$16:$B$25,$A95,REVENDIDOS!Q$16:Q$25)</f>
        <v>21280.0606332084</v>
      </c>
      <c r="K95" s="13" t="n">
        <f aca="false">SUMIF(MANUALES!$B$16:$B$69,$A95,MANUALES!Q$16:Q$69)+SUMIF(RODANTES!$B$16:$B$68,$A95,RODANTES!Q$16:Q$68)+SUMIF(RECARGAS!$B$16:$B$37,$A95,RECARGAS!AA$16:AA$37)+SUMIF(REVENDIDOS!$B$16:$B$25,$A95,REVENDIDOS!R$16:R$25)</f>
        <v>39473.00007357</v>
      </c>
      <c r="L95" s="13" t="n">
        <f aca="false">SUMIF(MANUALES!$B$16:$B$69,$A95,MANUALES!R$16:R$69)+SUMIF(RODANTES!$B$16:$B$68,$A95,RODANTES!R$16:R$68)+SUMIF(RECARGAS!$B$16:$B$37,$A95,RECARGAS!AB$16:AB$37)+SUMIF(REVENDIDOS!$B$16:$B$25,$A95,REVENDIDOS!S$16:S$25)</f>
        <v>58099.7039714177</v>
      </c>
      <c r="M95" s="13" t="n">
        <f aca="false">SUMIF(MANUALES!$B$16:$B$69,$A95,MANUALES!S$16:S$69)+SUMIF(RODANTES!$B$16:$B$68,$A95,RODANTES!S$16:S$68)+SUMIF(RECARGAS!$B$16:$B$37,$A95,RECARGAS!AC$16:AC$37)+SUMIF(REVENDIDOS!$B$16:$B$25,$A95,REVENDIDOS!T$16:T$25)</f>
        <v>79079.3679573944</v>
      </c>
      <c r="N95" s="13" t="n">
        <f aca="false">SUMIF(MANUALES!$B$16:$B$69,$A95,MANUALES!T$16:T$69)+SUMIF(RODANTES!$B$16:$B$68,$A95,RODANTES!T$16:T$68)+SUMIF(RECARGAS!$B$16:$B$37,$A95,RECARGAS!AD$16:AD$37)+SUMIF(REVENDIDOS!$B$16:$B$25,$A95,REVENDIDOS!U$16:U$25)</f>
        <v>98212.838096901</v>
      </c>
      <c r="O95" s="13" t="n">
        <f aca="false">SUMIF(MANUALES!$B$16:$B$69,$A95,MANUALES!U$16:U$69)+SUMIF(RODANTES!$B$16:$B$68,$A95,RODANTES!U$16:U$68)+SUMIF(RECARGAS!$B$16:$B$37,$A95,RECARGAS!AE$16:AE$37)+SUMIF(REVENDIDOS!$B$16:$B$25,$A95,REVENDIDOS!V$16:V$25)</f>
        <v>111652.929894414</v>
      </c>
      <c r="P95" s="13" t="n">
        <f aca="false">SUMIF(MANUALES!$B$16:$B$69,$A95,MANUALES!V$16:V$69)+SUMIF(RODANTES!$B$16:$B$68,$A95,RODANTES!V$16:V$68)+SUMIF(RECARGAS!$B$16:$B$37,$A95,RECARGAS!AF$16:AF$37)+SUMIF(REVENDIDOS!$B$16:$B$25,$A95,REVENDIDOS!W$16:W$25)</f>
        <v>120095.124572245</v>
      </c>
      <c r="Q95" s="13" t="n">
        <f aca="false">SUMIF(MANUALES!$B$16:$B$69,$A95,MANUALES!W$16:W$69)+SUMIF(RODANTES!$B$16:$B$68,$A95,RODANTES!W$16:W$68)+SUMIF(RECARGAS!$B$16:$B$37,$A95,RECARGAS!AG$16:AG$37)+SUMIF(REVENDIDOS!$B$16:$B$25,$A95,REVENDIDOS!X$16:X$25)</f>
        <v>128714.163931821</v>
      </c>
      <c r="R95" s="13" t="n">
        <f aca="false">SUMIF(MANUALES!$B$16:$B$69,$A95,MANUALES!X$16:X$69)+SUMIF(RODANTES!$B$16:$B$68,$A95,RODANTES!X$16:X$68)+SUMIF(RECARGAS!$B$16:$B$37,$A95,RECARGAS!AH$16:AH$37)+SUMIF(REVENDIDOS!$B$16:$B$25,$A95,REVENDIDOS!Y$16:Y$25)</f>
        <v>10726.1803276517</v>
      </c>
    </row>
    <row r="96" customFormat="false" ht="15" hidden="false" customHeight="false" outlineLevel="0" collapsed="false">
      <c r="A96" s="3" t="s">
        <v>521</v>
      </c>
      <c r="B96" s="3" t="s">
        <v>522</v>
      </c>
      <c r="C96" s="3" t="s">
        <v>214</v>
      </c>
      <c r="D96" s="13" t="n">
        <f aca="false">SUMIF(MANUALES!$B$16:$B$69,$A96,MANUALES!W$16:W$69)</f>
        <v>0</v>
      </c>
      <c r="E96" s="13" t="n">
        <f aca="false">SUMIF(RODANTES!$B$16:$B$68,$A96,RODANTES!W$16:W$68)</f>
        <v>0</v>
      </c>
      <c r="F96" s="13" t="n">
        <f aca="false">SUMIF(RECARGAS!$B$16:$B$37,$A96,RECARGAS!AG$16:AG$37)</f>
        <v>128714.163931821</v>
      </c>
      <c r="G96" s="13" t="n">
        <f aca="false">SUMIF(REVENDIDOS!$B$16:$B$25,$A96,REVENDIDOS!X$16:X$25)</f>
        <v>0</v>
      </c>
      <c r="H96" s="13" t="n">
        <f aca="false">SUMIF(MANUALES!$B$16:$B$69,$A96,MANUALES!N$16:N$69)+SUMIF(RODANTES!$B$16:$B$68,$A96,RODANTES!N$16:N$68)+SUMIF(RECARGAS!$B$16:$B$37,$A96,RECARGAS!X$16:X$37)+SUMIF(REVENDIDOS!$B$16:$B$25,$A96,REVENDIDOS!O$16:O$25)</f>
        <v>2366.54661956285</v>
      </c>
      <c r="I96" s="13" t="n">
        <f aca="false">SUMIF(MANUALES!$B$16:$B$69,$A96,MANUALES!O$16:O$69)+SUMIF(RODANTES!$B$16:$B$68,$A96,RODANTES!O$16:O$68)+SUMIF(RECARGAS!$B$16:$B$37,$A96,RECARGAS!Y$16:Y$37)+SUMIF(REVENDIDOS!$B$16:$B$25,$A96,REVENDIDOS!P$16:P$25)</f>
        <v>10613.3757102758</v>
      </c>
      <c r="J96" s="13" t="n">
        <f aca="false">SUMIF(MANUALES!$B$16:$B$69,$A96,MANUALES!P$16:P$69)+SUMIF(RODANTES!$B$16:$B$68,$A96,RODANTES!P$16:P$68)+SUMIF(RECARGAS!$B$16:$B$37,$A96,RECARGAS!Z$16:Z$37)+SUMIF(REVENDIDOS!$B$16:$B$25,$A96,REVENDIDOS!Q$16:Q$25)</f>
        <v>21280.0606332084</v>
      </c>
      <c r="K96" s="13" t="n">
        <f aca="false">SUMIF(MANUALES!$B$16:$B$69,$A96,MANUALES!Q$16:Q$69)+SUMIF(RODANTES!$B$16:$B$68,$A96,RODANTES!Q$16:Q$68)+SUMIF(RECARGAS!$B$16:$B$37,$A96,RECARGAS!AA$16:AA$37)+SUMIF(REVENDIDOS!$B$16:$B$25,$A96,REVENDIDOS!R$16:R$25)</f>
        <v>39473.00007357</v>
      </c>
      <c r="L96" s="13" t="n">
        <f aca="false">SUMIF(MANUALES!$B$16:$B$69,$A96,MANUALES!R$16:R$69)+SUMIF(RODANTES!$B$16:$B$68,$A96,RODANTES!R$16:R$68)+SUMIF(RECARGAS!$B$16:$B$37,$A96,RECARGAS!AB$16:AB$37)+SUMIF(REVENDIDOS!$B$16:$B$25,$A96,REVENDIDOS!S$16:S$25)</f>
        <v>58099.7039714177</v>
      </c>
      <c r="M96" s="13" t="n">
        <f aca="false">SUMIF(MANUALES!$B$16:$B$69,$A96,MANUALES!S$16:S$69)+SUMIF(RODANTES!$B$16:$B$68,$A96,RODANTES!S$16:S$68)+SUMIF(RECARGAS!$B$16:$B$37,$A96,RECARGAS!AC$16:AC$37)+SUMIF(REVENDIDOS!$B$16:$B$25,$A96,REVENDIDOS!T$16:T$25)</f>
        <v>79079.3679573944</v>
      </c>
      <c r="N96" s="13" t="n">
        <f aca="false">SUMIF(MANUALES!$B$16:$B$69,$A96,MANUALES!T$16:T$69)+SUMIF(RODANTES!$B$16:$B$68,$A96,RODANTES!T$16:T$68)+SUMIF(RECARGAS!$B$16:$B$37,$A96,RECARGAS!AD$16:AD$37)+SUMIF(REVENDIDOS!$B$16:$B$25,$A96,REVENDIDOS!U$16:U$25)</f>
        <v>98212.838096901</v>
      </c>
      <c r="O96" s="13" t="n">
        <f aca="false">SUMIF(MANUALES!$B$16:$B$69,$A96,MANUALES!U$16:U$69)+SUMIF(RODANTES!$B$16:$B$68,$A96,RODANTES!U$16:U$68)+SUMIF(RECARGAS!$B$16:$B$37,$A96,RECARGAS!AE$16:AE$37)+SUMIF(REVENDIDOS!$B$16:$B$25,$A96,REVENDIDOS!V$16:V$25)</f>
        <v>111652.929894414</v>
      </c>
      <c r="P96" s="13" t="n">
        <f aca="false">SUMIF(MANUALES!$B$16:$B$69,$A96,MANUALES!V$16:V$69)+SUMIF(RODANTES!$B$16:$B$68,$A96,RODANTES!V$16:V$68)+SUMIF(RECARGAS!$B$16:$B$37,$A96,RECARGAS!AF$16:AF$37)+SUMIF(REVENDIDOS!$B$16:$B$25,$A96,REVENDIDOS!W$16:W$25)</f>
        <v>120095.124572245</v>
      </c>
      <c r="Q96" s="13" t="n">
        <f aca="false">SUMIF(MANUALES!$B$16:$B$69,$A96,MANUALES!W$16:W$69)+SUMIF(RODANTES!$B$16:$B$68,$A96,RODANTES!W$16:W$68)+SUMIF(RECARGAS!$B$16:$B$37,$A96,RECARGAS!AG$16:AG$37)+SUMIF(REVENDIDOS!$B$16:$B$25,$A96,REVENDIDOS!X$16:X$25)</f>
        <v>128714.163931821</v>
      </c>
      <c r="R96" s="13" t="n">
        <f aca="false">SUMIF(MANUALES!$B$16:$B$69,$A96,MANUALES!X$16:X$69)+SUMIF(RODANTES!$B$16:$B$68,$A96,RODANTES!X$16:X$68)+SUMIF(RECARGAS!$B$16:$B$37,$A96,RECARGAS!AH$16:AH$37)+SUMIF(REVENDIDOS!$B$16:$B$25,$A96,REVENDIDOS!Y$16:Y$25)</f>
        <v>10726.1803276517</v>
      </c>
    </row>
    <row r="97" customFormat="false" ht="15" hidden="false" customHeight="false" outlineLevel="0" collapsed="false">
      <c r="A97" s="3" t="s">
        <v>524</v>
      </c>
      <c r="B97" s="3" t="s">
        <v>525</v>
      </c>
      <c r="C97" s="3" t="s">
        <v>214</v>
      </c>
      <c r="D97" s="13" t="n">
        <f aca="false">SUMIF(MANUALES!$B$16:$B$69,$A97,MANUALES!W$16:W$69)</f>
        <v>0</v>
      </c>
      <c r="E97" s="13" t="n">
        <f aca="false">SUMIF(RODANTES!$B$16:$B$68,$A97,RODANTES!W$16:W$68)</f>
        <v>0</v>
      </c>
      <c r="F97" s="13" t="n">
        <f aca="false">SUMIF(RECARGAS!$B$16:$B$37,$A97,RECARGAS!AG$16:AG$37)</f>
        <v>102002.308194588</v>
      </c>
      <c r="G97" s="13" t="n">
        <f aca="false">SUMIF(REVENDIDOS!$B$16:$B$25,$A97,REVENDIDOS!X$16:X$25)</f>
        <v>0</v>
      </c>
      <c r="H97" s="13" t="n">
        <f aca="false">SUMIF(MANUALES!$B$16:$B$69,$A97,MANUALES!N$16:N$69)+SUMIF(RODANTES!$B$16:$B$68,$A97,RODANTES!N$16:N$68)+SUMIF(RECARGAS!$B$16:$B$37,$A97,RECARGAS!X$16:X$37)+SUMIF(REVENDIDOS!$B$16:$B$25,$A97,REVENDIDOS!O$16:O$25)</f>
        <v>1865.91573787574</v>
      </c>
      <c r="I97" s="13" t="n">
        <f aca="false">SUMIF(MANUALES!$B$16:$B$69,$A97,MANUALES!O$16:O$69)+SUMIF(RODANTES!$B$16:$B$68,$A97,RODANTES!O$16:O$68)+SUMIF(RECARGAS!$B$16:$B$37,$A97,RECARGAS!Y$16:Y$37)+SUMIF(REVENDIDOS!$B$16:$B$25,$A97,REVENDIDOS!P$16:P$25)</f>
        <v>8375.98105162818</v>
      </c>
      <c r="J97" s="13" t="n">
        <f aca="false">SUMIF(MANUALES!$B$16:$B$69,$A97,MANUALES!P$16:P$69)+SUMIF(RODANTES!$B$16:$B$68,$A97,RODANTES!P$16:P$68)+SUMIF(RECARGAS!$B$16:$B$37,$A97,RECARGAS!Z$16:Z$37)+SUMIF(REVENDIDOS!$B$16:$B$25,$A97,REVENDIDOS!Q$16:Q$25)</f>
        <v>16808.6193760597</v>
      </c>
      <c r="K97" s="13" t="n">
        <f aca="false">SUMIF(MANUALES!$B$16:$B$69,$A97,MANUALES!Q$16:Q$69)+SUMIF(RODANTES!$B$16:$B$68,$A97,RODANTES!Q$16:Q$68)+SUMIF(RECARGAS!$B$16:$B$37,$A97,RECARGAS!AA$16:AA$37)+SUMIF(REVENDIDOS!$B$16:$B$25,$A97,REVENDIDOS!R$16:R$25)</f>
        <v>31203.653678813</v>
      </c>
      <c r="L97" s="13" t="n">
        <f aca="false">SUMIF(MANUALES!$B$16:$B$69,$A97,MANUALES!R$16:R$69)+SUMIF(RODANTES!$B$16:$B$68,$A97,RODANTES!R$16:R$68)+SUMIF(RECARGAS!$B$16:$B$37,$A97,RECARGAS!AB$16:AB$37)+SUMIF(REVENDIDOS!$B$16:$B$25,$A97,REVENDIDOS!S$16:S$25)</f>
        <v>45960.8334086225</v>
      </c>
      <c r="M97" s="13" t="n">
        <f aca="false">SUMIF(MANUALES!$B$16:$B$69,$A97,MANUALES!S$16:S$69)+SUMIF(RODANTES!$B$16:$B$68,$A97,RODANTES!S$16:S$68)+SUMIF(RECARGAS!$B$16:$B$37,$A97,RECARGAS!AC$16:AC$37)+SUMIF(REVENDIDOS!$B$16:$B$25,$A97,REVENDIDOS!T$16:T$25)</f>
        <v>62595.7484370389</v>
      </c>
      <c r="N97" s="13" t="n">
        <f aca="false">SUMIF(MANUALES!$B$16:$B$69,$A97,MANUALES!T$16:T$69)+SUMIF(RODANTES!$B$16:$B$68,$A97,RODANTES!T$16:T$68)+SUMIF(RECARGAS!$B$16:$B$37,$A97,RECARGAS!AD$16:AD$37)+SUMIF(REVENDIDOS!$B$16:$B$25,$A97,REVENDIDOS!U$16:U$25)</f>
        <v>77780.1057959486</v>
      </c>
      <c r="O97" s="13" t="n">
        <f aca="false">SUMIF(MANUALES!$B$16:$B$69,$A97,MANUALES!U$16:U$69)+SUMIF(RODANTES!$B$16:$B$68,$A97,RODANTES!U$16:U$68)+SUMIF(RECARGAS!$B$16:$B$37,$A97,RECARGAS!AE$16:AE$37)+SUMIF(REVENDIDOS!$B$16:$B$25,$A97,REVENDIDOS!V$16:V$25)</f>
        <v>88457.2391859871</v>
      </c>
      <c r="P97" s="13" t="n">
        <f aca="false">SUMIF(MANUALES!$B$16:$B$69,$A97,MANUALES!V$16:V$69)+SUMIF(RODANTES!$B$16:$B$68,$A97,RODANTES!V$16:V$68)+SUMIF(RECARGAS!$B$16:$B$37,$A97,RECARGAS!AF$16:AF$37)+SUMIF(REVENDIDOS!$B$16:$B$25,$A97,REVENDIDOS!W$16:W$25)</f>
        <v>95167.0587660899</v>
      </c>
      <c r="Q97" s="13" t="n">
        <f aca="false">SUMIF(MANUALES!$B$16:$B$69,$A97,MANUALES!W$16:W$69)+SUMIF(RODANTES!$B$16:$B$68,$A97,RODANTES!W$16:W$68)+SUMIF(RECARGAS!$B$16:$B$37,$A97,RECARGAS!AG$16:AG$37)+SUMIF(REVENDIDOS!$B$16:$B$25,$A97,REVENDIDOS!X$16:X$25)</f>
        <v>102002.308194588</v>
      </c>
      <c r="R97" s="13" t="n">
        <f aca="false">SUMIF(MANUALES!$B$16:$B$69,$A97,MANUALES!X$16:X$69)+SUMIF(RODANTES!$B$16:$B$68,$A97,RODANTES!X$16:X$68)+SUMIF(RECARGAS!$B$16:$B$37,$A97,RECARGAS!AH$16:AH$37)+SUMIF(REVENDIDOS!$B$16:$B$25,$A97,REVENDIDOS!Y$16:Y$25)</f>
        <v>8500.19234954897</v>
      </c>
    </row>
    <row r="98" customFormat="false" ht="15" hidden="false" customHeight="false" outlineLevel="0" collapsed="false">
      <c r="A98" s="3" t="s">
        <v>527</v>
      </c>
      <c r="B98" s="3" t="s">
        <v>528</v>
      </c>
      <c r="C98" s="3" t="s">
        <v>214</v>
      </c>
      <c r="D98" s="13" t="n">
        <f aca="false">SUMIF(MANUALES!$B$16:$B$69,$A98,MANUALES!W$16:W$69)</f>
        <v>0</v>
      </c>
      <c r="E98" s="13" t="n">
        <f aca="false">SUMIF(RODANTES!$B$16:$B$68,$A98,RODANTES!W$16:W$68)</f>
        <v>0</v>
      </c>
      <c r="F98" s="13" t="n">
        <f aca="false">SUMIF(RECARGAS!$B$16:$B$37,$A98,RECARGAS!AG$16:AG$37)</f>
        <v>102002.308194588</v>
      </c>
      <c r="G98" s="13" t="n">
        <f aca="false">SUMIF(REVENDIDOS!$B$16:$B$25,$A98,REVENDIDOS!X$16:X$25)</f>
        <v>0</v>
      </c>
      <c r="H98" s="13" t="n">
        <f aca="false">SUMIF(MANUALES!$B$16:$B$69,$A98,MANUALES!N$16:N$69)+SUMIF(RODANTES!$B$16:$B$68,$A98,RODANTES!N$16:N$68)+SUMIF(RECARGAS!$B$16:$B$37,$A98,RECARGAS!X$16:X$37)+SUMIF(REVENDIDOS!$B$16:$B$25,$A98,REVENDIDOS!O$16:O$25)</f>
        <v>1865.91573787574</v>
      </c>
      <c r="I98" s="13" t="n">
        <f aca="false">SUMIF(MANUALES!$B$16:$B$69,$A98,MANUALES!O$16:O$69)+SUMIF(RODANTES!$B$16:$B$68,$A98,RODANTES!O$16:O$68)+SUMIF(RECARGAS!$B$16:$B$37,$A98,RECARGAS!Y$16:Y$37)+SUMIF(REVENDIDOS!$B$16:$B$25,$A98,REVENDIDOS!P$16:P$25)</f>
        <v>8375.98105162818</v>
      </c>
      <c r="J98" s="13" t="n">
        <f aca="false">SUMIF(MANUALES!$B$16:$B$69,$A98,MANUALES!P$16:P$69)+SUMIF(RODANTES!$B$16:$B$68,$A98,RODANTES!P$16:P$68)+SUMIF(RECARGAS!$B$16:$B$37,$A98,RECARGAS!Z$16:Z$37)+SUMIF(REVENDIDOS!$B$16:$B$25,$A98,REVENDIDOS!Q$16:Q$25)</f>
        <v>16808.6193760597</v>
      </c>
      <c r="K98" s="13" t="n">
        <f aca="false">SUMIF(MANUALES!$B$16:$B$69,$A98,MANUALES!Q$16:Q$69)+SUMIF(RODANTES!$B$16:$B$68,$A98,RODANTES!Q$16:Q$68)+SUMIF(RECARGAS!$B$16:$B$37,$A98,RECARGAS!AA$16:AA$37)+SUMIF(REVENDIDOS!$B$16:$B$25,$A98,REVENDIDOS!R$16:R$25)</f>
        <v>31203.653678813</v>
      </c>
      <c r="L98" s="13" t="n">
        <f aca="false">SUMIF(MANUALES!$B$16:$B$69,$A98,MANUALES!R$16:R$69)+SUMIF(RODANTES!$B$16:$B$68,$A98,RODANTES!R$16:R$68)+SUMIF(RECARGAS!$B$16:$B$37,$A98,RECARGAS!AB$16:AB$37)+SUMIF(REVENDIDOS!$B$16:$B$25,$A98,REVENDIDOS!S$16:S$25)</f>
        <v>45960.8334086225</v>
      </c>
      <c r="M98" s="13" t="n">
        <f aca="false">SUMIF(MANUALES!$B$16:$B$69,$A98,MANUALES!S$16:S$69)+SUMIF(RODANTES!$B$16:$B$68,$A98,RODANTES!S$16:S$68)+SUMIF(RECARGAS!$B$16:$B$37,$A98,RECARGAS!AC$16:AC$37)+SUMIF(REVENDIDOS!$B$16:$B$25,$A98,REVENDIDOS!T$16:T$25)</f>
        <v>62595.7484370389</v>
      </c>
      <c r="N98" s="13" t="n">
        <f aca="false">SUMIF(MANUALES!$B$16:$B$69,$A98,MANUALES!T$16:T$69)+SUMIF(RODANTES!$B$16:$B$68,$A98,RODANTES!T$16:T$68)+SUMIF(RECARGAS!$B$16:$B$37,$A98,RECARGAS!AD$16:AD$37)+SUMIF(REVENDIDOS!$B$16:$B$25,$A98,REVENDIDOS!U$16:U$25)</f>
        <v>77780.1057959486</v>
      </c>
      <c r="O98" s="13" t="n">
        <f aca="false">SUMIF(MANUALES!$B$16:$B$69,$A98,MANUALES!U$16:U$69)+SUMIF(RODANTES!$B$16:$B$68,$A98,RODANTES!U$16:U$68)+SUMIF(RECARGAS!$B$16:$B$37,$A98,RECARGAS!AE$16:AE$37)+SUMIF(REVENDIDOS!$B$16:$B$25,$A98,REVENDIDOS!V$16:V$25)</f>
        <v>88457.2391859871</v>
      </c>
      <c r="P98" s="13" t="n">
        <f aca="false">SUMIF(MANUALES!$B$16:$B$69,$A98,MANUALES!V$16:V$69)+SUMIF(RODANTES!$B$16:$B$68,$A98,RODANTES!V$16:V$68)+SUMIF(RECARGAS!$B$16:$B$37,$A98,RECARGAS!AF$16:AF$37)+SUMIF(REVENDIDOS!$B$16:$B$25,$A98,REVENDIDOS!W$16:W$25)</f>
        <v>95167.0587660899</v>
      </c>
      <c r="Q98" s="13" t="n">
        <f aca="false">SUMIF(MANUALES!$B$16:$B$69,$A98,MANUALES!W$16:W$69)+SUMIF(RODANTES!$B$16:$B$68,$A98,RODANTES!W$16:W$68)+SUMIF(RECARGAS!$B$16:$B$37,$A98,RECARGAS!AG$16:AG$37)+SUMIF(REVENDIDOS!$B$16:$B$25,$A98,REVENDIDOS!X$16:X$25)</f>
        <v>102002.308194588</v>
      </c>
      <c r="R98" s="13" t="n">
        <f aca="false">SUMIF(MANUALES!$B$16:$B$69,$A98,MANUALES!X$16:X$69)+SUMIF(RODANTES!$B$16:$B$68,$A98,RODANTES!X$16:X$68)+SUMIF(RECARGAS!$B$16:$B$37,$A98,RECARGAS!AH$16:AH$37)+SUMIF(REVENDIDOS!$B$16:$B$25,$A98,REVENDIDOS!Y$16:Y$25)</f>
        <v>8500.19234954897</v>
      </c>
    </row>
    <row r="99" customFormat="false" ht="15" hidden="false" customHeight="false" outlineLevel="0" collapsed="false">
      <c r="A99" s="3" t="s">
        <v>534</v>
      </c>
      <c r="B99" s="3" t="s">
        <v>535</v>
      </c>
      <c r="C99" s="3" t="s">
        <v>214</v>
      </c>
      <c r="D99" s="13" t="n">
        <f aca="false">SUMIF(MANUALES!$B$16:$B$69,$A99,MANUALES!W$16:W$69)</f>
        <v>0</v>
      </c>
      <c r="E99" s="13" t="n">
        <f aca="false">SUMIF(RODANTES!$B$16:$B$68,$A99,RODANTES!W$16:W$68)</f>
        <v>0</v>
      </c>
      <c r="F99" s="13" t="n">
        <f aca="false">SUMIF(RECARGAS!$B$16:$B$37,$A99,RECARGAS!AG$16:AG$37)</f>
        <v>154.538887605872</v>
      </c>
      <c r="G99" s="13" t="n">
        <f aca="false">SUMIF(REVENDIDOS!$B$16:$B$25,$A99,REVENDIDOS!X$16:X$25)</f>
        <v>0</v>
      </c>
      <c r="H99" s="13" t="n">
        <f aca="false">SUMIF(MANUALES!$B$16:$B$69,$A99,MANUALES!N$16:N$69)+SUMIF(RODANTES!$B$16:$B$68,$A99,RODANTES!N$16:N$68)+SUMIF(RECARGAS!$B$16:$B$37,$A99,RECARGAS!X$16:X$37)+SUMIF(REVENDIDOS!$B$16:$B$25,$A99,REVENDIDOS!O$16:O$25)</f>
        <v>28.076190946453</v>
      </c>
      <c r="I99" s="13" t="n">
        <f aca="false">SUMIF(MANUALES!$B$16:$B$69,$A99,MANUALES!O$16:O$69)+SUMIF(RODANTES!$B$16:$B$68,$A99,RODANTES!O$16:O$68)+SUMIF(RECARGAS!$B$16:$B$37,$A99,RECARGAS!Y$16:Y$37)+SUMIF(REVENDIDOS!$B$16:$B$25,$A99,REVENDIDOS!P$16:P$25)</f>
        <v>87.9891845827654</v>
      </c>
      <c r="J99" s="13" t="n">
        <f aca="false">SUMIF(MANUALES!$B$16:$B$69,$A99,MANUALES!P$16:P$69)+SUMIF(RODANTES!$B$16:$B$68,$A99,RODANTES!P$16:P$68)+SUMIF(RECARGAS!$B$16:$B$37,$A99,RECARGAS!Z$16:Z$37)+SUMIF(REVENDIDOS!$B$16:$B$25,$A99,REVENDIDOS!Q$16:Q$25)</f>
        <v>119.603432134728</v>
      </c>
      <c r="K99" s="13" t="n">
        <f aca="false">SUMIF(MANUALES!$B$16:$B$69,$A99,MANUALES!Q$16:Q$69)+SUMIF(RODANTES!$B$16:$B$68,$A99,RODANTES!Q$16:Q$68)+SUMIF(RECARGAS!$B$16:$B$37,$A99,RECARGAS!AA$16:AA$37)+SUMIF(REVENDIDOS!$B$16:$B$25,$A99,REVENDIDOS!R$16:R$25)</f>
        <v>205.241521041458</v>
      </c>
      <c r="L99" s="13" t="n">
        <f aca="false">SUMIF(MANUALES!$B$16:$B$69,$A99,MANUALES!R$16:R$69)+SUMIF(RODANTES!$B$16:$B$68,$A99,RODANTES!R$16:R$68)+SUMIF(RECARGAS!$B$16:$B$37,$A99,RECARGAS!AB$16:AB$37)+SUMIF(REVENDIDOS!$B$16:$B$25,$A99,REVENDIDOS!S$16:S$25)</f>
        <v>219.793205373461</v>
      </c>
      <c r="M99" s="13" t="n">
        <f aca="false">SUMIF(MANUALES!$B$16:$B$69,$A99,MANUALES!S$16:S$69)+SUMIF(RODANTES!$B$16:$B$68,$A99,RODANTES!S$16:S$68)+SUMIF(RECARGAS!$B$16:$B$37,$A99,RECARGAS!AC$16:AC$37)+SUMIF(REVENDIDOS!$B$16:$B$25,$A99,REVENDIDOS!T$16:T$25)</f>
        <v>254.140886951277</v>
      </c>
      <c r="N99" s="13" t="n">
        <f aca="false">SUMIF(MANUALES!$B$16:$B$69,$A99,MANUALES!T$16:T$69)+SUMIF(RODANTES!$B$16:$B$68,$A99,RODANTES!T$16:T$68)+SUMIF(RECARGAS!$B$16:$B$37,$A99,RECARGAS!AD$16:AD$37)+SUMIF(REVENDIDOS!$B$16:$B$25,$A99,REVENDIDOS!U$16:U$25)</f>
        <v>244.496829480615</v>
      </c>
      <c r="O99" s="13" t="n">
        <f aca="false">SUMIF(MANUALES!$B$16:$B$69,$A99,MANUALES!U$16:U$69)+SUMIF(RODANTES!$B$16:$B$68,$A99,RODANTES!U$16:U$68)+SUMIF(RECARGAS!$B$16:$B$37,$A99,RECARGAS!AE$16:AE$37)+SUMIF(REVENDIDOS!$B$16:$B$25,$A99,REVENDIDOS!V$16:V$25)</f>
        <v>194.478981190064</v>
      </c>
      <c r="P99" s="13" t="n">
        <f aca="false">SUMIF(MANUALES!$B$16:$B$69,$A99,MANUALES!V$16:V$69)+SUMIF(RODANTES!$B$16:$B$68,$A99,RODANTES!V$16:V$68)+SUMIF(RECARGAS!$B$16:$B$37,$A99,RECARGAS!AF$16:AF$37)+SUMIF(REVENDIDOS!$B$16:$B$25,$A99,REVENDIDOS!W$16:W$25)</f>
        <v>148.763866204661</v>
      </c>
      <c r="Q99" s="13" t="n">
        <f aca="false">SUMIF(MANUALES!$B$16:$B$69,$A99,MANUALES!W$16:W$69)+SUMIF(RODANTES!$B$16:$B$68,$A99,RODANTES!W$16:W$68)+SUMIF(RECARGAS!$B$16:$B$37,$A99,RECARGAS!AG$16:AG$37)+SUMIF(REVENDIDOS!$B$16:$B$25,$A99,REVENDIDOS!X$16:X$25)</f>
        <v>154.538887605872</v>
      </c>
      <c r="R99" s="13" t="n">
        <f aca="false">SUMIF(MANUALES!$B$16:$B$69,$A99,MANUALES!X$16:X$69)+SUMIF(RODANTES!$B$16:$B$68,$A99,RODANTES!X$16:X$68)+SUMIF(RECARGAS!$B$16:$B$37,$A99,RECARGAS!AH$16:AH$37)+SUMIF(REVENDIDOS!$B$16:$B$25,$A99,REVENDIDOS!Y$16:Y$25)</f>
        <v>12.8782406338227</v>
      </c>
    </row>
    <row r="100" customFormat="false" ht="15" hidden="false" customHeight="false" outlineLevel="0" collapsed="false">
      <c r="A100" s="3" t="s">
        <v>537</v>
      </c>
      <c r="B100" s="3" t="s">
        <v>538</v>
      </c>
      <c r="C100" s="3" t="s">
        <v>214</v>
      </c>
      <c r="D100" s="13" t="n">
        <f aca="false">SUMIF(MANUALES!$B$16:$B$69,$A100,MANUALES!W$16:W$69)</f>
        <v>0</v>
      </c>
      <c r="E100" s="13" t="n">
        <f aca="false">SUMIF(RODANTES!$B$16:$B$68,$A100,RODANTES!W$16:W$68)</f>
        <v>0</v>
      </c>
      <c r="F100" s="13" t="n">
        <f aca="false">SUMIF(RECARGAS!$B$16:$B$37,$A100,RECARGAS!AG$16:AG$37)</f>
        <v>122.467666029146</v>
      </c>
      <c r="G100" s="13" t="n">
        <f aca="false">SUMIF(REVENDIDOS!$B$16:$B$25,$A100,REVENDIDOS!X$16:X$25)</f>
        <v>0</v>
      </c>
      <c r="H100" s="13" t="n">
        <f aca="false">SUMIF(MANUALES!$B$16:$B$69,$A100,MANUALES!N$16:N$69)+SUMIF(RODANTES!$B$16:$B$68,$A100,RODANTES!N$16:N$68)+SUMIF(RECARGAS!$B$16:$B$37,$A100,RECARGAS!X$16:X$37)+SUMIF(REVENDIDOS!$B$16:$B$25,$A100,REVENDIDOS!O$16:O$25)</f>
        <v>22.1368157776955</v>
      </c>
      <c r="I100" s="13" t="n">
        <f aca="false">SUMIF(MANUALES!$B$16:$B$69,$A100,MANUALES!O$16:O$69)+SUMIF(RODANTES!$B$16:$B$68,$A100,RODANTES!O$16:O$68)+SUMIF(RECARGAS!$B$16:$B$37,$A100,RECARGAS!Y$16:Y$37)+SUMIF(REVENDIDOS!$B$16:$B$25,$A100,REVENDIDOS!P$16:P$25)</f>
        <v>69.4402763957469</v>
      </c>
      <c r="J100" s="13" t="n">
        <f aca="false">SUMIF(MANUALES!$B$16:$B$69,$A100,MANUALES!P$16:P$69)+SUMIF(RODANTES!$B$16:$B$68,$A100,RODANTES!P$16:P$68)+SUMIF(RECARGAS!$B$16:$B$37,$A100,RECARGAS!Z$16:Z$37)+SUMIF(REVENDIDOS!$B$16:$B$25,$A100,REVENDIDOS!Q$16:Q$25)</f>
        <v>94.4719379081919</v>
      </c>
      <c r="K100" s="13" t="n">
        <f aca="false">SUMIF(MANUALES!$B$16:$B$69,$A100,MANUALES!Q$16:Q$69)+SUMIF(RODANTES!$B$16:$B$68,$A100,RODANTES!Q$16:Q$68)+SUMIF(RECARGAS!$B$16:$B$37,$A100,RECARGAS!AA$16:AA$37)+SUMIF(REVENDIDOS!$B$16:$B$25,$A100,REVENDIDOS!R$16:R$25)</f>
        <v>162.244707297498</v>
      </c>
      <c r="L100" s="13" t="n">
        <f aca="false">SUMIF(MANUALES!$B$16:$B$69,$A100,MANUALES!R$16:R$69)+SUMIF(RODANTES!$B$16:$B$68,$A100,RODANTES!R$16:R$68)+SUMIF(RECARGAS!$B$16:$B$37,$A100,RECARGAS!AB$16:AB$37)+SUMIF(REVENDIDOS!$B$16:$B$25,$A100,REVENDIDOS!S$16:S$25)</f>
        <v>173.871434895545</v>
      </c>
      <c r="M100" s="13" t="n">
        <f aca="false">SUMIF(MANUALES!$B$16:$B$69,$A100,MANUALES!S$16:S$69)+SUMIF(RODANTES!$B$16:$B$68,$A100,RODANTES!S$16:S$68)+SUMIF(RECARGAS!$B$16:$B$37,$A100,RECARGAS!AC$16:AC$37)+SUMIF(REVENDIDOS!$B$16:$B$25,$A100,REVENDIDOS!T$16:T$25)</f>
        <v>201.166744728396</v>
      </c>
      <c r="N100" s="13" t="n">
        <f aca="false">SUMIF(MANUALES!$B$16:$B$69,$A100,MANUALES!T$16:T$69)+SUMIF(RODANTES!$B$16:$B$68,$A100,RODANTES!T$16:T$68)+SUMIF(RECARGAS!$B$16:$B$37,$A100,RECARGAS!AD$16:AD$37)+SUMIF(REVENDIDOS!$B$16:$B$25,$A100,REVENDIDOS!U$16:U$25)</f>
        <v>193.630381040544</v>
      </c>
      <c r="O100" s="13" t="n">
        <f aca="false">SUMIF(MANUALES!$B$16:$B$69,$A100,MANUALES!U$16:U$69)+SUMIF(RODANTES!$B$16:$B$68,$A100,RODANTES!U$16:U$68)+SUMIF(RECARGAS!$B$16:$B$37,$A100,RECARGAS!AE$16:AE$37)+SUMIF(REVENDIDOS!$B$16:$B$25,$A100,REVENDIDOS!V$16:V$25)</f>
        <v>154.076330751418</v>
      </c>
      <c r="P100" s="13" t="n">
        <f aca="false">SUMIF(MANUALES!$B$16:$B$69,$A100,MANUALES!V$16:V$69)+SUMIF(RODANTES!$B$16:$B$68,$A100,RODANTES!V$16:V$68)+SUMIF(RECARGAS!$B$16:$B$37,$A100,RECARGAS!AF$16:AF$37)+SUMIF(REVENDIDOS!$B$16:$B$25,$A100,REVENDIDOS!W$16:W$25)</f>
        <v>117.885048604559</v>
      </c>
      <c r="Q100" s="13" t="n">
        <f aca="false">SUMIF(MANUALES!$B$16:$B$69,$A100,MANUALES!W$16:W$69)+SUMIF(RODANTES!$B$16:$B$68,$A100,RODANTES!W$16:W$68)+SUMIF(RECARGAS!$B$16:$B$37,$A100,RECARGAS!AG$16:AG$37)+SUMIF(REVENDIDOS!$B$16:$B$25,$A100,REVENDIDOS!X$16:X$25)</f>
        <v>122.467666029146</v>
      </c>
      <c r="R100" s="13" t="n">
        <f aca="false">SUMIF(MANUALES!$B$16:$B$69,$A100,MANUALES!X$16:X$69)+SUMIF(RODANTES!$B$16:$B$68,$A100,RODANTES!X$16:X$68)+SUMIF(RECARGAS!$B$16:$B$37,$A100,RECARGAS!AH$16:AH$37)+SUMIF(REVENDIDOS!$B$16:$B$25,$A100,REVENDIDOS!Y$16:Y$25)</f>
        <v>10.2056388357621</v>
      </c>
    </row>
    <row r="101" customFormat="false" ht="15" hidden="false" customHeight="false" outlineLevel="0" collapsed="false">
      <c r="A101" s="3" t="s">
        <v>540</v>
      </c>
      <c r="B101" s="3" t="s">
        <v>541</v>
      </c>
      <c r="C101" s="3" t="s">
        <v>214</v>
      </c>
      <c r="D101" s="13" t="n">
        <f aca="false">SUMIF(MANUALES!$B$16:$B$69,$A101,MANUALES!W$16:W$69)</f>
        <v>0</v>
      </c>
      <c r="E101" s="13" t="n">
        <f aca="false">SUMIF(RODANTES!$B$16:$B$68,$A101,RODANTES!W$16:W$68)</f>
        <v>0</v>
      </c>
      <c r="F101" s="13" t="n">
        <f aca="false">SUMIF(RECARGAS!$B$16:$B$37,$A101,RECARGAS!AG$16:AG$37)</f>
        <v>32.0712215767269</v>
      </c>
      <c r="G101" s="13" t="n">
        <f aca="false">SUMIF(REVENDIDOS!$B$16:$B$25,$A101,REVENDIDOS!X$16:X$25)</f>
        <v>0</v>
      </c>
      <c r="H101" s="13" t="n">
        <f aca="false">SUMIF(MANUALES!$B$16:$B$69,$A101,MANUALES!N$16:N$69)+SUMIF(RODANTES!$B$16:$B$68,$A101,RODANTES!N$16:N$68)+SUMIF(RECARGAS!$B$16:$B$37,$A101,RECARGAS!X$16:X$37)+SUMIF(REVENDIDOS!$B$16:$B$25,$A101,REVENDIDOS!O$16:O$25)</f>
        <v>5.93937516875742</v>
      </c>
      <c r="I101" s="13" t="n">
        <f aca="false">SUMIF(MANUALES!$B$16:$B$69,$A101,MANUALES!O$16:O$69)+SUMIF(RODANTES!$B$16:$B$68,$A101,RODANTES!O$16:O$68)+SUMIF(RECARGAS!$B$16:$B$37,$A101,RECARGAS!Y$16:Y$37)+SUMIF(REVENDIDOS!$B$16:$B$25,$A101,REVENDIDOS!P$16:P$25)</f>
        <v>18.5489081870185</v>
      </c>
      <c r="J101" s="13" t="n">
        <f aca="false">SUMIF(MANUALES!$B$16:$B$69,$A101,MANUALES!P$16:P$69)+SUMIF(RODANTES!$B$16:$B$68,$A101,RODANTES!P$16:P$68)+SUMIF(RECARGAS!$B$16:$B$37,$A101,RECARGAS!Z$16:Z$37)+SUMIF(REVENDIDOS!$B$16:$B$25,$A101,REVENDIDOS!Q$16:Q$25)</f>
        <v>25.1314942265357</v>
      </c>
      <c r="K101" s="13" t="n">
        <f aca="false">SUMIF(MANUALES!$B$16:$B$69,$A101,MANUALES!Q$16:Q$69)+SUMIF(RODANTES!$B$16:$B$68,$A101,RODANTES!Q$16:Q$68)+SUMIF(RECARGAS!$B$16:$B$37,$A101,RECARGAS!AA$16:AA$37)+SUMIF(REVENDIDOS!$B$16:$B$25,$A101,REVENDIDOS!R$16:R$25)</f>
        <v>42.99681374396</v>
      </c>
      <c r="L101" s="13" t="n">
        <f aca="false">SUMIF(MANUALES!$B$16:$B$69,$A101,MANUALES!R$16:R$69)+SUMIF(RODANTES!$B$16:$B$68,$A101,RODANTES!R$16:R$68)+SUMIF(RECARGAS!$B$16:$B$37,$A101,RECARGAS!AB$16:AB$37)+SUMIF(REVENDIDOS!$B$16:$B$25,$A101,REVENDIDOS!S$16:S$25)</f>
        <v>45.921770477916</v>
      </c>
      <c r="M101" s="13" t="n">
        <f aca="false">SUMIF(MANUALES!$B$16:$B$69,$A101,MANUALES!S$16:S$69)+SUMIF(RODANTES!$B$16:$B$68,$A101,RODANTES!S$16:S$68)+SUMIF(RECARGAS!$B$16:$B$37,$A101,RECARGAS!AC$16:AC$37)+SUMIF(REVENDIDOS!$B$16:$B$25,$A101,REVENDIDOS!T$16:T$25)</f>
        <v>52.9741422228807</v>
      </c>
      <c r="N101" s="13" t="n">
        <f aca="false">SUMIF(MANUALES!$B$16:$B$69,$A101,MANUALES!T$16:T$69)+SUMIF(RODANTES!$B$16:$B$68,$A101,RODANTES!T$16:T$68)+SUMIF(RECARGAS!$B$16:$B$37,$A101,RECARGAS!AD$16:AD$37)+SUMIF(REVENDIDOS!$B$16:$B$25,$A101,REVENDIDOS!U$16:U$25)</f>
        <v>50.8664484400704</v>
      </c>
      <c r="O101" s="13" t="n">
        <f aca="false">SUMIF(MANUALES!$B$16:$B$69,$A101,MANUALES!U$16:U$69)+SUMIF(RODANTES!$B$16:$B$68,$A101,RODANTES!U$16:U$68)+SUMIF(RECARGAS!$B$16:$B$37,$A101,RECARGAS!AE$16:AE$37)+SUMIF(REVENDIDOS!$B$16:$B$25,$A101,REVENDIDOS!V$16:V$25)</f>
        <v>40.4026504386465</v>
      </c>
      <c r="P101" s="13" t="n">
        <f aca="false">SUMIF(MANUALES!$B$16:$B$69,$A101,MANUALES!V$16:V$69)+SUMIF(RODANTES!$B$16:$B$68,$A101,RODANTES!V$16:V$68)+SUMIF(RECARGAS!$B$16:$B$37,$A101,RECARGAS!AF$16:AF$37)+SUMIF(REVENDIDOS!$B$16:$B$25,$A101,REVENDIDOS!W$16:W$25)</f>
        <v>30.8788176001016</v>
      </c>
      <c r="Q101" s="13" t="n">
        <f aca="false">SUMIF(MANUALES!$B$16:$B$69,$A101,MANUALES!W$16:W$69)+SUMIF(RODANTES!$B$16:$B$68,$A101,RODANTES!W$16:W$68)+SUMIF(RECARGAS!$B$16:$B$37,$A101,RECARGAS!AG$16:AG$37)+SUMIF(REVENDIDOS!$B$16:$B$25,$A101,REVENDIDOS!X$16:X$25)</f>
        <v>32.0712215767269</v>
      </c>
      <c r="R101" s="13" t="n">
        <f aca="false">SUMIF(MANUALES!$B$16:$B$69,$A101,MANUALES!X$16:X$69)+SUMIF(RODANTES!$B$16:$B$68,$A101,RODANTES!X$16:X$68)+SUMIF(RECARGAS!$B$16:$B$37,$A101,RECARGAS!AH$16:AH$37)+SUMIF(REVENDIDOS!$B$16:$B$25,$A101,REVENDIDOS!Y$16:Y$25)</f>
        <v>2.67260179806057</v>
      </c>
    </row>
    <row r="102" customFormat="false" ht="15" hidden="false" customHeight="false" outlineLevel="0" collapsed="false">
      <c r="A102" s="3" t="s">
        <v>531</v>
      </c>
      <c r="B102" s="3" t="s">
        <v>532</v>
      </c>
      <c r="C102" s="3" t="s">
        <v>503</v>
      </c>
      <c r="D102" s="13" t="n">
        <f aca="false">SUMIF(MANUALES!$B$16:$B$69,$A102,MANUALES!W$16:W$69)</f>
        <v>0</v>
      </c>
      <c r="E102" s="13" t="n">
        <f aca="false">SUMIF(RODANTES!$B$16:$B$68,$A102,RODANTES!W$16:W$68)</f>
        <v>0</v>
      </c>
      <c r="F102" s="13" t="n">
        <f aca="false">SUMIF(RECARGAS!$B$16:$B$37,$A102,RECARGAS!AG$16:AG$37)</f>
        <v>332.354015156375</v>
      </c>
      <c r="G102" s="13" t="n">
        <f aca="false">SUMIF(REVENDIDOS!$B$16:$B$25,$A102,REVENDIDOS!X$16:X$25)</f>
        <v>0</v>
      </c>
      <c r="H102" s="13" t="n">
        <f aca="false">SUMIF(MANUALES!$B$16:$B$69,$A102,MANUALES!N$16:N$69)+SUMIF(RODANTES!$B$16:$B$68,$A102,RODANTES!N$16:N$68)+SUMIF(RECARGAS!$B$16:$B$37,$A102,RECARGAS!X$16:X$37)+SUMIF(REVENDIDOS!$B$16:$B$25,$A102,REVENDIDOS!O$16:O$25)</f>
        <v>6.1581069706354</v>
      </c>
      <c r="I102" s="13" t="n">
        <f aca="false">SUMIF(MANUALES!$B$16:$B$69,$A102,MANUALES!O$16:O$69)+SUMIF(RODANTES!$B$16:$B$68,$A102,RODANTES!O$16:O$68)+SUMIF(RECARGAS!$B$16:$B$37,$A102,RECARGAS!Y$16:Y$37)+SUMIF(REVENDIDOS!$B$16:$B$25,$A102,REVENDIDOS!P$16:P$25)</f>
        <v>26.9047543814857</v>
      </c>
      <c r="J102" s="13" t="n">
        <f aca="false">SUMIF(MANUALES!$B$16:$B$69,$A102,MANUALES!P$16:P$69)+SUMIF(RODANTES!$B$16:$B$68,$A102,RODANTES!P$16:P$68)+SUMIF(RECARGAS!$B$16:$B$37,$A102,RECARGAS!Z$16:Z$37)+SUMIF(REVENDIDOS!$B$16:$B$25,$A102,REVENDIDOS!Q$16:Q$25)</f>
        <v>56.8464211316317</v>
      </c>
      <c r="K102" s="13" t="n">
        <f aca="false">SUMIF(MANUALES!$B$16:$B$69,$A102,MANUALES!Q$16:Q$69)+SUMIF(RODANTES!$B$16:$B$68,$A102,RODANTES!Q$16:Q$68)+SUMIF(RECARGAS!$B$16:$B$37,$A102,RECARGAS!AA$16:AA$37)+SUMIF(REVENDIDOS!$B$16:$B$25,$A102,REVENDIDOS!R$16:R$25)</f>
        <v>105.532920075223</v>
      </c>
      <c r="L102" s="13" t="n">
        <f aca="false">SUMIF(MANUALES!$B$16:$B$69,$A102,MANUALES!R$16:R$69)+SUMIF(RODANTES!$B$16:$B$68,$A102,RODANTES!R$16:R$68)+SUMIF(RECARGAS!$B$16:$B$37,$A102,RECARGAS!AB$16:AB$37)+SUMIF(REVENDIDOS!$B$16:$B$25,$A102,REVENDIDOS!S$16:S$25)</f>
        <v>153.649219739765</v>
      </c>
      <c r="M102" s="13" t="n">
        <f aca="false">SUMIF(MANUALES!$B$16:$B$69,$A102,MANUALES!S$16:S$69)+SUMIF(RODANTES!$B$16:$B$68,$A102,RODANTES!S$16:S$68)+SUMIF(RECARGAS!$B$16:$B$37,$A102,RECARGAS!AC$16:AC$37)+SUMIF(REVENDIDOS!$B$16:$B$25,$A102,REVENDIDOS!T$16:T$25)</f>
        <v>206.615913473005</v>
      </c>
      <c r="N102" s="13" t="n">
        <f aca="false">SUMIF(MANUALES!$B$16:$B$69,$A102,MANUALES!T$16:T$69)+SUMIF(RODANTES!$B$16:$B$68,$A102,RODANTES!T$16:T$68)+SUMIF(RECARGAS!$B$16:$B$37,$A102,RECARGAS!AD$16:AD$37)+SUMIF(REVENDIDOS!$B$16:$B$25,$A102,REVENDIDOS!U$16:U$25)</f>
        <v>255.082136190677</v>
      </c>
      <c r="O102" s="13" t="n">
        <f aca="false">SUMIF(MANUALES!$B$16:$B$69,$A102,MANUALES!U$16:U$69)+SUMIF(RODANTES!$B$16:$B$68,$A102,RODANTES!U$16:U$68)+SUMIF(RECARGAS!$B$16:$B$37,$A102,RECARGAS!AE$16:AE$37)+SUMIF(REVENDIDOS!$B$16:$B$25,$A102,REVENDIDOS!V$16:V$25)</f>
        <v>287.028304568504</v>
      </c>
      <c r="P102" s="13" t="n">
        <f aca="false">SUMIF(MANUALES!$B$16:$B$69,$A102,MANUALES!V$16:V$69)+SUMIF(RODANTES!$B$16:$B$68,$A102,RODANTES!V$16:V$68)+SUMIF(RECARGAS!$B$16:$B$37,$A102,RECARGAS!AF$16:AF$37)+SUMIF(REVENDIDOS!$B$16:$B$25,$A102,REVENDIDOS!W$16:W$25)</f>
        <v>309.488736276327</v>
      </c>
      <c r="Q102" s="13" t="n">
        <f aca="false">SUMIF(MANUALES!$B$16:$B$69,$A102,MANUALES!W$16:W$69)+SUMIF(RODANTES!$B$16:$B$68,$A102,RODANTES!W$16:W$68)+SUMIF(RECARGAS!$B$16:$B$37,$A102,RECARGAS!AG$16:AG$37)+SUMIF(REVENDIDOS!$B$16:$B$25,$A102,REVENDIDOS!X$16:X$25)</f>
        <v>332.354015156375</v>
      </c>
      <c r="R102" s="13" t="n">
        <f aca="false">SUMIF(MANUALES!$B$16:$B$69,$A102,MANUALES!X$16:X$69)+SUMIF(RODANTES!$B$16:$B$68,$A102,RODANTES!X$16:X$68)+SUMIF(RECARGAS!$B$16:$B$37,$A102,RECARGAS!AH$16:AH$37)+SUMIF(REVENDIDOS!$B$16:$B$25,$A102,REVENDIDOS!Y$16:Y$25)</f>
        <v>27.6961679296979</v>
      </c>
    </row>
    <row r="103" customFormat="false" ht="15" hidden="false" customHeight="false" outlineLevel="0" collapsed="false">
      <c r="A103" s="3" t="s">
        <v>324</v>
      </c>
      <c r="B103" s="3" t="s">
        <v>325</v>
      </c>
      <c r="C103" s="3" t="s">
        <v>214</v>
      </c>
      <c r="D103" s="13" t="n">
        <f aca="false">SUMIF(MANUALES!$B$16:$B$69,$A103,MANUALES!W$16:W$69)</f>
        <v>202620.63913</v>
      </c>
      <c r="E103" s="13" t="n">
        <f aca="false">SUMIF(RODANTES!$B$16:$B$68,$A103,RODANTES!W$16:W$68)</f>
        <v>0</v>
      </c>
      <c r="F103" s="13" t="n">
        <f aca="false">SUMIF(RECARGAS!$B$16:$B$37,$A103,RECARGAS!AG$16:AG$37)</f>
        <v>0</v>
      </c>
      <c r="G103" s="13" t="n">
        <f aca="false">SUMIF(REVENDIDOS!$B$16:$B$25,$A103,REVENDIDOS!X$16:X$25)</f>
        <v>0</v>
      </c>
      <c r="H103" s="13" t="n">
        <f aca="false">SUMIF(MANUALES!$B$16:$B$69,$A103,MANUALES!N$16:N$69)+SUMIF(RODANTES!$B$16:$B$68,$A103,RODANTES!N$16:N$68)+SUMIF(RECARGAS!$B$16:$B$37,$A103,RECARGAS!X$16:X$37)+SUMIF(REVENDIDOS!$B$16:$B$25,$A103,REVENDIDOS!O$16:O$25)</f>
        <v>4178.736543</v>
      </c>
      <c r="I103" s="13" t="n">
        <f aca="false">SUMIF(MANUALES!$B$16:$B$69,$A103,MANUALES!O$16:O$69)+SUMIF(RODANTES!$B$16:$B$68,$A103,RODANTES!O$16:O$68)+SUMIF(RECARGAS!$B$16:$B$37,$A103,RECARGAS!Y$16:Y$37)+SUMIF(REVENDIDOS!$B$16:$B$25,$A103,REVENDIDOS!P$16:P$25)</f>
        <v>5997.303977</v>
      </c>
      <c r="J103" s="13" t="n">
        <f aca="false">SUMIF(MANUALES!$B$16:$B$69,$A103,MANUALES!P$16:P$69)+SUMIF(RODANTES!$B$16:$B$68,$A103,RODANTES!P$16:P$68)+SUMIF(RECARGAS!$B$16:$B$37,$A103,RECARGAS!Z$16:Z$37)+SUMIF(REVENDIDOS!$B$16:$B$25,$A103,REVENDIDOS!Q$16:Q$25)</f>
        <v>14514.147758</v>
      </c>
      <c r="K103" s="13" t="n">
        <f aca="false">SUMIF(MANUALES!$B$16:$B$69,$A103,MANUALES!Q$16:Q$69)+SUMIF(RODANTES!$B$16:$B$68,$A103,RODANTES!Q$16:Q$68)+SUMIF(RECARGAS!$B$16:$B$37,$A103,RECARGAS!AA$16:AA$37)+SUMIF(REVENDIDOS!$B$16:$B$25,$A103,REVENDIDOS!R$16:R$25)</f>
        <v>35161.935549</v>
      </c>
      <c r="L103" s="13" t="n">
        <f aca="false">SUMIF(MANUALES!$B$16:$B$69,$A103,MANUALES!R$16:R$69)+SUMIF(RODANTES!$B$16:$B$68,$A103,RODANTES!R$16:R$68)+SUMIF(RECARGAS!$B$16:$B$37,$A103,RECARGAS!AB$16:AB$37)+SUMIF(REVENDIDOS!$B$16:$B$25,$A103,REVENDIDOS!S$16:S$25)</f>
        <v>62115.43271</v>
      </c>
      <c r="M103" s="13" t="n">
        <f aca="false">SUMIF(MANUALES!$B$16:$B$69,$A103,MANUALES!S$16:S$69)+SUMIF(RODANTES!$B$16:$B$68,$A103,RODANTES!S$16:S$68)+SUMIF(RECARGAS!$B$16:$B$37,$A103,RECARGAS!AC$16:AC$37)+SUMIF(REVENDIDOS!$B$16:$B$25,$A103,REVENDIDOS!T$16:T$25)</f>
        <v>87300.45307</v>
      </c>
      <c r="N103" s="13" t="n">
        <f aca="false">SUMIF(MANUALES!$B$16:$B$69,$A103,MANUALES!T$16:T$69)+SUMIF(RODANTES!$B$16:$B$68,$A103,RODANTES!T$16:T$68)+SUMIF(RECARGAS!$B$16:$B$37,$A103,RECARGAS!AD$16:AD$37)+SUMIF(REVENDIDOS!$B$16:$B$25,$A103,REVENDIDOS!U$16:U$25)</f>
        <v>121673.15326</v>
      </c>
      <c r="O103" s="13" t="n">
        <f aca="false">SUMIF(MANUALES!$B$16:$B$69,$A103,MANUALES!U$16:U$69)+SUMIF(RODANTES!$B$16:$B$68,$A103,RODANTES!U$16:U$68)+SUMIF(RECARGAS!$B$16:$B$37,$A103,RECARGAS!AE$16:AE$37)+SUMIF(REVENDIDOS!$B$16:$B$25,$A103,REVENDIDOS!V$16:V$25)</f>
        <v>156133.07848</v>
      </c>
      <c r="P103" s="13" t="n">
        <f aca="false">SUMIF(MANUALES!$B$16:$B$69,$A103,MANUALES!V$16:V$69)+SUMIF(RODANTES!$B$16:$B$68,$A103,RODANTES!V$16:V$68)+SUMIF(RECARGAS!$B$16:$B$37,$A103,RECARGAS!AF$16:AF$37)+SUMIF(REVENDIDOS!$B$16:$B$25,$A103,REVENDIDOS!W$16:W$25)</f>
        <v>175393.13614</v>
      </c>
      <c r="Q103" s="13" t="n">
        <f aca="false">SUMIF(MANUALES!$B$16:$B$69,$A103,MANUALES!W$16:W$69)+SUMIF(RODANTES!$B$16:$B$68,$A103,RODANTES!W$16:W$68)+SUMIF(RECARGAS!$B$16:$B$37,$A103,RECARGAS!AG$16:AG$37)+SUMIF(REVENDIDOS!$B$16:$B$25,$A103,REVENDIDOS!X$16:X$25)</f>
        <v>202620.63913</v>
      </c>
      <c r="R103" s="13" t="n">
        <f aca="false">SUMIF(MANUALES!$B$16:$B$69,$A103,MANUALES!X$16:X$69)+SUMIF(RODANTES!$B$16:$B$68,$A103,RODANTES!X$16:X$68)+SUMIF(RECARGAS!$B$16:$B$37,$A103,RECARGAS!AH$16:AH$37)+SUMIF(REVENDIDOS!$B$16:$B$25,$A103,REVENDIDOS!Y$16:Y$25)</f>
        <v>24314.4766956</v>
      </c>
    </row>
    <row r="104" customFormat="false" ht="15" hidden="false" customHeight="false" outlineLevel="0" collapsed="false">
      <c r="A104" s="3" t="s">
        <v>327</v>
      </c>
      <c r="B104" s="3" t="s">
        <v>328</v>
      </c>
      <c r="C104" s="3" t="s">
        <v>214</v>
      </c>
      <c r="D104" s="13" t="n">
        <f aca="false">SUMIF(MANUALES!$B$16:$B$69,$A104,MANUALES!W$16:W$69)</f>
        <v>14093.858444</v>
      </c>
      <c r="E104" s="13" t="n">
        <f aca="false">SUMIF(RODANTES!$B$16:$B$68,$A104,RODANTES!W$16:W$68)</f>
        <v>0</v>
      </c>
      <c r="F104" s="13" t="n">
        <f aca="false">SUMIF(RECARGAS!$B$16:$B$37,$A104,RECARGAS!AG$16:AG$37)</f>
        <v>0</v>
      </c>
      <c r="G104" s="13" t="n">
        <f aca="false">SUMIF(REVENDIDOS!$B$16:$B$25,$A104,REVENDIDOS!X$16:X$25)</f>
        <v>0</v>
      </c>
      <c r="H104" s="13" t="n">
        <f aca="false">SUMIF(MANUALES!$B$16:$B$69,$A104,MANUALES!N$16:N$69)+SUMIF(RODANTES!$B$16:$B$68,$A104,RODANTES!N$16:N$68)+SUMIF(RECARGAS!$B$16:$B$37,$A104,RECARGAS!X$16:X$37)+SUMIF(REVENDIDOS!$B$16:$B$25,$A104,REVENDIDOS!O$16:O$25)</f>
        <v>295.0303572</v>
      </c>
      <c r="I104" s="13" t="n">
        <f aca="false">SUMIF(MANUALES!$B$16:$B$69,$A104,MANUALES!O$16:O$69)+SUMIF(RODANTES!$B$16:$B$68,$A104,RODANTES!O$16:O$68)+SUMIF(RECARGAS!$B$16:$B$37,$A104,RECARGAS!Y$16:Y$37)+SUMIF(REVENDIDOS!$B$16:$B$25,$A104,REVENDIDOS!P$16:P$25)</f>
        <v>709.7274503</v>
      </c>
      <c r="J104" s="13" t="n">
        <f aca="false">SUMIF(MANUALES!$B$16:$B$69,$A104,MANUALES!P$16:P$69)+SUMIF(RODANTES!$B$16:$B$68,$A104,RODANTES!P$16:P$68)+SUMIF(RECARGAS!$B$16:$B$37,$A104,RECARGAS!Z$16:Z$37)+SUMIF(REVENDIDOS!$B$16:$B$25,$A104,REVENDIDOS!Q$16:Q$25)</f>
        <v>1286.4680576</v>
      </c>
      <c r="K104" s="13" t="n">
        <f aca="false">SUMIF(MANUALES!$B$16:$B$69,$A104,MANUALES!Q$16:Q$69)+SUMIF(RODANTES!$B$16:$B$68,$A104,RODANTES!Q$16:Q$68)+SUMIF(RECARGAS!$B$16:$B$37,$A104,RECARGAS!AA$16:AA$37)+SUMIF(REVENDIDOS!$B$16:$B$25,$A104,REVENDIDOS!R$16:R$25)</f>
        <v>2544.438174</v>
      </c>
      <c r="L104" s="13" t="n">
        <f aca="false">SUMIF(MANUALES!$B$16:$B$69,$A104,MANUALES!R$16:R$69)+SUMIF(RODANTES!$B$16:$B$68,$A104,RODANTES!R$16:R$68)+SUMIF(RECARGAS!$B$16:$B$37,$A104,RECARGAS!AB$16:AB$37)+SUMIF(REVENDIDOS!$B$16:$B$25,$A104,REVENDIDOS!S$16:S$25)</f>
        <v>4245.627726</v>
      </c>
      <c r="M104" s="13" t="n">
        <f aca="false">SUMIF(MANUALES!$B$16:$B$69,$A104,MANUALES!S$16:S$69)+SUMIF(RODANTES!$B$16:$B$68,$A104,RODANTES!S$16:S$68)+SUMIF(RECARGAS!$B$16:$B$37,$A104,RECARGAS!AC$16:AC$37)+SUMIF(REVENDIDOS!$B$16:$B$25,$A104,REVENDIDOS!T$16:T$25)</f>
        <v>6055.869887</v>
      </c>
      <c r="N104" s="13" t="n">
        <f aca="false">SUMIF(MANUALES!$B$16:$B$69,$A104,MANUALES!T$16:T$69)+SUMIF(RODANTES!$B$16:$B$68,$A104,RODANTES!T$16:T$68)+SUMIF(RECARGAS!$B$16:$B$37,$A104,RECARGAS!AD$16:AD$37)+SUMIF(REVENDIDOS!$B$16:$B$25,$A104,REVENDIDOS!U$16:U$25)</f>
        <v>8065.315524</v>
      </c>
      <c r="O104" s="13" t="n">
        <f aca="false">SUMIF(MANUALES!$B$16:$B$69,$A104,MANUALES!U$16:U$69)+SUMIF(RODANTES!$B$16:$B$68,$A104,RODANTES!U$16:U$68)+SUMIF(RECARGAS!$B$16:$B$37,$A104,RECARGAS!AE$16:AE$37)+SUMIF(REVENDIDOS!$B$16:$B$25,$A104,REVENDIDOS!V$16:V$25)</f>
        <v>10227.306587</v>
      </c>
      <c r="P104" s="13" t="n">
        <f aca="false">SUMIF(MANUALES!$B$16:$B$69,$A104,MANUALES!V$16:V$69)+SUMIF(RODANTES!$B$16:$B$68,$A104,RODANTES!V$16:V$68)+SUMIF(RECARGAS!$B$16:$B$37,$A104,RECARGAS!AF$16:AF$37)+SUMIF(REVENDIDOS!$B$16:$B$25,$A104,REVENDIDOS!W$16:W$25)</f>
        <v>11936.586243</v>
      </c>
      <c r="Q104" s="13" t="n">
        <f aca="false">SUMIF(MANUALES!$B$16:$B$69,$A104,MANUALES!W$16:W$69)+SUMIF(RODANTES!$B$16:$B$68,$A104,RODANTES!W$16:W$68)+SUMIF(RECARGAS!$B$16:$B$37,$A104,RECARGAS!AG$16:AG$37)+SUMIF(REVENDIDOS!$B$16:$B$25,$A104,REVENDIDOS!X$16:X$25)</f>
        <v>14093.858444</v>
      </c>
      <c r="R104" s="13" t="n">
        <f aca="false">SUMIF(MANUALES!$B$16:$B$69,$A104,MANUALES!X$16:X$69)+SUMIF(RODANTES!$B$16:$B$68,$A104,RODANTES!X$16:X$68)+SUMIF(RECARGAS!$B$16:$B$37,$A104,RECARGAS!AH$16:AH$37)+SUMIF(REVENDIDOS!$B$16:$B$25,$A104,REVENDIDOS!Y$16:Y$25)</f>
        <v>1550.32442884</v>
      </c>
    </row>
    <row r="105" customFormat="false" ht="15" hidden="false" customHeight="false" outlineLevel="0" collapsed="false">
      <c r="A105" s="3" t="s">
        <v>330</v>
      </c>
      <c r="B105" s="3" t="s">
        <v>331</v>
      </c>
      <c r="C105" s="3" t="s">
        <v>214</v>
      </c>
      <c r="D105" s="13" t="n">
        <f aca="false">SUMIF(MANUALES!$B$16:$B$69,$A105,MANUALES!W$16:W$69)</f>
        <v>65364.6411612163</v>
      </c>
      <c r="E105" s="13" t="n">
        <f aca="false">SUMIF(RODANTES!$B$16:$B$68,$A105,RODANTES!W$16:W$68)</f>
        <v>0</v>
      </c>
      <c r="F105" s="13" t="n">
        <f aca="false">SUMIF(RECARGAS!$B$16:$B$37,$A105,RECARGAS!AG$16:AG$37)</f>
        <v>0</v>
      </c>
      <c r="G105" s="13" t="n">
        <f aca="false">SUMIF(REVENDIDOS!$B$16:$B$25,$A105,REVENDIDOS!X$16:X$25)</f>
        <v>0</v>
      </c>
      <c r="H105" s="13" t="n">
        <f aca="false">SUMIF(MANUALES!$B$16:$B$69,$A105,MANUALES!N$16:N$69)+SUMIF(RODANTES!$B$16:$B$68,$A105,RODANTES!N$16:N$68)+SUMIF(RECARGAS!$B$16:$B$37,$A105,RECARGAS!X$16:X$37)+SUMIF(REVENDIDOS!$B$16:$B$25,$A105,REVENDIDOS!O$16:O$25)</f>
        <v>2731.34375706862</v>
      </c>
      <c r="I105" s="13" t="n">
        <f aca="false">SUMIF(MANUALES!$B$16:$B$69,$A105,MANUALES!O$16:O$69)+SUMIF(RODANTES!$B$16:$B$68,$A105,RODANTES!O$16:O$68)+SUMIF(RECARGAS!$B$16:$B$37,$A105,RECARGAS!Y$16:Y$37)+SUMIF(REVENDIDOS!$B$16:$B$25,$A105,REVENDIDOS!P$16:P$25)</f>
        <v>5501.04139098481</v>
      </c>
      <c r="J105" s="13" t="n">
        <f aca="false">SUMIF(MANUALES!$B$16:$B$69,$A105,MANUALES!P$16:P$69)+SUMIF(RODANTES!$B$16:$B$68,$A105,RODANTES!P$16:P$68)+SUMIF(RECARGAS!$B$16:$B$37,$A105,RECARGAS!Z$16:Z$37)+SUMIF(REVENDIDOS!$B$16:$B$25,$A105,REVENDIDOS!Q$16:Q$25)</f>
        <v>8700.9537134248</v>
      </c>
      <c r="K105" s="13" t="n">
        <f aca="false">SUMIF(MANUALES!$B$16:$B$69,$A105,MANUALES!Q$16:Q$69)+SUMIF(RODANTES!$B$16:$B$68,$A105,RODANTES!Q$16:Q$68)+SUMIF(RECARGAS!$B$16:$B$37,$A105,RECARGAS!AA$16:AA$37)+SUMIF(REVENDIDOS!$B$16:$B$25,$A105,REVENDIDOS!R$16:R$25)</f>
        <v>15600.1917618585</v>
      </c>
      <c r="L105" s="13" t="n">
        <f aca="false">SUMIF(MANUALES!$B$16:$B$69,$A105,MANUALES!R$16:R$69)+SUMIF(RODANTES!$B$16:$B$68,$A105,RODANTES!R$16:R$68)+SUMIF(RECARGAS!$B$16:$B$37,$A105,RECARGAS!AB$16:AB$37)+SUMIF(REVENDIDOS!$B$16:$B$25,$A105,REVENDIDOS!S$16:S$25)</f>
        <v>24065.4269198752</v>
      </c>
      <c r="M105" s="13" t="n">
        <f aca="false">SUMIF(MANUALES!$B$16:$B$69,$A105,MANUALES!S$16:S$69)+SUMIF(RODANTES!$B$16:$B$68,$A105,RODANTES!S$16:S$68)+SUMIF(RECARGAS!$B$16:$B$37,$A105,RECARGAS!AC$16:AC$37)+SUMIF(REVENDIDOS!$B$16:$B$25,$A105,REVENDIDOS!T$16:T$25)</f>
        <v>32605.8130102606</v>
      </c>
      <c r="N105" s="13" t="n">
        <f aca="false">SUMIF(MANUALES!$B$16:$B$69,$A105,MANUALES!T$16:T$69)+SUMIF(RODANTES!$B$16:$B$68,$A105,RODANTES!T$16:T$68)+SUMIF(RECARGAS!$B$16:$B$37,$A105,RECARGAS!AD$16:AD$37)+SUMIF(REVENDIDOS!$B$16:$B$25,$A105,REVENDIDOS!U$16:U$25)</f>
        <v>42226.4247447793</v>
      </c>
      <c r="O105" s="13" t="n">
        <f aca="false">SUMIF(MANUALES!$B$16:$B$69,$A105,MANUALES!U$16:U$69)+SUMIF(RODANTES!$B$16:$B$68,$A105,RODANTES!U$16:U$68)+SUMIF(RECARGAS!$B$16:$B$37,$A105,RECARGAS!AE$16:AE$37)+SUMIF(REVENDIDOS!$B$16:$B$25,$A105,REVENDIDOS!V$16:V$25)</f>
        <v>51312.3111811951</v>
      </c>
      <c r="P105" s="13" t="n">
        <f aca="false">SUMIF(MANUALES!$B$16:$B$69,$A105,MANUALES!V$16:V$69)+SUMIF(RODANTES!$B$16:$B$68,$A105,RODANTES!V$16:V$68)+SUMIF(RECARGAS!$B$16:$B$37,$A105,RECARGAS!AF$16:AF$37)+SUMIF(REVENDIDOS!$B$16:$B$25,$A105,REVENDIDOS!W$16:W$25)</f>
        <v>56969.2511026285</v>
      </c>
      <c r="Q105" s="13" t="n">
        <f aca="false">SUMIF(MANUALES!$B$16:$B$69,$A105,MANUALES!W$16:W$69)+SUMIF(RODANTES!$B$16:$B$68,$A105,RODANTES!W$16:W$68)+SUMIF(RECARGAS!$B$16:$B$37,$A105,RECARGAS!AG$16:AG$37)+SUMIF(REVENDIDOS!$B$16:$B$25,$A105,REVENDIDOS!X$16:X$25)</f>
        <v>65364.6411612163</v>
      </c>
      <c r="R105" s="13" t="n">
        <f aca="false">SUMIF(MANUALES!$B$16:$B$69,$A105,MANUALES!X$16:X$69)+SUMIF(RODANTES!$B$16:$B$68,$A105,RODANTES!X$16:X$68)+SUMIF(RECARGAS!$B$16:$B$37,$A105,RECARGAS!AH$16:AH$37)+SUMIF(REVENDIDOS!$B$16:$B$25,$A105,REVENDIDOS!Y$16:Y$25)</f>
        <v>7190.11052773379</v>
      </c>
    </row>
    <row r="106" customFormat="false" ht="15" hidden="false" customHeight="false" outlineLevel="0" collapsed="false">
      <c r="A106" s="3" t="s">
        <v>333</v>
      </c>
      <c r="B106" s="3" t="s">
        <v>334</v>
      </c>
      <c r="C106" s="3" t="s">
        <v>214</v>
      </c>
      <c r="D106" s="13" t="n">
        <f aca="false">SUMIF(MANUALES!$B$16:$B$69,$A106,MANUALES!W$16:W$69)</f>
        <v>3854.26194663625</v>
      </c>
      <c r="E106" s="13" t="n">
        <f aca="false">SUMIF(RODANTES!$B$16:$B$68,$A106,RODANTES!W$16:W$68)</f>
        <v>0</v>
      </c>
      <c r="F106" s="13" t="n">
        <f aca="false">SUMIF(RECARGAS!$B$16:$B$37,$A106,RECARGAS!AG$16:AG$37)</f>
        <v>0</v>
      </c>
      <c r="G106" s="13" t="n">
        <f aca="false">SUMIF(REVENDIDOS!$B$16:$B$25,$A106,REVENDIDOS!X$16:X$25)</f>
        <v>0</v>
      </c>
      <c r="H106" s="13" t="n">
        <f aca="false">SUMIF(MANUALES!$B$16:$B$69,$A106,MANUALES!N$16:N$69)+SUMIF(RODANTES!$B$16:$B$68,$A106,RODANTES!N$16:N$68)+SUMIF(RECARGAS!$B$16:$B$37,$A106,RECARGAS!X$16:X$37)+SUMIF(REVENDIDOS!$B$16:$B$25,$A106,REVENDIDOS!O$16:O$25)</f>
        <v>92.5179666750354</v>
      </c>
      <c r="I106" s="13" t="n">
        <f aca="false">SUMIF(MANUALES!$B$16:$B$69,$A106,MANUALES!O$16:O$69)+SUMIF(RODANTES!$B$16:$B$68,$A106,RODANTES!O$16:O$68)+SUMIF(RECARGAS!$B$16:$B$37,$A106,RECARGAS!Y$16:Y$37)+SUMIF(REVENDIDOS!$B$16:$B$25,$A106,REVENDIDOS!P$16:P$25)</f>
        <v>178.308713674805</v>
      </c>
      <c r="J106" s="13" t="n">
        <f aca="false">SUMIF(MANUALES!$B$16:$B$69,$A106,MANUALES!P$16:P$69)+SUMIF(RODANTES!$B$16:$B$68,$A106,RODANTES!P$16:P$68)+SUMIF(RECARGAS!$B$16:$B$37,$A106,RECARGAS!Z$16:Z$37)+SUMIF(REVENDIDOS!$B$16:$B$25,$A106,REVENDIDOS!Q$16:Q$25)</f>
        <v>345.861125950754</v>
      </c>
      <c r="K106" s="13" t="n">
        <f aca="false">SUMIF(MANUALES!$B$16:$B$69,$A106,MANUALES!Q$16:Q$69)+SUMIF(RODANTES!$B$16:$B$68,$A106,RODANTES!Q$16:Q$68)+SUMIF(RECARGAS!$B$16:$B$37,$A106,RECARGAS!AA$16:AA$37)+SUMIF(REVENDIDOS!$B$16:$B$25,$A106,REVENDIDOS!R$16:R$25)</f>
        <v>676.649855368688</v>
      </c>
      <c r="L106" s="13" t="n">
        <f aca="false">SUMIF(MANUALES!$B$16:$B$69,$A106,MANUALES!R$16:R$69)+SUMIF(RODANTES!$B$16:$B$68,$A106,RODANTES!R$16:R$68)+SUMIF(RECARGAS!$B$16:$B$37,$A106,RECARGAS!AB$16:AB$37)+SUMIF(REVENDIDOS!$B$16:$B$25,$A106,REVENDIDOS!S$16:S$25)</f>
        <v>1189.57631688243</v>
      </c>
      <c r="M106" s="13" t="n">
        <f aca="false">SUMIF(MANUALES!$B$16:$B$69,$A106,MANUALES!S$16:S$69)+SUMIF(RODANTES!$B$16:$B$68,$A106,RODANTES!S$16:S$68)+SUMIF(RECARGAS!$B$16:$B$37,$A106,RECARGAS!AC$16:AC$37)+SUMIF(REVENDIDOS!$B$16:$B$25,$A106,REVENDIDOS!T$16:T$25)</f>
        <v>1722.7020587851</v>
      </c>
      <c r="N106" s="13" t="n">
        <f aca="false">SUMIF(MANUALES!$B$16:$B$69,$A106,MANUALES!T$16:T$69)+SUMIF(RODANTES!$B$16:$B$68,$A106,RODANTES!T$16:T$68)+SUMIF(RECARGAS!$B$16:$B$37,$A106,RECARGAS!AD$16:AD$37)+SUMIF(REVENDIDOS!$B$16:$B$25,$A106,REVENDIDOS!U$16:U$25)</f>
        <v>2326.36110255495</v>
      </c>
      <c r="O106" s="13" t="n">
        <f aca="false">SUMIF(MANUALES!$B$16:$B$69,$A106,MANUALES!U$16:U$69)+SUMIF(RODANTES!$B$16:$B$68,$A106,RODANTES!U$16:U$68)+SUMIF(RECARGAS!$B$16:$B$37,$A106,RECARGAS!AE$16:AE$37)+SUMIF(REVENDIDOS!$B$16:$B$25,$A106,REVENDIDOS!V$16:V$25)</f>
        <v>2943.02987592251</v>
      </c>
      <c r="P106" s="13" t="n">
        <f aca="false">SUMIF(MANUALES!$B$16:$B$69,$A106,MANUALES!V$16:V$69)+SUMIF(RODANTES!$B$16:$B$68,$A106,RODANTES!V$16:V$68)+SUMIF(RECARGAS!$B$16:$B$37,$A106,RECARGAS!AF$16:AF$37)+SUMIF(REVENDIDOS!$B$16:$B$25,$A106,REVENDIDOS!W$16:W$25)</f>
        <v>3346.42071606564</v>
      </c>
      <c r="Q106" s="13" t="n">
        <f aca="false">SUMIF(MANUALES!$B$16:$B$69,$A106,MANUALES!W$16:W$69)+SUMIF(RODANTES!$B$16:$B$68,$A106,RODANTES!W$16:W$68)+SUMIF(RECARGAS!$B$16:$B$37,$A106,RECARGAS!AG$16:AG$37)+SUMIF(REVENDIDOS!$B$16:$B$25,$A106,REVENDIDOS!X$16:X$25)</f>
        <v>3854.26194663625</v>
      </c>
      <c r="R106" s="13" t="n">
        <f aca="false">SUMIF(MANUALES!$B$16:$B$69,$A106,MANUALES!X$16:X$69)+SUMIF(RODANTES!$B$16:$B$68,$A106,RODANTES!X$16:X$68)+SUMIF(RECARGAS!$B$16:$B$37,$A106,RECARGAS!AH$16:AH$37)+SUMIF(REVENDIDOS!$B$16:$B$25,$A106,REVENDIDOS!Y$16:Y$25)</f>
        <v>423.968814129988</v>
      </c>
    </row>
    <row r="107" customFormat="false" ht="15" hidden="false" customHeight="false" outlineLevel="0" collapsed="false">
      <c r="A107" s="3" t="s">
        <v>336</v>
      </c>
      <c r="B107" s="3" t="s">
        <v>337</v>
      </c>
      <c r="C107" s="3" t="s">
        <v>214</v>
      </c>
      <c r="D107" s="13" t="n">
        <f aca="false">SUMIF(MANUALES!$B$16:$B$69,$A107,MANUALES!W$16:W$69)</f>
        <v>285933.400681853</v>
      </c>
      <c r="E107" s="13" t="n">
        <f aca="false">SUMIF(RODANTES!$B$16:$B$68,$A107,RODANTES!W$16:W$68)</f>
        <v>0</v>
      </c>
      <c r="F107" s="13" t="n">
        <f aca="false">SUMIF(RECARGAS!$B$16:$B$37,$A107,RECARGAS!AG$16:AG$37)</f>
        <v>0</v>
      </c>
      <c r="G107" s="13" t="n">
        <f aca="false">SUMIF(REVENDIDOS!$B$16:$B$25,$A107,REVENDIDOS!X$16:X$25)</f>
        <v>0</v>
      </c>
      <c r="H107" s="13" t="n">
        <f aca="false">SUMIF(MANUALES!$B$16:$B$69,$A107,MANUALES!N$16:N$69)+SUMIF(RODANTES!$B$16:$B$68,$A107,RODANTES!N$16:N$68)+SUMIF(RECARGAS!$B$16:$B$37,$A107,RECARGAS!X$16:X$37)+SUMIF(REVENDIDOS!$B$16:$B$25,$A107,REVENDIDOS!O$16:O$25)</f>
        <v>7297.62862394365</v>
      </c>
      <c r="I107" s="13" t="n">
        <f aca="false">SUMIF(MANUALES!$B$16:$B$69,$A107,MANUALES!O$16:O$69)+SUMIF(RODANTES!$B$16:$B$68,$A107,RODANTES!O$16:O$68)+SUMIF(RECARGAS!$B$16:$B$37,$A107,RECARGAS!Y$16:Y$37)+SUMIF(REVENDIDOS!$B$16:$B$25,$A107,REVENDIDOS!P$16:P$25)</f>
        <v>12386.3815319596</v>
      </c>
      <c r="J107" s="13" t="n">
        <f aca="false">SUMIF(MANUALES!$B$16:$B$69,$A107,MANUALES!P$16:P$69)+SUMIF(RODANTES!$B$16:$B$68,$A107,RODANTES!P$16:P$68)+SUMIF(RECARGAS!$B$16:$B$37,$A107,RECARGAS!Z$16:Z$37)+SUMIF(REVENDIDOS!$B$16:$B$25,$A107,REVENDIDOS!Q$16:Q$25)</f>
        <v>24847.4306549756</v>
      </c>
      <c r="K107" s="13" t="n">
        <f aca="false">SUMIF(MANUALES!$B$16:$B$69,$A107,MANUALES!Q$16:Q$69)+SUMIF(RODANTES!$B$16:$B$68,$A107,RODANTES!Q$16:Q$68)+SUMIF(RECARGAS!$B$16:$B$37,$A107,RECARGAS!AA$16:AA$37)+SUMIF(REVENDIDOS!$B$16:$B$25,$A107,REVENDIDOS!R$16:R$25)</f>
        <v>53983.2153402272</v>
      </c>
      <c r="L107" s="13" t="n">
        <f aca="false">SUMIF(MANUALES!$B$16:$B$69,$A107,MANUALES!R$16:R$69)+SUMIF(RODANTES!$B$16:$B$68,$A107,RODANTES!R$16:R$68)+SUMIF(RECARGAS!$B$16:$B$37,$A107,RECARGAS!AB$16:AB$37)+SUMIF(REVENDIDOS!$B$16:$B$25,$A107,REVENDIDOS!S$16:S$25)</f>
        <v>91616.0636727577</v>
      </c>
      <c r="M107" s="13" t="n">
        <f aca="false">SUMIF(MANUALES!$B$16:$B$69,$A107,MANUALES!S$16:S$69)+SUMIF(RODANTES!$B$16:$B$68,$A107,RODANTES!S$16:S$68)+SUMIF(RECARGAS!$B$16:$B$37,$A107,RECARGAS!AC$16:AC$37)+SUMIF(REVENDIDOS!$B$16:$B$25,$A107,REVENDIDOS!T$16:T$25)</f>
        <v>127684.838026046</v>
      </c>
      <c r="N107" s="13" t="n">
        <f aca="false">SUMIF(MANUALES!$B$16:$B$69,$A107,MANUALES!T$16:T$69)+SUMIF(RODANTES!$B$16:$B$68,$A107,RODANTES!T$16:T$68)+SUMIF(RECARGAS!$B$16:$B$37,$A107,RECARGAS!AD$16:AD$37)+SUMIF(REVENDIDOS!$B$16:$B$25,$A107,REVENDIDOS!U$16:U$25)</f>
        <v>174291.254631334</v>
      </c>
      <c r="O107" s="13" t="n">
        <f aca="false">SUMIF(MANUALES!$B$16:$B$69,$A107,MANUALES!U$16:U$69)+SUMIF(RODANTES!$B$16:$B$68,$A107,RODANTES!U$16:U$68)+SUMIF(RECARGAS!$B$16:$B$37,$A107,RECARGAS!AE$16:AE$37)+SUMIF(REVENDIDOS!$B$16:$B$25,$A107,REVENDIDOS!V$16:V$25)</f>
        <v>220615.726124118</v>
      </c>
      <c r="P107" s="13" t="n">
        <f aca="false">SUMIF(MANUALES!$B$16:$B$69,$A107,MANUALES!V$16:V$69)+SUMIF(RODANTES!$B$16:$B$68,$A107,RODANTES!V$16:V$68)+SUMIF(RECARGAS!$B$16:$B$37,$A107,RECARGAS!AF$16:AF$37)+SUMIF(REVENDIDOS!$B$16:$B$25,$A107,REVENDIDOS!W$16:W$25)</f>
        <v>247645.394201694</v>
      </c>
      <c r="Q107" s="13" t="n">
        <f aca="false">SUMIF(MANUALES!$B$16:$B$69,$A107,MANUALES!W$16:W$69)+SUMIF(RODANTES!$B$16:$B$68,$A107,RODANTES!W$16:W$68)+SUMIF(RECARGAS!$B$16:$B$37,$A107,RECARGAS!AG$16:AG$37)+SUMIF(REVENDIDOS!$B$16:$B$25,$A107,REVENDIDOS!X$16:X$25)</f>
        <v>285933.400681853</v>
      </c>
      <c r="R107" s="13" t="n">
        <f aca="false">SUMIF(MANUALES!$B$16:$B$69,$A107,MANUALES!X$16:X$69)+SUMIF(RODANTES!$B$16:$B$68,$A107,RODANTES!X$16:X$68)+SUMIF(RECARGAS!$B$16:$B$37,$A107,RECARGAS!AH$16:AH$37)+SUMIF(REVENDIDOS!$B$16:$B$25,$A107,REVENDIDOS!Y$16:Y$25)</f>
        <v>33478.8804663038</v>
      </c>
    </row>
    <row r="108" customFormat="false" ht="15" hidden="false" customHeight="false" outlineLevel="0" collapsed="false">
      <c r="A108" s="3" t="s">
        <v>339</v>
      </c>
      <c r="B108" s="3" t="s">
        <v>340</v>
      </c>
      <c r="C108" s="3" t="s">
        <v>214</v>
      </c>
      <c r="D108" s="13" t="n">
        <f aca="false">SUMIF(MANUALES!$B$16:$B$69,$A108,MANUALES!W$16:W$69)</f>
        <v>1413.57629911121</v>
      </c>
      <c r="E108" s="13" t="n">
        <f aca="false">SUMIF(RODANTES!$B$16:$B$68,$A108,RODANTES!W$16:W$68)</f>
        <v>134.916666666667</v>
      </c>
      <c r="F108" s="13" t="n">
        <f aca="false">SUMIF(RECARGAS!$B$16:$B$37,$A108,RECARGAS!AG$16:AG$37)</f>
        <v>0</v>
      </c>
      <c r="G108" s="13" t="n">
        <f aca="false">SUMIF(REVENDIDOS!$B$16:$B$25,$A108,REVENDIDOS!X$16:X$25)</f>
        <v>0</v>
      </c>
      <c r="H108" s="13" t="n">
        <f aca="false">SUMIF(MANUALES!$B$16:$B$69,$A108,MANUALES!N$16:N$69)+SUMIF(RODANTES!$B$16:$B$68,$A108,RODANTES!N$16:N$68)+SUMIF(RECARGAS!$B$16:$B$37,$A108,RECARGAS!X$16:X$37)+SUMIF(REVENDIDOS!$B$16:$B$25,$A108,REVENDIDOS!O$16:O$25)</f>
        <v>44.8747033373139</v>
      </c>
      <c r="I108" s="13" t="n">
        <f aca="false">SUMIF(MANUALES!$B$16:$B$69,$A108,MANUALES!O$16:O$69)+SUMIF(RODANTES!$B$16:$B$68,$A108,RODANTES!O$16:O$68)+SUMIF(RECARGAS!$B$16:$B$37,$A108,RECARGAS!Y$16:Y$37)+SUMIF(REVENDIDOS!$B$16:$B$25,$A108,REVENDIDOS!P$16:P$25)</f>
        <v>84.8235248782799</v>
      </c>
      <c r="J108" s="13" t="n">
        <f aca="false">SUMIF(MANUALES!$B$16:$B$69,$A108,MANUALES!P$16:P$69)+SUMIF(RODANTES!$B$16:$B$68,$A108,RODANTES!P$16:P$68)+SUMIF(RECARGAS!$B$16:$B$37,$A108,RECARGAS!Z$16:Z$37)+SUMIF(REVENDIDOS!$B$16:$B$25,$A108,REVENDIDOS!Q$16:Q$25)</f>
        <v>155.379229235448</v>
      </c>
      <c r="K108" s="13" t="n">
        <f aca="false">SUMIF(MANUALES!$B$16:$B$69,$A108,MANUALES!Q$16:Q$69)+SUMIF(RODANTES!$B$16:$B$68,$A108,RODANTES!Q$16:Q$68)+SUMIF(RECARGAS!$B$16:$B$37,$A108,RECARGAS!AA$16:AA$37)+SUMIF(REVENDIDOS!$B$16:$B$25,$A108,REVENDIDOS!R$16:R$25)</f>
        <v>314.528817119017</v>
      </c>
      <c r="L108" s="13" t="n">
        <f aca="false">SUMIF(MANUALES!$B$16:$B$69,$A108,MANUALES!R$16:R$69)+SUMIF(RODANTES!$B$16:$B$68,$A108,RODANTES!R$16:R$68)+SUMIF(RECARGAS!$B$16:$B$37,$A108,RECARGAS!AB$16:AB$37)+SUMIF(REVENDIDOS!$B$16:$B$25,$A108,REVENDIDOS!S$16:S$25)</f>
        <v>516.986209321755</v>
      </c>
      <c r="M108" s="13" t="n">
        <f aca="false">SUMIF(MANUALES!$B$16:$B$69,$A108,MANUALES!S$16:S$69)+SUMIF(RODANTES!$B$16:$B$68,$A108,RODANTES!S$16:S$68)+SUMIF(RECARGAS!$B$16:$B$37,$A108,RECARGAS!AC$16:AC$37)+SUMIF(REVENDIDOS!$B$16:$B$25,$A108,REVENDIDOS!T$16:T$25)</f>
        <v>716.593189303877</v>
      </c>
      <c r="N108" s="13" t="n">
        <f aca="false">SUMIF(MANUALES!$B$16:$B$69,$A108,MANUALES!T$16:T$69)+SUMIF(RODANTES!$B$16:$B$68,$A108,RODANTES!T$16:T$68)+SUMIF(RECARGAS!$B$16:$B$37,$A108,RECARGAS!AD$16:AD$37)+SUMIF(REVENDIDOS!$B$16:$B$25,$A108,REVENDIDOS!U$16:U$25)</f>
        <v>959.966932639233</v>
      </c>
      <c r="O108" s="13" t="n">
        <f aca="false">SUMIF(MANUALES!$B$16:$B$69,$A108,MANUALES!U$16:U$69)+SUMIF(RODANTES!$B$16:$B$68,$A108,RODANTES!U$16:U$68)+SUMIF(RECARGAS!$B$16:$B$37,$A108,RECARGAS!AE$16:AE$37)+SUMIF(REVENDIDOS!$B$16:$B$25,$A108,REVENDIDOS!V$16:V$25)</f>
        <v>1198.85603525306</v>
      </c>
      <c r="P108" s="13" t="n">
        <f aca="false">SUMIF(MANUALES!$B$16:$B$69,$A108,MANUALES!V$16:V$69)+SUMIF(RODANTES!$B$16:$B$68,$A108,RODANTES!V$16:V$68)+SUMIF(RECARGAS!$B$16:$B$37,$A108,RECARGAS!AF$16:AF$37)+SUMIF(REVENDIDOS!$B$16:$B$25,$A108,REVENDIDOS!W$16:W$25)</f>
        <v>1342.71993483241</v>
      </c>
      <c r="Q108" s="13" t="n">
        <f aca="false">SUMIF(MANUALES!$B$16:$B$69,$A108,MANUALES!W$16:W$69)+SUMIF(RODANTES!$B$16:$B$68,$A108,RODANTES!W$16:W$68)+SUMIF(RECARGAS!$B$16:$B$37,$A108,RECARGAS!AG$16:AG$37)+SUMIF(REVENDIDOS!$B$16:$B$25,$A108,REVENDIDOS!X$16:X$25)</f>
        <v>1548.49296577787</v>
      </c>
      <c r="R108" s="13" t="n">
        <f aca="false">SUMIF(MANUALES!$B$16:$B$69,$A108,MANUALES!X$16:X$69)+SUMIF(RODANTES!$B$16:$B$68,$A108,RODANTES!X$16:X$68)+SUMIF(RECARGAS!$B$16:$B$37,$A108,RECARGAS!AH$16:AH$37)+SUMIF(REVENDIDOS!$B$16:$B$25,$A108,REVENDIDOS!Y$16:Y$25)</f>
        <v>172.701408880483</v>
      </c>
    </row>
    <row r="109" customFormat="false" ht="15" hidden="false" customHeight="false" outlineLevel="0" collapsed="false">
      <c r="A109" s="3" t="s">
        <v>342</v>
      </c>
      <c r="B109" s="3" t="s">
        <v>343</v>
      </c>
      <c r="C109" s="3" t="s">
        <v>214</v>
      </c>
      <c r="D109" s="13" t="n">
        <f aca="false">SUMIF(MANUALES!$B$16:$B$69,$A109,MANUALES!W$16:W$69)</f>
        <v>1413.57629911121</v>
      </c>
      <c r="E109" s="13" t="n">
        <f aca="false">SUMIF(RODANTES!$B$16:$B$68,$A109,RODANTES!W$16:W$68)</f>
        <v>134.916666666667</v>
      </c>
      <c r="F109" s="13" t="n">
        <f aca="false">SUMIF(RECARGAS!$B$16:$B$37,$A109,RECARGAS!AG$16:AG$37)</f>
        <v>0</v>
      </c>
      <c r="G109" s="13" t="n">
        <f aca="false">SUMIF(REVENDIDOS!$B$16:$B$25,$A109,REVENDIDOS!X$16:X$25)</f>
        <v>0</v>
      </c>
      <c r="H109" s="13" t="n">
        <f aca="false">SUMIF(MANUALES!$B$16:$B$69,$A109,MANUALES!N$16:N$69)+SUMIF(RODANTES!$B$16:$B$68,$A109,RODANTES!N$16:N$68)+SUMIF(RECARGAS!$B$16:$B$37,$A109,RECARGAS!X$16:X$37)+SUMIF(REVENDIDOS!$B$16:$B$25,$A109,REVENDIDOS!O$16:O$25)</f>
        <v>44.8747033373139</v>
      </c>
      <c r="I109" s="13" t="n">
        <f aca="false">SUMIF(MANUALES!$B$16:$B$69,$A109,MANUALES!O$16:O$69)+SUMIF(RODANTES!$B$16:$B$68,$A109,RODANTES!O$16:O$68)+SUMIF(RECARGAS!$B$16:$B$37,$A109,RECARGAS!Y$16:Y$37)+SUMIF(REVENDIDOS!$B$16:$B$25,$A109,REVENDIDOS!P$16:P$25)</f>
        <v>84.8235248782799</v>
      </c>
      <c r="J109" s="13" t="n">
        <f aca="false">SUMIF(MANUALES!$B$16:$B$69,$A109,MANUALES!P$16:P$69)+SUMIF(RODANTES!$B$16:$B$68,$A109,RODANTES!P$16:P$68)+SUMIF(RECARGAS!$B$16:$B$37,$A109,RECARGAS!Z$16:Z$37)+SUMIF(REVENDIDOS!$B$16:$B$25,$A109,REVENDIDOS!Q$16:Q$25)</f>
        <v>155.379229235448</v>
      </c>
      <c r="K109" s="13" t="n">
        <f aca="false">SUMIF(MANUALES!$B$16:$B$69,$A109,MANUALES!Q$16:Q$69)+SUMIF(RODANTES!$B$16:$B$68,$A109,RODANTES!Q$16:Q$68)+SUMIF(RECARGAS!$B$16:$B$37,$A109,RECARGAS!AA$16:AA$37)+SUMIF(REVENDIDOS!$B$16:$B$25,$A109,REVENDIDOS!R$16:R$25)</f>
        <v>314.528817119017</v>
      </c>
      <c r="L109" s="13" t="n">
        <f aca="false">SUMIF(MANUALES!$B$16:$B$69,$A109,MANUALES!R$16:R$69)+SUMIF(RODANTES!$B$16:$B$68,$A109,RODANTES!R$16:R$68)+SUMIF(RECARGAS!$B$16:$B$37,$A109,RECARGAS!AB$16:AB$37)+SUMIF(REVENDIDOS!$B$16:$B$25,$A109,REVENDIDOS!S$16:S$25)</f>
        <v>516.986209321755</v>
      </c>
      <c r="M109" s="13" t="n">
        <f aca="false">SUMIF(MANUALES!$B$16:$B$69,$A109,MANUALES!S$16:S$69)+SUMIF(RODANTES!$B$16:$B$68,$A109,RODANTES!S$16:S$68)+SUMIF(RECARGAS!$B$16:$B$37,$A109,RECARGAS!AC$16:AC$37)+SUMIF(REVENDIDOS!$B$16:$B$25,$A109,REVENDIDOS!T$16:T$25)</f>
        <v>716.593189303877</v>
      </c>
      <c r="N109" s="13" t="n">
        <f aca="false">SUMIF(MANUALES!$B$16:$B$69,$A109,MANUALES!T$16:T$69)+SUMIF(RODANTES!$B$16:$B$68,$A109,RODANTES!T$16:T$68)+SUMIF(RECARGAS!$B$16:$B$37,$A109,RECARGAS!AD$16:AD$37)+SUMIF(REVENDIDOS!$B$16:$B$25,$A109,REVENDIDOS!U$16:U$25)</f>
        <v>959.966932639233</v>
      </c>
      <c r="O109" s="13" t="n">
        <f aca="false">SUMIF(MANUALES!$B$16:$B$69,$A109,MANUALES!U$16:U$69)+SUMIF(RODANTES!$B$16:$B$68,$A109,RODANTES!U$16:U$68)+SUMIF(RECARGAS!$B$16:$B$37,$A109,RECARGAS!AE$16:AE$37)+SUMIF(REVENDIDOS!$B$16:$B$25,$A109,REVENDIDOS!V$16:V$25)</f>
        <v>1198.85603525306</v>
      </c>
      <c r="P109" s="13" t="n">
        <f aca="false">SUMIF(MANUALES!$B$16:$B$69,$A109,MANUALES!V$16:V$69)+SUMIF(RODANTES!$B$16:$B$68,$A109,RODANTES!V$16:V$68)+SUMIF(RECARGAS!$B$16:$B$37,$A109,RECARGAS!AF$16:AF$37)+SUMIF(REVENDIDOS!$B$16:$B$25,$A109,REVENDIDOS!W$16:W$25)</f>
        <v>1342.71993483241</v>
      </c>
      <c r="Q109" s="13" t="n">
        <f aca="false">SUMIF(MANUALES!$B$16:$B$69,$A109,MANUALES!W$16:W$69)+SUMIF(RODANTES!$B$16:$B$68,$A109,RODANTES!W$16:W$68)+SUMIF(RECARGAS!$B$16:$B$37,$A109,RECARGAS!AG$16:AG$37)+SUMIF(REVENDIDOS!$B$16:$B$25,$A109,REVENDIDOS!X$16:X$25)</f>
        <v>1548.49296577787</v>
      </c>
      <c r="R109" s="13" t="n">
        <f aca="false">SUMIF(MANUALES!$B$16:$B$69,$A109,MANUALES!X$16:X$69)+SUMIF(RODANTES!$B$16:$B$68,$A109,RODANTES!X$16:X$68)+SUMIF(RECARGAS!$B$16:$B$37,$A109,RECARGAS!AH$16:AH$37)+SUMIF(REVENDIDOS!$B$16:$B$25,$A109,REVENDIDOS!Y$16:Y$25)</f>
        <v>172.701408880483</v>
      </c>
    </row>
    <row r="110" customFormat="false" ht="15" hidden="false" customHeight="false" outlineLevel="0" collapsed="false">
      <c r="A110" s="3" t="s">
        <v>406</v>
      </c>
      <c r="B110" s="3" t="s">
        <v>407</v>
      </c>
      <c r="C110" s="3" t="s">
        <v>214</v>
      </c>
      <c r="D110" s="13" t="n">
        <f aca="false">SUMIF(MANUALES!$B$16:$B$69,$A110,MANUALES!W$16:W$69)</f>
        <v>0</v>
      </c>
      <c r="E110" s="13" t="n">
        <f aca="false">SUMIF(RODANTES!$B$16:$B$68,$A110,RODANTES!W$16:W$68)</f>
        <v>775.2705332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SUMIF(MANUALES!$B$16:$B$69,$A110,MANUALES!N$16:N$69)+SUMIF(RODANTES!$B$16:$B$68,$A110,RODANTES!N$16:N$68)+SUMIF(RECARGAS!$B$16:$B$37,$A110,RECARGAS!X$16:X$37)+SUMIF(REVENDIDOS!$B$16:$B$25,$A110,REVENDIDOS!O$16:O$25)</f>
        <v>34.05179136</v>
      </c>
      <c r="I110" s="13" t="n">
        <f aca="false">SUMIF(MANUALES!$B$16:$B$69,$A110,MANUALES!O$16:O$69)+SUMIF(RODANTES!$B$16:$B$68,$A110,RODANTES!O$16:O$68)+SUMIF(RECARGAS!$B$16:$B$37,$A110,RECARGAS!Y$16:Y$37)+SUMIF(REVENDIDOS!$B$16:$B$25,$A110,REVENDIDOS!P$16:P$25)</f>
        <v>58.46214745</v>
      </c>
      <c r="J110" s="13" t="n">
        <f aca="false">SUMIF(MANUALES!$B$16:$B$69,$A110,MANUALES!P$16:P$69)+SUMIF(RODANTES!$B$16:$B$68,$A110,RODANTES!P$16:P$68)+SUMIF(RECARGAS!$B$16:$B$37,$A110,RECARGAS!Z$16:Z$37)+SUMIF(REVENDIDOS!$B$16:$B$25,$A110,REVENDIDOS!Q$16:Q$25)</f>
        <v>89.60853998</v>
      </c>
      <c r="K110" s="13" t="n">
        <f aca="false">SUMIF(MANUALES!$B$16:$B$69,$A110,MANUALES!Q$16:Q$69)+SUMIF(RODANTES!$B$16:$B$68,$A110,RODANTES!Q$16:Q$68)+SUMIF(RECARGAS!$B$16:$B$37,$A110,RECARGAS!AA$16:AA$37)+SUMIF(REVENDIDOS!$B$16:$B$25,$A110,REVENDIDOS!R$16:R$25)</f>
        <v>150.7298529</v>
      </c>
      <c r="L110" s="13" t="n">
        <f aca="false">SUMIF(MANUALES!$B$16:$B$69,$A110,MANUALES!R$16:R$69)+SUMIF(RODANTES!$B$16:$B$68,$A110,RODANTES!R$16:R$68)+SUMIF(RECARGAS!$B$16:$B$37,$A110,RECARGAS!AB$16:AB$37)+SUMIF(REVENDIDOS!$B$16:$B$25,$A110,REVENDIDOS!S$16:S$25)</f>
        <v>248.8760035</v>
      </c>
      <c r="M110" s="13" t="n">
        <f aca="false">SUMIF(MANUALES!$B$16:$B$69,$A110,MANUALES!S$16:S$69)+SUMIF(RODANTES!$B$16:$B$68,$A110,RODANTES!S$16:S$68)+SUMIF(RECARGAS!$B$16:$B$37,$A110,RECARGAS!AC$16:AC$37)+SUMIF(REVENDIDOS!$B$16:$B$25,$A110,REVENDIDOS!T$16:T$25)</f>
        <v>346.9344827</v>
      </c>
      <c r="N110" s="13" t="n">
        <f aca="false">SUMIF(MANUALES!$B$16:$B$69,$A110,MANUALES!T$16:T$69)+SUMIF(RODANTES!$B$16:$B$68,$A110,RODANTES!T$16:T$68)+SUMIF(RECARGAS!$B$16:$B$37,$A110,RECARGAS!AD$16:AD$37)+SUMIF(REVENDIDOS!$B$16:$B$25,$A110,REVENDIDOS!U$16:U$25)</f>
        <v>463.6682332</v>
      </c>
      <c r="O110" s="13" t="n">
        <f aca="false">SUMIF(MANUALES!$B$16:$B$69,$A110,MANUALES!U$16:U$69)+SUMIF(RODANTES!$B$16:$B$68,$A110,RODANTES!U$16:U$68)+SUMIF(RECARGAS!$B$16:$B$37,$A110,RECARGAS!AE$16:AE$37)+SUMIF(REVENDIDOS!$B$16:$B$25,$A110,REVENDIDOS!V$16:V$25)</f>
        <v>584.8486707</v>
      </c>
      <c r="P110" s="13" t="n">
        <f aca="false">SUMIF(MANUALES!$B$16:$B$69,$A110,MANUALES!V$16:V$69)+SUMIF(RODANTES!$B$16:$B$68,$A110,RODANTES!V$16:V$68)+SUMIF(RECARGAS!$B$16:$B$37,$A110,RECARGAS!AF$16:AF$37)+SUMIF(REVENDIDOS!$B$16:$B$25,$A110,REVENDIDOS!W$16:W$25)</f>
        <v>670.6274156</v>
      </c>
      <c r="Q110" s="13" t="n">
        <f aca="false">SUMIF(MANUALES!$B$16:$B$69,$A110,MANUALES!W$16:W$69)+SUMIF(RODANTES!$B$16:$B$68,$A110,RODANTES!W$16:W$68)+SUMIF(RECARGAS!$B$16:$B$37,$A110,RECARGAS!AG$16:AG$37)+SUMIF(REVENDIDOS!$B$16:$B$25,$A110,REVENDIDOS!X$16:X$25)</f>
        <v>775.2705332</v>
      </c>
      <c r="R110" s="13" t="n">
        <f aca="false">SUMIF(MANUALES!$B$16:$B$69,$A110,MANUALES!X$16:X$69)+SUMIF(RODANTES!$B$16:$B$68,$A110,RODANTES!X$16:X$68)+SUMIF(RECARGAS!$B$16:$B$37,$A110,RECARGAS!AH$16:AH$37)+SUMIF(REVENDIDOS!$B$16:$B$25,$A110,REVENDIDOS!Y$16:Y$25)</f>
        <v>69.774347988</v>
      </c>
    </row>
    <row r="111" customFormat="false" ht="15" hidden="false" customHeight="false" outlineLevel="0" collapsed="false">
      <c r="A111" s="3" t="s">
        <v>409</v>
      </c>
      <c r="B111" s="3" t="s">
        <v>410</v>
      </c>
      <c r="C111" s="3" t="s">
        <v>214</v>
      </c>
      <c r="D111" s="13" t="n">
        <f aca="false">SUMIF(MANUALES!$B$16:$B$69,$A111,MANUALES!W$16:W$69)</f>
        <v>0</v>
      </c>
      <c r="E111" s="13" t="n">
        <f aca="false">SUMIF(RODANTES!$B$16:$B$68,$A111,RODANTES!W$16:W$68)</f>
        <v>1706.46202561832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SUMIF(MANUALES!$B$16:$B$69,$A111,MANUALES!N$16:N$69)+SUMIF(RODANTES!$B$16:$B$68,$A111,RODANTES!N$16:N$68)+SUMIF(RECARGAS!$B$16:$B$37,$A111,RECARGAS!X$16:X$37)+SUMIF(REVENDIDOS!$B$16:$B$25,$A111,REVENDIDOS!O$16:O$25)</f>
        <v>75.2563335725177</v>
      </c>
      <c r="I111" s="13" t="n">
        <f aca="false">SUMIF(MANUALES!$B$16:$B$69,$A111,MANUALES!O$16:O$69)+SUMIF(RODANTES!$B$16:$B$68,$A111,RODANTES!O$16:O$68)+SUMIF(RECARGAS!$B$16:$B$37,$A111,RECARGAS!Y$16:Y$37)+SUMIF(REVENDIDOS!$B$16:$B$25,$A111,REVENDIDOS!P$16:P$25)</f>
        <v>129.318629173661</v>
      </c>
      <c r="J111" s="13" t="n">
        <f aca="false">SUMIF(MANUALES!$B$16:$B$69,$A111,MANUALES!P$16:P$69)+SUMIF(RODANTES!$B$16:$B$68,$A111,RODANTES!P$16:P$68)+SUMIF(RECARGAS!$B$16:$B$37,$A111,RECARGAS!Z$16:Z$37)+SUMIF(REVENDIDOS!$B$16:$B$25,$A111,REVENDIDOS!Q$16:Q$25)</f>
        <v>198.679717175949</v>
      </c>
      <c r="K111" s="13" t="n">
        <f aca="false">SUMIF(MANUALES!$B$16:$B$69,$A111,MANUALES!Q$16:Q$69)+SUMIF(RODANTES!$B$16:$B$68,$A111,RODANTES!Q$16:Q$68)+SUMIF(RECARGAS!$B$16:$B$37,$A111,RECARGAS!AA$16:AA$37)+SUMIF(REVENDIDOS!$B$16:$B$25,$A111,REVENDIDOS!R$16:R$25)</f>
        <v>333.79747676297</v>
      </c>
      <c r="L111" s="13" t="n">
        <f aca="false">SUMIF(MANUALES!$B$16:$B$69,$A111,MANUALES!R$16:R$69)+SUMIF(RODANTES!$B$16:$B$68,$A111,RODANTES!R$16:R$68)+SUMIF(RECARGAS!$B$16:$B$37,$A111,RECARGAS!AB$16:AB$37)+SUMIF(REVENDIDOS!$B$16:$B$25,$A111,REVENDIDOS!S$16:S$25)</f>
        <v>550.044606106099</v>
      </c>
      <c r="M111" s="13" t="n">
        <f aca="false">SUMIF(MANUALES!$B$16:$B$69,$A111,MANUALES!S$16:S$69)+SUMIF(RODANTES!$B$16:$B$68,$A111,RODANTES!S$16:S$68)+SUMIF(RECARGAS!$B$16:$B$37,$A111,RECARGAS!AC$16:AC$37)+SUMIF(REVENDIDOS!$B$16:$B$25,$A111,REVENDIDOS!T$16:T$25)</f>
        <v>766.201251121746</v>
      </c>
      <c r="N111" s="13" t="n">
        <f aca="false">SUMIF(MANUALES!$B$16:$B$69,$A111,MANUALES!T$16:T$69)+SUMIF(RODANTES!$B$16:$B$68,$A111,RODANTES!T$16:T$68)+SUMIF(RECARGAS!$B$16:$B$37,$A111,RECARGAS!AD$16:AD$37)+SUMIF(REVENDIDOS!$B$16:$B$25,$A111,REVENDIDOS!U$16:U$25)</f>
        <v>1022.77582722098</v>
      </c>
      <c r="O111" s="13" t="n">
        <f aca="false">SUMIF(MANUALES!$B$16:$B$69,$A111,MANUALES!U$16:U$69)+SUMIF(RODANTES!$B$16:$B$68,$A111,RODANTES!U$16:U$68)+SUMIF(RECARGAS!$B$16:$B$37,$A111,RECARGAS!AE$16:AE$37)+SUMIF(REVENDIDOS!$B$16:$B$25,$A111,REVENDIDOS!V$16:V$25)</f>
        <v>1288.77360291908</v>
      </c>
      <c r="P111" s="13" t="n">
        <f aca="false">SUMIF(MANUALES!$B$16:$B$69,$A111,MANUALES!V$16:V$69)+SUMIF(RODANTES!$B$16:$B$68,$A111,RODANTES!V$16:V$68)+SUMIF(RECARGAS!$B$16:$B$37,$A111,RECARGAS!AF$16:AF$37)+SUMIF(REVENDIDOS!$B$16:$B$25,$A111,REVENDIDOS!W$16:W$25)</f>
        <v>1477.13820050496</v>
      </c>
      <c r="Q111" s="13" t="n">
        <f aca="false">SUMIF(MANUALES!$B$16:$B$69,$A111,MANUALES!W$16:W$69)+SUMIF(RODANTES!$B$16:$B$68,$A111,RODANTES!W$16:W$68)+SUMIF(RECARGAS!$B$16:$B$37,$A111,RECARGAS!AG$16:AG$37)+SUMIF(REVENDIDOS!$B$16:$B$25,$A111,REVENDIDOS!X$16:X$25)</f>
        <v>1706.46202561832</v>
      </c>
      <c r="R111" s="13" t="n">
        <f aca="false">SUMIF(MANUALES!$B$16:$B$69,$A111,MANUALES!X$16:X$69)+SUMIF(RODANTES!$B$16:$B$68,$A111,RODANTES!X$16:X$68)+SUMIF(RECARGAS!$B$16:$B$37,$A111,RECARGAS!AH$16:AH$37)+SUMIF(REVENDIDOS!$B$16:$B$25,$A111,REVENDIDOS!Y$16:Y$25)</f>
        <v>153.581582305648</v>
      </c>
    </row>
    <row r="112" customFormat="false" ht="15" hidden="false" customHeight="false" outlineLevel="0" collapsed="false">
      <c r="A112" s="3" t="s">
        <v>412</v>
      </c>
      <c r="B112" s="3" t="s">
        <v>413</v>
      </c>
      <c r="C112" s="3" t="s">
        <v>214</v>
      </c>
      <c r="D112" s="13" t="n">
        <f aca="false">SUMIF(MANUALES!$B$16:$B$69,$A112,MANUALES!W$16:W$69)</f>
        <v>0</v>
      </c>
      <c r="E112" s="13" t="n">
        <f aca="false">SUMIF(RODANTES!$B$16:$B$68,$A112,RODANTES!W$16:W$68)</f>
        <v>372.569856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SUMIF(MANUALES!$B$16:$B$69,$A112,MANUALES!N$16:N$69)+SUMIF(RODANTES!$B$16:$B$68,$A112,RODANTES!N$16:N$68)+SUMIF(RECARGAS!$B$16:$B$37,$A112,RECARGAS!X$16:X$37)+SUMIF(REVENDIDOS!$B$16:$B$25,$A112,REVENDIDOS!O$16:O$25)</f>
        <v>16.34485985</v>
      </c>
      <c r="I112" s="13" t="n">
        <f aca="false">SUMIF(MANUALES!$B$16:$B$69,$A112,MANUALES!O$16:O$69)+SUMIF(RODANTES!$B$16:$B$68,$A112,RODANTES!O$16:O$68)+SUMIF(RECARGAS!$B$16:$B$37,$A112,RECARGAS!Y$16:Y$37)+SUMIF(REVENDIDOS!$B$16:$B$25,$A112,REVENDIDOS!P$16:P$25)</f>
        <v>28.06183078</v>
      </c>
      <c r="J112" s="13" t="n">
        <f aca="false">SUMIF(MANUALES!$B$16:$B$69,$A112,MANUALES!P$16:P$69)+SUMIF(RODANTES!$B$16:$B$68,$A112,RODANTES!P$16:P$68)+SUMIF(RECARGAS!$B$16:$B$37,$A112,RECARGAS!Z$16:Z$37)+SUMIF(REVENDIDOS!$B$16:$B$25,$A112,REVENDIDOS!Q$16:Q$25)</f>
        <v>43.10009919</v>
      </c>
      <c r="K112" s="13" t="n">
        <f aca="false">SUMIF(MANUALES!$B$16:$B$69,$A112,MANUALES!Q$16:Q$69)+SUMIF(RODANTES!$B$16:$B$68,$A112,RODANTES!Q$16:Q$68)+SUMIF(RECARGAS!$B$16:$B$37,$A112,RECARGAS!AA$16:AA$37)+SUMIF(REVENDIDOS!$B$16:$B$25,$A112,REVENDIDOS!R$16:R$25)</f>
        <v>72.65432941</v>
      </c>
      <c r="L112" s="13" t="n">
        <f aca="false">SUMIF(MANUALES!$B$16:$B$69,$A112,MANUALES!R$16:R$69)+SUMIF(RODANTES!$B$16:$B$68,$A112,RODANTES!R$16:R$68)+SUMIF(RECARGAS!$B$16:$B$37,$A112,RECARGAS!AB$16:AB$37)+SUMIF(REVENDIDOS!$B$16:$B$25,$A112,REVENDIDOS!S$16:S$25)</f>
        <v>120.02048167</v>
      </c>
      <c r="M112" s="13" t="n">
        <f aca="false">SUMIF(MANUALES!$B$16:$B$69,$A112,MANUALES!S$16:S$69)+SUMIF(RODANTES!$B$16:$B$68,$A112,RODANTES!S$16:S$68)+SUMIF(RECARGAS!$B$16:$B$37,$A112,RECARGAS!AC$16:AC$37)+SUMIF(REVENDIDOS!$B$16:$B$25,$A112,REVENDIDOS!T$16:T$25)</f>
        <v>167.1285517</v>
      </c>
      <c r="N112" s="13" t="n">
        <f aca="false">SUMIF(MANUALES!$B$16:$B$69,$A112,MANUALES!T$16:T$69)+SUMIF(RODANTES!$B$16:$B$68,$A112,RODANTES!T$16:T$68)+SUMIF(RECARGAS!$B$16:$B$37,$A112,RECARGAS!AD$16:AD$37)+SUMIF(REVENDIDOS!$B$16:$B$25,$A112,REVENDIDOS!U$16:U$25)</f>
        <v>223.0807519</v>
      </c>
      <c r="O112" s="13" t="n">
        <f aca="false">SUMIF(MANUALES!$B$16:$B$69,$A112,MANUALES!U$16:U$69)+SUMIF(RODANTES!$B$16:$B$68,$A112,RODANTES!U$16:U$68)+SUMIF(RECARGAS!$B$16:$B$37,$A112,RECARGAS!AE$16:AE$37)+SUMIF(REVENDIDOS!$B$16:$B$25,$A112,REVENDIDOS!V$16:V$25)</f>
        <v>281.1673619</v>
      </c>
      <c r="P112" s="13" t="n">
        <f aca="false">SUMIF(MANUALES!$B$16:$B$69,$A112,MANUALES!V$16:V$69)+SUMIF(RODANTES!$B$16:$B$68,$A112,RODANTES!V$16:V$68)+SUMIF(RECARGAS!$B$16:$B$37,$A112,RECARGAS!AF$16:AF$37)+SUMIF(REVENDIDOS!$B$16:$B$25,$A112,REVENDIDOS!W$16:W$25)</f>
        <v>322.3411595</v>
      </c>
      <c r="Q112" s="13" t="n">
        <f aca="false">SUMIF(MANUALES!$B$16:$B$69,$A112,MANUALES!W$16:W$69)+SUMIF(RODANTES!$B$16:$B$68,$A112,RODANTES!W$16:W$68)+SUMIF(RECARGAS!$B$16:$B$37,$A112,RECARGAS!AG$16:AG$37)+SUMIF(REVENDIDOS!$B$16:$B$25,$A112,REVENDIDOS!X$16:X$25)</f>
        <v>372.569856</v>
      </c>
      <c r="R112" s="13" t="n">
        <f aca="false">SUMIF(MANUALES!$B$16:$B$69,$A112,MANUALES!X$16:X$69)+SUMIF(RODANTES!$B$16:$B$68,$A112,RODANTES!X$16:X$68)+SUMIF(RECARGAS!$B$16:$B$37,$A112,RECARGAS!AH$16:AH$37)+SUMIF(REVENDIDOS!$B$16:$B$25,$A112,REVENDIDOS!Y$16:Y$25)</f>
        <v>33.53128704</v>
      </c>
    </row>
    <row r="113" customFormat="false" ht="15" hidden="false" customHeight="false" outlineLevel="0" collapsed="false">
      <c r="A113" s="3" t="s">
        <v>415</v>
      </c>
      <c r="B113" s="3" t="s">
        <v>416</v>
      </c>
      <c r="C113" s="3" t="s">
        <v>214</v>
      </c>
      <c r="D113" s="13" t="n">
        <f aca="false">SUMIF(MANUALES!$B$16:$B$69,$A113,MANUALES!W$16:W$69)</f>
        <v>0</v>
      </c>
      <c r="E113" s="13" t="n">
        <f aca="false">SUMIF(RODANTES!$B$16:$B$68,$A113,RODANTES!W$16:W$68)</f>
        <v>247.200647257633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SUMIF(MANUALES!$B$16:$B$69,$A113,MANUALES!N$16:N$69)+SUMIF(RODANTES!$B$16:$B$68,$A113,RODANTES!N$16:N$68)+SUMIF(RECARGAS!$B$16:$B$37,$A113,RECARGAS!X$16:X$37)+SUMIF(REVENDIDOS!$B$16:$B$25,$A113,REVENDIDOS!O$16:O$25)</f>
        <v>11.2389658125177</v>
      </c>
      <c r="I113" s="13" t="n">
        <f aca="false">SUMIF(MANUALES!$B$16:$B$69,$A113,MANUALES!O$16:O$69)+SUMIF(RODANTES!$B$16:$B$68,$A113,RODANTES!O$16:O$68)+SUMIF(RECARGAS!$B$16:$B$37,$A113,RECARGAS!Y$16:Y$37)+SUMIF(REVENDIDOS!$B$16:$B$25,$A113,REVENDIDOS!P$16:P$25)</f>
        <v>18.7250068186259</v>
      </c>
      <c r="J113" s="13" t="n">
        <f aca="false">SUMIF(MANUALES!$B$16:$B$69,$A113,MANUALES!P$16:P$69)+SUMIF(RODANTES!$B$16:$B$68,$A113,RODANTES!P$16:P$68)+SUMIF(RECARGAS!$B$16:$B$37,$A113,RECARGAS!Z$16:Z$37)+SUMIF(REVENDIDOS!$B$16:$B$25,$A113,REVENDIDOS!Q$16:Q$25)</f>
        <v>29.0262449911436</v>
      </c>
      <c r="K113" s="13" t="n">
        <f aca="false">SUMIF(MANUALES!$B$16:$B$69,$A113,MANUALES!Q$16:Q$69)+SUMIF(RODANTES!$B$16:$B$68,$A113,RODANTES!Q$16:Q$68)+SUMIF(RECARGAS!$B$16:$B$37,$A113,RECARGAS!AA$16:AA$37)+SUMIF(REVENDIDOS!$B$16:$B$25,$A113,REVENDIDOS!R$16:R$25)</f>
        <v>48.5461847697695</v>
      </c>
      <c r="L113" s="13" t="n">
        <f aca="false">SUMIF(MANUALES!$B$16:$B$69,$A113,MANUALES!R$16:R$69)+SUMIF(RODANTES!$B$16:$B$68,$A113,RODANTES!R$16:R$68)+SUMIF(RECARGAS!$B$16:$B$37,$A113,RECARGAS!AB$16:AB$37)+SUMIF(REVENDIDOS!$B$16:$B$25,$A113,REVENDIDOS!S$16:S$25)</f>
        <v>80.2164651509131</v>
      </c>
      <c r="M113" s="13" t="n">
        <f aca="false">SUMIF(MANUALES!$B$16:$B$69,$A113,MANUALES!S$16:S$69)+SUMIF(RODANTES!$B$16:$B$68,$A113,RODANTES!S$16:S$68)+SUMIF(RECARGAS!$B$16:$B$37,$A113,RECARGAS!AC$16:AC$37)+SUMIF(REVENDIDOS!$B$16:$B$25,$A113,REVENDIDOS!T$16:T$25)</f>
        <v>111.047025185647</v>
      </c>
      <c r="N113" s="13" t="n">
        <f aca="false">SUMIF(MANUALES!$B$16:$B$69,$A113,MANUALES!T$16:T$69)+SUMIF(RODANTES!$B$16:$B$68,$A113,RODANTES!T$16:T$68)+SUMIF(RECARGAS!$B$16:$B$37,$A113,RECARGAS!AD$16:AD$37)+SUMIF(REVENDIDOS!$B$16:$B$25,$A113,REVENDIDOS!U$16:U$25)</f>
        <v>148.098944954273</v>
      </c>
      <c r="O113" s="13" t="n">
        <f aca="false">SUMIF(MANUALES!$B$16:$B$69,$A113,MANUALES!U$16:U$69)+SUMIF(RODANTES!$B$16:$B$68,$A113,RODANTES!U$16:U$68)+SUMIF(RECARGAS!$B$16:$B$37,$A113,RECARGAS!AE$16:AE$37)+SUMIF(REVENDIDOS!$B$16:$B$25,$A113,REVENDIDOS!V$16:V$25)</f>
        <v>186.573804572899</v>
      </c>
      <c r="P113" s="13" t="n">
        <f aca="false">SUMIF(MANUALES!$B$16:$B$69,$A113,MANUALES!V$16:V$69)+SUMIF(RODANTES!$B$16:$B$68,$A113,RODANTES!V$16:V$68)+SUMIF(RECARGAS!$B$16:$B$37,$A113,RECARGAS!AF$16:AF$37)+SUMIF(REVENDIDOS!$B$16:$B$25,$A113,REVENDIDOS!W$16:W$25)</f>
        <v>214.040122601525</v>
      </c>
      <c r="Q113" s="13" t="n">
        <f aca="false">SUMIF(MANUALES!$B$16:$B$69,$A113,MANUALES!W$16:W$69)+SUMIF(RODANTES!$B$16:$B$68,$A113,RODANTES!W$16:W$68)+SUMIF(RECARGAS!$B$16:$B$37,$A113,RECARGAS!AG$16:AG$37)+SUMIF(REVENDIDOS!$B$16:$B$25,$A113,REVENDIDOS!X$16:X$25)</f>
        <v>247.200647257633</v>
      </c>
      <c r="R113" s="13" t="n">
        <f aca="false">SUMIF(MANUALES!$B$16:$B$69,$A113,MANUALES!X$16:X$69)+SUMIF(RODANTES!$B$16:$B$68,$A113,RODANTES!X$16:X$68)+SUMIF(RECARGAS!$B$16:$B$37,$A113,RECARGAS!AH$16:AH$37)+SUMIF(REVENDIDOS!$B$16:$B$25,$A113,REVENDIDOS!Y$16:Y$25)</f>
        <v>22.248058253187</v>
      </c>
    </row>
    <row r="114" customFormat="false" ht="15" hidden="false" customHeight="false" outlineLevel="0" collapsed="false">
      <c r="A114" s="3" t="s">
        <v>554</v>
      </c>
      <c r="B114" s="3" t="s">
        <v>555</v>
      </c>
      <c r="C114" s="3" t="s">
        <v>214</v>
      </c>
      <c r="D114" s="13" t="n">
        <f aca="false">SUMIF(MANUALES!$B$16:$B$69,$A114,MANUALES!W$16:W$69)</f>
        <v>0</v>
      </c>
      <c r="E114" s="13" t="n">
        <f aca="false">SUMIF(RODANTES!$B$16:$B$68,$A114,RODANTES!W$16:W$68)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2908.74932244082</v>
      </c>
      <c r="H114" s="13" t="n">
        <f aca="false">SUMIF(MANUALES!$B$16:$B$69,$A114,MANUALES!N$16:N$69)+SUMIF(RODANTES!$B$16:$B$68,$A114,RODANTES!N$16:N$68)+SUMIF(RECARGAS!$B$16:$B$37,$A114,RECARGAS!X$16:X$37)+SUMIF(REVENDIDOS!$B$16:$B$25,$A114,REVENDIDOS!O$16:O$25)</f>
        <v>176.292744445035</v>
      </c>
      <c r="I114" s="13" t="n">
        <f aca="false">SUMIF(MANUALES!$B$16:$B$69,$A114,MANUALES!O$16:O$69)+SUMIF(RODANTES!$B$16:$B$68,$A114,RODANTES!O$16:O$68)+SUMIF(RECARGAS!$B$16:$B$37,$A114,RECARGAS!Y$16:Y$37)+SUMIF(REVENDIDOS!$B$16:$B$25,$A114,REVENDIDOS!P$16:P$25)</f>
        <v>322.13681361984</v>
      </c>
      <c r="J114" s="13" t="n">
        <f aca="false">SUMIF(MANUALES!$B$16:$B$69,$A114,MANUALES!P$16:P$69)+SUMIF(RODANTES!$B$16:$B$68,$A114,RODANTES!P$16:P$68)+SUMIF(RECARGAS!$B$16:$B$37,$A114,RECARGAS!Z$16:Z$37)+SUMIF(REVENDIDOS!$B$16:$B$25,$A114,REVENDIDOS!Q$16:Q$25)</f>
        <v>439.790151253041</v>
      </c>
      <c r="K114" s="13" t="n">
        <f aca="false">SUMIF(MANUALES!$B$16:$B$69,$A114,MANUALES!Q$16:Q$69)+SUMIF(RODANTES!$B$16:$B$68,$A114,RODANTES!Q$16:Q$68)+SUMIF(RECARGAS!$B$16:$B$37,$A114,RECARGAS!AA$16:AA$37)+SUMIF(REVENDIDOS!$B$16:$B$25,$A114,REVENDIDOS!R$16:R$25)</f>
        <v>607.353985773262</v>
      </c>
      <c r="L114" s="13" t="n">
        <f aca="false">SUMIF(MANUALES!$B$16:$B$69,$A114,MANUALES!R$16:R$69)+SUMIF(RODANTES!$B$16:$B$68,$A114,RODANTES!R$16:R$68)+SUMIF(RECARGAS!$B$16:$B$37,$A114,RECARGAS!AB$16:AB$37)+SUMIF(REVENDIDOS!$B$16:$B$25,$A114,REVENDIDOS!S$16:S$25)</f>
        <v>980.066460274025</v>
      </c>
      <c r="M114" s="13" t="n">
        <f aca="false">SUMIF(MANUALES!$B$16:$B$69,$A114,MANUALES!S$16:S$69)+SUMIF(RODANTES!$B$16:$B$68,$A114,RODANTES!S$16:S$68)+SUMIF(RECARGAS!$B$16:$B$37,$A114,RECARGAS!AC$16:AC$37)+SUMIF(REVENDIDOS!$B$16:$B$25,$A114,REVENDIDOS!T$16:T$25)</f>
        <v>1375.62808767479</v>
      </c>
      <c r="N114" s="13" t="n">
        <f aca="false">SUMIF(MANUALES!$B$16:$B$69,$A114,MANUALES!T$16:T$69)+SUMIF(RODANTES!$B$16:$B$68,$A114,RODANTES!T$16:T$68)+SUMIF(RECARGAS!$B$16:$B$37,$A114,RECARGAS!AD$16:AD$37)+SUMIF(REVENDIDOS!$B$16:$B$25,$A114,REVENDIDOS!U$16:U$25)</f>
        <v>1772.62741190303</v>
      </c>
      <c r="O114" s="13" t="n">
        <f aca="false">SUMIF(MANUALES!$B$16:$B$69,$A114,MANUALES!U$16:U$69)+SUMIF(RODANTES!$B$16:$B$68,$A114,RODANTES!U$16:U$68)+SUMIF(RECARGAS!$B$16:$B$37,$A114,RECARGAS!AE$16:AE$37)+SUMIF(REVENDIDOS!$B$16:$B$25,$A114,REVENDIDOS!V$16:V$25)</f>
        <v>2192.42135221258</v>
      </c>
      <c r="P114" s="13" t="n">
        <f aca="false">SUMIF(MANUALES!$B$16:$B$69,$A114,MANUALES!V$16:V$69)+SUMIF(RODANTES!$B$16:$B$68,$A114,RODANTES!V$16:V$68)+SUMIF(RECARGAS!$B$16:$B$37,$A114,RECARGAS!AF$16:AF$37)+SUMIF(REVENDIDOS!$B$16:$B$25,$A114,REVENDIDOS!W$16:W$25)</f>
        <v>2539.75006009655</v>
      </c>
      <c r="Q114" s="13" t="n">
        <f aca="false">SUMIF(MANUALES!$B$16:$B$69,$A114,MANUALES!W$16:W$69)+SUMIF(RODANTES!$B$16:$B$68,$A114,RODANTES!W$16:W$68)+SUMIF(RECARGAS!$B$16:$B$37,$A114,RECARGAS!AG$16:AG$37)+SUMIF(REVENDIDOS!$B$16:$B$25,$A114,REVENDIDOS!X$16:X$25)</f>
        <v>2908.74932244082</v>
      </c>
      <c r="R114" s="13" t="n">
        <f aca="false">SUMIF(MANUALES!$B$16:$B$69,$A114,MANUALES!X$16:X$69)+SUMIF(RODANTES!$B$16:$B$68,$A114,RODANTES!X$16:X$68)+SUMIF(RECARGAS!$B$16:$B$37,$A114,RECARGAS!AH$16:AH$37)+SUMIF(REVENDIDOS!$B$16:$B$25,$A114,REVENDIDOS!Y$16:Y$25)</f>
        <v>319.962425468491</v>
      </c>
    </row>
    <row r="115" customFormat="false" ht="15" hidden="false" customHeight="false" outlineLevel="0" collapsed="false">
      <c r="A115" s="3" t="s">
        <v>557</v>
      </c>
      <c r="B115" s="3" t="s">
        <v>558</v>
      </c>
      <c r="C115" s="3" t="s">
        <v>214</v>
      </c>
      <c r="D115" s="13" t="n">
        <f aca="false">SUMIF(MANUALES!$B$16:$B$69,$A115,MANUALES!W$16:W$69)</f>
        <v>0</v>
      </c>
      <c r="E115" s="13" t="n">
        <f aca="false">SUMIF(RODANTES!$B$16:$B$68,$A115,RODANTES!W$16:W$68)</f>
        <v>0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971.66283030305</v>
      </c>
      <c r="H115" s="13" t="n">
        <f aca="false">SUMIF(MANUALES!$B$16:$B$69,$A115,MANUALES!N$16:N$69)+SUMIF(RODANTES!$B$16:$B$68,$A115,RODANTES!N$16:N$68)+SUMIF(RECARGAS!$B$16:$B$37,$A115,RECARGAS!X$16:X$37)+SUMIF(REVENDIDOS!$B$16:$B$25,$A115,REVENDIDOS!O$16:O$25)</f>
        <v>99.8441779025177</v>
      </c>
      <c r="I115" s="13" t="n">
        <f aca="false">SUMIF(MANUALES!$B$16:$B$69,$A115,MANUALES!O$16:O$69)+SUMIF(RODANTES!$B$16:$B$68,$A115,RODANTES!O$16:O$68)+SUMIF(RECARGAS!$B$16:$B$37,$A115,RECARGAS!Y$16:Y$37)+SUMIF(REVENDIDOS!$B$16:$B$25,$A115,REVENDIDOS!P$16:P$25)</f>
        <v>160.246354601144</v>
      </c>
      <c r="J115" s="13" t="n">
        <f aca="false">SUMIF(MANUALES!$B$16:$B$69,$A115,MANUALES!P$16:P$69)+SUMIF(RODANTES!$B$16:$B$68,$A115,RODANTES!P$16:P$68)+SUMIF(RECARGAS!$B$16:$B$37,$A115,RECARGAS!Z$16:Z$37)+SUMIF(REVENDIDOS!$B$16:$B$25,$A115,REVENDIDOS!Q$16:Q$25)</f>
        <v>194.134174202287</v>
      </c>
      <c r="K115" s="13" t="n">
        <f aca="false">SUMIF(MANUALES!$B$16:$B$69,$A115,MANUALES!Q$16:Q$69)+SUMIF(RODANTES!$B$16:$B$68,$A115,RODANTES!Q$16:Q$68)+SUMIF(RECARGAS!$B$16:$B$37,$A115,RECARGAS!AA$16:AA$37)+SUMIF(REVENDIDOS!$B$16:$B$25,$A115,REVENDIDOS!R$16:R$25)</f>
        <v>248.635496559539</v>
      </c>
      <c r="L115" s="13" t="n">
        <f aca="false">SUMIF(MANUALES!$B$16:$B$69,$A115,MANUALES!R$16:R$69)+SUMIF(RODANTES!$B$16:$B$68,$A115,RODANTES!R$16:R$68)+SUMIF(RECARGAS!$B$16:$B$37,$A115,RECARGAS!AB$16:AB$37)+SUMIF(REVENDIDOS!$B$16:$B$25,$A115,REVENDIDOS!S$16:S$25)</f>
        <v>361.397538689309</v>
      </c>
      <c r="M115" s="13" t="n">
        <f aca="false">SUMIF(MANUALES!$B$16:$B$69,$A115,MANUALES!S$16:S$69)+SUMIF(RODANTES!$B$16:$B$68,$A115,RODANTES!S$16:S$68)+SUMIF(RECARGAS!$B$16:$B$37,$A115,RECARGAS!AC$16:AC$37)+SUMIF(REVENDIDOS!$B$16:$B$25,$A115,REVENDIDOS!T$16:T$25)</f>
        <v>448.708475102668</v>
      </c>
      <c r="N115" s="13" t="n">
        <f aca="false">SUMIF(MANUALES!$B$16:$B$69,$A115,MANUALES!T$16:T$69)+SUMIF(RODANTES!$B$16:$B$68,$A115,RODANTES!T$16:T$68)+SUMIF(RECARGAS!$B$16:$B$37,$A115,RECARGAS!AD$16:AD$37)+SUMIF(REVENDIDOS!$B$16:$B$25,$A115,REVENDIDOS!U$16:U$25)</f>
        <v>574.81908035992</v>
      </c>
      <c r="O115" s="13" t="n">
        <f aca="false">SUMIF(MANUALES!$B$16:$B$69,$A115,MANUALES!U$16:U$69)+SUMIF(RODANTES!$B$16:$B$68,$A115,RODANTES!U$16:U$68)+SUMIF(RECARGAS!$B$16:$B$37,$A115,RECARGAS!AE$16:AE$37)+SUMIF(REVENDIDOS!$B$16:$B$25,$A115,REVENDIDOS!V$16:V$25)</f>
        <v>712.638685317172</v>
      </c>
      <c r="P115" s="13" t="n">
        <f aca="false">SUMIF(MANUALES!$B$16:$B$69,$A115,MANUALES!V$16:V$69)+SUMIF(RODANTES!$B$16:$B$68,$A115,RODANTES!V$16:V$68)+SUMIF(RECARGAS!$B$16:$B$37,$A115,RECARGAS!AF$16:AF$37)+SUMIF(REVENDIDOS!$B$16:$B$25,$A115,REVENDIDOS!W$16:W$25)</f>
        <v>836.643748001906</v>
      </c>
      <c r="Q115" s="13" t="n">
        <f aca="false">SUMIF(MANUALES!$B$16:$B$69,$A115,MANUALES!W$16:W$69)+SUMIF(RODANTES!$B$16:$B$68,$A115,RODANTES!W$16:W$68)+SUMIF(RECARGAS!$B$16:$B$37,$A115,RECARGAS!AG$16:AG$37)+SUMIF(REVENDIDOS!$B$16:$B$25,$A115,REVENDIDOS!X$16:X$25)</f>
        <v>971.66283030305</v>
      </c>
      <c r="R115" s="13" t="n">
        <f aca="false">SUMIF(MANUALES!$B$16:$B$69,$A115,MANUALES!X$16:X$69)+SUMIF(RODANTES!$B$16:$B$68,$A115,RODANTES!X$16:X$68)+SUMIF(RECARGAS!$B$16:$B$37,$A115,RECARGAS!AH$16:AH$37)+SUMIF(REVENDIDOS!$B$16:$B$25,$A115,REVENDIDOS!Y$16:Y$25)</f>
        <v>106.882911333335</v>
      </c>
    </row>
    <row r="116" customFormat="false" ht="15" hidden="false" customHeight="false" outlineLevel="0" collapsed="false">
      <c r="A116" s="3" t="s">
        <v>560</v>
      </c>
      <c r="B116" s="3" t="s">
        <v>561</v>
      </c>
      <c r="C116" s="3" t="s">
        <v>214</v>
      </c>
      <c r="D116" s="13" t="n">
        <f aca="false">SUMIF(MANUALES!$B$16:$B$69,$A116,MANUALES!W$16:W$69)</f>
        <v>0</v>
      </c>
      <c r="E116" s="13" t="n">
        <f aca="false">SUMIF(RODANTES!$B$16:$B$68,$A116,RODANTES!W$16:W$68)</f>
        <v>0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416.512525430151</v>
      </c>
      <c r="H116" s="13" t="n">
        <f aca="false">SUMIF(MANUALES!$B$16:$B$69,$A116,MANUALES!N$16:N$69)+SUMIF(RODANTES!$B$16:$B$68,$A116,RODANTES!N$16:N$68)+SUMIF(RECARGAS!$B$16:$B$37,$A116,RECARGAS!X$16:X$37)+SUMIF(REVENDIDOS!$B$16:$B$25,$A116,REVENDIDOS!O$16:O$25)</f>
        <v>42.9860148625177</v>
      </c>
      <c r="I116" s="13" t="n">
        <f aca="false">SUMIF(MANUALES!$B$16:$B$69,$A116,MANUALES!O$16:O$69)+SUMIF(RODANTES!$B$16:$B$68,$A116,RODANTES!O$16:O$68)+SUMIF(RECARGAS!$B$16:$B$37,$A116,RECARGAS!Y$16:Y$37)+SUMIF(REVENDIDOS!$B$16:$B$25,$A116,REVENDIDOS!P$16:P$25)</f>
        <v>68.5400520986259</v>
      </c>
      <c r="J116" s="13" t="n">
        <f aca="false">SUMIF(MANUALES!$B$16:$B$69,$A116,MANUALES!P$16:P$69)+SUMIF(RODANTES!$B$16:$B$68,$A116,RODANTES!P$16:P$68)+SUMIF(RECARGAS!$B$16:$B$37,$A116,RECARGAS!Z$16:Z$37)+SUMIF(REVENDIDOS!$B$16:$B$25,$A116,REVENDIDOS!Q$16:Q$25)</f>
        <v>83.2517192711436</v>
      </c>
      <c r="K116" s="13" t="n">
        <f aca="false">SUMIF(MANUALES!$B$16:$B$69,$A116,MANUALES!Q$16:Q$69)+SUMIF(RODANTES!$B$16:$B$68,$A116,RODANTES!Q$16:Q$68)+SUMIF(RECARGAS!$B$16:$B$37,$A116,RECARGAS!AA$16:AA$37)+SUMIF(REVENDIDOS!$B$16:$B$25,$A116,REVENDIDOS!R$16:R$25)</f>
        <v>106.954267102287</v>
      </c>
      <c r="L116" s="13" t="n">
        <f aca="false">SUMIF(MANUALES!$B$16:$B$69,$A116,MANUALES!R$16:R$69)+SUMIF(RODANTES!$B$16:$B$68,$A116,RODANTES!R$16:R$68)+SUMIF(RECARGAS!$B$16:$B$37,$A116,RECARGAS!AB$16:AB$37)+SUMIF(REVENDIDOS!$B$16:$B$25,$A116,REVENDIDOS!S$16:S$25)</f>
        <v>154.811289587021</v>
      </c>
      <c r="M116" s="13" t="n">
        <f aca="false">SUMIF(MANUALES!$B$16:$B$69,$A116,MANUALES!S$16:S$69)+SUMIF(RODANTES!$B$16:$B$68,$A116,RODANTES!S$16:S$68)+SUMIF(RECARGAS!$B$16:$B$37,$A116,RECARGAS!AC$16:AC$37)+SUMIF(REVENDIDOS!$B$16:$B$25,$A116,REVENDIDOS!T$16:T$25)</f>
        <v>192.372110715647</v>
      </c>
      <c r="N116" s="13" t="n">
        <f aca="false">SUMIF(MANUALES!$B$16:$B$69,$A116,MANUALES!T$16:T$69)+SUMIF(RODANTES!$B$16:$B$68,$A116,RODANTES!T$16:T$68)+SUMIF(RECARGAS!$B$16:$B$37,$A116,RECARGAS!AD$16:AD$37)+SUMIF(REVENDIDOS!$B$16:$B$25,$A116,REVENDIDOS!U$16:U$25)</f>
        <v>246.421958644273</v>
      </c>
      <c r="O116" s="13" t="n">
        <f aca="false">SUMIF(MANUALES!$B$16:$B$69,$A116,MANUALES!U$16:U$69)+SUMIF(RODANTES!$B$16:$B$68,$A116,RODANTES!U$16:U$68)+SUMIF(RECARGAS!$B$16:$B$37,$A116,RECARGAS!AE$16:AE$37)+SUMIF(REVENDIDOS!$B$16:$B$25,$A116,REVENDIDOS!V$16:V$25)</f>
        <v>305.489949272899</v>
      </c>
      <c r="P116" s="13" t="n">
        <f aca="false">SUMIF(MANUALES!$B$16:$B$69,$A116,MANUALES!V$16:V$69)+SUMIF(RODANTES!$B$16:$B$68,$A116,RODANTES!V$16:V$68)+SUMIF(RECARGAS!$B$16:$B$37,$A116,RECARGAS!AF$16:AF$37)+SUMIF(REVENDIDOS!$B$16:$B$25,$A116,REVENDIDOS!W$16:W$25)</f>
        <v>358.784161501525</v>
      </c>
      <c r="Q116" s="13" t="n">
        <f aca="false">SUMIF(MANUALES!$B$16:$B$69,$A116,MANUALES!W$16:W$69)+SUMIF(RODANTES!$B$16:$B$68,$A116,RODANTES!W$16:W$68)+SUMIF(RECARGAS!$B$16:$B$37,$A116,RECARGAS!AG$16:AG$37)+SUMIF(REVENDIDOS!$B$16:$B$25,$A116,REVENDIDOS!X$16:X$25)</f>
        <v>416.512525430151</v>
      </c>
      <c r="R116" s="13" t="n">
        <f aca="false">SUMIF(MANUALES!$B$16:$B$69,$A116,MANUALES!X$16:X$69)+SUMIF(RODANTES!$B$16:$B$68,$A116,RODANTES!X$16:X$68)+SUMIF(RECARGAS!$B$16:$B$37,$A116,RECARGAS!AH$16:AH$37)+SUMIF(REVENDIDOS!$B$16:$B$25,$A116,REVENDIDOS!Y$16:Y$25)</f>
        <v>33.3210020344121</v>
      </c>
    </row>
    <row r="117" customFormat="false" ht="15" hidden="false" customHeight="false" outlineLevel="0" collapsed="false">
      <c r="A117" s="3" t="s">
        <v>563</v>
      </c>
      <c r="B117" s="3" t="s">
        <v>564</v>
      </c>
      <c r="C117" s="3" t="s">
        <v>214</v>
      </c>
      <c r="D117" s="13" t="n">
        <f aca="false">SUMIF(MANUALES!$B$16:$B$69,$A117,MANUALES!W$16:W$69)</f>
        <v>0</v>
      </c>
      <c r="E117" s="13" t="n">
        <f aca="false">SUMIF(RODANTES!$B$16:$B$68,$A117,RODANTES!W$16:W$68)</f>
        <v>0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277.772028115647</v>
      </c>
      <c r="H117" s="13" t="n">
        <f aca="false">SUMIF(MANUALES!$B$16:$B$69,$A117,MANUALES!N$16:N$69)+SUMIF(RODANTES!$B$16:$B$68,$A117,RODANTES!N$16:N$68)+SUMIF(RECARGAS!$B$16:$B$37,$A117,RECARGAS!X$16:X$37)+SUMIF(REVENDIDOS!$B$16:$B$25,$A117,REVENDIDOS!O$16:O$25)</f>
        <v>28.7714740925177</v>
      </c>
      <c r="I117" s="13" t="n">
        <f aca="false">SUMIF(MANUALES!$B$16:$B$69,$A117,MANUALES!O$16:O$69)+SUMIF(RODANTES!$B$16:$B$68,$A117,RODANTES!O$16:O$68)+SUMIF(RECARGAS!$B$16:$B$37,$A117,RECARGAS!Y$16:Y$37)+SUMIF(REVENDIDOS!$B$16:$B$25,$A117,REVENDIDOS!P$16:P$25)</f>
        <v>45.6990746086259</v>
      </c>
      <c r="J117" s="13" t="n">
        <f aca="false">SUMIF(MANUALES!$B$16:$B$69,$A117,MANUALES!P$16:P$69)+SUMIF(RODANTES!$B$16:$B$68,$A117,RODANTES!P$16:P$68)+SUMIF(RECARGAS!$B$16:$B$37,$A117,RECARGAS!Z$16:Z$37)+SUMIF(REVENDIDOS!$B$16:$B$25,$A117,REVENDIDOS!Q$16:Q$25)</f>
        <v>55.2785910086259</v>
      </c>
      <c r="K117" s="13" t="n">
        <f aca="false">SUMIF(MANUALES!$B$16:$B$69,$A117,MANUALES!Q$16:Q$69)+SUMIF(RODANTES!$B$16:$B$68,$A117,RODANTES!Q$16:Q$68)+SUMIF(RECARGAS!$B$16:$B$37,$A117,RECARGAS!AA$16:AA$37)+SUMIF(REVENDIDOS!$B$16:$B$25,$A117,REVENDIDOS!R$16:R$25)</f>
        <v>71.1830073211436</v>
      </c>
      <c r="L117" s="13" t="n">
        <f aca="false">SUMIF(MANUALES!$B$16:$B$69,$A117,MANUALES!R$16:R$69)+SUMIF(RODANTES!$B$16:$B$68,$A117,RODANTES!R$16:R$68)+SUMIF(RECARGAS!$B$16:$B$37,$A117,RECARGAS!AB$16:AB$37)+SUMIF(REVENDIDOS!$B$16:$B$25,$A117,REVENDIDOS!S$16:S$25)</f>
        <v>103.310244129769</v>
      </c>
      <c r="M117" s="13" t="n">
        <f aca="false">SUMIF(MANUALES!$B$16:$B$69,$A117,MANUALES!S$16:S$69)+SUMIF(RODANTES!$B$16:$B$68,$A117,RODANTES!S$16:S$68)+SUMIF(RECARGAS!$B$16:$B$37,$A117,RECARGAS!AC$16:AC$37)+SUMIF(REVENDIDOS!$B$16:$B$25,$A117,REVENDIDOS!T$16:T$25)</f>
        <v>128.356498158395</v>
      </c>
      <c r="N117" s="13" t="n">
        <f aca="false">SUMIF(MANUALES!$B$16:$B$69,$A117,MANUALES!T$16:T$69)+SUMIF(RODANTES!$B$16:$B$68,$A117,RODANTES!T$16:T$68)+SUMIF(RECARGAS!$B$16:$B$37,$A117,RECARGAS!AD$16:AD$37)+SUMIF(REVENDIDOS!$B$16:$B$25,$A117,REVENDIDOS!U$16:U$25)</f>
        <v>164.053044014504</v>
      </c>
      <c r="O117" s="13" t="n">
        <f aca="false">SUMIF(MANUALES!$B$16:$B$69,$A117,MANUALES!U$16:U$69)+SUMIF(RODANTES!$B$16:$B$68,$A117,RODANTES!U$16:U$68)+SUMIF(RECARGAS!$B$16:$B$37,$A117,RECARGAS!AE$16:AE$37)+SUMIF(REVENDIDOS!$B$16:$B$25,$A117,REVENDIDOS!V$16:V$25)</f>
        <v>203.762683987021</v>
      </c>
      <c r="P117" s="13" t="n">
        <f aca="false">SUMIF(MANUALES!$B$16:$B$69,$A117,MANUALES!V$16:V$69)+SUMIF(RODANTES!$B$16:$B$68,$A117,RODANTES!V$16:V$68)+SUMIF(RECARGAS!$B$16:$B$37,$A117,RECARGAS!AF$16:AF$37)+SUMIF(REVENDIDOS!$B$16:$B$25,$A117,REVENDIDOS!W$16:W$25)</f>
        <v>238.955472743129</v>
      </c>
      <c r="Q117" s="13" t="n">
        <f aca="false">SUMIF(MANUALES!$B$16:$B$69,$A117,MANUALES!W$16:W$69)+SUMIF(RODANTES!$B$16:$B$68,$A117,RODANTES!W$16:W$68)+SUMIF(RECARGAS!$B$16:$B$37,$A117,RECARGAS!AG$16:AG$37)+SUMIF(REVENDIDOS!$B$16:$B$25,$A117,REVENDIDOS!X$16:X$25)</f>
        <v>277.772028115647</v>
      </c>
      <c r="R117" s="13" t="n">
        <f aca="false">SUMIF(MANUALES!$B$16:$B$69,$A117,MANUALES!X$16:X$69)+SUMIF(RODANTES!$B$16:$B$68,$A117,RODANTES!X$16:X$68)+SUMIF(RECARGAS!$B$16:$B$37,$A117,RECARGAS!AH$16:AH$37)+SUMIF(REVENDIDOS!$B$16:$B$25,$A117,REVENDIDOS!Y$16:Y$25)</f>
        <v>30.5549230927212</v>
      </c>
    </row>
    <row r="118" customFormat="false" ht="15" hidden="false" customHeight="false" outlineLevel="0" collapsed="false">
      <c r="A118" s="3" t="s">
        <v>566</v>
      </c>
      <c r="B118" s="3" t="s">
        <v>567</v>
      </c>
      <c r="C118" s="3" t="s">
        <v>214</v>
      </c>
      <c r="D118" s="13" t="n">
        <f aca="false">SUMIF(MANUALES!$B$16:$B$69,$A118,MANUALES!W$16:W$69)</f>
        <v>0</v>
      </c>
      <c r="E118" s="13" t="n">
        <f aca="false">SUMIF(RODANTES!$B$16:$B$68,$A118,RODANTES!W$16:W$68)</f>
        <v>0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1650.88180111984</v>
      </c>
      <c r="H118" s="13" t="n">
        <f aca="false">SUMIF(MANUALES!$B$16:$B$69,$A118,MANUALES!N$16:N$69)+SUMIF(RODANTES!$B$16:$B$68,$A118,RODANTES!N$16:N$68)+SUMIF(RECARGAS!$B$16:$B$37,$A118,RECARGAS!X$16:X$37)+SUMIF(REVENDIDOS!$B$16:$B$25,$A118,REVENDIDOS!O$16:O$25)</f>
        <v>100.953526272518</v>
      </c>
      <c r="I118" s="13" t="n">
        <f aca="false">SUMIF(MANUALES!$B$16:$B$69,$A118,MANUALES!O$16:O$69)+SUMIF(RODANTES!$B$16:$B$68,$A118,RODANTES!O$16:O$68)+SUMIF(RECARGAS!$B$16:$B$37,$A118,RECARGAS!Y$16:Y$37)+SUMIF(REVENDIDOS!$B$16:$B$25,$A118,REVENDIDOS!P$16:P$25)</f>
        <v>189.941524446179</v>
      </c>
      <c r="J118" s="13" t="n">
        <f aca="false">SUMIF(MANUALES!$B$16:$B$69,$A118,MANUALES!P$16:P$69)+SUMIF(RODANTES!$B$16:$B$68,$A118,RODANTES!P$16:P$68)+SUMIF(RECARGAS!$B$16:$B$37,$A118,RECARGAS!Z$16:Z$37)+SUMIF(REVENDIDOS!$B$16:$B$25,$A118,REVENDIDOS!Q$16:Q$25)</f>
        <v>250.769624577092</v>
      </c>
      <c r="K118" s="13" t="n">
        <f aca="false">SUMIF(MANUALES!$B$16:$B$69,$A118,MANUALES!Q$16:Q$69)+SUMIF(RODANTES!$B$16:$B$68,$A118,RODANTES!Q$16:Q$68)+SUMIF(RECARGAS!$B$16:$B$37,$A118,RECARGAS!AA$16:AA$37)+SUMIF(REVENDIDOS!$B$16:$B$25,$A118,REVENDIDOS!R$16:R$25)</f>
        <v>350.622178092739</v>
      </c>
      <c r="L118" s="13" t="n">
        <f aca="false">SUMIF(MANUALES!$B$16:$B$69,$A118,MANUALES!R$16:R$69)+SUMIF(RODANTES!$B$16:$B$68,$A118,RODANTES!R$16:R$68)+SUMIF(RECARGAS!$B$16:$B$37,$A118,RECARGAS!AB$16:AB$37)+SUMIF(REVENDIDOS!$B$16:$B$25,$A118,REVENDIDOS!S$16:S$25)</f>
        <v>548.830226537012</v>
      </c>
      <c r="M118" s="13" t="n">
        <f aca="false">SUMIF(MANUALES!$B$16:$B$69,$A118,MANUALES!S$16:S$69)+SUMIF(RODANTES!$B$16:$B$68,$A118,RODANTES!S$16:S$68)+SUMIF(RECARGAS!$B$16:$B$37,$A118,RECARGAS!AC$16:AC$37)+SUMIF(REVENDIDOS!$B$16:$B$25,$A118,REVENDIDOS!T$16:T$25)</f>
        <v>754.631459737394</v>
      </c>
      <c r="N118" s="13" t="n">
        <f aca="false">SUMIF(MANUALES!$B$16:$B$69,$A118,MANUALES!T$16:T$69)+SUMIF(RODANTES!$B$16:$B$68,$A118,RODANTES!T$16:T$68)+SUMIF(RECARGAS!$B$16:$B$37,$A118,RECARGAS!AD$16:AD$37)+SUMIF(REVENDIDOS!$B$16:$B$25,$A118,REVENDIDOS!U$16:U$25)</f>
        <v>962.597949965257</v>
      </c>
      <c r="O118" s="13" t="n">
        <f aca="false">SUMIF(MANUALES!$B$16:$B$69,$A118,MANUALES!U$16:U$69)+SUMIF(RODANTES!$B$16:$B$68,$A118,RODANTES!U$16:U$68)+SUMIF(RECARGAS!$B$16:$B$37,$A118,RECARGAS!AE$16:AE$37)+SUMIF(REVENDIDOS!$B$16:$B$25,$A118,REVENDIDOS!V$16:V$25)</f>
        <v>1193.38786029198</v>
      </c>
      <c r="P118" s="13" t="n">
        <f aca="false">SUMIF(MANUALES!$B$16:$B$69,$A118,MANUALES!V$16:V$69)+SUMIF(RODANTES!$B$16:$B$68,$A118,RODANTES!V$16:V$68)+SUMIF(RECARGAS!$B$16:$B$37,$A118,RECARGAS!AF$16:AF$37)+SUMIF(REVENDIDOS!$B$16:$B$25,$A118,REVENDIDOS!W$16:W$25)</f>
        <v>1411.62521723396</v>
      </c>
      <c r="Q118" s="13" t="n">
        <f aca="false">SUMIF(MANUALES!$B$16:$B$69,$A118,MANUALES!W$16:W$69)+SUMIF(RODANTES!$B$16:$B$68,$A118,RODANTES!W$16:W$68)+SUMIF(RECARGAS!$B$16:$B$37,$A118,RECARGAS!AG$16:AG$37)+SUMIF(REVENDIDOS!$B$16:$B$25,$A118,REVENDIDOS!X$16:X$25)</f>
        <v>1650.88180111984</v>
      </c>
      <c r="R118" s="13" t="n">
        <f aca="false">SUMIF(MANUALES!$B$16:$B$69,$A118,MANUALES!X$16:X$69)+SUMIF(RODANTES!$B$16:$B$68,$A118,RODANTES!X$16:X$68)+SUMIF(RECARGAS!$B$16:$B$37,$A118,RECARGAS!AH$16:AH$37)+SUMIF(REVENDIDOS!$B$16:$B$25,$A118,REVENDIDOS!Y$16:Y$25)</f>
        <v>181.596998123182</v>
      </c>
    </row>
    <row r="119" customFormat="false" ht="15" hidden="false" customHeight="false" outlineLevel="0" collapsed="false">
      <c r="A119" s="3" t="s">
        <v>569</v>
      </c>
      <c r="B119" s="3" t="s">
        <v>570</v>
      </c>
      <c r="C119" s="3" t="s">
        <v>214</v>
      </c>
      <c r="D119" s="13" t="n">
        <f aca="false">SUMIF(MANUALES!$B$16:$B$69,$A119,MANUALES!W$16:W$69)</f>
        <v>0</v>
      </c>
      <c r="E119" s="13" t="n">
        <f aca="false">SUMIF(RODANTES!$B$16:$B$68,$A119,RODANTES!W$16:W$68)</f>
        <v>0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7005.27737</v>
      </c>
      <c r="H119" s="13" t="n">
        <f aca="false">SUMIF(MANUALES!$B$16:$B$69,$A119,MANUALES!N$16:N$69)+SUMIF(RODANTES!$B$16:$B$68,$A119,RODANTES!N$16:N$68)+SUMIF(RECARGAS!$B$16:$B$37,$A119,RECARGAS!X$16:X$37)+SUMIF(REVENDIDOS!$B$16:$B$25,$A119,REVENDIDOS!O$16:O$25)</f>
        <v>421.9843726</v>
      </c>
      <c r="I119" s="13" t="n">
        <f aca="false">SUMIF(MANUALES!$B$16:$B$69,$A119,MANUALES!O$16:O$69)+SUMIF(RODANTES!$B$16:$B$68,$A119,RODANTES!O$16:O$68)+SUMIF(RECARGAS!$B$16:$B$37,$A119,RECARGAS!Y$16:Y$37)+SUMIF(REVENDIDOS!$B$16:$B$25,$A119,REVENDIDOS!P$16:P$25)</f>
        <v>772.3206222</v>
      </c>
      <c r="J119" s="13" t="n">
        <f aca="false">SUMIF(MANUALES!$B$16:$B$69,$A119,MANUALES!P$16:P$69)+SUMIF(RODANTES!$B$16:$B$68,$A119,RODANTES!P$16:P$68)+SUMIF(RECARGAS!$B$16:$B$37,$A119,RECARGAS!Z$16:Z$37)+SUMIF(REVENDIDOS!$B$16:$B$25,$A119,REVENDIDOS!Q$16:Q$25)</f>
        <v>1066.363722</v>
      </c>
      <c r="K119" s="13" t="n">
        <f aca="false">SUMIF(MANUALES!$B$16:$B$69,$A119,MANUALES!Q$16:Q$69)+SUMIF(RODANTES!$B$16:$B$68,$A119,RODANTES!Q$16:Q$68)+SUMIF(RECARGAS!$B$16:$B$37,$A119,RECARGAS!AA$16:AA$37)+SUMIF(REVENDIDOS!$B$16:$B$25,$A119,REVENDIDOS!R$16:R$25)</f>
        <v>1474.963344</v>
      </c>
      <c r="L119" s="13" t="n">
        <f aca="false">SUMIF(MANUALES!$B$16:$B$69,$A119,MANUALES!R$16:R$69)+SUMIF(RODANTES!$B$16:$B$68,$A119,RODANTES!R$16:R$68)+SUMIF(RECARGAS!$B$16:$B$37,$A119,RECARGAS!AB$16:AB$37)+SUMIF(REVENDIDOS!$B$16:$B$25,$A119,REVENDIDOS!S$16:S$25)</f>
        <v>2394.644883</v>
      </c>
      <c r="M119" s="13" t="n">
        <f aca="false">SUMIF(MANUALES!$B$16:$B$69,$A119,MANUALES!S$16:S$69)+SUMIF(RODANTES!$B$16:$B$68,$A119,RODANTES!S$16:S$68)+SUMIF(RECARGAS!$B$16:$B$37,$A119,RECARGAS!AC$16:AC$37)+SUMIF(REVENDIDOS!$B$16:$B$25,$A119,REVENDIDOS!T$16:T$25)</f>
        <v>3311.547454</v>
      </c>
      <c r="N119" s="13" t="n">
        <f aca="false">SUMIF(MANUALES!$B$16:$B$69,$A119,MANUALES!T$16:T$69)+SUMIF(RODANTES!$B$16:$B$68,$A119,RODANTES!T$16:T$68)+SUMIF(RECARGAS!$B$16:$B$37,$A119,RECARGAS!AD$16:AD$37)+SUMIF(REVENDIDOS!$B$16:$B$25,$A119,REVENDIDOS!U$16:U$25)</f>
        <v>4274.187843</v>
      </c>
      <c r="O119" s="13" t="n">
        <f aca="false">SUMIF(MANUALES!$B$16:$B$69,$A119,MANUALES!U$16:U$69)+SUMIF(RODANTES!$B$16:$B$68,$A119,RODANTES!U$16:U$68)+SUMIF(RECARGAS!$B$16:$B$37,$A119,RECARGAS!AE$16:AE$37)+SUMIF(REVENDIDOS!$B$16:$B$25,$A119,REVENDIDOS!V$16:V$25)</f>
        <v>5292.394724</v>
      </c>
      <c r="P119" s="13" t="n">
        <f aca="false">SUMIF(MANUALES!$B$16:$B$69,$A119,MANUALES!V$16:V$69)+SUMIF(RODANTES!$B$16:$B$68,$A119,RODANTES!V$16:V$68)+SUMIF(RECARGAS!$B$16:$B$37,$A119,RECARGAS!AF$16:AF$37)+SUMIF(REVENDIDOS!$B$16:$B$25,$A119,REVENDIDOS!W$16:W$25)</f>
        <v>6125.204809</v>
      </c>
      <c r="Q119" s="13" t="n">
        <f aca="false">SUMIF(MANUALES!$B$16:$B$69,$A119,MANUALES!W$16:W$69)+SUMIF(RODANTES!$B$16:$B$68,$A119,RODANTES!W$16:W$68)+SUMIF(RECARGAS!$B$16:$B$37,$A119,RECARGAS!AG$16:AG$37)+SUMIF(REVENDIDOS!$B$16:$B$25,$A119,REVENDIDOS!X$16:X$25)</f>
        <v>7005.27737</v>
      </c>
      <c r="R119" s="13" t="n">
        <f aca="false">SUMIF(MANUALES!$B$16:$B$69,$A119,MANUALES!X$16:X$69)+SUMIF(RODANTES!$B$16:$B$68,$A119,RODANTES!X$16:X$68)+SUMIF(RECARGAS!$B$16:$B$37,$A119,RECARGAS!AH$16:AH$37)+SUMIF(REVENDIDOS!$B$16:$B$25,$A119,REVENDIDOS!Y$16:Y$25)</f>
        <v>770.5805107</v>
      </c>
    </row>
    <row r="120" customFormat="false" ht="15" hidden="false" customHeight="false" outlineLevel="0" collapsed="false">
      <c r="A120" s="3" t="s">
        <v>572</v>
      </c>
      <c r="B120" s="3" t="s">
        <v>573</v>
      </c>
      <c r="C120" s="3" t="s">
        <v>214</v>
      </c>
      <c r="D120" s="13" t="n">
        <f aca="false">SUMIF(MANUALES!$B$16:$B$69,$A120,MANUALES!W$16:W$69)</f>
        <v>0</v>
      </c>
      <c r="E120" s="13" t="n">
        <f aca="false">SUMIF(RODANTES!$B$16:$B$68,$A120,RODANTES!W$16:W$68)</f>
        <v>0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3777.88529798011</v>
      </c>
      <c r="H120" s="13" t="n">
        <f aca="false">SUMIF(MANUALES!$B$16:$B$69,$A120,MANUALES!N$16:N$69)+SUMIF(RODANTES!$B$16:$B$68,$A120,RODANTES!N$16:N$68)+SUMIF(RECARGAS!$B$16:$B$37,$A120,RECARGAS!X$16:X$37)+SUMIF(REVENDIDOS!$B$16:$B$25,$A120,REVENDIDOS!O$16:O$25)</f>
        <v>286.436253107624</v>
      </c>
      <c r="I120" s="13" t="n">
        <f aca="false">SUMIF(MANUALES!$B$16:$B$69,$A120,MANUALES!O$16:O$69)+SUMIF(RODANTES!$B$16:$B$68,$A120,RODANTES!O$16:O$68)+SUMIF(RECARGAS!$B$16:$B$37,$A120,RECARGAS!Y$16:Y$37)+SUMIF(REVENDIDOS!$B$16:$B$25,$A120,REVENDIDOS!P$16:P$25)</f>
        <v>496.03832377695</v>
      </c>
      <c r="J120" s="13" t="n">
        <f aca="false">SUMIF(MANUALES!$B$16:$B$69,$A120,MANUALES!P$16:P$69)+SUMIF(RODANTES!$B$16:$B$68,$A120,RODANTES!P$16:P$68)+SUMIF(RECARGAS!$B$16:$B$37,$A120,RECARGAS!Z$16:Z$37)+SUMIF(REVENDIDOS!$B$16:$B$25,$A120,REVENDIDOS!Q$16:Q$25)</f>
        <v>636.683913951224</v>
      </c>
      <c r="K120" s="13" t="n">
        <f aca="false">SUMIF(MANUALES!$B$16:$B$69,$A120,MANUALES!Q$16:Q$69)+SUMIF(RODANTES!$B$16:$B$68,$A120,RODANTES!Q$16:Q$68)+SUMIF(RECARGAS!$B$16:$B$37,$A120,RECARGAS!AA$16:AA$37)+SUMIF(REVENDIDOS!$B$16:$B$25,$A120,REVENDIDOS!R$16:R$25)</f>
        <v>855.075847670797</v>
      </c>
      <c r="L120" s="13" t="n">
        <f aca="false">SUMIF(MANUALES!$B$16:$B$69,$A120,MANUALES!R$16:R$69)+SUMIF(RODANTES!$B$16:$B$68,$A120,RODANTES!R$16:R$68)+SUMIF(RECARGAS!$B$16:$B$37,$A120,RECARGAS!AB$16:AB$37)+SUMIF(REVENDIDOS!$B$16:$B$25,$A120,REVENDIDOS!S$16:S$25)</f>
        <v>1306.47979225401</v>
      </c>
      <c r="M120" s="13" t="n">
        <f aca="false">SUMIF(MANUALES!$B$16:$B$69,$A120,MANUALES!S$16:S$69)+SUMIF(RODANTES!$B$16:$B$68,$A120,RODANTES!S$16:S$68)+SUMIF(RECARGAS!$B$16:$B$37,$A120,RECARGAS!AC$16:AC$37)+SUMIF(REVENDIDOS!$B$16:$B$25,$A120,REVENDIDOS!T$16:T$25)</f>
        <v>1771.32057014801</v>
      </c>
      <c r="N120" s="13" t="n">
        <f aca="false">SUMIF(MANUALES!$B$16:$B$69,$A120,MANUALES!T$16:T$69)+SUMIF(RODANTES!$B$16:$B$68,$A120,RODANTES!T$16:T$68)+SUMIF(RECARGAS!$B$16:$B$37,$A120,RECARGAS!AD$16:AD$37)+SUMIF(REVENDIDOS!$B$16:$B$25,$A120,REVENDIDOS!U$16:U$25)</f>
        <v>2268.71344074331</v>
      </c>
      <c r="O120" s="13" t="n">
        <f aca="false">SUMIF(MANUALES!$B$16:$B$69,$A120,MANUALES!U$16:U$69)+SUMIF(RODANTES!$B$16:$B$68,$A120,RODANTES!U$16:U$68)+SUMIF(RECARGAS!$B$16:$B$37,$A120,RECARGAS!AE$16:AE$37)+SUMIF(REVENDIDOS!$B$16:$B$25,$A120,REVENDIDOS!V$16:V$25)</f>
        <v>2801.5567228969</v>
      </c>
      <c r="P120" s="13" t="n">
        <f aca="false">SUMIF(MANUALES!$B$16:$B$69,$A120,MANUALES!V$16:V$69)+SUMIF(RODANTES!$B$16:$B$68,$A120,RODANTES!V$16:V$68)+SUMIF(RECARGAS!$B$16:$B$37,$A120,RECARGAS!AF$16:AF$37)+SUMIF(REVENDIDOS!$B$16:$B$25,$A120,REVENDIDOS!W$16:W$25)</f>
        <v>3271.07973643418</v>
      </c>
      <c r="Q120" s="13" t="n">
        <f aca="false">SUMIF(MANUALES!$B$16:$B$69,$A120,MANUALES!W$16:W$69)+SUMIF(RODANTES!$B$16:$B$68,$A120,RODANTES!W$16:W$68)+SUMIF(RECARGAS!$B$16:$B$37,$A120,RECARGAS!AG$16:AG$37)+SUMIF(REVENDIDOS!$B$16:$B$25,$A120,REVENDIDOS!X$16:X$25)</f>
        <v>3777.88529798011</v>
      </c>
      <c r="R120" s="13" t="n">
        <f aca="false">SUMIF(MANUALES!$B$16:$B$69,$A120,MANUALES!X$16:X$69)+SUMIF(RODANTES!$B$16:$B$68,$A120,RODANTES!X$16:X$68)+SUMIF(RECARGAS!$B$16:$B$37,$A120,RECARGAS!AH$16:AH$37)+SUMIF(REVENDIDOS!$B$16:$B$25,$A120,REVENDIDOS!Y$16:Y$25)</f>
        <v>415.567382777812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SUMIF(MANUALES!$B$16:$B$69,$A121,MANUALES!W$16:W$69)</f>
        <v>0</v>
      </c>
      <c r="E121" s="13" t="n">
        <f aca="false">SUMIF(RODANTES!$B$16:$B$68,$A121,RODANTES!W$16:W$68)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744.210555144654</v>
      </c>
      <c r="H121" s="13" t="n">
        <f aca="false">SUMIF(MANUALES!$B$16:$B$69,$A121,MANUALES!N$16:N$69)+SUMIF(RODANTES!$B$16:$B$68,$A121,RODANTES!N$16:N$68)+SUMIF(RECARGAS!$B$16:$B$37,$A121,RECARGAS!X$16:X$37)+SUMIF(REVENDIDOS!$B$16:$B$25,$A121,REVENDIDOS!O$16:O$25)</f>
        <v>59.2019966425177</v>
      </c>
      <c r="I121" s="13" t="n">
        <f aca="false">SUMIF(MANUALES!$B$16:$B$69,$A121,MANUALES!O$16:O$69)+SUMIF(RODANTES!$B$16:$B$68,$A121,RODANTES!O$16:O$68)+SUMIF(RECARGAS!$B$16:$B$37,$A121,RECARGAS!Y$16:Y$37)+SUMIF(REVENDIDOS!$B$16:$B$25,$A121,REVENDIDOS!P$16:P$25)</f>
        <v>100.621408001144</v>
      </c>
      <c r="J121" s="13" t="n">
        <f aca="false">SUMIF(MANUALES!$B$16:$B$69,$A121,MANUALES!P$16:P$69)+SUMIF(RODANTES!$B$16:$B$68,$A121,RODANTES!P$16:P$68)+SUMIF(RECARGAS!$B$16:$B$37,$A121,RECARGAS!Z$16:Z$37)+SUMIF(REVENDIDOS!$B$16:$B$25,$A121,REVENDIDOS!Q$16:Q$25)</f>
        <v>126.90629362977</v>
      </c>
      <c r="K121" s="13" t="n">
        <f aca="false">SUMIF(MANUALES!$B$16:$B$69,$A121,MANUALES!Q$16:Q$69)+SUMIF(RODANTES!$B$16:$B$68,$A121,RODANTES!Q$16:Q$68)+SUMIF(RECARGAS!$B$16:$B$37,$A121,RECARGAS!AA$16:AA$37)+SUMIF(REVENDIDOS!$B$16:$B$25,$A121,REVENDIDOS!R$16:R$25)</f>
        <v>168.554136330913</v>
      </c>
      <c r="L121" s="13" t="n">
        <f aca="false">SUMIF(MANUALES!$B$16:$B$69,$A121,MANUALES!R$16:R$69)+SUMIF(RODANTES!$B$16:$B$68,$A121,RODANTES!R$16:R$68)+SUMIF(RECARGAS!$B$16:$B$37,$A121,RECARGAS!AB$16:AB$37)+SUMIF(REVENDIDOS!$B$16:$B$25,$A121,REVENDIDOS!S$16:S$25)</f>
        <v>257.360523588165</v>
      </c>
      <c r="M121" s="13" t="n">
        <f aca="false">SUMIF(MANUALES!$B$16:$B$69,$A121,MANUALES!S$16:S$69)+SUMIF(RODANTES!$B$16:$B$68,$A121,RODANTES!S$16:S$68)+SUMIF(RECARGAS!$B$16:$B$37,$A121,RECARGAS!AC$16:AC$37)+SUMIF(REVENDIDOS!$B$16:$B$25,$A121,REVENDIDOS!T$16:T$25)</f>
        <v>346.919199145417</v>
      </c>
      <c r="N121" s="13" t="n">
        <f aca="false">SUMIF(MANUALES!$B$16:$B$69,$A121,MANUALES!T$16:T$69)+SUMIF(RODANTES!$B$16:$B$68,$A121,RODANTES!T$16:T$68)+SUMIF(RECARGAS!$B$16:$B$37,$A121,RECARGAS!AD$16:AD$37)+SUMIF(REVENDIDOS!$B$16:$B$25,$A121,REVENDIDOS!U$16:U$25)</f>
        <v>445.537770502668</v>
      </c>
      <c r="O121" s="13" t="n">
        <f aca="false">SUMIF(MANUALES!$B$16:$B$69,$A121,MANUALES!U$16:U$69)+SUMIF(RODANTES!$B$16:$B$68,$A121,RODANTES!U$16:U$68)+SUMIF(RECARGAS!$B$16:$B$37,$A121,RECARGAS!AE$16:AE$37)+SUMIF(REVENDIDOS!$B$16:$B$25,$A121,REVENDIDOS!V$16:V$25)</f>
        <v>551.688552987402</v>
      </c>
      <c r="P121" s="13" t="n">
        <f aca="false">SUMIF(MANUALES!$B$16:$B$69,$A121,MANUALES!V$16:V$69)+SUMIF(RODANTES!$B$16:$B$68,$A121,RODANTES!V$16:V$68)+SUMIF(RECARGAS!$B$16:$B$37,$A121,RECARGAS!AF$16:AF$37)+SUMIF(REVENDIDOS!$B$16:$B$25,$A121,REVENDIDOS!W$16:W$25)</f>
        <v>644.505244616028</v>
      </c>
      <c r="Q121" s="13" t="n">
        <f aca="false">SUMIF(MANUALES!$B$16:$B$69,$A121,MANUALES!W$16:W$69)+SUMIF(RODANTES!$B$16:$B$68,$A121,RODANTES!W$16:W$68)+SUMIF(RECARGAS!$B$16:$B$37,$A121,RECARGAS!AG$16:AG$37)+SUMIF(REVENDIDOS!$B$16:$B$25,$A121,REVENDIDOS!X$16:X$25)</f>
        <v>744.210555144654</v>
      </c>
      <c r="R121" s="13" t="n">
        <f aca="false">SUMIF(MANUALES!$B$16:$B$69,$A121,MANUALES!X$16:X$69)+SUMIF(RODANTES!$B$16:$B$68,$A121,RODANTES!X$16:X$68)+SUMIF(RECARGAS!$B$16:$B$37,$A121,RECARGAS!AH$16:AH$37)+SUMIF(REVENDIDOS!$B$16:$B$25,$A121,REVENDIDOS!Y$16:Y$25)</f>
        <v>81.863161065912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SUMIF(MANUALES!$B$16:$B$69,$A122,MANUALES!W$16:W$69)</f>
        <v>0</v>
      </c>
      <c r="E122" s="13" t="n">
        <f aca="false">SUMIF(RODANTES!$B$16:$B$68,$A122,RODANTES!W$16:W$68)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277.429635543129</v>
      </c>
      <c r="H122" s="13" t="n">
        <f aca="false">SUMIF(MANUALES!$B$16:$B$69,$A122,MANUALES!N$16:N$69)+SUMIF(RODANTES!$B$16:$B$68,$A122,RODANTES!N$16:N$68)+SUMIF(RECARGAS!$B$16:$B$37,$A122,RECARGAS!X$16:X$37)+SUMIF(REVENDIDOS!$B$16:$B$25,$A122,REVENDIDOS!O$16:O$25)</f>
        <v>28.7714740925177</v>
      </c>
      <c r="I122" s="13" t="n">
        <f aca="false">SUMIF(MANUALES!$B$16:$B$69,$A122,MANUALES!O$16:O$69)+SUMIF(RODANTES!$B$16:$B$68,$A122,RODANTES!O$16:O$68)+SUMIF(RECARGAS!$B$16:$B$37,$A122,RECARGAS!Y$16:Y$37)+SUMIF(REVENDIDOS!$B$16:$B$25,$A122,REVENDIDOS!P$16:P$25)</f>
        <v>45.6990746086259</v>
      </c>
      <c r="J122" s="13" t="n">
        <f aca="false">SUMIF(MANUALES!$B$16:$B$69,$A122,MANUALES!P$16:P$69)+SUMIF(RODANTES!$B$16:$B$68,$A122,RODANTES!P$16:P$68)+SUMIF(RECARGAS!$B$16:$B$37,$A122,RECARGAS!Z$16:Z$37)+SUMIF(REVENDIDOS!$B$16:$B$25,$A122,REVENDIDOS!Q$16:Q$25)</f>
        <v>55.2785910086259</v>
      </c>
      <c r="K122" s="13" t="n">
        <f aca="false">SUMIF(MANUALES!$B$16:$B$69,$A122,MANUALES!Q$16:Q$69)+SUMIF(RODANTES!$B$16:$B$68,$A122,RODANTES!Q$16:Q$68)+SUMIF(RECARGAS!$B$16:$B$37,$A122,RECARGAS!AA$16:AA$37)+SUMIF(REVENDIDOS!$B$16:$B$25,$A122,REVENDIDOS!R$16:R$25)</f>
        <v>71.1830073211436</v>
      </c>
      <c r="L122" s="13" t="n">
        <f aca="false">SUMIF(MANUALES!$B$16:$B$69,$A122,MANUALES!R$16:R$69)+SUMIF(RODANTES!$B$16:$B$68,$A122,RODANTES!R$16:R$68)+SUMIF(RECARGAS!$B$16:$B$37,$A122,RECARGAS!AB$16:AB$37)+SUMIF(REVENDIDOS!$B$16:$B$25,$A122,REVENDIDOS!S$16:S$25)</f>
        <v>103.310244129769</v>
      </c>
      <c r="M122" s="13" t="n">
        <f aca="false">SUMIF(MANUALES!$B$16:$B$69,$A122,MANUALES!S$16:S$69)+SUMIF(RODANTES!$B$16:$B$68,$A122,RODANTES!S$16:S$68)+SUMIF(RECARGAS!$B$16:$B$37,$A122,RECARGAS!AC$16:AC$37)+SUMIF(REVENDIDOS!$B$16:$B$25,$A122,REVENDIDOS!T$16:T$25)</f>
        <v>128.014105585878</v>
      </c>
      <c r="N122" s="13" t="n">
        <f aca="false">SUMIF(MANUALES!$B$16:$B$69,$A122,MANUALES!T$16:T$69)+SUMIF(RODANTES!$B$16:$B$68,$A122,RODANTES!T$16:T$68)+SUMIF(RECARGAS!$B$16:$B$37,$A122,RECARGAS!AD$16:AD$37)+SUMIF(REVENDIDOS!$B$16:$B$25,$A122,REVENDIDOS!U$16:U$25)</f>
        <v>164.378316958395</v>
      </c>
      <c r="O122" s="13" t="n">
        <f aca="false">SUMIF(MANUALES!$B$16:$B$69,$A122,MANUALES!U$16:U$69)+SUMIF(RODANTES!$B$16:$B$68,$A122,RODANTES!U$16:U$68)+SUMIF(RECARGAS!$B$16:$B$37,$A122,RECARGAS!AE$16:AE$37)+SUMIF(REVENDIDOS!$B$16:$B$25,$A122,REVENDIDOS!V$16:V$25)</f>
        <v>203.420291414504</v>
      </c>
      <c r="P122" s="13" t="n">
        <f aca="false">SUMIF(MANUALES!$B$16:$B$69,$A122,MANUALES!V$16:V$69)+SUMIF(RODANTES!$B$16:$B$68,$A122,RODANTES!V$16:V$68)+SUMIF(RECARGAS!$B$16:$B$37,$A122,RECARGAS!AF$16:AF$37)+SUMIF(REVENDIDOS!$B$16:$B$25,$A122,REVENDIDOS!W$16:W$25)</f>
        <v>239.280745687021</v>
      </c>
      <c r="Q122" s="13" t="n">
        <f aca="false">SUMIF(MANUALES!$B$16:$B$69,$A122,MANUALES!W$16:W$69)+SUMIF(RODANTES!$B$16:$B$68,$A122,RODANTES!W$16:W$68)+SUMIF(RECARGAS!$B$16:$B$37,$A122,RECARGAS!AG$16:AG$37)+SUMIF(REVENDIDOS!$B$16:$B$25,$A122,REVENDIDOS!X$16:X$25)</f>
        <v>277.429635543129</v>
      </c>
      <c r="R122" s="13" t="n">
        <f aca="false">SUMIF(MANUALES!$B$16:$B$69,$A122,MANUALES!X$16:X$69)+SUMIF(RODANTES!$B$16:$B$68,$A122,RODANTES!X$16:X$68)+SUMIF(RECARGAS!$B$16:$B$37,$A122,RECARGAS!AH$16:AH$37)+SUMIF(REVENDIDOS!$B$16:$B$25,$A122,REVENDIDOS!Y$16:Y$25)</f>
        <v>30.5172599097442</v>
      </c>
    </row>
  </sheetData>
  <autoFilter ref="A3:R1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1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10" min="7" style="0" width="11"/>
    <col collapsed="false" customWidth="true" hidden="false" outlineLevel="0" max="12" min="11" style="0" width="9"/>
    <col collapsed="false" customWidth="true" hidden="false" outlineLevel="0" max="14" min="13" style="0" width="11"/>
    <col collapsed="false" customWidth="true" hidden="false" outlineLevel="0" max="15" min="15" style="0" width="9"/>
    <col collapsed="false" customWidth="true" hidden="false" outlineLevel="0" max="16" min="16" style="0" width="24"/>
    <col collapsed="false" customWidth="true" hidden="false" outlineLevel="0" max="17" min="17" style="0" width="10"/>
    <col collapsed="false" customWidth="true" hidden="false" outlineLevel="0" max="18" min="18" style="0" width="8"/>
    <col collapsed="false" customWidth="true" hidden="false" outlineLevel="0" max="19" min="19" style="0" width="11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</cols>
  <sheetData>
    <row r="1" customFormat="false" ht="15" hidden="false" customHeight="false" outlineLevel="0" collapsed="false">
      <c r="A1" s="1" t="s">
        <v>586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587</v>
      </c>
      <c r="F3" s="2" t="s">
        <v>588</v>
      </c>
      <c r="G3" s="2" t="s">
        <v>589</v>
      </c>
      <c r="H3" s="2" t="s">
        <v>590</v>
      </c>
      <c r="I3" s="2" t="s">
        <v>591</v>
      </c>
      <c r="J3" s="2" t="s">
        <v>592</v>
      </c>
      <c r="K3" s="2" t="s">
        <v>593</v>
      </c>
      <c r="L3" s="2" t="s">
        <v>594</v>
      </c>
      <c r="M3" s="2" t="s">
        <v>595</v>
      </c>
      <c r="N3" s="2" t="s">
        <v>596</v>
      </c>
      <c r="O3" s="2" t="s">
        <v>597</v>
      </c>
      <c r="P3" s="2" t="s">
        <v>598</v>
      </c>
      <c r="Q3" s="2" t="s">
        <v>599</v>
      </c>
      <c r="R3" s="2" t="s">
        <v>600</v>
      </c>
      <c r="S3" s="2" t="s">
        <v>601</v>
      </c>
      <c r="T3" s="2" t="s">
        <v>602</v>
      </c>
      <c r="U3" s="2" t="s">
        <v>603</v>
      </c>
      <c r="V3" s="2" t="s">
        <v>604</v>
      </c>
    </row>
    <row r="4" customFormat="false" ht="15" hidden="false" customHeight="false" outlineLevel="0" collapsed="false">
      <c r="A4" s="3" t="s">
        <v>605</v>
      </c>
      <c r="B4" s="3" t="s">
        <v>176</v>
      </c>
      <c r="C4" s="3" t="s">
        <v>177</v>
      </c>
      <c r="D4" s="3" t="s">
        <v>178</v>
      </c>
      <c r="E4" s="3" t="s">
        <v>606</v>
      </c>
      <c r="F4" s="3" t="s">
        <v>607</v>
      </c>
      <c r="G4" s="13" t="n">
        <f aca="false">CONSOLIDADO!Q4</f>
        <v>8809.59300565217</v>
      </c>
      <c r="H4" s="13" t="n">
        <f aca="false">CONSOLIDADO!R4</f>
        <v>1057.15116067826</v>
      </c>
      <c r="I4" s="14" t="n">
        <f aca="false">G4/240</f>
        <v>36.7066375235507</v>
      </c>
      <c r="J4" s="14" t="n">
        <f aca="false">H4/20</f>
        <v>52.857558033913</v>
      </c>
      <c r="K4" s="3" t="n">
        <v>5</v>
      </c>
      <c r="L4" s="3" t="n">
        <v>5</v>
      </c>
      <c r="M4" s="13" t="n">
        <f aca="false">J4*L4</f>
        <v>264.287790169565</v>
      </c>
      <c r="N4" s="13" t="n">
        <f aca="false">J4*K4+M4</f>
        <v>528.57558033913</v>
      </c>
      <c r="O4" s="3" t="n">
        <v>5</v>
      </c>
      <c r="P4" s="3" t="s">
        <v>608</v>
      </c>
      <c r="Q4" s="15" t="n">
        <v>16</v>
      </c>
      <c r="R4" s="3" t="n">
        <f aca="false">MAX(1,CEILING(J4*O4/Q4,1))</f>
        <v>17</v>
      </c>
      <c r="S4" s="13" t="n">
        <f aca="false">M4+R4*Q4</f>
        <v>536.287790169565</v>
      </c>
      <c r="T4" s="3" t="n">
        <f aca="false">CEILING(S4/Q4,1)</f>
        <v>34</v>
      </c>
      <c r="U4" s="15" t="n">
        <v>61</v>
      </c>
      <c r="V4" s="16" t="n">
        <f aca="false">S4/U4</f>
        <v>8.79160311753386</v>
      </c>
    </row>
    <row r="5" customFormat="false" ht="15" hidden="false" customHeight="false" outlineLevel="0" collapsed="false">
      <c r="A5" s="3" t="s">
        <v>609</v>
      </c>
      <c r="B5" s="3" t="s">
        <v>180</v>
      </c>
      <c r="C5" s="3" t="s">
        <v>181</v>
      </c>
      <c r="D5" s="3" t="s">
        <v>182</v>
      </c>
      <c r="E5" s="3" t="s">
        <v>610</v>
      </c>
      <c r="F5" s="3" t="s">
        <v>611</v>
      </c>
      <c r="G5" s="13" t="n">
        <f aca="false">CONSOLIDADO!Q5</f>
        <v>521.994757185185</v>
      </c>
      <c r="H5" s="13" t="n">
        <f aca="false">CONSOLIDADO!R5</f>
        <v>57.4194232903704</v>
      </c>
      <c r="I5" s="14" t="n">
        <f aca="false">G5/240</f>
        <v>2.17497815493827</v>
      </c>
      <c r="J5" s="14" t="n">
        <f aca="false">H5/20</f>
        <v>2.87097116451852</v>
      </c>
      <c r="K5" s="3" t="n">
        <v>10</v>
      </c>
      <c r="L5" s="3" t="n">
        <v>10</v>
      </c>
      <c r="M5" s="13" t="n">
        <f aca="false">J5*L5</f>
        <v>28.7097116451852</v>
      </c>
      <c r="N5" s="13" t="n">
        <f aca="false">J5*K5+M5</f>
        <v>57.4194232903704</v>
      </c>
      <c r="O5" s="3" t="n">
        <v>20</v>
      </c>
      <c r="P5" s="3" t="s">
        <v>612</v>
      </c>
      <c r="Q5" s="15" t="n">
        <v>50</v>
      </c>
      <c r="R5" s="3" t="n">
        <f aca="false">MAX(1,CEILING(J5*O5/Q5,1))</f>
        <v>2</v>
      </c>
      <c r="S5" s="13" t="n">
        <f aca="false">M5+R5*Q5</f>
        <v>128.709711645185</v>
      </c>
      <c r="T5" s="3" t="n">
        <f aca="false">CEILING(S5/Q5,1)</f>
        <v>3</v>
      </c>
      <c r="U5" s="15" t="n">
        <v>136</v>
      </c>
      <c r="V5" s="16" t="n">
        <f aca="false">S5/U5</f>
        <v>0.946394938567538</v>
      </c>
    </row>
    <row r="6" customFormat="false" ht="15" hidden="false" customHeight="false" outlineLevel="0" collapsed="false">
      <c r="A6" s="3" t="s">
        <v>613</v>
      </c>
      <c r="B6" s="3" t="s">
        <v>184</v>
      </c>
      <c r="C6" s="3" t="s">
        <v>185</v>
      </c>
      <c r="D6" s="3" t="s">
        <v>182</v>
      </c>
      <c r="E6" s="3" t="s">
        <v>610</v>
      </c>
      <c r="F6" s="3" t="s">
        <v>611</v>
      </c>
      <c r="G6" s="13" t="n">
        <f aca="false">CONSOLIDADO!Q6</f>
        <v>5447.05343010136</v>
      </c>
      <c r="H6" s="13" t="n">
        <f aca="false">CONSOLIDADO!R6</f>
        <v>599.175877311149</v>
      </c>
      <c r="I6" s="14" t="n">
        <f aca="false">G6/240</f>
        <v>22.6960559587557</v>
      </c>
      <c r="J6" s="14" t="n">
        <f aca="false">H6/20</f>
        <v>29.9587938655575</v>
      </c>
      <c r="K6" s="3" t="n">
        <v>10</v>
      </c>
      <c r="L6" s="3" t="n">
        <v>10</v>
      </c>
      <c r="M6" s="13" t="n">
        <f aca="false">J6*L6</f>
        <v>299.587938655575</v>
      </c>
      <c r="N6" s="13" t="n">
        <f aca="false">J6*K6+M6</f>
        <v>599.175877311149</v>
      </c>
      <c r="O6" s="3" t="n">
        <v>20</v>
      </c>
      <c r="P6" s="3" t="s">
        <v>614</v>
      </c>
      <c r="Q6" s="15" t="n">
        <v>80</v>
      </c>
      <c r="R6" s="3" t="n">
        <f aca="false">MAX(1,CEILING(J6*O6/Q6,1))</f>
        <v>8</v>
      </c>
      <c r="S6" s="13" t="n">
        <f aca="false">M6+R6*Q6</f>
        <v>939.587938655575</v>
      </c>
      <c r="T6" s="3" t="n">
        <f aca="false">CEILING(S6/Q6,1)</f>
        <v>12</v>
      </c>
      <c r="U6" s="15" t="n">
        <v>158</v>
      </c>
      <c r="V6" s="16" t="n">
        <f aca="false">S6/U6</f>
        <v>5.94675910541503</v>
      </c>
    </row>
    <row r="7" customFormat="false" ht="15" hidden="false" customHeight="false" outlineLevel="0" collapsed="false">
      <c r="A7" s="3" t="s">
        <v>615</v>
      </c>
      <c r="B7" s="3" t="s">
        <v>187</v>
      </c>
      <c r="C7" s="3" t="s">
        <v>188</v>
      </c>
      <c r="D7" s="3" t="s">
        <v>182</v>
      </c>
      <c r="E7" s="3" t="s">
        <v>610</v>
      </c>
      <c r="F7" s="3" t="s">
        <v>611</v>
      </c>
      <c r="G7" s="13" t="n">
        <f aca="false">CONSOLIDADO!Q7</f>
        <v>256.950796442417</v>
      </c>
      <c r="H7" s="13" t="n">
        <f aca="false">CONSOLIDADO!R7</f>
        <v>28.2645876086658</v>
      </c>
      <c r="I7" s="14" t="n">
        <f aca="false">G7/240</f>
        <v>1.07062831851007</v>
      </c>
      <c r="J7" s="14" t="n">
        <f aca="false">H7/20</f>
        <v>1.41322938043329</v>
      </c>
      <c r="K7" s="3" t="n">
        <v>10</v>
      </c>
      <c r="L7" s="3" t="n">
        <v>10</v>
      </c>
      <c r="M7" s="13" t="n">
        <f aca="false">J7*L7</f>
        <v>14.1322938043329</v>
      </c>
      <c r="N7" s="13" t="n">
        <f aca="false">J7*K7+M7</f>
        <v>28.2645876086658</v>
      </c>
      <c r="O7" s="3" t="n">
        <v>20</v>
      </c>
      <c r="P7" s="3" t="s">
        <v>616</v>
      </c>
      <c r="Q7" s="15" t="n">
        <v>20</v>
      </c>
      <c r="R7" s="3" t="n">
        <f aca="false">MAX(1,CEILING(J7*O7/Q7,1))</f>
        <v>2</v>
      </c>
      <c r="S7" s="13" t="n">
        <f aca="false">M7+R7*Q7</f>
        <v>54.1322938043329</v>
      </c>
      <c r="T7" s="3" t="n">
        <f aca="false">CEILING(S7/Q7,1)</f>
        <v>3</v>
      </c>
      <c r="U7" s="15" t="n">
        <v>56</v>
      </c>
      <c r="V7" s="16" t="n">
        <f aca="false">S7/U7</f>
        <v>0.966648103648802</v>
      </c>
    </row>
    <row r="8" customFormat="false" ht="15" hidden="false" customHeight="false" outlineLevel="0" collapsed="false">
      <c r="A8" s="3" t="s">
        <v>617</v>
      </c>
      <c r="B8" s="3" t="s">
        <v>190</v>
      </c>
      <c r="C8" s="3" t="s">
        <v>191</v>
      </c>
      <c r="D8" s="3" t="s">
        <v>192</v>
      </c>
      <c r="E8" s="3" t="s">
        <v>610</v>
      </c>
      <c r="F8" s="3" t="s">
        <v>611</v>
      </c>
      <c r="G8" s="13" t="n">
        <f aca="false">CONSOLIDADO!Q8</f>
        <v>15992.8835182459</v>
      </c>
      <c r="H8" s="13" t="n">
        <f aca="false">CONSOLIDADO!R8</f>
        <v>1919.14602218951</v>
      </c>
      <c r="I8" s="14" t="n">
        <f aca="false">G8/240</f>
        <v>66.6370146593581</v>
      </c>
      <c r="J8" s="14" t="n">
        <f aca="false">H8/20</f>
        <v>95.9573011094757</v>
      </c>
      <c r="K8" s="3" t="n">
        <v>10</v>
      </c>
      <c r="L8" s="3" t="n">
        <v>10</v>
      </c>
      <c r="M8" s="13" t="n">
        <f aca="false">J8*L8</f>
        <v>959.573011094757</v>
      </c>
      <c r="N8" s="13" t="n">
        <f aca="false">J8*K8+M8</f>
        <v>1919.14602218951</v>
      </c>
      <c r="O8" s="3" t="n">
        <v>5</v>
      </c>
      <c r="P8" s="3" t="s">
        <v>618</v>
      </c>
      <c r="Q8" s="15" t="n">
        <v>1900</v>
      </c>
      <c r="R8" s="3" t="n">
        <f aca="false">MAX(1,CEILING(J8*O8/Q8,1))</f>
        <v>1</v>
      </c>
      <c r="S8" s="13" t="n">
        <f aca="false">M8+R8*Q8</f>
        <v>2859.57301109476</v>
      </c>
      <c r="T8" s="3" t="n">
        <f aca="false">CEILING(S8/Q8,1)</f>
        <v>2</v>
      </c>
      <c r="U8" s="15" t="n">
        <v>1000</v>
      </c>
      <c r="V8" s="16" t="n">
        <f aca="false">S8/U8</f>
        <v>2.85957301109476</v>
      </c>
    </row>
    <row r="9" customFormat="false" ht="15" hidden="false" customHeight="false" outlineLevel="0" collapsed="false">
      <c r="A9" s="3" t="s">
        <v>619</v>
      </c>
      <c r="B9" s="3" t="s">
        <v>194</v>
      </c>
      <c r="C9" s="3" t="s">
        <v>195</v>
      </c>
      <c r="D9" s="3" t="s">
        <v>192</v>
      </c>
      <c r="E9" s="3" t="s">
        <v>610</v>
      </c>
      <c r="F9" s="3" t="s">
        <v>611</v>
      </c>
      <c r="G9" s="13" t="n">
        <f aca="false">CONSOLIDADO!Q9</f>
        <v>30867.038208215</v>
      </c>
      <c r="H9" s="13" t="n">
        <f aca="false">CONSOLIDADO!R9</f>
        <v>3704.0445849858</v>
      </c>
      <c r="I9" s="14" t="n">
        <f aca="false">G9/240</f>
        <v>128.612659200896</v>
      </c>
      <c r="J9" s="14" t="n">
        <f aca="false">H9/20</f>
        <v>185.20222924929</v>
      </c>
      <c r="K9" s="3" t="n">
        <v>10</v>
      </c>
      <c r="L9" s="3" t="n">
        <v>10</v>
      </c>
      <c r="M9" s="13" t="n">
        <f aca="false">J9*L9</f>
        <v>1852.0222924929</v>
      </c>
      <c r="N9" s="13" t="n">
        <f aca="false">J9*K9+M9</f>
        <v>3704.0445849858</v>
      </c>
      <c r="O9" s="3" t="n">
        <v>5</v>
      </c>
      <c r="P9" s="3" t="s">
        <v>618</v>
      </c>
      <c r="Q9" s="15" t="n">
        <v>1900</v>
      </c>
      <c r="R9" s="3" t="n">
        <f aca="false">MAX(1,CEILING(J9*O9/Q9,1))</f>
        <v>1</v>
      </c>
      <c r="S9" s="13" t="n">
        <f aca="false">M9+R9*Q9</f>
        <v>3752.0222924929</v>
      </c>
      <c r="T9" s="3" t="n">
        <f aca="false">CEILING(S9/Q9,1)</f>
        <v>2</v>
      </c>
      <c r="U9" s="15" t="n">
        <v>1000</v>
      </c>
      <c r="V9" s="16" t="n">
        <f aca="false">S9/U9</f>
        <v>3.7520222924929</v>
      </c>
    </row>
    <row r="10" customFormat="false" ht="15" hidden="false" customHeight="false" outlineLevel="0" collapsed="false">
      <c r="A10" s="3" t="s">
        <v>620</v>
      </c>
      <c r="B10" s="3" t="s">
        <v>197</v>
      </c>
      <c r="C10" s="3" t="s">
        <v>198</v>
      </c>
      <c r="D10" s="3" t="s">
        <v>192</v>
      </c>
      <c r="E10" s="3" t="s">
        <v>610</v>
      </c>
      <c r="F10" s="3" t="s">
        <v>621</v>
      </c>
      <c r="G10" s="13" t="n">
        <f aca="false">CONSOLIDADO!Q10</f>
        <v>9210.51266638455</v>
      </c>
      <c r="H10" s="13" t="n">
        <f aca="false">CONSOLIDADO!R10</f>
        <v>1013.1563933023</v>
      </c>
      <c r="I10" s="14" t="n">
        <f aca="false">G10/240</f>
        <v>38.3771361099356</v>
      </c>
      <c r="J10" s="14" t="n">
        <f aca="false">H10/20</f>
        <v>50.657819665115</v>
      </c>
      <c r="K10" s="3" t="n">
        <v>10</v>
      </c>
      <c r="L10" s="3" t="n">
        <v>10</v>
      </c>
      <c r="M10" s="13" t="n">
        <f aca="false">J10*L10</f>
        <v>506.57819665115</v>
      </c>
      <c r="N10" s="13" t="n">
        <f aca="false">J10*K10+M10</f>
        <v>1013.1563933023</v>
      </c>
      <c r="O10" s="3" t="n">
        <v>10</v>
      </c>
      <c r="P10" s="3" t="s">
        <v>622</v>
      </c>
      <c r="Q10" s="15" t="n">
        <v>492</v>
      </c>
      <c r="R10" s="3" t="n">
        <f aca="false">MAX(1,CEILING(J10*O10/Q10,1))</f>
        <v>2</v>
      </c>
      <c r="S10" s="13" t="n">
        <f aca="false">M10+R10*Q10</f>
        <v>1490.57819665115</v>
      </c>
      <c r="T10" s="3" t="n">
        <f aca="false">CEILING(S10/Q10,1)</f>
        <v>4</v>
      </c>
      <c r="U10" s="15" t="n">
        <v>492</v>
      </c>
      <c r="V10" s="16" t="n">
        <f aca="false">S10/U10</f>
        <v>3.02963048099827</v>
      </c>
    </row>
    <row r="11" customFormat="false" ht="15" hidden="false" customHeight="false" outlineLevel="0" collapsed="false">
      <c r="A11" s="3" t="s">
        <v>623</v>
      </c>
      <c r="B11" s="3" t="s">
        <v>200</v>
      </c>
      <c r="C11" s="3" t="s">
        <v>201</v>
      </c>
      <c r="D11" s="3" t="s">
        <v>192</v>
      </c>
      <c r="E11" s="3" t="s">
        <v>610</v>
      </c>
      <c r="F11" s="3" t="s">
        <v>621</v>
      </c>
      <c r="G11" s="13" t="n">
        <f aca="false">CONSOLIDADO!Q11</f>
        <v>45974.8740071531</v>
      </c>
      <c r="H11" s="13" t="n">
        <f aca="false">CONSOLIDADO!R11</f>
        <v>5057.23614078684</v>
      </c>
      <c r="I11" s="14" t="n">
        <f aca="false">G11/240</f>
        <v>191.561975029805</v>
      </c>
      <c r="J11" s="14" t="n">
        <f aca="false">H11/20</f>
        <v>252.861807039342</v>
      </c>
      <c r="K11" s="3" t="n">
        <v>10</v>
      </c>
      <c r="L11" s="3" t="n">
        <v>10</v>
      </c>
      <c r="M11" s="13" t="n">
        <f aca="false">J11*L11</f>
        <v>2528.61807039342</v>
      </c>
      <c r="N11" s="13" t="n">
        <f aca="false">J11*K11+M11</f>
        <v>5057.23614078684</v>
      </c>
      <c r="O11" s="3" t="n">
        <v>5</v>
      </c>
      <c r="P11" s="3" t="s">
        <v>624</v>
      </c>
      <c r="Q11" s="15" t="n">
        <v>615</v>
      </c>
      <c r="R11" s="3" t="n">
        <f aca="false">MAX(1,CEILING(J11*O11/Q11,1))</f>
        <v>3</v>
      </c>
      <c r="S11" s="13" t="n">
        <f aca="false">M11+R11*Q11</f>
        <v>4373.61807039342</v>
      </c>
      <c r="T11" s="3" t="n">
        <f aca="false">CEILING(S11/Q11,1)</f>
        <v>8</v>
      </c>
      <c r="U11" s="15" t="n">
        <v>615</v>
      </c>
      <c r="V11" s="16" t="n">
        <f aca="false">S11/U11</f>
        <v>7.11157409820068</v>
      </c>
    </row>
    <row r="12" customFormat="false" ht="15" hidden="false" customHeight="false" outlineLevel="0" collapsed="false">
      <c r="A12" s="3" t="s">
        <v>625</v>
      </c>
      <c r="B12" s="3" t="s">
        <v>203</v>
      </c>
      <c r="C12" s="3" t="s">
        <v>204</v>
      </c>
      <c r="D12" s="3" t="s">
        <v>192</v>
      </c>
      <c r="E12" s="3" t="s">
        <v>610</v>
      </c>
      <c r="F12" s="3" t="s">
        <v>621</v>
      </c>
      <c r="G12" s="13" t="n">
        <f aca="false">CONSOLIDADO!Q12</f>
        <v>29555.2761474556</v>
      </c>
      <c r="H12" s="13" t="n">
        <f aca="false">CONSOLIDADO!R12</f>
        <v>3251.08037622011</v>
      </c>
      <c r="I12" s="14" t="n">
        <f aca="false">G12/240</f>
        <v>123.146983947731</v>
      </c>
      <c r="J12" s="14" t="n">
        <f aca="false">H12/20</f>
        <v>162.554018811006</v>
      </c>
      <c r="K12" s="3" t="n">
        <v>10</v>
      </c>
      <c r="L12" s="3" t="n">
        <v>10</v>
      </c>
      <c r="M12" s="13" t="n">
        <f aca="false">J12*L12</f>
        <v>1625.54018811006</v>
      </c>
      <c r="N12" s="13" t="n">
        <f aca="false">J12*K12+M12</f>
        <v>3251.08037622011</v>
      </c>
      <c r="O12" s="3" t="n">
        <v>5</v>
      </c>
      <c r="P12" s="3" t="s">
        <v>622</v>
      </c>
      <c r="Q12" s="15" t="n">
        <v>492</v>
      </c>
      <c r="R12" s="3" t="n">
        <f aca="false">MAX(1,CEILING(J12*O12/Q12,1))</f>
        <v>2</v>
      </c>
      <c r="S12" s="13" t="n">
        <f aca="false">M12+R12*Q12</f>
        <v>2609.54018811006</v>
      </c>
      <c r="T12" s="3" t="n">
        <f aca="false">CEILING(S12/Q12,1)</f>
        <v>6</v>
      </c>
      <c r="U12" s="15" t="n">
        <v>492</v>
      </c>
      <c r="V12" s="16" t="n">
        <f aca="false">S12/U12</f>
        <v>5.30394347176841</v>
      </c>
    </row>
    <row r="13" customFormat="false" ht="15" hidden="false" customHeight="false" outlineLevel="0" collapsed="false">
      <c r="A13" s="3" t="s">
        <v>626</v>
      </c>
      <c r="B13" s="3" t="s">
        <v>206</v>
      </c>
      <c r="C13" s="3" t="s">
        <v>207</v>
      </c>
      <c r="D13" s="3" t="s">
        <v>192</v>
      </c>
      <c r="E13" s="3" t="s">
        <v>610</v>
      </c>
      <c r="F13" s="3" t="s">
        <v>621</v>
      </c>
      <c r="G13" s="13" t="n">
        <f aca="false">CONSOLIDADO!Q13</f>
        <v>3790.46620289553</v>
      </c>
      <c r="H13" s="13" t="n">
        <f aca="false">CONSOLIDADO!R13</f>
        <v>416.951282318508</v>
      </c>
      <c r="I13" s="14" t="n">
        <f aca="false">G13/240</f>
        <v>15.7936091787314</v>
      </c>
      <c r="J13" s="14" t="n">
        <f aca="false">H13/20</f>
        <v>20.8475641159254</v>
      </c>
      <c r="K13" s="3" t="n">
        <v>10</v>
      </c>
      <c r="L13" s="3" t="n">
        <v>10</v>
      </c>
      <c r="M13" s="13" t="n">
        <f aca="false">J13*L13</f>
        <v>208.475641159254</v>
      </c>
      <c r="N13" s="13" t="n">
        <f aca="false">J13*K13+M13</f>
        <v>416.951282318508</v>
      </c>
      <c r="O13" s="3" t="n">
        <v>20</v>
      </c>
      <c r="P13" s="3" t="s">
        <v>627</v>
      </c>
      <c r="Q13" s="15" t="n">
        <v>590</v>
      </c>
      <c r="R13" s="3" t="n">
        <f aca="false">MAX(1,CEILING(J13*O13/Q13,1))</f>
        <v>1</v>
      </c>
      <c r="S13" s="13" t="n">
        <f aca="false">M13+R13*Q13</f>
        <v>798.475641159254</v>
      </c>
      <c r="T13" s="3" t="n">
        <f aca="false">CEILING(S13/Q13,1)</f>
        <v>2</v>
      </c>
      <c r="U13" s="15" t="n">
        <v>738</v>
      </c>
      <c r="V13" s="16" t="n">
        <f aca="false">S13/U13</f>
        <v>1.08194531322392</v>
      </c>
    </row>
    <row r="14" customFormat="false" ht="15" hidden="false" customHeight="false" outlineLevel="0" collapsed="false">
      <c r="A14" s="3" t="s">
        <v>628</v>
      </c>
      <c r="B14" s="3" t="s">
        <v>209</v>
      </c>
      <c r="C14" s="3" t="s">
        <v>210</v>
      </c>
      <c r="D14" s="3" t="s">
        <v>192</v>
      </c>
      <c r="E14" s="3" t="s">
        <v>610</v>
      </c>
      <c r="F14" s="3" t="s">
        <v>621</v>
      </c>
      <c r="G14" s="13" t="n">
        <f aca="false">CONSOLIDADO!Q14</f>
        <v>3134.0329754209</v>
      </c>
      <c r="H14" s="13" t="n">
        <f aca="false">CONSOLIDADO!R14</f>
        <v>344.743627296299</v>
      </c>
      <c r="I14" s="14" t="n">
        <f aca="false">G14/240</f>
        <v>13.0584707309204</v>
      </c>
      <c r="J14" s="14" t="n">
        <f aca="false">H14/20</f>
        <v>17.2371813648149</v>
      </c>
      <c r="K14" s="3" t="n">
        <v>10</v>
      </c>
      <c r="L14" s="3" t="n">
        <v>10</v>
      </c>
      <c r="M14" s="13" t="n">
        <f aca="false">J14*L14</f>
        <v>172.371813648149</v>
      </c>
      <c r="N14" s="13" t="n">
        <f aca="false">J14*K14+M14</f>
        <v>344.743627296299</v>
      </c>
      <c r="O14" s="3" t="n">
        <v>20</v>
      </c>
      <c r="P14" s="3" t="s">
        <v>629</v>
      </c>
      <c r="Q14" s="15" t="n">
        <v>498</v>
      </c>
      <c r="R14" s="3" t="n">
        <f aca="false">MAX(1,CEILING(J14*O14/Q14,1))</f>
        <v>1</v>
      </c>
      <c r="S14" s="13" t="n">
        <f aca="false">M14+R14*Q14</f>
        <v>670.371813648149</v>
      </c>
      <c r="T14" s="3" t="n">
        <f aca="false">CEILING(S14/Q14,1)</f>
        <v>2</v>
      </c>
      <c r="U14" s="15" t="n">
        <v>498</v>
      </c>
      <c r="V14" s="16" t="n">
        <f aca="false">S14/U14</f>
        <v>1.34612813985572</v>
      </c>
    </row>
    <row r="15" customFormat="false" ht="15" hidden="false" customHeight="false" outlineLevel="0" collapsed="false">
      <c r="A15" s="3" t="s">
        <v>630</v>
      </c>
      <c r="B15" s="3" t="s">
        <v>354</v>
      </c>
      <c r="C15" s="3" t="s">
        <v>355</v>
      </c>
      <c r="D15" s="3" t="s">
        <v>182</v>
      </c>
      <c r="E15" s="3" t="s">
        <v>631</v>
      </c>
      <c r="F15" s="3" t="s">
        <v>611</v>
      </c>
      <c r="G15" s="13" t="n">
        <f aca="false">CONSOLIDADO!Q15</f>
        <v>370.551507958608</v>
      </c>
      <c r="H15" s="13" t="n">
        <f aca="false">CONSOLIDADO!R15</f>
        <v>33.3496357162747</v>
      </c>
      <c r="I15" s="14" t="n">
        <f aca="false">G15/240</f>
        <v>1.5439646164942</v>
      </c>
      <c r="J15" s="14" t="n">
        <f aca="false">H15/20</f>
        <v>1.66748178581374</v>
      </c>
      <c r="K15" s="3" t="n">
        <v>10</v>
      </c>
      <c r="L15" s="3" t="n">
        <v>10</v>
      </c>
      <c r="M15" s="13" t="n">
        <f aca="false">J15*L15</f>
        <v>16.6748178581374</v>
      </c>
      <c r="N15" s="13" t="n">
        <f aca="false">J15*K15+M15</f>
        <v>33.3496357162747</v>
      </c>
      <c r="O15" s="3" t="n">
        <v>20</v>
      </c>
      <c r="P15" s="3" t="s">
        <v>616</v>
      </c>
      <c r="Q15" s="15" t="n">
        <v>20</v>
      </c>
      <c r="R15" s="3" t="n">
        <f aca="false">MAX(1,CEILING(J15*O15/Q15,1))</f>
        <v>2</v>
      </c>
      <c r="S15" s="13" t="n">
        <f aca="false">M15+R15*Q15</f>
        <v>56.6748178581374</v>
      </c>
      <c r="T15" s="3" t="n">
        <f aca="false">CEILING(S15/Q15,1)</f>
        <v>3</v>
      </c>
      <c r="U15" s="15" t="n">
        <v>40</v>
      </c>
      <c r="V15" s="16" t="n">
        <f aca="false">S15/U15</f>
        <v>1.41687044645343</v>
      </c>
    </row>
    <row r="16" customFormat="false" ht="15" hidden="false" customHeight="false" outlineLevel="0" collapsed="false">
      <c r="A16" s="3" t="s">
        <v>632</v>
      </c>
      <c r="B16" s="3" t="s">
        <v>357</v>
      </c>
      <c r="C16" s="3" t="s">
        <v>358</v>
      </c>
      <c r="D16" s="3" t="s">
        <v>182</v>
      </c>
      <c r="E16" s="3" t="s">
        <v>631</v>
      </c>
      <c r="F16" s="3" t="s">
        <v>611</v>
      </c>
      <c r="G16" s="13" t="n">
        <f aca="false">CONSOLIDADO!Q16</f>
        <v>165.193517085878</v>
      </c>
      <c r="H16" s="13" t="n">
        <f aca="false">CONSOLIDADO!R16</f>
        <v>14.867416537729</v>
      </c>
      <c r="I16" s="14" t="n">
        <f aca="false">G16/240</f>
        <v>0.688306321191157</v>
      </c>
      <c r="J16" s="14" t="n">
        <f aca="false">H16/20</f>
        <v>0.743370826886449</v>
      </c>
      <c r="K16" s="3" t="n">
        <v>10</v>
      </c>
      <c r="L16" s="3" t="n">
        <v>10</v>
      </c>
      <c r="M16" s="13" t="n">
        <f aca="false">J16*L16</f>
        <v>7.43370826886449</v>
      </c>
      <c r="N16" s="13" t="n">
        <f aca="false">J16*K16+M16</f>
        <v>14.867416537729</v>
      </c>
      <c r="O16" s="3" t="n">
        <v>20</v>
      </c>
      <c r="P16" s="3" t="s">
        <v>633</v>
      </c>
      <c r="Q16" s="15" t="n">
        <v>15</v>
      </c>
      <c r="R16" s="3" t="n">
        <f aca="false">MAX(1,CEILING(J16*O16/Q16,1))</f>
        <v>1</v>
      </c>
      <c r="S16" s="13" t="n">
        <f aca="false">M16+R16*Q16</f>
        <v>22.4337082688645</v>
      </c>
      <c r="T16" s="3" t="n">
        <f aca="false">CEILING(S16/Q16,1)</f>
        <v>2</v>
      </c>
      <c r="U16" s="15" t="n">
        <v>30</v>
      </c>
      <c r="V16" s="16" t="n">
        <f aca="false">S16/U16</f>
        <v>0.747790275628816</v>
      </c>
    </row>
    <row r="17" customFormat="false" ht="15" hidden="false" customHeight="false" outlineLevel="0" collapsed="false">
      <c r="A17" s="3" t="s">
        <v>634</v>
      </c>
      <c r="B17" s="3" t="s">
        <v>360</v>
      </c>
      <c r="C17" s="3" t="s">
        <v>361</v>
      </c>
      <c r="D17" s="3" t="s">
        <v>214</v>
      </c>
      <c r="E17" s="3" t="s">
        <v>635</v>
      </c>
      <c r="F17" s="3" t="s">
        <v>636</v>
      </c>
      <c r="G17" s="13" t="n">
        <f aca="false">CONSOLIDADO!Q17</f>
        <v>1550.5410664</v>
      </c>
      <c r="H17" s="13" t="n">
        <f aca="false">CONSOLIDADO!R17</f>
        <v>139.548695976</v>
      </c>
      <c r="I17" s="14" t="n">
        <f aca="false">G17/240</f>
        <v>6.46058777666667</v>
      </c>
      <c r="J17" s="14" t="n">
        <f aca="false">H17/20</f>
        <v>6.9774347988</v>
      </c>
      <c r="K17" s="3" t="n">
        <v>60</v>
      </c>
      <c r="L17" s="3" t="n">
        <v>20</v>
      </c>
      <c r="M17" s="13" t="n">
        <f aca="false">J17*L17</f>
        <v>139.548695976</v>
      </c>
      <c r="N17" s="13" t="n">
        <f aca="false">J17*K17+M17</f>
        <v>558.194783904</v>
      </c>
      <c r="O17" s="3" t="n">
        <v>40</v>
      </c>
      <c r="P17" s="3" t="s">
        <v>637</v>
      </c>
      <c r="Q17" s="15" t="n">
        <v>400</v>
      </c>
      <c r="R17" s="3" t="n">
        <f aca="false">MAX(1,CEILING(J17*O17/Q17,1))</f>
        <v>1</v>
      </c>
      <c r="S17" s="13" t="n">
        <f aca="false">M17+R17*Q17</f>
        <v>539.548695976</v>
      </c>
      <c r="T17" s="3" t="n">
        <f aca="false">CEILING(S17/Q17,1)</f>
        <v>2</v>
      </c>
      <c r="U17" s="15" t="n">
        <v>400</v>
      </c>
      <c r="V17" s="16" t="n">
        <f aca="false">S17/U17</f>
        <v>1.34887173994</v>
      </c>
    </row>
    <row r="18" customFormat="false" ht="15" hidden="false" customHeight="false" outlineLevel="0" collapsed="false">
      <c r="A18" s="3" t="s">
        <v>638</v>
      </c>
      <c r="B18" s="3" t="s">
        <v>363</v>
      </c>
      <c r="C18" s="3" t="s">
        <v>364</v>
      </c>
      <c r="D18" s="3" t="s">
        <v>214</v>
      </c>
      <c r="E18" s="3" t="s">
        <v>635</v>
      </c>
      <c r="F18" s="3" t="s">
        <v>636</v>
      </c>
      <c r="G18" s="13" t="n">
        <f aca="false">CONSOLIDADO!Q18</f>
        <v>3412.92405123663</v>
      </c>
      <c r="H18" s="13" t="n">
        <f aca="false">CONSOLIDADO!R18</f>
        <v>307.163164611297</v>
      </c>
      <c r="I18" s="14" t="n">
        <f aca="false">G18/240</f>
        <v>14.2205168801526</v>
      </c>
      <c r="J18" s="14" t="n">
        <f aca="false">H18/20</f>
        <v>15.3581582305648</v>
      </c>
      <c r="K18" s="3" t="n">
        <v>60</v>
      </c>
      <c r="L18" s="3" t="n">
        <v>20</v>
      </c>
      <c r="M18" s="13" t="n">
        <f aca="false">J18*L18</f>
        <v>307.163164611297</v>
      </c>
      <c r="N18" s="13" t="n">
        <f aca="false">J18*K18+M18</f>
        <v>1228.65265844519</v>
      </c>
      <c r="O18" s="3" t="n">
        <v>40</v>
      </c>
      <c r="P18" s="3" t="s">
        <v>639</v>
      </c>
      <c r="Q18" s="15" t="n">
        <v>300</v>
      </c>
      <c r="R18" s="3" t="n">
        <f aca="false">MAX(1,CEILING(J18*O18/Q18,1))</f>
        <v>3</v>
      </c>
      <c r="S18" s="13" t="n">
        <f aca="false">M18+R18*Q18</f>
        <v>1207.1631646113</v>
      </c>
      <c r="T18" s="3" t="n">
        <f aca="false">CEILING(S18/Q18,1)</f>
        <v>5</v>
      </c>
      <c r="U18" s="15" t="n">
        <v>300</v>
      </c>
      <c r="V18" s="16" t="n">
        <f aca="false">S18/U18</f>
        <v>4.02387721537099</v>
      </c>
    </row>
    <row r="19" customFormat="false" ht="15" hidden="false" customHeight="false" outlineLevel="0" collapsed="false">
      <c r="A19" s="3" t="s">
        <v>640</v>
      </c>
      <c r="B19" s="3" t="s">
        <v>366</v>
      </c>
      <c r="C19" s="3" t="s">
        <v>367</v>
      </c>
      <c r="D19" s="3" t="s">
        <v>214</v>
      </c>
      <c r="E19" s="3" t="s">
        <v>635</v>
      </c>
      <c r="F19" s="3" t="s">
        <v>636</v>
      </c>
      <c r="G19" s="13" t="n">
        <f aca="false">CONSOLIDADO!Q19</f>
        <v>1239.54100651527</v>
      </c>
      <c r="H19" s="13" t="n">
        <f aca="false">CONSOLIDADO!R19</f>
        <v>111.558690586374</v>
      </c>
      <c r="I19" s="14" t="n">
        <f aca="false">G19/240</f>
        <v>5.16475419381361</v>
      </c>
      <c r="J19" s="14" t="n">
        <f aca="false">H19/20</f>
        <v>5.5779345293187</v>
      </c>
      <c r="K19" s="3" t="n">
        <v>60</v>
      </c>
      <c r="L19" s="3" t="n">
        <v>20</v>
      </c>
      <c r="M19" s="13" t="n">
        <f aca="false">J19*L19</f>
        <v>111.558690586374</v>
      </c>
      <c r="N19" s="13" t="n">
        <f aca="false">J19*K19+M19</f>
        <v>446.234762345496</v>
      </c>
      <c r="O19" s="3" t="n">
        <v>40</v>
      </c>
      <c r="P19" s="3" t="s">
        <v>641</v>
      </c>
      <c r="Q19" s="15" t="n">
        <v>150</v>
      </c>
      <c r="R19" s="3" t="n">
        <f aca="false">MAX(1,CEILING(J19*O19/Q19,1))</f>
        <v>2</v>
      </c>
      <c r="S19" s="13" t="n">
        <f aca="false">M19+R19*Q19</f>
        <v>411.558690586374</v>
      </c>
      <c r="T19" s="3" t="n">
        <f aca="false">CEILING(S19/Q19,1)</f>
        <v>3</v>
      </c>
      <c r="U19" s="15" t="n">
        <v>150</v>
      </c>
      <c r="V19" s="16" t="n">
        <f aca="false">S19/U19</f>
        <v>2.74372460390916</v>
      </c>
    </row>
    <row r="20" customFormat="false" ht="15" hidden="false" customHeight="false" outlineLevel="0" collapsed="false">
      <c r="A20" s="3" t="s">
        <v>642</v>
      </c>
      <c r="B20" s="3" t="s">
        <v>212</v>
      </c>
      <c r="C20" s="3" t="s">
        <v>213</v>
      </c>
      <c r="D20" s="3" t="s">
        <v>214</v>
      </c>
      <c r="E20" s="3" t="s">
        <v>643</v>
      </c>
      <c r="F20" s="3" t="s">
        <v>644</v>
      </c>
      <c r="G20" s="13" t="n">
        <f aca="false">CONSOLIDADO!Q20</f>
        <v>202620.63913</v>
      </c>
      <c r="H20" s="13" t="n">
        <f aca="false">CONSOLIDADO!R20</f>
        <v>24314.4766956</v>
      </c>
      <c r="I20" s="14" t="n">
        <f aca="false">G20/240</f>
        <v>844.252663041667</v>
      </c>
      <c r="J20" s="14" t="n">
        <f aca="false">H20/20</f>
        <v>1215.72383478</v>
      </c>
      <c r="K20" s="3" t="n">
        <v>28</v>
      </c>
      <c r="L20" s="3" t="n">
        <v>10</v>
      </c>
      <c r="M20" s="13" t="n">
        <f aca="false">J20*L20</f>
        <v>12157.2383478</v>
      </c>
      <c r="N20" s="13" t="n">
        <f aca="false">J20*K20+M20</f>
        <v>46197.50572164</v>
      </c>
      <c r="O20" s="3" t="n">
        <v>20</v>
      </c>
      <c r="P20" s="3" t="s">
        <v>645</v>
      </c>
      <c r="Q20" s="15" t="n">
        <v>1000</v>
      </c>
      <c r="R20" s="3" t="n">
        <f aca="false">MAX(1,CEILING(J20*O20/Q20,1))</f>
        <v>25</v>
      </c>
      <c r="S20" s="13" t="n">
        <f aca="false">M20+R20*Q20</f>
        <v>37157.2383478</v>
      </c>
      <c r="T20" s="3" t="n">
        <f aca="false">CEILING(S20/Q20,1)</f>
        <v>38</v>
      </c>
      <c r="U20" s="15" t="n">
        <v>12000</v>
      </c>
      <c r="V20" s="16" t="n">
        <f aca="false">S20/U20</f>
        <v>3.09643652898333</v>
      </c>
    </row>
    <row r="21" customFormat="false" ht="15" hidden="false" customHeight="false" outlineLevel="0" collapsed="false">
      <c r="A21" s="3" t="s">
        <v>646</v>
      </c>
      <c r="B21" s="3" t="s">
        <v>216</v>
      </c>
      <c r="C21" s="3" t="s">
        <v>217</v>
      </c>
      <c r="D21" s="3" t="s">
        <v>214</v>
      </c>
      <c r="E21" s="3" t="s">
        <v>643</v>
      </c>
      <c r="F21" s="3" t="s">
        <v>644</v>
      </c>
      <c r="G21" s="13" t="n">
        <f aca="false">CONSOLIDADO!Q21</f>
        <v>83312.7615518525</v>
      </c>
      <c r="H21" s="13" t="n">
        <f aca="false">CONSOLIDADO!R21</f>
        <v>9164.40377070378</v>
      </c>
      <c r="I21" s="14" t="n">
        <f aca="false">G21/240</f>
        <v>347.136506466052</v>
      </c>
      <c r="J21" s="14" t="n">
        <f aca="false">H21/20</f>
        <v>458.220188535189</v>
      </c>
      <c r="K21" s="3" t="n">
        <v>28</v>
      </c>
      <c r="L21" s="3" t="n">
        <v>10</v>
      </c>
      <c r="M21" s="13" t="n">
        <f aca="false">J21*L21</f>
        <v>4582.20188535189</v>
      </c>
      <c r="N21" s="13" t="n">
        <f aca="false">J21*K21+M21</f>
        <v>17412.3671643372</v>
      </c>
      <c r="O21" s="3" t="n">
        <v>20</v>
      </c>
      <c r="P21" s="3" t="s">
        <v>645</v>
      </c>
      <c r="Q21" s="15" t="n">
        <v>1000</v>
      </c>
      <c r="R21" s="3" t="n">
        <f aca="false">MAX(1,CEILING(J21*O21/Q21,1))</f>
        <v>10</v>
      </c>
      <c r="S21" s="13" t="n">
        <f aca="false">M21+R21*Q21</f>
        <v>14582.2018853519</v>
      </c>
      <c r="T21" s="3" t="n">
        <f aca="false">CEILING(S21/Q21,1)</f>
        <v>15</v>
      </c>
      <c r="U21" s="15" t="n">
        <v>8000</v>
      </c>
      <c r="V21" s="16" t="n">
        <f aca="false">S21/U21</f>
        <v>1.82277523566899</v>
      </c>
    </row>
    <row r="22" customFormat="false" ht="15" hidden="false" customHeight="false" outlineLevel="0" collapsed="false">
      <c r="A22" s="3" t="s">
        <v>647</v>
      </c>
      <c r="B22" s="3" t="s">
        <v>369</v>
      </c>
      <c r="C22" s="3" t="s">
        <v>370</v>
      </c>
      <c r="D22" s="3" t="s">
        <v>214</v>
      </c>
      <c r="E22" s="3" t="s">
        <v>635</v>
      </c>
      <c r="F22" s="3" t="s">
        <v>644</v>
      </c>
      <c r="G22" s="13" t="n">
        <f aca="false">CONSOLIDADO!Q22</f>
        <v>2481.73255881832</v>
      </c>
      <c r="H22" s="13" t="n">
        <f aca="false">CONSOLIDADO!R22</f>
        <v>223.355930293648</v>
      </c>
      <c r="I22" s="14" t="n">
        <f aca="false">G22/240</f>
        <v>10.3405523284096</v>
      </c>
      <c r="J22" s="14" t="n">
        <f aca="false">H22/20</f>
        <v>11.1677965146824</v>
      </c>
      <c r="K22" s="3" t="n">
        <v>28</v>
      </c>
      <c r="L22" s="3" t="n">
        <v>20</v>
      </c>
      <c r="M22" s="13" t="n">
        <f aca="false">J22*L22</f>
        <v>223.355930293648</v>
      </c>
      <c r="N22" s="13" t="n">
        <f aca="false">J22*K22+M22</f>
        <v>536.054232704756</v>
      </c>
      <c r="O22" s="3" t="n">
        <v>40</v>
      </c>
      <c r="P22" s="3" t="s">
        <v>648</v>
      </c>
      <c r="Q22" s="15" t="n">
        <v>100</v>
      </c>
      <c r="R22" s="3" t="n">
        <f aca="false">MAX(1,CEILING(J22*O22/Q22,1))</f>
        <v>5</v>
      </c>
      <c r="S22" s="13" t="n">
        <f aca="false">M22+R22*Q22</f>
        <v>723.355930293648</v>
      </c>
      <c r="T22" s="3" t="n">
        <f aca="false">CEILING(S22/Q22,1)</f>
        <v>8</v>
      </c>
      <c r="U22" s="15" t="n">
        <v>600</v>
      </c>
      <c r="V22" s="16" t="n">
        <f aca="false">S22/U22</f>
        <v>1.20559321715608</v>
      </c>
    </row>
    <row r="23" customFormat="false" ht="15" hidden="false" customHeight="false" outlineLevel="0" collapsed="false">
      <c r="A23" s="3" t="s">
        <v>649</v>
      </c>
      <c r="B23" s="3" t="s">
        <v>372</v>
      </c>
      <c r="C23" s="3" t="s">
        <v>373</v>
      </c>
      <c r="D23" s="3" t="s">
        <v>214</v>
      </c>
      <c r="E23" s="3" t="s">
        <v>635</v>
      </c>
      <c r="F23" s="3" t="s">
        <v>644</v>
      </c>
      <c r="G23" s="13" t="n">
        <f aca="false">CONSOLIDADO!Q23</f>
        <v>619.770503257633</v>
      </c>
      <c r="H23" s="13" t="n">
        <f aca="false">CONSOLIDADO!R23</f>
        <v>55.779345293187</v>
      </c>
      <c r="I23" s="14" t="n">
        <f aca="false">G23/240</f>
        <v>2.5823770969068</v>
      </c>
      <c r="J23" s="14" t="n">
        <f aca="false">H23/20</f>
        <v>2.78896726465935</v>
      </c>
      <c r="K23" s="3" t="n">
        <v>28</v>
      </c>
      <c r="L23" s="3" t="n">
        <v>20</v>
      </c>
      <c r="M23" s="13" t="n">
        <f aca="false">J23*L23</f>
        <v>55.779345293187</v>
      </c>
      <c r="N23" s="13" t="n">
        <f aca="false">J23*K23+M23</f>
        <v>133.870428703649</v>
      </c>
      <c r="O23" s="3" t="n">
        <v>40</v>
      </c>
      <c r="P23" s="3" t="s">
        <v>650</v>
      </c>
      <c r="Q23" s="15" t="n">
        <v>40</v>
      </c>
      <c r="R23" s="3" t="n">
        <f aca="false">MAX(1,CEILING(J23*O23/Q23,1))</f>
        <v>3</v>
      </c>
      <c r="S23" s="13" t="n">
        <f aca="false">M23+R23*Q23</f>
        <v>175.779345293187</v>
      </c>
      <c r="T23" s="3" t="n">
        <f aca="false">CEILING(S23/Q23,1)</f>
        <v>5</v>
      </c>
      <c r="U23" s="15" t="n">
        <v>160</v>
      </c>
      <c r="V23" s="16" t="n">
        <f aca="false">S23/U23</f>
        <v>1.09862090808242</v>
      </c>
    </row>
    <row r="24" customFormat="false" ht="15" hidden="false" customHeight="false" outlineLevel="0" collapsed="false">
      <c r="A24" s="3" t="s">
        <v>651</v>
      </c>
      <c r="B24" s="3" t="s">
        <v>375</v>
      </c>
      <c r="C24" s="3" t="s">
        <v>376</v>
      </c>
      <c r="D24" s="3" t="s">
        <v>178</v>
      </c>
      <c r="E24" s="3" t="s">
        <v>606</v>
      </c>
      <c r="F24" s="3" t="s">
        <v>652</v>
      </c>
      <c r="G24" s="13" t="n">
        <f aca="false">CONSOLIDADO!Q24</f>
        <v>510.111353628119</v>
      </c>
      <c r="H24" s="13" t="n">
        <f aca="false">CONSOLIDADO!R24</f>
        <v>45.9100218265307</v>
      </c>
      <c r="I24" s="14" t="n">
        <f aca="false">G24/240</f>
        <v>2.12546397345049</v>
      </c>
      <c r="J24" s="14" t="n">
        <f aca="false">H24/20</f>
        <v>2.29550109132653</v>
      </c>
      <c r="K24" s="3" t="n">
        <v>10</v>
      </c>
      <c r="L24" s="3" t="n">
        <v>20</v>
      </c>
      <c r="M24" s="13" t="n">
        <f aca="false">J24*L24</f>
        <v>45.9100218265307</v>
      </c>
      <c r="N24" s="13" t="n">
        <f aca="false">J24*K24+M24</f>
        <v>68.865032739796</v>
      </c>
      <c r="O24" s="3" t="n">
        <v>60</v>
      </c>
      <c r="P24" s="3" t="s">
        <v>653</v>
      </c>
      <c r="Q24" s="15" t="n">
        <v>1</v>
      </c>
      <c r="R24" s="3" t="n">
        <f aca="false">MAX(1,CEILING(J24*O24/Q24,1))</f>
        <v>138</v>
      </c>
      <c r="S24" s="13" t="n">
        <f aca="false">M24+R24*Q24</f>
        <v>183.910021826531</v>
      </c>
      <c r="T24" s="3" t="n">
        <f aca="false">CEILING(S24/Q24,1)</f>
        <v>184</v>
      </c>
      <c r="U24" s="15" t="n">
        <v>60</v>
      </c>
      <c r="V24" s="16" t="n">
        <f aca="false">S24/U24</f>
        <v>3.06516703044218</v>
      </c>
    </row>
    <row r="25" customFormat="false" ht="15" hidden="false" customHeight="false" outlineLevel="0" collapsed="false">
      <c r="A25" s="3" t="s">
        <v>654</v>
      </c>
      <c r="B25" s="3" t="s">
        <v>378</v>
      </c>
      <c r="C25" s="3" t="s">
        <v>379</v>
      </c>
      <c r="D25" s="3" t="s">
        <v>178</v>
      </c>
      <c r="E25" s="3" t="s">
        <v>606</v>
      </c>
      <c r="F25" s="3" t="s">
        <v>652</v>
      </c>
      <c r="G25" s="13" t="n">
        <f aca="false">CONSOLIDADO!Q25</f>
        <v>89.6312202601222</v>
      </c>
      <c r="H25" s="13" t="n">
        <f aca="false">CONSOLIDADO!R25</f>
        <v>8.066809823411</v>
      </c>
      <c r="I25" s="14" t="n">
        <f aca="false">G25/240</f>
        <v>0.373463417750509</v>
      </c>
      <c r="J25" s="14" t="n">
        <f aca="false">H25/20</f>
        <v>0.40334049117055</v>
      </c>
      <c r="K25" s="3" t="n">
        <v>10</v>
      </c>
      <c r="L25" s="3" t="n">
        <v>20</v>
      </c>
      <c r="M25" s="13" t="n">
        <f aca="false">J25*L25</f>
        <v>8.066809823411</v>
      </c>
      <c r="N25" s="13" t="n">
        <f aca="false">J25*K25+M25</f>
        <v>12.1002147351165</v>
      </c>
      <c r="O25" s="3" t="n">
        <v>60</v>
      </c>
      <c r="P25" s="3" t="s">
        <v>653</v>
      </c>
      <c r="Q25" s="15" t="n">
        <v>1</v>
      </c>
      <c r="R25" s="3" t="n">
        <f aca="false">MAX(1,CEILING(J25*O25/Q25,1))</f>
        <v>25</v>
      </c>
      <c r="S25" s="13" t="n">
        <f aca="false">M25+R25*Q25</f>
        <v>33.066809823411</v>
      </c>
      <c r="T25" s="3" t="n">
        <f aca="false">CEILING(S25/Q25,1)</f>
        <v>34</v>
      </c>
      <c r="U25" s="15" t="n">
        <v>60</v>
      </c>
      <c r="V25" s="16" t="n">
        <f aca="false">S25/U25</f>
        <v>0.55111349705685</v>
      </c>
    </row>
    <row r="26" customFormat="false" ht="15" hidden="false" customHeight="false" outlineLevel="0" collapsed="false">
      <c r="A26" s="3" t="s">
        <v>655</v>
      </c>
      <c r="B26" s="3" t="s">
        <v>381</v>
      </c>
      <c r="C26" s="3" t="s">
        <v>382</v>
      </c>
      <c r="D26" s="3" t="s">
        <v>178</v>
      </c>
      <c r="E26" s="3" t="s">
        <v>606</v>
      </c>
      <c r="F26" s="3" t="s">
        <v>656</v>
      </c>
      <c r="G26" s="13" t="n">
        <f aca="false">CONSOLIDADO!Q26</f>
        <v>56.65881665</v>
      </c>
      <c r="H26" s="13" t="n">
        <f aca="false">CONSOLIDADO!R26</f>
        <v>5.0992934985</v>
      </c>
      <c r="I26" s="14" t="n">
        <f aca="false">G26/240</f>
        <v>0.236078402708333</v>
      </c>
      <c r="J26" s="14" t="n">
        <f aca="false">H26/20</f>
        <v>0.254964674925</v>
      </c>
      <c r="K26" s="3" t="n">
        <v>10</v>
      </c>
      <c r="L26" s="3" t="n">
        <v>20</v>
      </c>
      <c r="M26" s="13" t="n">
        <f aca="false">J26*L26</f>
        <v>5.0992934985</v>
      </c>
      <c r="N26" s="13" t="n">
        <f aca="false">J26*K26+M26</f>
        <v>7.64894024775</v>
      </c>
      <c r="O26" s="3" t="n">
        <v>60</v>
      </c>
      <c r="P26" s="3" t="s">
        <v>657</v>
      </c>
      <c r="Q26" s="15" t="n">
        <v>1</v>
      </c>
      <c r="R26" s="3" t="n">
        <f aca="false">MAX(1,CEILING(J26*O26/Q26,1))</f>
        <v>16</v>
      </c>
      <c r="S26" s="13" t="n">
        <f aca="false">M26+R26*Q26</f>
        <v>21.0992934985</v>
      </c>
      <c r="T26" s="3" t="n">
        <f aca="false">CEILING(S26/Q26,1)</f>
        <v>22</v>
      </c>
      <c r="U26" s="15" t="n">
        <v>60</v>
      </c>
      <c r="V26" s="16" t="n">
        <f aca="false">S26/U26</f>
        <v>0.351654891641667</v>
      </c>
    </row>
    <row r="27" customFormat="false" ht="15" hidden="false" customHeight="false" outlineLevel="0" collapsed="false">
      <c r="A27" s="3" t="s">
        <v>658</v>
      </c>
      <c r="B27" s="3" t="s">
        <v>384</v>
      </c>
      <c r="C27" s="3" t="s">
        <v>385</v>
      </c>
      <c r="D27" s="3" t="s">
        <v>178</v>
      </c>
      <c r="E27" s="3" t="s">
        <v>606</v>
      </c>
      <c r="F27" s="3" t="s">
        <v>656</v>
      </c>
      <c r="G27" s="13" t="n">
        <f aca="false">CONSOLIDADO!Q27</f>
        <v>127.046325381974</v>
      </c>
      <c r="H27" s="13" t="n">
        <f aca="false">CONSOLIDADO!R27</f>
        <v>11.4341692843776</v>
      </c>
      <c r="I27" s="14" t="n">
        <f aca="false">G27/240</f>
        <v>0.529359689091558</v>
      </c>
      <c r="J27" s="14" t="n">
        <f aca="false">H27/20</f>
        <v>0.571708464218882</v>
      </c>
      <c r="K27" s="3" t="n">
        <v>10</v>
      </c>
      <c r="L27" s="3" t="n">
        <v>20</v>
      </c>
      <c r="M27" s="13" t="n">
        <f aca="false">J27*L27</f>
        <v>11.4341692843776</v>
      </c>
      <c r="N27" s="13" t="n">
        <f aca="false">J27*K27+M27</f>
        <v>17.1512539265665</v>
      </c>
      <c r="O27" s="3" t="n">
        <v>60</v>
      </c>
      <c r="P27" s="3" t="s">
        <v>653</v>
      </c>
      <c r="Q27" s="15" t="n">
        <v>1</v>
      </c>
      <c r="R27" s="3" t="n">
        <f aca="false">MAX(1,CEILING(J27*O27/Q27,1))</f>
        <v>35</v>
      </c>
      <c r="S27" s="13" t="n">
        <f aca="false">M27+R27*Q27</f>
        <v>46.4341692843776</v>
      </c>
      <c r="T27" s="3" t="n">
        <f aca="false">CEILING(S27/Q27,1)</f>
        <v>47</v>
      </c>
      <c r="U27" s="15" t="n">
        <v>60</v>
      </c>
      <c r="V27" s="16" t="n">
        <f aca="false">S27/U27</f>
        <v>0.773902821406294</v>
      </c>
    </row>
    <row r="28" customFormat="false" ht="15" hidden="false" customHeight="false" outlineLevel="0" collapsed="false">
      <c r="A28" s="3" t="s">
        <v>659</v>
      </c>
      <c r="B28" s="3" t="s">
        <v>422</v>
      </c>
      <c r="C28" s="3" t="s">
        <v>423</v>
      </c>
      <c r="D28" s="3" t="s">
        <v>214</v>
      </c>
      <c r="E28" s="3" t="s">
        <v>660</v>
      </c>
      <c r="F28" s="3" t="s">
        <v>661</v>
      </c>
      <c r="G28" s="13" t="n">
        <f aca="false">CONSOLIDADO!Q28</f>
        <v>7258.01224830379</v>
      </c>
      <c r="H28" s="13" t="n">
        <f aca="false">CONSOLIDADO!R28</f>
        <v>653.221102347342</v>
      </c>
      <c r="I28" s="14" t="n">
        <f aca="false">G28/240</f>
        <v>30.2417177012658</v>
      </c>
      <c r="J28" s="14" t="n">
        <f aca="false">H28/20</f>
        <v>32.6610551173671</v>
      </c>
      <c r="K28" s="3" t="n">
        <v>10</v>
      </c>
      <c r="L28" s="3" t="n">
        <v>10</v>
      </c>
      <c r="M28" s="13" t="n">
        <f aca="false">J28*L28</f>
        <v>326.610551173671</v>
      </c>
      <c r="N28" s="13" t="n">
        <f aca="false">J28*K28+M28</f>
        <v>653.221102347342</v>
      </c>
      <c r="O28" s="3" t="n">
        <v>20</v>
      </c>
      <c r="P28" s="3" t="s">
        <v>662</v>
      </c>
      <c r="Q28" s="15" t="n">
        <v>1000</v>
      </c>
      <c r="R28" s="3" t="n">
        <f aca="false">MAX(1,CEILING(J28*O28/Q28,1))</f>
        <v>1</v>
      </c>
      <c r="S28" s="13" t="n">
        <f aca="false">M28+R28*Q28</f>
        <v>1326.61055117367</v>
      </c>
      <c r="T28" s="3" t="n">
        <f aca="false">CEILING(S28/Q28,1)</f>
        <v>2</v>
      </c>
      <c r="U28" s="15" t="n">
        <v>20000</v>
      </c>
      <c r="V28" s="16" t="n">
        <f aca="false">S28/U28</f>
        <v>0.0663305275586835</v>
      </c>
    </row>
    <row r="29" customFormat="false" ht="15" hidden="false" customHeight="false" outlineLevel="0" collapsed="false">
      <c r="A29" s="3" t="s">
        <v>663</v>
      </c>
      <c r="B29" s="3" t="s">
        <v>425</v>
      </c>
      <c r="C29" s="3" t="s">
        <v>426</v>
      </c>
      <c r="D29" s="3" t="s">
        <v>214</v>
      </c>
      <c r="E29" s="3" t="s">
        <v>660</v>
      </c>
      <c r="F29" s="3" t="s">
        <v>661</v>
      </c>
      <c r="G29" s="13" t="n">
        <f aca="false">CONSOLIDADO!Q29</f>
        <v>3629.0061241519</v>
      </c>
      <c r="H29" s="13" t="n">
        <f aca="false">CONSOLIDADO!R29</f>
        <v>326.610551173671</v>
      </c>
      <c r="I29" s="14" t="n">
        <f aca="false">G29/240</f>
        <v>15.1208588506329</v>
      </c>
      <c r="J29" s="14" t="n">
        <f aca="false">H29/20</f>
        <v>16.3305275586835</v>
      </c>
      <c r="K29" s="3" t="n">
        <v>10</v>
      </c>
      <c r="L29" s="3" t="n">
        <v>10</v>
      </c>
      <c r="M29" s="13" t="n">
        <f aca="false">J29*L29</f>
        <v>163.305275586835</v>
      </c>
      <c r="N29" s="13" t="n">
        <f aca="false">J29*K29+M29</f>
        <v>326.610551173671</v>
      </c>
      <c r="O29" s="3" t="n">
        <v>20</v>
      </c>
      <c r="P29" s="3" t="s">
        <v>662</v>
      </c>
      <c r="Q29" s="15" t="n">
        <v>1000</v>
      </c>
      <c r="R29" s="3" t="n">
        <f aca="false">MAX(1,CEILING(J29*O29/Q29,1))</f>
        <v>1</v>
      </c>
      <c r="S29" s="13" t="n">
        <f aca="false">M29+R29*Q29</f>
        <v>1163.30527558684</v>
      </c>
      <c r="T29" s="3" t="n">
        <f aca="false">CEILING(S29/Q29,1)</f>
        <v>2</v>
      </c>
      <c r="U29" s="15" t="n">
        <v>20000</v>
      </c>
      <c r="V29" s="16" t="n">
        <f aca="false">S29/U29</f>
        <v>0.0581652637793418</v>
      </c>
    </row>
    <row r="30" customFormat="false" ht="15" hidden="false" customHeight="false" outlineLevel="0" collapsed="false">
      <c r="A30" s="3" t="s">
        <v>664</v>
      </c>
      <c r="B30" s="3" t="s">
        <v>428</v>
      </c>
      <c r="C30" s="3" t="s">
        <v>429</v>
      </c>
      <c r="D30" s="3" t="s">
        <v>214</v>
      </c>
      <c r="E30" s="3" t="s">
        <v>660</v>
      </c>
      <c r="F30" s="3" t="s">
        <v>665</v>
      </c>
      <c r="G30" s="13" t="n">
        <f aca="false">CONSOLIDADO!Q30</f>
        <v>906.5410664</v>
      </c>
      <c r="H30" s="13" t="n">
        <f aca="false">CONSOLIDADO!R30</f>
        <v>81.588695976</v>
      </c>
      <c r="I30" s="14" t="n">
        <f aca="false">G30/240</f>
        <v>3.77725444333333</v>
      </c>
      <c r="J30" s="14" t="n">
        <f aca="false">H30/20</f>
        <v>4.0794347988</v>
      </c>
      <c r="K30" s="3" t="n">
        <v>15</v>
      </c>
      <c r="L30" s="3" t="n">
        <v>10</v>
      </c>
      <c r="M30" s="13" t="n">
        <f aca="false">J30*L30</f>
        <v>40.794347988</v>
      </c>
      <c r="N30" s="13" t="n">
        <f aca="false">J30*K30+M30</f>
        <v>101.98586997</v>
      </c>
      <c r="O30" s="3" t="n">
        <v>20</v>
      </c>
      <c r="P30" s="3" t="s">
        <v>666</v>
      </c>
      <c r="Q30" s="15" t="n">
        <v>72</v>
      </c>
      <c r="R30" s="3" t="n">
        <f aca="false">MAX(1,CEILING(J30*O30/Q30,1))</f>
        <v>2</v>
      </c>
      <c r="S30" s="13" t="n">
        <f aca="false">M30+R30*Q30</f>
        <v>184.794347988</v>
      </c>
      <c r="T30" s="3" t="n">
        <f aca="false">CEILING(S30/Q30,1)</f>
        <v>3</v>
      </c>
      <c r="U30" s="15" t="n">
        <v>144</v>
      </c>
      <c r="V30" s="16" t="n">
        <f aca="false">S30/U30</f>
        <v>1.28329408325</v>
      </c>
    </row>
    <row r="31" customFormat="false" ht="15" hidden="false" customHeight="false" outlineLevel="0" collapsed="false">
      <c r="A31" s="3" t="s">
        <v>667</v>
      </c>
      <c r="B31" s="3" t="s">
        <v>431</v>
      </c>
      <c r="C31" s="3" t="s">
        <v>432</v>
      </c>
      <c r="D31" s="3" t="s">
        <v>214</v>
      </c>
      <c r="E31" s="3" t="s">
        <v>660</v>
      </c>
      <c r="F31" s="3" t="s">
        <v>665</v>
      </c>
      <c r="G31" s="13" t="n">
        <f aca="false">CONSOLIDADO!Q31</f>
        <v>1996.92405123663</v>
      </c>
      <c r="H31" s="13" t="n">
        <f aca="false">CONSOLIDADO!R31</f>
        <v>179.723164611297</v>
      </c>
      <c r="I31" s="14" t="n">
        <f aca="false">G31/240</f>
        <v>8.32051688015263</v>
      </c>
      <c r="J31" s="14" t="n">
        <f aca="false">H31/20</f>
        <v>8.98615823056484</v>
      </c>
      <c r="K31" s="3" t="n">
        <v>15</v>
      </c>
      <c r="L31" s="3" t="n">
        <v>10</v>
      </c>
      <c r="M31" s="13" t="n">
        <f aca="false">J31*L31</f>
        <v>89.8615823056484</v>
      </c>
      <c r="N31" s="13" t="n">
        <f aca="false">J31*K31+M31</f>
        <v>224.653955764121</v>
      </c>
      <c r="O31" s="3" t="n">
        <v>20</v>
      </c>
      <c r="P31" s="3" t="s">
        <v>666</v>
      </c>
      <c r="Q31" s="15" t="n">
        <v>72</v>
      </c>
      <c r="R31" s="3" t="n">
        <f aca="false">MAX(1,CEILING(J31*O31/Q31,1))</f>
        <v>3</v>
      </c>
      <c r="S31" s="13" t="n">
        <f aca="false">M31+R31*Q31</f>
        <v>305.861582305648</v>
      </c>
      <c r="T31" s="3" t="n">
        <f aca="false">CEILING(S31/Q31,1)</f>
        <v>5</v>
      </c>
      <c r="U31" s="15" t="n">
        <v>144</v>
      </c>
      <c r="V31" s="16" t="n">
        <f aca="false">S31/U31</f>
        <v>2.12403876601145</v>
      </c>
    </row>
    <row r="32" customFormat="false" ht="15" hidden="false" customHeight="false" outlineLevel="0" collapsed="false">
      <c r="A32" s="3" t="s">
        <v>668</v>
      </c>
      <c r="B32" s="3" t="s">
        <v>434</v>
      </c>
      <c r="C32" s="3" t="s">
        <v>435</v>
      </c>
      <c r="D32" s="3" t="s">
        <v>214</v>
      </c>
      <c r="E32" s="3" t="s">
        <v>660</v>
      </c>
      <c r="F32" s="3" t="s">
        <v>669</v>
      </c>
      <c r="G32" s="13" t="n">
        <f aca="false">CONSOLIDADO!Q32</f>
        <v>725.541006515266</v>
      </c>
      <c r="H32" s="13" t="n">
        <f aca="false">CONSOLIDADO!R32</f>
        <v>65.2986905863739</v>
      </c>
      <c r="I32" s="14" t="n">
        <f aca="false">G32/240</f>
        <v>3.02308752714694</v>
      </c>
      <c r="J32" s="14" t="n">
        <f aca="false">H32/20</f>
        <v>3.2649345293187</v>
      </c>
      <c r="K32" s="3" t="n">
        <v>15</v>
      </c>
      <c r="L32" s="3" t="n">
        <v>10</v>
      </c>
      <c r="M32" s="13" t="n">
        <f aca="false">J32*L32</f>
        <v>32.649345293187</v>
      </c>
      <c r="N32" s="13" t="n">
        <f aca="false">J32*K32+M32</f>
        <v>81.6233632329674</v>
      </c>
      <c r="O32" s="3" t="n">
        <v>20</v>
      </c>
      <c r="P32" s="3" t="s">
        <v>666</v>
      </c>
      <c r="Q32" s="15" t="n">
        <v>72</v>
      </c>
      <c r="R32" s="3" t="n">
        <f aca="false">MAX(1,CEILING(J32*O32/Q32,1))</f>
        <v>1</v>
      </c>
      <c r="S32" s="13" t="n">
        <f aca="false">M32+R32*Q32</f>
        <v>104.649345293187</v>
      </c>
      <c r="T32" s="3" t="n">
        <f aca="false">CEILING(S32/Q32,1)</f>
        <v>2</v>
      </c>
      <c r="U32" s="15" t="n">
        <v>144</v>
      </c>
      <c r="V32" s="16" t="n">
        <f aca="false">S32/U32</f>
        <v>0.726731564536021</v>
      </c>
    </row>
    <row r="33" customFormat="false" ht="15" hidden="false" customHeight="false" outlineLevel="0" collapsed="false">
      <c r="A33" s="3" t="s">
        <v>670</v>
      </c>
      <c r="B33" s="3" t="s">
        <v>219</v>
      </c>
      <c r="C33" s="3" t="s">
        <v>220</v>
      </c>
      <c r="D33" s="3" t="s">
        <v>192</v>
      </c>
      <c r="E33" s="3" t="s">
        <v>671</v>
      </c>
      <c r="F33" s="3" t="s">
        <v>672</v>
      </c>
      <c r="G33" s="13" t="n">
        <f aca="false">CONSOLIDADO!Q33</f>
        <v>6044.21972398961</v>
      </c>
      <c r="H33" s="13" t="n">
        <f aca="false">CONSOLIDADO!R33</f>
        <v>695.237003444444</v>
      </c>
      <c r="I33" s="14" t="n">
        <f aca="false">G33/240</f>
        <v>25.1842488499567</v>
      </c>
      <c r="J33" s="14" t="n">
        <f aca="false">H33/20</f>
        <v>34.7618501722222</v>
      </c>
      <c r="K33" s="3" t="n">
        <v>5</v>
      </c>
      <c r="L33" s="3" t="n">
        <v>5</v>
      </c>
      <c r="M33" s="13" t="n">
        <f aca="false">J33*L33</f>
        <v>173.809250861111</v>
      </c>
      <c r="N33" s="13" t="n">
        <f aca="false">J33*K33+M33</f>
        <v>347.618501722222</v>
      </c>
      <c r="O33" s="3" t="n">
        <v>20</v>
      </c>
      <c r="P33" s="3" t="s">
        <v>673</v>
      </c>
      <c r="Q33" s="15" t="n">
        <v>900</v>
      </c>
      <c r="R33" s="3" t="n">
        <f aca="false">MAX(1,CEILING(J33*O33/Q33,1))</f>
        <v>1</v>
      </c>
      <c r="S33" s="13" t="n">
        <f aca="false">M33+R33*Q33</f>
        <v>1073.80925086111</v>
      </c>
      <c r="T33" s="3" t="n">
        <f aca="false">CEILING(S33/Q33,1)</f>
        <v>2</v>
      </c>
      <c r="U33" s="15" t="n">
        <v>900</v>
      </c>
      <c r="V33" s="16" t="n">
        <f aca="false">S33/U33</f>
        <v>1.19312138984568</v>
      </c>
    </row>
    <row r="34" customFormat="false" ht="15" hidden="false" customHeight="false" outlineLevel="0" collapsed="false">
      <c r="A34" s="3" t="s">
        <v>674</v>
      </c>
      <c r="B34" s="3" t="s">
        <v>387</v>
      </c>
      <c r="C34" s="3" t="s">
        <v>388</v>
      </c>
      <c r="D34" s="3" t="s">
        <v>192</v>
      </c>
      <c r="E34" s="3" t="s">
        <v>660</v>
      </c>
      <c r="F34" s="3" t="s">
        <v>672</v>
      </c>
      <c r="G34" s="13" t="n">
        <f aca="false">CONSOLIDADO!Q34</f>
        <v>1388.30644664223</v>
      </c>
      <c r="H34" s="13" t="n">
        <f aca="false">CONSOLIDADO!R34</f>
        <v>124.947580197801</v>
      </c>
      <c r="I34" s="14" t="n">
        <f aca="false">G34/240</f>
        <v>5.78461019434264</v>
      </c>
      <c r="J34" s="14" t="n">
        <f aca="false">H34/20</f>
        <v>6.24737900989005</v>
      </c>
      <c r="K34" s="3" t="n">
        <v>5</v>
      </c>
      <c r="L34" s="3" t="n">
        <v>10</v>
      </c>
      <c r="M34" s="13" t="n">
        <f aca="false">J34*L34</f>
        <v>62.4737900989005</v>
      </c>
      <c r="N34" s="13" t="n">
        <f aca="false">J34*K34+M34</f>
        <v>93.7106851483507</v>
      </c>
      <c r="O34" s="3" t="n">
        <v>40</v>
      </c>
      <c r="P34" s="3" t="s">
        <v>673</v>
      </c>
      <c r="Q34" s="15" t="n">
        <v>900</v>
      </c>
      <c r="R34" s="3" t="n">
        <f aca="false">MAX(1,CEILING(J34*O34/Q34,1))</f>
        <v>1</v>
      </c>
      <c r="S34" s="13" t="n">
        <f aca="false">M34+R34*Q34</f>
        <v>962.473790098901</v>
      </c>
      <c r="T34" s="3" t="n">
        <f aca="false">CEILING(S34/Q34,1)</f>
        <v>2</v>
      </c>
      <c r="U34" s="15" t="n">
        <v>900</v>
      </c>
      <c r="V34" s="16" t="n">
        <f aca="false">S34/U34</f>
        <v>1.06941532233211</v>
      </c>
    </row>
    <row r="35" customFormat="false" ht="15" hidden="false" customHeight="false" outlineLevel="0" collapsed="false">
      <c r="A35" s="3" t="s">
        <v>675</v>
      </c>
      <c r="B35" s="3" t="s">
        <v>222</v>
      </c>
      <c r="C35" s="3" t="s">
        <v>223</v>
      </c>
      <c r="D35" s="3" t="s">
        <v>224</v>
      </c>
      <c r="E35" s="3" t="s">
        <v>676</v>
      </c>
      <c r="F35" s="3" t="s">
        <v>677</v>
      </c>
      <c r="G35" s="13" t="n">
        <f aca="false">CONSOLIDADO!Q35</f>
        <v>8025.78725867901</v>
      </c>
      <c r="H35" s="13" t="n">
        <f aca="false">CONSOLIDADO!R35</f>
        <v>909.143101923112</v>
      </c>
      <c r="I35" s="14" t="n">
        <f aca="false">G35/240</f>
        <v>33.4407802444959</v>
      </c>
      <c r="J35" s="14" t="n">
        <f aca="false">H35/20</f>
        <v>45.4571550961556</v>
      </c>
      <c r="K35" s="3" t="n">
        <v>1</v>
      </c>
      <c r="L35" s="3" t="n">
        <v>2</v>
      </c>
      <c r="M35" s="13" t="n">
        <f aca="false">J35*L35</f>
        <v>90.9143101923112</v>
      </c>
      <c r="N35" s="13" t="n">
        <f aca="false">J35*K35+M35</f>
        <v>136.371465288467</v>
      </c>
      <c r="O35" s="3" t="n">
        <v>5</v>
      </c>
      <c r="P35" s="3" t="s">
        <v>678</v>
      </c>
      <c r="Q35" s="15" t="n">
        <v>115.5</v>
      </c>
      <c r="R35" s="3" t="n">
        <f aca="false">MAX(1,CEILING(J35*O35/Q35,1))</f>
        <v>2</v>
      </c>
      <c r="S35" s="13" t="n">
        <f aca="false">M35+R35*Q35</f>
        <v>321.914310192311</v>
      </c>
      <c r="T35" s="3" t="n">
        <f aca="false">CEILING(S35/Q35,1)</f>
        <v>3</v>
      </c>
      <c r="U35" s="15" t="n">
        <v>115.5</v>
      </c>
      <c r="V35" s="16" t="n">
        <f aca="false">S35/U35</f>
        <v>2.78713688478192</v>
      </c>
    </row>
    <row r="36" customFormat="false" ht="15" hidden="false" customHeight="false" outlineLevel="0" collapsed="false">
      <c r="A36" s="3" t="s">
        <v>679</v>
      </c>
      <c r="B36" s="3" t="s">
        <v>391</v>
      </c>
      <c r="C36" s="3" t="s">
        <v>392</v>
      </c>
      <c r="D36" s="3" t="s">
        <v>214</v>
      </c>
      <c r="E36" s="3" t="s">
        <v>671</v>
      </c>
      <c r="F36" s="3" t="s">
        <v>680</v>
      </c>
      <c r="G36" s="13" t="n">
        <f aca="false">CONSOLIDADO!Q36</f>
        <v>27.2175459311392</v>
      </c>
      <c r="H36" s="13" t="n">
        <f aca="false">CONSOLIDADO!R36</f>
        <v>2.44957913380253</v>
      </c>
      <c r="I36" s="14" t="n">
        <f aca="false">G36/240</f>
        <v>0.113406441379747</v>
      </c>
      <c r="J36" s="14" t="n">
        <f aca="false">H36/20</f>
        <v>0.122478956690127</v>
      </c>
      <c r="K36" s="3" t="n">
        <v>5</v>
      </c>
      <c r="L36" s="3" t="n">
        <v>10</v>
      </c>
      <c r="M36" s="13" t="n">
        <f aca="false">J36*L36</f>
        <v>1.22478956690127</v>
      </c>
      <c r="N36" s="13" t="n">
        <f aca="false">J36*K36+M36</f>
        <v>1.8371843503519</v>
      </c>
      <c r="O36" s="3" t="n">
        <v>20</v>
      </c>
      <c r="P36" s="3" t="s">
        <v>681</v>
      </c>
      <c r="Q36" s="15" t="n">
        <v>25</v>
      </c>
      <c r="R36" s="3" t="n">
        <f aca="false">MAX(1,CEILING(J36*O36/Q36,1))</f>
        <v>1</v>
      </c>
      <c r="S36" s="13" t="n">
        <f aca="false">M36+R36*Q36</f>
        <v>26.2247895669013</v>
      </c>
      <c r="T36" s="3" t="n">
        <f aca="false">CEILING(S36/Q36,1)</f>
        <v>2</v>
      </c>
      <c r="U36" s="15" t="n">
        <v>250</v>
      </c>
      <c r="V36" s="16" t="n">
        <f aca="false">S36/U36</f>
        <v>0.104899158267605</v>
      </c>
    </row>
    <row r="37" customFormat="false" ht="15" hidden="false" customHeight="false" outlineLevel="0" collapsed="false">
      <c r="A37" s="3" t="s">
        <v>682</v>
      </c>
      <c r="B37" s="3" t="s">
        <v>394</v>
      </c>
      <c r="C37" s="3" t="s">
        <v>395</v>
      </c>
      <c r="D37" s="3" t="s">
        <v>214</v>
      </c>
      <c r="E37" s="3" t="s">
        <v>671</v>
      </c>
      <c r="F37" s="3" t="s">
        <v>680</v>
      </c>
      <c r="G37" s="13" t="n">
        <f aca="false">CONSOLIDADO!Q37</f>
        <v>99.5924955869416</v>
      </c>
      <c r="H37" s="13" t="n">
        <f aca="false">CONSOLIDADO!R37</f>
        <v>8.96332460282474</v>
      </c>
      <c r="I37" s="14" t="n">
        <f aca="false">G37/240</f>
        <v>0.414968731612257</v>
      </c>
      <c r="J37" s="14" t="n">
        <f aca="false">H37/20</f>
        <v>0.448166230141237</v>
      </c>
      <c r="K37" s="3" t="n">
        <v>5</v>
      </c>
      <c r="L37" s="3" t="n">
        <v>10</v>
      </c>
      <c r="M37" s="13" t="n">
        <f aca="false">J37*L37</f>
        <v>4.48166230141237</v>
      </c>
      <c r="N37" s="13" t="n">
        <f aca="false">J37*K37+M37</f>
        <v>6.72249345211856</v>
      </c>
      <c r="O37" s="3" t="n">
        <v>20</v>
      </c>
      <c r="P37" s="3" t="s">
        <v>681</v>
      </c>
      <c r="Q37" s="15" t="n">
        <v>25</v>
      </c>
      <c r="R37" s="3" t="n">
        <f aca="false">MAX(1,CEILING(J37*O37/Q37,1))</f>
        <v>1</v>
      </c>
      <c r="S37" s="13" t="n">
        <f aca="false">M37+R37*Q37</f>
        <v>29.4816623014124</v>
      </c>
      <c r="T37" s="3" t="n">
        <f aca="false">CEILING(S37/Q37,1)</f>
        <v>2</v>
      </c>
      <c r="U37" s="15" t="n">
        <v>250</v>
      </c>
      <c r="V37" s="16" t="n">
        <f aca="false">S37/U37</f>
        <v>0.117926649205649</v>
      </c>
    </row>
    <row r="38" customFormat="false" ht="15" hidden="false" customHeight="false" outlineLevel="0" collapsed="false">
      <c r="A38" s="3" t="s">
        <v>683</v>
      </c>
      <c r="B38" s="3" t="s">
        <v>397</v>
      </c>
      <c r="C38" s="3" t="s">
        <v>398</v>
      </c>
      <c r="D38" s="3" t="s">
        <v>214</v>
      </c>
      <c r="E38" s="3" t="s">
        <v>671</v>
      </c>
      <c r="F38" s="3" t="s">
        <v>680</v>
      </c>
      <c r="G38" s="13" t="n">
        <f aca="false">CONSOLIDADO!Q38</f>
        <v>22.6299950691405</v>
      </c>
      <c r="H38" s="13" t="n">
        <f aca="false">CONSOLIDADO!R38</f>
        <v>2.03669955622264</v>
      </c>
      <c r="I38" s="14" t="n">
        <f aca="false">G38/240</f>
        <v>0.0942916461214186</v>
      </c>
      <c r="J38" s="14" t="n">
        <f aca="false">H38/20</f>
        <v>0.101834977811132</v>
      </c>
      <c r="K38" s="3" t="n">
        <v>5</v>
      </c>
      <c r="L38" s="3" t="n">
        <v>10</v>
      </c>
      <c r="M38" s="13" t="n">
        <f aca="false">J38*L38</f>
        <v>1.01834977811132</v>
      </c>
      <c r="N38" s="13" t="n">
        <f aca="false">J38*K38+M38</f>
        <v>1.52752466716698</v>
      </c>
      <c r="O38" s="3" t="n">
        <v>20</v>
      </c>
      <c r="P38" s="3" t="s">
        <v>681</v>
      </c>
      <c r="Q38" s="15" t="n">
        <v>25</v>
      </c>
      <c r="R38" s="3" t="n">
        <f aca="false">MAX(1,CEILING(J38*O38/Q38,1))</f>
        <v>1</v>
      </c>
      <c r="S38" s="13" t="n">
        <f aca="false">M38+R38*Q38</f>
        <v>26.0183497781113</v>
      </c>
      <c r="T38" s="3" t="n">
        <f aca="false">CEILING(S38/Q38,1)</f>
        <v>2</v>
      </c>
      <c r="U38" s="15" t="n">
        <v>250</v>
      </c>
      <c r="V38" s="16" t="n">
        <f aca="false">S38/U38</f>
        <v>0.104073399112445</v>
      </c>
    </row>
    <row r="39" customFormat="false" ht="15" hidden="false" customHeight="false" outlineLevel="0" collapsed="false">
      <c r="A39" s="3" t="s">
        <v>684</v>
      </c>
      <c r="B39" s="3" t="s">
        <v>400</v>
      </c>
      <c r="C39" s="3" t="s">
        <v>401</v>
      </c>
      <c r="D39" s="3" t="s">
        <v>214</v>
      </c>
      <c r="E39" s="3" t="s">
        <v>671</v>
      </c>
      <c r="F39" s="3" t="s">
        <v>685</v>
      </c>
      <c r="G39" s="13" t="n">
        <f aca="false">CONSOLIDADO!Q39</f>
        <v>18.1450306207595</v>
      </c>
      <c r="H39" s="13" t="n">
        <f aca="false">CONSOLIDADO!R39</f>
        <v>1.63305275586835</v>
      </c>
      <c r="I39" s="14" t="n">
        <f aca="false">G39/240</f>
        <v>0.0756042942531645</v>
      </c>
      <c r="J39" s="14" t="n">
        <f aca="false">H39/20</f>
        <v>0.0816526377934177</v>
      </c>
      <c r="K39" s="3" t="n">
        <v>5</v>
      </c>
      <c r="L39" s="3" t="n">
        <v>10</v>
      </c>
      <c r="M39" s="13" t="n">
        <f aca="false">J39*L39</f>
        <v>0.816526377934177</v>
      </c>
      <c r="N39" s="13" t="n">
        <f aca="false">J39*K39+M39</f>
        <v>1.22478956690127</v>
      </c>
      <c r="O39" s="3" t="n">
        <v>20</v>
      </c>
      <c r="P39" s="3" t="s">
        <v>681</v>
      </c>
      <c r="Q39" s="15" t="n">
        <v>25</v>
      </c>
      <c r="R39" s="3" t="n">
        <f aca="false">MAX(1,CEILING(J39*O39/Q39,1))</f>
        <v>1</v>
      </c>
      <c r="S39" s="13" t="n">
        <f aca="false">M39+R39*Q39</f>
        <v>25.8165263779342</v>
      </c>
      <c r="T39" s="3" t="n">
        <f aca="false">CEILING(S39/Q39,1)</f>
        <v>2</v>
      </c>
      <c r="U39" s="15" t="n">
        <v>250</v>
      </c>
      <c r="V39" s="16" t="n">
        <f aca="false">S39/U39</f>
        <v>0.103266105511737</v>
      </c>
    </row>
    <row r="40" customFormat="false" ht="15" hidden="false" customHeight="false" outlineLevel="0" collapsed="false">
      <c r="A40" s="3" t="s">
        <v>686</v>
      </c>
      <c r="B40" s="3" t="s">
        <v>403</v>
      </c>
      <c r="C40" s="3" t="s">
        <v>404</v>
      </c>
      <c r="D40" s="3" t="s">
        <v>214</v>
      </c>
      <c r="E40" s="3" t="s">
        <v>671</v>
      </c>
      <c r="F40" s="3" t="s">
        <v>687</v>
      </c>
      <c r="G40" s="13" t="n">
        <f aca="false">CONSOLIDADO!Q40</f>
        <v>7.75375765518987</v>
      </c>
      <c r="H40" s="13" t="n">
        <f aca="false">CONSOLIDADO!R40</f>
        <v>0.697838188967088</v>
      </c>
      <c r="I40" s="14" t="n">
        <f aca="false">G40/240</f>
        <v>0.0323073235632911</v>
      </c>
      <c r="J40" s="14" t="n">
        <f aca="false">H40/20</f>
        <v>0.0348919094483544</v>
      </c>
      <c r="K40" s="3" t="n">
        <v>5</v>
      </c>
      <c r="L40" s="3" t="n">
        <v>10</v>
      </c>
      <c r="M40" s="13" t="n">
        <f aca="false">J40*L40</f>
        <v>0.348919094483544</v>
      </c>
      <c r="N40" s="13" t="n">
        <f aca="false">J40*K40+M40</f>
        <v>0.523378641725316</v>
      </c>
      <c r="O40" s="3" t="n">
        <v>20</v>
      </c>
      <c r="P40" s="3" t="s">
        <v>681</v>
      </c>
      <c r="Q40" s="15" t="n">
        <v>25</v>
      </c>
      <c r="R40" s="3" t="n">
        <f aca="false">MAX(1,CEILING(J40*O40/Q40,1))</f>
        <v>1</v>
      </c>
      <c r="S40" s="13" t="n">
        <f aca="false">M40+R40*Q40</f>
        <v>25.3489190944835</v>
      </c>
      <c r="T40" s="3" t="n">
        <f aca="false">CEILING(S40/Q40,1)</f>
        <v>2</v>
      </c>
      <c r="U40" s="15" t="n">
        <v>250</v>
      </c>
      <c r="V40" s="16" t="n">
        <f aca="false">S40/U40</f>
        <v>0.101395676377934</v>
      </c>
    </row>
    <row r="41" customFormat="false" ht="15" hidden="false" customHeight="false" outlineLevel="0" collapsed="false">
      <c r="A41" s="3" t="s">
        <v>688</v>
      </c>
      <c r="B41" s="3" t="s">
        <v>226</v>
      </c>
      <c r="C41" s="3" t="s">
        <v>227</v>
      </c>
      <c r="D41" s="3" t="s">
        <v>192</v>
      </c>
      <c r="E41" s="3" t="s">
        <v>671</v>
      </c>
      <c r="F41" s="3" t="s">
        <v>689</v>
      </c>
      <c r="G41" s="13" t="n">
        <f aca="false">CONSOLIDADO!Q41</f>
        <v>22874.6720545482</v>
      </c>
      <c r="H41" s="13" t="n">
        <f aca="false">CONSOLIDADO!R41</f>
        <v>2678.3104373043</v>
      </c>
      <c r="I41" s="14" t="n">
        <f aca="false">G41/240</f>
        <v>95.3111335606175</v>
      </c>
      <c r="J41" s="14" t="n">
        <f aca="false">H41/20</f>
        <v>133.915521865215</v>
      </c>
      <c r="K41" s="3" t="n">
        <v>7</v>
      </c>
      <c r="L41" s="3" t="n">
        <v>20</v>
      </c>
      <c r="M41" s="13" t="n">
        <f aca="false">J41*L41</f>
        <v>2678.3104373043</v>
      </c>
      <c r="N41" s="13" t="n">
        <f aca="false">J41*K41+M41</f>
        <v>3615.71909036081</v>
      </c>
      <c r="O41" s="3" t="n">
        <v>60</v>
      </c>
      <c r="P41" s="3" t="s">
        <v>690</v>
      </c>
      <c r="Q41" s="15" t="n">
        <v>1000</v>
      </c>
      <c r="R41" s="3" t="n">
        <f aca="false">MAX(1,CEILING(J41*O41/Q41,1))</f>
        <v>9</v>
      </c>
      <c r="S41" s="13" t="n">
        <f aca="false">M41+R41*Q41</f>
        <v>11678.3104373043</v>
      </c>
      <c r="T41" s="3" t="n">
        <f aca="false">CEILING(S41/Q41,1)</f>
        <v>12</v>
      </c>
      <c r="U41" s="15" t="n">
        <v>1000</v>
      </c>
      <c r="V41" s="16" t="n">
        <f aca="false">S41/U41</f>
        <v>11.6783104373043</v>
      </c>
    </row>
    <row r="42" customFormat="false" ht="15" hidden="false" customHeight="false" outlineLevel="0" collapsed="false">
      <c r="A42" s="3" t="s">
        <v>691</v>
      </c>
      <c r="B42" s="3" t="s">
        <v>229</v>
      </c>
      <c r="C42" s="3" t="s">
        <v>230</v>
      </c>
      <c r="D42" s="3" t="s">
        <v>192</v>
      </c>
      <c r="E42" s="3" t="s">
        <v>692</v>
      </c>
      <c r="F42" s="3" t="s">
        <v>693</v>
      </c>
      <c r="G42" s="13" t="n">
        <f aca="false">CONSOLIDADO!Q42</f>
        <v>3609.5153861869</v>
      </c>
      <c r="H42" s="13" t="n">
        <f aca="false">CONSOLIDADO!R42</f>
        <v>414.271814133537</v>
      </c>
      <c r="I42" s="14" t="n">
        <f aca="false">G42/240</f>
        <v>15.0396474424454</v>
      </c>
      <c r="J42" s="14" t="n">
        <f aca="false">H42/20</f>
        <v>20.7135907066769</v>
      </c>
      <c r="K42" s="3" t="n">
        <v>10</v>
      </c>
      <c r="L42" s="3" t="n">
        <v>10</v>
      </c>
      <c r="M42" s="13" t="n">
        <f aca="false">J42*L42</f>
        <v>207.135907066769</v>
      </c>
      <c r="N42" s="13" t="n">
        <f aca="false">J42*K42+M42</f>
        <v>414.271814133537</v>
      </c>
      <c r="O42" s="3" t="n">
        <v>20</v>
      </c>
      <c r="P42" s="3" t="s">
        <v>694</v>
      </c>
      <c r="Q42" s="15" t="n">
        <v>600</v>
      </c>
      <c r="R42" s="3" t="n">
        <f aca="false">MAX(1,CEILING(J42*O42/Q42,1))</f>
        <v>1</v>
      </c>
      <c r="S42" s="13" t="n">
        <f aca="false">M42+R42*Q42</f>
        <v>807.135907066769</v>
      </c>
      <c r="T42" s="3" t="n">
        <f aca="false">CEILING(S42/Q42,1)</f>
        <v>2</v>
      </c>
      <c r="U42" s="15" t="n">
        <v>600</v>
      </c>
      <c r="V42" s="16" t="n">
        <f aca="false">S42/U42</f>
        <v>1.34522651177795</v>
      </c>
    </row>
    <row r="43" customFormat="false" ht="15" hidden="false" customHeight="false" outlineLevel="0" collapsed="false">
      <c r="A43" s="3" t="s">
        <v>695</v>
      </c>
      <c r="B43" s="3" t="s">
        <v>232</v>
      </c>
      <c r="C43" s="3" t="s">
        <v>233</v>
      </c>
      <c r="D43" s="3" t="s">
        <v>192</v>
      </c>
      <c r="E43" s="3" t="s">
        <v>692</v>
      </c>
      <c r="F43" s="3" t="s">
        <v>696</v>
      </c>
      <c r="G43" s="13" t="n">
        <f aca="false">CONSOLIDADO!Q43</f>
        <v>289244.297449429</v>
      </c>
      <c r="H43" s="13" t="n">
        <f aca="false">CONSOLIDADO!R43</f>
        <v>30798.705387846</v>
      </c>
      <c r="I43" s="14" t="n">
        <f aca="false">G43/240</f>
        <v>1205.18457270596</v>
      </c>
      <c r="J43" s="14" t="n">
        <f aca="false">H43/20</f>
        <v>1539.9352693923</v>
      </c>
      <c r="K43" s="3" t="n">
        <v>7</v>
      </c>
      <c r="L43" s="3" t="n">
        <v>10</v>
      </c>
      <c r="M43" s="13" t="n">
        <f aca="false">J43*L43</f>
        <v>15399.352693923</v>
      </c>
      <c r="N43" s="13" t="n">
        <f aca="false">J43*K43+M43</f>
        <v>26178.8995796691</v>
      </c>
      <c r="O43" s="3" t="n">
        <v>5</v>
      </c>
      <c r="P43" s="3" t="s">
        <v>697</v>
      </c>
      <c r="Q43" s="15" t="n">
        <v>1000</v>
      </c>
      <c r="R43" s="3" t="n">
        <f aca="false">MAX(1,CEILING(J43*O43/Q43,1))</f>
        <v>8</v>
      </c>
      <c r="S43" s="13" t="n">
        <f aca="false">M43+R43*Q43</f>
        <v>23399.352693923</v>
      </c>
      <c r="T43" s="3" t="n">
        <f aca="false">CEILING(S43/Q43,1)</f>
        <v>24</v>
      </c>
      <c r="U43" s="15" t="n">
        <v>2000</v>
      </c>
      <c r="V43" s="16" t="n">
        <f aca="false">S43/U43</f>
        <v>11.6996763469615</v>
      </c>
    </row>
    <row r="44" customFormat="false" ht="15" hidden="false" customHeight="false" outlineLevel="0" collapsed="false">
      <c r="A44" s="3" t="s">
        <v>698</v>
      </c>
      <c r="B44" s="3" t="s">
        <v>418</v>
      </c>
      <c r="C44" s="3" t="s">
        <v>419</v>
      </c>
      <c r="D44" s="3" t="s">
        <v>192</v>
      </c>
      <c r="E44" s="3" t="s">
        <v>692</v>
      </c>
      <c r="F44" s="3" t="s">
        <v>696</v>
      </c>
      <c r="G44" s="13" t="n">
        <f aca="false">CONSOLIDADO!Q44</f>
        <v>104470.251952402</v>
      </c>
      <c r="H44" s="13" t="n">
        <f aca="false">CONSOLIDADO!R44</f>
        <v>9318.62011236181</v>
      </c>
      <c r="I44" s="14" t="n">
        <f aca="false">G44/240</f>
        <v>435.292716468342</v>
      </c>
      <c r="J44" s="14" t="n">
        <f aca="false">H44/20</f>
        <v>465.93100561809</v>
      </c>
      <c r="K44" s="3" t="n">
        <v>7</v>
      </c>
      <c r="L44" s="3" t="n">
        <v>10</v>
      </c>
      <c r="M44" s="13" t="n">
        <f aca="false">J44*L44</f>
        <v>4659.3100561809</v>
      </c>
      <c r="N44" s="13" t="n">
        <f aca="false">J44*K44+M44</f>
        <v>7920.82709550754</v>
      </c>
      <c r="O44" s="3" t="n">
        <v>5</v>
      </c>
      <c r="P44" s="3" t="s">
        <v>697</v>
      </c>
      <c r="Q44" s="15" t="n">
        <v>1000</v>
      </c>
      <c r="R44" s="3" t="n">
        <f aca="false">MAX(1,CEILING(J44*O44/Q44,1))</f>
        <v>3</v>
      </c>
      <c r="S44" s="13" t="n">
        <f aca="false">M44+R44*Q44</f>
        <v>7659.3100561809</v>
      </c>
      <c r="T44" s="3" t="n">
        <f aca="false">CEILING(S44/Q44,1)</f>
        <v>8</v>
      </c>
      <c r="U44" s="15" t="n">
        <v>2000</v>
      </c>
      <c r="V44" s="16" t="n">
        <f aca="false">S44/U44</f>
        <v>3.82965502809045</v>
      </c>
    </row>
    <row r="45" customFormat="false" ht="15" hidden="false" customHeight="false" outlineLevel="0" collapsed="false">
      <c r="A45" s="3" t="s">
        <v>699</v>
      </c>
      <c r="B45" s="3" t="s">
        <v>235</v>
      </c>
      <c r="C45" s="3" t="s">
        <v>236</v>
      </c>
      <c r="D45" s="3" t="s">
        <v>224</v>
      </c>
      <c r="E45" s="3" t="s">
        <v>676</v>
      </c>
      <c r="F45" s="3" t="s">
        <v>677</v>
      </c>
      <c r="G45" s="13" t="n">
        <f aca="false">CONSOLIDADO!Q45</f>
        <v>4058.30731644538</v>
      </c>
      <c r="H45" s="13" t="n">
        <f aca="false">CONSOLIDADO!R45</f>
        <v>378.599616938142</v>
      </c>
      <c r="I45" s="14" t="n">
        <f aca="false">G45/240</f>
        <v>16.9096138185224</v>
      </c>
      <c r="J45" s="14" t="n">
        <f aca="false">H45/20</f>
        <v>18.9299808469071</v>
      </c>
      <c r="K45" s="3" t="n">
        <v>1</v>
      </c>
      <c r="L45" s="3" t="n">
        <v>3</v>
      </c>
      <c r="M45" s="13" t="n">
        <f aca="false">J45*L45</f>
        <v>56.7899425407213</v>
      </c>
      <c r="N45" s="13" t="n">
        <f aca="false">J45*K45+M45</f>
        <v>75.7199233876284</v>
      </c>
      <c r="O45" s="3" t="n">
        <v>10</v>
      </c>
      <c r="P45" s="3" t="s">
        <v>700</v>
      </c>
      <c r="Q45" s="15" t="n">
        <v>110</v>
      </c>
      <c r="R45" s="3" t="n">
        <f aca="false">MAX(1,CEILING(J45*O45/Q45,1))</f>
        <v>2</v>
      </c>
      <c r="S45" s="13" t="n">
        <f aca="false">M45+R45*Q45</f>
        <v>276.789942540721</v>
      </c>
      <c r="T45" s="3" t="n">
        <f aca="false">CEILING(S45/Q45,1)</f>
        <v>3</v>
      </c>
      <c r="U45" s="15" t="n">
        <v>103</v>
      </c>
      <c r="V45" s="16" t="n">
        <f aca="false">S45/U45</f>
        <v>2.68728099554098</v>
      </c>
    </row>
    <row r="46" customFormat="false" ht="15" hidden="false" customHeight="false" outlineLevel="0" collapsed="false">
      <c r="A46" s="3" t="s">
        <v>701</v>
      </c>
      <c r="B46" s="3" t="s">
        <v>489</v>
      </c>
      <c r="C46" s="3" t="s">
        <v>490</v>
      </c>
      <c r="D46" s="3" t="s">
        <v>192</v>
      </c>
      <c r="E46" s="3" t="s">
        <v>692</v>
      </c>
      <c r="F46" s="3" t="s">
        <v>702</v>
      </c>
      <c r="G46" s="13" t="n">
        <f aca="false">CONSOLIDADO!Q46</f>
        <v>863.109324777157</v>
      </c>
      <c r="H46" s="13" t="n">
        <f aca="false">CONSOLIDADO!R46</f>
        <v>71.925777064763</v>
      </c>
      <c r="I46" s="14" t="n">
        <f aca="false">G46/240</f>
        <v>3.59628885323815</v>
      </c>
      <c r="J46" s="14" t="n">
        <f aca="false">H46/20</f>
        <v>3.59628885323815</v>
      </c>
      <c r="K46" s="3" t="n">
        <v>7</v>
      </c>
      <c r="L46" s="3" t="n">
        <v>20</v>
      </c>
      <c r="M46" s="13" t="n">
        <f aca="false">J46*L46</f>
        <v>71.925777064763</v>
      </c>
      <c r="N46" s="13" t="n">
        <f aca="false">J46*K46+M46</f>
        <v>97.0997990374301</v>
      </c>
      <c r="O46" s="3" t="n">
        <v>60</v>
      </c>
      <c r="P46" s="3" t="s">
        <v>703</v>
      </c>
      <c r="Q46" s="15" t="n">
        <v>25</v>
      </c>
      <c r="R46" s="3" t="n">
        <f aca="false">MAX(1,CEILING(J46*O46/Q46,1))</f>
        <v>9</v>
      </c>
      <c r="S46" s="13" t="n">
        <f aca="false">M46+R46*Q46</f>
        <v>296.925777064763</v>
      </c>
      <c r="T46" s="3" t="n">
        <f aca="false">CEILING(S46/Q46,1)</f>
        <v>12</v>
      </c>
      <c r="U46" s="15" t="n">
        <v>1000</v>
      </c>
      <c r="V46" s="16" t="n">
        <f aca="false">S46/U46</f>
        <v>0.296925777064763</v>
      </c>
    </row>
    <row r="47" customFormat="false" ht="15" hidden="false" customHeight="false" outlineLevel="0" collapsed="false">
      <c r="A47" s="3" t="s">
        <v>704</v>
      </c>
      <c r="B47" s="3" t="s">
        <v>492</v>
      </c>
      <c r="C47" s="3" t="s">
        <v>493</v>
      </c>
      <c r="D47" s="3" t="s">
        <v>192</v>
      </c>
      <c r="E47" s="3" t="s">
        <v>692</v>
      </c>
      <c r="F47" s="3" t="s">
        <v>696</v>
      </c>
      <c r="G47" s="13" t="n">
        <f aca="false">CONSOLIDADO!Q47</f>
        <v>1383.75700379475</v>
      </c>
      <c r="H47" s="13" t="n">
        <f aca="false">CONSOLIDADO!R47</f>
        <v>115.313083649563</v>
      </c>
      <c r="I47" s="14" t="n">
        <f aca="false">G47/240</f>
        <v>5.76565418247813</v>
      </c>
      <c r="J47" s="14" t="n">
        <f aca="false">H47/20</f>
        <v>5.76565418247813</v>
      </c>
      <c r="K47" s="3" t="n">
        <v>15</v>
      </c>
      <c r="L47" s="3" t="n">
        <v>20</v>
      </c>
      <c r="M47" s="13" t="n">
        <f aca="false">J47*L47</f>
        <v>115.313083649563</v>
      </c>
      <c r="N47" s="13" t="n">
        <f aca="false">J47*K47+M47</f>
        <v>201.797896386735</v>
      </c>
      <c r="O47" s="3" t="n">
        <v>120</v>
      </c>
      <c r="P47" s="3" t="s">
        <v>703</v>
      </c>
      <c r="Q47" s="15" t="n">
        <v>25</v>
      </c>
      <c r="R47" s="3" t="n">
        <f aca="false">MAX(1,CEILING(J47*O47/Q47,1))</f>
        <v>28</v>
      </c>
      <c r="S47" s="13" t="n">
        <f aca="false">M47+R47*Q47</f>
        <v>815.313083649563</v>
      </c>
      <c r="T47" s="3" t="n">
        <f aca="false">CEILING(S47/Q47,1)</f>
        <v>33</v>
      </c>
      <c r="U47" s="15" t="n">
        <v>1000</v>
      </c>
      <c r="V47" s="16" t="n">
        <f aca="false">S47/U47</f>
        <v>0.815313083649563</v>
      </c>
    </row>
    <row r="48" customFormat="false" ht="15" hidden="false" customHeight="false" outlineLevel="0" collapsed="false">
      <c r="A48" s="3" t="s">
        <v>705</v>
      </c>
      <c r="B48" s="3" t="s">
        <v>495</v>
      </c>
      <c r="C48" s="3" t="s">
        <v>496</v>
      </c>
      <c r="D48" s="3" t="s">
        <v>192</v>
      </c>
      <c r="E48" s="3" t="s">
        <v>676</v>
      </c>
      <c r="F48" s="3" t="s">
        <v>677</v>
      </c>
      <c r="G48" s="13" t="n">
        <f aca="false">CONSOLIDADO!Q48</f>
        <v>2943.44242948868</v>
      </c>
      <c r="H48" s="13" t="n">
        <f aca="false">CONSOLIDADO!R48</f>
        <v>245.286869124057</v>
      </c>
      <c r="I48" s="14" t="n">
        <f aca="false">G48/240</f>
        <v>12.2643434562028</v>
      </c>
      <c r="J48" s="14" t="n">
        <f aca="false">H48/20</f>
        <v>12.2643434562028</v>
      </c>
      <c r="K48" s="3" t="n">
        <v>2</v>
      </c>
      <c r="L48" s="3" t="n">
        <v>5</v>
      </c>
      <c r="M48" s="13" t="n">
        <f aca="false">J48*L48</f>
        <v>61.3217172810141</v>
      </c>
      <c r="N48" s="13" t="n">
        <f aca="false">J48*K48+M48</f>
        <v>85.8504041934198</v>
      </c>
      <c r="O48" s="3" t="n">
        <v>10</v>
      </c>
      <c r="P48" s="3" t="s">
        <v>706</v>
      </c>
      <c r="Q48" s="15" t="n">
        <v>25</v>
      </c>
      <c r="R48" s="3" t="n">
        <f aca="false">MAX(1,CEILING(J48*O48/Q48,1))</f>
        <v>5</v>
      </c>
      <c r="S48" s="13" t="n">
        <f aca="false">M48+R48*Q48</f>
        <v>186.321717281014</v>
      </c>
      <c r="T48" s="3" t="n">
        <f aca="false">CEILING(S48/Q48,1)</f>
        <v>8</v>
      </c>
      <c r="U48" s="15" t="n">
        <v>25</v>
      </c>
      <c r="V48" s="16" t="n">
        <f aca="false">S48/U48</f>
        <v>7.45286869124057</v>
      </c>
    </row>
    <row r="49" customFormat="false" ht="15" hidden="false" customHeight="false" outlineLevel="0" collapsed="false">
      <c r="A49" s="3" t="s">
        <v>707</v>
      </c>
      <c r="B49" s="3" t="s">
        <v>498</v>
      </c>
      <c r="C49" s="3" t="s">
        <v>499</v>
      </c>
      <c r="D49" s="3" t="s">
        <v>192</v>
      </c>
      <c r="E49" s="3" t="s">
        <v>708</v>
      </c>
      <c r="F49" s="3" t="s">
        <v>709</v>
      </c>
      <c r="G49" s="13" t="n">
        <f aca="false">CONSOLIDADO!Q49</f>
        <v>220.148340496436</v>
      </c>
      <c r="H49" s="13" t="n">
        <f aca="false">CONSOLIDADO!R49</f>
        <v>18.3456950413697</v>
      </c>
      <c r="I49" s="14" t="n">
        <f aca="false">G49/240</f>
        <v>0.917284752068485</v>
      </c>
      <c r="J49" s="14" t="n">
        <f aca="false">H49/20</f>
        <v>0.917284752068485</v>
      </c>
      <c r="K49" s="3" t="n">
        <v>30</v>
      </c>
      <c r="L49" s="3" t="n">
        <v>20</v>
      </c>
      <c r="M49" s="13" t="n">
        <f aca="false">J49*L49</f>
        <v>18.3456950413697</v>
      </c>
      <c r="N49" s="13" t="n">
        <f aca="false">J49*K49+M49</f>
        <v>45.8642376034242</v>
      </c>
      <c r="O49" s="3" t="n">
        <v>60</v>
      </c>
      <c r="P49" s="3" t="s">
        <v>710</v>
      </c>
      <c r="Q49" s="15" t="n">
        <v>50</v>
      </c>
      <c r="R49" s="3" t="n">
        <f aca="false">MAX(1,CEILING(J49*O49/Q49,1))</f>
        <v>2</v>
      </c>
      <c r="S49" s="13" t="n">
        <f aca="false">M49+R49*Q49</f>
        <v>118.34569504137</v>
      </c>
      <c r="T49" s="3" t="n">
        <f aca="false">CEILING(S49/Q49,1)</f>
        <v>3</v>
      </c>
      <c r="U49" s="15" t="n">
        <v>50</v>
      </c>
      <c r="V49" s="16" t="n">
        <f aca="false">S49/U49</f>
        <v>2.36691390082739</v>
      </c>
    </row>
    <row r="50" customFormat="false" ht="15" hidden="false" customHeight="false" outlineLevel="0" collapsed="false">
      <c r="A50" s="3" t="s">
        <v>711</v>
      </c>
      <c r="B50" s="3" t="s">
        <v>501</v>
      </c>
      <c r="C50" s="3" t="s">
        <v>502</v>
      </c>
      <c r="D50" s="3" t="s">
        <v>503</v>
      </c>
      <c r="E50" s="3" t="s">
        <v>708</v>
      </c>
      <c r="F50" s="3" t="s">
        <v>702</v>
      </c>
      <c r="G50" s="13" t="n">
        <f aca="false">CONSOLIDADO!Q50</f>
        <v>601.329911787313</v>
      </c>
      <c r="H50" s="13" t="n">
        <f aca="false">CONSOLIDADO!R50</f>
        <v>50.1108259822761</v>
      </c>
      <c r="I50" s="14" t="n">
        <f aca="false">G50/240</f>
        <v>2.50554129911381</v>
      </c>
      <c r="J50" s="14" t="n">
        <f aca="false">H50/20</f>
        <v>2.50554129911381</v>
      </c>
      <c r="K50" s="3" t="n">
        <v>7</v>
      </c>
      <c r="L50" s="3" t="n">
        <v>20</v>
      </c>
      <c r="M50" s="13" t="n">
        <f aca="false">J50*L50</f>
        <v>50.1108259822761</v>
      </c>
      <c r="N50" s="13" t="n">
        <f aca="false">J50*K50+M50</f>
        <v>67.6496150760727</v>
      </c>
      <c r="O50" s="3" t="n">
        <v>60</v>
      </c>
      <c r="P50" s="3" t="s">
        <v>712</v>
      </c>
      <c r="Q50" s="15" t="n">
        <v>20</v>
      </c>
      <c r="R50" s="3" t="n">
        <f aca="false">MAX(1,CEILING(J50*O50/Q50,1))</f>
        <v>8</v>
      </c>
      <c r="S50" s="13" t="n">
        <f aca="false">M50+R50*Q50</f>
        <v>210.110825982276</v>
      </c>
      <c r="T50" s="3" t="n">
        <f aca="false">CEILING(S50/Q50,1)</f>
        <v>11</v>
      </c>
      <c r="U50" s="15" t="n">
        <v>480</v>
      </c>
      <c r="V50" s="16" t="n">
        <f aca="false">S50/U50</f>
        <v>0.437730887463075</v>
      </c>
    </row>
    <row r="51" customFormat="false" ht="15" hidden="false" customHeight="false" outlineLevel="0" collapsed="false">
      <c r="A51" s="3" t="s">
        <v>713</v>
      </c>
      <c r="B51" s="3" t="s">
        <v>505</v>
      </c>
      <c r="C51" s="3" t="s">
        <v>506</v>
      </c>
      <c r="D51" s="3" t="s">
        <v>503</v>
      </c>
      <c r="E51" s="3" t="s">
        <v>708</v>
      </c>
      <c r="F51" s="3" t="s">
        <v>702</v>
      </c>
      <c r="G51" s="13" t="n">
        <f aca="false">CONSOLIDADO!Q51</f>
        <v>8783.90617649257</v>
      </c>
      <c r="H51" s="13" t="n">
        <f aca="false">CONSOLIDADO!R51</f>
        <v>731.992181374381</v>
      </c>
      <c r="I51" s="14" t="n">
        <f aca="false">G51/240</f>
        <v>36.5996090687191</v>
      </c>
      <c r="J51" s="14" t="n">
        <f aca="false">H51/20</f>
        <v>36.5996090687191</v>
      </c>
      <c r="K51" s="3" t="n">
        <v>7</v>
      </c>
      <c r="L51" s="3" t="n">
        <v>10</v>
      </c>
      <c r="M51" s="13" t="n">
        <f aca="false">J51*L51</f>
        <v>365.996090687191</v>
      </c>
      <c r="N51" s="13" t="n">
        <f aca="false">J51*K51+M51</f>
        <v>622.193354168224</v>
      </c>
      <c r="O51" s="3" t="n">
        <v>20</v>
      </c>
      <c r="P51" s="3" t="s">
        <v>712</v>
      </c>
      <c r="Q51" s="15" t="n">
        <v>20</v>
      </c>
      <c r="R51" s="3" t="n">
        <f aca="false">MAX(1,CEILING(J51*O51/Q51,1))</f>
        <v>37</v>
      </c>
      <c r="S51" s="13" t="n">
        <f aca="false">M51+R51*Q51</f>
        <v>1105.99609068719</v>
      </c>
      <c r="T51" s="3" t="n">
        <f aca="false">CEILING(S51/Q51,1)</f>
        <v>56</v>
      </c>
      <c r="U51" s="15" t="n">
        <v>480</v>
      </c>
      <c r="V51" s="16" t="n">
        <f aca="false">S51/U51</f>
        <v>2.30415852226498</v>
      </c>
    </row>
    <row r="52" customFormat="false" ht="15" hidden="false" customHeight="false" outlineLevel="0" collapsed="false">
      <c r="A52" s="3" t="s">
        <v>714</v>
      </c>
      <c r="B52" s="3" t="s">
        <v>238</v>
      </c>
      <c r="C52" s="3" t="s">
        <v>239</v>
      </c>
      <c r="D52" s="3" t="s">
        <v>214</v>
      </c>
      <c r="E52" s="3" t="s">
        <v>643</v>
      </c>
      <c r="F52" s="3" t="s">
        <v>715</v>
      </c>
      <c r="G52" s="13" t="n">
        <f aca="false">CONSOLIDADO!Q52</f>
        <v>32072.63913</v>
      </c>
      <c r="H52" s="13" t="n">
        <f aca="false">CONSOLIDADO!R52</f>
        <v>3848.7166956</v>
      </c>
      <c r="I52" s="14" t="n">
        <f aca="false">G52/240</f>
        <v>133.635996375</v>
      </c>
      <c r="J52" s="14" t="n">
        <f aca="false">H52/20</f>
        <v>192.43583478</v>
      </c>
      <c r="K52" s="3" t="n">
        <v>20</v>
      </c>
      <c r="L52" s="3" t="n">
        <v>15</v>
      </c>
      <c r="M52" s="13" t="n">
        <f aca="false">J52*L52</f>
        <v>2886.5375217</v>
      </c>
      <c r="N52" s="13" t="n">
        <f aca="false">J52*K52+M52</f>
        <v>6735.2542173</v>
      </c>
      <c r="O52" s="3" t="n">
        <v>20</v>
      </c>
      <c r="P52" s="3" t="s">
        <v>716</v>
      </c>
      <c r="Q52" s="15" t="n">
        <v>3000</v>
      </c>
      <c r="R52" s="3" t="n">
        <f aca="false">MAX(1,CEILING(J52*O52/Q52,1))</f>
        <v>2</v>
      </c>
      <c r="S52" s="13" t="n">
        <f aca="false">M52+R52*Q52</f>
        <v>8886.5375217</v>
      </c>
      <c r="T52" s="3" t="n">
        <f aca="false">CEILING(S52/Q52,1)</f>
        <v>3</v>
      </c>
      <c r="U52" s="15" t="n">
        <v>3000</v>
      </c>
      <c r="V52" s="16" t="n">
        <f aca="false">S52/U52</f>
        <v>2.9621791739</v>
      </c>
    </row>
    <row r="53" customFormat="false" ht="15" hidden="false" customHeight="false" outlineLevel="0" collapsed="false">
      <c r="A53" s="3" t="s">
        <v>717</v>
      </c>
      <c r="B53" s="3" t="s">
        <v>241</v>
      </c>
      <c r="C53" s="3" t="s">
        <v>242</v>
      </c>
      <c r="D53" s="3" t="s">
        <v>214</v>
      </c>
      <c r="E53" s="3" t="s">
        <v>643</v>
      </c>
      <c r="F53" s="3" t="s">
        <v>715</v>
      </c>
      <c r="G53" s="13" t="n">
        <f aca="false">CONSOLIDADO!Q53</f>
        <v>41717.7615518525</v>
      </c>
      <c r="H53" s="13" t="n">
        <f aca="false">CONSOLIDADO!R53</f>
        <v>4588.95377070378</v>
      </c>
      <c r="I53" s="14" t="n">
        <f aca="false">G53/240</f>
        <v>173.824006466052</v>
      </c>
      <c r="J53" s="14" t="n">
        <f aca="false">H53/20</f>
        <v>229.447688535189</v>
      </c>
      <c r="K53" s="3" t="n">
        <v>20</v>
      </c>
      <c r="L53" s="3" t="n">
        <v>15</v>
      </c>
      <c r="M53" s="13" t="n">
        <f aca="false">J53*L53</f>
        <v>3441.71532802783</v>
      </c>
      <c r="N53" s="13" t="n">
        <f aca="false">J53*K53+M53</f>
        <v>8030.66909873161</v>
      </c>
      <c r="O53" s="3" t="n">
        <v>20</v>
      </c>
      <c r="P53" s="3" t="s">
        <v>718</v>
      </c>
      <c r="Q53" s="15" t="n">
        <v>1500</v>
      </c>
      <c r="R53" s="3" t="n">
        <f aca="false">MAX(1,CEILING(J53*O53/Q53,1))</f>
        <v>4</v>
      </c>
      <c r="S53" s="13" t="n">
        <f aca="false">M53+R53*Q53</f>
        <v>9441.71532802783</v>
      </c>
      <c r="T53" s="3" t="n">
        <f aca="false">CEILING(S53/Q53,1)</f>
        <v>7</v>
      </c>
      <c r="U53" s="15" t="n">
        <v>1500</v>
      </c>
      <c r="V53" s="16" t="n">
        <f aca="false">S53/U53</f>
        <v>6.29447688535189</v>
      </c>
    </row>
    <row r="54" customFormat="false" ht="15" hidden="false" customHeight="false" outlineLevel="0" collapsed="false">
      <c r="A54" s="3" t="s">
        <v>719</v>
      </c>
      <c r="B54" s="3" t="s">
        <v>437</v>
      </c>
      <c r="C54" s="3" t="s">
        <v>438</v>
      </c>
      <c r="D54" s="3" t="s">
        <v>214</v>
      </c>
      <c r="E54" s="3" t="s">
        <v>660</v>
      </c>
      <c r="F54" s="3" t="s">
        <v>715</v>
      </c>
      <c r="G54" s="13" t="n">
        <f aca="false">CONSOLIDADO!Q54</f>
        <v>453.2705332</v>
      </c>
      <c r="H54" s="13" t="n">
        <f aca="false">CONSOLIDADO!R54</f>
        <v>40.794347988</v>
      </c>
      <c r="I54" s="14" t="n">
        <f aca="false">G54/240</f>
        <v>1.88862722166667</v>
      </c>
      <c r="J54" s="14" t="n">
        <f aca="false">H54/20</f>
        <v>2.0397173994</v>
      </c>
      <c r="K54" s="3" t="n">
        <v>20</v>
      </c>
      <c r="L54" s="3" t="n">
        <v>10</v>
      </c>
      <c r="M54" s="13" t="n">
        <f aca="false">J54*L54</f>
        <v>20.397173994</v>
      </c>
      <c r="N54" s="13" t="n">
        <f aca="false">J54*K54+M54</f>
        <v>61.191521982</v>
      </c>
      <c r="O54" s="3" t="n">
        <v>20</v>
      </c>
      <c r="P54" s="3" t="s">
        <v>720</v>
      </c>
      <c r="Q54" s="15" t="n">
        <v>10</v>
      </c>
      <c r="R54" s="3" t="n">
        <f aca="false">MAX(1,CEILING(J54*O54/Q54,1))</f>
        <v>5</v>
      </c>
      <c r="S54" s="13" t="n">
        <f aca="false">M54+R54*Q54</f>
        <v>70.397173994</v>
      </c>
      <c r="T54" s="3" t="n">
        <f aca="false">CEILING(S54/Q54,1)</f>
        <v>8</v>
      </c>
      <c r="U54" s="15" t="n">
        <v>200</v>
      </c>
      <c r="V54" s="16" t="n">
        <f aca="false">S54/U54</f>
        <v>0.35198586997</v>
      </c>
    </row>
    <row r="55" customFormat="false" ht="15" hidden="false" customHeight="false" outlineLevel="0" collapsed="false">
      <c r="A55" s="3" t="s">
        <v>721</v>
      </c>
      <c r="B55" s="3" t="s">
        <v>440</v>
      </c>
      <c r="C55" s="3" t="s">
        <v>441</v>
      </c>
      <c r="D55" s="3" t="s">
        <v>214</v>
      </c>
      <c r="E55" s="3" t="s">
        <v>660</v>
      </c>
      <c r="F55" s="3" t="s">
        <v>715</v>
      </c>
      <c r="G55" s="13" t="n">
        <f aca="false">CONSOLIDADO!Q55</f>
        <v>1361.23252887595</v>
      </c>
      <c r="H55" s="13" t="n">
        <f aca="false">CONSOLIDADO!R55</f>
        <v>122.510927598835</v>
      </c>
      <c r="I55" s="14" t="n">
        <f aca="false">G55/240</f>
        <v>5.67180220364979</v>
      </c>
      <c r="J55" s="14" t="n">
        <f aca="false">H55/20</f>
        <v>6.12554637994177</v>
      </c>
      <c r="K55" s="3" t="n">
        <v>20</v>
      </c>
      <c r="L55" s="3" t="n">
        <v>10</v>
      </c>
      <c r="M55" s="13" t="n">
        <f aca="false">J55*L55</f>
        <v>61.2554637994177</v>
      </c>
      <c r="N55" s="13" t="n">
        <f aca="false">J55*K55+M55</f>
        <v>183.766391398253</v>
      </c>
      <c r="O55" s="3" t="n">
        <v>20</v>
      </c>
      <c r="P55" s="3" t="s">
        <v>720</v>
      </c>
      <c r="Q55" s="15" t="n">
        <v>10</v>
      </c>
      <c r="R55" s="3" t="n">
        <f aca="false">MAX(1,CEILING(J55*O55/Q55,1))</f>
        <v>13</v>
      </c>
      <c r="S55" s="13" t="n">
        <f aca="false">M55+R55*Q55</f>
        <v>191.255463799418</v>
      </c>
      <c r="T55" s="3" t="n">
        <f aca="false">CEILING(S55/Q55,1)</f>
        <v>20</v>
      </c>
      <c r="U55" s="15" t="n">
        <v>200</v>
      </c>
      <c r="V55" s="16" t="n">
        <f aca="false">S55/U55</f>
        <v>0.956277318997088</v>
      </c>
    </row>
    <row r="56" customFormat="false" ht="15" hidden="false" customHeight="false" outlineLevel="0" collapsed="false">
      <c r="A56" s="3" t="s">
        <v>722</v>
      </c>
      <c r="B56" s="3" t="s">
        <v>244</v>
      </c>
      <c r="C56" s="3" t="s">
        <v>245</v>
      </c>
      <c r="D56" s="3" t="s">
        <v>214</v>
      </c>
      <c r="E56" s="3" t="s">
        <v>643</v>
      </c>
      <c r="F56" s="3" t="s">
        <v>723</v>
      </c>
      <c r="G56" s="13" t="n">
        <f aca="false">CONSOLIDADO!Q56</f>
        <v>75604.9037439285</v>
      </c>
      <c r="H56" s="13" t="n">
        <f aca="false">CONSOLIDADO!R56</f>
        <v>8600.97574189061</v>
      </c>
      <c r="I56" s="14" t="n">
        <f aca="false">G56/240</f>
        <v>315.020432266369</v>
      </c>
      <c r="J56" s="14" t="n">
        <f aca="false">H56/20</f>
        <v>430.048787094531</v>
      </c>
      <c r="K56" s="3" t="n">
        <v>20</v>
      </c>
      <c r="L56" s="3" t="n">
        <v>15</v>
      </c>
      <c r="M56" s="13" t="n">
        <f aca="false">J56*L56</f>
        <v>6450.73180641796</v>
      </c>
      <c r="N56" s="13" t="n">
        <f aca="false">J56*K56+M56</f>
        <v>15051.7075483086</v>
      </c>
      <c r="O56" s="3" t="n">
        <v>20</v>
      </c>
      <c r="P56" s="3" t="s">
        <v>648</v>
      </c>
      <c r="Q56" s="15" t="n">
        <v>100</v>
      </c>
      <c r="R56" s="3" t="n">
        <f aca="false">MAX(1,CEILING(J56*O56/Q56,1))</f>
        <v>87</v>
      </c>
      <c r="S56" s="13" t="n">
        <f aca="false">M56+R56*Q56</f>
        <v>15150.731806418</v>
      </c>
      <c r="T56" s="3" t="n">
        <f aca="false">CEILING(S56/Q56,1)</f>
        <v>152</v>
      </c>
      <c r="U56" s="15" t="n">
        <v>3000</v>
      </c>
      <c r="V56" s="16" t="n">
        <f aca="false">S56/U56</f>
        <v>5.05024393547265</v>
      </c>
    </row>
    <row r="57" customFormat="false" ht="15" hidden="false" customHeight="false" outlineLevel="0" collapsed="false">
      <c r="A57" s="3" t="s">
        <v>724</v>
      </c>
      <c r="B57" s="3" t="s">
        <v>247</v>
      </c>
      <c r="C57" s="3" t="s">
        <v>248</v>
      </c>
      <c r="D57" s="3" t="s">
        <v>214</v>
      </c>
      <c r="E57" s="3" t="s">
        <v>643</v>
      </c>
      <c r="F57" s="3" t="s">
        <v>723</v>
      </c>
      <c r="G57" s="13" t="n">
        <f aca="false">CONSOLIDADO!Q57</f>
        <v>32072.63913</v>
      </c>
      <c r="H57" s="13" t="n">
        <f aca="false">CONSOLIDADO!R57</f>
        <v>3848.7166956</v>
      </c>
      <c r="I57" s="14" t="n">
        <f aca="false">G57/240</f>
        <v>133.635996375</v>
      </c>
      <c r="J57" s="14" t="n">
        <f aca="false">H57/20</f>
        <v>192.43583478</v>
      </c>
      <c r="K57" s="3" t="n">
        <v>15</v>
      </c>
      <c r="L57" s="3" t="n">
        <v>10</v>
      </c>
      <c r="M57" s="13" t="n">
        <f aca="false">J57*L57</f>
        <v>1924.3583478</v>
      </c>
      <c r="N57" s="13" t="n">
        <f aca="false">J57*K57+M57</f>
        <v>4810.8958695</v>
      </c>
      <c r="O57" s="3" t="n">
        <v>20</v>
      </c>
      <c r="P57" s="3" t="s">
        <v>725</v>
      </c>
      <c r="Q57" s="15" t="n">
        <v>50</v>
      </c>
      <c r="R57" s="3" t="n">
        <f aca="false">MAX(1,CEILING(J57*O57/Q57,1))</f>
        <v>77</v>
      </c>
      <c r="S57" s="13" t="n">
        <f aca="false">M57+R57*Q57</f>
        <v>5774.3583478</v>
      </c>
      <c r="T57" s="3" t="n">
        <f aca="false">CEILING(S57/Q57,1)</f>
        <v>116</v>
      </c>
      <c r="U57" s="15" t="n">
        <v>1500</v>
      </c>
      <c r="V57" s="16" t="n">
        <f aca="false">S57/U57</f>
        <v>3.84957223186667</v>
      </c>
    </row>
    <row r="58" customFormat="false" ht="15" hidden="false" customHeight="false" outlineLevel="0" collapsed="false">
      <c r="A58" s="3" t="s">
        <v>726</v>
      </c>
      <c r="B58" s="3" t="s">
        <v>250</v>
      </c>
      <c r="C58" s="3" t="s">
        <v>251</v>
      </c>
      <c r="D58" s="3" t="s">
        <v>214</v>
      </c>
      <c r="E58" s="3" t="s">
        <v>643</v>
      </c>
      <c r="F58" s="3" t="s">
        <v>723</v>
      </c>
      <c r="G58" s="13" t="n">
        <f aca="false">CONSOLIDADO!Q58</f>
        <v>7424.858444</v>
      </c>
      <c r="H58" s="13" t="n">
        <f aca="false">CONSOLIDADO!R58</f>
        <v>816.73442884</v>
      </c>
      <c r="I58" s="14" t="n">
        <f aca="false">G58/240</f>
        <v>30.9369101833333</v>
      </c>
      <c r="J58" s="14" t="n">
        <f aca="false">H58/20</f>
        <v>40.836721442</v>
      </c>
      <c r="K58" s="3" t="n">
        <v>15</v>
      </c>
      <c r="L58" s="3" t="n">
        <v>10</v>
      </c>
      <c r="M58" s="13" t="n">
        <f aca="false">J58*L58</f>
        <v>408.36721442</v>
      </c>
      <c r="N58" s="13" t="n">
        <f aca="false">J58*K58+M58</f>
        <v>1020.91803605</v>
      </c>
      <c r="O58" s="3" t="n">
        <v>20</v>
      </c>
      <c r="P58" s="3" t="s">
        <v>725</v>
      </c>
      <c r="Q58" s="15" t="n">
        <v>50</v>
      </c>
      <c r="R58" s="3" t="n">
        <f aca="false">MAX(1,CEILING(J58*O58/Q58,1))</f>
        <v>17</v>
      </c>
      <c r="S58" s="13" t="n">
        <f aca="false">M58+R58*Q58</f>
        <v>1258.36721442</v>
      </c>
      <c r="T58" s="3" t="n">
        <f aca="false">CEILING(S58/Q58,1)</f>
        <v>26</v>
      </c>
      <c r="U58" s="15" t="n">
        <v>1500</v>
      </c>
      <c r="V58" s="16" t="n">
        <f aca="false">S58/U58</f>
        <v>0.83891147628</v>
      </c>
    </row>
    <row r="59" customFormat="false" ht="15" hidden="false" customHeight="false" outlineLevel="0" collapsed="false">
      <c r="A59" s="3" t="s">
        <v>727</v>
      </c>
      <c r="B59" s="3" t="s">
        <v>253</v>
      </c>
      <c r="C59" s="3" t="s">
        <v>254</v>
      </c>
      <c r="D59" s="3" t="s">
        <v>214</v>
      </c>
      <c r="E59" s="3" t="s">
        <v>643</v>
      </c>
      <c r="F59" s="3" t="s">
        <v>723</v>
      </c>
      <c r="G59" s="13" t="n">
        <f aca="false">CONSOLIDADO!Q59</f>
        <v>32449.6411612163</v>
      </c>
      <c r="H59" s="13" t="n">
        <f aca="false">CONSOLIDADO!R59</f>
        <v>3569.46052773379</v>
      </c>
      <c r="I59" s="14" t="n">
        <f aca="false">G59/240</f>
        <v>135.206838171734</v>
      </c>
      <c r="J59" s="14" t="n">
        <f aca="false">H59/20</f>
        <v>178.473026386689</v>
      </c>
      <c r="K59" s="3" t="n">
        <v>15</v>
      </c>
      <c r="L59" s="3" t="n">
        <v>10</v>
      </c>
      <c r="M59" s="13" t="n">
        <f aca="false">J59*L59</f>
        <v>1784.73026386689</v>
      </c>
      <c r="N59" s="13" t="n">
        <f aca="false">J59*K59+M59</f>
        <v>4461.82565966724</v>
      </c>
      <c r="O59" s="3" t="n">
        <v>20</v>
      </c>
      <c r="P59" s="3" t="s">
        <v>725</v>
      </c>
      <c r="Q59" s="15" t="n">
        <v>50</v>
      </c>
      <c r="R59" s="3" t="n">
        <f aca="false">MAX(1,CEILING(J59*O59/Q59,1))</f>
        <v>72</v>
      </c>
      <c r="S59" s="13" t="n">
        <f aca="false">M59+R59*Q59</f>
        <v>5384.7302638669</v>
      </c>
      <c r="T59" s="3" t="n">
        <f aca="false">CEILING(S59/Q59,1)</f>
        <v>108</v>
      </c>
      <c r="U59" s="15" t="n">
        <v>1500</v>
      </c>
      <c r="V59" s="16" t="n">
        <f aca="false">S59/U59</f>
        <v>3.58982017591126</v>
      </c>
    </row>
    <row r="60" customFormat="false" ht="15" hidden="false" customHeight="false" outlineLevel="0" collapsed="false">
      <c r="A60" s="3" t="s">
        <v>728</v>
      </c>
      <c r="B60" s="3" t="s">
        <v>256</v>
      </c>
      <c r="C60" s="3" t="s">
        <v>257</v>
      </c>
      <c r="D60" s="3" t="s">
        <v>214</v>
      </c>
      <c r="E60" s="3" t="s">
        <v>643</v>
      </c>
      <c r="F60" s="3" t="s">
        <v>723</v>
      </c>
      <c r="G60" s="13" t="n">
        <f aca="false">CONSOLIDADO!Q60</f>
        <v>1843.26194663625</v>
      </c>
      <c r="H60" s="13" t="n">
        <f aca="false">CONSOLIDADO!R60</f>
        <v>202.758814129988</v>
      </c>
      <c r="I60" s="14" t="n">
        <f aca="false">G60/240</f>
        <v>7.68025811098438</v>
      </c>
      <c r="J60" s="14" t="n">
        <f aca="false">H60/20</f>
        <v>10.1379407064994</v>
      </c>
      <c r="K60" s="3" t="n">
        <v>15</v>
      </c>
      <c r="L60" s="3" t="n">
        <v>10</v>
      </c>
      <c r="M60" s="13" t="n">
        <f aca="false">J60*L60</f>
        <v>101.379407064994</v>
      </c>
      <c r="N60" s="13" t="n">
        <f aca="false">J60*K60+M60</f>
        <v>253.448517662484</v>
      </c>
      <c r="O60" s="3" t="n">
        <v>20</v>
      </c>
      <c r="P60" s="3" t="s">
        <v>725</v>
      </c>
      <c r="Q60" s="15" t="n">
        <v>50</v>
      </c>
      <c r="R60" s="3" t="n">
        <f aca="false">MAX(1,CEILING(J60*O60/Q60,1))</f>
        <v>5</v>
      </c>
      <c r="S60" s="13" t="n">
        <f aca="false">M60+R60*Q60</f>
        <v>351.379407064994</v>
      </c>
      <c r="T60" s="3" t="n">
        <f aca="false">CEILING(S60/Q60,1)</f>
        <v>8</v>
      </c>
      <c r="U60" s="15" t="n">
        <v>1500</v>
      </c>
      <c r="V60" s="16" t="n">
        <f aca="false">S60/U60</f>
        <v>0.234252938043329</v>
      </c>
    </row>
    <row r="61" customFormat="false" ht="15" hidden="false" customHeight="false" outlineLevel="0" collapsed="false">
      <c r="A61" s="3" t="s">
        <v>729</v>
      </c>
      <c r="B61" s="3" t="s">
        <v>444</v>
      </c>
      <c r="C61" s="3" t="s">
        <v>445</v>
      </c>
      <c r="D61" s="3" t="s">
        <v>214</v>
      </c>
      <c r="E61" s="3" t="s">
        <v>660</v>
      </c>
      <c r="F61" s="3" t="s">
        <v>723</v>
      </c>
      <c r="G61" s="13" t="n">
        <f aca="false">CONSOLIDADO!Q61</f>
        <v>453.2705332</v>
      </c>
      <c r="H61" s="13" t="n">
        <f aca="false">CONSOLIDADO!R61</f>
        <v>40.794347988</v>
      </c>
      <c r="I61" s="14" t="n">
        <f aca="false">G61/240</f>
        <v>1.88862722166667</v>
      </c>
      <c r="J61" s="14" t="n">
        <f aca="false">H61/20</f>
        <v>2.0397173994</v>
      </c>
      <c r="K61" s="3" t="n">
        <v>15</v>
      </c>
      <c r="L61" s="3" t="n">
        <v>10</v>
      </c>
      <c r="M61" s="13" t="n">
        <f aca="false">J61*L61</f>
        <v>20.397173994</v>
      </c>
      <c r="N61" s="13" t="n">
        <f aca="false">J61*K61+M61</f>
        <v>50.992934985</v>
      </c>
      <c r="O61" s="3" t="n">
        <v>20</v>
      </c>
      <c r="P61" s="3" t="s">
        <v>720</v>
      </c>
      <c r="Q61" s="15" t="n">
        <v>10</v>
      </c>
      <c r="R61" s="3" t="n">
        <f aca="false">MAX(1,CEILING(J61*O61/Q61,1))</f>
        <v>5</v>
      </c>
      <c r="S61" s="13" t="n">
        <f aca="false">M61+R61*Q61</f>
        <v>70.397173994</v>
      </c>
      <c r="T61" s="3" t="n">
        <f aca="false">CEILING(S61/Q61,1)</f>
        <v>8</v>
      </c>
      <c r="U61" s="15" t="n">
        <v>120</v>
      </c>
      <c r="V61" s="16" t="n">
        <f aca="false">S61/U61</f>
        <v>0.586643116616667</v>
      </c>
    </row>
    <row r="62" customFormat="false" ht="15" hidden="false" customHeight="false" outlineLevel="0" collapsed="false">
      <c r="A62" s="3" t="s">
        <v>730</v>
      </c>
      <c r="B62" s="3" t="s">
        <v>447</v>
      </c>
      <c r="C62" s="3" t="s">
        <v>448</v>
      </c>
      <c r="D62" s="3" t="s">
        <v>214</v>
      </c>
      <c r="E62" s="3" t="s">
        <v>660</v>
      </c>
      <c r="F62" s="3" t="s">
        <v>723</v>
      </c>
      <c r="G62" s="13" t="n">
        <f aca="false">CONSOLIDADO!Q62</f>
        <v>998.462025618316</v>
      </c>
      <c r="H62" s="13" t="n">
        <f aca="false">CONSOLIDADO!R62</f>
        <v>89.8615823056484</v>
      </c>
      <c r="I62" s="14" t="n">
        <f aca="false">G62/240</f>
        <v>4.16025844007632</v>
      </c>
      <c r="J62" s="14" t="n">
        <f aca="false">H62/20</f>
        <v>4.49307911528242</v>
      </c>
      <c r="K62" s="3" t="n">
        <v>15</v>
      </c>
      <c r="L62" s="3" t="n">
        <v>10</v>
      </c>
      <c r="M62" s="13" t="n">
        <f aca="false">J62*L62</f>
        <v>44.9307911528242</v>
      </c>
      <c r="N62" s="13" t="n">
        <f aca="false">J62*K62+M62</f>
        <v>112.32697788206</v>
      </c>
      <c r="O62" s="3" t="n">
        <v>20</v>
      </c>
      <c r="P62" s="3" t="s">
        <v>720</v>
      </c>
      <c r="Q62" s="15" t="n">
        <v>10</v>
      </c>
      <c r="R62" s="3" t="n">
        <f aca="false">MAX(1,CEILING(J62*O62/Q62,1))</f>
        <v>9</v>
      </c>
      <c r="S62" s="13" t="n">
        <f aca="false">M62+R62*Q62</f>
        <v>134.930791152824</v>
      </c>
      <c r="T62" s="3" t="n">
        <f aca="false">CEILING(S62/Q62,1)</f>
        <v>14</v>
      </c>
      <c r="U62" s="15" t="n">
        <v>120</v>
      </c>
      <c r="V62" s="16" t="n">
        <f aca="false">S62/U62</f>
        <v>1.12442325960687</v>
      </c>
    </row>
    <row r="63" customFormat="false" ht="15" hidden="false" customHeight="false" outlineLevel="0" collapsed="false">
      <c r="A63" s="3" t="s">
        <v>731</v>
      </c>
      <c r="B63" s="3" t="s">
        <v>450</v>
      </c>
      <c r="C63" s="3" t="s">
        <v>451</v>
      </c>
      <c r="D63" s="3" t="s">
        <v>214</v>
      </c>
      <c r="E63" s="3" t="s">
        <v>660</v>
      </c>
      <c r="F63" s="3" t="s">
        <v>723</v>
      </c>
      <c r="G63" s="13" t="n">
        <f aca="false">CONSOLIDADO!Q63</f>
        <v>217.569856</v>
      </c>
      <c r="H63" s="13" t="n">
        <f aca="false">CONSOLIDADO!R63</f>
        <v>19.58128704</v>
      </c>
      <c r="I63" s="14" t="n">
        <f aca="false">G63/240</f>
        <v>0.906541066666667</v>
      </c>
      <c r="J63" s="14" t="n">
        <f aca="false">H63/20</f>
        <v>0.979064352</v>
      </c>
      <c r="K63" s="3" t="n">
        <v>15</v>
      </c>
      <c r="L63" s="3" t="n">
        <v>10</v>
      </c>
      <c r="M63" s="13" t="n">
        <f aca="false">J63*L63</f>
        <v>9.79064352</v>
      </c>
      <c r="N63" s="13" t="n">
        <f aca="false">J63*K63+M63</f>
        <v>24.4766088</v>
      </c>
      <c r="O63" s="3" t="n">
        <v>20</v>
      </c>
      <c r="P63" s="3" t="s">
        <v>720</v>
      </c>
      <c r="Q63" s="15" t="n">
        <v>10</v>
      </c>
      <c r="R63" s="3" t="n">
        <f aca="false">MAX(1,CEILING(J63*O63/Q63,1))</f>
        <v>2</v>
      </c>
      <c r="S63" s="13" t="n">
        <f aca="false">M63+R63*Q63</f>
        <v>29.79064352</v>
      </c>
      <c r="T63" s="3" t="n">
        <f aca="false">CEILING(S63/Q63,1)</f>
        <v>3</v>
      </c>
      <c r="U63" s="15" t="n">
        <v>120</v>
      </c>
      <c r="V63" s="16" t="n">
        <f aca="false">S63/U63</f>
        <v>0.248255362666667</v>
      </c>
    </row>
    <row r="64" customFormat="false" ht="15" hidden="false" customHeight="false" outlineLevel="0" collapsed="false">
      <c r="A64" s="3" t="s">
        <v>732</v>
      </c>
      <c r="B64" s="3" t="s">
        <v>453</v>
      </c>
      <c r="C64" s="3" t="s">
        <v>454</v>
      </c>
      <c r="D64" s="3" t="s">
        <v>214</v>
      </c>
      <c r="E64" s="3" t="s">
        <v>660</v>
      </c>
      <c r="F64" s="3" t="s">
        <v>723</v>
      </c>
      <c r="G64" s="13" t="n">
        <f aca="false">CONSOLIDADO!Q64</f>
        <v>145.200647257633</v>
      </c>
      <c r="H64" s="13" t="n">
        <f aca="false">CONSOLIDADO!R64</f>
        <v>13.068058253187</v>
      </c>
      <c r="I64" s="14" t="n">
        <f aca="false">G64/240</f>
        <v>0.605002696906804</v>
      </c>
      <c r="J64" s="14" t="n">
        <f aca="false">H64/20</f>
        <v>0.653402912659348</v>
      </c>
      <c r="K64" s="3" t="n">
        <v>15</v>
      </c>
      <c r="L64" s="3" t="n">
        <v>10</v>
      </c>
      <c r="M64" s="13" t="n">
        <f aca="false">J64*L64</f>
        <v>6.53402912659348</v>
      </c>
      <c r="N64" s="13" t="n">
        <f aca="false">J64*K64+M64</f>
        <v>16.3350728164837</v>
      </c>
      <c r="O64" s="3" t="n">
        <v>20</v>
      </c>
      <c r="P64" s="3" t="s">
        <v>720</v>
      </c>
      <c r="Q64" s="15" t="n">
        <v>10</v>
      </c>
      <c r="R64" s="3" t="n">
        <f aca="false">MAX(1,CEILING(J64*O64/Q64,1))</f>
        <v>2</v>
      </c>
      <c r="S64" s="13" t="n">
        <f aca="false">M64+R64*Q64</f>
        <v>26.5340291265935</v>
      </c>
      <c r="T64" s="3" t="n">
        <f aca="false">CEILING(S64/Q64,1)</f>
        <v>3</v>
      </c>
      <c r="U64" s="15" t="n">
        <v>120</v>
      </c>
      <c r="V64" s="16" t="n">
        <f aca="false">S64/U64</f>
        <v>0.221116909388279</v>
      </c>
    </row>
    <row r="65" customFormat="false" ht="15" hidden="false" customHeight="false" outlineLevel="0" collapsed="false">
      <c r="A65" s="3" t="s">
        <v>733</v>
      </c>
      <c r="B65" s="3" t="s">
        <v>259</v>
      </c>
      <c r="C65" s="3" t="s">
        <v>260</v>
      </c>
      <c r="D65" s="3" t="s">
        <v>214</v>
      </c>
      <c r="E65" s="3" t="s">
        <v>643</v>
      </c>
      <c r="F65" s="3" t="s">
        <v>734</v>
      </c>
      <c r="G65" s="13" t="n">
        <f aca="false">CONSOLIDADO!Q65</f>
        <v>32072.63913</v>
      </c>
      <c r="H65" s="13" t="n">
        <f aca="false">CONSOLIDADO!R65</f>
        <v>3848.7166956</v>
      </c>
      <c r="I65" s="14" t="n">
        <f aca="false">G65/240</f>
        <v>133.635996375</v>
      </c>
      <c r="J65" s="14" t="n">
        <f aca="false">H65/20</f>
        <v>192.43583478</v>
      </c>
      <c r="K65" s="3" t="n">
        <v>10</v>
      </c>
      <c r="L65" s="3" t="n">
        <v>10</v>
      </c>
      <c r="M65" s="13" t="n">
        <f aca="false">J65*L65</f>
        <v>1924.3583478</v>
      </c>
      <c r="N65" s="13" t="n">
        <f aca="false">J65*K65+M65</f>
        <v>3848.7166956</v>
      </c>
      <c r="O65" s="3" t="n">
        <v>20</v>
      </c>
      <c r="P65" s="3" t="s">
        <v>662</v>
      </c>
      <c r="Q65" s="15" t="n">
        <v>1000</v>
      </c>
      <c r="R65" s="3" t="n">
        <f aca="false">MAX(1,CEILING(J65*O65/Q65,1))</f>
        <v>4</v>
      </c>
      <c r="S65" s="13" t="n">
        <f aca="false">M65+R65*Q65</f>
        <v>5924.3583478</v>
      </c>
      <c r="T65" s="3" t="n">
        <f aca="false">CEILING(S65/Q65,1)</f>
        <v>6</v>
      </c>
      <c r="U65" s="15" t="n">
        <v>20000</v>
      </c>
      <c r="V65" s="16" t="n">
        <f aca="false">S65/U65</f>
        <v>0.29621791739</v>
      </c>
    </row>
    <row r="66" customFormat="false" ht="15" hidden="false" customHeight="false" outlineLevel="0" collapsed="false">
      <c r="A66" s="3" t="s">
        <v>735</v>
      </c>
      <c r="B66" s="3" t="s">
        <v>262</v>
      </c>
      <c r="C66" s="3" t="s">
        <v>263</v>
      </c>
      <c r="D66" s="3" t="s">
        <v>214</v>
      </c>
      <c r="E66" s="3" t="s">
        <v>643</v>
      </c>
      <c r="F66" s="3" t="s">
        <v>734</v>
      </c>
      <c r="G66" s="13" t="n">
        <f aca="false">CONSOLIDADO!Q66</f>
        <v>43169.4941106708</v>
      </c>
      <c r="H66" s="13" t="n">
        <f aca="false">CONSOLIDADO!R66</f>
        <v>4719.60970099743</v>
      </c>
      <c r="I66" s="14" t="n">
        <f aca="false">G66/240</f>
        <v>179.872892127795</v>
      </c>
      <c r="J66" s="14" t="n">
        <f aca="false">H66/20</f>
        <v>235.980485049871</v>
      </c>
      <c r="K66" s="3" t="n">
        <v>10</v>
      </c>
      <c r="L66" s="3" t="n">
        <v>10</v>
      </c>
      <c r="M66" s="13" t="n">
        <f aca="false">J66*L66</f>
        <v>2359.80485049871</v>
      </c>
      <c r="N66" s="13" t="n">
        <f aca="false">J66*K66+M66</f>
        <v>4719.60970099743</v>
      </c>
      <c r="O66" s="3" t="n">
        <v>20</v>
      </c>
      <c r="P66" s="3" t="s">
        <v>662</v>
      </c>
      <c r="Q66" s="15" t="n">
        <v>1000</v>
      </c>
      <c r="R66" s="3" t="n">
        <f aca="false">MAX(1,CEILING(J66*O66/Q66,1))</f>
        <v>5</v>
      </c>
      <c r="S66" s="13" t="n">
        <f aca="false">M66+R66*Q66</f>
        <v>7359.80485049871</v>
      </c>
      <c r="T66" s="3" t="n">
        <f aca="false">CEILING(S66/Q66,1)</f>
        <v>8</v>
      </c>
      <c r="U66" s="15" t="n">
        <v>20000</v>
      </c>
      <c r="V66" s="16" t="n">
        <f aca="false">S66/U66</f>
        <v>0.367990242524936</v>
      </c>
    </row>
    <row r="67" customFormat="false" ht="15" hidden="false" customHeight="false" outlineLevel="0" collapsed="false">
      <c r="A67" s="3" t="s">
        <v>736</v>
      </c>
      <c r="B67" s="3" t="s">
        <v>457</v>
      </c>
      <c r="C67" s="3" t="s">
        <v>458</v>
      </c>
      <c r="D67" s="3" t="s">
        <v>214</v>
      </c>
      <c r="E67" s="3" t="s">
        <v>660</v>
      </c>
      <c r="F67" s="3" t="s">
        <v>734</v>
      </c>
      <c r="G67" s="13" t="n">
        <f aca="false">CONSOLIDADO!Q67</f>
        <v>362.770503257633</v>
      </c>
      <c r="H67" s="13" t="n">
        <f aca="false">CONSOLIDADO!R67</f>
        <v>32.649345293187</v>
      </c>
      <c r="I67" s="14" t="n">
        <f aca="false">G67/240</f>
        <v>1.51154376357347</v>
      </c>
      <c r="J67" s="14" t="n">
        <f aca="false">H67/20</f>
        <v>1.63246726465935</v>
      </c>
      <c r="K67" s="3" t="n">
        <v>10</v>
      </c>
      <c r="L67" s="3" t="n">
        <v>10</v>
      </c>
      <c r="M67" s="13" t="n">
        <f aca="false">J67*L67</f>
        <v>16.3246726465935</v>
      </c>
      <c r="N67" s="13" t="n">
        <f aca="false">J67*K67+M67</f>
        <v>32.649345293187</v>
      </c>
      <c r="O67" s="3" t="n">
        <v>20</v>
      </c>
      <c r="P67" s="3" t="s">
        <v>662</v>
      </c>
      <c r="Q67" s="15" t="n">
        <v>1000</v>
      </c>
      <c r="R67" s="3" t="n">
        <f aca="false">MAX(1,CEILING(J67*O67/Q67,1))</f>
        <v>1</v>
      </c>
      <c r="S67" s="13" t="n">
        <f aca="false">M67+R67*Q67</f>
        <v>1016.32467264659</v>
      </c>
      <c r="T67" s="3" t="n">
        <f aca="false">CEILING(S67/Q67,1)</f>
        <v>2</v>
      </c>
      <c r="U67" s="15" t="n">
        <v>20000</v>
      </c>
      <c r="V67" s="16" t="n">
        <f aca="false">S67/U67</f>
        <v>0.0508162336323297</v>
      </c>
    </row>
    <row r="68" customFormat="false" ht="15" hidden="false" customHeight="false" outlineLevel="0" collapsed="false">
      <c r="A68" s="3" t="s">
        <v>737</v>
      </c>
      <c r="B68" s="3" t="s">
        <v>509</v>
      </c>
      <c r="C68" s="3" t="s">
        <v>510</v>
      </c>
      <c r="D68" s="3" t="s">
        <v>214</v>
      </c>
      <c r="E68" s="3" t="s">
        <v>708</v>
      </c>
      <c r="F68" s="3" t="s">
        <v>738</v>
      </c>
      <c r="G68" s="13" t="n">
        <f aca="false">CONSOLIDADO!Q68</f>
        <v>121565.687365936</v>
      </c>
      <c r="H68" s="13" t="n">
        <f aca="false">CONSOLIDADO!R68</f>
        <v>10130.4739471613</v>
      </c>
      <c r="I68" s="14" t="n">
        <f aca="false">G68/240</f>
        <v>506.523697358067</v>
      </c>
      <c r="J68" s="14" t="n">
        <f aca="false">H68/20</f>
        <v>506.523697358067</v>
      </c>
      <c r="K68" s="3" t="n">
        <v>10</v>
      </c>
      <c r="L68" s="3" t="n">
        <v>10</v>
      </c>
      <c r="M68" s="13" t="n">
        <f aca="false">J68*L68</f>
        <v>5065.23697358067</v>
      </c>
      <c r="N68" s="13" t="n">
        <f aca="false">J68*K68+M68</f>
        <v>10130.4739471613</v>
      </c>
      <c r="O68" s="3" t="n">
        <v>20</v>
      </c>
      <c r="P68" s="3" t="s">
        <v>662</v>
      </c>
      <c r="Q68" s="15" t="n">
        <v>1000</v>
      </c>
      <c r="R68" s="3" t="n">
        <f aca="false">MAX(1,CEILING(J68*O68/Q68,1))</f>
        <v>11</v>
      </c>
      <c r="S68" s="13" t="n">
        <f aca="false">M68+R68*Q68</f>
        <v>16065.2369735807</v>
      </c>
      <c r="T68" s="3" t="n">
        <f aca="false">CEILING(S68/Q68,1)</f>
        <v>17</v>
      </c>
      <c r="U68" s="15" t="n">
        <v>20000</v>
      </c>
      <c r="V68" s="16" t="n">
        <f aca="false">S68/U68</f>
        <v>0.803261848679033</v>
      </c>
    </row>
    <row r="69" customFormat="false" ht="15" hidden="false" customHeight="false" outlineLevel="0" collapsed="false">
      <c r="A69" s="3" t="s">
        <v>739</v>
      </c>
      <c r="B69" s="3" t="s">
        <v>265</v>
      </c>
      <c r="C69" s="3" t="s">
        <v>266</v>
      </c>
      <c r="D69" s="3" t="s">
        <v>214</v>
      </c>
      <c r="E69" s="3" t="s">
        <v>643</v>
      </c>
      <c r="F69" s="3" t="s">
        <v>740</v>
      </c>
      <c r="G69" s="13" t="n">
        <f aca="false">CONSOLIDADO!Q69</f>
        <v>7424.858444</v>
      </c>
      <c r="H69" s="13" t="n">
        <f aca="false">CONSOLIDADO!R69</f>
        <v>816.73442884</v>
      </c>
      <c r="I69" s="14" t="n">
        <f aca="false">G69/240</f>
        <v>30.9369101833333</v>
      </c>
      <c r="J69" s="14" t="n">
        <f aca="false">H69/20</f>
        <v>40.836721442</v>
      </c>
      <c r="K69" s="3" t="n">
        <v>15</v>
      </c>
      <c r="L69" s="3" t="n">
        <v>10</v>
      </c>
      <c r="M69" s="13" t="n">
        <f aca="false">J69*L69</f>
        <v>408.36721442</v>
      </c>
      <c r="N69" s="13" t="n">
        <f aca="false">J69*K69+M69</f>
        <v>1020.91803605</v>
      </c>
      <c r="O69" s="3" t="n">
        <v>20</v>
      </c>
      <c r="P69" s="3" t="s">
        <v>648</v>
      </c>
      <c r="Q69" s="15" t="n">
        <v>100</v>
      </c>
      <c r="R69" s="3" t="n">
        <f aca="false">MAX(1,CEILING(J69*O69/Q69,1))</f>
        <v>9</v>
      </c>
      <c r="S69" s="13" t="n">
        <f aca="false">M69+R69*Q69</f>
        <v>1308.36721442</v>
      </c>
      <c r="T69" s="3" t="n">
        <f aca="false">CEILING(S69/Q69,1)</f>
        <v>14</v>
      </c>
      <c r="U69" s="15" t="n">
        <v>3000</v>
      </c>
      <c r="V69" s="16" t="n">
        <f aca="false">S69/U69</f>
        <v>0.436122404806667</v>
      </c>
    </row>
    <row r="70" customFormat="false" ht="15" hidden="false" customHeight="false" outlineLevel="0" collapsed="false">
      <c r="A70" s="3" t="s">
        <v>741</v>
      </c>
      <c r="B70" s="3" t="s">
        <v>268</v>
      </c>
      <c r="C70" s="3" t="s">
        <v>269</v>
      </c>
      <c r="D70" s="3" t="s">
        <v>214</v>
      </c>
      <c r="E70" s="3" t="s">
        <v>643</v>
      </c>
      <c r="F70" s="3" t="s">
        <v>740</v>
      </c>
      <c r="G70" s="13" t="n">
        <f aca="false">CONSOLIDADO!Q70</f>
        <v>32449.6411612163</v>
      </c>
      <c r="H70" s="13" t="n">
        <f aca="false">CONSOLIDADO!R70</f>
        <v>3569.46052773379</v>
      </c>
      <c r="I70" s="14" t="n">
        <f aca="false">G70/240</f>
        <v>135.206838171734</v>
      </c>
      <c r="J70" s="14" t="n">
        <f aca="false">H70/20</f>
        <v>178.473026386689</v>
      </c>
      <c r="K70" s="3" t="n">
        <v>15</v>
      </c>
      <c r="L70" s="3" t="n">
        <v>10</v>
      </c>
      <c r="M70" s="13" t="n">
        <f aca="false">J70*L70</f>
        <v>1784.73026386689</v>
      </c>
      <c r="N70" s="13" t="n">
        <f aca="false">J70*K70+M70</f>
        <v>4461.82565966724</v>
      </c>
      <c r="O70" s="3" t="n">
        <v>20</v>
      </c>
      <c r="P70" s="3" t="s">
        <v>648</v>
      </c>
      <c r="Q70" s="15" t="n">
        <v>100</v>
      </c>
      <c r="R70" s="3" t="n">
        <f aca="false">MAX(1,CEILING(J70*O70/Q70,1))</f>
        <v>36</v>
      </c>
      <c r="S70" s="13" t="n">
        <f aca="false">M70+R70*Q70</f>
        <v>5384.7302638669</v>
      </c>
      <c r="T70" s="3" t="n">
        <f aca="false">CEILING(S70/Q70,1)</f>
        <v>54</v>
      </c>
      <c r="U70" s="15" t="n">
        <v>3000</v>
      </c>
      <c r="V70" s="16" t="n">
        <f aca="false">S70/U70</f>
        <v>1.79491008795563</v>
      </c>
    </row>
    <row r="71" customFormat="false" ht="15" hidden="false" customHeight="false" outlineLevel="0" collapsed="false">
      <c r="A71" s="3" t="s">
        <v>742</v>
      </c>
      <c r="B71" s="3" t="s">
        <v>271</v>
      </c>
      <c r="C71" s="3" t="s">
        <v>272</v>
      </c>
      <c r="D71" s="3" t="s">
        <v>214</v>
      </c>
      <c r="E71" s="3" t="s">
        <v>643</v>
      </c>
      <c r="F71" s="3" t="s">
        <v>740</v>
      </c>
      <c r="G71" s="13" t="n">
        <f aca="false">CONSOLIDADO!Q71</f>
        <v>1843.26194663625</v>
      </c>
      <c r="H71" s="13" t="n">
        <f aca="false">CONSOLIDADO!R71</f>
        <v>202.758814129988</v>
      </c>
      <c r="I71" s="14" t="n">
        <f aca="false">G71/240</f>
        <v>7.68025811098438</v>
      </c>
      <c r="J71" s="14" t="n">
        <f aca="false">H71/20</f>
        <v>10.1379407064994</v>
      </c>
      <c r="K71" s="3" t="n">
        <v>15</v>
      </c>
      <c r="L71" s="3" t="n">
        <v>10</v>
      </c>
      <c r="M71" s="13" t="n">
        <f aca="false">J71*L71</f>
        <v>101.379407064994</v>
      </c>
      <c r="N71" s="13" t="n">
        <f aca="false">J71*K71+M71</f>
        <v>253.448517662484</v>
      </c>
      <c r="O71" s="3" t="n">
        <v>20</v>
      </c>
      <c r="P71" s="3" t="s">
        <v>648</v>
      </c>
      <c r="Q71" s="15" t="n">
        <v>100</v>
      </c>
      <c r="R71" s="3" t="n">
        <f aca="false">MAX(1,CEILING(J71*O71/Q71,1))</f>
        <v>3</v>
      </c>
      <c r="S71" s="13" t="n">
        <f aca="false">M71+R71*Q71</f>
        <v>401.379407064994</v>
      </c>
      <c r="T71" s="3" t="n">
        <f aca="false">CEILING(S71/Q71,1)</f>
        <v>5</v>
      </c>
      <c r="U71" s="15" t="n">
        <v>3000</v>
      </c>
      <c r="V71" s="16" t="n">
        <f aca="false">S71/U71</f>
        <v>0.133793135688331</v>
      </c>
    </row>
    <row r="72" customFormat="false" ht="15" hidden="false" customHeight="false" outlineLevel="0" collapsed="false">
      <c r="A72" s="3" t="s">
        <v>743</v>
      </c>
      <c r="B72" s="3" t="s">
        <v>274</v>
      </c>
      <c r="C72" s="3" t="s">
        <v>275</v>
      </c>
      <c r="D72" s="3" t="s">
        <v>214</v>
      </c>
      <c r="E72" s="3" t="s">
        <v>643</v>
      </c>
      <c r="F72" s="3" t="s">
        <v>740</v>
      </c>
      <c r="G72" s="13" t="n">
        <f aca="false">CONSOLIDADO!Q72</f>
        <v>32072.63913</v>
      </c>
      <c r="H72" s="13" t="n">
        <f aca="false">CONSOLIDADO!R72</f>
        <v>3848.7166956</v>
      </c>
      <c r="I72" s="14" t="n">
        <f aca="false">G72/240</f>
        <v>133.635996375</v>
      </c>
      <c r="J72" s="14" t="n">
        <f aca="false">H72/20</f>
        <v>192.43583478</v>
      </c>
      <c r="K72" s="3" t="n">
        <v>15</v>
      </c>
      <c r="L72" s="3" t="n">
        <v>10</v>
      </c>
      <c r="M72" s="13" t="n">
        <f aca="false">J72*L72</f>
        <v>1924.3583478</v>
      </c>
      <c r="N72" s="13" t="n">
        <f aca="false">J72*K72+M72</f>
        <v>4810.8958695</v>
      </c>
      <c r="O72" s="3" t="n">
        <v>20</v>
      </c>
      <c r="P72" s="3" t="s">
        <v>648</v>
      </c>
      <c r="Q72" s="15" t="n">
        <v>100</v>
      </c>
      <c r="R72" s="3" t="n">
        <f aca="false">MAX(1,CEILING(J72*O72/Q72,1))</f>
        <v>39</v>
      </c>
      <c r="S72" s="13" t="n">
        <f aca="false">M72+R72*Q72</f>
        <v>5824.3583478</v>
      </c>
      <c r="T72" s="3" t="n">
        <f aca="false">CEILING(S72/Q72,1)</f>
        <v>59</v>
      </c>
      <c r="U72" s="15" t="n">
        <v>3000</v>
      </c>
      <c r="V72" s="16" t="n">
        <f aca="false">S72/U72</f>
        <v>1.9414527826</v>
      </c>
    </row>
    <row r="73" customFormat="false" ht="15" hidden="false" customHeight="false" outlineLevel="0" collapsed="false">
      <c r="A73" s="3" t="s">
        <v>744</v>
      </c>
      <c r="B73" s="3" t="s">
        <v>277</v>
      </c>
      <c r="C73" s="3" t="s">
        <v>278</v>
      </c>
      <c r="D73" s="3" t="s">
        <v>214</v>
      </c>
      <c r="E73" s="3" t="s">
        <v>643</v>
      </c>
      <c r="F73" s="3" t="s">
        <v>687</v>
      </c>
      <c r="G73" s="13" t="n">
        <f aca="false">CONSOLIDADO!Q73</f>
        <v>83435.523103705</v>
      </c>
      <c r="H73" s="13" t="n">
        <f aca="false">CONSOLIDADO!R73</f>
        <v>9177.90754140755</v>
      </c>
      <c r="I73" s="14" t="n">
        <f aca="false">G73/240</f>
        <v>347.648012932104</v>
      </c>
      <c r="J73" s="14" t="n">
        <f aca="false">H73/20</f>
        <v>458.895377070378</v>
      </c>
      <c r="K73" s="3" t="n">
        <v>10</v>
      </c>
      <c r="L73" s="3" t="n">
        <v>10</v>
      </c>
      <c r="M73" s="13" t="n">
        <f aca="false">J73*L73</f>
        <v>4588.95377070378</v>
      </c>
      <c r="N73" s="13" t="n">
        <f aca="false">J73*K73+M73</f>
        <v>9177.90754140755</v>
      </c>
      <c r="O73" s="3" t="n">
        <v>20</v>
      </c>
      <c r="P73" s="3" t="s">
        <v>662</v>
      </c>
      <c r="Q73" s="15" t="n">
        <v>1000</v>
      </c>
      <c r="R73" s="3" t="n">
        <f aca="false">MAX(1,CEILING(J73*O73/Q73,1))</f>
        <v>10</v>
      </c>
      <c r="S73" s="13" t="n">
        <f aca="false">M73+R73*Q73</f>
        <v>14588.9537707038</v>
      </c>
      <c r="T73" s="3" t="n">
        <f aca="false">CEILING(S73/Q73,1)</f>
        <v>15</v>
      </c>
      <c r="U73" s="15" t="n">
        <v>20000</v>
      </c>
      <c r="V73" s="16" t="n">
        <f aca="false">S73/U73</f>
        <v>0.729447688535189</v>
      </c>
    </row>
    <row r="74" customFormat="false" ht="15" hidden="false" customHeight="false" outlineLevel="0" collapsed="false">
      <c r="A74" s="3" t="s">
        <v>745</v>
      </c>
      <c r="B74" s="3" t="s">
        <v>512</v>
      </c>
      <c r="C74" s="3" t="s">
        <v>513</v>
      </c>
      <c r="D74" s="3" t="s">
        <v>214</v>
      </c>
      <c r="E74" s="3" t="s">
        <v>708</v>
      </c>
      <c r="F74" s="3" t="s">
        <v>746</v>
      </c>
      <c r="G74" s="13" t="n">
        <f aca="false">CONSOLIDADO!Q74</f>
        <v>3695.0758509751</v>
      </c>
      <c r="H74" s="13" t="n">
        <f aca="false">CONSOLIDADO!R74</f>
        <v>307.922987581259</v>
      </c>
      <c r="I74" s="14" t="n">
        <f aca="false">G74/240</f>
        <v>15.3961493790629</v>
      </c>
      <c r="J74" s="14" t="n">
        <f aca="false">H74/20</f>
        <v>15.3961493790629</v>
      </c>
      <c r="K74" s="3" t="n">
        <v>15</v>
      </c>
      <c r="L74" s="3" t="n">
        <v>20</v>
      </c>
      <c r="M74" s="13" t="n">
        <f aca="false">J74*L74</f>
        <v>307.922987581259</v>
      </c>
      <c r="N74" s="13" t="n">
        <f aca="false">J74*K74+M74</f>
        <v>538.865228267203</v>
      </c>
      <c r="O74" s="3" t="n">
        <v>60</v>
      </c>
      <c r="P74" s="3" t="s">
        <v>747</v>
      </c>
      <c r="Q74" s="15" t="n">
        <v>100</v>
      </c>
      <c r="R74" s="3" t="n">
        <f aca="false">MAX(1,CEILING(J74*O74/Q74,1))</f>
        <v>10</v>
      </c>
      <c r="S74" s="13" t="n">
        <f aca="false">M74+R74*Q74</f>
        <v>1307.92298758126</v>
      </c>
      <c r="T74" s="3" t="n">
        <f aca="false">CEILING(S74/Q74,1)</f>
        <v>14</v>
      </c>
      <c r="U74" s="15" t="n">
        <v>2000</v>
      </c>
      <c r="V74" s="16" t="n">
        <f aca="false">S74/U74</f>
        <v>0.653961493790629</v>
      </c>
    </row>
    <row r="75" customFormat="false" ht="15" hidden="false" customHeight="false" outlineLevel="0" collapsed="false">
      <c r="A75" s="3" t="s">
        <v>748</v>
      </c>
      <c r="B75" s="3" t="s">
        <v>280</v>
      </c>
      <c r="C75" s="3" t="s">
        <v>281</v>
      </c>
      <c r="D75" s="3" t="s">
        <v>214</v>
      </c>
      <c r="E75" s="3" t="s">
        <v>749</v>
      </c>
      <c r="F75" s="3" t="s">
        <v>750</v>
      </c>
      <c r="G75" s="13" t="n">
        <f aca="false">CONSOLIDADO!Q75</f>
        <v>32072.63913</v>
      </c>
      <c r="H75" s="13" t="n">
        <f aca="false">CONSOLIDADO!R75</f>
        <v>3848.7166956</v>
      </c>
      <c r="I75" s="14" t="n">
        <f aca="false">G75/240</f>
        <v>133.635996375</v>
      </c>
      <c r="J75" s="14" t="n">
        <f aca="false">H75/20</f>
        <v>192.43583478</v>
      </c>
      <c r="K75" s="3" t="n">
        <v>10</v>
      </c>
      <c r="L75" s="3" t="n">
        <v>10</v>
      </c>
      <c r="M75" s="13" t="n">
        <f aca="false">J75*L75</f>
        <v>1924.3583478</v>
      </c>
      <c r="N75" s="13" t="n">
        <f aca="false">J75*K75+M75</f>
        <v>3848.7166956</v>
      </c>
      <c r="O75" s="3" t="n">
        <v>20</v>
      </c>
      <c r="P75" s="3" t="s">
        <v>751</v>
      </c>
      <c r="Q75" s="15" t="n">
        <v>1000</v>
      </c>
      <c r="R75" s="3" t="n">
        <f aca="false">MAX(1,CEILING(J75*O75/Q75,1))</f>
        <v>4</v>
      </c>
      <c r="S75" s="13" t="n">
        <f aca="false">M75+R75*Q75</f>
        <v>5924.3583478</v>
      </c>
      <c r="T75" s="3" t="n">
        <f aca="false">CEILING(S75/Q75,1)</f>
        <v>6</v>
      </c>
      <c r="U75" s="15" t="n">
        <v>20000</v>
      </c>
      <c r="V75" s="16" t="n">
        <f aca="false">S75/U75</f>
        <v>0.29621791739</v>
      </c>
    </row>
    <row r="76" customFormat="false" ht="15" hidden="false" customHeight="false" outlineLevel="0" collapsed="false">
      <c r="A76" s="3" t="s">
        <v>752</v>
      </c>
      <c r="B76" s="3" t="s">
        <v>283</v>
      </c>
      <c r="C76" s="3" t="s">
        <v>284</v>
      </c>
      <c r="D76" s="3" t="s">
        <v>214</v>
      </c>
      <c r="E76" s="3" t="s">
        <v>749</v>
      </c>
      <c r="F76" s="3" t="s">
        <v>750</v>
      </c>
      <c r="G76" s="13" t="n">
        <f aca="false">CONSOLIDADO!Q76</f>
        <v>7424.858444</v>
      </c>
      <c r="H76" s="13" t="n">
        <f aca="false">CONSOLIDADO!R76</f>
        <v>816.73442884</v>
      </c>
      <c r="I76" s="14" t="n">
        <f aca="false">G76/240</f>
        <v>30.9369101833333</v>
      </c>
      <c r="J76" s="14" t="n">
        <f aca="false">H76/20</f>
        <v>40.836721442</v>
      </c>
      <c r="K76" s="3" t="n">
        <v>10</v>
      </c>
      <c r="L76" s="3" t="n">
        <v>10</v>
      </c>
      <c r="M76" s="13" t="n">
        <f aca="false">J76*L76</f>
        <v>408.36721442</v>
      </c>
      <c r="N76" s="13" t="n">
        <f aca="false">J76*K76+M76</f>
        <v>816.73442884</v>
      </c>
      <c r="O76" s="3" t="n">
        <v>20</v>
      </c>
      <c r="P76" s="3" t="s">
        <v>751</v>
      </c>
      <c r="Q76" s="15" t="n">
        <v>1000</v>
      </c>
      <c r="R76" s="3" t="n">
        <f aca="false">MAX(1,CEILING(J76*O76/Q76,1))</f>
        <v>1</v>
      </c>
      <c r="S76" s="13" t="n">
        <f aca="false">M76+R76*Q76</f>
        <v>1408.36721442</v>
      </c>
      <c r="T76" s="3" t="n">
        <f aca="false">CEILING(S76/Q76,1)</f>
        <v>2</v>
      </c>
      <c r="U76" s="15" t="n">
        <v>20000</v>
      </c>
      <c r="V76" s="16" t="n">
        <f aca="false">S76/U76</f>
        <v>0.070418360721</v>
      </c>
    </row>
    <row r="77" customFormat="false" ht="15" hidden="false" customHeight="false" outlineLevel="0" collapsed="false">
      <c r="A77" s="3" t="s">
        <v>753</v>
      </c>
      <c r="B77" s="3" t="s">
        <v>286</v>
      </c>
      <c r="C77" s="3" t="s">
        <v>287</v>
      </c>
      <c r="D77" s="3" t="s">
        <v>214</v>
      </c>
      <c r="E77" s="3" t="s">
        <v>749</v>
      </c>
      <c r="F77" s="3" t="s">
        <v>750</v>
      </c>
      <c r="G77" s="13" t="n">
        <f aca="false">CONSOLIDADO!Q77</f>
        <v>32449.6411612163</v>
      </c>
      <c r="H77" s="13" t="n">
        <f aca="false">CONSOLIDADO!R77</f>
        <v>3569.46052773379</v>
      </c>
      <c r="I77" s="14" t="n">
        <f aca="false">G77/240</f>
        <v>135.206838171734</v>
      </c>
      <c r="J77" s="14" t="n">
        <f aca="false">H77/20</f>
        <v>178.473026386689</v>
      </c>
      <c r="K77" s="3" t="n">
        <v>10</v>
      </c>
      <c r="L77" s="3" t="n">
        <v>10</v>
      </c>
      <c r="M77" s="13" t="n">
        <f aca="false">J77*L77</f>
        <v>1784.73026386689</v>
      </c>
      <c r="N77" s="13" t="n">
        <f aca="false">J77*K77+M77</f>
        <v>3569.46052773379</v>
      </c>
      <c r="O77" s="3" t="n">
        <v>20</v>
      </c>
      <c r="P77" s="3" t="s">
        <v>751</v>
      </c>
      <c r="Q77" s="15" t="n">
        <v>1000</v>
      </c>
      <c r="R77" s="3" t="n">
        <f aca="false">MAX(1,CEILING(J77*O77/Q77,1))</f>
        <v>4</v>
      </c>
      <c r="S77" s="13" t="n">
        <f aca="false">M77+R77*Q77</f>
        <v>5784.7302638669</v>
      </c>
      <c r="T77" s="3" t="n">
        <f aca="false">CEILING(S77/Q77,1)</f>
        <v>6</v>
      </c>
      <c r="U77" s="15" t="n">
        <v>20000</v>
      </c>
      <c r="V77" s="16" t="n">
        <f aca="false">S77/U77</f>
        <v>0.289236513193345</v>
      </c>
    </row>
    <row r="78" customFormat="false" ht="15" hidden="false" customHeight="false" outlineLevel="0" collapsed="false">
      <c r="A78" s="3" t="s">
        <v>754</v>
      </c>
      <c r="B78" s="3" t="s">
        <v>289</v>
      </c>
      <c r="C78" s="3" t="s">
        <v>290</v>
      </c>
      <c r="D78" s="3" t="s">
        <v>214</v>
      </c>
      <c r="E78" s="3" t="s">
        <v>749</v>
      </c>
      <c r="F78" s="3" t="s">
        <v>750</v>
      </c>
      <c r="G78" s="13" t="n">
        <f aca="false">CONSOLIDADO!Q78</f>
        <v>1843.26194663625</v>
      </c>
      <c r="H78" s="13" t="n">
        <f aca="false">CONSOLIDADO!R78</f>
        <v>202.758814129988</v>
      </c>
      <c r="I78" s="14" t="n">
        <f aca="false">G78/240</f>
        <v>7.68025811098438</v>
      </c>
      <c r="J78" s="14" t="n">
        <f aca="false">H78/20</f>
        <v>10.1379407064994</v>
      </c>
      <c r="K78" s="3" t="n">
        <v>10</v>
      </c>
      <c r="L78" s="3" t="n">
        <v>10</v>
      </c>
      <c r="M78" s="13" t="n">
        <f aca="false">J78*L78</f>
        <v>101.379407064994</v>
      </c>
      <c r="N78" s="13" t="n">
        <f aca="false">J78*K78+M78</f>
        <v>202.758814129988</v>
      </c>
      <c r="O78" s="3" t="n">
        <v>20</v>
      </c>
      <c r="P78" s="3" t="s">
        <v>751</v>
      </c>
      <c r="Q78" s="15" t="n">
        <v>1000</v>
      </c>
      <c r="R78" s="3" t="n">
        <f aca="false">MAX(1,CEILING(J78*O78/Q78,1))</f>
        <v>1</v>
      </c>
      <c r="S78" s="13" t="n">
        <f aca="false">M78+R78*Q78</f>
        <v>1101.37940706499</v>
      </c>
      <c r="T78" s="3" t="n">
        <f aca="false">CEILING(S78/Q78,1)</f>
        <v>2</v>
      </c>
      <c r="U78" s="15" t="n">
        <v>20000</v>
      </c>
      <c r="V78" s="16" t="n">
        <f aca="false">S78/U78</f>
        <v>0.0550689703532497</v>
      </c>
    </row>
    <row r="79" customFormat="false" ht="15" hidden="false" customHeight="false" outlineLevel="0" collapsed="false">
      <c r="A79" s="3" t="s">
        <v>755</v>
      </c>
      <c r="B79" s="3" t="s">
        <v>460</v>
      </c>
      <c r="C79" s="3" t="s">
        <v>461</v>
      </c>
      <c r="D79" s="3" t="s">
        <v>214</v>
      </c>
      <c r="E79" s="3" t="s">
        <v>749</v>
      </c>
      <c r="F79" s="3" t="s">
        <v>750</v>
      </c>
      <c r="G79" s="13" t="n">
        <f aca="false">CONSOLIDADO!Q79</f>
        <v>453.2705332</v>
      </c>
      <c r="H79" s="13" t="n">
        <f aca="false">CONSOLIDADO!R79</f>
        <v>40.794347988</v>
      </c>
      <c r="I79" s="14" t="n">
        <f aca="false">G79/240</f>
        <v>1.88862722166667</v>
      </c>
      <c r="J79" s="14" t="n">
        <f aca="false">H79/20</f>
        <v>2.0397173994</v>
      </c>
      <c r="K79" s="3" t="n">
        <v>10</v>
      </c>
      <c r="L79" s="3" t="n">
        <v>10</v>
      </c>
      <c r="M79" s="13" t="n">
        <f aca="false">J79*L79</f>
        <v>20.397173994</v>
      </c>
      <c r="N79" s="13" t="n">
        <f aca="false">J79*K79+M79</f>
        <v>40.794347988</v>
      </c>
      <c r="O79" s="3" t="n">
        <v>20</v>
      </c>
      <c r="P79" s="3" t="s">
        <v>751</v>
      </c>
      <c r="Q79" s="15" t="n">
        <v>1000</v>
      </c>
      <c r="R79" s="3" t="n">
        <f aca="false">MAX(1,CEILING(J79*O79/Q79,1))</f>
        <v>1</v>
      </c>
      <c r="S79" s="13" t="n">
        <f aca="false">M79+R79*Q79</f>
        <v>1020.397173994</v>
      </c>
      <c r="T79" s="3" t="n">
        <f aca="false">CEILING(S79/Q79,1)</f>
        <v>2</v>
      </c>
      <c r="U79" s="15" t="n">
        <v>20000</v>
      </c>
      <c r="V79" s="16" t="n">
        <f aca="false">S79/U79</f>
        <v>0.0510198586997</v>
      </c>
    </row>
    <row r="80" customFormat="false" ht="15" hidden="false" customHeight="false" outlineLevel="0" collapsed="false">
      <c r="A80" s="3" t="s">
        <v>756</v>
      </c>
      <c r="B80" s="3" t="s">
        <v>463</v>
      </c>
      <c r="C80" s="3" t="s">
        <v>464</v>
      </c>
      <c r="D80" s="3" t="s">
        <v>214</v>
      </c>
      <c r="E80" s="3" t="s">
        <v>749</v>
      </c>
      <c r="F80" s="3" t="s">
        <v>750</v>
      </c>
      <c r="G80" s="13" t="n">
        <f aca="false">CONSOLIDADO!Q80</f>
        <v>998.462025618316</v>
      </c>
      <c r="H80" s="13" t="n">
        <f aca="false">CONSOLIDADO!R80</f>
        <v>89.8615823056484</v>
      </c>
      <c r="I80" s="14" t="n">
        <f aca="false">G80/240</f>
        <v>4.16025844007632</v>
      </c>
      <c r="J80" s="14" t="n">
        <f aca="false">H80/20</f>
        <v>4.49307911528242</v>
      </c>
      <c r="K80" s="3" t="n">
        <v>10</v>
      </c>
      <c r="L80" s="3" t="n">
        <v>10</v>
      </c>
      <c r="M80" s="13" t="n">
        <f aca="false">J80*L80</f>
        <v>44.9307911528242</v>
      </c>
      <c r="N80" s="13" t="n">
        <f aca="false">J80*K80+M80</f>
        <v>89.8615823056484</v>
      </c>
      <c r="O80" s="3" t="n">
        <v>20</v>
      </c>
      <c r="P80" s="3" t="s">
        <v>751</v>
      </c>
      <c r="Q80" s="15" t="n">
        <v>1000</v>
      </c>
      <c r="R80" s="3" t="n">
        <f aca="false">MAX(1,CEILING(J80*O80/Q80,1))</f>
        <v>1</v>
      </c>
      <c r="S80" s="13" t="n">
        <f aca="false">M80+R80*Q80</f>
        <v>1044.93079115282</v>
      </c>
      <c r="T80" s="3" t="n">
        <f aca="false">CEILING(S80/Q80,1)</f>
        <v>2</v>
      </c>
      <c r="U80" s="15" t="n">
        <v>20000</v>
      </c>
      <c r="V80" s="16" t="n">
        <f aca="false">S80/U80</f>
        <v>0.0522465395576412</v>
      </c>
    </row>
    <row r="81" customFormat="false" ht="15" hidden="false" customHeight="false" outlineLevel="0" collapsed="false">
      <c r="A81" s="3" t="s">
        <v>757</v>
      </c>
      <c r="B81" s="3" t="s">
        <v>466</v>
      </c>
      <c r="C81" s="3" t="s">
        <v>467</v>
      </c>
      <c r="D81" s="3" t="s">
        <v>214</v>
      </c>
      <c r="E81" s="3" t="s">
        <v>749</v>
      </c>
      <c r="F81" s="3" t="s">
        <v>750</v>
      </c>
      <c r="G81" s="13" t="n">
        <f aca="false">CONSOLIDADO!Q81</f>
        <v>217.569856</v>
      </c>
      <c r="H81" s="13" t="n">
        <f aca="false">CONSOLIDADO!R81</f>
        <v>19.58128704</v>
      </c>
      <c r="I81" s="14" t="n">
        <f aca="false">G81/240</f>
        <v>0.906541066666667</v>
      </c>
      <c r="J81" s="14" t="n">
        <f aca="false">H81/20</f>
        <v>0.979064352</v>
      </c>
      <c r="K81" s="3" t="n">
        <v>10</v>
      </c>
      <c r="L81" s="3" t="n">
        <v>10</v>
      </c>
      <c r="M81" s="13" t="n">
        <f aca="false">J81*L81</f>
        <v>9.79064352</v>
      </c>
      <c r="N81" s="13" t="n">
        <f aca="false">J81*K81+M81</f>
        <v>19.58128704</v>
      </c>
      <c r="O81" s="3" t="n">
        <v>20</v>
      </c>
      <c r="P81" s="3" t="s">
        <v>751</v>
      </c>
      <c r="Q81" s="15" t="n">
        <v>1000</v>
      </c>
      <c r="R81" s="3" t="n">
        <f aca="false">MAX(1,CEILING(J81*O81/Q81,1))</f>
        <v>1</v>
      </c>
      <c r="S81" s="13" t="n">
        <f aca="false">M81+R81*Q81</f>
        <v>1009.79064352</v>
      </c>
      <c r="T81" s="3" t="n">
        <f aca="false">CEILING(S81/Q81,1)</f>
        <v>2</v>
      </c>
      <c r="U81" s="15" t="n">
        <v>20000</v>
      </c>
      <c r="V81" s="16" t="n">
        <f aca="false">S81/U81</f>
        <v>0.050489532176</v>
      </c>
    </row>
    <row r="82" customFormat="false" ht="15" hidden="false" customHeight="false" outlineLevel="0" collapsed="false">
      <c r="A82" s="3" t="s">
        <v>758</v>
      </c>
      <c r="B82" s="3" t="s">
        <v>469</v>
      </c>
      <c r="C82" s="3" t="s">
        <v>470</v>
      </c>
      <c r="D82" s="3" t="s">
        <v>214</v>
      </c>
      <c r="E82" s="3" t="s">
        <v>749</v>
      </c>
      <c r="F82" s="3" t="s">
        <v>750</v>
      </c>
      <c r="G82" s="13" t="n">
        <f aca="false">CONSOLIDADO!Q82</f>
        <v>145.200647257633</v>
      </c>
      <c r="H82" s="13" t="n">
        <f aca="false">CONSOLIDADO!R82</f>
        <v>13.068058253187</v>
      </c>
      <c r="I82" s="14" t="n">
        <f aca="false">G82/240</f>
        <v>0.605002696906804</v>
      </c>
      <c r="J82" s="14" t="n">
        <f aca="false">H82/20</f>
        <v>0.653402912659348</v>
      </c>
      <c r="K82" s="3" t="n">
        <v>10</v>
      </c>
      <c r="L82" s="3" t="n">
        <v>10</v>
      </c>
      <c r="M82" s="13" t="n">
        <f aca="false">J82*L82</f>
        <v>6.53402912659348</v>
      </c>
      <c r="N82" s="13" t="n">
        <f aca="false">J82*K82+M82</f>
        <v>13.068058253187</v>
      </c>
      <c r="O82" s="3" t="n">
        <v>20</v>
      </c>
      <c r="P82" s="3" t="s">
        <v>751</v>
      </c>
      <c r="Q82" s="15" t="n">
        <v>1000</v>
      </c>
      <c r="R82" s="3" t="n">
        <f aca="false">MAX(1,CEILING(J82*O82/Q82,1))</f>
        <v>1</v>
      </c>
      <c r="S82" s="13" t="n">
        <f aca="false">M82+R82*Q82</f>
        <v>1006.53402912659</v>
      </c>
      <c r="T82" s="3" t="n">
        <f aca="false">CEILING(S82/Q82,1)</f>
        <v>2</v>
      </c>
      <c r="U82" s="15" t="n">
        <v>20000</v>
      </c>
      <c r="V82" s="16" t="n">
        <f aca="false">S82/U82</f>
        <v>0.0503267014563297</v>
      </c>
    </row>
    <row r="83" customFormat="false" ht="15" hidden="false" customHeight="false" outlineLevel="0" collapsed="false">
      <c r="A83" s="3" t="s">
        <v>759</v>
      </c>
      <c r="B83" s="3" t="s">
        <v>292</v>
      </c>
      <c r="C83" s="3" t="s">
        <v>293</v>
      </c>
      <c r="D83" s="3" t="s">
        <v>214</v>
      </c>
      <c r="E83" s="3" t="s">
        <v>749</v>
      </c>
      <c r="F83" s="3" t="s">
        <v>760</v>
      </c>
      <c r="G83" s="13" t="n">
        <f aca="false">CONSOLIDADO!Q83</f>
        <v>57745.8787696266</v>
      </c>
      <c r="H83" s="13" t="n">
        <f aca="false">CONSOLIDADO!R83</f>
        <v>6569.29481947261</v>
      </c>
      <c r="I83" s="14" t="n">
        <f aca="false">G83/240</f>
        <v>240.607828206778</v>
      </c>
      <c r="J83" s="14" t="n">
        <f aca="false">H83/20</f>
        <v>328.464740973631</v>
      </c>
      <c r="K83" s="3" t="n">
        <v>10</v>
      </c>
      <c r="L83" s="3" t="n">
        <v>10</v>
      </c>
      <c r="M83" s="13" t="n">
        <f aca="false">J83*L83</f>
        <v>3284.64740973631</v>
      </c>
      <c r="N83" s="13" t="n">
        <f aca="false">J83*K83+M83</f>
        <v>6569.29481947261</v>
      </c>
      <c r="O83" s="3" t="n">
        <v>20</v>
      </c>
      <c r="P83" s="3" t="s">
        <v>761</v>
      </c>
      <c r="Q83" s="15" t="n">
        <v>500</v>
      </c>
      <c r="R83" s="3" t="n">
        <f aca="false">MAX(1,CEILING(J83*O83/Q83,1))</f>
        <v>14</v>
      </c>
      <c r="S83" s="13" t="n">
        <f aca="false">M83+R83*Q83</f>
        <v>10284.6474097363</v>
      </c>
      <c r="T83" s="3" t="n">
        <f aca="false">CEILING(S83/Q83,1)</f>
        <v>21</v>
      </c>
      <c r="U83" s="15" t="n">
        <v>10000</v>
      </c>
      <c r="V83" s="16" t="n">
        <f aca="false">S83/U83</f>
        <v>1.02846474097363</v>
      </c>
    </row>
    <row r="84" customFormat="false" ht="15" hidden="false" customHeight="false" outlineLevel="0" collapsed="false">
      <c r="A84" s="3" t="s">
        <v>762</v>
      </c>
      <c r="B84" s="3" t="s">
        <v>296</v>
      </c>
      <c r="C84" s="3" t="s">
        <v>297</v>
      </c>
      <c r="D84" s="3" t="s">
        <v>214</v>
      </c>
      <c r="E84" s="3" t="s">
        <v>749</v>
      </c>
      <c r="F84" s="3" t="s">
        <v>763</v>
      </c>
      <c r="G84" s="13" t="n">
        <f aca="false">CONSOLIDADO!Q84</f>
        <v>75604.9037439285</v>
      </c>
      <c r="H84" s="13" t="n">
        <f aca="false">CONSOLIDADO!R84</f>
        <v>8600.97574189061</v>
      </c>
      <c r="I84" s="14" t="n">
        <f aca="false">G84/240</f>
        <v>315.020432266369</v>
      </c>
      <c r="J84" s="14" t="n">
        <f aca="false">H84/20</f>
        <v>430.048787094531</v>
      </c>
      <c r="K84" s="3" t="n">
        <v>10</v>
      </c>
      <c r="L84" s="3" t="n">
        <v>10</v>
      </c>
      <c r="M84" s="13" t="n">
        <f aca="false">J84*L84</f>
        <v>4300.48787094531</v>
      </c>
      <c r="N84" s="13" t="n">
        <f aca="false">J84*K84+M84</f>
        <v>8600.97574189061</v>
      </c>
      <c r="O84" s="3" t="n">
        <v>20</v>
      </c>
      <c r="P84" s="3" t="s">
        <v>761</v>
      </c>
      <c r="Q84" s="15" t="n">
        <v>500</v>
      </c>
      <c r="R84" s="3" t="n">
        <f aca="false">MAX(1,CEILING(J84*O84/Q84,1))</f>
        <v>18</v>
      </c>
      <c r="S84" s="13" t="n">
        <f aca="false">M84+R84*Q84</f>
        <v>13300.4878709453</v>
      </c>
      <c r="T84" s="3" t="n">
        <f aca="false">CEILING(S84/Q84,1)</f>
        <v>27</v>
      </c>
      <c r="U84" s="15" t="n">
        <v>10000</v>
      </c>
      <c r="V84" s="16" t="n">
        <f aca="false">S84/U84</f>
        <v>1.33004878709453</v>
      </c>
    </row>
    <row r="85" customFormat="false" ht="15" hidden="false" customHeight="false" outlineLevel="0" collapsed="false">
      <c r="A85" s="3" t="s">
        <v>764</v>
      </c>
      <c r="B85" s="3" t="s">
        <v>299</v>
      </c>
      <c r="C85" s="3" t="s">
        <v>300</v>
      </c>
      <c r="D85" s="3" t="s">
        <v>214</v>
      </c>
      <c r="E85" s="3" t="s">
        <v>749</v>
      </c>
      <c r="F85" s="3" t="s">
        <v>765</v>
      </c>
      <c r="G85" s="13" t="n">
        <f aca="false">CONSOLIDADO!Q85</f>
        <v>41253.8864468395</v>
      </c>
      <c r="H85" s="13" t="n">
        <f aca="false">CONSOLIDADO!R85</f>
        <v>3814.08749600357</v>
      </c>
      <c r="I85" s="14" t="n">
        <f aca="false">G85/240</f>
        <v>171.891193528498</v>
      </c>
      <c r="J85" s="14" t="n">
        <f aca="false">H85/20</f>
        <v>190.704374800178</v>
      </c>
      <c r="K85" s="3" t="n">
        <v>10</v>
      </c>
      <c r="L85" s="3" t="n">
        <v>10</v>
      </c>
      <c r="M85" s="13" t="n">
        <f aca="false">J85*L85</f>
        <v>1907.04374800178</v>
      </c>
      <c r="N85" s="13" t="n">
        <f aca="false">J85*K85+M85</f>
        <v>3814.08749600357</v>
      </c>
      <c r="O85" s="3" t="n">
        <v>20</v>
      </c>
      <c r="P85" s="3" t="s">
        <v>761</v>
      </c>
      <c r="Q85" s="15" t="n">
        <v>500</v>
      </c>
      <c r="R85" s="3" t="n">
        <f aca="false">MAX(1,CEILING(J85*O85/Q85,1))</f>
        <v>8</v>
      </c>
      <c r="S85" s="13" t="n">
        <f aca="false">M85+R85*Q85</f>
        <v>5907.04374800178</v>
      </c>
      <c r="T85" s="3" t="n">
        <f aca="false">CEILING(S85/Q85,1)</f>
        <v>12</v>
      </c>
      <c r="U85" s="15" t="n">
        <v>10000</v>
      </c>
      <c r="V85" s="16" t="n">
        <f aca="false">S85/U85</f>
        <v>0.590704374800178</v>
      </c>
    </row>
    <row r="86" customFormat="false" ht="15" hidden="false" customHeight="false" outlineLevel="0" collapsed="false">
      <c r="A86" s="3" t="s">
        <v>766</v>
      </c>
      <c r="B86" s="3" t="s">
        <v>303</v>
      </c>
      <c r="C86" s="3" t="s">
        <v>304</v>
      </c>
      <c r="D86" s="3" t="s">
        <v>214</v>
      </c>
      <c r="E86" s="3" t="s">
        <v>749</v>
      </c>
      <c r="F86" s="3" t="s">
        <v>750</v>
      </c>
      <c r="G86" s="13" t="n">
        <f aca="false">CONSOLIDADO!Q86</f>
        <v>75604.9037439285</v>
      </c>
      <c r="H86" s="13" t="n">
        <f aca="false">CONSOLIDADO!R86</f>
        <v>8600.97574189061</v>
      </c>
      <c r="I86" s="14" t="n">
        <f aca="false">G86/240</f>
        <v>315.020432266369</v>
      </c>
      <c r="J86" s="14" t="n">
        <f aca="false">H86/20</f>
        <v>430.048787094531</v>
      </c>
      <c r="K86" s="3" t="n">
        <v>10</v>
      </c>
      <c r="L86" s="3" t="n">
        <v>10</v>
      </c>
      <c r="M86" s="13" t="n">
        <f aca="false">J86*L86</f>
        <v>4300.48787094531</v>
      </c>
      <c r="N86" s="13" t="n">
        <f aca="false">J86*K86+M86</f>
        <v>8600.97574189061</v>
      </c>
      <c r="O86" s="3" t="n">
        <v>20</v>
      </c>
      <c r="P86" s="3" t="s">
        <v>751</v>
      </c>
      <c r="Q86" s="15" t="n">
        <v>1000</v>
      </c>
      <c r="R86" s="3" t="n">
        <f aca="false">MAX(1,CEILING(J86*O86/Q86,1))</f>
        <v>9</v>
      </c>
      <c r="S86" s="13" t="n">
        <f aca="false">M86+R86*Q86</f>
        <v>13300.4878709453</v>
      </c>
      <c r="T86" s="3" t="n">
        <f aca="false">CEILING(S86/Q86,1)</f>
        <v>14</v>
      </c>
      <c r="U86" s="15" t="n">
        <v>20000</v>
      </c>
      <c r="V86" s="16" t="n">
        <f aca="false">S86/U86</f>
        <v>0.665024393547265</v>
      </c>
    </row>
    <row r="87" customFormat="false" ht="15" hidden="false" customHeight="false" outlineLevel="0" collapsed="false">
      <c r="A87" s="3" t="s">
        <v>767</v>
      </c>
      <c r="B87" s="3" t="s">
        <v>306</v>
      </c>
      <c r="C87" s="3" t="s">
        <v>307</v>
      </c>
      <c r="D87" s="3" t="s">
        <v>214</v>
      </c>
      <c r="E87" s="3" t="s">
        <v>749</v>
      </c>
      <c r="F87" s="3" t="s">
        <v>750</v>
      </c>
      <c r="G87" s="13" t="n">
        <f aca="false">CONSOLIDADO!Q87</f>
        <v>75604.9037439285</v>
      </c>
      <c r="H87" s="13" t="n">
        <f aca="false">CONSOLIDADO!R87</f>
        <v>8600.97574189061</v>
      </c>
      <c r="I87" s="14" t="n">
        <f aca="false">G87/240</f>
        <v>315.020432266369</v>
      </c>
      <c r="J87" s="14" t="n">
        <f aca="false">H87/20</f>
        <v>430.048787094531</v>
      </c>
      <c r="K87" s="3" t="n">
        <v>10</v>
      </c>
      <c r="L87" s="3" t="n">
        <v>10</v>
      </c>
      <c r="M87" s="13" t="n">
        <f aca="false">J87*L87</f>
        <v>4300.48787094531</v>
      </c>
      <c r="N87" s="13" t="n">
        <f aca="false">J87*K87+M87</f>
        <v>8600.97574189061</v>
      </c>
      <c r="O87" s="3" t="n">
        <v>20</v>
      </c>
      <c r="P87" s="3" t="s">
        <v>751</v>
      </c>
      <c r="Q87" s="15" t="n">
        <v>1000</v>
      </c>
      <c r="R87" s="3" t="n">
        <f aca="false">MAX(1,CEILING(J87*O87/Q87,1))</f>
        <v>9</v>
      </c>
      <c r="S87" s="13" t="n">
        <f aca="false">M87+R87*Q87</f>
        <v>13300.4878709453</v>
      </c>
      <c r="T87" s="3" t="n">
        <f aca="false">CEILING(S87/Q87,1)</f>
        <v>14</v>
      </c>
      <c r="U87" s="15" t="n">
        <v>20000</v>
      </c>
      <c r="V87" s="16" t="n">
        <f aca="false">S87/U87</f>
        <v>0.665024393547265</v>
      </c>
    </row>
    <row r="88" customFormat="false" ht="15" hidden="false" customHeight="false" outlineLevel="0" collapsed="false">
      <c r="A88" s="3" t="s">
        <v>768</v>
      </c>
      <c r="B88" s="3" t="s">
        <v>309</v>
      </c>
      <c r="C88" s="3" t="s">
        <v>310</v>
      </c>
      <c r="D88" s="3" t="s">
        <v>214</v>
      </c>
      <c r="E88" s="3" t="s">
        <v>749</v>
      </c>
      <c r="F88" s="3" t="s">
        <v>769</v>
      </c>
      <c r="G88" s="13" t="n">
        <f aca="false">CONSOLIDADO!Q88</f>
        <v>75604.9037439285</v>
      </c>
      <c r="H88" s="13" t="n">
        <f aca="false">CONSOLIDADO!R88</f>
        <v>8600.97574189061</v>
      </c>
      <c r="I88" s="14" t="n">
        <f aca="false">G88/240</f>
        <v>315.020432266369</v>
      </c>
      <c r="J88" s="14" t="n">
        <f aca="false">H88/20</f>
        <v>430.048787094531</v>
      </c>
      <c r="K88" s="3" t="n">
        <v>10</v>
      </c>
      <c r="L88" s="3" t="n">
        <v>10</v>
      </c>
      <c r="M88" s="13" t="n">
        <f aca="false">J88*L88</f>
        <v>4300.48787094531</v>
      </c>
      <c r="N88" s="13" t="n">
        <f aca="false">J88*K88+M88</f>
        <v>8600.97574189061</v>
      </c>
      <c r="O88" s="3" t="n">
        <v>20</v>
      </c>
      <c r="P88" s="3" t="s">
        <v>662</v>
      </c>
      <c r="Q88" s="15" t="n">
        <v>1000</v>
      </c>
      <c r="R88" s="3" t="n">
        <f aca="false">MAX(1,CEILING(J88*O88/Q88,1))</f>
        <v>9</v>
      </c>
      <c r="S88" s="13" t="n">
        <f aca="false">M88+R88*Q88</f>
        <v>13300.4878709453</v>
      </c>
      <c r="T88" s="3" t="n">
        <f aca="false">CEILING(S88/Q88,1)</f>
        <v>14</v>
      </c>
      <c r="U88" s="15" t="n">
        <v>20000</v>
      </c>
      <c r="V88" s="16" t="n">
        <f aca="false">S88/U88</f>
        <v>0.665024393547265</v>
      </c>
    </row>
    <row r="89" customFormat="false" ht="15" hidden="false" customHeight="false" outlineLevel="0" collapsed="false">
      <c r="A89" s="3" t="s">
        <v>770</v>
      </c>
      <c r="B89" s="3" t="s">
        <v>312</v>
      </c>
      <c r="C89" s="3" t="s">
        <v>313</v>
      </c>
      <c r="D89" s="3" t="s">
        <v>214</v>
      </c>
      <c r="E89" s="3" t="s">
        <v>749</v>
      </c>
      <c r="F89" s="3" t="s">
        <v>750</v>
      </c>
      <c r="G89" s="13" t="n">
        <f aca="false">CONSOLIDADO!Q89</f>
        <v>213430</v>
      </c>
      <c r="H89" s="13" t="n">
        <f aca="false">CONSOLIDADO!R89</f>
        <v>25157.04</v>
      </c>
      <c r="I89" s="14" t="n">
        <f aca="false">G89/240</f>
        <v>889.291666666667</v>
      </c>
      <c r="J89" s="14" t="n">
        <f aca="false">H89/20</f>
        <v>1257.852</v>
      </c>
      <c r="K89" s="3" t="n">
        <v>10</v>
      </c>
      <c r="L89" s="3" t="n">
        <v>10</v>
      </c>
      <c r="M89" s="13" t="n">
        <f aca="false">J89*L89</f>
        <v>12578.52</v>
      </c>
      <c r="N89" s="13" t="n">
        <f aca="false">J89*K89+M89</f>
        <v>25157.04</v>
      </c>
      <c r="O89" s="3" t="n">
        <v>20</v>
      </c>
      <c r="P89" s="3" t="s">
        <v>751</v>
      </c>
      <c r="Q89" s="15" t="n">
        <v>1000</v>
      </c>
      <c r="R89" s="3" t="n">
        <f aca="false">MAX(1,CEILING(J89*O89/Q89,1))</f>
        <v>26</v>
      </c>
      <c r="S89" s="13" t="n">
        <f aca="false">M89+R89*Q89</f>
        <v>38578.52</v>
      </c>
      <c r="T89" s="3" t="n">
        <f aca="false">CEILING(S89/Q89,1)</f>
        <v>39</v>
      </c>
      <c r="U89" s="15" t="n">
        <v>20000</v>
      </c>
      <c r="V89" s="16" t="n">
        <f aca="false">S89/U89</f>
        <v>1.928926</v>
      </c>
    </row>
    <row r="90" customFormat="false" ht="15" hidden="false" customHeight="false" outlineLevel="0" collapsed="false">
      <c r="A90" s="3" t="s">
        <v>771</v>
      </c>
      <c r="B90" s="3" t="s">
        <v>315</v>
      </c>
      <c r="C90" s="3" t="s">
        <v>316</v>
      </c>
      <c r="D90" s="3" t="s">
        <v>214</v>
      </c>
      <c r="E90" s="3" t="s">
        <v>772</v>
      </c>
      <c r="F90" s="3" t="s">
        <v>773</v>
      </c>
      <c r="G90" s="13" t="n">
        <f aca="false">CONSOLIDADO!Q90</f>
        <v>170548</v>
      </c>
      <c r="H90" s="13" t="n">
        <f aca="false">CONSOLIDADO!R90</f>
        <v>20465.76</v>
      </c>
      <c r="I90" s="14" t="n">
        <f aca="false">G90/240</f>
        <v>710.616666666667</v>
      </c>
      <c r="J90" s="14" t="n">
        <f aca="false">H90/20</f>
        <v>1023.288</v>
      </c>
      <c r="K90" s="3" t="n">
        <v>10</v>
      </c>
      <c r="L90" s="3" t="n">
        <v>10</v>
      </c>
      <c r="M90" s="13" t="n">
        <f aca="false">J90*L90</f>
        <v>10232.88</v>
      </c>
      <c r="N90" s="13" t="n">
        <f aca="false">J90*K90+M90</f>
        <v>20465.76</v>
      </c>
      <c r="O90" s="3" t="n">
        <v>20</v>
      </c>
      <c r="P90" s="3" t="s">
        <v>774</v>
      </c>
      <c r="Q90" s="15" t="n">
        <v>5000</v>
      </c>
      <c r="R90" s="3" t="n">
        <f aca="false">MAX(1,CEILING(J90*O90/Q90,1))</f>
        <v>5</v>
      </c>
      <c r="S90" s="13" t="n">
        <f aca="false">M90+R90*Q90</f>
        <v>35232.88</v>
      </c>
      <c r="T90" s="3" t="n">
        <f aca="false">CEILING(S90/Q90,1)</f>
        <v>8</v>
      </c>
      <c r="U90" s="15" t="n">
        <v>40000</v>
      </c>
      <c r="V90" s="16" t="n">
        <f aca="false">S90/U90</f>
        <v>0.880822</v>
      </c>
    </row>
    <row r="91" customFormat="false" ht="15" hidden="false" customHeight="false" outlineLevel="0" collapsed="false">
      <c r="A91" s="3" t="s">
        <v>775</v>
      </c>
      <c r="B91" s="3" t="s">
        <v>318</v>
      </c>
      <c r="C91" s="3" t="s">
        <v>319</v>
      </c>
      <c r="D91" s="3" t="s">
        <v>214</v>
      </c>
      <c r="E91" s="3" t="s">
        <v>772</v>
      </c>
      <c r="F91" s="3" t="s">
        <v>773</v>
      </c>
      <c r="G91" s="13" t="n">
        <f aca="false">CONSOLIDADO!Q91</f>
        <v>42625</v>
      </c>
      <c r="H91" s="13" t="n">
        <f aca="false">CONSOLIDADO!R91</f>
        <v>4668.15</v>
      </c>
      <c r="I91" s="14" t="n">
        <f aca="false">G91/240</f>
        <v>177.604166666667</v>
      </c>
      <c r="J91" s="14" t="n">
        <f aca="false">H91/20</f>
        <v>233.4075</v>
      </c>
      <c r="K91" s="3" t="n">
        <v>10</v>
      </c>
      <c r="L91" s="3" t="n">
        <v>10</v>
      </c>
      <c r="M91" s="13" t="n">
        <f aca="false">J91*L91</f>
        <v>2334.075</v>
      </c>
      <c r="N91" s="13" t="n">
        <f aca="false">J91*K91+M91</f>
        <v>4668.15</v>
      </c>
      <c r="O91" s="3" t="n">
        <v>20</v>
      </c>
      <c r="P91" s="3" t="s">
        <v>774</v>
      </c>
      <c r="Q91" s="15" t="n">
        <v>5000</v>
      </c>
      <c r="R91" s="3" t="n">
        <f aca="false">MAX(1,CEILING(J91*O91/Q91,1))</f>
        <v>1</v>
      </c>
      <c r="S91" s="13" t="n">
        <f aca="false">M91+R91*Q91</f>
        <v>7334.075</v>
      </c>
      <c r="T91" s="3" t="n">
        <f aca="false">CEILING(S91/Q91,1)</f>
        <v>2</v>
      </c>
      <c r="U91" s="15" t="n">
        <v>40000</v>
      </c>
      <c r="V91" s="16" t="n">
        <f aca="false">S91/U91</f>
        <v>0.183351875</v>
      </c>
    </row>
    <row r="92" customFormat="false" ht="15" hidden="false" customHeight="false" outlineLevel="0" collapsed="false">
      <c r="A92" s="3" t="s">
        <v>776</v>
      </c>
      <c r="B92" s="3" t="s">
        <v>480</v>
      </c>
      <c r="C92" s="3" t="s">
        <v>481</v>
      </c>
      <c r="D92" s="3" t="s">
        <v>214</v>
      </c>
      <c r="E92" s="3" t="s">
        <v>772</v>
      </c>
      <c r="F92" s="3" t="s">
        <v>773</v>
      </c>
      <c r="G92" s="13" t="n">
        <f aca="false">CONSOLIDADO!Q92</f>
        <v>257</v>
      </c>
      <c r="H92" s="13" t="n">
        <f aca="false">CONSOLIDADO!R92</f>
        <v>23.13</v>
      </c>
      <c r="I92" s="14" t="n">
        <f aca="false">G92/240</f>
        <v>1.07083333333333</v>
      </c>
      <c r="J92" s="14" t="n">
        <f aca="false">H92/20</f>
        <v>1.1565</v>
      </c>
      <c r="K92" s="3" t="n">
        <v>10</v>
      </c>
      <c r="L92" s="3" t="n">
        <v>10</v>
      </c>
      <c r="M92" s="13" t="n">
        <f aca="false">J92*L92</f>
        <v>11.565</v>
      </c>
      <c r="N92" s="13" t="n">
        <f aca="false">J92*K92+M92</f>
        <v>23.13</v>
      </c>
      <c r="O92" s="3" t="n">
        <v>20</v>
      </c>
      <c r="P92" s="3" t="s">
        <v>774</v>
      </c>
      <c r="Q92" s="15" t="n">
        <v>5000</v>
      </c>
      <c r="R92" s="3" t="n">
        <f aca="false">MAX(1,CEILING(J92*O92/Q92,1))</f>
        <v>1</v>
      </c>
      <c r="S92" s="13" t="n">
        <f aca="false">M92+R92*Q92</f>
        <v>5011.565</v>
      </c>
      <c r="T92" s="3" t="n">
        <f aca="false">CEILING(S92/Q92,1)</f>
        <v>2</v>
      </c>
      <c r="U92" s="15" t="n">
        <v>40000</v>
      </c>
      <c r="V92" s="16" t="n">
        <f aca="false">S92/U92</f>
        <v>0.125289125</v>
      </c>
    </row>
    <row r="93" customFormat="false" ht="15" hidden="false" customHeight="false" outlineLevel="0" collapsed="false">
      <c r="A93" s="3" t="s">
        <v>777</v>
      </c>
      <c r="B93" s="3" t="s">
        <v>321</v>
      </c>
      <c r="C93" s="3" t="s">
        <v>322</v>
      </c>
      <c r="D93" s="3" t="s">
        <v>214</v>
      </c>
      <c r="E93" s="3" t="s">
        <v>749</v>
      </c>
      <c r="F93" s="3" t="s">
        <v>750</v>
      </c>
      <c r="G93" s="13" t="n">
        <f aca="false">CONSOLIDADO!Q93</f>
        <v>212297.538887606</v>
      </c>
      <c r="H93" s="13" t="n">
        <f aca="false">CONSOLIDADO!R93</f>
        <v>25054.0882406338</v>
      </c>
      <c r="I93" s="14" t="n">
        <f aca="false">G93/240</f>
        <v>884.573078698358</v>
      </c>
      <c r="J93" s="14" t="n">
        <f aca="false">H93/20</f>
        <v>1252.70441203169</v>
      </c>
      <c r="K93" s="3" t="n">
        <v>10</v>
      </c>
      <c r="L93" s="3" t="n">
        <v>10</v>
      </c>
      <c r="M93" s="13" t="n">
        <f aca="false">J93*L93</f>
        <v>12527.0441203169</v>
      </c>
      <c r="N93" s="13" t="n">
        <f aca="false">J93*K93+M93</f>
        <v>25054.0882406338</v>
      </c>
      <c r="O93" s="3" t="n">
        <v>20</v>
      </c>
      <c r="P93" s="3" t="s">
        <v>761</v>
      </c>
      <c r="Q93" s="15" t="n">
        <v>500</v>
      </c>
      <c r="R93" s="3" t="n">
        <f aca="false">MAX(1,CEILING(J93*O93/Q93,1))</f>
        <v>51</v>
      </c>
      <c r="S93" s="13" t="n">
        <f aca="false">M93+R93*Q93</f>
        <v>38027.0441203169</v>
      </c>
      <c r="T93" s="3" t="n">
        <f aca="false">CEILING(S93/Q93,1)</f>
        <v>77</v>
      </c>
      <c r="U93" s="15" t="n">
        <v>10000</v>
      </c>
      <c r="V93" s="16" t="n">
        <f aca="false">S93/U93</f>
        <v>3.80270441203169</v>
      </c>
    </row>
    <row r="94" customFormat="false" ht="15" hidden="false" customHeight="false" outlineLevel="0" collapsed="false">
      <c r="A94" s="3" t="s">
        <v>778</v>
      </c>
      <c r="B94" s="3" t="s">
        <v>515</v>
      </c>
      <c r="C94" s="3" t="s">
        <v>516</v>
      </c>
      <c r="D94" s="3" t="s">
        <v>214</v>
      </c>
      <c r="E94" s="3" t="s">
        <v>708</v>
      </c>
      <c r="F94" s="3" t="s">
        <v>750</v>
      </c>
      <c r="G94" s="13" t="n">
        <f aca="false">CONSOLIDADO!Q94</f>
        <v>128714.163931821</v>
      </c>
      <c r="H94" s="13" t="n">
        <f aca="false">CONSOLIDADO!R94</f>
        <v>10726.1803276517</v>
      </c>
      <c r="I94" s="14" t="n">
        <f aca="false">G94/240</f>
        <v>536.309016382587</v>
      </c>
      <c r="J94" s="14" t="n">
        <f aca="false">H94/20</f>
        <v>536.309016382587</v>
      </c>
      <c r="K94" s="3" t="n">
        <v>10</v>
      </c>
      <c r="L94" s="3" t="n">
        <v>10</v>
      </c>
      <c r="M94" s="13" t="n">
        <f aca="false">J94*L94</f>
        <v>5363.09016382587</v>
      </c>
      <c r="N94" s="13" t="n">
        <f aca="false">J94*K94+M94</f>
        <v>10726.1803276517</v>
      </c>
      <c r="O94" s="3" t="n">
        <v>20</v>
      </c>
      <c r="P94" s="3" t="s">
        <v>779</v>
      </c>
      <c r="Q94" s="15" t="n">
        <v>1000</v>
      </c>
      <c r="R94" s="3" t="n">
        <f aca="false">MAX(1,CEILING(J94*O94/Q94,1))</f>
        <v>11</v>
      </c>
      <c r="S94" s="13" t="n">
        <f aca="false">M94+R94*Q94</f>
        <v>16363.0901638259</v>
      </c>
      <c r="T94" s="3" t="n">
        <f aca="false">CEILING(S94/Q94,1)</f>
        <v>17</v>
      </c>
      <c r="U94" s="15" t="n">
        <v>20000</v>
      </c>
      <c r="V94" s="16" t="n">
        <f aca="false">S94/U94</f>
        <v>0.818154508191293</v>
      </c>
    </row>
    <row r="95" customFormat="false" ht="15" hidden="false" customHeight="false" outlineLevel="0" collapsed="false">
      <c r="A95" s="3" t="s">
        <v>780</v>
      </c>
      <c r="B95" s="3" t="s">
        <v>518</v>
      </c>
      <c r="C95" s="3" t="s">
        <v>519</v>
      </c>
      <c r="D95" s="3" t="s">
        <v>214</v>
      </c>
      <c r="E95" s="3" t="s">
        <v>708</v>
      </c>
      <c r="F95" s="3" t="s">
        <v>769</v>
      </c>
      <c r="G95" s="13" t="n">
        <f aca="false">CONSOLIDADO!Q95</f>
        <v>128714.163931821</v>
      </c>
      <c r="H95" s="13" t="n">
        <f aca="false">CONSOLIDADO!R95</f>
        <v>10726.1803276517</v>
      </c>
      <c r="I95" s="14" t="n">
        <f aca="false">G95/240</f>
        <v>536.309016382587</v>
      </c>
      <c r="J95" s="14" t="n">
        <f aca="false">H95/20</f>
        <v>536.309016382587</v>
      </c>
      <c r="K95" s="3" t="n">
        <v>10</v>
      </c>
      <c r="L95" s="3" t="n">
        <v>10</v>
      </c>
      <c r="M95" s="13" t="n">
        <f aca="false">J95*L95</f>
        <v>5363.09016382587</v>
      </c>
      <c r="N95" s="13" t="n">
        <f aca="false">J95*K95+M95</f>
        <v>10726.1803276517</v>
      </c>
      <c r="O95" s="3" t="n">
        <v>20</v>
      </c>
      <c r="P95" s="3" t="s">
        <v>662</v>
      </c>
      <c r="Q95" s="15" t="n">
        <v>1000</v>
      </c>
      <c r="R95" s="3" t="n">
        <f aca="false">MAX(1,CEILING(J95*O95/Q95,1))</f>
        <v>11</v>
      </c>
      <c r="S95" s="13" t="n">
        <f aca="false">M95+R95*Q95</f>
        <v>16363.0901638259</v>
      </c>
      <c r="T95" s="3" t="n">
        <f aca="false">CEILING(S95/Q95,1)</f>
        <v>17</v>
      </c>
      <c r="U95" s="15" t="n">
        <v>20000</v>
      </c>
      <c r="V95" s="16" t="n">
        <f aca="false">S95/U95</f>
        <v>0.818154508191293</v>
      </c>
    </row>
    <row r="96" customFormat="false" ht="15" hidden="false" customHeight="false" outlineLevel="0" collapsed="false">
      <c r="A96" s="3" t="s">
        <v>781</v>
      </c>
      <c r="B96" s="3" t="s">
        <v>521</v>
      </c>
      <c r="C96" s="3" t="s">
        <v>522</v>
      </c>
      <c r="D96" s="3" t="s">
        <v>214</v>
      </c>
      <c r="E96" s="3" t="s">
        <v>708</v>
      </c>
      <c r="F96" s="3" t="s">
        <v>750</v>
      </c>
      <c r="G96" s="13" t="n">
        <f aca="false">CONSOLIDADO!Q96</f>
        <v>128714.163931821</v>
      </c>
      <c r="H96" s="13" t="n">
        <f aca="false">CONSOLIDADO!R96</f>
        <v>10726.1803276517</v>
      </c>
      <c r="I96" s="14" t="n">
        <f aca="false">G96/240</f>
        <v>536.309016382587</v>
      </c>
      <c r="J96" s="14" t="n">
        <f aca="false">H96/20</f>
        <v>536.309016382587</v>
      </c>
      <c r="K96" s="3" t="n">
        <v>10</v>
      </c>
      <c r="L96" s="3" t="n">
        <v>10</v>
      </c>
      <c r="M96" s="13" t="n">
        <f aca="false">J96*L96</f>
        <v>5363.09016382587</v>
      </c>
      <c r="N96" s="13" t="n">
        <f aca="false">J96*K96+M96</f>
        <v>10726.1803276517</v>
      </c>
      <c r="O96" s="3" t="n">
        <v>20</v>
      </c>
      <c r="P96" s="3" t="s">
        <v>751</v>
      </c>
      <c r="Q96" s="15" t="n">
        <v>1000</v>
      </c>
      <c r="R96" s="3" t="n">
        <f aca="false">MAX(1,CEILING(J96*O96/Q96,1))</f>
        <v>11</v>
      </c>
      <c r="S96" s="13" t="n">
        <f aca="false">M96+R96*Q96</f>
        <v>16363.0901638259</v>
      </c>
      <c r="T96" s="3" t="n">
        <f aca="false">CEILING(S96/Q96,1)</f>
        <v>17</v>
      </c>
      <c r="U96" s="15" t="n">
        <v>20000</v>
      </c>
      <c r="V96" s="16" t="n">
        <f aca="false">S96/U96</f>
        <v>0.818154508191293</v>
      </c>
    </row>
    <row r="97" customFormat="false" ht="15" hidden="false" customHeight="false" outlineLevel="0" collapsed="false">
      <c r="A97" s="3" t="s">
        <v>782</v>
      </c>
      <c r="B97" s="3" t="s">
        <v>524</v>
      </c>
      <c r="C97" s="3" t="s">
        <v>525</v>
      </c>
      <c r="D97" s="3" t="s">
        <v>214</v>
      </c>
      <c r="E97" s="3" t="s">
        <v>708</v>
      </c>
      <c r="F97" s="3" t="s">
        <v>760</v>
      </c>
      <c r="G97" s="13" t="n">
        <f aca="false">CONSOLIDADO!Q97</f>
        <v>102002.308194588</v>
      </c>
      <c r="H97" s="13" t="n">
        <f aca="false">CONSOLIDADO!R97</f>
        <v>8500.19234954897</v>
      </c>
      <c r="I97" s="14" t="n">
        <f aca="false">G97/240</f>
        <v>425.009617477448</v>
      </c>
      <c r="J97" s="14" t="n">
        <f aca="false">H97/20</f>
        <v>425.009617477448</v>
      </c>
      <c r="K97" s="3" t="n">
        <v>10</v>
      </c>
      <c r="L97" s="3" t="n">
        <v>10</v>
      </c>
      <c r="M97" s="13" t="n">
        <f aca="false">J97*L97</f>
        <v>4250.09617477448</v>
      </c>
      <c r="N97" s="13" t="n">
        <f aca="false">J97*K97+M97</f>
        <v>8500.19234954897</v>
      </c>
      <c r="O97" s="3" t="n">
        <v>20</v>
      </c>
      <c r="P97" s="3" t="s">
        <v>761</v>
      </c>
      <c r="Q97" s="15" t="n">
        <v>500</v>
      </c>
      <c r="R97" s="3" t="n">
        <f aca="false">MAX(1,CEILING(J97*O97/Q97,1))</f>
        <v>18</v>
      </c>
      <c r="S97" s="13" t="n">
        <f aca="false">M97+R97*Q97</f>
        <v>13250.0961747745</v>
      </c>
      <c r="T97" s="3" t="n">
        <f aca="false">CEILING(S97/Q97,1)</f>
        <v>27</v>
      </c>
      <c r="U97" s="15" t="n">
        <v>10000</v>
      </c>
      <c r="V97" s="16" t="n">
        <f aca="false">S97/U97</f>
        <v>1.32500961747745</v>
      </c>
    </row>
    <row r="98" customFormat="false" ht="15" hidden="false" customHeight="false" outlineLevel="0" collapsed="false">
      <c r="A98" s="3" t="s">
        <v>783</v>
      </c>
      <c r="B98" s="3" t="s">
        <v>527</v>
      </c>
      <c r="C98" s="3" t="s">
        <v>528</v>
      </c>
      <c r="D98" s="3" t="s">
        <v>214</v>
      </c>
      <c r="E98" s="3" t="s">
        <v>708</v>
      </c>
      <c r="F98" s="3" t="s">
        <v>760</v>
      </c>
      <c r="G98" s="13" t="n">
        <f aca="false">CONSOLIDADO!Q98</f>
        <v>102002.308194588</v>
      </c>
      <c r="H98" s="13" t="n">
        <f aca="false">CONSOLIDADO!R98</f>
        <v>8500.19234954897</v>
      </c>
      <c r="I98" s="14" t="n">
        <f aca="false">G98/240</f>
        <v>425.009617477448</v>
      </c>
      <c r="J98" s="14" t="n">
        <f aca="false">H98/20</f>
        <v>425.009617477448</v>
      </c>
      <c r="K98" s="3" t="n">
        <v>10</v>
      </c>
      <c r="L98" s="3" t="n">
        <v>10</v>
      </c>
      <c r="M98" s="13" t="n">
        <f aca="false">J98*L98</f>
        <v>4250.09617477448</v>
      </c>
      <c r="N98" s="13" t="n">
        <f aca="false">J98*K98+M98</f>
        <v>8500.19234954897</v>
      </c>
      <c r="O98" s="3" t="n">
        <v>20</v>
      </c>
      <c r="P98" s="3" t="s">
        <v>761</v>
      </c>
      <c r="Q98" s="15" t="n">
        <v>500</v>
      </c>
      <c r="R98" s="3" t="n">
        <f aca="false">MAX(1,CEILING(J98*O98/Q98,1))</f>
        <v>18</v>
      </c>
      <c r="S98" s="13" t="n">
        <f aca="false">M98+R98*Q98</f>
        <v>13250.0961747745</v>
      </c>
      <c r="T98" s="3" t="n">
        <f aca="false">CEILING(S98/Q98,1)</f>
        <v>27</v>
      </c>
      <c r="U98" s="15" t="n">
        <v>10000</v>
      </c>
      <c r="V98" s="16" t="n">
        <f aca="false">S98/U98</f>
        <v>1.32500961747745</v>
      </c>
    </row>
    <row r="99" customFormat="false" ht="15" hidden="false" customHeight="false" outlineLevel="0" collapsed="false">
      <c r="A99" s="3" t="s">
        <v>784</v>
      </c>
      <c r="B99" s="3" t="s">
        <v>534</v>
      </c>
      <c r="C99" s="3" t="s">
        <v>535</v>
      </c>
      <c r="D99" s="3" t="s">
        <v>214</v>
      </c>
      <c r="E99" s="3" t="s">
        <v>708</v>
      </c>
      <c r="F99" s="3" t="s">
        <v>750</v>
      </c>
      <c r="G99" s="13" t="n">
        <f aca="false">CONSOLIDADO!Q99</f>
        <v>154.538887605872</v>
      </c>
      <c r="H99" s="13" t="n">
        <f aca="false">CONSOLIDADO!R99</f>
        <v>12.8782406338227</v>
      </c>
      <c r="I99" s="14" t="n">
        <f aca="false">G99/240</f>
        <v>0.643912031691135</v>
      </c>
      <c r="J99" s="14" t="n">
        <f aca="false">H99/20</f>
        <v>0.643912031691135</v>
      </c>
      <c r="K99" s="3" t="n">
        <v>10</v>
      </c>
      <c r="L99" s="3" t="n">
        <v>10</v>
      </c>
      <c r="M99" s="13" t="n">
        <f aca="false">J99*L99</f>
        <v>6.43912031691135</v>
      </c>
      <c r="N99" s="13" t="n">
        <f aca="false">J99*K99+M99</f>
        <v>12.8782406338227</v>
      </c>
      <c r="O99" s="3" t="n">
        <v>20</v>
      </c>
      <c r="P99" s="3" t="s">
        <v>751</v>
      </c>
      <c r="Q99" s="15" t="n">
        <v>1000</v>
      </c>
      <c r="R99" s="3" t="n">
        <f aca="false">MAX(1,CEILING(J99*O99/Q99,1))</f>
        <v>1</v>
      </c>
      <c r="S99" s="13" t="n">
        <f aca="false">M99+R99*Q99</f>
        <v>1006.43912031691</v>
      </c>
      <c r="T99" s="3" t="n">
        <f aca="false">CEILING(S99/Q99,1)</f>
        <v>2</v>
      </c>
      <c r="U99" s="15" t="n">
        <v>20000</v>
      </c>
      <c r="V99" s="16" t="n">
        <f aca="false">S99/U99</f>
        <v>0.0503219560158456</v>
      </c>
    </row>
    <row r="100" customFormat="false" ht="15" hidden="false" customHeight="false" outlineLevel="0" collapsed="false">
      <c r="A100" s="3" t="s">
        <v>785</v>
      </c>
      <c r="B100" s="3" t="s">
        <v>537</v>
      </c>
      <c r="C100" s="3" t="s">
        <v>538</v>
      </c>
      <c r="D100" s="3" t="s">
        <v>214</v>
      </c>
      <c r="E100" s="3" t="s">
        <v>708</v>
      </c>
      <c r="F100" s="3" t="s">
        <v>760</v>
      </c>
      <c r="G100" s="13" t="n">
        <f aca="false">CONSOLIDADO!Q100</f>
        <v>122.467666029146</v>
      </c>
      <c r="H100" s="13" t="n">
        <f aca="false">CONSOLIDADO!R100</f>
        <v>10.2056388357621</v>
      </c>
      <c r="I100" s="14" t="n">
        <f aca="false">G100/240</f>
        <v>0.510281941788107</v>
      </c>
      <c r="J100" s="14" t="n">
        <f aca="false">H100/20</f>
        <v>0.510281941788107</v>
      </c>
      <c r="K100" s="3" t="n">
        <v>10</v>
      </c>
      <c r="L100" s="3" t="n">
        <v>10</v>
      </c>
      <c r="M100" s="13" t="n">
        <f aca="false">J100*L100</f>
        <v>5.10281941788107</v>
      </c>
      <c r="N100" s="13" t="n">
        <f aca="false">J100*K100+M100</f>
        <v>10.2056388357621</v>
      </c>
      <c r="O100" s="3" t="n">
        <v>20</v>
      </c>
      <c r="P100" s="3" t="s">
        <v>761</v>
      </c>
      <c r="Q100" s="15" t="n">
        <v>500</v>
      </c>
      <c r="R100" s="3" t="n">
        <f aca="false">MAX(1,CEILING(J100*O100/Q100,1))</f>
        <v>1</v>
      </c>
      <c r="S100" s="13" t="n">
        <f aca="false">M100+R100*Q100</f>
        <v>505.102819417881</v>
      </c>
      <c r="T100" s="3" t="n">
        <f aca="false">CEILING(S100/Q100,1)</f>
        <v>2</v>
      </c>
      <c r="U100" s="15" t="n">
        <v>10000</v>
      </c>
      <c r="V100" s="16" t="n">
        <f aca="false">S100/U100</f>
        <v>0.0505102819417881</v>
      </c>
    </row>
    <row r="101" customFormat="false" ht="15" hidden="false" customHeight="false" outlineLevel="0" collapsed="false">
      <c r="A101" s="3" t="s">
        <v>786</v>
      </c>
      <c r="B101" s="3" t="s">
        <v>540</v>
      </c>
      <c r="C101" s="3" t="s">
        <v>541</v>
      </c>
      <c r="D101" s="3" t="s">
        <v>214</v>
      </c>
      <c r="E101" s="3" t="s">
        <v>708</v>
      </c>
      <c r="F101" s="3" t="s">
        <v>765</v>
      </c>
      <c r="G101" s="13" t="n">
        <f aca="false">CONSOLIDADO!Q101</f>
        <v>32.0712215767269</v>
      </c>
      <c r="H101" s="13" t="n">
        <f aca="false">CONSOLIDADO!R101</f>
        <v>2.67260179806057</v>
      </c>
      <c r="I101" s="14" t="n">
        <f aca="false">G101/240</f>
        <v>0.133630089903029</v>
      </c>
      <c r="J101" s="14" t="n">
        <f aca="false">H101/20</f>
        <v>0.133630089903029</v>
      </c>
      <c r="K101" s="3" t="n">
        <v>10</v>
      </c>
      <c r="L101" s="3" t="n">
        <v>10</v>
      </c>
      <c r="M101" s="13" t="n">
        <f aca="false">J101*L101</f>
        <v>1.33630089903029</v>
      </c>
      <c r="N101" s="13" t="n">
        <f aca="false">J101*K101+M101</f>
        <v>2.67260179806057</v>
      </c>
      <c r="O101" s="3" t="n">
        <v>20</v>
      </c>
      <c r="P101" s="3" t="s">
        <v>761</v>
      </c>
      <c r="Q101" s="15" t="n">
        <v>500</v>
      </c>
      <c r="R101" s="3" t="n">
        <f aca="false">MAX(1,CEILING(J101*O101/Q101,1))</f>
        <v>1</v>
      </c>
      <c r="S101" s="13" t="n">
        <f aca="false">M101+R101*Q101</f>
        <v>501.33630089903</v>
      </c>
      <c r="T101" s="3" t="n">
        <f aca="false">CEILING(S101/Q101,1)</f>
        <v>2</v>
      </c>
      <c r="U101" s="15" t="n">
        <v>10000</v>
      </c>
      <c r="V101" s="16" t="n">
        <f aca="false">S101/U101</f>
        <v>0.050133630089903</v>
      </c>
    </row>
    <row r="102" customFormat="false" ht="15" hidden="false" customHeight="false" outlineLevel="0" collapsed="false">
      <c r="A102" s="3" t="s">
        <v>787</v>
      </c>
      <c r="B102" s="3" t="s">
        <v>531</v>
      </c>
      <c r="C102" s="3" t="s">
        <v>532</v>
      </c>
      <c r="D102" s="3" t="s">
        <v>503</v>
      </c>
      <c r="E102" s="3" t="s">
        <v>708</v>
      </c>
      <c r="F102" s="3" t="s">
        <v>693</v>
      </c>
      <c r="G102" s="13" t="n">
        <f aca="false">CONSOLIDADO!Q102</f>
        <v>332.354015156375</v>
      </c>
      <c r="H102" s="13" t="n">
        <f aca="false">CONSOLIDADO!R102</f>
        <v>27.6961679296979</v>
      </c>
      <c r="I102" s="14" t="n">
        <f aca="false">G102/240</f>
        <v>1.3848083964849</v>
      </c>
      <c r="J102" s="14" t="n">
        <f aca="false">H102/20</f>
        <v>1.3848083964849</v>
      </c>
      <c r="K102" s="3" t="n">
        <v>5</v>
      </c>
      <c r="L102" s="3" t="n">
        <v>10</v>
      </c>
      <c r="M102" s="13" t="n">
        <f aca="false">J102*L102</f>
        <v>13.848083964849</v>
      </c>
      <c r="N102" s="13" t="n">
        <f aca="false">J102*K102+M102</f>
        <v>20.7721259472734</v>
      </c>
      <c r="O102" s="3" t="n">
        <v>20</v>
      </c>
      <c r="P102" s="3" t="s">
        <v>788</v>
      </c>
      <c r="Q102" s="15" t="n">
        <v>4</v>
      </c>
      <c r="R102" s="3" t="n">
        <f aca="false">MAX(1,CEILING(J102*O102/Q102,1))</f>
        <v>7</v>
      </c>
      <c r="S102" s="13" t="n">
        <f aca="false">M102+R102*Q102</f>
        <v>41.848083964849</v>
      </c>
      <c r="T102" s="3" t="n">
        <f aca="false">CEILING(S102/Q102,1)</f>
        <v>11</v>
      </c>
      <c r="U102" s="15" t="n">
        <v>200</v>
      </c>
      <c r="V102" s="16" t="n">
        <f aca="false">S102/U102</f>
        <v>0.209240419824245</v>
      </c>
    </row>
    <row r="103" customFormat="false" ht="15" hidden="false" customHeight="false" outlineLevel="0" collapsed="false">
      <c r="A103" s="3" t="s">
        <v>789</v>
      </c>
      <c r="B103" s="3" t="s">
        <v>324</v>
      </c>
      <c r="C103" s="3" t="s">
        <v>325</v>
      </c>
      <c r="D103" s="3" t="s">
        <v>214</v>
      </c>
      <c r="E103" s="3" t="s">
        <v>772</v>
      </c>
      <c r="F103" s="3" t="s">
        <v>790</v>
      </c>
      <c r="G103" s="13" t="n">
        <f aca="false">CONSOLIDADO!Q103</f>
        <v>202620.63913</v>
      </c>
      <c r="H103" s="13" t="n">
        <f aca="false">CONSOLIDADO!R103</f>
        <v>24314.4766956</v>
      </c>
      <c r="I103" s="14" t="n">
        <f aca="false">G103/240</f>
        <v>844.252663041667</v>
      </c>
      <c r="J103" s="14" t="n">
        <f aca="false">H103/20</f>
        <v>1215.72383478</v>
      </c>
      <c r="K103" s="3" t="n">
        <v>10</v>
      </c>
      <c r="L103" s="3" t="n">
        <v>5</v>
      </c>
      <c r="M103" s="13" t="n">
        <f aca="false">J103*L103</f>
        <v>6078.6191739</v>
      </c>
      <c r="N103" s="13" t="n">
        <f aca="false">J103*K103+M103</f>
        <v>18235.8575217</v>
      </c>
      <c r="O103" s="3" t="n">
        <v>10</v>
      </c>
      <c r="P103" s="3" t="s">
        <v>791</v>
      </c>
      <c r="Q103" s="15" t="n">
        <v>600</v>
      </c>
      <c r="R103" s="3" t="n">
        <f aca="false">MAX(1,CEILING(J103*O103/Q103,1))</f>
        <v>21</v>
      </c>
      <c r="S103" s="13" t="n">
        <f aca="false">M103+R103*Q103</f>
        <v>18678.6191739</v>
      </c>
      <c r="T103" s="3" t="n">
        <f aca="false">CEILING(S103/Q103,1)</f>
        <v>32</v>
      </c>
      <c r="U103" s="15" t="n">
        <v>600</v>
      </c>
      <c r="V103" s="16" t="n">
        <f aca="false">S103/U103</f>
        <v>31.1310319565</v>
      </c>
    </row>
    <row r="104" customFormat="false" ht="15" hidden="false" customHeight="false" outlineLevel="0" collapsed="false">
      <c r="A104" s="3" t="s">
        <v>792</v>
      </c>
      <c r="B104" s="3" t="s">
        <v>327</v>
      </c>
      <c r="C104" s="3" t="s">
        <v>328</v>
      </c>
      <c r="D104" s="3" t="s">
        <v>214</v>
      </c>
      <c r="E104" s="3" t="s">
        <v>772</v>
      </c>
      <c r="F104" s="3" t="s">
        <v>790</v>
      </c>
      <c r="G104" s="13" t="n">
        <f aca="false">CONSOLIDADO!Q104</f>
        <v>14093.858444</v>
      </c>
      <c r="H104" s="13" t="n">
        <f aca="false">CONSOLIDADO!R104</f>
        <v>1550.32442884</v>
      </c>
      <c r="I104" s="14" t="n">
        <f aca="false">G104/240</f>
        <v>58.7244101833333</v>
      </c>
      <c r="J104" s="14" t="n">
        <f aca="false">H104/20</f>
        <v>77.516221442</v>
      </c>
      <c r="K104" s="3" t="n">
        <v>10</v>
      </c>
      <c r="L104" s="3" t="n">
        <v>5</v>
      </c>
      <c r="M104" s="13" t="n">
        <f aca="false">J104*L104</f>
        <v>387.58110721</v>
      </c>
      <c r="N104" s="13" t="n">
        <f aca="false">J104*K104+M104</f>
        <v>1162.74332163</v>
      </c>
      <c r="O104" s="3" t="n">
        <v>10</v>
      </c>
      <c r="P104" s="3" t="s">
        <v>791</v>
      </c>
      <c r="Q104" s="15" t="n">
        <v>600</v>
      </c>
      <c r="R104" s="3" t="n">
        <f aca="false">MAX(1,CEILING(J104*O104/Q104,1))</f>
        <v>2</v>
      </c>
      <c r="S104" s="13" t="n">
        <f aca="false">M104+R104*Q104</f>
        <v>1587.58110721</v>
      </c>
      <c r="T104" s="3" t="n">
        <f aca="false">CEILING(S104/Q104,1)</f>
        <v>3</v>
      </c>
      <c r="U104" s="15" t="n">
        <v>600</v>
      </c>
      <c r="V104" s="16" t="n">
        <f aca="false">S104/U104</f>
        <v>2.64596851201667</v>
      </c>
    </row>
    <row r="105" customFormat="false" ht="15" hidden="false" customHeight="false" outlineLevel="0" collapsed="false">
      <c r="A105" s="3" t="s">
        <v>793</v>
      </c>
      <c r="B105" s="3" t="s">
        <v>330</v>
      </c>
      <c r="C105" s="3" t="s">
        <v>331</v>
      </c>
      <c r="D105" s="3" t="s">
        <v>214</v>
      </c>
      <c r="E105" s="3" t="s">
        <v>772</v>
      </c>
      <c r="F105" s="3" t="s">
        <v>790</v>
      </c>
      <c r="G105" s="13" t="n">
        <f aca="false">CONSOLIDADO!Q105</f>
        <v>65364.6411612163</v>
      </c>
      <c r="H105" s="13" t="n">
        <f aca="false">CONSOLIDADO!R105</f>
        <v>7190.11052773379</v>
      </c>
      <c r="I105" s="14" t="n">
        <f aca="false">G105/240</f>
        <v>272.352671505068</v>
      </c>
      <c r="J105" s="14" t="n">
        <f aca="false">H105/20</f>
        <v>359.50552638669</v>
      </c>
      <c r="K105" s="3" t="n">
        <v>10</v>
      </c>
      <c r="L105" s="3" t="n">
        <v>5</v>
      </c>
      <c r="M105" s="13" t="n">
        <f aca="false">J105*L105</f>
        <v>1797.52763193345</v>
      </c>
      <c r="N105" s="13" t="n">
        <f aca="false">J105*K105+M105</f>
        <v>5392.58289580034</v>
      </c>
      <c r="O105" s="3" t="n">
        <v>10</v>
      </c>
      <c r="P105" s="3" t="s">
        <v>791</v>
      </c>
      <c r="Q105" s="15" t="n">
        <v>600</v>
      </c>
      <c r="R105" s="3" t="n">
        <f aca="false">MAX(1,CEILING(J105*O105/Q105,1))</f>
        <v>6</v>
      </c>
      <c r="S105" s="13" t="n">
        <f aca="false">M105+R105*Q105</f>
        <v>5397.52763193345</v>
      </c>
      <c r="T105" s="3" t="n">
        <f aca="false">CEILING(S105/Q105,1)</f>
        <v>9</v>
      </c>
      <c r="U105" s="15" t="n">
        <v>600</v>
      </c>
      <c r="V105" s="16" t="n">
        <f aca="false">S105/U105</f>
        <v>8.99587938655575</v>
      </c>
    </row>
    <row r="106" customFormat="false" ht="15" hidden="false" customHeight="false" outlineLevel="0" collapsed="false">
      <c r="A106" s="3" t="s">
        <v>794</v>
      </c>
      <c r="B106" s="3" t="s">
        <v>333</v>
      </c>
      <c r="C106" s="3" t="s">
        <v>334</v>
      </c>
      <c r="D106" s="3" t="s">
        <v>214</v>
      </c>
      <c r="E106" s="3" t="s">
        <v>772</v>
      </c>
      <c r="F106" s="3" t="s">
        <v>790</v>
      </c>
      <c r="G106" s="13" t="n">
        <f aca="false">CONSOLIDADO!Q106</f>
        <v>3854.26194663625</v>
      </c>
      <c r="H106" s="13" t="n">
        <f aca="false">CONSOLIDADO!R106</f>
        <v>423.968814129988</v>
      </c>
      <c r="I106" s="14" t="n">
        <f aca="false">G106/240</f>
        <v>16.059424777651</v>
      </c>
      <c r="J106" s="14" t="n">
        <f aca="false">H106/20</f>
        <v>21.1984407064994</v>
      </c>
      <c r="K106" s="3" t="n">
        <v>10</v>
      </c>
      <c r="L106" s="3" t="n">
        <v>5</v>
      </c>
      <c r="M106" s="13" t="n">
        <f aca="false">J106*L106</f>
        <v>105.992203532497</v>
      </c>
      <c r="N106" s="13" t="n">
        <f aca="false">J106*K106+M106</f>
        <v>317.976610597491</v>
      </c>
      <c r="O106" s="3" t="n">
        <v>10</v>
      </c>
      <c r="P106" s="3" t="s">
        <v>791</v>
      </c>
      <c r="Q106" s="15" t="n">
        <v>600</v>
      </c>
      <c r="R106" s="3" t="n">
        <f aca="false">MAX(1,CEILING(J106*O106/Q106,1))</f>
        <v>1</v>
      </c>
      <c r="S106" s="13" t="n">
        <f aca="false">M106+R106*Q106</f>
        <v>705.992203532497</v>
      </c>
      <c r="T106" s="3" t="n">
        <f aca="false">CEILING(S106/Q106,1)</f>
        <v>2</v>
      </c>
      <c r="U106" s="15" t="n">
        <v>600</v>
      </c>
      <c r="V106" s="16" t="n">
        <f aca="false">S106/U106</f>
        <v>1.17665367255416</v>
      </c>
    </row>
    <row r="107" customFormat="false" ht="15" hidden="false" customHeight="false" outlineLevel="0" collapsed="false">
      <c r="A107" s="3" t="s">
        <v>795</v>
      </c>
      <c r="B107" s="3" t="s">
        <v>336</v>
      </c>
      <c r="C107" s="3" t="s">
        <v>337</v>
      </c>
      <c r="D107" s="3" t="s">
        <v>214</v>
      </c>
      <c r="E107" s="3" t="s">
        <v>772</v>
      </c>
      <c r="F107" s="3" t="s">
        <v>750</v>
      </c>
      <c r="G107" s="13" t="n">
        <f aca="false">CONSOLIDADO!Q107</f>
        <v>285933.400681853</v>
      </c>
      <c r="H107" s="13" t="n">
        <f aca="false">CONSOLIDADO!R107</f>
        <v>33478.8804663038</v>
      </c>
      <c r="I107" s="14" t="n">
        <f aca="false">G107/240</f>
        <v>1191.38916950772</v>
      </c>
      <c r="J107" s="14" t="n">
        <f aca="false">H107/20</f>
        <v>1673.94402331519</v>
      </c>
      <c r="K107" s="3" t="n">
        <v>10</v>
      </c>
      <c r="L107" s="3" t="n">
        <v>10</v>
      </c>
      <c r="M107" s="13" t="n">
        <f aca="false">J107*L107</f>
        <v>16739.4402331519</v>
      </c>
      <c r="N107" s="13" t="n">
        <f aca="false">J107*K107+M107</f>
        <v>33478.8804663038</v>
      </c>
      <c r="O107" s="3" t="n">
        <v>20</v>
      </c>
      <c r="P107" s="3" t="s">
        <v>751</v>
      </c>
      <c r="Q107" s="15" t="n">
        <v>1000</v>
      </c>
      <c r="R107" s="3" t="n">
        <f aca="false">MAX(1,CEILING(J107*O107/Q107,1))</f>
        <v>34</v>
      </c>
      <c r="S107" s="13" t="n">
        <f aca="false">M107+R107*Q107</f>
        <v>50739.4402331519</v>
      </c>
      <c r="T107" s="3" t="n">
        <f aca="false">CEILING(S107/Q107,1)</f>
        <v>51</v>
      </c>
      <c r="U107" s="15" t="n">
        <v>20000</v>
      </c>
      <c r="V107" s="16" t="n">
        <f aca="false">S107/U107</f>
        <v>2.53697201165759</v>
      </c>
    </row>
    <row r="108" customFormat="false" ht="15" hidden="false" customHeight="false" outlineLevel="0" collapsed="false">
      <c r="A108" s="3" t="s">
        <v>796</v>
      </c>
      <c r="B108" s="3" t="s">
        <v>339</v>
      </c>
      <c r="C108" s="3" t="s">
        <v>340</v>
      </c>
      <c r="D108" s="3" t="s">
        <v>214</v>
      </c>
      <c r="E108" s="3" t="s">
        <v>772</v>
      </c>
      <c r="F108" s="3" t="s">
        <v>797</v>
      </c>
      <c r="G108" s="13" t="n">
        <f aca="false">CONSOLIDADO!Q108</f>
        <v>1548.49296577787</v>
      </c>
      <c r="H108" s="13" t="n">
        <f aca="false">CONSOLIDADO!R108</f>
        <v>172.701408880483</v>
      </c>
      <c r="I108" s="14" t="n">
        <f aca="false">G108/240</f>
        <v>6.45205402407447</v>
      </c>
      <c r="J108" s="14" t="n">
        <f aca="false">H108/20</f>
        <v>8.63507044402414</v>
      </c>
      <c r="K108" s="3" t="n">
        <v>5</v>
      </c>
      <c r="L108" s="3" t="n">
        <v>5</v>
      </c>
      <c r="M108" s="13" t="n">
        <f aca="false">J108*L108</f>
        <v>43.1753522201207</v>
      </c>
      <c r="N108" s="13" t="n">
        <f aca="false">J108*K108+M108</f>
        <v>86.3507044402414</v>
      </c>
      <c r="O108" s="3" t="n">
        <v>10</v>
      </c>
      <c r="P108" s="3" t="s">
        <v>798</v>
      </c>
      <c r="Q108" s="15" t="n">
        <v>15</v>
      </c>
      <c r="R108" s="3" t="n">
        <f aca="false">MAX(1,CEILING(J108*O108/Q108,1))</f>
        <v>6</v>
      </c>
      <c r="S108" s="13" t="n">
        <f aca="false">M108+R108*Q108</f>
        <v>133.175352220121</v>
      </c>
      <c r="T108" s="3" t="n">
        <f aca="false">CEILING(S108/Q108,1)</f>
        <v>9</v>
      </c>
      <c r="U108" s="15" t="n">
        <v>15</v>
      </c>
      <c r="V108" s="16" t="n">
        <f aca="false">S108/U108</f>
        <v>8.87835681467471</v>
      </c>
    </row>
    <row r="109" customFormat="false" ht="15" hidden="false" customHeight="false" outlineLevel="0" collapsed="false">
      <c r="A109" s="3" t="s">
        <v>799</v>
      </c>
      <c r="B109" s="3" t="s">
        <v>342</v>
      </c>
      <c r="C109" s="3" t="s">
        <v>343</v>
      </c>
      <c r="D109" s="3" t="s">
        <v>214</v>
      </c>
      <c r="E109" s="3" t="s">
        <v>772</v>
      </c>
      <c r="F109" s="3" t="s">
        <v>750</v>
      </c>
      <c r="G109" s="13" t="n">
        <f aca="false">CONSOLIDADO!Q109</f>
        <v>1548.49296577787</v>
      </c>
      <c r="H109" s="13" t="n">
        <f aca="false">CONSOLIDADO!R109</f>
        <v>172.701408880483</v>
      </c>
      <c r="I109" s="14" t="n">
        <f aca="false">G109/240</f>
        <v>6.45205402407447</v>
      </c>
      <c r="J109" s="14" t="n">
        <f aca="false">H109/20</f>
        <v>8.63507044402414</v>
      </c>
      <c r="K109" s="3" t="n">
        <v>10</v>
      </c>
      <c r="L109" s="3" t="n">
        <v>10</v>
      </c>
      <c r="M109" s="13" t="n">
        <f aca="false">J109*L109</f>
        <v>86.3507044402414</v>
      </c>
      <c r="N109" s="13" t="n">
        <f aca="false">J109*K109+M109</f>
        <v>172.701408880483</v>
      </c>
      <c r="O109" s="3" t="n">
        <v>20</v>
      </c>
      <c r="P109" s="3" t="s">
        <v>751</v>
      </c>
      <c r="Q109" s="15" t="n">
        <v>1000</v>
      </c>
      <c r="R109" s="3" t="n">
        <f aca="false">MAX(1,CEILING(J109*O109/Q109,1))</f>
        <v>1</v>
      </c>
      <c r="S109" s="13" t="n">
        <f aca="false">M109+R109*Q109</f>
        <v>1086.35070444024</v>
      </c>
      <c r="T109" s="3" t="n">
        <f aca="false">CEILING(S109/Q109,1)</f>
        <v>2</v>
      </c>
      <c r="U109" s="15" t="n">
        <v>20000</v>
      </c>
      <c r="V109" s="16" t="n">
        <f aca="false">S109/U109</f>
        <v>0.0543175352220121</v>
      </c>
    </row>
    <row r="110" customFormat="false" ht="15" hidden="false" customHeight="false" outlineLevel="0" collapsed="false">
      <c r="A110" s="3" t="s">
        <v>800</v>
      </c>
      <c r="B110" s="3" t="s">
        <v>554</v>
      </c>
      <c r="C110" s="3" t="s">
        <v>555</v>
      </c>
      <c r="D110" s="3" t="s">
        <v>214</v>
      </c>
      <c r="E110" s="3" t="s">
        <v>801</v>
      </c>
      <c r="F110" s="3" t="s">
        <v>802</v>
      </c>
      <c r="G110" s="13" t="n">
        <f aca="false">CONSOLIDADO!Q114</f>
        <v>2908.74932244082</v>
      </c>
      <c r="H110" s="13" t="n">
        <f aca="false">CONSOLIDADO!R114</f>
        <v>319.962425468491</v>
      </c>
      <c r="I110" s="14" t="n">
        <f aca="false">G110/240</f>
        <v>12.1197888435034</v>
      </c>
      <c r="J110" s="14" t="n">
        <f aca="false">H110/20</f>
        <v>15.9981212734245</v>
      </c>
      <c r="K110" s="3" t="n">
        <v>20</v>
      </c>
      <c r="L110" s="3" t="n">
        <v>15</v>
      </c>
      <c r="M110" s="13" t="n">
        <f aca="false">J110*L110</f>
        <v>239.971819101368</v>
      </c>
      <c r="N110" s="13" t="n">
        <f aca="false">J110*K110+M110</f>
        <v>559.934244569859</v>
      </c>
      <c r="O110" s="3" t="n">
        <v>20</v>
      </c>
      <c r="P110" s="3" t="s">
        <v>803</v>
      </c>
      <c r="Q110" s="15" t="n">
        <v>1</v>
      </c>
      <c r="R110" s="3" t="n">
        <f aca="false">MAX(1,CEILING(J110*O110/Q110,1))</f>
        <v>320</v>
      </c>
      <c r="S110" s="13" t="n">
        <f aca="false">M110+R110*Q110</f>
        <v>559.971819101368</v>
      </c>
      <c r="T110" s="3" t="n">
        <f aca="false">CEILING(S110/Q110,1)</f>
        <v>560</v>
      </c>
      <c r="U110" s="15" t="n">
        <v>180</v>
      </c>
      <c r="V110" s="16" t="n">
        <f aca="false">S110/U110</f>
        <v>3.11095455056316</v>
      </c>
    </row>
    <row r="111" customFormat="false" ht="15" hidden="false" customHeight="false" outlineLevel="0" collapsed="false">
      <c r="A111" s="3" t="s">
        <v>804</v>
      </c>
      <c r="B111" s="3" t="s">
        <v>557</v>
      </c>
      <c r="C111" s="3" t="s">
        <v>558</v>
      </c>
      <c r="D111" s="3" t="s">
        <v>214</v>
      </c>
      <c r="E111" s="3" t="s">
        <v>801</v>
      </c>
      <c r="F111" s="3" t="s">
        <v>802</v>
      </c>
      <c r="G111" s="13" t="n">
        <f aca="false">CONSOLIDADO!Q115</f>
        <v>971.66283030305</v>
      </c>
      <c r="H111" s="13" t="n">
        <f aca="false">CONSOLIDADO!R115</f>
        <v>106.882911333335</v>
      </c>
      <c r="I111" s="14" t="n">
        <f aca="false">G111/240</f>
        <v>4.04859512626271</v>
      </c>
      <c r="J111" s="14" t="n">
        <f aca="false">H111/20</f>
        <v>5.34414556666677</v>
      </c>
      <c r="K111" s="3" t="n">
        <v>20</v>
      </c>
      <c r="L111" s="3" t="n">
        <v>15</v>
      </c>
      <c r="M111" s="13" t="n">
        <f aca="false">J111*L111</f>
        <v>80.1621835000016</v>
      </c>
      <c r="N111" s="13" t="n">
        <f aca="false">J111*K111+M111</f>
        <v>187.045094833337</v>
      </c>
      <c r="O111" s="3" t="n">
        <v>20</v>
      </c>
      <c r="P111" s="3" t="s">
        <v>803</v>
      </c>
      <c r="Q111" s="15" t="n">
        <v>1</v>
      </c>
      <c r="R111" s="3" t="n">
        <f aca="false">MAX(1,CEILING(J111*O111/Q111,1))</f>
        <v>107</v>
      </c>
      <c r="S111" s="13" t="n">
        <f aca="false">M111+R111*Q111</f>
        <v>187.162183500002</v>
      </c>
      <c r="T111" s="3" t="n">
        <f aca="false">CEILING(S111/Q111,1)</f>
        <v>188</v>
      </c>
      <c r="U111" s="15" t="n">
        <v>180</v>
      </c>
      <c r="V111" s="16" t="n">
        <f aca="false">S111/U111</f>
        <v>1.03978990833334</v>
      </c>
    </row>
    <row r="112" customFormat="false" ht="15" hidden="false" customHeight="false" outlineLevel="0" collapsed="false">
      <c r="A112" s="3" t="s">
        <v>805</v>
      </c>
      <c r="B112" s="3" t="s">
        <v>560</v>
      </c>
      <c r="C112" s="3" t="s">
        <v>561</v>
      </c>
      <c r="D112" s="3" t="s">
        <v>214</v>
      </c>
      <c r="E112" s="3" t="s">
        <v>801</v>
      </c>
      <c r="F112" s="3" t="s">
        <v>802</v>
      </c>
      <c r="G112" s="13" t="n">
        <f aca="false">CONSOLIDADO!Q116</f>
        <v>416.512525430151</v>
      </c>
      <c r="H112" s="13" t="n">
        <f aca="false">CONSOLIDADO!R116</f>
        <v>33.3210020344121</v>
      </c>
      <c r="I112" s="14" t="n">
        <f aca="false">G112/240</f>
        <v>1.73546885595896</v>
      </c>
      <c r="J112" s="14" t="n">
        <f aca="false">H112/20</f>
        <v>1.6660501017206</v>
      </c>
      <c r="K112" s="3" t="n">
        <v>20</v>
      </c>
      <c r="L112" s="3" t="n">
        <v>15</v>
      </c>
      <c r="M112" s="13" t="n">
        <f aca="false">J112*L112</f>
        <v>24.990751525809</v>
      </c>
      <c r="N112" s="13" t="n">
        <f aca="false">J112*K112+M112</f>
        <v>58.3117535602211</v>
      </c>
      <c r="O112" s="3" t="n">
        <v>20</v>
      </c>
      <c r="P112" s="3" t="s">
        <v>803</v>
      </c>
      <c r="Q112" s="15" t="n">
        <v>1</v>
      </c>
      <c r="R112" s="3" t="n">
        <f aca="false">MAX(1,CEILING(J112*O112/Q112,1))</f>
        <v>34</v>
      </c>
      <c r="S112" s="13" t="n">
        <f aca="false">M112+R112*Q112</f>
        <v>58.990751525809</v>
      </c>
      <c r="T112" s="3" t="n">
        <f aca="false">CEILING(S112/Q112,1)</f>
        <v>59</v>
      </c>
      <c r="U112" s="15" t="n">
        <v>60</v>
      </c>
      <c r="V112" s="16" t="n">
        <f aca="false">S112/U112</f>
        <v>0.983179192096817</v>
      </c>
    </row>
    <row r="113" customFormat="false" ht="15" hidden="false" customHeight="false" outlineLevel="0" collapsed="false">
      <c r="A113" s="3" t="s">
        <v>806</v>
      </c>
      <c r="B113" s="3" t="s">
        <v>563</v>
      </c>
      <c r="C113" s="3" t="s">
        <v>564</v>
      </c>
      <c r="D113" s="3" t="s">
        <v>214</v>
      </c>
      <c r="E113" s="3" t="s">
        <v>801</v>
      </c>
      <c r="F113" s="3" t="s">
        <v>802</v>
      </c>
      <c r="G113" s="13" t="n">
        <f aca="false">CONSOLIDADO!Q117</f>
        <v>277.772028115647</v>
      </c>
      <c r="H113" s="13" t="n">
        <f aca="false">CONSOLIDADO!R117</f>
        <v>30.5549230927212</v>
      </c>
      <c r="I113" s="14" t="n">
        <f aca="false">G113/240</f>
        <v>1.15738345048186</v>
      </c>
      <c r="J113" s="14" t="n">
        <f aca="false">H113/20</f>
        <v>1.52774615463606</v>
      </c>
      <c r="K113" s="3" t="n">
        <v>20</v>
      </c>
      <c r="L113" s="3" t="n">
        <v>15</v>
      </c>
      <c r="M113" s="13" t="n">
        <f aca="false">J113*L113</f>
        <v>22.9161923195409</v>
      </c>
      <c r="N113" s="13" t="n">
        <f aca="false">J113*K113+M113</f>
        <v>53.4711154122621</v>
      </c>
      <c r="O113" s="3" t="n">
        <v>20</v>
      </c>
      <c r="P113" s="3" t="s">
        <v>803</v>
      </c>
      <c r="Q113" s="15" t="n">
        <v>1</v>
      </c>
      <c r="R113" s="3" t="n">
        <f aca="false">MAX(1,CEILING(J113*O113/Q113,1))</f>
        <v>31</v>
      </c>
      <c r="S113" s="13" t="n">
        <f aca="false">M113+R113*Q113</f>
        <v>53.9161923195409</v>
      </c>
      <c r="T113" s="3" t="n">
        <f aca="false">CEILING(S113/Q113,1)</f>
        <v>54</v>
      </c>
      <c r="U113" s="15" t="n">
        <v>180</v>
      </c>
      <c r="V113" s="16" t="n">
        <f aca="false">S113/U113</f>
        <v>0.299534401775227</v>
      </c>
    </row>
    <row r="114" customFormat="false" ht="15" hidden="false" customHeight="false" outlineLevel="0" collapsed="false">
      <c r="A114" s="3" t="s">
        <v>807</v>
      </c>
      <c r="B114" s="3" t="s">
        <v>566</v>
      </c>
      <c r="C114" s="3" t="s">
        <v>567</v>
      </c>
      <c r="D114" s="3" t="s">
        <v>214</v>
      </c>
      <c r="E114" s="3" t="s">
        <v>801</v>
      </c>
      <c r="F114" s="3" t="s">
        <v>802</v>
      </c>
      <c r="G114" s="13" t="n">
        <f aca="false">CONSOLIDADO!Q118</f>
        <v>1650.88180111984</v>
      </c>
      <c r="H114" s="13" t="n">
        <f aca="false">CONSOLIDADO!R118</f>
        <v>181.596998123182</v>
      </c>
      <c r="I114" s="14" t="n">
        <f aca="false">G114/240</f>
        <v>6.87867417133267</v>
      </c>
      <c r="J114" s="14" t="n">
        <f aca="false">H114/20</f>
        <v>9.07984990615912</v>
      </c>
      <c r="K114" s="3" t="n">
        <v>20</v>
      </c>
      <c r="L114" s="3" t="n">
        <v>15</v>
      </c>
      <c r="M114" s="13" t="n">
        <f aca="false">J114*L114</f>
        <v>136.197748592387</v>
      </c>
      <c r="N114" s="13" t="n">
        <f aca="false">J114*K114+M114</f>
        <v>317.794746715569</v>
      </c>
      <c r="O114" s="3" t="n">
        <v>20</v>
      </c>
      <c r="P114" s="3" t="s">
        <v>803</v>
      </c>
      <c r="Q114" s="15" t="n">
        <v>1</v>
      </c>
      <c r="R114" s="3" t="n">
        <f aca="false">MAX(1,CEILING(J114*O114/Q114,1))</f>
        <v>182</v>
      </c>
      <c r="S114" s="13" t="n">
        <f aca="false">M114+R114*Q114</f>
        <v>318.197748592387</v>
      </c>
      <c r="T114" s="3" t="n">
        <f aca="false">CEILING(S114/Q114,1)</f>
        <v>319</v>
      </c>
      <c r="U114" s="15" t="n">
        <v>180</v>
      </c>
      <c r="V114" s="16" t="n">
        <f aca="false">S114/U114</f>
        <v>1.7677652699577</v>
      </c>
    </row>
    <row r="115" customFormat="false" ht="15" hidden="false" customHeight="false" outlineLevel="0" collapsed="false">
      <c r="A115" s="3" t="s">
        <v>808</v>
      </c>
      <c r="B115" s="3" t="s">
        <v>569</v>
      </c>
      <c r="C115" s="3" t="s">
        <v>570</v>
      </c>
      <c r="D115" s="3" t="s">
        <v>214</v>
      </c>
      <c r="E115" s="3" t="s">
        <v>801</v>
      </c>
      <c r="F115" s="3" t="s">
        <v>802</v>
      </c>
      <c r="G115" s="13" t="n">
        <f aca="false">CONSOLIDADO!Q119</f>
        <v>7005.27737</v>
      </c>
      <c r="H115" s="13" t="n">
        <f aca="false">CONSOLIDADO!R119</f>
        <v>770.5805107</v>
      </c>
      <c r="I115" s="14" t="n">
        <f aca="false">G115/240</f>
        <v>29.1886557083333</v>
      </c>
      <c r="J115" s="14" t="n">
        <f aca="false">H115/20</f>
        <v>38.529025535</v>
      </c>
      <c r="K115" s="3" t="n">
        <v>20</v>
      </c>
      <c r="L115" s="3" t="n">
        <v>15</v>
      </c>
      <c r="M115" s="13" t="n">
        <f aca="false">J115*L115</f>
        <v>577.935383025</v>
      </c>
      <c r="N115" s="13" t="n">
        <f aca="false">J115*K115+M115</f>
        <v>1348.515893725</v>
      </c>
      <c r="O115" s="3" t="n">
        <v>20</v>
      </c>
      <c r="P115" s="3" t="s">
        <v>803</v>
      </c>
      <c r="Q115" s="15" t="n">
        <v>1</v>
      </c>
      <c r="R115" s="3" t="n">
        <f aca="false">MAX(1,CEILING(J115*O115/Q115,1))</f>
        <v>771</v>
      </c>
      <c r="S115" s="13" t="n">
        <f aca="false">M115+R115*Q115</f>
        <v>1348.935383025</v>
      </c>
      <c r="T115" s="3" t="n">
        <f aca="false">CEILING(S115/Q115,1)</f>
        <v>1349</v>
      </c>
      <c r="U115" s="15" t="n">
        <v>180</v>
      </c>
      <c r="V115" s="16" t="n">
        <f aca="false">S115/U115</f>
        <v>7.49408546125</v>
      </c>
    </row>
    <row r="116" customFormat="false" ht="15" hidden="false" customHeight="false" outlineLevel="0" collapsed="false">
      <c r="A116" s="3" t="s">
        <v>809</v>
      </c>
      <c r="B116" s="3" t="s">
        <v>572</v>
      </c>
      <c r="C116" s="3" t="s">
        <v>573</v>
      </c>
      <c r="D116" s="3" t="s">
        <v>214</v>
      </c>
      <c r="E116" s="3" t="s">
        <v>801</v>
      </c>
      <c r="F116" s="3" t="s">
        <v>802</v>
      </c>
      <c r="G116" s="13" t="n">
        <f aca="false">CONSOLIDADO!Q120</f>
        <v>3777.88529798011</v>
      </c>
      <c r="H116" s="13" t="n">
        <f aca="false">CONSOLIDADO!R120</f>
        <v>415.567382777812</v>
      </c>
      <c r="I116" s="14" t="n">
        <f aca="false">G116/240</f>
        <v>15.7411887415838</v>
      </c>
      <c r="J116" s="14" t="n">
        <f aca="false">H116/20</f>
        <v>20.7783691388906</v>
      </c>
      <c r="K116" s="3" t="n">
        <v>20</v>
      </c>
      <c r="L116" s="3" t="n">
        <v>15</v>
      </c>
      <c r="M116" s="13" t="n">
        <f aca="false">J116*L116</f>
        <v>311.675537083359</v>
      </c>
      <c r="N116" s="13" t="n">
        <f aca="false">J116*K116+M116</f>
        <v>727.24291986117</v>
      </c>
      <c r="O116" s="3" t="n">
        <v>20</v>
      </c>
      <c r="P116" s="3" t="s">
        <v>803</v>
      </c>
      <c r="Q116" s="15" t="n">
        <v>1</v>
      </c>
      <c r="R116" s="3" t="n">
        <f aca="false">MAX(1,CEILING(J116*O116/Q116,1))</f>
        <v>416</v>
      </c>
      <c r="S116" s="13" t="n">
        <f aca="false">M116+R116*Q116</f>
        <v>727.675537083359</v>
      </c>
      <c r="T116" s="3" t="n">
        <f aca="false">CEILING(S116/Q116,1)</f>
        <v>728</v>
      </c>
      <c r="U116" s="15" t="n">
        <v>180</v>
      </c>
      <c r="V116" s="16" t="n">
        <f aca="false">S116/U116</f>
        <v>4.04264187268533</v>
      </c>
    </row>
    <row r="117" customFormat="false" ht="15" hidden="false" customHeight="false" outlineLevel="0" collapsed="false">
      <c r="A117" s="3" t="s">
        <v>810</v>
      </c>
      <c r="B117" s="3" t="s">
        <v>575</v>
      </c>
      <c r="C117" s="3" t="s">
        <v>576</v>
      </c>
      <c r="D117" s="3" t="s">
        <v>214</v>
      </c>
      <c r="E117" s="3" t="s">
        <v>801</v>
      </c>
      <c r="F117" s="3" t="s">
        <v>802</v>
      </c>
      <c r="G117" s="13" t="n">
        <f aca="false">CONSOLIDADO!Q121</f>
        <v>744.210555144654</v>
      </c>
      <c r="H117" s="13" t="n">
        <f aca="false">CONSOLIDADO!R121</f>
        <v>81.863161065912</v>
      </c>
      <c r="I117" s="14" t="n">
        <f aca="false">G117/240</f>
        <v>3.10087731310273</v>
      </c>
      <c r="J117" s="14" t="n">
        <f aca="false">H117/20</f>
        <v>4.0931580532956</v>
      </c>
      <c r="K117" s="3" t="n">
        <v>20</v>
      </c>
      <c r="L117" s="3" t="n">
        <v>15</v>
      </c>
      <c r="M117" s="13" t="n">
        <f aca="false">J117*L117</f>
        <v>61.397370799434</v>
      </c>
      <c r="N117" s="13" t="n">
        <f aca="false">J117*K117+M117</f>
        <v>143.260531865346</v>
      </c>
      <c r="O117" s="3" t="n">
        <v>20</v>
      </c>
      <c r="P117" s="3" t="s">
        <v>803</v>
      </c>
      <c r="Q117" s="15" t="n">
        <v>1</v>
      </c>
      <c r="R117" s="3" t="n">
        <f aca="false">MAX(1,CEILING(J117*O117/Q117,1))</f>
        <v>82</v>
      </c>
      <c r="S117" s="13" t="n">
        <f aca="false">M117+R117*Q117</f>
        <v>143.397370799434</v>
      </c>
      <c r="T117" s="3" t="n">
        <f aca="false">CEILING(S117/Q117,1)</f>
        <v>144</v>
      </c>
      <c r="U117" s="15" t="n">
        <v>180</v>
      </c>
      <c r="V117" s="16" t="n">
        <f aca="false">S117/U117</f>
        <v>0.796652059996856</v>
      </c>
    </row>
    <row r="118" customFormat="false" ht="15" hidden="false" customHeight="false" outlineLevel="0" collapsed="false">
      <c r="A118" s="3" t="s">
        <v>811</v>
      </c>
      <c r="B118" s="3" t="s">
        <v>578</v>
      </c>
      <c r="C118" s="3" t="s">
        <v>579</v>
      </c>
      <c r="D118" s="3" t="s">
        <v>214</v>
      </c>
      <c r="E118" s="3" t="s">
        <v>801</v>
      </c>
      <c r="F118" s="3" t="s">
        <v>802</v>
      </c>
      <c r="G118" s="13" t="n">
        <f aca="false">CONSOLIDADO!Q122</f>
        <v>277.429635543129</v>
      </c>
      <c r="H118" s="13" t="n">
        <f aca="false">CONSOLIDADO!R122</f>
        <v>30.5172599097442</v>
      </c>
      <c r="I118" s="14" t="n">
        <f aca="false">G118/240</f>
        <v>1.15595681476304</v>
      </c>
      <c r="J118" s="14" t="n">
        <f aca="false">H118/20</f>
        <v>1.52586299548721</v>
      </c>
      <c r="K118" s="3" t="n">
        <v>20</v>
      </c>
      <c r="L118" s="3" t="n">
        <v>15</v>
      </c>
      <c r="M118" s="13" t="n">
        <f aca="false">J118*L118</f>
        <v>22.8879449323082</v>
      </c>
      <c r="N118" s="13" t="n">
        <f aca="false">J118*K118+M118</f>
        <v>53.4052048420524</v>
      </c>
      <c r="O118" s="3" t="n">
        <v>20</v>
      </c>
      <c r="P118" s="3" t="s">
        <v>803</v>
      </c>
      <c r="Q118" s="15" t="n">
        <v>1</v>
      </c>
      <c r="R118" s="3" t="n">
        <f aca="false">MAX(1,CEILING(J118*O118/Q118,1))</f>
        <v>31</v>
      </c>
      <c r="S118" s="13" t="n">
        <f aca="false">M118+R118*Q118</f>
        <v>53.8879449323082</v>
      </c>
      <c r="T118" s="3" t="n">
        <f aca="false">CEILING(S118/Q118,1)</f>
        <v>54</v>
      </c>
      <c r="U118" s="15" t="n">
        <v>180</v>
      </c>
      <c r="V118" s="16" t="n">
        <f aca="false">S118/U118</f>
        <v>0.299377471846157</v>
      </c>
    </row>
    <row r="121" customFormat="false" ht="30" hidden="false" customHeight="true" outlineLevel="0" collapsed="false">
      <c r="A121" s="2"/>
      <c r="B121" s="2" t="s">
        <v>587</v>
      </c>
      <c r="C121" s="2"/>
      <c r="D121" s="2"/>
      <c r="E121" s="2" t="s">
        <v>812</v>
      </c>
      <c r="F121" s="2" t="s">
        <v>813</v>
      </c>
      <c r="G121" s="2" t="s">
        <v>814</v>
      </c>
    </row>
    <row r="122" customFormat="false" ht="15" hidden="false" customHeight="false" outlineLevel="0" collapsed="false">
      <c r="A122" s="3"/>
      <c r="B122" s="3" t="s">
        <v>801</v>
      </c>
      <c r="C122" s="3"/>
      <c r="D122" s="3"/>
      <c r="E122" s="3" t="n">
        <f aca="false">ROUNDUP(SUMIF($E$4:$E$118,B122,$V$4:$V$118),0)</f>
        <v>20</v>
      </c>
      <c r="F122" s="3"/>
      <c r="G122" s="3"/>
    </row>
    <row r="123" customFormat="false" ht="15" hidden="false" customHeight="false" outlineLevel="0" collapsed="false">
      <c r="A123" s="3"/>
      <c r="B123" s="3" t="s">
        <v>631</v>
      </c>
      <c r="C123" s="3"/>
      <c r="D123" s="3"/>
      <c r="E123" s="3" t="n">
        <f aca="false">ROUNDUP(SUMIF($E$4:$E$118,B123,$V$4:$V$118),0)</f>
        <v>3</v>
      </c>
      <c r="F123" s="3" t="n">
        <v>3</v>
      </c>
      <c r="G123" s="3" t="str">
        <f aca="false">IF(E123&lt;=F123,"Alcanza","No alcanza")</f>
        <v>Alcanza</v>
      </c>
    </row>
    <row r="124" customFormat="false" ht="15" hidden="false" customHeight="false" outlineLevel="0" collapsed="false">
      <c r="A124" s="3"/>
      <c r="B124" s="3" t="s">
        <v>606</v>
      </c>
      <c r="C124" s="3"/>
      <c r="D124" s="3"/>
      <c r="E124" s="3" t="n">
        <f aca="false">ROUNDUP(SUMIF($E$4:$E$118,B124,$V$4:$V$118),0)</f>
        <v>14</v>
      </c>
      <c r="F124" s="3"/>
      <c r="G124" s="3"/>
    </row>
    <row r="125" customFormat="false" ht="15" hidden="false" customHeight="false" outlineLevel="0" collapsed="false">
      <c r="A125" s="3"/>
      <c r="B125" s="3" t="s">
        <v>610</v>
      </c>
      <c r="C125" s="3"/>
      <c r="D125" s="3"/>
      <c r="E125" s="3" t="n">
        <f aca="false">ROUNDUP(SUMIF($E$4:$E$118,B125,$V$4:$V$118),0)</f>
        <v>33</v>
      </c>
      <c r="F125" s="3"/>
      <c r="G125" s="3"/>
    </row>
    <row r="126" customFormat="false" ht="15" hidden="false" customHeight="false" outlineLevel="0" collapsed="false">
      <c r="A126" s="3"/>
      <c r="B126" s="3" t="s">
        <v>692</v>
      </c>
      <c r="C126" s="3"/>
      <c r="D126" s="3"/>
      <c r="E126" s="3" t="n">
        <f aca="false">ROUNDUP(SUMIF($E$4:$E$118,B126,$V$4:$V$118),0)</f>
        <v>18</v>
      </c>
      <c r="F126" s="3"/>
      <c r="G126" s="3"/>
    </row>
    <row r="127" customFormat="false" ht="15" hidden="false" customHeight="false" outlineLevel="0" collapsed="false">
      <c r="A127" s="3"/>
      <c r="B127" s="3" t="s">
        <v>772</v>
      </c>
      <c r="C127" s="3"/>
      <c r="D127" s="3"/>
      <c r="E127" s="3" t="n">
        <f aca="false">ROUNDUP(SUMIF($E$4:$E$118,B127,$V$4:$V$118),0)</f>
        <v>57</v>
      </c>
      <c r="F127" s="3"/>
      <c r="G127" s="3"/>
    </row>
    <row r="128" customFormat="false" ht="15" hidden="false" customHeight="false" outlineLevel="0" collapsed="false">
      <c r="A128" s="3"/>
      <c r="B128" s="3" t="s">
        <v>749</v>
      </c>
      <c r="C128" s="3"/>
      <c r="D128" s="3"/>
      <c r="E128" s="3" t="n">
        <f aca="false">ROUNDUP(SUMIF($E$4:$E$118,B128,$V$4:$V$118),0)</f>
        <v>12</v>
      </c>
      <c r="F128" s="3"/>
      <c r="G128" s="3"/>
    </row>
    <row r="129" customFormat="false" ht="15" hidden="false" customHeight="false" outlineLevel="0" collapsed="false">
      <c r="A129" s="3"/>
      <c r="B129" s="3" t="s">
        <v>643</v>
      </c>
      <c r="C129" s="3"/>
      <c r="D129" s="3"/>
      <c r="E129" s="3" t="n">
        <f aca="false">ROUNDUP(SUMIF($E$4:$E$118,B129,$V$4:$V$118),0)</f>
        <v>34</v>
      </c>
      <c r="F129" s="3"/>
      <c r="G129" s="3"/>
    </row>
    <row r="130" customFormat="false" ht="15" hidden="false" customHeight="false" outlineLevel="0" collapsed="false">
      <c r="A130" s="3"/>
      <c r="B130" s="3" t="s">
        <v>708</v>
      </c>
      <c r="C130" s="3"/>
      <c r="D130" s="3"/>
      <c r="E130" s="3" t="n">
        <f aca="false">ROUNDUP(SUMIF($E$4:$E$118,B130,$V$4:$V$118),0)</f>
        <v>13</v>
      </c>
      <c r="F130" s="3"/>
      <c r="G130" s="3"/>
    </row>
    <row r="131" customFormat="false" ht="15" hidden="false" customHeight="false" outlineLevel="0" collapsed="false">
      <c r="A131" s="3"/>
      <c r="B131" s="3" t="s">
        <v>671</v>
      </c>
      <c r="C131" s="3"/>
      <c r="D131" s="3"/>
      <c r="E131" s="3" t="n">
        <f aca="false">ROUNDUP(SUMIF($E$4:$E$118,B131,$V$4:$V$118),0)</f>
        <v>14</v>
      </c>
      <c r="F131" s="3"/>
      <c r="G131" s="3"/>
    </row>
    <row r="132" customFormat="false" ht="15" hidden="false" customHeight="false" outlineLevel="0" collapsed="false">
      <c r="A132" s="3"/>
      <c r="B132" s="3" t="s">
        <v>676</v>
      </c>
      <c r="C132" s="3"/>
      <c r="D132" s="3"/>
      <c r="E132" s="3" t="n">
        <f aca="false">ROUNDUP(SUMIF($E$4:$E$118,B132,$V$4:$V$118),0)</f>
        <v>13</v>
      </c>
      <c r="F132" s="3"/>
      <c r="G132" s="3"/>
    </row>
    <row r="133" customFormat="false" ht="15" hidden="false" customHeight="false" outlineLevel="0" collapsed="false">
      <c r="A133" s="3"/>
      <c r="B133" s="3" t="s">
        <v>635</v>
      </c>
      <c r="C133" s="3"/>
      <c r="D133" s="3"/>
      <c r="E133" s="3" t="n">
        <f aca="false">ROUNDUP(SUMIF($E$4:$E$118,B133,$V$4:$V$118),0)</f>
        <v>11</v>
      </c>
      <c r="F133" s="3" t="n">
        <v>12</v>
      </c>
      <c r="G133" s="3" t="str">
        <f aca="false">IF(E133&lt;=F133,"Alcanza","No alcanza")</f>
        <v>Alcanza</v>
      </c>
    </row>
    <row r="134" customFormat="false" ht="15" hidden="false" customHeight="false" outlineLevel="0" collapsed="false">
      <c r="A134" s="3"/>
      <c r="B134" s="3" t="s">
        <v>660</v>
      </c>
      <c r="C134" s="3"/>
      <c r="D134" s="3"/>
      <c r="E134" s="3" t="n">
        <f aca="false">ROUNDUP(SUMIF($E$4:$E$118,B134,$V$4:$V$118),0)</f>
        <v>9</v>
      </c>
      <c r="F134" s="3" t="n">
        <v>8</v>
      </c>
      <c r="G134" s="3" t="str">
        <f aca="false">IF(E134&lt;=F134,"Alcanza","No alcanza")</f>
        <v>No alcanza</v>
      </c>
    </row>
  </sheetData>
  <autoFilter ref="A3:V11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7" t="s">
        <v>815</v>
      </c>
    </row>
    <row r="2" customFormat="false" ht="15" hidden="false" customHeight="false" outlineLevel="0" collapsed="false">
      <c r="A2" s="17" t="s">
        <v>816</v>
      </c>
      <c r="B2" s="17" t="n">
        <v>2026</v>
      </c>
      <c r="C2" s="17" t="n">
        <v>2027</v>
      </c>
      <c r="D2" s="17" t="n">
        <v>2028</v>
      </c>
      <c r="E2" s="17" t="n">
        <v>2029</v>
      </c>
      <c r="F2" s="17" t="n">
        <v>2030</v>
      </c>
      <c r="G2" s="17" t="n">
        <v>2031</v>
      </c>
      <c r="H2" s="17" t="n">
        <v>2032</v>
      </c>
      <c r="I2" s="17" t="n">
        <v>2033</v>
      </c>
      <c r="J2" s="17" t="n">
        <v>2034</v>
      </c>
      <c r="K2" s="17" t="n">
        <v>2035</v>
      </c>
      <c r="L2" s="17" t="s">
        <v>817</v>
      </c>
    </row>
    <row r="3" customFormat="false" ht="15" hidden="false" customHeight="false" outlineLevel="0" collapsed="false">
      <c r="A3" s="18" t="s">
        <v>144</v>
      </c>
      <c r="B3" s="19" t="n">
        <v>4178.736543</v>
      </c>
      <c r="C3" s="19" t="n">
        <v>5997.303977</v>
      </c>
      <c r="D3" s="19" t="n">
        <v>6851.747758</v>
      </c>
      <c r="E3" s="19" t="n">
        <v>8467.135549</v>
      </c>
      <c r="F3" s="19" t="n">
        <v>12680.63271</v>
      </c>
      <c r="G3" s="19" t="n">
        <v>15620.25307</v>
      </c>
      <c r="H3" s="19" t="n">
        <v>20332.55326</v>
      </c>
      <c r="I3" s="19" t="n">
        <v>25132.07848</v>
      </c>
      <c r="J3" s="19" t="n">
        <v>28573.33614</v>
      </c>
      <c r="K3" s="19" t="n">
        <v>32072.63913</v>
      </c>
      <c r="L3" s="20" t="n">
        <v>0.4339875715</v>
      </c>
    </row>
    <row r="4" customFormat="false" ht="15" hidden="false" customHeight="false" outlineLevel="0" collapsed="false">
      <c r="A4" s="18" t="s">
        <v>145</v>
      </c>
      <c r="B4" s="19" t="n">
        <v>295.0303572</v>
      </c>
      <c r="C4" s="19" t="n">
        <v>709.7274503</v>
      </c>
      <c r="D4" s="19" t="n">
        <v>986.8680576</v>
      </c>
      <c r="E4" s="19" t="n">
        <v>1500.638174</v>
      </c>
      <c r="F4" s="19" t="n">
        <v>2312.627726</v>
      </c>
      <c r="G4" s="19" t="n">
        <v>3252.869887</v>
      </c>
      <c r="H4" s="19" t="n">
        <v>4102.315524</v>
      </c>
      <c r="I4" s="19" t="n">
        <v>5104.306587</v>
      </c>
      <c r="J4" s="19" t="n">
        <v>6195.186243</v>
      </c>
      <c r="K4" s="19" t="n">
        <v>7424.858444</v>
      </c>
      <c r="L4" s="20" t="n">
        <v>0.1004686977</v>
      </c>
    </row>
    <row r="5" customFormat="false" ht="15" hidden="false" customHeight="false" outlineLevel="0" collapsed="false">
      <c r="A5" s="18" t="s">
        <v>146</v>
      </c>
      <c r="B5" s="19" t="n">
        <v>2255.773025</v>
      </c>
      <c r="C5" s="19" t="n">
        <v>3846.978881</v>
      </c>
      <c r="D5" s="19" t="n">
        <v>5093.537591</v>
      </c>
      <c r="E5" s="19" t="n">
        <v>6823.115313</v>
      </c>
      <c r="F5" s="19" t="n">
        <v>10819.30694</v>
      </c>
      <c r="G5" s="19" t="n">
        <v>14605.96411</v>
      </c>
      <c r="H5" s="19" t="n">
        <v>18877.75984</v>
      </c>
      <c r="I5" s="19" t="n">
        <v>23368.18637</v>
      </c>
      <c r="J5" s="19" t="n">
        <v>26967.72455</v>
      </c>
      <c r="K5" s="19" t="n">
        <v>30750.77872</v>
      </c>
      <c r="L5" s="20" t="n">
        <v>0.4161009552</v>
      </c>
    </row>
    <row r="6" customFormat="false" ht="15" hidden="false" customHeight="false" outlineLevel="0" collapsed="false">
      <c r="A6" s="18" t="s">
        <v>147</v>
      </c>
      <c r="B6" s="19" t="n">
        <v>91.83318153</v>
      </c>
      <c r="C6" s="19" t="n">
        <v>177.2472967</v>
      </c>
      <c r="D6" s="19" t="n">
        <v>252.9787798</v>
      </c>
      <c r="E6" s="19" t="n">
        <v>358.0204941</v>
      </c>
      <c r="F6" s="19" t="n">
        <v>602.7181519</v>
      </c>
      <c r="G6" s="19" t="n">
        <v>872.605032</v>
      </c>
      <c r="H6" s="19" t="n">
        <v>1127.160545</v>
      </c>
      <c r="I6" s="19" t="n">
        <v>1395.444812</v>
      </c>
      <c r="J6" s="19" t="n">
        <v>1612.350054</v>
      </c>
      <c r="K6" s="19" t="n">
        <v>1840.848079</v>
      </c>
      <c r="L6" s="20" t="n">
        <v>0.02490924379</v>
      </c>
    </row>
    <row r="7" customFormat="false" ht="15" hidden="false" customHeight="false" outlineLevel="0" collapsed="false">
      <c r="A7" s="18" t="s">
        <v>818</v>
      </c>
      <c r="B7" s="19" t="n">
        <v>34.05179136</v>
      </c>
      <c r="C7" s="19" t="n">
        <v>58.46214745</v>
      </c>
      <c r="D7" s="19" t="n">
        <v>75.20853998</v>
      </c>
      <c r="E7" s="19" t="n">
        <v>100.5298529</v>
      </c>
      <c r="F7" s="19" t="n">
        <v>155.8760035</v>
      </c>
      <c r="G7" s="19" t="n">
        <v>211.9344827</v>
      </c>
      <c r="H7" s="19" t="n">
        <v>272.6682332</v>
      </c>
      <c r="I7" s="19" t="n">
        <v>337.8486707</v>
      </c>
      <c r="J7" s="19" t="n">
        <v>393.6274156</v>
      </c>
      <c r="K7" s="19" t="n">
        <v>453.2705332</v>
      </c>
      <c r="L7" s="20" t="n">
        <v>0.006133382949</v>
      </c>
    </row>
    <row r="8" customFormat="false" ht="15" hidden="false" customHeight="false" outlineLevel="0" collapsed="false">
      <c r="A8" s="18" t="s">
        <v>819</v>
      </c>
      <c r="B8" s="19" t="n">
        <v>74.913941</v>
      </c>
      <c r="C8" s="19" t="n">
        <v>128.6167244</v>
      </c>
      <c r="D8" s="19" t="n">
        <v>165.458788</v>
      </c>
      <c r="E8" s="19" t="n">
        <v>221.1656765</v>
      </c>
      <c r="F8" s="19" t="n">
        <v>342.9272077</v>
      </c>
      <c r="G8" s="19" t="n">
        <v>466.255862</v>
      </c>
      <c r="H8" s="19" t="n">
        <v>599.8701129</v>
      </c>
      <c r="I8" s="19" t="n">
        <v>743.2670756</v>
      </c>
      <c r="J8" s="19" t="n">
        <v>865.9803143</v>
      </c>
      <c r="K8" s="19" t="n">
        <v>997.1951731</v>
      </c>
      <c r="L8" s="20" t="n">
        <v>0.01349344249</v>
      </c>
    </row>
    <row r="9" customFormat="false" ht="15" hidden="false" customHeight="false" outlineLevel="0" collapsed="false">
      <c r="A9" s="18" t="s">
        <v>820</v>
      </c>
      <c r="B9" s="19" t="n">
        <v>16.34485985</v>
      </c>
      <c r="C9" s="19" t="n">
        <v>28.06183078</v>
      </c>
      <c r="D9" s="19" t="n">
        <v>36.10009919</v>
      </c>
      <c r="E9" s="19" t="n">
        <v>48.25432941</v>
      </c>
      <c r="F9" s="19" t="n">
        <v>74.82048167</v>
      </c>
      <c r="G9" s="19" t="n">
        <v>101.7285517</v>
      </c>
      <c r="H9" s="19" t="n">
        <v>130.8807519</v>
      </c>
      <c r="I9" s="19" t="n">
        <v>162.1673619</v>
      </c>
      <c r="J9" s="19" t="n">
        <v>188.9411595</v>
      </c>
      <c r="K9" s="19" t="n">
        <v>217.569856</v>
      </c>
      <c r="L9" s="20" t="n">
        <v>0.002944023815</v>
      </c>
    </row>
    <row r="10" customFormat="false" ht="15" hidden="false" customHeight="false" outlineLevel="0" collapsed="false">
      <c r="A10" s="18" t="s">
        <v>821</v>
      </c>
      <c r="B10" s="19" t="n">
        <v>10.89657324</v>
      </c>
      <c r="C10" s="19" t="n">
        <v>18.70788719</v>
      </c>
      <c r="D10" s="19" t="n">
        <v>24.06673279</v>
      </c>
      <c r="E10" s="19" t="n">
        <v>32.16955294</v>
      </c>
      <c r="F10" s="19" t="n">
        <v>49.88032112</v>
      </c>
      <c r="G10" s="19" t="n">
        <v>67.81903447</v>
      </c>
      <c r="H10" s="19" t="n">
        <v>87.25383461</v>
      </c>
      <c r="I10" s="19" t="n">
        <v>108.1115746</v>
      </c>
      <c r="J10" s="19" t="n">
        <v>125.960773</v>
      </c>
      <c r="K10" s="19" t="n">
        <v>145.0465706</v>
      </c>
      <c r="L10" s="20" t="n">
        <v>0.001962682544</v>
      </c>
    </row>
    <row r="11" customFormat="false" ht="15" hidden="false" customHeight="false" outlineLevel="0" collapsed="false">
      <c r="A11" s="17" t="s">
        <v>822</v>
      </c>
      <c r="B11" s="21" t="n">
        <v>6957.580272</v>
      </c>
      <c r="C11" s="21" t="n">
        <v>10965.10619</v>
      </c>
      <c r="D11" s="21" t="n">
        <v>13485.96635</v>
      </c>
      <c r="E11" s="21" t="n">
        <v>17551.02894</v>
      </c>
      <c r="F11" s="21" t="n">
        <v>27038.78955</v>
      </c>
      <c r="G11" s="21" t="n">
        <v>35199.43004</v>
      </c>
      <c r="H11" s="21" t="n">
        <v>45530.46211</v>
      </c>
      <c r="I11" s="21" t="n">
        <v>56351.41093</v>
      </c>
      <c r="J11" s="21" t="n">
        <v>64923.10665</v>
      </c>
      <c r="K11" s="21" t="n">
        <v>73902.20651</v>
      </c>
      <c r="L11" s="22" t="n">
        <v>1</v>
      </c>
    </row>
    <row r="13" customFormat="false" ht="15" hidden="false" customHeight="false" outlineLevel="0" collapsed="false">
      <c r="A13" s="17" t="s">
        <v>823</v>
      </c>
    </row>
    <row r="14" customFormat="false" ht="15" hidden="false" customHeight="false" outlineLevel="0" collapsed="false">
      <c r="A14" s="17" t="s">
        <v>816</v>
      </c>
      <c r="B14" s="17" t="n">
        <v>2026</v>
      </c>
      <c r="C14" s="17" t="n">
        <v>2027</v>
      </c>
      <c r="D14" s="17" t="n">
        <v>2028</v>
      </c>
      <c r="E14" s="17" t="n">
        <v>2029</v>
      </c>
      <c r="F14" s="17" t="n">
        <v>2030</v>
      </c>
      <c r="G14" s="17" t="n">
        <v>2031</v>
      </c>
      <c r="H14" s="17" t="n">
        <v>2032</v>
      </c>
      <c r="I14" s="17" t="n">
        <v>2033</v>
      </c>
      <c r="J14" s="17" t="n">
        <v>2034</v>
      </c>
      <c r="K14" s="17" t="n">
        <v>2035</v>
      </c>
      <c r="L14" s="17" t="s">
        <v>817</v>
      </c>
    </row>
    <row r="15" customFormat="false" ht="15" hidden="false" customHeight="false" outlineLevel="0" collapsed="false">
      <c r="A15" s="18" t="s">
        <v>824</v>
      </c>
      <c r="B15" s="19" t="n">
        <v>0</v>
      </c>
      <c r="C15" s="19" t="n">
        <v>0</v>
      </c>
      <c r="D15" s="19" t="n">
        <v>7662.4</v>
      </c>
      <c r="E15" s="19" t="n">
        <v>26694.8</v>
      </c>
      <c r="F15" s="19" t="n">
        <v>49434.8</v>
      </c>
      <c r="G15" s="19" t="n">
        <v>71680.2</v>
      </c>
      <c r="H15" s="19" t="n">
        <v>101340.6</v>
      </c>
      <c r="I15" s="19" t="n">
        <v>131001</v>
      </c>
      <c r="J15" s="19" t="n">
        <v>146819.8</v>
      </c>
      <c r="K15" s="19" t="n">
        <v>170548</v>
      </c>
      <c r="L15" s="20" t="n">
        <v>0.7990816661</v>
      </c>
    </row>
    <row r="16" customFormat="false" ht="15" hidden="false" customHeight="false" outlineLevel="0" collapsed="false">
      <c r="A16" s="18" t="s">
        <v>825</v>
      </c>
      <c r="B16" s="19" t="n">
        <v>0</v>
      </c>
      <c r="C16" s="19" t="n">
        <v>0</v>
      </c>
      <c r="D16" s="19" t="n">
        <v>299.6</v>
      </c>
      <c r="E16" s="19" t="n">
        <v>1043.8</v>
      </c>
      <c r="F16" s="19" t="n">
        <v>1933</v>
      </c>
      <c r="G16" s="19" t="n">
        <v>2803</v>
      </c>
      <c r="H16" s="19" t="n">
        <v>3963</v>
      </c>
      <c r="I16" s="19" t="n">
        <v>5123</v>
      </c>
      <c r="J16" s="19" t="n">
        <v>5741.4</v>
      </c>
      <c r="K16" s="19" t="n">
        <v>6669</v>
      </c>
      <c r="L16" s="20" t="n">
        <v>0.0312467788</v>
      </c>
    </row>
    <row r="17" customFormat="false" ht="15" hidden="false" customHeight="false" outlineLevel="0" collapsed="false">
      <c r="A17" s="18" t="s">
        <v>826</v>
      </c>
      <c r="B17" s="19" t="n">
        <v>0</v>
      </c>
      <c r="C17" s="19" t="n">
        <v>0</v>
      </c>
      <c r="D17" s="19" t="n">
        <v>1478.8</v>
      </c>
      <c r="E17" s="19" t="n">
        <v>5152</v>
      </c>
      <c r="F17" s="19" t="n">
        <v>9540.8</v>
      </c>
      <c r="G17" s="19" t="n">
        <v>13834.2</v>
      </c>
      <c r="H17" s="19" t="n">
        <v>19558.6</v>
      </c>
      <c r="I17" s="19" t="n">
        <v>25283</v>
      </c>
      <c r="J17" s="19" t="n">
        <v>28335.8</v>
      </c>
      <c r="K17" s="19" t="n">
        <v>32915</v>
      </c>
      <c r="L17" s="20" t="n">
        <v>0.1542191819</v>
      </c>
    </row>
    <row r="18" customFormat="false" ht="15" hidden="false" customHeight="false" outlineLevel="0" collapsed="false">
      <c r="A18" s="18" t="s">
        <v>827</v>
      </c>
      <c r="B18" s="19" t="n">
        <v>0</v>
      </c>
      <c r="C18" s="19" t="n">
        <v>0</v>
      </c>
      <c r="D18" s="19" t="n">
        <v>90.4</v>
      </c>
      <c r="E18" s="19" t="n">
        <v>315</v>
      </c>
      <c r="F18" s="19" t="n">
        <v>583.4</v>
      </c>
      <c r="G18" s="19" t="n">
        <v>845.8</v>
      </c>
      <c r="H18" s="19" t="n">
        <v>1195.4</v>
      </c>
      <c r="I18" s="19" t="n">
        <v>1545</v>
      </c>
      <c r="J18" s="19" t="n">
        <v>1731.4</v>
      </c>
      <c r="K18" s="19" t="n">
        <v>2011</v>
      </c>
      <c r="L18" s="20" t="n">
        <v>0.009422293023</v>
      </c>
    </row>
    <row r="19" customFormat="false" ht="15" hidden="false" customHeight="false" outlineLevel="0" collapsed="false">
      <c r="A19" s="18" t="s">
        <v>828</v>
      </c>
      <c r="B19" s="19" t="n">
        <v>0</v>
      </c>
      <c r="C19" s="19" t="n">
        <v>0</v>
      </c>
      <c r="D19" s="19" t="n">
        <v>14.4</v>
      </c>
      <c r="E19" s="19" t="n">
        <v>50.2</v>
      </c>
      <c r="F19" s="19" t="n">
        <v>93</v>
      </c>
      <c r="G19" s="19" t="n">
        <v>135</v>
      </c>
      <c r="H19" s="19" t="n">
        <v>191</v>
      </c>
      <c r="I19" s="19" t="n">
        <v>247</v>
      </c>
      <c r="J19" s="19" t="n">
        <v>277</v>
      </c>
      <c r="K19" s="19" t="n">
        <v>322</v>
      </c>
      <c r="L19" s="20" t="n">
        <v>0.001508691374</v>
      </c>
    </row>
    <row r="20" customFormat="false" ht="15" hidden="false" customHeight="false" outlineLevel="0" collapsed="false">
      <c r="A20" s="18" t="s">
        <v>829</v>
      </c>
      <c r="B20" s="19" t="n">
        <v>0</v>
      </c>
      <c r="C20" s="19" t="n">
        <v>0</v>
      </c>
      <c r="D20" s="19" t="n">
        <v>31.8</v>
      </c>
      <c r="E20" s="19" t="n">
        <v>110.8</v>
      </c>
      <c r="F20" s="19" t="n">
        <v>205.2</v>
      </c>
      <c r="G20" s="19" t="n">
        <v>297.6</v>
      </c>
      <c r="H20" s="19" t="n">
        <v>420.8</v>
      </c>
      <c r="I20" s="19" t="n">
        <v>544</v>
      </c>
      <c r="J20" s="19" t="n">
        <v>609.6</v>
      </c>
      <c r="K20" s="19" t="n">
        <v>708</v>
      </c>
      <c r="L20" s="20" t="n">
        <v>0.003317246873</v>
      </c>
    </row>
    <row r="21" customFormat="false" ht="15" hidden="false" customHeight="false" outlineLevel="0" collapsed="false">
      <c r="A21" s="18" t="s">
        <v>830</v>
      </c>
      <c r="B21" s="19" t="n">
        <v>0</v>
      </c>
      <c r="C21" s="19" t="n">
        <v>0</v>
      </c>
      <c r="D21" s="19" t="n">
        <v>7</v>
      </c>
      <c r="E21" s="19" t="n">
        <v>24.4</v>
      </c>
      <c r="F21" s="19" t="n">
        <v>45.2</v>
      </c>
      <c r="G21" s="19" t="n">
        <v>65.4</v>
      </c>
      <c r="H21" s="19" t="n">
        <v>92.2</v>
      </c>
      <c r="I21" s="19" t="n">
        <v>119</v>
      </c>
      <c r="J21" s="19" t="n">
        <v>133.4</v>
      </c>
      <c r="K21" s="19" t="n">
        <v>155</v>
      </c>
      <c r="L21" s="20" t="n">
        <v>0.0007262334255</v>
      </c>
    </row>
    <row r="22" customFormat="false" ht="15" hidden="false" customHeight="false" outlineLevel="0" collapsed="false">
      <c r="A22" s="18" t="s">
        <v>831</v>
      </c>
      <c r="B22" s="19" t="n">
        <v>0</v>
      </c>
      <c r="C22" s="19" t="n">
        <v>0</v>
      </c>
      <c r="D22" s="19" t="n">
        <v>4.6</v>
      </c>
      <c r="E22" s="19" t="n">
        <v>16</v>
      </c>
      <c r="F22" s="19" t="n">
        <v>29.6</v>
      </c>
      <c r="G22" s="19" t="n">
        <v>42.8</v>
      </c>
      <c r="H22" s="19" t="n">
        <v>60.4</v>
      </c>
      <c r="I22" s="19" t="n">
        <v>78</v>
      </c>
      <c r="J22" s="19" t="n">
        <v>87.6</v>
      </c>
      <c r="K22" s="19" t="n">
        <v>102</v>
      </c>
      <c r="L22" s="20" t="n">
        <v>0.0004779084477</v>
      </c>
    </row>
    <row r="23" customFormat="false" ht="15" hidden="false" customHeight="false" outlineLevel="0" collapsed="false">
      <c r="A23" s="17" t="s">
        <v>832</v>
      </c>
      <c r="B23" s="21" t="n">
        <v>0</v>
      </c>
      <c r="C23" s="21" t="n">
        <v>0</v>
      </c>
      <c r="D23" s="21" t="n">
        <v>9589</v>
      </c>
      <c r="E23" s="21" t="n">
        <v>33407</v>
      </c>
      <c r="F23" s="21" t="n">
        <v>61865</v>
      </c>
      <c r="G23" s="21" t="n">
        <v>89704</v>
      </c>
      <c r="H23" s="21" t="n">
        <v>126822</v>
      </c>
      <c r="I23" s="21" t="n">
        <v>163940</v>
      </c>
      <c r="J23" s="21" t="n">
        <v>183736</v>
      </c>
      <c r="K23" s="21" t="n">
        <v>213430</v>
      </c>
      <c r="L23" s="22" t="n">
        <v>1</v>
      </c>
    </row>
    <row r="25" customFormat="false" ht="15" hidden="false" customHeight="false" outlineLevel="0" collapsed="false">
      <c r="A25" s="17" t="s">
        <v>5</v>
      </c>
    </row>
    <row r="26" customFormat="false" ht="15" hidden="false" customHeight="false" outlineLevel="0" collapsed="false">
      <c r="A26" s="17" t="s">
        <v>816</v>
      </c>
      <c r="B26" s="17" t="n">
        <v>2026</v>
      </c>
      <c r="C26" s="17" t="n">
        <v>2027</v>
      </c>
      <c r="D26" s="17" t="n">
        <v>2028</v>
      </c>
      <c r="E26" s="17" t="n">
        <v>2029</v>
      </c>
      <c r="F26" s="17" t="n">
        <v>2030</v>
      </c>
      <c r="G26" s="17" t="n">
        <v>2031</v>
      </c>
      <c r="H26" s="17" t="n">
        <v>2032</v>
      </c>
      <c r="I26" s="17" t="n">
        <v>2033</v>
      </c>
      <c r="J26" s="17" t="n">
        <v>2034</v>
      </c>
      <c r="K26" s="17" t="n">
        <v>2035</v>
      </c>
      <c r="L26" s="17" t="s">
        <v>817</v>
      </c>
    </row>
    <row r="27" customFormat="false" ht="15" hidden="false" customHeight="false" outlineLevel="0" collapsed="false">
      <c r="A27" s="18" t="s">
        <v>144</v>
      </c>
      <c r="B27" s="19" t="n">
        <v>3477.482124</v>
      </c>
      <c r="C27" s="19" t="n">
        <v>16970.58564</v>
      </c>
      <c r="D27" s="19" t="n">
        <v>30546.08951</v>
      </c>
      <c r="E27" s="19" t="n">
        <v>56048.31106</v>
      </c>
      <c r="F27" s="19" t="n">
        <v>84270.22613</v>
      </c>
      <c r="G27" s="19" t="n">
        <v>117407.8231</v>
      </c>
      <c r="H27" s="19" t="n">
        <v>147610.6356</v>
      </c>
      <c r="I27" s="19" t="n">
        <v>171404.3607</v>
      </c>
      <c r="J27" s="19" t="n">
        <v>183690.566</v>
      </c>
      <c r="K27" s="19" t="n">
        <v>196282.6907</v>
      </c>
      <c r="L27" s="20" t="n">
        <v>0.5277726064</v>
      </c>
    </row>
    <row r="28" customFormat="false" ht="15" hidden="false" customHeight="false" outlineLevel="0" collapsed="false">
      <c r="A28" s="18" t="s">
        <v>145</v>
      </c>
      <c r="B28" s="19" t="n">
        <v>329.9966675</v>
      </c>
      <c r="C28" s="19" t="n">
        <v>1287.414024</v>
      </c>
      <c r="D28" s="19" t="n">
        <v>2947.169216</v>
      </c>
      <c r="E28" s="19" t="n">
        <v>5426.043269</v>
      </c>
      <c r="F28" s="19" t="n">
        <v>7850.875806</v>
      </c>
      <c r="G28" s="19" t="n">
        <v>10423.94365</v>
      </c>
      <c r="H28" s="19" t="n">
        <v>12809.89571</v>
      </c>
      <c r="I28" s="19" t="n">
        <v>14263.06831</v>
      </c>
      <c r="J28" s="19" t="n">
        <v>15432.86983</v>
      </c>
      <c r="K28" s="19" t="n">
        <v>16620.76117</v>
      </c>
      <c r="L28" s="20" t="n">
        <v>0.04469055529</v>
      </c>
    </row>
    <row r="29" customFormat="false" ht="15" hidden="false" customHeight="false" outlineLevel="0" collapsed="false">
      <c r="A29" s="18" t="s">
        <v>146</v>
      </c>
      <c r="B29" s="19" t="n">
        <v>1950.394097</v>
      </c>
      <c r="C29" s="19" t="n">
        <v>7852.61852</v>
      </c>
      <c r="D29" s="19" t="n">
        <v>17775.85701</v>
      </c>
      <c r="E29" s="19" t="n">
        <v>33605.56835</v>
      </c>
      <c r="F29" s="19" t="n">
        <v>48407.57189</v>
      </c>
      <c r="G29" s="19" t="n">
        <v>64323.04276</v>
      </c>
      <c r="H29" s="19" t="n">
        <v>78721.10039</v>
      </c>
      <c r="I29" s="19" t="n">
        <v>87237.2124</v>
      </c>
      <c r="J29" s="19" t="n">
        <v>94103.66761</v>
      </c>
      <c r="K29" s="19" t="n">
        <v>101095.1762</v>
      </c>
      <c r="L29" s="20" t="n">
        <v>0.2718286797</v>
      </c>
    </row>
    <row r="30" customFormat="false" ht="15" hidden="false" customHeight="false" outlineLevel="0" collapsed="false">
      <c r="A30" s="18" t="s">
        <v>147</v>
      </c>
      <c r="B30" s="19" t="n">
        <v>118.3436325</v>
      </c>
      <c r="C30" s="19" t="n">
        <v>437.7165779</v>
      </c>
      <c r="D30" s="19" t="n">
        <v>1024.974821</v>
      </c>
      <c r="E30" s="19" t="n">
        <v>1960.409862</v>
      </c>
      <c r="F30" s="19" t="n">
        <v>2844.976846</v>
      </c>
      <c r="G30" s="19" t="n">
        <v>3810.390622</v>
      </c>
      <c r="H30" s="19" t="n">
        <v>4663.67807</v>
      </c>
      <c r="I30" s="19" t="n">
        <v>5164.514584</v>
      </c>
      <c r="J30" s="19" t="n">
        <v>5571.544328</v>
      </c>
      <c r="K30" s="19" t="n">
        <v>5985.950855</v>
      </c>
      <c r="L30" s="20" t="n">
        <v>0.01609525972</v>
      </c>
    </row>
    <row r="31" customFormat="false" ht="15" hidden="false" customHeight="false" outlineLevel="0" collapsed="false">
      <c r="A31" s="18" t="s">
        <v>544</v>
      </c>
      <c r="B31" s="19" t="n">
        <v>159.308736</v>
      </c>
      <c r="C31" s="19" t="n">
        <v>643.4235418</v>
      </c>
      <c r="D31" s="19" t="n">
        <v>1474.362741</v>
      </c>
      <c r="E31" s="19" t="n">
        <v>2766.451205</v>
      </c>
      <c r="F31" s="19" t="n">
        <v>3991.465221</v>
      </c>
      <c r="G31" s="19" t="n">
        <v>5335.75578</v>
      </c>
      <c r="H31" s="19" t="n">
        <v>6538.958887</v>
      </c>
      <c r="I31" s="19" t="n">
        <v>7269.819681</v>
      </c>
      <c r="J31" s="19" t="n">
        <v>7855.44139</v>
      </c>
      <c r="K31" s="19" t="n">
        <v>8450.814081</v>
      </c>
      <c r="L31" s="20" t="n">
        <v>0.02272288075</v>
      </c>
    </row>
    <row r="32" customFormat="false" ht="15" hidden="false" customHeight="false" outlineLevel="0" collapsed="false">
      <c r="A32" s="18" t="s">
        <v>545</v>
      </c>
      <c r="B32" s="19" t="n">
        <v>22.75839086</v>
      </c>
      <c r="C32" s="19" t="n">
        <v>161.315751</v>
      </c>
      <c r="D32" s="19" t="n">
        <v>316.6072761</v>
      </c>
      <c r="E32" s="19" t="n">
        <v>527.3946199</v>
      </c>
      <c r="F32" s="19" t="n">
        <v>743.7889463</v>
      </c>
      <c r="G32" s="19" t="n">
        <v>962.8743352</v>
      </c>
      <c r="H32" s="19" t="n">
        <v>1194.942207</v>
      </c>
      <c r="I32" s="19" t="n">
        <v>1351.617183</v>
      </c>
      <c r="J32" s="19" t="n">
        <v>1477.54886</v>
      </c>
      <c r="K32" s="19" t="n">
        <v>1604.441422</v>
      </c>
      <c r="L32" s="20" t="n">
        <v>0.0043140851</v>
      </c>
    </row>
    <row r="33" customFormat="false" ht="15" hidden="false" customHeight="false" outlineLevel="0" collapsed="false">
      <c r="A33" s="18" t="s">
        <v>833</v>
      </c>
      <c r="B33" s="19" t="n">
        <v>11.37919543</v>
      </c>
      <c r="C33" s="19" t="n">
        <v>83.22351964</v>
      </c>
      <c r="D33" s="19" t="n">
        <v>164.4638337</v>
      </c>
      <c r="E33" s="19" t="n">
        <v>281.3411453</v>
      </c>
      <c r="F33" s="19" t="n">
        <v>398.9025091</v>
      </c>
      <c r="G33" s="19" t="n">
        <v>514.5272844</v>
      </c>
      <c r="H33" s="19" t="n">
        <v>629.0655051</v>
      </c>
      <c r="I33" s="19" t="n">
        <v>711.1780237</v>
      </c>
      <c r="J33" s="19" t="n">
        <v>773.4109798</v>
      </c>
      <c r="K33" s="19" t="n">
        <v>836.3508051</v>
      </c>
      <c r="L33" s="20" t="n">
        <v>0.002248812887</v>
      </c>
    </row>
    <row r="34" customFormat="false" ht="15" hidden="false" customHeight="false" outlineLevel="0" collapsed="false">
      <c r="A34" s="18" t="s">
        <v>547</v>
      </c>
      <c r="B34" s="19" t="n">
        <v>6.827517259</v>
      </c>
      <c r="C34" s="19" t="n">
        <v>47.07311209</v>
      </c>
      <c r="D34" s="19" t="n">
        <v>88.88967623</v>
      </c>
      <c r="E34" s="19" t="n">
        <v>159.5024913</v>
      </c>
      <c r="F34" s="19" t="n">
        <v>219.7962019</v>
      </c>
      <c r="G34" s="19" t="n">
        <v>291.8698531</v>
      </c>
      <c r="H34" s="19" t="n">
        <v>368.8441692</v>
      </c>
      <c r="I34" s="19" t="n">
        <v>408.4089531</v>
      </c>
      <c r="J34" s="19" t="n">
        <v>445.7819443</v>
      </c>
      <c r="K34" s="19" t="n">
        <v>483.4792034</v>
      </c>
      <c r="L34" s="20" t="n">
        <v>0.001299997867</v>
      </c>
    </row>
    <row r="35" customFormat="false" ht="15" hidden="false" customHeight="false" outlineLevel="0" collapsed="false">
      <c r="A35" s="18" t="s">
        <v>834</v>
      </c>
      <c r="B35" s="19" t="n">
        <v>81.93020711</v>
      </c>
      <c r="C35" s="19" t="n">
        <v>335.3988553</v>
      </c>
      <c r="D35" s="19" t="n">
        <v>746.5983521</v>
      </c>
      <c r="E35" s="19" t="n">
        <v>1358.899837</v>
      </c>
      <c r="F35" s="19" t="n">
        <v>1961.125522</v>
      </c>
      <c r="G35" s="19" t="n">
        <v>2598.541412</v>
      </c>
      <c r="H35" s="19" t="n">
        <v>3197.263477</v>
      </c>
      <c r="I35" s="19" t="n">
        <v>3578.539452</v>
      </c>
      <c r="J35" s="19" t="n">
        <v>3870.747997</v>
      </c>
      <c r="K35" s="19" t="n">
        <v>4167.559622</v>
      </c>
      <c r="L35" s="20" t="n">
        <v>0.01120589796</v>
      </c>
    </row>
    <row r="36" customFormat="false" ht="15" hidden="false" customHeight="false" outlineLevel="0" collapsed="false">
      <c r="A36" s="18" t="s">
        <v>549</v>
      </c>
      <c r="B36" s="19" t="n">
        <v>450.6161391</v>
      </c>
      <c r="C36" s="19" t="n">
        <v>1697.18149</v>
      </c>
      <c r="D36" s="19" t="n">
        <v>3955.196858</v>
      </c>
      <c r="E36" s="19" t="n">
        <v>7561.26033</v>
      </c>
      <c r="F36" s="19" t="n">
        <v>10920.14481</v>
      </c>
      <c r="G36" s="19" t="n">
        <v>14514.88522</v>
      </c>
      <c r="H36" s="19" t="n">
        <v>17746.49927</v>
      </c>
      <c r="I36" s="19" t="n">
        <v>19617.20546</v>
      </c>
      <c r="J36" s="19" t="n">
        <v>21161.80625</v>
      </c>
      <c r="K36" s="19" t="n">
        <v>22734.50171</v>
      </c>
      <c r="L36" s="20" t="n">
        <v>0.06112942093</v>
      </c>
    </row>
    <row r="37" customFormat="false" ht="15" hidden="false" customHeight="false" outlineLevel="0" collapsed="false">
      <c r="A37" s="18" t="s">
        <v>550</v>
      </c>
      <c r="B37" s="19" t="n">
        <v>125.1711497</v>
      </c>
      <c r="C37" s="19" t="n">
        <v>643.6303708</v>
      </c>
      <c r="D37" s="19" t="n">
        <v>1375.626719</v>
      </c>
      <c r="E37" s="19" t="n">
        <v>2460.284265</v>
      </c>
      <c r="F37" s="19" t="n">
        <v>3545.257683</v>
      </c>
      <c r="G37" s="19" t="n">
        <v>4723.461784</v>
      </c>
      <c r="H37" s="19" t="n">
        <v>5853.905178</v>
      </c>
      <c r="I37" s="19" t="n">
        <v>6608.459909</v>
      </c>
      <c r="J37" s="19" t="n">
        <v>7185.708397</v>
      </c>
      <c r="K37" s="19" t="n">
        <v>7769.577127</v>
      </c>
      <c r="L37" s="20" t="n">
        <v>0.02089114408</v>
      </c>
    </row>
    <row r="38" customFormat="false" ht="15" hidden="false" customHeight="false" outlineLevel="0" collapsed="false">
      <c r="A38" s="18" t="s">
        <v>835</v>
      </c>
      <c r="B38" s="19" t="n">
        <v>18.20671269</v>
      </c>
      <c r="C38" s="19" t="n">
        <v>112.0751219</v>
      </c>
      <c r="D38" s="19" t="n">
        <v>230.8540412</v>
      </c>
      <c r="E38" s="19" t="n">
        <v>400.7153345</v>
      </c>
      <c r="F38" s="19" t="n">
        <v>574.5077895</v>
      </c>
      <c r="G38" s="19" t="n">
        <v>754.3456228</v>
      </c>
      <c r="H38" s="19" t="n">
        <v>944.8488404</v>
      </c>
      <c r="I38" s="19" t="n">
        <v>1072.234671</v>
      </c>
      <c r="J38" s="19" t="n">
        <v>1171.695753</v>
      </c>
      <c r="K38" s="19" t="n">
        <v>1271.941099</v>
      </c>
      <c r="L38" s="20" t="n">
        <v>0.003420045173</v>
      </c>
    </row>
    <row r="39" customFormat="false" ht="15" hidden="false" customHeight="false" outlineLevel="0" collapsed="false">
      <c r="A39" s="18" t="s">
        <v>552</v>
      </c>
      <c r="B39" s="19" t="n">
        <v>6.827517259</v>
      </c>
      <c r="C39" s="19" t="n">
        <v>47.07311209</v>
      </c>
      <c r="D39" s="19" t="n">
        <v>88.88967623</v>
      </c>
      <c r="E39" s="19" t="n">
        <v>148.2791824</v>
      </c>
      <c r="F39" s="19" t="n">
        <v>205.2260532</v>
      </c>
      <c r="G39" s="19" t="n">
        <v>255.765145</v>
      </c>
      <c r="H39" s="19" t="n">
        <v>328.4179018</v>
      </c>
      <c r="I39" s="19" t="n">
        <v>366.9080713</v>
      </c>
      <c r="J39" s="19" t="n">
        <v>401.6817071</v>
      </c>
      <c r="K39" s="19" t="n">
        <v>436.6867823</v>
      </c>
      <c r="L39" s="20" t="n">
        <v>0.001174180568</v>
      </c>
    </row>
    <row r="40" customFormat="false" ht="15" hidden="false" customHeight="false" outlineLevel="0" collapsed="false">
      <c r="A40" s="18" t="s">
        <v>818</v>
      </c>
      <c r="B40" s="19" t="n">
        <v>17.63775292</v>
      </c>
      <c r="C40" s="19" t="n">
        <v>85.9878194</v>
      </c>
      <c r="D40" s="19" t="n">
        <v>186.8695673</v>
      </c>
      <c r="E40" s="19" t="n">
        <v>336.5836208</v>
      </c>
      <c r="F40" s="19" t="n">
        <v>484.1325977</v>
      </c>
      <c r="G40" s="19" t="n">
        <v>643.2203854</v>
      </c>
      <c r="H40" s="19" t="n">
        <v>792.4317423</v>
      </c>
      <c r="I40" s="19" t="n">
        <v>889.677707</v>
      </c>
      <c r="J40" s="19" t="n">
        <v>965.3111095</v>
      </c>
      <c r="K40" s="19" t="n">
        <v>1041.939702</v>
      </c>
      <c r="L40" s="20" t="n">
        <v>0.002801608385</v>
      </c>
    </row>
    <row r="41" customFormat="false" ht="15" hidden="false" customHeight="false" outlineLevel="0" collapsed="false">
      <c r="A41" s="18" t="s">
        <v>819</v>
      </c>
      <c r="B41" s="19" t="n">
        <v>38.80305642</v>
      </c>
      <c r="C41" s="19" t="n">
        <v>189.1732027</v>
      </c>
      <c r="D41" s="19" t="n">
        <v>411.113048</v>
      </c>
      <c r="E41" s="19" t="n">
        <v>740.4839657</v>
      </c>
      <c r="F41" s="19" t="n">
        <v>1065.091715</v>
      </c>
      <c r="G41" s="19" t="n">
        <v>1415.084848</v>
      </c>
      <c r="H41" s="19" t="n">
        <v>1743.349833</v>
      </c>
      <c r="I41" s="19" t="n">
        <v>1957.290955</v>
      </c>
      <c r="J41" s="19" t="n">
        <v>2123.684441</v>
      </c>
      <c r="K41" s="19" t="n">
        <v>2292.267343</v>
      </c>
      <c r="L41" s="20" t="n">
        <v>0.006163538446</v>
      </c>
    </row>
    <row r="42" customFormat="false" ht="15" hidden="false" customHeight="false" outlineLevel="0" collapsed="false">
      <c r="A42" s="18" t="s">
        <v>820</v>
      </c>
      <c r="B42" s="19" t="n">
        <v>8.466121401</v>
      </c>
      <c r="C42" s="19" t="n">
        <v>41.27415331</v>
      </c>
      <c r="D42" s="19" t="n">
        <v>89.69739229</v>
      </c>
      <c r="E42" s="19" t="n">
        <v>161.560138</v>
      </c>
      <c r="F42" s="19" t="n">
        <v>232.3836469</v>
      </c>
      <c r="G42" s="19" t="n">
        <v>308.745785</v>
      </c>
      <c r="H42" s="19" t="n">
        <v>380.3672363</v>
      </c>
      <c r="I42" s="19" t="n">
        <v>427.0452993</v>
      </c>
      <c r="J42" s="19" t="n">
        <v>463.3493326</v>
      </c>
      <c r="K42" s="19" t="n">
        <v>500.1310567</v>
      </c>
      <c r="L42" s="20" t="n">
        <v>0.001344772025</v>
      </c>
    </row>
    <row r="43" customFormat="false" ht="15" hidden="false" customHeight="false" outlineLevel="0" collapsed="false">
      <c r="A43" s="18" t="s">
        <v>821</v>
      </c>
      <c r="B43" s="19" t="n">
        <v>5.644080934</v>
      </c>
      <c r="C43" s="19" t="n">
        <v>27.51610221</v>
      </c>
      <c r="D43" s="19" t="n">
        <v>59.79826153</v>
      </c>
      <c r="E43" s="19" t="n">
        <v>107.7067586</v>
      </c>
      <c r="F43" s="19" t="n">
        <v>154.9224313</v>
      </c>
      <c r="G43" s="19" t="n">
        <v>205.8305233</v>
      </c>
      <c r="H43" s="19" t="n">
        <v>253.5781575</v>
      </c>
      <c r="I43" s="19" t="n">
        <v>284.6968662</v>
      </c>
      <c r="J43" s="19" t="n">
        <v>308.899555</v>
      </c>
      <c r="K43" s="19" t="n">
        <v>333.4207045</v>
      </c>
      <c r="L43" s="20" t="n">
        <v>0.0008965146831</v>
      </c>
    </row>
    <row r="44" customFormat="false" ht="15" hidden="false" customHeight="false" outlineLevel="0" collapsed="false">
      <c r="A44" s="17" t="s">
        <v>836</v>
      </c>
      <c r="B44" s="21" t="n">
        <v>6829.793098</v>
      </c>
      <c r="C44" s="21" t="n">
        <v>30662.68091</v>
      </c>
      <c r="D44" s="21" t="n">
        <v>61483.058</v>
      </c>
      <c r="E44" s="21" t="n">
        <v>114050.7954</v>
      </c>
      <c r="F44" s="21" t="n">
        <v>167870.3958</v>
      </c>
      <c r="G44" s="21" t="n">
        <v>228490.1081</v>
      </c>
      <c r="H44" s="21" t="n">
        <v>283777.7821</v>
      </c>
      <c r="I44" s="21" t="n">
        <v>322612.2382</v>
      </c>
      <c r="J44" s="21" t="n">
        <v>347003.7155</v>
      </c>
      <c r="K44" s="21" t="n">
        <v>371907.6896</v>
      </c>
      <c r="L44" s="22" t="n">
        <v>1</v>
      </c>
    </row>
    <row r="46" customFormat="false" ht="15" hidden="false" customHeight="false" outlineLevel="0" collapsed="false">
      <c r="A46" s="17" t="s">
        <v>837</v>
      </c>
    </row>
    <row r="47" customFormat="false" ht="15" hidden="false" customHeight="false" outlineLevel="0" collapsed="false">
      <c r="A47" s="17" t="s">
        <v>816</v>
      </c>
      <c r="B47" s="17" t="n">
        <v>2026</v>
      </c>
      <c r="C47" s="17" t="n">
        <v>2027</v>
      </c>
      <c r="D47" s="17" t="n">
        <v>2028</v>
      </c>
      <c r="E47" s="17" t="n">
        <v>2029</v>
      </c>
      <c r="F47" s="17" t="n">
        <v>2030</v>
      </c>
      <c r="G47" s="17" t="n">
        <v>2031</v>
      </c>
      <c r="H47" s="17" t="n">
        <v>2032</v>
      </c>
      <c r="I47" s="17" t="n">
        <v>2033</v>
      </c>
      <c r="J47" s="17" t="n">
        <v>2034</v>
      </c>
      <c r="K47" s="17" t="n">
        <v>2035</v>
      </c>
      <c r="L47" s="17" t="s">
        <v>817</v>
      </c>
    </row>
    <row r="48" customFormat="false" ht="15" hidden="false" customHeight="false" outlineLevel="0" collapsed="false">
      <c r="A48" s="18" t="s">
        <v>544</v>
      </c>
      <c r="B48" s="19" t="n">
        <v>175.6079593</v>
      </c>
      <c r="C48" s="19" t="n">
        <v>320.3906115</v>
      </c>
      <c r="D48" s="19" t="n">
        <v>436.5887807</v>
      </c>
      <c r="E48" s="19" t="n">
        <v>602.2865757</v>
      </c>
      <c r="F48" s="19" t="n">
        <v>974.7593754</v>
      </c>
      <c r="G48" s="19" t="n">
        <v>1370.081328</v>
      </c>
      <c r="H48" s="19" t="n">
        <v>1767.18337</v>
      </c>
      <c r="I48" s="19" t="n">
        <v>2188.466718</v>
      </c>
      <c r="J48" s="19" t="n">
        <v>2536.343254</v>
      </c>
      <c r="K48" s="19" t="n">
        <v>2904.897406</v>
      </c>
      <c r="L48" s="20" t="n">
        <v>0.1612887482</v>
      </c>
    </row>
    <row r="49" customFormat="false" ht="15" hidden="false" customHeight="false" outlineLevel="0" collapsed="false">
      <c r="A49" s="18" t="s">
        <v>545</v>
      </c>
      <c r="B49" s="19" t="n">
        <v>99.50178533</v>
      </c>
      <c r="C49" s="19" t="n">
        <v>159.8868424</v>
      </c>
      <c r="D49" s="19" t="n">
        <v>193.4151498</v>
      </c>
      <c r="E49" s="19" t="n">
        <v>247.8822329</v>
      </c>
      <c r="F49" s="19" t="n">
        <v>360.2676432</v>
      </c>
      <c r="G49" s="19" t="n">
        <v>447.8696133</v>
      </c>
      <c r="H49" s="19" t="n">
        <v>573.9459793</v>
      </c>
      <c r="I49" s="19" t="n">
        <v>711.731345</v>
      </c>
      <c r="J49" s="19" t="n">
        <v>836.044561</v>
      </c>
      <c r="K49" s="19" t="n">
        <v>970.7041311</v>
      </c>
      <c r="L49" s="20" t="n">
        <v>0.05389644876</v>
      </c>
    </row>
    <row r="50" customFormat="false" ht="15" hidden="false" customHeight="false" outlineLevel="0" collapsed="false">
      <c r="A50" s="18" t="s">
        <v>833</v>
      </c>
      <c r="B50" s="19" t="n">
        <v>42.64362229</v>
      </c>
      <c r="C50" s="19" t="n">
        <v>68.52293247</v>
      </c>
      <c r="D50" s="19" t="n">
        <v>82.89220707</v>
      </c>
      <c r="E50" s="19" t="n">
        <v>106.2352427</v>
      </c>
      <c r="F50" s="19" t="n">
        <v>154.4004185</v>
      </c>
      <c r="G50" s="19" t="n">
        <v>191.94412</v>
      </c>
      <c r="H50" s="19" t="n">
        <v>245.9768483</v>
      </c>
      <c r="I50" s="19" t="n">
        <v>305.0277193</v>
      </c>
      <c r="J50" s="19" t="n">
        <v>358.3048119</v>
      </c>
      <c r="K50" s="19" t="n">
        <v>416.0160562</v>
      </c>
      <c r="L50" s="20" t="n">
        <v>0.02309847804</v>
      </c>
    </row>
    <row r="51" customFormat="false" ht="15" hidden="false" customHeight="false" outlineLevel="0" collapsed="false">
      <c r="A51" s="18" t="s">
        <v>547</v>
      </c>
      <c r="B51" s="19" t="n">
        <v>28.42908152</v>
      </c>
      <c r="C51" s="19" t="n">
        <v>45.68195498</v>
      </c>
      <c r="D51" s="19" t="n">
        <v>55.26147138</v>
      </c>
      <c r="E51" s="19" t="n">
        <v>70.82349512</v>
      </c>
      <c r="F51" s="19" t="n">
        <v>102.9336123</v>
      </c>
      <c r="G51" s="19" t="n">
        <v>127.9627467</v>
      </c>
      <c r="H51" s="19" t="n">
        <v>163.9845655</v>
      </c>
      <c r="I51" s="19" t="n">
        <v>203.3518129</v>
      </c>
      <c r="J51" s="19" t="n">
        <v>238.8698746</v>
      </c>
      <c r="K51" s="19" t="n">
        <v>277.3440374</v>
      </c>
      <c r="L51" s="20" t="n">
        <v>0.01539898536</v>
      </c>
    </row>
    <row r="52" customFormat="false" ht="15" hidden="false" customHeight="false" outlineLevel="0" collapsed="false">
      <c r="A52" s="18" t="s">
        <v>834</v>
      </c>
      <c r="B52" s="19" t="n">
        <v>100.6111337</v>
      </c>
      <c r="C52" s="19" t="n">
        <v>188.8972271</v>
      </c>
      <c r="D52" s="19" t="n">
        <v>248.9891832</v>
      </c>
      <c r="E52" s="19" t="n">
        <v>348.413746</v>
      </c>
      <c r="F52" s="19" t="n">
        <v>546.1766841</v>
      </c>
      <c r="G52" s="19" t="n">
        <v>751.8580799</v>
      </c>
      <c r="H52" s="19" t="n">
        <v>960.0471253</v>
      </c>
      <c r="I52" s="19" t="n">
        <v>1191.419103</v>
      </c>
      <c r="J52" s="19" t="n">
        <v>1409.930374</v>
      </c>
      <c r="K52" s="19" t="n">
        <v>1649.135599</v>
      </c>
      <c r="L52" s="20" t="n">
        <v>0.0915650294</v>
      </c>
    </row>
    <row r="53" customFormat="false" ht="15" hidden="false" customHeight="false" outlineLevel="0" collapsed="false">
      <c r="A53" s="18" t="s">
        <v>549</v>
      </c>
      <c r="B53" s="19" t="n">
        <v>421.9843726</v>
      </c>
      <c r="C53" s="19" t="n">
        <v>772.3206222</v>
      </c>
      <c r="D53" s="19" t="n">
        <v>1066.363722</v>
      </c>
      <c r="E53" s="19" t="n">
        <v>1474.963344</v>
      </c>
      <c r="F53" s="19" t="n">
        <v>2394.644883</v>
      </c>
      <c r="G53" s="19" t="n">
        <v>3311.547454</v>
      </c>
      <c r="H53" s="19" t="n">
        <v>4274.187843</v>
      </c>
      <c r="I53" s="19" t="n">
        <v>5292.394724</v>
      </c>
      <c r="J53" s="19" t="n">
        <v>6125.204809</v>
      </c>
      <c r="K53" s="19" t="n">
        <v>7005.27737</v>
      </c>
      <c r="L53" s="20" t="n">
        <v>0.3889543279</v>
      </c>
    </row>
    <row r="54" customFormat="false" ht="15" hidden="false" customHeight="false" outlineLevel="0" collapsed="false">
      <c r="A54" s="18" t="s">
        <v>550</v>
      </c>
      <c r="B54" s="19" t="n">
        <v>284.0395051</v>
      </c>
      <c r="C54" s="19" t="n">
        <v>489.4529733</v>
      </c>
      <c r="D54" s="19" t="n">
        <v>625.4306114</v>
      </c>
      <c r="E54" s="19" t="n">
        <v>836.9518675</v>
      </c>
      <c r="F54" s="19" t="n">
        <v>1289.143315</v>
      </c>
      <c r="G54" s="19" t="n">
        <v>1751.735715</v>
      </c>
      <c r="H54" s="19" t="n">
        <v>2250.247068</v>
      </c>
      <c r="I54" s="19" t="n">
        <v>2789.059394</v>
      </c>
      <c r="J54" s="19" t="n">
        <v>3259.974804</v>
      </c>
      <c r="K54" s="19" t="n">
        <v>3766.175472</v>
      </c>
      <c r="L54" s="20" t="n">
        <v>0.2091095287</v>
      </c>
    </row>
    <row r="55" customFormat="false" ht="15" hidden="false" customHeight="false" outlineLevel="0" collapsed="false">
      <c r="A55" s="23" t="s">
        <v>835</v>
      </c>
      <c r="B55" s="19" t="n">
        <v>58.85960407</v>
      </c>
      <c r="C55" s="19" t="n">
        <v>100.2618958</v>
      </c>
      <c r="D55" s="19" t="n">
        <v>126.5296618</v>
      </c>
      <c r="E55" s="19" t="n">
        <v>167.8179923</v>
      </c>
      <c r="F55" s="19" t="n">
        <v>256.5901403</v>
      </c>
      <c r="G55" s="19" t="n">
        <v>346.1145766</v>
      </c>
      <c r="H55" s="19" t="n">
        <v>444.6989087</v>
      </c>
      <c r="I55" s="19" t="n">
        <v>551.1578445</v>
      </c>
      <c r="J55" s="19" t="n">
        <v>643.9574165</v>
      </c>
      <c r="K55" s="19" t="n">
        <v>743.6456074</v>
      </c>
      <c r="L55" s="20" t="n">
        <v>0.04128946823</v>
      </c>
    </row>
    <row r="56" customFormat="false" ht="15" hidden="false" customHeight="false" outlineLevel="0" collapsed="false">
      <c r="A56" s="23" t="s">
        <v>552</v>
      </c>
      <c r="B56" s="19" t="n">
        <v>28.42908152</v>
      </c>
      <c r="C56" s="19" t="n">
        <v>45.68195498</v>
      </c>
      <c r="D56" s="19" t="n">
        <v>55.26147138</v>
      </c>
      <c r="E56" s="19" t="n">
        <v>70.82349512</v>
      </c>
      <c r="F56" s="19" t="n">
        <v>102.9336123</v>
      </c>
      <c r="G56" s="19" t="n">
        <v>127.9627467</v>
      </c>
      <c r="H56" s="19" t="n">
        <v>163.9845655</v>
      </c>
      <c r="I56" s="19" t="n">
        <v>203.3518129</v>
      </c>
      <c r="J56" s="19" t="n">
        <v>238.8698746</v>
      </c>
      <c r="K56" s="19" t="n">
        <v>277.3440374</v>
      </c>
      <c r="L56" s="20" t="n">
        <v>0.01539898536</v>
      </c>
    </row>
    <row r="57" customFormat="false" ht="15" hidden="false" customHeight="false" outlineLevel="0" collapsed="false">
      <c r="A57" s="17" t="s">
        <v>838</v>
      </c>
      <c r="B57" s="21" t="n">
        <v>1240.106145</v>
      </c>
      <c r="C57" s="21" t="n">
        <v>2191.097015</v>
      </c>
      <c r="D57" s="21" t="n">
        <v>2890.732259</v>
      </c>
      <c r="E57" s="21" t="n">
        <v>3926.197991</v>
      </c>
      <c r="F57" s="21" t="n">
        <v>6181.849685</v>
      </c>
      <c r="G57" s="21" t="n">
        <v>8427.076381</v>
      </c>
      <c r="H57" s="21" t="n">
        <v>10844.25627</v>
      </c>
      <c r="I57" s="21" t="n">
        <v>13435.96047</v>
      </c>
      <c r="J57" s="21" t="n">
        <v>15647.49978</v>
      </c>
      <c r="K57" s="21" t="n">
        <v>18010.53972</v>
      </c>
      <c r="L57" s="22" t="n">
        <v>1</v>
      </c>
    </row>
    <row r="59" customFormat="false" ht="15" hidden="false" customHeight="false" outlineLevel="0" collapsed="false">
      <c r="A59" s="17" t="s">
        <v>839</v>
      </c>
    </row>
    <row r="60" customFormat="false" ht="15" hidden="false" customHeight="false" outlineLevel="0" collapsed="false">
      <c r="A60" s="17" t="s">
        <v>840</v>
      </c>
      <c r="B60" s="17" t="n">
        <v>2026</v>
      </c>
      <c r="C60" s="17" t="n">
        <v>2027</v>
      </c>
      <c r="D60" s="17" t="n">
        <v>2028</v>
      </c>
      <c r="E60" s="17" t="n">
        <v>2029</v>
      </c>
      <c r="F60" s="17" t="n">
        <v>2030</v>
      </c>
      <c r="G60" s="17" t="n">
        <v>2031</v>
      </c>
      <c r="H60" s="17" t="n">
        <v>2032</v>
      </c>
      <c r="I60" s="17" t="n">
        <v>2033</v>
      </c>
      <c r="J60" s="17" t="n">
        <v>2034</v>
      </c>
      <c r="K60" s="17" t="n">
        <v>2035</v>
      </c>
      <c r="L60" s="17" t="s">
        <v>841</v>
      </c>
      <c r="M60" s="17" t="s">
        <v>842</v>
      </c>
      <c r="N60" s="17" t="s">
        <v>843</v>
      </c>
      <c r="O60" s="17" t="s">
        <v>844</v>
      </c>
      <c r="P60" s="17" t="s">
        <v>845</v>
      </c>
      <c r="Q60" s="17" t="s">
        <v>846</v>
      </c>
      <c r="R60" s="17" t="s">
        <v>847</v>
      </c>
      <c r="S60" s="17" t="s">
        <v>848</v>
      </c>
      <c r="T60" s="17" t="s">
        <v>849</v>
      </c>
      <c r="U60" s="17" t="s">
        <v>850</v>
      </c>
      <c r="V60" s="17" t="s">
        <v>851</v>
      </c>
    </row>
    <row r="61" customFormat="false" ht="15" hidden="false" customHeight="false" outlineLevel="0" collapsed="false">
      <c r="A61" s="19" t="s">
        <v>852</v>
      </c>
      <c r="B61" s="19" t="n">
        <v>372.5578681</v>
      </c>
      <c r="C61" s="19" t="n">
        <v>1662.24271</v>
      </c>
      <c r="D61" s="19" t="n">
        <v>3313.049363</v>
      </c>
      <c r="E61" s="19" t="n">
        <v>6110.276863</v>
      </c>
      <c r="F61" s="19" t="n">
        <v>8944.56445</v>
      </c>
      <c r="G61" s="19" t="n">
        <v>12112.06552</v>
      </c>
      <c r="H61" s="19" t="n">
        <v>14971.75851</v>
      </c>
      <c r="I61" s="19" t="n">
        <v>16948.14182</v>
      </c>
      <c r="J61" s="19" t="n">
        <v>18162.04352</v>
      </c>
      <c r="K61" s="19" t="n">
        <v>19406.04652</v>
      </c>
      <c r="L61" s="20" t="n">
        <v>0.0545489245</v>
      </c>
      <c r="M61" s="20" t="n">
        <v>0.05421061239</v>
      </c>
      <c r="N61" s="20" t="n">
        <v>0.05388556572</v>
      </c>
      <c r="O61" s="20" t="n">
        <v>0.0535750482</v>
      </c>
      <c r="P61" s="20" t="n">
        <v>0.05328256008</v>
      </c>
      <c r="Q61" s="20" t="n">
        <v>0.0530091461</v>
      </c>
      <c r="R61" s="20" t="n">
        <v>0.05275874102</v>
      </c>
      <c r="S61" s="20" t="n">
        <v>0.05253409453</v>
      </c>
      <c r="T61" s="20" t="n">
        <v>0.05233962263</v>
      </c>
      <c r="U61" s="20" t="n">
        <v>0.05217973992</v>
      </c>
      <c r="V61" s="24" t="n">
        <v>0.3848886263</v>
      </c>
    </row>
    <row r="62" customFormat="false" ht="15" hidden="false" customHeight="false" outlineLevel="0" collapsed="false">
      <c r="A62" s="19" t="s">
        <v>853</v>
      </c>
      <c r="B62" s="19" t="n">
        <v>528.0264245</v>
      </c>
      <c r="C62" s="19" t="n">
        <v>2376.820601</v>
      </c>
      <c r="D62" s="19" t="n">
        <v>4779.184318</v>
      </c>
      <c r="E62" s="19" t="n">
        <v>8891.842726</v>
      </c>
      <c r="F62" s="19" t="n">
        <v>13129.92165</v>
      </c>
      <c r="G62" s="19" t="n">
        <v>17933.54836</v>
      </c>
      <c r="H62" s="19" t="n">
        <v>22357.66155</v>
      </c>
      <c r="I62" s="19" t="n">
        <v>25523.28074</v>
      </c>
      <c r="J62" s="19" t="n">
        <v>27579.27179</v>
      </c>
      <c r="K62" s="19" t="n">
        <v>29709.33113</v>
      </c>
      <c r="L62" s="20" t="n">
        <v>0.07731221384</v>
      </c>
      <c r="M62" s="20" t="n">
        <v>0.07751509424</v>
      </c>
      <c r="N62" s="20" t="n">
        <v>0.07773172762</v>
      </c>
      <c r="O62" s="20" t="n">
        <v>0.07796388173</v>
      </c>
      <c r="P62" s="20" t="n">
        <v>0.07821463451</v>
      </c>
      <c r="Q62" s="20" t="n">
        <v>0.07848719801</v>
      </c>
      <c r="R62" s="20" t="n">
        <v>0.07878580691</v>
      </c>
      <c r="S62" s="20" t="n">
        <v>0.07911442193</v>
      </c>
      <c r="T62" s="20" t="n">
        <v>0.0794783184</v>
      </c>
      <c r="U62" s="20" t="n">
        <v>0.07988361617</v>
      </c>
      <c r="V62" s="17" t="s">
        <v>854</v>
      </c>
    </row>
    <row r="63" customFormat="false" ht="15" hidden="false" customHeight="false" outlineLevel="0" collapsed="false">
      <c r="A63" s="19" t="s">
        <v>855</v>
      </c>
      <c r="B63" s="19" t="n">
        <v>415.7960908</v>
      </c>
      <c r="C63" s="19" t="n">
        <v>1860.58443</v>
      </c>
      <c r="D63" s="19" t="n">
        <v>3719.281371</v>
      </c>
      <c r="E63" s="19" t="n">
        <v>6879.802354</v>
      </c>
      <c r="F63" s="19" t="n">
        <v>10100.91475</v>
      </c>
      <c r="G63" s="19" t="n">
        <v>13718.7249</v>
      </c>
      <c r="H63" s="19" t="n">
        <v>17008.50253</v>
      </c>
      <c r="I63" s="19" t="n">
        <v>19311.75536</v>
      </c>
      <c r="J63" s="19" t="n">
        <v>20757.43519</v>
      </c>
      <c r="K63" s="19" t="n">
        <v>22246.50863</v>
      </c>
      <c r="L63" s="20" t="n">
        <v>0.06087974919</v>
      </c>
      <c r="M63" s="20" t="n">
        <v>0.06067911789</v>
      </c>
      <c r="N63" s="20" t="n">
        <v>0.06049278438</v>
      </c>
      <c r="O63" s="20" t="n">
        <v>0.06032226542</v>
      </c>
      <c r="P63" s="20" t="n">
        <v>0.06017091164</v>
      </c>
      <c r="Q63" s="20" t="n">
        <v>0.06004078256</v>
      </c>
      <c r="R63" s="20" t="n">
        <v>0.05993599077</v>
      </c>
      <c r="S63" s="20" t="n">
        <v>0.05986057895</v>
      </c>
      <c r="T63" s="20" t="n">
        <v>0.05981905743</v>
      </c>
      <c r="U63" s="20" t="n">
        <v>0.05981728598</v>
      </c>
      <c r="V63" s="24" t="n">
        <v>0.6151113737</v>
      </c>
    </row>
    <row r="64" customFormat="false" ht="15" hidden="false" customHeight="false" outlineLevel="0" collapsed="false">
      <c r="A64" s="19" t="s">
        <v>856</v>
      </c>
      <c r="B64" s="19" t="n">
        <v>441.4477156</v>
      </c>
      <c r="C64" s="19" t="n">
        <v>1978.434974</v>
      </c>
      <c r="D64" s="19" t="n">
        <v>3960.259954</v>
      </c>
      <c r="E64" s="19" t="n">
        <v>7334.101502</v>
      </c>
      <c r="F64" s="19" t="n">
        <v>10777.69972</v>
      </c>
      <c r="G64" s="19" t="n">
        <v>14647.07918</v>
      </c>
      <c r="H64" s="19" t="n">
        <v>18164.61357</v>
      </c>
      <c r="I64" s="19" t="n">
        <v>20621.86791</v>
      </c>
      <c r="J64" s="19" t="n">
        <v>22152.69484</v>
      </c>
      <c r="K64" s="19" t="n">
        <v>23714.72031</v>
      </c>
      <c r="L64" s="20" t="n">
        <v>0.06463559134</v>
      </c>
      <c r="M64" s="20" t="n">
        <v>0.06452256993</v>
      </c>
      <c r="N64" s="20" t="n">
        <v>0.06441221504</v>
      </c>
      <c r="O64" s="20" t="n">
        <v>0.06430557081</v>
      </c>
      <c r="P64" s="20" t="n">
        <v>0.06420250377</v>
      </c>
      <c r="Q64" s="20" t="n">
        <v>0.06410377808</v>
      </c>
      <c r="R64" s="20" t="n">
        <v>0.06400999202</v>
      </c>
      <c r="S64" s="20" t="n">
        <v>0.06392153014</v>
      </c>
      <c r="T64" s="20" t="n">
        <v>0.06383993555</v>
      </c>
      <c r="U64" s="20" t="n">
        <v>0.0637650712</v>
      </c>
    </row>
    <row r="65" customFormat="false" ht="15" hidden="false" customHeight="false" outlineLevel="0" collapsed="false">
      <c r="A65" s="19" t="s">
        <v>857</v>
      </c>
      <c r="B65" s="19" t="n">
        <v>458.7077749</v>
      </c>
      <c r="C65" s="19" t="n">
        <v>2061.932829</v>
      </c>
      <c r="D65" s="19" t="n">
        <v>4139.299058</v>
      </c>
      <c r="E65" s="19" t="n">
        <v>7686.812477</v>
      </c>
      <c r="F65" s="19" t="n">
        <v>11325.45979</v>
      </c>
      <c r="G65" s="19" t="n">
        <v>15429.1071</v>
      </c>
      <c r="H65" s="19" t="n">
        <v>19177.45706</v>
      </c>
      <c r="I65" s="19" t="n">
        <v>21816.32819</v>
      </c>
      <c r="J65" s="19" t="n">
        <v>23477.64602</v>
      </c>
      <c r="K65" s="19" t="n">
        <v>25170.76644</v>
      </c>
      <c r="L65" s="20" t="n">
        <v>0.06716276296</v>
      </c>
      <c r="M65" s="20" t="n">
        <v>0.06724568</v>
      </c>
      <c r="N65" s="20" t="n">
        <v>0.06732422219</v>
      </c>
      <c r="O65" s="20" t="n">
        <v>0.06739814876</v>
      </c>
      <c r="P65" s="20" t="n">
        <v>0.06746549764</v>
      </c>
      <c r="Q65" s="20" t="n">
        <v>0.06752636789</v>
      </c>
      <c r="R65" s="20" t="n">
        <v>0.06757913505</v>
      </c>
      <c r="S65" s="20" t="n">
        <v>0.0676239944</v>
      </c>
      <c r="T65" s="20" t="n">
        <v>0.0676581978</v>
      </c>
      <c r="U65" s="20" t="n">
        <v>0.06768014522</v>
      </c>
    </row>
    <row r="66" customFormat="false" ht="15" hidden="false" customHeight="false" outlineLevel="0" collapsed="false">
      <c r="A66" s="19" t="s">
        <v>858</v>
      </c>
      <c r="B66" s="19" t="n">
        <v>636.3885052</v>
      </c>
      <c r="C66" s="19" t="n">
        <v>2858.302353</v>
      </c>
      <c r="D66" s="19" t="n">
        <v>5733.315478</v>
      </c>
      <c r="E66" s="19" t="n">
        <v>10638.22032</v>
      </c>
      <c r="F66" s="19" t="n">
        <v>15661.31817</v>
      </c>
      <c r="G66" s="19" t="n">
        <v>21318.84853</v>
      </c>
      <c r="H66" s="19" t="n">
        <v>26476.85412</v>
      </c>
      <c r="I66" s="19" t="n">
        <v>30095.90856</v>
      </c>
      <c r="J66" s="19" t="n">
        <v>32361.71713</v>
      </c>
      <c r="K66" s="19" t="n">
        <v>34668.23012</v>
      </c>
      <c r="L66" s="20" t="n">
        <v>0.09317829927</v>
      </c>
      <c r="M66" s="20" t="n">
        <v>0.09321762703</v>
      </c>
      <c r="N66" s="20" t="n">
        <v>0.09325033048</v>
      </c>
      <c r="O66" s="20" t="n">
        <v>0.09327616065</v>
      </c>
      <c r="P66" s="20" t="n">
        <v>0.09329410402</v>
      </c>
      <c r="Q66" s="20" t="n">
        <v>0.09330315747</v>
      </c>
      <c r="R66" s="20" t="n">
        <v>0.09330136391</v>
      </c>
      <c r="S66" s="20" t="n">
        <v>0.09328818003</v>
      </c>
      <c r="T66" s="20" t="n">
        <v>0.09326043405</v>
      </c>
      <c r="U66" s="20" t="n">
        <v>0.0932172985</v>
      </c>
    </row>
    <row r="67" customFormat="false" ht="15" hidden="false" customHeight="false" outlineLevel="0" collapsed="false">
      <c r="A67" s="19" t="s">
        <v>859</v>
      </c>
      <c r="B67" s="19" t="n">
        <v>454.6292721</v>
      </c>
      <c r="C67" s="19" t="n">
        <v>2045.10724</v>
      </c>
      <c r="D67" s="19" t="n">
        <v>4108.556483</v>
      </c>
      <c r="E67" s="19" t="n">
        <v>7635.29826</v>
      </c>
      <c r="F67" s="19" t="n">
        <v>11257.83942</v>
      </c>
      <c r="G67" s="19" t="n">
        <v>15348.23912</v>
      </c>
      <c r="H67" s="19" t="n">
        <v>19090.97627</v>
      </c>
      <c r="I67" s="19" t="n">
        <v>21733.53584</v>
      </c>
      <c r="J67" s="19" t="n">
        <v>23405.61598</v>
      </c>
      <c r="K67" s="19" t="n">
        <v>25111.86765</v>
      </c>
      <c r="L67" s="20" t="n">
        <v>0.06656559951</v>
      </c>
      <c r="M67" s="20" t="n">
        <v>0.06669694817</v>
      </c>
      <c r="N67" s="20" t="n">
        <v>0.06682420518</v>
      </c>
      <c r="O67" s="20" t="n">
        <v>0.06694647092</v>
      </c>
      <c r="P67" s="20" t="n">
        <v>0.0670626847</v>
      </c>
      <c r="Q67" s="20" t="n">
        <v>0.06717244456</v>
      </c>
      <c r="R67" s="20" t="n">
        <v>0.06727438677</v>
      </c>
      <c r="S67" s="20" t="n">
        <v>0.06736736325</v>
      </c>
      <c r="T67" s="20" t="n">
        <v>0.06745062065</v>
      </c>
      <c r="U67" s="20" t="n">
        <v>0.06752177585</v>
      </c>
    </row>
    <row r="68" customFormat="false" ht="15" hidden="false" customHeight="false" outlineLevel="0" collapsed="false">
      <c r="A68" s="19" t="s">
        <v>860</v>
      </c>
      <c r="B68" s="19" t="n">
        <v>359.9487589</v>
      </c>
      <c r="C68" s="19" t="n">
        <v>1618.861915</v>
      </c>
      <c r="D68" s="19" t="n">
        <v>3251.547844</v>
      </c>
      <c r="E68" s="19" t="n">
        <v>6041.286981</v>
      </c>
      <c r="F68" s="19" t="n">
        <v>8905.631366</v>
      </c>
      <c r="G68" s="19" t="n">
        <v>12138.70505</v>
      </c>
      <c r="H68" s="19" t="n">
        <v>15095.51626</v>
      </c>
      <c r="I68" s="19" t="n">
        <v>17181.35364</v>
      </c>
      <c r="J68" s="19" t="n">
        <v>18499.25584</v>
      </c>
      <c r="K68" s="19" t="n">
        <v>19843.46332</v>
      </c>
      <c r="L68" s="20" t="n">
        <v>0.05270273253</v>
      </c>
      <c r="M68" s="20" t="n">
        <v>0.05279583736</v>
      </c>
      <c r="N68" s="20" t="n">
        <v>0.05288526547</v>
      </c>
      <c r="O68" s="20" t="n">
        <v>0.05297014333</v>
      </c>
      <c r="P68" s="20" t="n">
        <v>0.05305063661</v>
      </c>
      <c r="Q68" s="20" t="n">
        <v>0.05312573551</v>
      </c>
      <c r="R68" s="20" t="n">
        <v>0.05319484896</v>
      </c>
      <c r="S68" s="20" t="n">
        <v>0.05325698037</v>
      </c>
      <c r="T68" s="20" t="n">
        <v>0.05331140566</v>
      </c>
      <c r="U68" s="20" t="n">
        <v>0.05335588339</v>
      </c>
    </row>
    <row r="69" customFormat="false" ht="15" hidden="false" customHeight="false" outlineLevel="0" collapsed="false">
      <c r="A69" s="19" t="s">
        <v>861</v>
      </c>
      <c r="B69" s="19" t="n">
        <v>597.3416232</v>
      </c>
      <c r="C69" s="19" t="n">
        <v>2686.667428</v>
      </c>
      <c r="D69" s="19" t="n">
        <v>5396.521871</v>
      </c>
      <c r="E69" s="19" t="n">
        <v>10027.09856</v>
      </c>
      <c r="F69" s="19" t="n">
        <v>14781.80777</v>
      </c>
      <c r="G69" s="19" t="n">
        <v>20148.82106</v>
      </c>
      <c r="H69" s="19" t="n">
        <v>25057.42855</v>
      </c>
      <c r="I69" s="19" t="n">
        <v>28520.16121</v>
      </c>
      <c r="J69" s="19" t="n">
        <v>30707.69594</v>
      </c>
      <c r="K69" s="19" t="n">
        <v>32939.19647</v>
      </c>
      <c r="L69" s="20" t="n">
        <v>0.08746115946</v>
      </c>
      <c r="M69" s="20" t="n">
        <v>0.08762010848</v>
      </c>
      <c r="N69" s="20" t="n">
        <v>0.08777250263</v>
      </c>
      <c r="O69" s="20" t="n">
        <v>0.08791783102</v>
      </c>
      <c r="P69" s="20" t="n">
        <v>0.08805488129</v>
      </c>
      <c r="Q69" s="20" t="n">
        <v>0.08818246544</v>
      </c>
      <c r="R69" s="20" t="n">
        <v>0.08829947277</v>
      </c>
      <c r="S69" s="20" t="n">
        <v>0.08840384162</v>
      </c>
      <c r="T69" s="20" t="n">
        <v>0.08849385342</v>
      </c>
      <c r="U69" s="20" t="n">
        <v>0.08856820492</v>
      </c>
    </row>
    <row r="70" customFormat="false" ht="15" hidden="false" customHeight="false" outlineLevel="0" collapsed="false">
      <c r="A70" s="19" t="s">
        <v>862</v>
      </c>
      <c r="B70" s="19" t="n">
        <v>319.1232273</v>
      </c>
      <c r="C70" s="19" t="n">
        <v>1434.662368</v>
      </c>
      <c r="D70" s="19" t="n">
        <v>2880.380922</v>
      </c>
      <c r="E70" s="19" t="n">
        <v>5349.543623</v>
      </c>
      <c r="F70" s="19" t="n">
        <v>7882.759521</v>
      </c>
      <c r="G70" s="19" t="n">
        <v>10740.34523</v>
      </c>
      <c r="H70" s="19" t="n">
        <v>13351.32928</v>
      </c>
      <c r="I70" s="19" t="n">
        <v>15190.192</v>
      </c>
      <c r="J70" s="19" t="n">
        <v>16349.03157</v>
      </c>
      <c r="K70" s="19" t="n">
        <v>17530.28203</v>
      </c>
      <c r="L70" s="20" t="n">
        <v>0.04672516762</v>
      </c>
      <c r="M70" s="20" t="n">
        <v>0.04678854965</v>
      </c>
      <c r="N70" s="20" t="n">
        <v>0.04684836791</v>
      </c>
      <c r="O70" s="20" t="n">
        <v>0.04690492164</v>
      </c>
      <c r="P70" s="20" t="n">
        <v>0.04695741309</v>
      </c>
      <c r="Q70" s="20" t="n">
        <v>0.04700573396</v>
      </c>
      <c r="R70" s="20" t="n">
        <v>0.04704853629</v>
      </c>
      <c r="S70" s="20" t="n">
        <v>0.04708498378</v>
      </c>
      <c r="T70" s="20" t="n">
        <v>0.04711486028</v>
      </c>
      <c r="U70" s="20" t="n">
        <v>0.04713611071</v>
      </c>
    </row>
    <row r="71" customFormat="false" ht="15" hidden="false" customHeight="false" outlineLevel="0" collapsed="false">
      <c r="A71" s="19" t="s">
        <v>863</v>
      </c>
      <c r="B71" s="19" t="n">
        <v>584.1099198</v>
      </c>
      <c r="C71" s="19" t="n">
        <v>2621.157122</v>
      </c>
      <c r="D71" s="19" t="n">
        <v>5253.002382</v>
      </c>
      <c r="E71" s="19" t="n">
        <v>9738.39993</v>
      </c>
      <c r="F71" s="19" t="n">
        <v>14324.08353</v>
      </c>
      <c r="G71" s="19" t="n">
        <v>19481.48607</v>
      </c>
      <c r="H71" s="19" t="n">
        <v>24173.9614</v>
      </c>
      <c r="I71" s="19" t="n">
        <v>27454.47796</v>
      </c>
      <c r="J71" s="19" t="n">
        <v>29496.08899</v>
      </c>
      <c r="K71" s="19" t="n">
        <v>31571.26847</v>
      </c>
      <c r="L71" s="20" t="n">
        <v>0.08552380891</v>
      </c>
      <c r="M71" s="20" t="n">
        <v>0.08548362517</v>
      </c>
      <c r="N71" s="20" t="n">
        <v>0.08543820936</v>
      </c>
      <c r="O71" s="20" t="n">
        <v>0.08538651478</v>
      </c>
      <c r="P71" s="20" t="n">
        <v>0.08532822871</v>
      </c>
      <c r="Q71" s="20" t="n">
        <v>0.08526183577</v>
      </c>
      <c r="R71" s="20" t="n">
        <v>0.08518623698</v>
      </c>
      <c r="S71" s="20" t="n">
        <v>0.08510054706</v>
      </c>
      <c r="T71" s="20" t="n">
        <v>0.08500222812</v>
      </c>
      <c r="U71" s="20" t="n">
        <v>0.08489006641</v>
      </c>
    </row>
    <row r="72" customFormat="false" ht="15" hidden="false" customHeight="false" outlineLevel="0" collapsed="false">
      <c r="A72" s="19" t="s">
        <v>864</v>
      </c>
      <c r="B72" s="19" t="n">
        <v>456.2408143</v>
      </c>
      <c r="C72" s="19" t="n">
        <v>2050.713914</v>
      </c>
      <c r="D72" s="19" t="n">
        <v>4116.48809</v>
      </c>
      <c r="E72" s="19" t="n">
        <v>7643.861156</v>
      </c>
      <c r="F72" s="19" t="n">
        <v>11261.27727</v>
      </c>
      <c r="G72" s="19" t="n">
        <v>15340.40022</v>
      </c>
      <c r="H72" s="19" t="n">
        <v>19065.60463</v>
      </c>
      <c r="I72" s="19" t="n">
        <v>21686.68762</v>
      </c>
      <c r="J72" s="19" t="n">
        <v>23335.73245</v>
      </c>
      <c r="K72" s="19" t="n">
        <v>25016.1113</v>
      </c>
      <c r="L72" s="20" t="n">
        <v>0.0668015572</v>
      </c>
      <c r="M72" s="20" t="n">
        <v>0.06687979828</v>
      </c>
      <c r="N72" s="20" t="n">
        <v>0.06695320993</v>
      </c>
      <c r="O72" s="20" t="n">
        <v>0.06702155059</v>
      </c>
      <c r="P72" s="20" t="n">
        <v>0.06708316389</v>
      </c>
      <c r="Q72" s="20" t="n">
        <v>0.06713813719</v>
      </c>
      <c r="R72" s="20" t="n">
        <v>0.06718498003</v>
      </c>
      <c r="S72" s="20" t="n">
        <v>0.06722214799</v>
      </c>
      <c r="T72" s="20" t="n">
        <v>0.06724922936</v>
      </c>
      <c r="U72" s="20" t="n">
        <v>0.0672643024</v>
      </c>
    </row>
    <row r="73" customFormat="false" ht="15" hidden="false" customHeight="false" outlineLevel="0" collapsed="false">
      <c r="A73" s="19" t="s">
        <v>865</v>
      </c>
      <c r="B73" s="19" t="n">
        <v>117.0880233</v>
      </c>
      <c r="C73" s="19" t="n">
        <v>527.0142639</v>
      </c>
      <c r="D73" s="19" t="n">
        <v>1059.361861</v>
      </c>
      <c r="E73" s="19" t="n">
        <v>1969.844752</v>
      </c>
      <c r="F73" s="19" t="n">
        <v>2906.005078</v>
      </c>
      <c r="G73" s="19" t="n">
        <v>3964.086353</v>
      </c>
      <c r="H73" s="19" t="n">
        <v>4933.53607</v>
      </c>
      <c r="I73" s="19" t="n">
        <v>5619.423908</v>
      </c>
      <c r="J73" s="19" t="n">
        <v>6054.902822</v>
      </c>
      <c r="K73" s="19" t="n">
        <v>6499.735416</v>
      </c>
      <c r="L73" s="20" t="n">
        <v>0.01714371455</v>
      </c>
      <c r="M73" s="20" t="n">
        <v>0.0171874816</v>
      </c>
      <c r="N73" s="20" t="n">
        <v>0.01723014267</v>
      </c>
      <c r="O73" s="20" t="n">
        <v>0.01727164413</v>
      </c>
      <c r="P73" s="20" t="n">
        <v>0.01731100391</v>
      </c>
      <c r="Q73" s="20" t="n">
        <v>0.01734905019</v>
      </c>
      <c r="R73" s="20" t="n">
        <v>0.01738520906</v>
      </c>
      <c r="S73" s="20" t="n">
        <v>0.01741850817</v>
      </c>
      <c r="T73" s="20" t="n">
        <v>0.01744910083</v>
      </c>
      <c r="U73" s="20" t="n">
        <v>0.01747674382</v>
      </c>
    </row>
    <row r="74" customFormat="false" ht="15" hidden="false" customHeight="false" outlineLevel="0" collapsed="false">
      <c r="A74" s="19" t="s">
        <v>866</v>
      </c>
      <c r="B74" s="19" t="n">
        <v>1088.38708</v>
      </c>
      <c r="C74" s="19" t="n">
        <v>4880.178768</v>
      </c>
      <c r="D74" s="19" t="n">
        <v>9772.80901</v>
      </c>
      <c r="E74" s="19" t="n">
        <v>18104.40593</v>
      </c>
      <c r="F74" s="19" t="n">
        <v>26611.1133</v>
      </c>
      <c r="G74" s="19" t="n">
        <v>36168.65139</v>
      </c>
      <c r="H74" s="19" t="n">
        <v>44852.58234</v>
      </c>
      <c r="I74" s="19" t="n">
        <v>50909.12347</v>
      </c>
      <c r="J74" s="19" t="n">
        <v>54664.58344</v>
      </c>
      <c r="K74" s="19" t="n">
        <v>58480.16182</v>
      </c>
      <c r="L74" s="20" t="n">
        <v>0.1593587191</v>
      </c>
      <c r="M74" s="20" t="n">
        <v>0.1591569498</v>
      </c>
      <c r="N74" s="20" t="n">
        <v>0.1589512514</v>
      </c>
      <c r="O74" s="20" t="n">
        <v>0.158739848</v>
      </c>
      <c r="P74" s="20" t="n">
        <v>0.1585217761</v>
      </c>
      <c r="Q74" s="20" t="n">
        <v>0.1582941673</v>
      </c>
      <c r="R74" s="20" t="n">
        <v>0.1580552995</v>
      </c>
      <c r="S74" s="20" t="n">
        <v>0.1578028278</v>
      </c>
      <c r="T74" s="20" t="n">
        <v>0.1575331358</v>
      </c>
      <c r="U74" s="20" t="n">
        <v>0.1572437555</v>
      </c>
    </row>
    <row r="75" customFormat="false" ht="15" hidden="false" customHeight="false" outlineLevel="0" collapsed="false">
      <c r="A75" s="17" t="s">
        <v>867</v>
      </c>
      <c r="B75" s="21" t="n">
        <v>6829.793098</v>
      </c>
      <c r="C75" s="21" t="n">
        <v>30662.68091</v>
      </c>
      <c r="D75" s="21" t="n">
        <v>61483.058</v>
      </c>
      <c r="E75" s="21" t="n">
        <v>114050.7954</v>
      </c>
      <c r="F75" s="21" t="n">
        <v>167870.3958</v>
      </c>
      <c r="G75" s="21" t="n">
        <v>228490.1081</v>
      </c>
      <c r="H75" s="21" t="n">
        <v>283777.7821</v>
      </c>
      <c r="I75" s="21" t="n">
        <v>322612.2382</v>
      </c>
      <c r="J75" s="21" t="n">
        <v>347003.7155</v>
      </c>
      <c r="K75" s="21" t="n">
        <v>371907.6896</v>
      </c>
      <c r="L75" s="22" t="n">
        <v>1</v>
      </c>
      <c r="M75" s="22" t="n">
        <v>1</v>
      </c>
      <c r="N75" s="22" t="n">
        <v>1</v>
      </c>
      <c r="O75" s="22" t="n">
        <v>1</v>
      </c>
      <c r="P75" s="22" t="n">
        <v>1</v>
      </c>
      <c r="Q75" s="22" t="n">
        <v>1</v>
      </c>
      <c r="R75" s="22" t="n">
        <v>1</v>
      </c>
      <c r="S75" s="22" t="n">
        <v>1</v>
      </c>
      <c r="T75" s="22" t="n">
        <v>1</v>
      </c>
      <c r="U75" s="22" t="n">
        <v>1</v>
      </c>
    </row>
    <row r="77" customFormat="false" ht="15" hidden="false" customHeight="false" outlineLevel="0" collapsed="false">
      <c r="A77" s="17" t="s">
        <v>868</v>
      </c>
    </row>
    <row r="78" customFormat="false" ht="15" hidden="false" customHeight="false" outlineLevel="0" collapsed="false">
      <c r="A78" s="17" t="s">
        <v>840</v>
      </c>
      <c r="B78" s="17" t="n">
        <v>2026</v>
      </c>
      <c r="C78" s="17" t="n">
        <v>2027</v>
      </c>
      <c r="D78" s="17" t="n">
        <v>2028</v>
      </c>
      <c r="E78" s="17" t="n">
        <v>2029</v>
      </c>
      <c r="F78" s="17" t="n">
        <v>2030</v>
      </c>
      <c r="G78" s="17" t="n">
        <v>2031</v>
      </c>
      <c r="H78" s="17" t="n">
        <v>2032</v>
      </c>
      <c r="I78" s="17" t="n">
        <v>2033</v>
      </c>
      <c r="J78" s="17" t="n">
        <v>2034</v>
      </c>
      <c r="K78" s="17" t="n">
        <v>2035</v>
      </c>
      <c r="L78" s="17" t="s">
        <v>841</v>
      </c>
      <c r="M78" s="17" t="s">
        <v>842</v>
      </c>
      <c r="N78" s="17" t="s">
        <v>843</v>
      </c>
      <c r="O78" s="17" t="s">
        <v>844</v>
      </c>
      <c r="P78" s="17" t="s">
        <v>845</v>
      </c>
      <c r="Q78" s="17" t="s">
        <v>846</v>
      </c>
      <c r="R78" s="17" t="s">
        <v>847</v>
      </c>
      <c r="S78" s="17" t="s">
        <v>848</v>
      </c>
      <c r="T78" s="17" t="s">
        <v>849</v>
      </c>
      <c r="U78" s="17" t="s">
        <v>850</v>
      </c>
      <c r="V78" s="17" t="s">
        <v>851</v>
      </c>
    </row>
    <row r="79" customFormat="false" ht="15" hidden="false" customHeight="false" outlineLevel="0" collapsed="false">
      <c r="A79" s="19" t="s">
        <v>852</v>
      </c>
      <c r="B79" s="19" t="n">
        <v>44.57232481</v>
      </c>
      <c r="C79" s="19" t="n">
        <v>78.37282962</v>
      </c>
      <c r="D79" s="19" t="n">
        <v>102.947211</v>
      </c>
      <c r="E79" s="19" t="n">
        <v>139.3121874</v>
      </c>
      <c r="F79" s="19" t="n">
        <v>218.746109</v>
      </c>
      <c r="G79" s="19" t="n">
        <v>297.6324488</v>
      </c>
      <c r="H79" s="19" t="n">
        <v>382.6430286</v>
      </c>
      <c r="I79" s="19" t="n">
        <v>474.378255</v>
      </c>
      <c r="J79" s="19" t="n">
        <v>553.5231369</v>
      </c>
      <c r="K79" s="19" t="n">
        <v>639.3736032</v>
      </c>
      <c r="L79" s="20" t="n">
        <v>0.03594234653</v>
      </c>
      <c r="M79" s="20" t="n">
        <v>0.0357687629</v>
      </c>
      <c r="N79" s="20" t="n">
        <v>0.03561284885</v>
      </c>
      <c r="O79" s="20" t="n">
        <v>0.03548272087</v>
      </c>
      <c r="P79" s="20" t="n">
        <v>0.03538521965</v>
      </c>
      <c r="Q79" s="20" t="n">
        <v>0.03531858919</v>
      </c>
      <c r="R79" s="20" t="n">
        <v>0.03528531777</v>
      </c>
      <c r="S79" s="20" t="n">
        <v>0.03530661287</v>
      </c>
      <c r="T79" s="20" t="n">
        <v>0.03537454192</v>
      </c>
      <c r="U79" s="20" t="n">
        <v>0.03549996909</v>
      </c>
      <c r="V79" s="24" t="n">
        <v>0.3873481014</v>
      </c>
    </row>
    <row r="80" customFormat="false" ht="15" hidden="false" customHeight="false" outlineLevel="0" collapsed="false">
      <c r="A80" s="19" t="s">
        <v>853</v>
      </c>
      <c r="B80" s="19" t="n">
        <v>104.5860924</v>
      </c>
      <c r="C80" s="19" t="n">
        <v>185.2896162</v>
      </c>
      <c r="D80" s="19" t="n">
        <v>245.1882686</v>
      </c>
      <c r="E80" s="19" t="n">
        <v>334.1236697</v>
      </c>
      <c r="F80" s="19" t="n">
        <v>527.9603228</v>
      </c>
      <c r="G80" s="19" t="n">
        <v>722.6195017</v>
      </c>
      <c r="H80" s="19" t="n">
        <v>934.1104719</v>
      </c>
      <c r="I80" s="19" t="n">
        <v>1163.211854</v>
      </c>
      <c r="J80" s="19" t="n">
        <v>1362.367719</v>
      </c>
      <c r="K80" s="19" t="n">
        <v>1578.186148</v>
      </c>
      <c r="L80" s="20" t="n">
        <v>0.08433640363</v>
      </c>
      <c r="M80" s="20" t="n">
        <v>0.08456477048</v>
      </c>
      <c r="N80" s="20" t="n">
        <v>0.08481874025</v>
      </c>
      <c r="O80" s="20" t="n">
        <v>0.08510107499</v>
      </c>
      <c r="P80" s="20" t="n">
        <v>0.0854049111</v>
      </c>
      <c r="Q80" s="20" t="n">
        <v>0.08574972732</v>
      </c>
      <c r="R80" s="20" t="n">
        <v>0.0861387308</v>
      </c>
      <c r="S80" s="20" t="n">
        <v>0.08657452191</v>
      </c>
      <c r="T80" s="20" t="n">
        <v>0.08706615999</v>
      </c>
      <c r="U80" s="20" t="n">
        <v>0.08762569987</v>
      </c>
      <c r="V80" s="17" t="s">
        <v>854</v>
      </c>
    </row>
    <row r="81" customFormat="false" ht="15" hidden="false" customHeight="false" outlineLevel="0" collapsed="false">
      <c r="A81" s="19" t="s">
        <v>855</v>
      </c>
      <c r="B81" s="19" t="n">
        <v>64.37273051</v>
      </c>
      <c r="C81" s="19" t="n">
        <v>113.5654226</v>
      </c>
      <c r="D81" s="19" t="n">
        <v>149.6931426</v>
      </c>
      <c r="E81" s="19" t="n">
        <v>203.207132</v>
      </c>
      <c r="F81" s="19" t="n">
        <v>320.0214767</v>
      </c>
      <c r="G81" s="19" t="n">
        <v>436.6129788</v>
      </c>
      <c r="H81" s="19" t="n">
        <v>562.8399986</v>
      </c>
      <c r="I81" s="19" t="n">
        <v>699.1598608</v>
      </c>
      <c r="J81" s="19" t="n">
        <v>817.2415568</v>
      </c>
      <c r="K81" s="19" t="n">
        <v>945.396208</v>
      </c>
      <c r="L81" s="20" t="n">
        <v>0.05190904887</v>
      </c>
      <c r="M81" s="20" t="n">
        <v>0.05183039449</v>
      </c>
      <c r="N81" s="20" t="n">
        <v>0.05178381435</v>
      </c>
      <c r="O81" s="20" t="n">
        <v>0.05175672047</v>
      </c>
      <c r="P81" s="20" t="n">
        <v>0.05176791623</v>
      </c>
      <c r="Q81" s="20" t="n">
        <v>0.05181072998</v>
      </c>
      <c r="R81" s="20" t="n">
        <v>0.05190212997</v>
      </c>
      <c r="S81" s="20" t="n">
        <v>0.05203646305</v>
      </c>
      <c r="T81" s="20" t="n">
        <v>0.05222825169</v>
      </c>
      <c r="U81" s="20" t="n">
        <v>0.05249127582</v>
      </c>
      <c r="V81" s="24" t="n">
        <v>0.6126518986</v>
      </c>
    </row>
    <row r="82" customFormat="false" ht="15" hidden="false" customHeight="false" outlineLevel="0" collapsed="false">
      <c r="A82" s="19" t="s">
        <v>856</v>
      </c>
      <c r="B82" s="19" t="n">
        <v>75.60330764</v>
      </c>
      <c r="C82" s="19" t="n">
        <v>133.439625</v>
      </c>
      <c r="D82" s="19" t="n">
        <v>175.8846186</v>
      </c>
      <c r="E82" s="19" t="n">
        <v>238.652681</v>
      </c>
      <c r="F82" s="19" t="n">
        <v>375.4326138</v>
      </c>
      <c r="G82" s="19" t="n">
        <v>511.4349273</v>
      </c>
      <c r="H82" s="19" t="n">
        <v>657.7518254</v>
      </c>
      <c r="I82" s="19" t="n">
        <v>814.5451861</v>
      </c>
      <c r="J82" s="19" t="n">
        <v>948.3301762</v>
      </c>
      <c r="K82" s="19" t="n">
        <v>1091.406691</v>
      </c>
      <c r="L82" s="20" t="n">
        <v>0.0609651907</v>
      </c>
      <c r="M82" s="20" t="n">
        <v>0.06090082918</v>
      </c>
      <c r="N82" s="20" t="n">
        <v>0.06084431308</v>
      </c>
      <c r="O82" s="20" t="n">
        <v>0.06078467808</v>
      </c>
      <c r="P82" s="20" t="n">
        <v>0.06073143686</v>
      </c>
      <c r="Q82" s="20" t="n">
        <v>0.0606894852</v>
      </c>
      <c r="R82" s="20" t="n">
        <v>0.06065439702</v>
      </c>
      <c r="S82" s="20" t="n">
        <v>0.06062426186</v>
      </c>
      <c r="T82" s="20" t="n">
        <v>0.0606058597</v>
      </c>
      <c r="U82" s="20" t="n">
        <v>0.0605982224</v>
      </c>
    </row>
    <row r="83" customFormat="false" ht="15" hidden="false" customHeight="false" outlineLevel="0" collapsed="false">
      <c r="A83" s="19" t="s">
        <v>857</v>
      </c>
      <c r="B83" s="19" t="n">
        <v>87.61934294</v>
      </c>
      <c r="C83" s="19" t="n">
        <v>154.8932639</v>
      </c>
      <c r="D83" s="19" t="n">
        <v>204.4283337</v>
      </c>
      <c r="E83" s="19" t="n">
        <v>277.74315</v>
      </c>
      <c r="F83" s="19" t="n">
        <v>437.3829629</v>
      </c>
      <c r="G83" s="19" t="n">
        <v>596.2237952</v>
      </c>
      <c r="H83" s="19" t="n">
        <v>767.1033326</v>
      </c>
      <c r="I83" s="19" t="n">
        <v>950.0922739</v>
      </c>
      <c r="J83" s="19" t="n">
        <v>1105.817813</v>
      </c>
      <c r="K83" s="19" t="n">
        <v>1271.665928</v>
      </c>
      <c r="L83" s="20" t="n">
        <v>0.07065471231</v>
      </c>
      <c r="M83" s="20" t="n">
        <v>0.07069210669</v>
      </c>
      <c r="N83" s="20" t="n">
        <v>0.0707185292</v>
      </c>
      <c r="O83" s="20" t="n">
        <v>0.07074099436</v>
      </c>
      <c r="P83" s="20" t="n">
        <v>0.07075276579</v>
      </c>
      <c r="Q83" s="20" t="n">
        <v>0.07075096608</v>
      </c>
      <c r="R83" s="20" t="n">
        <v>0.07073821508</v>
      </c>
      <c r="S83" s="20" t="n">
        <v>0.07071264282</v>
      </c>
      <c r="T83" s="20" t="n">
        <v>0.07067057541</v>
      </c>
      <c r="U83" s="20" t="n">
        <v>0.07060676402</v>
      </c>
    </row>
    <row r="84" customFormat="false" ht="15" hidden="false" customHeight="false" outlineLevel="0" collapsed="false">
      <c r="A84" s="19" t="s">
        <v>858</v>
      </c>
      <c r="B84" s="19" t="n">
        <v>118.210211</v>
      </c>
      <c r="C84" s="19" t="n">
        <v>208.8518295</v>
      </c>
      <c r="D84" s="19" t="n">
        <v>275.504676</v>
      </c>
      <c r="E84" s="19" t="n">
        <v>374.0934341</v>
      </c>
      <c r="F84" s="19" t="n">
        <v>588.7935271</v>
      </c>
      <c r="G84" s="19" t="n">
        <v>802.2680655</v>
      </c>
      <c r="H84" s="19" t="n">
        <v>1031.629148</v>
      </c>
      <c r="I84" s="19" t="n">
        <v>1277.042694</v>
      </c>
      <c r="J84" s="19" t="n">
        <v>1485.561175</v>
      </c>
      <c r="K84" s="19" t="n">
        <v>1707.547136</v>
      </c>
      <c r="L84" s="20" t="n">
        <v>0.0953226556</v>
      </c>
      <c r="M84" s="20" t="n">
        <v>0.09531838532</v>
      </c>
      <c r="N84" s="20" t="n">
        <v>0.09530618934</v>
      </c>
      <c r="O84" s="20" t="n">
        <v>0.09528134722</v>
      </c>
      <c r="P84" s="20" t="n">
        <v>0.09524552635</v>
      </c>
      <c r="Q84" s="20" t="n">
        <v>0.09520123341</v>
      </c>
      <c r="R84" s="20" t="n">
        <v>0.09513138771</v>
      </c>
      <c r="S84" s="20" t="n">
        <v>0.09504662483</v>
      </c>
      <c r="T84" s="20" t="n">
        <v>0.09493920406</v>
      </c>
      <c r="U84" s="20" t="n">
        <v>0.0948082158</v>
      </c>
    </row>
    <row r="85" customFormat="false" ht="15" hidden="false" customHeight="false" outlineLevel="0" collapsed="false">
      <c r="A85" s="19" t="s">
        <v>859</v>
      </c>
      <c r="B85" s="19" t="n">
        <v>91.96465879</v>
      </c>
      <c r="C85" s="19" t="n">
        <v>162.6521432</v>
      </c>
      <c r="D85" s="19" t="n">
        <v>214.7869864</v>
      </c>
      <c r="E85" s="19" t="n">
        <v>291.9583575</v>
      </c>
      <c r="F85" s="19" t="n">
        <v>460.003771</v>
      </c>
      <c r="G85" s="19" t="n">
        <v>627.4148263</v>
      </c>
      <c r="H85" s="19" t="n">
        <v>807.6147204</v>
      </c>
      <c r="I85" s="19" t="n">
        <v>1000.749373</v>
      </c>
      <c r="J85" s="19" t="n">
        <v>1165.34522</v>
      </c>
      <c r="K85" s="19" t="n">
        <v>1340.821442</v>
      </c>
      <c r="L85" s="20" t="n">
        <v>0.07415869934</v>
      </c>
      <c r="M85" s="20" t="n">
        <v>0.07423320013</v>
      </c>
      <c r="N85" s="20" t="n">
        <v>0.07430193015</v>
      </c>
      <c r="O85" s="20" t="n">
        <v>0.07436159821</v>
      </c>
      <c r="P85" s="20" t="n">
        <v>0.07441199552</v>
      </c>
      <c r="Q85" s="20" t="n">
        <v>0.07445225342</v>
      </c>
      <c r="R85" s="20" t="n">
        <v>0.07447396115</v>
      </c>
      <c r="S85" s="20" t="n">
        <v>0.07448290542</v>
      </c>
      <c r="T85" s="20" t="n">
        <v>0.07447485135</v>
      </c>
      <c r="U85" s="20" t="n">
        <v>0.07444648871</v>
      </c>
    </row>
    <row r="86" customFormat="false" ht="15" hidden="false" customHeight="false" outlineLevel="0" collapsed="false">
      <c r="A86" s="19" t="s">
        <v>860</v>
      </c>
      <c r="B86" s="19" t="n">
        <v>68.8442948</v>
      </c>
      <c r="C86" s="19" t="n">
        <v>121.7294831</v>
      </c>
      <c r="D86" s="19" t="n">
        <v>160.7182483</v>
      </c>
      <c r="E86" s="19" t="n">
        <v>218.4025459</v>
      </c>
      <c r="F86" s="19" t="n">
        <v>344.0538105</v>
      </c>
      <c r="G86" s="19" t="n">
        <v>469.1276303</v>
      </c>
      <c r="H86" s="19" t="n">
        <v>603.7723845</v>
      </c>
      <c r="I86" s="19" t="n">
        <v>747.9773314</v>
      </c>
      <c r="J86" s="19" t="n">
        <v>870.8130385</v>
      </c>
      <c r="K86" s="19" t="n">
        <v>1001.699796</v>
      </c>
      <c r="L86" s="20" t="n">
        <v>0.05551484045</v>
      </c>
      <c r="M86" s="20" t="n">
        <v>0.05555640955</v>
      </c>
      <c r="N86" s="20" t="n">
        <v>0.05559776342</v>
      </c>
      <c r="O86" s="20" t="n">
        <v>0.05562698222</v>
      </c>
      <c r="P86" s="20" t="n">
        <v>0.05565547983</v>
      </c>
      <c r="Q86" s="20" t="n">
        <v>0.05566908488</v>
      </c>
      <c r="R86" s="20" t="n">
        <v>0.05567669827</v>
      </c>
      <c r="S86" s="20" t="n">
        <v>0.05566980737</v>
      </c>
      <c r="T86" s="20" t="n">
        <v>0.05565189652</v>
      </c>
      <c r="U86" s="20" t="n">
        <v>0.05561742243</v>
      </c>
    </row>
    <row r="87" customFormat="false" ht="15" hidden="false" customHeight="false" outlineLevel="0" collapsed="false">
      <c r="A87" s="19" t="s">
        <v>861</v>
      </c>
      <c r="B87" s="19" t="n">
        <v>120.7137646</v>
      </c>
      <c r="C87" s="19" t="n">
        <v>213.4859608</v>
      </c>
      <c r="D87" s="19" t="n">
        <v>281.8742302</v>
      </c>
      <c r="E87" s="19" t="n">
        <v>383.1068383</v>
      </c>
      <c r="F87" s="19" t="n">
        <v>603.528202</v>
      </c>
      <c r="G87" s="19" t="n">
        <v>823.0395331</v>
      </c>
      <c r="H87" s="19" t="n">
        <v>1059.318806</v>
      </c>
      <c r="I87" s="19" t="n">
        <v>1312.476308</v>
      </c>
      <c r="J87" s="19" t="n">
        <v>1528.060817</v>
      </c>
      <c r="K87" s="19" t="n">
        <v>1757.868142</v>
      </c>
      <c r="L87" s="20" t="n">
        <v>0.09734147764</v>
      </c>
      <c r="M87" s="20" t="n">
        <v>0.09743336756</v>
      </c>
      <c r="N87" s="20" t="n">
        <v>0.09750962902</v>
      </c>
      <c r="O87" s="20" t="n">
        <v>0.09757705523</v>
      </c>
      <c r="P87" s="20" t="n">
        <v>0.09762906457</v>
      </c>
      <c r="Q87" s="20" t="n">
        <v>0.09766608203</v>
      </c>
      <c r="R87" s="20" t="n">
        <v>0.09768478167</v>
      </c>
      <c r="S87" s="20" t="n">
        <v>0.09768384706</v>
      </c>
      <c r="T87" s="20" t="n">
        <v>0.09765527005</v>
      </c>
      <c r="U87" s="20" t="n">
        <v>0.09760219124</v>
      </c>
    </row>
    <row r="88" customFormat="false" ht="15" hidden="false" customHeight="false" outlineLevel="0" collapsed="false">
      <c r="A88" s="19" t="s">
        <v>862</v>
      </c>
      <c r="B88" s="19" t="n">
        <v>62.48272333</v>
      </c>
      <c r="C88" s="19" t="n">
        <v>110.4726846</v>
      </c>
      <c r="D88" s="19" t="n">
        <v>145.8197094</v>
      </c>
      <c r="E88" s="19" t="n">
        <v>198.1360452</v>
      </c>
      <c r="F88" s="19" t="n">
        <v>312.071875</v>
      </c>
      <c r="G88" s="19" t="n">
        <v>425.4388951</v>
      </c>
      <c r="H88" s="19" t="n">
        <v>547.4474048</v>
      </c>
      <c r="I88" s="19" t="n">
        <v>678.0753001</v>
      </c>
      <c r="J88" s="19" t="n">
        <v>789.3445277</v>
      </c>
      <c r="K88" s="19" t="n">
        <v>907.8139843</v>
      </c>
      <c r="L88" s="20" t="n">
        <v>0.05038497999</v>
      </c>
      <c r="M88" s="20" t="n">
        <v>0.05041889238</v>
      </c>
      <c r="N88" s="20" t="n">
        <v>0.05044386556</v>
      </c>
      <c r="O88" s="20" t="n">
        <v>0.05046511807</v>
      </c>
      <c r="P88" s="20" t="n">
        <v>0.05048195782</v>
      </c>
      <c r="Q88" s="20" t="n">
        <v>0.05048475603</v>
      </c>
      <c r="R88" s="20" t="n">
        <v>0.05048270633</v>
      </c>
      <c r="S88" s="20" t="n">
        <v>0.05046719968</v>
      </c>
      <c r="T88" s="20" t="n">
        <v>0.0504454091</v>
      </c>
      <c r="U88" s="20" t="n">
        <v>0.05040459634</v>
      </c>
    </row>
    <row r="89" customFormat="false" ht="15" hidden="false" customHeight="false" outlineLevel="0" collapsed="false">
      <c r="A89" s="19" t="s">
        <v>863</v>
      </c>
      <c r="B89" s="19" t="n">
        <v>100.4011767</v>
      </c>
      <c r="C89" s="19" t="n">
        <v>177.2511495</v>
      </c>
      <c r="D89" s="19" t="n">
        <v>233.6376462</v>
      </c>
      <c r="E89" s="19" t="n">
        <v>317.0088743</v>
      </c>
      <c r="F89" s="19" t="n">
        <v>498.5738242</v>
      </c>
      <c r="G89" s="19" t="n">
        <v>678.7937902</v>
      </c>
      <c r="H89" s="19" t="n">
        <v>872.2414836</v>
      </c>
      <c r="I89" s="19" t="n">
        <v>1078.97369</v>
      </c>
      <c r="J89" s="19" t="n">
        <v>1254.266342</v>
      </c>
      <c r="K89" s="19" t="n">
        <v>1440.638811</v>
      </c>
      <c r="L89" s="20" t="n">
        <v>0.08096176046</v>
      </c>
      <c r="M89" s="20" t="n">
        <v>0.08089607548</v>
      </c>
      <c r="N89" s="20" t="n">
        <v>0.08082299751</v>
      </c>
      <c r="O89" s="20" t="n">
        <v>0.08074194805</v>
      </c>
      <c r="P89" s="20" t="n">
        <v>0.08065123703</v>
      </c>
      <c r="Q89" s="20" t="n">
        <v>0.08054914415</v>
      </c>
      <c r="R89" s="20" t="n">
        <v>0.08043349968</v>
      </c>
      <c r="S89" s="20" t="n">
        <v>0.08030491699</v>
      </c>
      <c r="T89" s="20" t="n">
        <v>0.08015762002</v>
      </c>
      <c r="U89" s="20" t="n">
        <v>0.07998865298</v>
      </c>
    </row>
    <row r="90" customFormat="false" ht="15" hidden="false" customHeight="false" outlineLevel="0" collapsed="false">
      <c r="A90" s="19" t="s">
        <v>864</v>
      </c>
      <c r="B90" s="19" t="n">
        <v>90.02768737</v>
      </c>
      <c r="C90" s="19" t="n">
        <v>159.1493825</v>
      </c>
      <c r="D90" s="19" t="n">
        <v>210.04307</v>
      </c>
      <c r="E90" s="19" t="n">
        <v>285.3710161</v>
      </c>
      <c r="F90" s="19" t="n">
        <v>449.3715257</v>
      </c>
      <c r="G90" s="19" t="n">
        <v>612.5504926</v>
      </c>
      <c r="H90" s="19" t="n">
        <v>788.1413372</v>
      </c>
      <c r="I90" s="19" t="n">
        <v>976.08346</v>
      </c>
      <c r="J90" s="19" t="n">
        <v>1136.017916</v>
      </c>
      <c r="K90" s="19" t="n">
        <v>1306.365887</v>
      </c>
      <c r="L90" s="20" t="n">
        <v>0.07259675932</v>
      </c>
      <c r="M90" s="20" t="n">
        <v>0.0726345668</v>
      </c>
      <c r="N90" s="20" t="n">
        <v>0.0726608524</v>
      </c>
      <c r="O90" s="20" t="n">
        <v>0.07268380675</v>
      </c>
      <c r="P90" s="20" t="n">
        <v>0.07269208225</v>
      </c>
      <c r="Q90" s="20" t="n">
        <v>0.07268837553</v>
      </c>
      <c r="R90" s="20" t="n">
        <v>0.07267822867</v>
      </c>
      <c r="S90" s="20" t="n">
        <v>0.07264709225</v>
      </c>
      <c r="T90" s="20" t="n">
        <v>0.07260060281</v>
      </c>
      <c r="U90" s="20" t="n">
        <v>0.07253341143</v>
      </c>
    </row>
    <row r="91" customFormat="false" ht="15" hidden="false" customHeight="false" outlineLevel="0" collapsed="false">
      <c r="A91" s="19" t="s">
        <v>865</v>
      </c>
      <c r="B91" s="19" t="n">
        <v>24.64853976</v>
      </c>
      <c r="C91" s="19" t="n">
        <v>43.60594865</v>
      </c>
      <c r="D91" s="19" t="n">
        <v>57.6078999</v>
      </c>
      <c r="E91" s="19" t="n">
        <v>78.33167997</v>
      </c>
      <c r="F91" s="19" t="n">
        <v>123.4504894</v>
      </c>
      <c r="G91" s="19" t="n">
        <v>168.4604717</v>
      </c>
      <c r="H91" s="19" t="n">
        <v>216.9159325</v>
      </c>
      <c r="I91" s="19" t="n">
        <v>268.8936344</v>
      </c>
      <c r="J91" s="19" t="n">
        <v>313.1558848</v>
      </c>
      <c r="K91" s="19" t="n">
        <v>360.4409941</v>
      </c>
      <c r="L91" s="20" t="n">
        <v>0.01987615322</v>
      </c>
      <c r="M91" s="20" t="n">
        <v>0.01990142306</v>
      </c>
      <c r="N91" s="20" t="n">
        <v>0.01992847996</v>
      </c>
      <c r="O91" s="20" t="n">
        <v>0.01995102645</v>
      </c>
      <c r="P91" s="20" t="n">
        <v>0.01996983034</v>
      </c>
      <c r="Q91" s="20" t="n">
        <v>0.01999038149</v>
      </c>
      <c r="R91" s="20" t="n">
        <v>0.02000284086</v>
      </c>
      <c r="S91" s="20" t="n">
        <v>0.02001298195</v>
      </c>
      <c r="T91" s="20" t="n">
        <v>0.02001315796</v>
      </c>
      <c r="U91" s="20" t="n">
        <v>0.02001278139</v>
      </c>
    </row>
    <row r="92" customFormat="false" ht="15" hidden="false" customHeight="false" outlineLevel="0" collapsed="false">
      <c r="A92" s="19" t="s">
        <v>866</v>
      </c>
      <c r="B92" s="19" t="n">
        <v>186.0592907</v>
      </c>
      <c r="C92" s="19" t="n">
        <v>328.3376756</v>
      </c>
      <c r="D92" s="19" t="n">
        <v>432.5982182</v>
      </c>
      <c r="E92" s="19" t="n">
        <v>586.7503802</v>
      </c>
      <c r="F92" s="19" t="n">
        <v>922.4591747</v>
      </c>
      <c r="G92" s="19" t="n">
        <v>1255.459024</v>
      </c>
      <c r="H92" s="19" t="n">
        <v>1612.726399</v>
      </c>
      <c r="I92" s="19" t="n">
        <v>1994.301252</v>
      </c>
      <c r="J92" s="19" t="n">
        <v>2317.654457</v>
      </c>
      <c r="K92" s="19" t="n">
        <v>2661.314947</v>
      </c>
      <c r="L92" s="20" t="n">
        <v>0.1500349719</v>
      </c>
      <c r="M92" s="20" t="n">
        <v>0.149850816</v>
      </c>
      <c r="N92" s="20" t="n">
        <v>0.1496500469</v>
      </c>
      <c r="O92" s="20" t="n">
        <v>0.149444929</v>
      </c>
      <c r="P92" s="20" t="n">
        <v>0.1492205766</v>
      </c>
      <c r="Q92" s="20" t="n">
        <v>0.1489791913</v>
      </c>
      <c r="R92" s="20" t="n">
        <v>0.148717105</v>
      </c>
      <c r="S92" s="20" t="n">
        <v>0.1484301219</v>
      </c>
      <c r="T92" s="20" t="n">
        <v>0.1481165994</v>
      </c>
      <c r="U92" s="20" t="n">
        <v>0.1477643085</v>
      </c>
    </row>
    <row r="93" customFormat="false" ht="15" hidden="false" customHeight="false" outlineLevel="0" collapsed="false">
      <c r="A93" s="17" t="s">
        <v>867</v>
      </c>
      <c r="B93" s="21" t="n">
        <v>1240.106145</v>
      </c>
      <c r="C93" s="21" t="n">
        <v>2191.097015</v>
      </c>
      <c r="D93" s="21" t="n">
        <v>2890.732259</v>
      </c>
      <c r="E93" s="21" t="n">
        <v>3926.197991</v>
      </c>
      <c r="F93" s="21" t="n">
        <v>6181.849685</v>
      </c>
      <c r="G93" s="21" t="n">
        <v>8427.076381</v>
      </c>
      <c r="H93" s="21" t="n">
        <v>10844.25627</v>
      </c>
      <c r="I93" s="21" t="n">
        <v>13435.96047</v>
      </c>
      <c r="J93" s="21" t="n">
        <v>15647.49978</v>
      </c>
      <c r="K93" s="21" t="n">
        <v>18010.53972</v>
      </c>
      <c r="L93" s="24" t="n">
        <v>1</v>
      </c>
      <c r="M93" s="22" t="n">
        <v>1</v>
      </c>
      <c r="N93" s="22" t="n">
        <v>1</v>
      </c>
      <c r="O93" s="24" t="n">
        <v>1</v>
      </c>
      <c r="P93" s="22" t="n">
        <v>1</v>
      </c>
      <c r="Q93" s="22" t="n">
        <v>1</v>
      </c>
      <c r="R93" s="22" t="n">
        <v>1</v>
      </c>
      <c r="S93" s="22" t="n">
        <v>1</v>
      </c>
      <c r="T93" s="22" t="n">
        <v>1</v>
      </c>
      <c r="U93" s="2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7" t="s">
        <v>869</v>
      </c>
    </row>
    <row r="2" customFormat="false" ht="15" hidden="false" customHeight="false" outlineLevel="0" collapsed="false">
      <c r="A2" s="18" t="s">
        <v>870</v>
      </c>
    </row>
    <row r="3" customFormat="false" ht="15" hidden="false" customHeight="false" outlineLevel="0" collapsed="false">
      <c r="A3" s="18" t="s">
        <v>871</v>
      </c>
    </row>
    <row r="5" customFormat="false" ht="15" hidden="false" customHeight="false" outlineLevel="0" collapsed="false">
      <c r="A5" s="17" t="s">
        <v>872</v>
      </c>
    </row>
    <row r="6" customFormat="false" ht="15" hidden="false" customHeight="false" outlineLevel="0" collapsed="false">
      <c r="A6" s="18" t="s">
        <v>873</v>
      </c>
      <c r="B6" s="19" t="n">
        <v>260</v>
      </c>
      <c r="E6" s="18" t="s">
        <v>874</v>
      </c>
      <c r="L6" s="18" t="s">
        <v>875</v>
      </c>
    </row>
    <row r="7" customFormat="false" ht="15" hidden="false" customHeight="false" outlineLevel="0" collapsed="false">
      <c r="A7" s="18" t="s">
        <v>876</v>
      </c>
      <c r="B7" s="19" t="n">
        <v>3</v>
      </c>
      <c r="L7" s="18" t="s">
        <v>877</v>
      </c>
    </row>
    <row r="8" customFormat="false" ht="15" hidden="false" customHeight="false" outlineLevel="0" collapsed="false">
      <c r="A8" s="18" t="s">
        <v>878</v>
      </c>
      <c r="B8" s="20" t="n">
        <v>0.1</v>
      </c>
      <c r="L8" s="18" t="s">
        <v>879</v>
      </c>
    </row>
    <row r="9" customFormat="false" ht="15" hidden="false" customHeight="false" outlineLevel="0" collapsed="false">
      <c r="A9" s="18" t="s">
        <v>880</v>
      </c>
      <c r="B9" s="25" t="n">
        <v>20</v>
      </c>
      <c r="L9" s="18" t="s">
        <v>881</v>
      </c>
    </row>
    <row r="10" customFormat="false" ht="15" hidden="false" customHeight="false" outlineLevel="0" collapsed="false">
      <c r="A10" s="18" t="s">
        <v>882</v>
      </c>
      <c r="B10" s="25" t="n">
        <v>30</v>
      </c>
      <c r="L10" s="18" t="s">
        <v>881</v>
      </c>
    </row>
    <row r="12" customFormat="false" ht="15" hidden="false" customHeight="false" outlineLevel="0" collapsed="false">
      <c r="A12" s="17" t="s">
        <v>883</v>
      </c>
      <c r="B12" s="26" t="n">
        <v>2026</v>
      </c>
      <c r="C12" s="26" t="n">
        <v>2027</v>
      </c>
      <c r="D12" s="26" t="n">
        <v>2028</v>
      </c>
      <c r="E12" s="26" t="n">
        <v>2029</v>
      </c>
      <c r="F12" s="26" t="n">
        <v>2030</v>
      </c>
      <c r="G12" s="26" t="n">
        <v>2031</v>
      </c>
      <c r="H12" s="26" t="n">
        <v>2032</v>
      </c>
      <c r="I12" s="26" t="n">
        <v>2033</v>
      </c>
      <c r="J12" s="26" t="n">
        <v>2034</v>
      </c>
      <c r="K12" s="26" t="n">
        <v>2035</v>
      </c>
    </row>
    <row r="14" customFormat="false" ht="15" hidden="false" customHeight="false" outlineLevel="0" collapsed="false">
      <c r="A14" s="17" t="s">
        <v>884</v>
      </c>
    </row>
    <row r="15" customFormat="false" ht="15" hidden="false" customHeight="false" outlineLevel="0" collapsed="false">
      <c r="A15" s="18" t="s">
        <v>885</v>
      </c>
      <c r="B15" s="19" t="n">
        <v>39725</v>
      </c>
      <c r="C15" s="19" t="n">
        <v>39940</v>
      </c>
      <c r="D15" s="19" t="n">
        <v>40154</v>
      </c>
      <c r="E15" s="19" t="n">
        <v>40369</v>
      </c>
      <c r="F15" s="19" t="n">
        <v>40593</v>
      </c>
      <c r="G15" s="19" t="n">
        <v>40811</v>
      </c>
      <c r="H15" s="19" t="n">
        <v>41042</v>
      </c>
      <c r="I15" s="19" t="n">
        <v>41258</v>
      </c>
      <c r="J15" s="19" t="n">
        <v>41486</v>
      </c>
      <c r="K15" s="19" t="n">
        <v>41707</v>
      </c>
    </row>
    <row r="16" customFormat="false" ht="15" hidden="false" customHeight="false" outlineLevel="0" collapsed="false">
      <c r="A16" s="18" t="s">
        <v>886</v>
      </c>
      <c r="B16" s="19" t="n">
        <v>3393423</v>
      </c>
      <c r="C16" s="19" t="n">
        <v>3525669</v>
      </c>
      <c r="D16" s="19" t="n">
        <v>3663072</v>
      </c>
      <c r="E16" s="19" t="n">
        <v>3805830</v>
      </c>
      <c r="F16" s="19" t="n">
        <v>3954150</v>
      </c>
      <c r="G16" s="19" t="n">
        <v>4108248</v>
      </c>
      <c r="H16" s="19" t="n">
        <v>4268358</v>
      </c>
      <c r="I16" s="19" t="n">
        <v>4434705</v>
      </c>
      <c r="J16" s="19" t="n">
        <v>4607532</v>
      </c>
      <c r="K16" s="19" t="n">
        <v>4787100</v>
      </c>
    </row>
    <row r="17" customFormat="false" ht="15" hidden="false" customHeight="false" outlineLevel="0" collapsed="false">
      <c r="A17" s="18" t="s">
        <v>887</v>
      </c>
      <c r="B17" s="19" t="n">
        <v>703633</v>
      </c>
      <c r="C17" s="19" t="n">
        <v>704099</v>
      </c>
      <c r="D17" s="19" t="n">
        <v>704578</v>
      </c>
      <c r="E17" s="19" t="n">
        <v>705077</v>
      </c>
      <c r="F17" s="19" t="n">
        <v>705582</v>
      </c>
      <c r="G17" s="19" t="n">
        <v>706103</v>
      </c>
      <c r="H17" s="19" t="n">
        <v>706636</v>
      </c>
      <c r="I17" s="19" t="n">
        <v>707181</v>
      </c>
      <c r="J17" s="19" t="n">
        <v>707746</v>
      </c>
      <c r="K17" s="19" t="n">
        <v>708321</v>
      </c>
    </row>
    <row r="18" customFormat="false" ht="15" hidden="false" customHeight="false" outlineLevel="0" collapsed="false">
      <c r="A18" s="18" t="s">
        <v>888</v>
      </c>
      <c r="B18" s="19" t="n">
        <v>12094003</v>
      </c>
      <c r="C18" s="19" t="n">
        <v>12355237</v>
      </c>
      <c r="D18" s="19" t="n">
        <v>12622105</v>
      </c>
      <c r="E18" s="19" t="n">
        <v>12894744</v>
      </c>
      <c r="F18" s="19" t="n">
        <v>13173268</v>
      </c>
      <c r="G18" s="19" t="n">
        <v>13457809</v>
      </c>
      <c r="H18" s="19" t="n">
        <v>13748498</v>
      </c>
      <c r="I18" s="19" t="n">
        <v>14045462</v>
      </c>
      <c r="J18" s="19" t="n">
        <v>14348845</v>
      </c>
      <c r="K18" s="19" t="n">
        <v>14658783</v>
      </c>
    </row>
    <row r="19" customFormat="false" ht="15" hidden="false" customHeight="false" outlineLevel="0" collapsed="false">
      <c r="A19" s="18" t="s">
        <v>889</v>
      </c>
      <c r="B19" s="19" t="n">
        <v>480202</v>
      </c>
      <c r="C19" s="19" t="n">
        <v>491487</v>
      </c>
      <c r="D19" s="19" t="n">
        <v>503046</v>
      </c>
      <c r="E19" s="19" t="n">
        <v>514886</v>
      </c>
      <c r="F19" s="19" t="n">
        <v>527016</v>
      </c>
      <c r="G19" s="19" t="n">
        <v>539450</v>
      </c>
      <c r="H19" s="19" t="n">
        <v>552192</v>
      </c>
      <c r="I19" s="19" t="n">
        <v>565246</v>
      </c>
      <c r="J19" s="19" t="n">
        <v>578626</v>
      </c>
      <c r="K19" s="19" t="n">
        <v>592334</v>
      </c>
    </row>
    <row r="20" customFormat="false" ht="15" hidden="false" customHeight="false" outlineLevel="0" collapsed="false">
      <c r="A20" s="18" t="s">
        <v>890</v>
      </c>
      <c r="B20" s="19" t="n">
        <v>18972632</v>
      </c>
      <c r="C20" s="19" t="n">
        <v>19153968</v>
      </c>
      <c r="D20" s="19" t="n">
        <v>19337280</v>
      </c>
      <c r="E20" s="19" t="n">
        <v>19522464</v>
      </c>
      <c r="F20" s="19" t="n">
        <v>19709624</v>
      </c>
      <c r="G20" s="19" t="n">
        <v>19898792</v>
      </c>
      <c r="H20" s="19" t="n">
        <v>20089920</v>
      </c>
      <c r="I20" s="19" t="n">
        <v>20283056</v>
      </c>
      <c r="J20" s="19" t="n">
        <v>20478312</v>
      </c>
      <c r="K20" s="19" t="n">
        <v>20675608</v>
      </c>
    </row>
    <row r="21" customFormat="false" ht="15" hidden="false" customHeight="false" outlineLevel="0" collapsed="false">
      <c r="A21" s="18" t="s">
        <v>891</v>
      </c>
      <c r="B21" s="19" t="n">
        <v>327007</v>
      </c>
      <c r="C21" s="19" t="n">
        <v>330622</v>
      </c>
      <c r="D21" s="19" t="n">
        <v>334864</v>
      </c>
      <c r="E21" s="19" t="n">
        <v>339841</v>
      </c>
      <c r="F21" s="19" t="n">
        <v>345690</v>
      </c>
      <c r="G21" s="19" t="n">
        <v>352567</v>
      </c>
      <c r="H21" s="19" t="n">
        <v>360658</v>
      </c>
      <c r="I21" s="19" t="n">
        <v>370183</v>
      </c>
      <c r="J21" s="19" t="n">
        <v>381402</v>
      </c>
      <c r="K21" s="19" t="n">
        <v>394627</v>
      </c>
    </row>
    <row r="22" customFormat="false" ht="15" hidden="false" customHeight="false" outlineLevel="0" collapsed="false">
      <c r="A22" s="17" t="s">
        <v>892</v>
      </c>
      <c r="B22" s="21" t="n">
        <v>36010625</v>
      </c>
      <c r="C22" s="21" t="n">
        <v>36601022</v>
      </c>
      <c r="D22" s="21" t="n">
        <v>37205099</v>
      </c>
      <c r="E22" s="21" t="n">
        <v>37823211</v>
      </c>
      <c r="F22" s="21" t="n">
        <v>38455923</v>
      </c>
      <c r="G22" s="21" t="n">
        <v>39103780</v>
      </c>
      <c r="H22" s="21" t="n">
        <v>39767304</v>
      </c>
      <c r="I22" s="21" t="n">
        <v>40447091</v>
      </c>
      <c r="J22" s="21" t="n">
        <v>41143949</v>
      </c>
      <c r="K22" s="21" t="n">
        <v>41858480</v>
      </c>
    </row>
    <row r="23" customFormat="false" ht="15" hidden="false" customHeight="false" outlineLevel="0" collapsed="false">
      <c r="A23" s="18" t="s">
        <v>893</v>
      </c>
      <c r="B23" s="19" t="n">
        <v>23916622</v>
      </c>
      <c r="C23" s="19" t="n">
        <v>24245785</v>
      </c>
      <c r="D23" s="19" t="n">
        <v>24582994</v>
      </c>
      <c r="E23" s="19" t="n">
        <v>24928467</v>
      </c>
      <c r="F23" s="19" t="n">
        <v>25282655</v>
      </c>
      <c r="G23" s="19" t="n">
        <v>25645971</v>
      </c>
      <c r="H23" s="19" t="n">
        <v>26018806</v>
      </c>
      <c r="I23" s="19" t="n">
        <v>26401629</v>
      </c>
      <c r="J23" s="19" t="n">
        <v>26795104</v>
      </c>
      <c r="K23" s="19" t="n">
        <v>27199697</v>
      </c>
    </row>
    <row r="24" customFormat="false" ht="15" hidden="false" customHeight="false" outlineLevel="0" collapsed="false">
      <c r="A24" s="18" t="s">
        <v>894</v>
      </c>
      <c r="B24" s="20" t="n">
        <v>0.6641545933</v>
      </c>
      <c r="C24" s="20" t="n">
        <v>0.6624346446</v>
      </c>
      <c r="D24" s="20" t="n">
        <v>0.6607426041</v>
      </c>
      <c r="E24" s="20" t="n">
        <v>0.6590785484</v>
      </c>
      <c r="F24" s="20" t="n">
        <v>0.6574450183</v>
      </c>
      <c r="G24" s="20" t="n">
        <v>0.6558437829</v>
      </c>
      <c r="H24" s="20" t="n">
        <v>0.6542763372</v>
      </c>
      <c r="I24" s="20" t="n">
        <v>0.6527448167</v>
      </c>
      <c r="J24" s="20" t="n">
        <v>0.6512526058</v>
      </c>
      <c r="K24" s="20" t="n">
        <v>0.6498013545</v>
      </c>
      <c r="L24" s="18" t="s">
        <v>895</v>
      </c>
    </row>
    <row r="26" customFormat="false" ht="15" hidden="false" customHeight="false" outlineLevel="0" collapsed="false">
      <c r="A26" s="17" t="s">
        <v>896</v>
      </c>
    </row>
    <row r="27" customFormat="false" ht="15" hidden="false" customHeight="false" outlineLevel="0" collapsed="false">
      <c r="A27" s="18" t="s">
        <v>897</v>
      </c>
      <c r="B27" s="19" t="n">
        <v>6829.793098</v>
      </c>
      <c r="C27" s="19" t="n">
        <v>30662.68091</v>
      </c>
      <c r="D27" s="19" t="n">
        <v>61483.058</v>
      </c>
      <c r="E27" s="19" t="n">
        <v>114050.7954</v>
      </c>
      <c r="F27" s="19" t="n">
        <v>167870.3958</v>
      </c>
      <c r="G27" s="19" t="n">
        <v>228490.1081</v>
      </c>
      <c r="H27" s="19" t="n">
        <v>283777.7821</v>
      </c>
      <c r="I27" s="19" t="n">
        <v>322612.2382</v>
      </c>
      <c r="J27" s="19" t="n">
        <v>347003.7155</v>
      </c>
      <c r="K27" s="19" t="n">
        <v>371907.6896</v>
      </c>
      <c r="L27" s="18" t="s">
        <v>898</v>
      </c>
    </row>
    <row r="28" customFormat="false" ht="15" hidden="false" customHeight="false" outlineLevel="0" collapsed="false">
      <c r="A28" s="18" t="s">
        <v>899</v>
      </c>
      <c r="B28" s="19" t="n">
        <v>4536.038457</v>
      </c>
      <c r="C28" s="19" t="n">
        <v>20312.02213</v>
      </c>
      <c r="D28" s="19" t="n">
        <v>40624.47586</v>
      </c>
      <c r="E28" s="19" t="n">
        <v>75168.43269</v>
      </c>
      <c r="F28" s="19" t="n">
        <v>110365.5554</v>
      </c>
      <c r="G28" s="19" t="n">
        <v>149853.8168</v>
      </c>
      <c r="H28" s="19" t="n">
        <v>185669.0879</v>
      </c>
      <c r="I28" s="19" t="n">
        <v>210583.4663</v>
      </c>
      <c r="J28" s="19" t="n">
        <v>225987.074</v>
      </c>
      <c r="K28" s="19" t="n">
        <v>241666.1205</v>
      </c>
    </row>
    <row r="29" customFormat="false" ht="15" hidden="false" customHeight="false" outlineLevel="0" collapsed="false">
      <c r="A29" s="17" t="s">
        <v>900</v>
      </c>
      <c r="B29" s="21" t="n">
        <v>454</v>
      </c>
      <c r="C29" s="21" t="n">
        <v>2032</v>
      </c>
      <c r="D29" s="21" t="n">
        <v>4063</v>
      </c>
      <c r="E29" s="21" t="n">
        <v>7517</v>
      </c>
      <c r="F29" s="21" t="n">
        <v>11037</v>
      </c>
      <c r="G29" s="21" t="n">
        <v>14986</v>
      </c>
      <c r="H29" s="21" t="n">
        <v>18567</v>
      </c>
      <c r="I29" s="21" t="n">
        <v>21059</v>
      </c>
      <c r="J29" s="21" t="n">
        <v>22599</v>
      </c>
      <c r="K29" s="21" t="n">
        <v>24167</v>
      </c>
      <c r="L29" s="18" t="s">
        <v>901</v>
      </c>
    </row>
    <row r="30" customFormat="false" ht="15" hidden="false" customHeight="false" outlineLevel="0" collapsed="false">
      <c r="A30" s="17" t="s">
        <v>902</v>
      </c>
      <c r="B30" s="21" t="n">
        <v>454</v>
      </c>
      <c r="C30" s="21" t="n">
        <v>1578</v>
      </c>
      <c r="D30" s="21" t="n">
        <v>2031</v>
      </c>
      <c r="E30" s="21" t="n">
        <v>3454</v>
      </c>
      <c r="F30" s="21" t="n">
        <v>3520</v>
      </c>
      <c r="G30" s="21" t="n">
        <v>3949</v>
      </c>
      <c r="H30" s="21" t="n">
        <v>3581</v>
      </c>
      <c r="I30" s="21" t="n">
        <v>2492</v>
      </c>
      <c r="J30" s="21" t="n">
        <v>1540</v>
      </c>
      <c r="K30" s="21" t="n">
        <v>1568</v>
      </c>
    </row>
    <row r="32" customFormat="false" ht="15" hidden="false" customHeight="false" outlineLevel="0" collapsed="false">
      <c r="A32" s="17" t="s">
        <v>903</v>
      </c>
    </row>
    <row r="33" customFormat="false" ht="15" hidden="false" customHeight="false" outlineLevel="0" collapsed="false">
      <c r="A33" s="18" t="s">
        <v>904</v>
      </c>
      <c r="B33" s="20" t="n">
        <v>0.06647346318</v>
      </c>
      <c r="C33" s="20" t="n">
        <v>0.06626948262</v>
      </c>
      <c r="D33" s="20" t="n">
        <v>0.06608324524</v>
      </c>
      <c r="E33" s="20" t="n">
        <v>0.06590922905</v>
      </c>
      <c r="F33" s="20" t="n">
        <v>0.06574714945</v>
      </c>
      <c r="G33" s="20" t="n">
        <v>0.06558708439</v>
      </c>
      <c r="H33" s="20" t="n">
        <v>0.06542795514</v>
      </c>
      <c r="I33" s="20" t="n">
        <v>0.06527650691</v>
      </c>
      <c r="J33" s="20" t="n">
        <v>0.06512610381</v>
      </c>
      <c r="K33" s="20" t="n">
        <v>0.06498117859</v>
      </c>
      <c r="L33" s="18" t="s">
        <v>905</v>
      </c>
    </row>
    <row r="34" customFormat="false" ht="15" hidden="false" customHeight="false" outlineLevel="0" collapsed="false">
      <c r="A34" s="17" t="s">
        <v>906</v>
      </c>
    </row>
    <row r="35" customFormat="false" ht="15" hidden="false" customHeight="false" outlineLevel="0" collapsed="false">
      <c r="A35" s="18" t="s">
        <v>144</v>
      </c>
      <c r="B35" s="27" t="n">
        <v>37.45755974</v>
      </c>
      <c r="C35" s="27" t="n">
        <v>182.8379274</v>
      </c>
      <c r="D35" s="27" t="n">
        <v>329.1635168</v>
      </c>
      <c r="E35" s="27" t="n">
        <v>604.0870395</v>
      </c>
      <c r="F35" s="27" t="n">
        <v>908.4196036</v>
      </c>
      <c r="G35" s="27" t="n">
        <v>1265.854457</v>
      </c>
      <c r="H35" s="27" t="n">
        <v>1591.762771</v>
      </c>
      <c r="I35" s="27" t="n">
        <v>1848.642494</v>
      </c>
      <c r="J35" s="27" t="n">
        <v>1981.471329</v>
      </c>
      <c r="K35" s="27" t="n">
        <v>2117.630886</v>
      </c>
    </row>
    <row r="36" customFormat="false" ht="15" hidden="false" customHeight="false" outlineLevel="0" collapsed="false">
      <c r="A36" s="18" t="s">
        <v>145</v>
      </c>
      <c r="B36" s="27" t="n">
        <v>3.554545917</v>
      </c>
      <c r="C36" s="27" t="n">
        <v>13.8703588</v>
      </c>
      <c r="D36" s="27" t="n">
        <v>31.75858511</v>
      </c>
      <c r="E36" s="27" t="n">
        <v>58.48173393</v>
      </c>
      <c r="F36" s="27" t="n">
        <v>84.63118963</v>
      </c>
      <c r="G36" s="27" t="n">
        <v>112.3877028</v>
      </c>
      <c r="H36" s="27" t="n">
        <v>138.1358126</v>
      </c>
      <c r="I36" s="27" t="n">
        <v>153.831058</v>
      </c>
      <c r="J36" s="27" t="n">
        <v>166.4744671</v>
      </c>
      <c r="K36" s="27" t="n">
        <v>179.3160521</v>
      </c>
    </row>
    <row r="37" customFormat="false" ht="15" hidden="false" customHeight="false" outlineLevel="0" collapsed="false">
      <c r="A37" s="18" t="s">
        <v>146</v>
      </c>
      <c r="B37" s="27" t="n">
        <v>21.00859208</v>
      </c>
      <c r="C37" s="27" t="n">
        <v>84.6026487</v>
      </c>
      <c r="D37" s="27" t="n">
        <v>191.5519695</v>
      </c>
      <c r="E37" s="27" t="n">
        <v>362.1998221</v>
      </c>
      <c r="F37" s="27" t="n">
        <v>521.825908</v>
      </c>
      <c r="G37" s="27" t="n">
        <v>693.5109453</v>
      </c>
      <c r="H37" s="27" t="n">
        <v>848.8908434</v>
      </c>
      <c r="I37" s="27" t="n">
        <v>940.8769835</v>
      </c>
      <c r="J37" s="27" t="n">
        <v>1015.096874</v>
      </c>
      <c r="K37" s="27" t="n">
        <v>1090.683375</v>
      </c>
    </row>
    <row r="38" customFormat="false" ht="15" hidden="false" customHeight="false" outlineLevel="0" collapsed="false">
      <c r="A38" s="18" t="s">
        <v>147</v>
      </c>
      <c r="B38" s="27" t="n">
        <v>1.274733708</v>
      </c>
      <c r="C38" s="27" t="n">
        <v>4.715876847</v>
      </c>
      <c r="D38" s="27" t="n">
        <v>11.04509029</v>
      </c>
      <c r="E38" s="27" t="n">
        <v>21.12923953</v>
      </c>
      <c r="F38" s="27" t="n">
        <v>30.66839686</v>
      </c>
      <c r="G38" s="27" t="n">
        <v>41.08244089</v>
      </c>
      <c r="H38" s="27" t="n">
        <v>50.29088251</v>
      </c>
      <c r="I38" s="27" t="n">
        <v>55.70068976</v>
      </c>
      <c r="J38" s="27" t="n">
        <v>60.10028485</v>
      </c>
      <c r="K38" s="27" t="n">
        <v>64.58050054</v>
      </c>
    </row>
    <row r="39" customFormat="false" ht="15" hidden="false" customHeight="false" outlineLevel="0" collapsed="false">
      <c r="A39" s="18" t="s">
        <v>544</v>
      </c>
      <c r="B39" s="27" t="n">
        <v>1.715987684</v>
      </c>
      <c r="C39" s="27" t="n">
        <v>6.932125345</v>
      </c>
      <c r="D39" s="27" t="n">
        <v>15.88767769</v>
      </c>
      <c r="E39" s="27" t="n">
        <v>29.8167293</v>
      </c>
      <c r="F39" s="27" t="n">
        <v>43.02735878</v>
      </c>
      <c r="G39" s="27" t="n">
        <v>57.52845133</v>
      </c>
      <c r="H39" s="27" t="n">
        <v>70.51301744</v>
      </c>
      <c r="I39" s="27" t="n">
        <v>78.40697592</v>
      </c>
      <c r="J39" s="27" t="n">
        <v>84.73669729</v>
      </c>
      <c r="K39" s="27" t="n">
        <v>91.17311795</v>
      </c>
    </row>
    <row r="40" customFormat="false" ht="15" hidden="false" customHeight="false" outlineLevel="0" collapsed="false">
      <c r="A40" s="18" t="s">
        <v>545</v>
      </c>
      <c r="B40" s="27" t="n">
        <v>0.2451410978</v>
      </c>
      <c r="C40" s="27" t="n">
        <v>1.737985842</v>
      </c>
      <c r="D40" s="27" t="n">
        <v>3.411748152</v>
      </c>
      <c r="E40" s="27" t="n">
        <v>5.684243621</v>
      </c>
      <c r="F40" s="27" t="n">
        <v>8.017926269</v>
      </c>
      <c r="G40" s="27" t="n">
        <v>10.38141017</v>
      </c>
      <c r="H40" s="27" t="n">
        <v>12.88568749</v>
      </c>
      <c r="I40" s="27" t="n">
        <v>14.5775577</v>
      </c>
      <c r="J40" s="27" t="n">
        <v>15.93832915</v>
      </c>
      <c r="K40" s="27" t="n">
        <v>17.30980301</v>
      </c>
    </row>
    <row r="41" customFormat="false" ht="15" hidden="false" customHeight="false" outlineLevel="0" collapsed="false">
      <c r="A41" s="18" t="s">
        <v>833</v>
      </c>
      <c r="B41" s="27" t="n">
        <v>0.1225705489</v>
      </c>
      <c r="C41" s="27" t="n">
        <v>0.8966346929</v>
      </c>
      <c r="D41" s="27" t="n">
        <v>1.772256113</v>
      </c>
      <c r="E41" s="27" t="n">
        <v>3.032286546</v>
      </c>
      <c r="F41" s="27" t="n">
        <v>4.300105456</v>
      </c>
      <c r="G41" s="27" t="n">
        <v>5.547472384</v>
      </c>
      <c r="H41" s="27" t="n">
        <v>6.783542717</v>
      </c>
      <c r="I41" s="27" t="n">
        <v>7.670247767</v>
      </c>
      <c r="J41" s="27" t="n">
        <v>8.342789262</v>
      </c>
      <c r="K41" s="27" t="n">
        <v>9.023120124</v>
      </c>
    </row>
    <row r="42" customFormat="false" ht="15" hidden="false" customHeight="false" outlineLevel="0" collapsed="false">
      <c r="A42" s="18" t="s">
        <v>547</v>
      </c>
      <c r="B42" s="27" t="n">
        <v>0.07354232933</v>
      </c>
      <c r="C42" s="27" t="n">
        <v>0.5071569382</v>
      </c>
      <c r="D42" s="27" t="n">
        <v>0.9578718226</v>
      </c>
      <c r="E42" s="27" t="n">
        <v>1.719113135</v>
      </c>
      <c r="F42" s="27" t="n">
        <v>2.369368017</v>
      </c>
      <c r="G42" s="27" t="n">
        <v>3.146849543</v>
      </c>
      <c r="H42" s="27" t="n">
        <v>3.977439801</v>
      </c>
      <c r="I42" s="27" t="n">
        <v>4.404801268</v>
      </c>
      <c r="J42" s="27" t="n">
        <v>4.808652728</v>
      </c>
      <c r="K42" s="27" t="n">
        <v>5.216101788</v>
      </c>
    </row>
    <row r="43" customFormat="false" ht="15" hidden="false" customHeight="false" outlineLevel="0" collapsed="false">
      <c r="A43" s="18" t="s">
        <v>834</v>
      </c>
      <c r="B43" s="27" t="n">
        <v>0.8825079519</v>
      </c>
      <c r="C43" s="27" t="n">
        <v>3.613524769</v>
      </c>
      <c r="D43" s="27" t="n">
        <v>8.045315885</v>
      </c>
      <c r="E43" s="27" t="n">
        <v>14.64618227</v>
      </c>
      <c r="F43" s="27" t="n">
        <v>21.14062049</v>
      </c>
      <c r="G43" s="27" t="n">
        <v>28.01666142</v>
      </c>
      <c r="H43" s="27" t="n">
        <v>34.47776614</v>
      </c>
      <c r="I43" s="27" t="n">
        <v>38.59551804</v>
      </c>
      <c r="J43" s="27" t="n">
        <v>41.75378378</v>
      </c>
      <c r="K43" s="27" t="n">
        <v>44.96246176</v>
      </c>
    </row>
    <row r="44" customFormat="false" ht="15" hidden="false" customHeight="false" outlineLevel="0" collapsed="false">
      <c r="A44" s="18" t="s">
        <v>549</v>
      </c>
      <c r="B44" s="27" t="n">
        <v>4.853793736</v>
      </c>
      <c r="C44" s="27" t="n">
        <v>18.28511713</v>
      </c>
      <c r="D44" s="27" t="n">
        <v>42.62105324</v>
      </c>
      <c r="E44" s="27" t="n">
        <v>81.49504029</v>
      </c>
      <c r="F44" s="27" t="n">
        <v>117.7174202</v>
      </c>
      <c r="G44" s="27" t="n">
        <v>156.4949564</v>
      </c>
      <c r="H44" s="27" t="n">
        <v>191.3697936</v>
      </c>
      <c r="I44" s="27" t="n">
        <v>211.5768786</v>
      </c>
      <c r="J44" s="27" t="n">
        <v>228.2725415</v>
      </c>
      <c r="K44" s="27" t="n">
        <v>245.2752345</v>
      </c>
    </row>
    <row r="45" customFormat="false" ht="15" hidden="false" customHeight="false" outlineLevel="0" collapsed="false">
      <c r="A45" s="18" t="s">
        <v>550</v>
      </c>
      <c r="B45" s="27" t="n">
        <v>1.348276038</v>
      </c>
      <c r="C45" s="27" t="n">
        <v>6.934353682</v>
      </c>
      <c r="D45" s="27" t="n">
        <v>14.82370201</v>
      </c>
      <c r="E45" s="27" t="n">
        <v>26.51687107</v>
      </c>
      <c r="F45" s="27" t="n">
        <v>38.21731265</v>
      </c>
      <c r="G45" s="27" t="n">
        <v>50.92688882</v>
      </c>
      <c r="H45" s="27" t="n">
        <v>63.12572461</v>
      </c>
      <c r="I45" s="27" t="n">
        <v>71.2740315</v>
      </c>
      <c r="J45" s="27" t="n">
        <v>77.51228315</v>
      </c>
      <c r="K45" s="27" t="n">
        <v>83.82347133</v>
      </c>
    </row>
    <row r="46" customFormat="false" ht="15" hidden="false" customHeight="false" outlineLevel="0" collapsed="false">
      <c r="A46" s="18" t="s">
        <v>835</v>
      </c>
      <c r="B46" s="27" t="n">
        <v>0.1961128782</v>
      </c>
      <c r="C46" s="27" t="n">
        <v>1.20747648</v>
      </c>
      <c r="D46" s="27" t="n">
        <v>2.487674503</v>
      </c>
      <c r="E46" s="27" t="n">
        <v>4.318898028</v>
      </c>
      <c r="F46" s="27" t="n">
        <v>6.193102385</v>
      </c>
      <c r="G46" s="27" t="n">
        <v>8.133118763</v>
      </c>
      <c r="H46" s="27" t="n">
        <v>10.18879976</v>
      </c>
      <c r="I46" s="27" t="n">
        <v>11.56434158</v>
      </c>
      <c r="J46" s="27" t="n">
        <v>12.63908969</v>
      </c>
      <c r="K46" s="27" t="n">
        <v>13.72256385</v>
      </c>
    </row>
    <row r="47" customFormat="false" ht="15" hidden="false" customHeight="false" outlineLevel="0" collapsed="false">
      <c r="A47" s="18" t="s">
        <v>552</v>
      </c>
      <c r="B47" s="27" t="n">
        <v>0.07354232933</v>
      </c>
      <c r="C47" s="27" t="n">
        <v>0.5071569382</v>
      </c>
      <c r="D47" s="27" t="n">
        <v>0.9578718226</v>
      </c>
      <c r="E47" s="27" t="n">
        <v>1.598148643</v>
      </c>
      <c r="F47" s="27" t="n">
        <v>2.212304137</v>
      </c>
      <c r="G47" s="27" t="n">
        <v>2.757579864</v>
      </c>
      <c r="H47" s="27" t="n">
        <v>3.541502193</v>
      </c>
      <c r="I47" s="27" t="n">
        <v>3.957203009</v>
      </c>
      <c r="J47" s="27" t="n">
        <v>4.332943183</v>
      </c>
      <c r="K47" s="27" t="n">
        <v>4.711273391</v>
      </c>
    </row>
    <row r="48" customFormat="false" ht="15" hidden="false" customHeight="false" outlineLevel="0" collapsed="false">
      <c r="A48" s="18" t="s">
        <v>818</v>
      </c>
      <c r="B48" s="27" t="n">
        <v>0.1899843508</v>
      </c>
      <c r="C48" s="27" t="n">
        <v>0.9264167434</v>
      </c>
      <c r="D48" s="27" t="n">
        <v>2.01369946</v>
      </c>
      <c r="E48" s="27" t="n">
        <v>3.627688313</v>
      </c>
      <c r="F48" s="27" t="n">
        <v>5.218872224</v>
      </c>
      <c r="G48" s="27" t="n">
        <v>6.935001181</v>
      </c>
      <c r="H48" s="27" t="n">
        <v>8.54520639</v>
      </c>
      <c r="I48" s="27" t="n">
        <v>9.595415238</v>
      </c>
      <c r="J48" s="27" t="n">
        <v>10.41281721</v>
      </c>
      <c r="K48" s="27" t="n">
        <v>11.24115267</v>
      </c>
    </row>
    <row r="49" customFormat="false" ht="15" hidden="false" customHeight="false" outlineLevel="0" collapsed="false">
      <c r="A49" s="18" t="s">
        <v>819</v>
      </c>
      <c r="B49" s="27" t="n">
        <v>0.4179655717</v>
      </c>
      <c r="C49" s="27" t="n">
        <v>2.038116836</v>
      </c>
      <c r="D49" s="27" t="n">
        <v>4.430138811</v>
      </c>
      <c r="E49" s="27" t="n">
        <v>7.980914289</v>
      </c>
      <c r="F49" s="27" t="n">
        <v>11.48151889</v>
      </c>
      <c r="G49" s="27" t="n">
        <v>15.2570026</v>
      </c>
      <c r="H49" s="27" t="n">
        <v>18.79945406</v>
      </c>
      <c r="I49" s="27" t="n">
        <v>21.10991352</v>
      </c>
      <c r="J49" s="27" t="n">
        <v>22.90819786</v>
      </c>
      <c r="K49" s="27" t="n">
        <v>24.73053588</v>
      </c>
    </row>
    <row r="50" customFormat="false" ht="15" hidden="false" customHeight="false" outlineLevel="0" collapsed="false">
      <c r="A50" s="18" t="s">
        <v>820</v>
      </c>
      <c r="B50" s="27" t="n">
        <v>0.09119248837</v>
      </c>
      <c r="C50" s="27" t="n">
        <v>0.4446800368</v>
      </c>
      <c r="D50" s="27" t="n">
        <v>0.9665757406</v>
      </c>
      <c r="E50" s="27" t="n">
        <v>1.74129039</v>
      </c>
      <c r="F50" s="27" t="n">
        <v>2.505058668</v>
      </c>
      <c r="G50" s="27" t="n">
        <v>3.328800567</v>
      </c>
      <c r="H50" s="27" t="n">
        <v>4.101699067</v>
      </c>
      <c r="I50" s="27" t="n">
        <v>4.605799314</v>
      </c>
      <c r="J50" s="27" t="n">
        <v>4.99815226</v>
      </c>
      <c r="K50" s="27" t="n">
        <v>5.395753283</v>
      </c>
    </row>
    <row r="51" customFormat="false" ht="15" hidden="false" customHeight="false" outlineLevel="0" collapsed="false">
      <c r="A51" s="18" t="s">
        <v>821</v>
      </c>
      <c r="B51" s="27" t="n">
        <v>0.06079499224</v>
      </c>
      <c r="C51" s="27" t="n">
        <v>0.2964533579</v>
      </c>
      <c r="D51" s="27" t="n">
        <v>0.6443838271</v>
      </c>
      <c r="E51" s="27" t="n">
        <v>1.16086026</v>
      </c>
      <c r="F51" s="27" t="n">
        <v>1.670039112</v>
      </c>
      <c r="G51" s="27" t="n">
        <v>2.219200378</v>
      </c>
      <c r="H51" s="27" t="n">
        <v>2.734466045</v>
      </c>
      <c r="I51" s="27" t="n">
        <v>3.070532876</v>
      </c>
      <c r="J51" s="27" t="n">
        <v>3.332101506</v>
      </c>
      <c r="K51" s="27" t="n">
        <v>3.597168856</v>
      </c>
    </row>
    <row r="53" customFormat="false" ht="15" hidden="false" customHeight="false" outlineLevel="0" collapsed="false">
      <c r="A53" s="17" t="s">
        <v>907</v>
      </c>
    </row>
    <row r="54" customFormat="false" ht="15" hidden="false" customHeight="false" outlineLevel="0" collapsed="false">
      <c r="A54" s="18" t="s">
        <v>908</v>
      </c>
      <c r="B54" s="19" t="n">
        <v>63</v>
      </c>
      <c r="C54" s="19" t="n">
        <v>282</v>
      </c>
      <c r="D54" s="19" t="n">
        <v>553</v>
      </c>
      <c r="E54" s="19" t="n">
        <v>1025</v>
      </c>
      <c r="F54" s="19" t="n">
        <v>1515</v>
      </c>
      <c r="G54" s="19" t="n">
        <v>2072</v>
      </c>
      <c r="H54" s="19" t="n">
        <v>2579</v>
      </c>
      <c r="I54" s="19" t="n">
        <v>2944</v>
      </c>
      <c r="J54" s="19" t="n">
        <v>3164</v>
      </c>
      <c r="K54" s="19" t="n">
        <v>3388</v>
      </c>
    </row>
    <row r="55" customFormat="false" ht="15" hidden="false" customHeight="false" outlineLevel="0" collapsed="false">
      <c r="A55" s="18" t="s">
        <v>147</v>
      </c>
      <c r="B55" s="19" t="n">
        <v>2</v>
      </c>
      <c r="C55" s="19" t="n">
        <v>5</v>
      </c>
      <c r="D55" s="19" t="n">
        <v>12</v>
      </c>
      <c r="E55" s="19" t="n">
        <v>22</v>
      </c>
      <c r="F55" s="19" t="n">
        <v>31</v>
      </c>
      <c r="G55" s="19" t="n">
        <v>42</v>
      </c>
      <c r="H55" s="19" t="n">
        <v>51</v>
      </c>
      <c r="I55" s="19" t="n">
        <v>56</v>
      </c>
      <c r="J55" s="19" t="n">
        <v>61</v>
      </c>
      <c r="K55" s="19" t="n">
        <v>65</v>
      </c>
    </row>
    <row r="56" customFormat="false" ht="15" hidden="false" customHeight="false" outlineLevel="0" collapsed="false">
      <c r="A56" s="18" t="s">
        <v>544</v>
      </c>
      <c r="B56" s="19" t="n">
        <v>2</v>
      </c>
      <c r="C56" s="19" t="n">
        <v>7</v>
      </c>
      <c r="D56" s="19" t="n">
        <v>16</v>
      </c>
      <c r="E56" s="19" t="n">
        <v>30</v>
      </c>
      <c r="F56" s="19" t="n">
        <v>44</v>
      </c>
      <c r="G56" s="19" t="n">
        <v>58</v>
      </c>
      <c r="H56" s="19" t="n">
        <v>71</v>
      </c>
      <c r="I56" s="19" t="n">
        <v>79</v>
      </c>
      <c r="J56" s="19" t="n">
        <v>85</v>
      </c>
      <c r="K56" s="19" t="n">
        <v>92</v>
      </c>
    </row>
    <row r="57" customFormat="false" ht="15" hidden="false" customHeight="false" outlineLevel="0" collapsed="false">
      <c r="A57" s="18" t="s">
        <v>545</v>
      </c>
      <c r="B57" s="19" t="n">
        <v>1</v>
      </c>
      <c r="C57" s="19" t="n">
        <v>2</v>
      </c>
      <c r="D57" s="19" t="n">
        <v>4</v>
      </c>
      <c r="E57" s="19" t="n">
        <v>6</v>
      </c>
      <c r="F57" s="19" t="n">
        <v>9</v>
      </c>
      <c r="G57" s="19" t="n">
        <v>11</v>
      </c>
      <c r="H57" s="19" t="n">
        <v>13</v>
      </c>
      <c r="I57" s="19" t="n">
        <v>15</v>
      </c>
      <c r="J57" s="19" t="n">
        <v>16</v>
      </c>
      <c r="K57" s="19" t="n">
        <v>18</v>
      </c>
    </row>
    <row r="58" customFormat="false" ht="15" hidden="false" customHeight="false" outlineLevel="0" collapsed="false">
      <c r="A58" s="18" t="s">
        <v>833</v>
      </c>
      <c r="B58" s="19" t="n">
        <v>1</v>
      </c>
      <c r="C58" s="19" t="n">
        <v>1</v>
      </c>
      <c r="D58" s="19" t="n">
        <v>2</v>
      </c>
      <c r="E58" s="19" t="n">
        <v>4</v>
      </c>
      <c r="F58" s="19" t="n">
        <v>5</v>
      </c>
      <c r="G58" s="19" t="n">
        <v>6</v>
      </c>
      <c r="H58" s="19" t="n">
        <v>7</v>
      </c>
      <c r="I58" s="19" t="n">
        <v>8</v>
      </c>
      <c r="J58" s="19" t="n">
        <v>9</v>
      </c>
      <c r="K58" s="19" t="n">
        <v>10</v>
      </c>
    </row>
    <row r="59" customFormat="false" ht="15" hidden="false" customHeight="false" outlineLevel="0" collapsed="false">
      <c r="A59" s="18" t="s">
        <v>547</v>
      </c>
      <c r="B59" s="19" t="n">
        <v>1</v>
      </c>
      <c r="C59" s="19" t="n">
        <v>1</v>
      </c>
      <c r="D59" s="19" t="n">
        <v>1</v>
      </c>
      <c r="E59" s="19" t="n">
        <v>2</v>
      </c>
      <c r="F59" s="19" t="n">
        <v>3</v>
      </c>
      <c r="G59" s="19" t="n">
        <v>4</v>
      </c>
      <c r="H59" s="19" t="n">
        <v>4</v>
      </c>
      <c r="I59" s="19" t="n">
        <v>5</v>
      </c>
      <c r="J59" s="19" t="n">
        <v>5</v>
      </c>
      <c r="K59" s="19" t="n">
        <v>6</v>
      </c>
    </row>
    <row r="60" customFormat="false" ht="15" hidden="false" customHeight="false" outlineLevel="0" collapsed="false">
      <c r="A60" s="18" t="s">
        <v>834</v>
      </c>
      <c r="B60" s="19" t="n">
        <v>1</v>
      </c>
      <c r="C60" s="19" t="n">
        <v>4</v>
      </c>
      <c r="D60" s="19" t="n">
        <v>9</v>
      </c>
      <c r="E60" s="19" t="n">
        <v>15</v>
      </c>
      <c r="F60" s="19" t="n">
        <v>22</v>
      </c>
      <c r="G60" s="19" t="n">
        <v>29</v>
      </c>
      <c r="H60" s="19" t="n">
        <v>35</v>
      </c>
      <c r="I60" s="19" t="n">
        <v>39</v>
      </c>
      <c r="J60" s="19" t="n">
        <v>42</v>
      </c>
      <c r="K60" s="19" t="n">
        <v>45</v>
      </c>
    </row>
    <row r="61" customFormat="false" ht="15" hidden="false" customHeight="false" outlineLevel="0" collapsed="false">
      <c r="A61" s="18" t="s">
        <v>909</v>
      </c>
      <c r="B61" s="19" t="n">
        <v>7</v>
      </c>
      <c r="C61" s="19" t="n">
        <v>26</v>
      </c>
      <c r="D61" s="19" t="n">
        <v>58</v>
      </c>
      <c r="E61" s="19" t="n">
        <v>109</v>
      </c>
      <c r="F61" s="19" t="n">
        <v>156</v>
      </c>
      <c r="G61" s="19" t="n">
        <v>208</v>
      </c>
      <c r="H61" s="19" t="n">
        <v>255</v>
      </c>
      <c r="I61" s="19" t="n">
        <v>283</v>
      </c>
      <c r="J61" s="19" t="n">
        <v>306</v>
      </c>
      <c r="K61" s="19" t="n">
        <v>330</v>
      </c>
    </row>
    <row r="62" customFormat="false" ht="15" hidden="false" customHeight="false" outlineLevel="0" collapsed="false">
      <c r="A62" s="18" t="s">
        <v>835</v>
      </c>
      <c r="B62" s="19" t="n">
        <v>1</v>
      </c>
      <c r="C62" s="19" t="n">
        <v>2</v>
      </c>
      <c r="D62" s="19" t="n">
        <v>3</v>
      </c>
      <c r="E62" s="19" t="n">
        <v>5</v>
      </c>
      <c r="F62" s="19" t="n">
        <v>7</v>
      </c>
      <c r="G62" s="19" t="n">
        <v>9</v>
      </c>
      <c r="H62" s="19" t="n">
        <v>11</v>
      </c>
      <c r="I62" s="19" t="n">
        <v>12</v>
      </c>
      <c r="J62" s="19" t="n">
        <v>13</v>
      </c>
      <c r="K62" s="19" t="n">
        <v>14</v>
      </c>
    </row>
    <row r="63" customFormat="false" ht="15" hidden="false" customHeight="false" outlineLevel="0" collapsed="false">
      <c r="A63" s="18" t="s">
        <v>552</v>
      </c>
      <c r="B63" s="19" t="n">
        <v>1</v>
      </c>
      <c r="C63" s="19" t="n">
        <v>1</v>
      </c>
      <c r="D63" s="19" t="n">
        <v>1</v>
      </c>
      <c r="E63" s="19" t="n">
        <v>2</v>
      </c>
      <c r="F63" s="19" t="n">
        <v>3</v>
      </c>
      <c r="G63" s="19" t="n">
        <v>3</v>
      </c>
      <c r="H63" s="19" t="n">
        <v>4</v>
      </c>
      <c r="I63" s="19" t="n">
        <v>4</v>
      </c>
      <c r="J63" s="19" t="n">
        <v>5</v>
      </c>
      <c r="K63" s="19" t="n">
        <v>5</v>
      </c>
    </row>
    <row r="64" customFormat="false" ht="15" hidden="false" customHeight="false" outlineLevel="0" collapsed="false">
      <c r="A64" s="18" t="s">
        <v>910</v>
      </c>
      <c r="B64" s="19" t="n">
        <v>1</v>
      </c>
      <c r="C64" s="19" t="n">
        <v>3</v>
      </c>
      <c r="D64" s="19" t="n">
        <v>7</v>
      </c>
      <c r="E64" s="19" t="n">
        <v>12</v>
      </c>
      <c r="F64" s="19" t="n">
        <v>17</v>
      </c>
      <c r="G64" s="19" t="n">
        <v>23</v>
      </c>
      <c r="H64" s="19" t="n">
        <v>28</v>
      </c>
      <c r="I64" s="19" t="n">
        <v>31</v>
      </c>
      <c r="J64" s="19" t="n">
        <v>34</v>
      </c>
      <c r="K64" s="19" t="n">
        <v>36</v>
      </c>
    </row>
    <row r="65" customFormat="false" ht="15" hidden="false" customHeight="false" outlineLevel="0" collapsed="false">
      <c r="A65" s="18" t="s">
        <v>911</v>
      </c>
      <c r="B65" s="19" t="n">
        <v>1</v>
      </c>
      <c r="C65" s="19" t="n">
        <v>1</v>
      </c>
      <c r="D65" s="19" t="n">
        <v>2</v>
      </c>
      <c r="E65" s="19" t="n">
        <v>3</v>
      </c>
      <c r="F65" s="19" t="n">
        <v>5</v>
      </c>
      <c r="G65" s="19" t="n">
        <v>6</v>
      </c>
      <c r="H65" s="19" t="n">
        <v>7</v>
      </c>
      <c r="I65" s="19" t="n">
        <v>8</v>
      </c>
      <c r="J65" s="19" t="n">
        <v>9</v>
      </c>
      <c r="K65" s="19" t="n">
        <v>9</v>
      </c>
    </row>
    <row r="66" customFormat="false" ht="15" hidden="false" customHeight="false" outlineLevel="0" collapsed="false">
      <c r="A66" s="17" t="s">
        <v>912</v>
      </c>
      <c r="B66" s="21" t="n">
        <v>82</v>
      </c>
      <c r="C66" s="21" t="n">
        <v>335</v>
      </c>
      <c r="D66" s="21" t="n">
        <v>668</v>
      </c>
      <c r="E66" s="21" t="n">
        <v>1235</v>
      </c>
      <c r="F66" s="21" t="n">
        <v>1817</v>
      </c>
      <c r="G66" s="21" t="n">
        <v>2471</v>
      </c>
      <c r="H66" s="21" t="n">
        <v>3065</v>
      </c>
      <c r="I66" s="21" t="n">
        <v>3484</v>
      </c>
      <c r="J66" s="21" t="n">
        <v>3749</v>
      </c>
      <c r="K66" s="21" t="n">
        <v>4018</v>
      </c>
    </row>
    <row r="68" customFormat="false" ht="15" hidden="false" customHeight="false" outlineLevel="0" collapsed="false">
      <c r="A68" s="17" t="s">
        <v>913</v>
      </c>
    </row>
    <row r="69" customFormat="false" ht="15" hidden="false" customHeight="false" outlineLevel="0" collapsed="false">
      <c r="A69" s="18" t="s">
        <v>908</v>
      </c>
      <c r="B69" s="19" t="n">
        <v>63</v>
      </c>
      <c r="C69" s="19" t="n">
        <v>222.15</v>
      </c>
      <c r="D69" s="19" t="n">
        <v>285.1</v>
      </c>
      <c r="E69" s="19" t="n">
        <v>499.65</v>
      </c>
      <c r="F69" s="19" t="n">
        <v>541.25</v>
      </c>
      <c r="G69" s="19" t="n">
        <v>632.75</v>
      </c>
      <c r="H69" s="19" t="n">
        <v>610.6</v>
      </c>
      <c r="I69" s="19" t="n">
        <v>493.95</v>
      </c>
      <c r="J69" s="19" t="n">
        <v>367.2</v>
      </c>
      <c r="K69" s="19" t="n">
        <v>382.2</v>
      </c>
    </row>
    <row r="70" customFormat="false" ht="15" hidden="false" customHeight="false" outlineLevel="0" collapsed="false">
      <c r="A70" s="18" t="s">
        <v>147</v>
      </c>
      <c r="B70" s="19" t="n">
        <v>2</v>
      </c>
      <c r="C70" s="19" t="n">
        <v>3.1</v>
      </c>
      <c r="D70" s="19" t="n">
        <v>7.25</v>
      </c>
      <c r="E70" s="19" t="n">
        <v>10.6</v>
      </c>
      <c r="F70" s="19" t="n">
        <v>10.1</v>
      </c>
      <c r="G70" s="19" t="n">
        <v>12.55</v>
      </c>
      <c r="H70" s="19" t="n">
        <v>11.1</v>
      </c>
      <c r="I70" s="19" t="n">
        <v>7.55</v>
      </c>
      <c r="J70" s="19" t="n">
        <v>7.8</v>
      </c>
      <c r="K70" s="19" t="n">
        <v>7.05</v>
      </c>
    </row>
    <row r="71" customFormat="false" ht="15" hidden="false" customHeight="false" outlineLevel="0" collapsed="false">
      <c r="A71" s="18" t="s">
        <v>544</v>
      </c>
      <c r="B71" s="19" t="n">
        <v>2</v>
      </c>
      <c r="C71" s="19" t="n">
        <v>5.1</v>
      </c>
      <c r="D71" s="19" t="n">
        <v>9.35</v>
      </c>
      <c r="E71" s="19" t="n">
        <v>14.8</v>
      </c>
      <c r="F71" s="19" t="n">
        <v>15.5</v>
      </c>
      <c r="G71" s="19" t="n">
        <v>16.2</v>
      </c>
      <c r="H71" s="19" t="n">
        <v>15.9</v>
      </c>
      <c r="I71" s="19" t="n">
        <v>11.55</v>
      </c>
      <c r="J71" s="19" t="n">
        <v>9.95</v>
      </c>
      <c r="K71" s="19" t="n">
        <v>11.25</v>
      </c>
    </row>
    <row r="72" customFormat="false" ht="15" hidden="false" customHeight="false" outlineLevel="0" collapsed="false">
      <c r="A72" s="18" t="s">
        <v>545</v>
      </c>
      <c r="B72" s="19" t="n">
        <v>1</v>
      </c>
      <c r="C72" s="19" t="n">
        <v>1.05</v>
      </c>
      <c r="D72" s="19" t="n">
        <v>2.1</v>
      </c>
      <c r="E72" s="19" t="n">
        <v>2.2</v>
      </c>
      <c r="F72" s="19" t="n">
        <v>3.3</v>
      </c>
      <c r="G72" s="19" t="n">
        <v>2.45</v>
      </c>
      <c r="H72" s="19" t="n">
        <v>2.55</v>
      </c>
      <c r="I72" s="19" t="n">
        <v>2.65</v>
      </c>
      <c r="J72" s="19" t="n">
        <v>1.75</v>
      </c>
      <c r="K72" s="19" t="n">
        <v>2.8</v>
      </c>
    </row>
    <row r="73" customFormat="false" ht="15" hidden="false" customHeight="false" outlineLevel="0" collapsed="false">
      <c r="A73" s="18" t="s">
        <v>833</v>
      </c>
      <c r="B73" s="19" t="n">
        <v>1</v>
      </c>
      <c r="C73" s="19" t="n">
        <v>0.05</v>
      </c>
      <c r="D73" s="19" t="n">
        <v>1.05</v>
      </c>
      <c r="E73" s="19" t="n">
        <v>2.1</v>
      </c>
      <c r="F73" s="19" t="n">
        <v>1.2</v>
      </c>
      <c r="G73" s="19" t="n">
        <v>1.25</v>
      </c>
      <c r="H73" s="19" t="n">
        <v>1.3</v>
      </c>
      <c r="I73" s="19" t="n">
        <v>1.35</v>
      </c>
      <c r="J73" s="19" t="n">
        <v>1.4</v>
      </c>
      <c r="K73" s="19" t="n">
        <v>1.45</v>
      </c>
    </row>
    <row r="74" customFormat="false" ht="15" hidden="false" customHeight="false" outlineLevel="0" collapsed="false">
      <c r="A74" s="18" t="s">
        <v>547</v>
      </c>
      <c r="B74" s="19" t="n">
        <v>1</v>
      </c>
      <c r="C74" s="19" t="n">
        <v>0.05</v>
      </c>
      <c r="D74" s="19" t="n">
        <v>0.05</v>
      </c>
      <c r="E74" s="19" t="n">
        <v>1.05</v>
      </c>
      <c r="F74" s="19" t="n">
        <v>1.1</v>
      </c>
      <c r="G74" s="19" t="n">
        <v>1.15</v>
      </c>
      <c r="H74" s="19" t="n">
        <v>0.2</v>
      </c>
      <c r="I74" s="19" t="n">
        <v>1.2</v>
      </c>
      <c r="J74" s="19" t="n">
        <v>0.25</v>
      </c>
      <c r="K74" s="19" t="n">
        <v>1.25</v>
      </c>
    </row>
    <row r="75" customFormat="false" ht="15" hidden="false" customHeight="false" outlineLevel="0" collapsed="false">
      <c r="A75" s="18" t="s">
        <v>834</v>
      </c>
      <c r="B75" s="19" t="n">
        <v>1</v>
      </c>
      <c r="C75" s="19" t="n">
        <v>3.05</v>
      </c>
      <c r="D75" s="19" t="n">
        <v>5.2</v>
      </c>
      <c r="E75" s="19" t="n">
        <v>6.45</v>
      </c>
      <c r="F75" s="19" t="n">
        <v>7.75</v>
      </c>
      <c r="G75" s="19" t="n">
        <v>8.1</v>
      </c>
      <c r="H75" s="19" t="n">
        <v>7.45</v>
      </c>
      <c r="I75" s="19" t="n">
        <v>5.75</v>
      </c>
      <c r="J75" s="19" t="n">
        <v>4.95</v>
      </c>
      <c r="K75" s="19" t="n">
        <v>5.1</v>
      </c>
    </row>
    <row r="76" customFormat="false" ht="15" hidden="false" customHeight="false" outlineLevel="0" collapsed="false">
      <c r="A76" s="18" t="s">
        <v>909</v>
      </c>
      <c r="B76" s="19" t="n">
        <v>7</v>
      </c>
      <c r="C76" s="19" t="n">
        <v>19.23333333</v>
      </c>
      <c r="D76" s="19" t="n">
        <v>32.86666667</v>
      </c>
      <c r="E76" s="19" t="n">
        <v>52.93333333</v>
      </c>
      <c r="F76" s="19" t="n">
        <v>50.63333333</v>
      </c>
      <c r="G76" s="19" t="n">
        <v>57.2</v>
      </c>
      <c r="H76" s="19" t="n">
        <v>53.93333333</v>
      </c>
      <c r="I76" s="19" t="n">
        <v>36.5</v>
      </c>
      <c r="J76" s="19" t="n">
        <v>32.43333333</v>
      </c>
      <c r="K76" s="19" t="n">
        <v>34.2</v>
      </c>
    </row>
    <row r="77" customFormat="false" ht="15" hidden="false" customHeight="false" outlineLevel="0" collapsed="false">
      <c r="A77" s="18" t="s">
        <v>835</v>
      </c>
      <c r="B77" s="19" t="n">
        <v>1</v>
      </c>
      <c r="C77" s="19" t="n">
        <v>1.05</v>
      </c>
      <c r="D77" s="19" t="n">
        <v>1.1</v>
      </c>
      <c r="E77" s="19" t="n">
        <v>2.15</v>
      </c>
      <c r="F77" s="19" t="n">
        <v>2.25</v>
      </c>
      <c r="G77" s="19" t="n">
        <v>2.35</v>
      </c>
      <c r="H77" s="19" t="n">
        <v>2.45</v>
      </c>
      <c r="I77" s="19" t="n">
        <v>1.55</v>
      </c>
      <c r="J77" s="19" t="n">
        <v>1.6</v>
      </c>
      <c r="K77" s="19" t="n">
        <v>1.65</v>
      </c>
    </row>
    <row r="78" customFormat="false" ht="15" hidden="false" customHeight="false" outlineLevel="0" collapsed="false">
      <c r="A78" s="18" t="s">
        <v>552</v>
      </c>
      <c r="B78" s="19" t="n">
        <v>1</v>
      </c>
      <c r="C78" s="19" t="n">
        <v>0.05</v>
      </c>
      <c r="D78" s="19" t="n">
        <v>0.05</v>
      </c>
      <c r="E78" s="19" t="n">
        <v>1.05</v>
      </c>
      <c r="F78" s="19" t="n">
        <v>1.1</v>
      </c>
      <c r="G78" s="19" t="n">
        <v>0.15</v>
      </c>
      <c r="H78" s="19" t="n">
        <v>1.15</v>
      </c>
      <c r="I78" s="19" t="n">
        <v>0.2</v>
      </c>
      <c r="J78" s="19" t="n">
        <v>1.2</v>
      </c>
      <c r="K78" s="19" t="n">
        <v>0.25</v>
      </c>
    </row>
    <row r="79" customFormat="false" ht="15" hidden="false" customHeight="false" outlineLevel="0" collapsed="false">
      <c r="A79" s="18" t="s">
        <v>910</v>
      </c>
      <c r="B79" s="19" t="n">
        <v>1</v>
      </c>
      <c r="C79" s="19" t="n">
        <v>2.05</v>
      </c>
      <c r="D79" s="19" t="n">
        <v>4.15</v>
      </c>
      <c r="E79" s="19" t="n">
        <v>5.35</v>
      </c>
      <c r="F79" s="19" t="n">
        <v>5.6</v>
      </c>
      <c r="G79" s="19" t="n">
        <v>6.85</v>
      </c>
      <c r="H79" s="19" t="n">
        <v>6.15</v>
      </c>
      <c r="I79" s="19" t="n">
        <v>4.4</v>
      </c>
      <c r="J79" s="19" t="n">
        <v>4.55</v>
      </c>
      <c r="K79" s="19" t="n">
        <v>3.7</v>
      </c>
    </row>
    <row r="80" customFormat="false" ht="15" hidden="false" customHeight="false" outlineLevel="0" collapsed="false">
      <c r="A80" s="18" t="s">
        <v>911</v>
      </c>
      <c r="B80" s="19" t="n">
        <v>1</v>
      </c>
      <c r="C80" s="19" t="n">
        <v>0.05</v>
      </c>
      <c r="D80" s="19" t="n">
        <v>1.05</v>
      </c>
      <c r="E80" s="19" t="n">
        <v>1.1</v>
      </c>
      <c r="F80" s="19" t="n">
        <v>2.15</v>
      </c>
      <c r="G80" s="19" t="n">
        <v>1.25</v>
      </c>
      <c r="H80" s="19" t="n">
        <v>1.3</v>
      </c>
      <c r="I80" s="19" t="n">
        <v>1.35</v>
      </c>
      <c r="J80" s="19" t="n">
        <v>1.4</v>
      </c>
      <c r="K80" s="19" t="n">
        <v>0.45</v>
      </c>
    </row>
    <row r="81" customFormat="false" ht="15" hidden="false" customHeight="false" outlineLevel="0" collapsed="false">
      <c r="A81" s="17" t="s">
        <v>914</v>
      </c>
      <c r="B81" s="21" t="n">
        <v>82</v>
      </c>
      <c r="C81" s="21" t="n">
        <v>256.9833333</v>
      </c>
      <c r="D81" s="21" t="n">
        <v>349.3166667</v>
      </c>
      <c r="E81" s="21" t="n">
        <v>599.4333333</v>
      </c>
      <c r="F81" s="21" t="n">
        <v>641.9333333</v>
      </c>
      <c r="G81" s="21" t="n">
        <v>742.25</v>
      </c>
      <c r="H81" s="21" t="n">
        <v>714.0833333</v>
      </c>
      <c r="I81" s="21" t="n">
        <v>568</v>
      </c>
      <c r="J81" s="21" t="n">
        <v>434.4833333</v>
      </c>
      <c r="K81" s="21" t="n">
        <v>451.35</v>
      </c>
    </row>
    <row r="82" customFormat="false" ht="15" hidden="false" customHeight="false" outlineLevel="0" collapsed="false">
      <c r="A82" s="18" t="s">
        <v>915</v>
      </c>
      <c r="B82" s="19" t="n">
        <v>82</v>
      </c>
      <c r="C82" s="19" t="n">
        <v>335</v>
      </c>
      <c r="D82" s="19" t="n">
        <v>668</v>
      </c>
      <c r="E82" s="19" t="n">
        <v>1235</v>
      </c>
      <c r="F82" s="19" t="n">
        <v>1817</v>
      </c>
      <c r="G82" s="19" t="n">
        <v>2471</v>
      </c>
      <c r="H82" s="19" t="n">
        <v>3065</v>
      </c>
      <c r="I82" s="19" t="n">
        <v>3484</v>
      </c>
      <c r="J82" s="19" t="n">
        <v>3749</v>
      </c>
      <c r="K82" s="19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2026-10-12T22:19:00Z</dcterms:created>
  <dc:creator>openpyxl</dc:creator>
  <dc:description/>
  <dc:language>en-US</dc:language>
  <cp:lastModifiedBy/>
  <dcterms:modified xsi:type="dcterms:W3CDTF">2026-10-12T22:19:05Z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