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CONSOLIDADO!$A$3:$R$122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POLITICA_STOCK!$A$4:$W$119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<sst xmlns="http://schemas.openxmlformats.org/spreadsheetml/2006/main" count="5941" uniqueCount="943">
  <si>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</si>
  <si>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</si>
  <si>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</si>
  <si>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</si>
  <si>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</si>
  <si>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</si>
  <si>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</si>
  <si>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</si>
  <si>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</si>
  <si>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</si>
  <si>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</si>
  <si>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</si>
  <si>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</si>
  <si>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</si>
  <si>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</si>
  <si>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</si>
  <si>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</si>
  <si>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</si>
  <si>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</si>
  <si>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</si>
  <si>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</si>
  <si>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</si>
  <si>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</si>
  <si>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</si>
  <si>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</si>
  <si>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</si>
  <si>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</si>
  <si>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</si>
  <si>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</si>
  <si>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</si>
  <si>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</si>
  <si>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</si>
  <si>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</si>
  <si>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</si>
  <si>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</si>
  <si>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</si>
  <si>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</si>
  <si>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</si>
  <si>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</si>
  <si>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</si>
  <si>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</si>
  <si>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</si>
  <si>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</si>
  <si>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</si>
  <si>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</si>
  <si>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</si>
  <si>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</si>
  <si>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</si>
  <si>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</si>
  <si>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</si>
  <si>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</si>
  <si>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</si>
  <si>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</si>
  <si>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</si>
  <si>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</si>
  <si>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</si>
  <si>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</si>
  <si>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</si>
  <si>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</si>
  <si>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</si>
  <si>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</si>
  <si>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</si>
  <si>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</si>
  <si>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</si>
  <si>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</si>
  <si>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</si>
  <si>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</si>
  <si>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</si>
  <si>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</si>
  <si>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</si>
  <si>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</si>
  <si>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</si>
  <si>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</si>
  <si>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</si>
  <si>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</si>
  <si>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</si>
  <si>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</si>
  <si>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</si>
  <si>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</si>
  <si>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</si>
  <si>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</si>
  <si>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</si>
  <si>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</si>
  <si>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</si>
  <si>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</si>
  <si>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</si>
  <si>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</si>
  <si>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</si>
  <si>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</si>
  <si>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</si>
  <si>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</si>
  <si>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</si>
  <si>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</si>
  <si>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</si>
  <si>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</si>
  <si>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</si>
  <si>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</si>
  <si>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</si>
  <si>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</si>
  <si>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</si>
  <si>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</si>
  <si>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</si>
  <si>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</si>
  <si>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</si>
  <si>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</si>
  <si>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</si>
  <si>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</si>
  <si>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</si>
  <si>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</si>
  <si>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</si>
  <si>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</si>
  <si>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</si>
  <si>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</si>
  <si>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</si>
  <si>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</si>
  <si>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</si>
  <si>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</si>
  <si>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</si>
  <si>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</si>
  <si>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</si>
  <si>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</si>
  <si>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</si>
  <si>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</si>
  <si>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</si>
  <si>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</si>
  <si>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</si>
  <si>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</si>
  <si>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</si>
  <si>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</si>
  <si>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</si>
  <si>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</si>
  <si>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</si>
  <si>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</si>
  <si>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</si>
  <si>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</si>
  <si>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</si>
  <si>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</si>
  <si>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</si>
  <si>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</si>
  <si>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</si>
  <si>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</si>
  <si>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</si>
  <si>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</si>
  <si>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</si>
  <si>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</si>
  <si>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</si>
  <si>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</si>
  <si>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</si>
  <si>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</si>
  <si>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</si>
  <si>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</si>
  <si>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</si>
  <si>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</si>
  <si>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</si>
  <si>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</si>
  <si>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</si>
  <si>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</si>
  <si>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</si>
  <si>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</si>
  <si>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</si>
  <si>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</si>
  <si>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</si>
  <si>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</si>
  <si>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</si>
  <si>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</si>
  <si>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</si>
  <si>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</si>
  <si>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</si>
  <si>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</si>
  <si>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</si>
  <si>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</si>
  <si>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</si>
  <si>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</si>
  <si>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</si>
  <si>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</si>
  <si>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</si>
  <si>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</si>
  <si>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</si>
  <si>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</si>
  <si>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</si>
  <si>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</si>
  <si>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</si>
  <si>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</si>
  <si>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</si>
  <si>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</si>
  <si>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</si>
  <si>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</si>
  <si>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</si>
  <si>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</si>
  <si>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</si>
  <si>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</si>
  <si>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</si>
  <si>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</si>
  <si>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</si>
  <si>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</si>
  <si>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</si>
  <si>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</si>
  <si>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</si>
  <si>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</si>
  <si>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</si>
  <si>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</si>
  <si>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</si>
  <si>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</si>
  <si>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</si>
  <si>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</si>
  <si>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</si>
  <si>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</si>
  <si>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</si>
  <si>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</si>
  <si>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</si>
  <si>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</si>
  <si>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</si>
  <si>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</si>
  <si>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</si>
  <si>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</si>
  <si>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</si>
  <si>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</si>
  <si>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</si>
  <si>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</si>
  <si>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</si>
  <si>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</si>
  <si>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</si>
  <si>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</si>
  <si>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</si>
  <si>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</si>
  <si>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</si>
  <si>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</si>
  <si>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</si>
  <si>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</si>
  <si>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</si>
  <si>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</si>
  <si>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</si>
  <si>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</si>
  <si>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</si>
  <si>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</si>
  <si>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</si>
  <si>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</si>
  <si>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</si>
  <si>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</si>
  <si>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</si>
  <si>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</si>
  <si>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</si>
  <si>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</si>
  <si>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</si>
  <si>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</si>
  <si>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</si>
  <si>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</si>
  <si>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MP-48/ABC1</t>
  </si>
  <si>
    <t xml:space="preserve">Tobera ABC 1 kg</t>
  </si>
  <si>
    <t xml:space="preserve">M24</t>
  </si>
  <si>
    <t xml:space="preserve">MP-48/ABC2.5</t>
  </si>
  <si>
    <t xml:space="preserve">Manguera con tobera ABC 2,5 kg</t>
  </si>
  <si>
    <t xml:space="preserve">M25</t>
  </si>
  <si>
    <t xml:space="preserve">MP-48/ABC5</t>
  </si>
  <si>
    <t xml:space="preserve">Manguera con tobera ABC 5 kg</t>
  </si>
  <si>
    <t xml:space="preserve">M26</t>
  </si>
  <si>
    <t xml:space="preserve">MP-48/ABC10</t>
  </si>
  <si>
    <t xml:space="preserve">Manguera con tobera ABC 10 kg</t>
  </si>
  <si>
    <t xml:space="preserve">M27</t>
  </si>
  <si>
    <t xml:space="preserve">MP-50/M22</t>
  </si>
  <si>
    <t xml:space="preserve">Junta tórica del cuello M22</t>
  </si>
  <si>
    <t xml:space="preserve">M28</t>
  </si>
  <si>
    <t xml:space="preserve">MP-50/M30</t>
  </si>
  <si>
    <t xml:space="preserve">Junta tórica del cuello M30</t>
  </si>
  <si>
    <t xml:space="preserve">M29</t>
  </si>
  <si>
    <t xml:space="preserve">MP-52/ABC2.5</t>
  </si>
  <si>
    <t xml:space="preserve">Soporte de pared ABC 2,5 kg</t>
  </si>
  <si>
    <t xml:space="preserve">M30</t>
  </si>
  <si>
    <t xml:space="preserve">MP-52/ABC5</t>
  </si>
  <si>
    <t xml:space="preserve">Soporte de pared ABC 5 kg</t>
  </si>
  <si>
    <t xml:space="preserve">M31</t>
  </si>
  <si>
    <t xml:space="preserve">MP-52/ABC10</t>
  </si>
  <si>
    <t xml:space="preserve">Soporte de pared ABC 10 kg</t>
  </si>
  <si>
    <t xml:space="preserve">M32</t>
  </si>
  <si>
    <t xml:space="preserve">MP-87</t>
  </si>
  <si>
    <t xml:space="preserve">Soporte vehicular (1 kg)</t>
  </si>
  <si>
    <t xml:space="preserve">M33</t>
  </si>
  <si>
    <t xml:space="preserve">MP-86</t>
  </si>
  <si>
    <t xml:space="preserve">Tornillo y tarugo de fijación</t>
  </si>
  <si>
    <t xml:space="preserve">M34</t>
  </si>
  <si>
    <t xml:space="preserve">MP-56/ABC1</t>
  </si>
  <si>
    <t xml:space="preserve">Etiqueta de características ABC 1 kg</t>
  </si>
  <si>
    <t xml:space="preserve">M35</t>
  </si>
  <si>
    <t xml:space="preserve">MP-56/ABC2.5</t>
  </si>
  <si>
    <t xml:space="preserve">Etiqueta de características ABC 2,5 kg</t>
  </si>
  <si>
    <t xml:space="preserve">M36</t>
  </si>
  <si>
    <t xml:space="preserve">MP-56/ABC5</t>
  </si>
  <si>
    <t xml:space="preserve">Etiqueta de características ABC 5 kg</t>
  </si>
  <si>
    <t xml:space="preserve">M37</t>
  </si>
  <si>
    <t xml:space="preserve">MP-56/ABC10</t>
  </si>
  <si>
    <t xml:space="preserve">Etiqueta de características ABC 10 kg</t>
  </si>
  <si>
    <t xml:space="preserve">M38</t>
  </si>
  <si>
    <t xml:space="preserve">MP-78</t>
  </si>
  <si>
    <t xml:space="preserve">Oblea de fabricación (PBA)</t>
  </si>
  <si>
    <t xml:space="preserve">PBA</t>
  </si>
  <si>
    <t xml:space="preserve">M39</t>
  </si>
  <si>
    <t xml:space="preserve">MP-79</t>
  </si>
  <si>
    <t xml:space="preserve">Estampilla IRAM de conformidad</t>
  </si>
  <si>
    <t xml:space="preserve">M40</t>
  </si>
  <si>
    <t xml:space="preserve">MP-77</t>
  </si>
  <si>
    <t xml:space="preserve">Tarjeta de identificación AGC (CABA)</t>
  </si>
  <si>
    <t xml:space="preserve">CABA</t>
  </si>
  <si>
    <t xml:space="preserve">M41</t>
  </si>
  <si>
    <t xml:space="preserve">MP-80</t>
  </si>
  <si>
    <t xml:space="preserve">Etiqueta de n° de serie GS1</t>
  </si>
  <si>
    <t xml:space="preserve">M42</t>
  </si>
  <si>
    <t xml:space="preserve">MP-81</t>
  </si>
  <si>
    <t xml:space="preserve">Faja de garantía válvula-cuello</t>
  </si>
  <si>
    <t xml:space="preserve">M43</t>
  </si>
  <si>
    <t xml:space="preserve">MP-51</t>
  </si>
  <si>
    <t xml:space="preserve">Precinto de fábrica</t>
  </si>
  <si>
    <t xml:space="preserve">M44</t>
  </si>
  <si>
    <t xml:space="preserve">MP-88</t>
  </si>
  <si>
    <t xml:space="preserve">Etiqueta del cilindro suelto</t>
  </si>
  <si>
    <t xml:space="preserve">M45</t>
  </si>
  <si>
    <t xml:space="preserve">MP-62/M22</t>
  </si>
  <si>
    <t xml:space="preserve">Tapón protector de rosca M22</t>
  </si>
  <si>
    <t xml:space="preserve">M46</t>
  </si>
  <si>
    <t xml:space="preserve">MP-62/M30</t>
  </si>
  <si>
    <t xml:space="preserve">Tapón protector de rosca M30</t>
  </si>
  <si>
    <t xml:space="preserve">M47</t>
  </si>
  <si>
    <t xml:space="preserve">MP-85</t>
  </si>
  <si>
    <t xml:space="preserve">Impresos (protocolo de ensayo, remito de préstamo)</t>
  </si>
  <si>
    <t xml:space="preserve">M48</t>
  </si>
  <si>
    <t xml:space="preserve">MP-59/ABC1</t>
  </si>
  <si>
    <t xml:space="preserve">Caja de cartón simple ABC 1 kg</t>
  </si>
  <si>
    <t xml:space="preserve">M49</t>
  </si>
  <si>
    <t xml:space="preserve">MP-59/ABC2.5</t>
  </si>
  <si>
    <t xml:space="preserve">Caja de cartón simple ABC 2,5 kg</t>
  </si>
  <si>
    <t xml:space="preserve">M50</t>
  </si>
  <si>
    <t xml:space="preserve">MP-59/ABC5</t>
  </si>
  <si>
    <t xml:space="preserve">Caja de cartón simple ABC 5 kg</t>
  </si>
  <si>
    <t xml:space="preserve">M51</t>
  </si>
  <si>
    <t xml:space="preserve">MP-59/ABC10</t>
  </si>
  <si>
    <t xml:space="preserve">Caja de cartón doble ABC 10 kg</t>
  </si>
  <si>
    <t xml:space="preserve">M52</t>
  </si>
  <si>
    <t xml:space="preserve">MP-89</t>
  </si>
  <si>
    <t xml:space="preserve">Etiqueta de caja</t>
  </si>
  <si>
    <t xml:space="preserve">M53</t>
  </si>
  <si>
    <t xml:space="preserve">MP-60</t>
  </si>
  <si>
    <t xml:space="preserve">Pallet de madera 1200 × 1000</t>
  </si>
  <si>
    <t xml:space="preserve">M54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</si>
  <si>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</si>
  <si>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</si>
  <si>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</si>
  <si>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</si>
  <si>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</si>
  <si>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</si>
  <si>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</si>
  <si>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</si>
  <si>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</si>
  <si>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</si>
  <si>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</si>
  <si>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</si>
  <si>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</si>
  <si>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</si>
  <si>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</si>
  <si>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</si>
  <si>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</si>
  <si>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</si>
  <si>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</si>
  <si>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</si>
  <si>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</si>
  <si>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</si>
  <si>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</si>
  <si>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</si>
  <si>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</si>
  <si>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</si>
  <si>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</si>
  <si>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</si>
  <si>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</si>
  <si>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</si>
  <si>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</si>
  <si>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</si>
  <si>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</si>
  <si>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</si>
  <si>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</si>
  <si>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</si>
  <si>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</si>
  <si>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</si>
  <si>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</si>
  <si>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</si>
  <si>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</si>
  <si>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</si>
  <si>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</si>
  <si>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</si>
  <si>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</si>
  <si>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</si>
  <si>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</si>
  <si>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</si>
  <si>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</si>
  <si>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</si>
  <si>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</si>
  <si>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</si>
  <si>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</si>
  <si>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</si>
  <si>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</si>
  <si>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</si>
  <si>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</si>
  <si>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</si>
  <si>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</si>
  <si>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</si>
  <si>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</si>
  <si>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</si>
  <si>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</si>
  <si>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</si>
  <si>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</si>
  <si>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</si>
  <si>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</si>
  <si>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</si>
  <si>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</si>
  <si>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</si>
  <si>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</si>
  <si>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</si>
  <si>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</si>
  <si>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</si>
  <si>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</si>
  <si>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</si>
  <si>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</si>
  <si>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</si>
  <si>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</si>
  <si>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</si>
  <si>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</si>
  <si>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</si>
  <si>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</si>
  <si>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</si>
  <si>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</si>
  <si>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</si>
  <si>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</si>
  <si>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</si>
  <si>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</si>
  <si>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</si>
  <si>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</si>
  <si>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</si>
  <si>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</si>
  <si>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</si>
  <si>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</si>
  <si>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</si>
  <si>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</t>
  </si>
  <si>
    <t xml:space="preserve">R31</t>
  </si>
  <si>
    <t xml:space="preserve">MP-44/50</t>
  </si>
  <si>
    <t xml:space="preserve">Válvula HZ de carro 50-70-100 kg</t>
  </si>
  <si>
    <t xml:space="preserve">R32</t>
  </si>
  <si>
    <t xml:space="preserve">R33</t>
  </si>
  <si>
    <t xml:space="preserve">MP-49/ABC25</t>
  </si>
  <si>
    <t xml:space="preserve">Manguera con válvula esférica y tobera, carro 25 kg</t>
  </si>
  <si>
    <t xml:space="preserve">R34</t>
  </si>
  <si>
    <t xml:space="preserve">MP-49/ABC50</t>
  </si>
  <si>
    <t xml:space="preserve">Manguera con válvula esférica y tobera, carro 50 kg</t>
  </si>
  <si>
    <t xml:space="preserve">R35</t>
  </si>
  <si>
    <t xml:space="preserve">MP-49/ABC70</t>
  </si>
  <si>
    <t xml:space="preserve">Manguera con válvula esférica y tobera, carro 70 kg</t>
  </si>
  <si>
    <t xml:space="preserve">R36</t>
  </si>
  <si>
    <t xml:space="preserve">MP-49/ABC100</t>
  </si>
  <si>
    <t xml:space="preserve">Manguera con válvula esférica y tobera, carro 100 kg</t>
  </si>
  <si>
    <t xml:space="preserve">R37</t>
  </si>
  <si>
    <t xml:space="preserve">R38</t>
  </si>
  <si>
    <t xml:space="preserve">MP-50/2½</t>
  </si>
  <si>
    <t xml:space="preserve">Junta tórica del cuello 2½"</t>
  </si>
  <si>
    <t xml:space="preserve">R39</t>
  </si>
  <si>
    <t xml:space="preserve">MP-56/ABC25</t>
  </si>
  <si>
    <t xml:space="preserve">Etiqueta de características ABC 25 kg</t>
  </si>
  <si>
    <t xml:space="preserve">R40</t>
  </si>
  <si>
    <t xml:space="preserve">MP-56/ABC50</t>
  </si>
  <si>
    <t xml:space="preserve">Etiqueta de características ABC 50 kg</t>
  </si>
  <si>
    <t xml:space="preserve">R41</t>
  </si>
  <si>
    <t xml:space="preserve">MP-56/ABC70</t>
  </si>
  <si>
    <t xml:space="preserve">Etiqueta de características ABC 70 kg</t>
  </si>
  <si>
    <t xml:space="preserve">R42</t>
  </si>
  <si>
    <t xml:space="preserve">MP-56/ABC100</t>
  </si>
  <si>
    <t xml:space="preserve">Etiqueta de características ABC 100 kg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</si>
  <si>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</si>
  <si>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</si>
  <si>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</si>
  <si>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</si>
  <si>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</si>
  <si>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</si>
  <si>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</si>
  <si>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</si>
  <si>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</si>
  <si>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MP-62/2½</t>
  </si>
  <si>
    <t xml:space="preserve">Tapón protector de rosca 2½"</t>
  </si>
  <si>
    <t xml:space="preserve">R52</t>
  </si>
  <si>
    <t xml:space="preserve">R53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</si>
  <si>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</si>
  <si>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</si>
  <si>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</si>
  <si>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</si>
  <si>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</si>
  <si>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</si>
  <si>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</si>
  <si>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</si>
  <si>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</si>
  <si>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</si>
  <si>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</si>
  <si>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</si>
  <si>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</si>
  <si>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</si>
  <si>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</si>
  <si>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</si>
  <si>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</si>
  <si>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</si>
  <si>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</si>
  <si>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</si>
  <si>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</si>
  <si>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</si>
  <si>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</si>
  <si>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</si>
  <si>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</si>
  <si>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</si>
  <si>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</si>
  <si>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</si>
  <si>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</si>
  <si>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</si>
  <si>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</si>
  <si>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</si>
  <si>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</si>
  <si>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</si>
  <si>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</si>
  <si>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</si>
  <si>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</si>
  <si>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</si>
  <si>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</si>
  <si>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</si>
  <si>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</si>
  <si>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</si>
  <si>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</si>
  <si>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</si>
  <si>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</si>
  <si>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</si>
  <si>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</si>
  <si>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</si>
  <si>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</si>
  <si>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</si>
  <si>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</si>
  <si>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</si>
  <si>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</si>
  <si>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</si>
  <si>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</si>
  <si>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</si>
  <si>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</si>
  <si>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</si>
  <si>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</si>
  <si>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</si>
  <si>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</si>
  <si>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</si>
  <si>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</si>
  <si>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</si>
  <si>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</si>
  <si>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</si>
  <si>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</si>
  <si>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</si>
  <si>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</si>
  <si>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</si>
  <si>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</si>
  <si>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</si>
  <si>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</si>
  <si>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</si>
  <si>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</si>
  <si>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</si>
  <si>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</si>
  <si>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</si>
  <si>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</si>
  <si>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</si>
  <si>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</si>
  <si>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</si>
  <si>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</si>
  <si>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</si>
  <si>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</si>
  <si>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</si>
  <si>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</si>
  <si>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</si>
  <si>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</si>
  <si>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</si>
  <si>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</si>
  <si>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</si>
  <si>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</si>
  <si>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</si>
  <si>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</si>
  <si>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</si>
  <si>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</si>
  <si>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</si>
  <si>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</si>
  <si>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</si>
  <si>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</si>
  <si>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</si>
  <si>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</si>
  <si>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</si>
  <si>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</si>
  <si>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</si>
  <si>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</si>
  <si>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</si>
  <si>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</si>
  <si>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</si>
  <si>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</si>
  <si>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</si>
  <si>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</si>
  <si>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</si>
  <si>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</si>
  <si>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</si>
  <si>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</si>
  <si>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</si>
  <si>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</si>
  <si>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</si>
  <si>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</si>
  <si>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</si>
  <si>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</si>
  <si>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</si>
  <si>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</si>
  <si>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</si>
  <si>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</si>
  <si>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</si>
  <si>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</si>
  <si>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Cotización Comercial MID: entrega inmediata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</si>
  <si>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</si>
  <si>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</si>
  <si>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</si>
  <si>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</si>
  <si>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</si>
  <si>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</si>
  <si>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</si>
  <si>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</si>
  <si>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</si>
  <si>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</si>
  <si>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</si>
  <si>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</si>
  <si>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</si>
  <si>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</si>
  <si>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</si>
  <si>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</si>
  <si>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</si>
  <si>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</si>
  <si>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</si>
  <si>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</si>
  <si>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</si>
  <si>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</si>
  <si>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</si>
  <si>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</si>
  <si>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</si>
  <si>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</si>
  <si>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</si>
  <si>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</si>
  <si>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</si>
  <si>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</si>
  <si>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</si>
  <si>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</si>
  <si>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</si>
  <si>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</si>
  <si>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</si>
  <si>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</si>
  <si>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</si>
  <si>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</si>
  <si>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</si>
  <si>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</si>
  <si>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</si>
  <si>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</si>
  <si>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</si>
  <si>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</si>
  <si>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</si>
  <si>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</si>
  <si>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</si>
  <si>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</si>
  <si>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</si>
  <si>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</si>
  <si>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</si>
  <si>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Sin plazo publicado: el de la planilla de MP</t>
  </si>
  <si>
    <t xml:space="preserve">Barra de 6 m</t>
  </si>
  <si>
    <t xml:space="preserve">P22</t>
  </si>
  <si>
    <t xml:space="preserve">P23</t>
  </si>
  <si>
    <t xml:space="preserve">Vladimirsky</t>
  </si>
  <si>
    <t xml:space="preserve">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</si>
  <si>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</si>
  <si>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</si>
  <si>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</si>
  <si>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Hierros Parrotta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</si>
  <si>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</si>
  <si>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</si>
  <si>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</si>
  <si>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</si>
  <si>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</si>
  <si>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Sin plazo publicado: el del proceso de carros (de la planilla de MP)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</si>
  <si>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</si>
  <si>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</si>
  <si>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</si>
  <si>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</si>
  <si>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</si>
  <si>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Conarco (ESAB)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</si>
  <si>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</si>
  <si>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</si>
  <si>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</si>
  <si>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</si>
  <si>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</si>
  <si>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</si>
  <si>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</si>
  <si>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</si>
  <si>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</si>
  <si>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Norton / Pferd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</si>
  <si>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</si>
  <si>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</si>
  <si>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</si>
  <si>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</si>
  <si>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</si>
  <si>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</si>
  <si>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</si>
  <si>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Würth Argentina</t>
  </si>
  <si>
    <t xml:space="preserve">P38</t>
  </si>
  <si>
    <t xml:space="preserve">CyM Materiales</t>
  </si>
  <si>
    <t xml:space="preserve">Pallet de 1.000 kg</t>
  </si>
  <si>
    <t xml:space="preserve">P39</t>
  </si>
  <si>
    <t xml:space="preserve">Sinteplast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</si>
  <si>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</si>
  <si>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</si>
  <si>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</si>
  <si>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</si>
  <si>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</si>
  <si>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</si>
  <si>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</si>
  <si>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</si>
  <si>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</si>
  <si>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</si>
  <si>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</si>
  <si>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</si>
  <si>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</si>
  <si>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</si>
  <si>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</si>
  <si>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</si>
  <si>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</si>
  <si>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</si>
  <si>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</si>
  <si>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Bidón de 20 L</t>
  </si>
  <si>
    <t xml:space="preserve">P48</t>
  </si>
  <si>
    <t xml:space="preserve">P49</t>
  </si>
  <si>
    <t xml:space="preserve">Polvex (HZ)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</si>
  <si>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</si>
  <si>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</si>
  <si>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</si>
  <si>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</si>
  <si>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</si>
  <si>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</si>
  <si>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</si>
  <si>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</si>
  <si>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</si>
  <si>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Caja de 50 u</t>
  </si>
  <si>
    <t xml:space="preserve">P55</t>
  </si>
  <si>
    <t xml:space="preserve">P56</t>
  </si>
  <si>
    <t xml:space="preserve">P57</t>
  </si>
  <si>
    <t xml:space="preserve">P58</t>
  </si>
  <si>
    <t xml:space="preserve">P59</t>
  </si>
  <si>
    <t xml:space="preserve">P60</t>
  </si>
  <si>
    <t xml:space="preserve">P61</t>
  </si>
  <si>
    <t xml:space="preserve">P62</t>
  </si>
  <si>
    <t xml:space="preserve">Argensold</t>
  </si>
  <si>
    <t xml:space="preserve">P63</t>
  </si>
  <si>
    <t xml:space="preserve">P64</t>
  </si>
  <si>
    <t xml:space="preserve">P65</t>
  </si>
  <si>
    <t xml:space="preserve">Matafuegos Iglesias</t>
  </si>
  <si>
    <t xml:space="preserve">P66</t>
  </si>
  <si>
    <t xml:space="preserve">Maxiseguridad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</si>
  <si>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</si>
  <si>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</si>
  <si>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</si>
  <si>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</si>
  <si>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</si>
  <si>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Georgia</t>
  </si>
  <si>
    <t xml:space="preserve">Bolsa de 100 u</t>
  </si>
  <si>
    <t xml:space="preserve">P72</t>
  </si>
  <si>
    <t xml:space="preserve">Astuprint</t>
  </si>
  <si>
    <t xml:space="preserve">Web Rotolan (Lanús), etiquetas en rollo: 3 a 7 días hábiles desde que se aprueba el arte (Astuprint no lo publica)</t>
  </si>
  <si>
    <t xml:space="preserve">Rollo de 1.000 u</t>
  </si>
  <si>
    <t xml:space="preserve">Identificación</t>
  </si>
  <si>
    <t xml:space="preserve">P73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</si>
  <si>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</si>
  <si>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</si>
  <si>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</si>
  <si>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</si>
  <si>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</si>
  <si>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P79</t>
  </si>
  <si>
    <t xml:space="preserve">P80</t>
  </si>
  <si>
    <t xml:space="preserve">DPS (PBA)</t>
  </si>
  <si>
    <t xml:space="preserve">Paquete de 500 u</t>
  </si>
  <si>
    <t xml:space="preserve">P81</t>
  </si>
  <si>
    <t xml:space="preserve">IRAM</t>
  </si>
  <si>
    <t xml:space="preserve">P82</t>
  </si>
  <si>
    <t xml:space="preserve">AGC (CABA)</t>
  </si>
  <si>
    <t xml:space="preserve">P83</t>
  </si>
  <si>
    <t xml:space="preserve">P84</t>
  </si>
  <si>
    <t xml:space="preserve">P85</t>
  </si>
  <si>
    <t xml:space="preserve">SonFuertes</t>
  </si>
  <si>
    <t xml:space="preserve">Web Papelera Damián, que vende los SonFuertes: localidades limítrofes de CABA, 3 a 5 días hábiles</t>
  </si>
  <si>
    <t xml:space="preserve">P86</t>
  </si>
  <si>
    <t xml:space="preserve">P87</t>
  </si>
  <si>
    <t xml:space="preserve">A definir (inyectora)</t>
  </si>
  <si>
    <t xml:space="preserve">Caja de 5.000 u</t>
  </si>
  <si>
    <t xml:space="preserve">Embalaje</t>
  </si>
  <si>
    <t xml:space="preserve">P88</t>
  </si>
  <si>
    <t xml:space="preserve">P89</t>
  </si>
  <si>
    <t xml:space="preserve">P90</t>
  </si>
  <si>
    <t xml:space="preserve">P91</t>
  </si>
  <si>
    <t xml:space="preserve">Paquete de 1.000 u</t>
  </si>
  <si>
    <t xml:space="preserve">P92</t>
  </si>
  <si>
    <t xml:space="preserve">P93</t>
  </si>
  <si>
    <t xml:space="preserve">P94</t>
  </si>
  <si>
    <t xml:space="preserve">P95</t>
  </si>
  <si>
    <t xml:space="preserve">P96</t>
  </si>
  <si>
    <t xml:space="preserve">P97</t>
  </si>
  <si>
    <t xml:space="preserve">P98</t>
  </si>
  <si>
    <t xml:space="preserve">P99</t>
  </si>
  <si>
    <t xml:space="preserve">Lata de 4 L</t>
  </si>
  <si>
    <t xml:space="preserve">P100</t>
  </si>
  <si>
    <t xml:space="preserve">Maxipack</t>
  </si>
  <si>
    <t xml:space="preserve">Web Maranz, cajas corrugadas a pedido: 5 a 10 días (Maxipack no lo publica)</t>
  </si>
  <si>
    <t xml:space="preserve">Pallet de 600 cajas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</si>
  <si>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</si>
  <si>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</si>
  <si>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</si>
  <si>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</si>
  <si>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</si>
  <si>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IndusPallets</t>
  </si>
  <si>
    <t xml:space="preserve">Web Depallet, pallets: entrega en 24 a 72 h (IndusPallets no lo publica)</t>
  </si>
  <si>
    <t xml:space="preserve">Pila de 15 u</t>
  </si>
  <si>
    <t xml:space="preserve">P106</t>
  </si>
  <si>
    <t xml:space="preserve">P107</t>
  </si>
  <si>
    <t xml:space="preserve">Fabricante nacional</t>
  </si>
  <si>
    <t xml:space="preserve">Unidad</t>
  </si>
  <si>
    <t xml:space="preserve">Almacén de producto terminado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</si>
  <si>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</si>
  <si>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</si>
  <si>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</si>
  <si>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</si>
  <si>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</si>
  <si>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P113</t>
  </si>
  <si>
    <t xml:space="preserve">P114</t>
  </si>
  <si>
    <t xml:space="preserve">P115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</si>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</sst>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12" t="n">
        <v>1</v>
      </c>
      <c r="G38" s="3"/>
      <c r="H38" s="3"/>
      <c r="I38" s="3"/>
      <c r="J38" s="3"/>
      <c r="K38" s="3"/>
      <c r="L38" s="3"/>
      <c r="M38" s="3"/>
      <c r="N38" s="13" t="n">
        <f aca="false">SUMPRODUCT($F38:$M38,$F$4:$M$4)</f>
        <v>4178.736543</v>
      </c>
      <c r="O38" s="13" t="n">
        <f aca="false">SUMPRODUCT($F38:$M38,$F$5:$M$5)</f>
        <v>5997.303977</v>
      </c>
      <c r="P38" s="13" t="n">
        <f aca="false">SUMPRODUCT($F38:$M38,$F$6:$M$6)</f>
        <v>6851.747758</v>
      </c>
      <c r="Q38" s="13" t="n">
        <f aca="false">SUMPRODUCT($F38:$M38,$F$7:$M$7)</f>
        <v>8467.135549</v>
      </c>
      <c r="R38" s="13" t="n">
        <f aca="false">SUMPRODUCT($F38:$M38,$F$8:$M$8)</f>
        <v>12680.63271</v>
      </c>
      <c r="S38" s="13" t="n">
        <f aca="false">SUMPRODUCT($F38:$M38,$F$9:$M$9)</f>
        <v>15620.25307</v>
      </c>
      <c r="T38" s="13" t="n">
        <f aca="false">SUMPRODUCT($F38:$M38,$F$10:$M$10)</f>
        <v>20332.55326</v>
      </c>
      <c r="U38" s="13" t="n">
        <f aca="false">SUMPRODUCT($F38:$M38,$F$11:$M$11)</f>
        <v>25132.07848</v>
      </c>
      <c r="V38" s="13" t="n">
        <f aca="false">SUMPRODUCT($F38:$M38,$F$12:$M$12)</f>
        <v>28573.33614</v>
      </c>
      <c r="W38" s="13" t="n">
        <f aca="false">SUMPRODUCT($F38:$M38,$F$13:$M$13)</f>
        <v>32072.63913</v>
      </c>
      <c r="X38" s="13" t="n">
        <f aca="false">SUMPRODUCT($F38:$M38,$F$14:$M$14)</f>
        <v>3848.7166956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12" t="n">
        <v>1</v>
      </c>
      <c r="H39" s="3"/>
      <c r="I39" s="3"/>
      <c r="J39" s="3"/>
      <c r="K39" s="3"/>
      <c r="L39" s="3"/>
      <c r="M39" s="3"/>
      <c r="N39" s="13" t="n">
        <f aca="false">SUMPRODUCT($F39:$M39,$F$4:$M$4)</f>
        <v>295.0303572</v>
      </c>
      <c r="O39" s="13" t="n">
        <f aca="false">SUMPRODUCT($F39:$M39,$F$5:$M$5)</f>
        <v>709.7274503</v>
      </c>
      <c r="P39" s="13" t="n">
        <f aca="false">SUMPRODUCT($F39:$M39,$F$6:$M$6)</f>
        <v>986.8680576</v>
      </c>
      <c r="Q39" s="13" t="n">
        <f aca="false">SUMPRODUCT($F39:$M39,$F$7:$M$7)</f>
        <v>1500.638174</v>
      </c>
      <c r="R39" s="13" t="n">
        <f aca="false">SUMPRODUCT($F39:$M39,$F$8:$M$8)</f>
        <v>2312.627726</v>
      </c>
      <c r="S39" s="13" t="n">
        <f aca="false">SUMPRODUCT($F39:$M39,$F$9:$M$9)</f>
        <v>3252.869887</v>
      </c>
      <c r="T39" s="13" t="n">
        <f aca="false">SUMPRODUCT($F39:$M39,$F$10:$M$10)</f>
        <v>4102.315524</v>
      </c>
      <c r="U39" s="13" t="n">
        <f aca="false">SUMPRODUCT($F39:$M39,$F$11:$M$11)</f>
        <v>5104.306587</v>
      </c>
      <c r="V39" s="13" t="n">
        <f aca="false">SUMPRODUCT($F39:$M39,$F$12:$M$12)</f>
        <v>6195.186243</v>
      </c>
      <c r="W39" s="13" t="n">
        <f aca="false">SUMPRODUCT($F39:$M39,$F$13:$M$13)</f>
        <v>7424.858444</v>
      </c>
      <c r="X39" s="13" t="n">
        <f aca="false">SUMPRODUCT($F39:$M39,$F$14:$M$14)</f>
        <v>816.73442884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12" t="n">
        <v>1</v>
      </c>
      <c r="I40" s="3"/>
      <c r="J40" s="3"/>
      <c r="K40" s="3"/>
      <c r="L40" s="3"/>
      <c r="M40" s="3"/>
      <c r="N40" s="13" t="n">
        <f aca="false">SUMPRODUCT($F40:$M40,$F$4:$M$4)</f>
        <v>2727.90356888796</v>
      </c>
      <c r="O40" s="13" t="n">
        <f aca="false">SUMPRODUCT($F40:$M40,$F$5:$M$5)</f>
        <v>5488.91063218589</v>
      </c>
      <c r="P40" s="13" t="n">
        <f aca="false">SUMPRODUCT($F40:$M40,$F$6:$M$6)</f>
        <v>7206.58549675331</v>
      </c>
      <c r="Q40" s="13" t="n">
        <f aca="false">SUMPRODUCT($F40:$M40,$F$7:$M$7)</f>
        <v>10420.9077932162</v>
      </c>
      <c r="R40" s="13" t="n">
        <f aca="false">SUMPRODUCT($F40:$M40,$F$8:$M$8)</f>
        <v>14495.0713349105</v>
      </c>
      <c r="S40" s="13" t="n">
        <f aca="false">SUMPRODUCT($F40:$M40,$F$9:$M$9)</f>
        <v>18737.0609615097</v>
      </c>
      <c r="T40" s="13" t="n">
        <f aca="false">SUMPRODUCT($F40:$M40,$F$10:$M$10)</f>
        <v>22634.4822225078</v>
      </c>
      <c r="U40" s="13" t="n">
        <f aca="false">SUMPRODUCT($F40:$M40,$F$11:$M$11)</f>
        <v>26002.338467674</v>
      </c>
      <c r="V40" s="13" t="n">
        <f aca="false">SUMPRODUCT($F40:$M40,$F$12:$M$12)</f>
        <v>28613.3997200898</v>
      </c>
      <c r="W40" s="13" t="n">
        <f aca="false">SUMPRODUCT($F40:$M40,$F$13:$M$13)</f>
        <v>32428.7706862536</v>
      </c>
      <c r="X40" s="13" t="n">
        <f aca="false">SUMPRODUCT($F40:$M40,$F$14:$M$14)</f>
        <v>3567.1647754879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3"/>
      <c r="G41" s="3"/>
      <c r="H41" s="3"/>
      <c r="I41" s="12" t="n">
        <v>1</v>
      </c>
      <c r="J41" s="3"/>
      <c r="K41" s="3"/>
      <c r="L41" s="3"/>
      <c r="M41" s="3"/>
      <c r="N41" s="13" t="n">
        <f aca="false">SUMPRODUCT($F41:$M41,$F$4:$M$4)</f>
        <v>92.4087543518401</v>
      </c>
      <c r="O41" s="13" t="n">
        <f aca="false">SUMPRODUCT($F41:$M41,$F$5:$M$5)</f>
        <v>178.139434573852</v>
      </c>
      <c r="P41" s="13" t="n">
        <f aca="false">SUMPRODUCT($F41:$M41,$F$6:$M$6)</f>
        <v>255.06523127917</v>
      </c>
      <c r="Q41" s="13" t="n">
        <f aca="false">SUMPRODUCT($F41:$M41,$F$7:$M$7)</f>
        <v>361.071030055753</v>
      </c>
      <c r="R41" s="13" t="n">
        <f aca="false">SUMPRODUCT($F41:$M41,$F$8:$M$8)</f>
        <v>605.624794650293</v>
      </c>
      <c r="S41" s="13" t="n">
        <f aca="false">SUMPRODUCT($F41:$M41,$F$9:$M$9)</f>
        <v>876.216751457047</v>
      </c>
      <c r="T41" s="13" t="n">
        <f aca="false">SUMPRODUCT($F41:$M41,$F$10:$M$10)</f>
        <v>1130.35497416121</v>
      </c>
      <c r="U41" s="13" t="n">
        <f aca="false">SUMPRODUCT($F41:$M41,$F$11:$M$11)</f>
        <v>1397.61759940245</v>
      </c>
      <c r="V41" s="13" t="n">
        <f aca="false">SUMPRODUCT($F41:$M41,$F$12:$M$12)</f>
        <v>1614.59478800518</v>
      </c>
      <c r="W41" s="13" t="n">
        <f aca="false">SUMPRODUCT($F41:$M41,$F$13:$M$13)</f>
        <v>1842.87697319699</v>
      </c>
      <c r="X41" s="13" t="n">
        <f aca="false">SUMPRODUCT($F41:$M41,$F$14:$M$14)</f>
        <v>202.716467051669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12" t="n">
        <v>1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4178.736543</v>
      </c>
      <c r="O42" s="13" t="n">
        <f aca="false">SUMPRODUCT($F42:$M42,$F$5:$M$5)</f>
        <v>5997.303977</v>
      </c>
      <c r="P42" s="13" t="n">
        <f aca="false">SUMPRODUCT($F42:$M42,$F$6:$M$6)</f>
        <v>6851.747758</v>
      </c>
      <c r="Q42" s="13" t="n">
        <f aca="false">SUMPRODUCT($F42:$M42,$F$7:$M$7)</f>
        <v>8467.135549</v>
      </c>
      <c r="R42" s="13" t="n">
        <f aca="false">SUMPRODUCT($F42:$M42,$F$8:$M$8)</f>
        <v>12680.63271</v>
      </c>
      <c r="S42" s="13" t="n">
        <f aca="false">SUMPRODUCT($F42:$M42,$F$9:$M$9)</f>
        <v>15620.25307</v>
      </c>
      <c r="T42" s="13" t="n">
        <f aca="false">SUMPRODUCT($F42:$M42,$F$10:$M$10)</f>
        <v>20332.55326</v>
      </c>
      <c r="U42" s="13" t="n">
        <f aca="false">SUMPRODUCT($F42:$M42,$F$11:$M$11)</f>
        <v>25132.07848</v>
      </c>
      <c r="V42" s="13" t="n">
        <f aca="false">SUMPRODUCT($F42:$M42,$F$12:$M$12)</f>
        <v>28573.33614</v>
      </c>
      <c r="W42" s="13" t="n">
        <f aca="false">SUMPRODUCT($F42:$M42,$F$13:$M$13)</f>
        <v>32072.63913</v>
      </c>
      <c r="X42" s="13" t="n">
        <f aca="false">SUMPRODUCT($F42:$M42,$F$14:$M$14)</f>
        <v>3848.7166956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12" t="n">
        <v>1</v>
      </c>
      <c r="H43" s="12" t="n">
        <v>1</v>
      </c>
      <c r="I43" s="12" t="n">
        <v>1</v>
      </c>
      <c r="J43" s="3"/>
      <c r="K43" s="3"/>
      <c r="L43" s="3"/>
      <c r="M43" s="3"/>
      <c r="N43" s="13" t="n">
        <f aca="false">SUMPRODUCT($F43:$M43,$F$4:$M$4)</f>
        <v>3115.3426804398</v>
      </c>
      <c r="O43" s="13" t="n">
        <f aca="false">SUMPRODUCT($F43:$M43,$F$5:$M$5)</f>
        <v>6376.77751705974</v>
      </c>
      <c r="P43" s="13" t="n">
        <f aca="false">SUMPRODUCT($F43:$M43,$F$6:$M$6)</f>
        <v>8448.51878563248</v>
      </c>
      <c r="Q43" s="13" t="n">
        <f aca="false">SUMPRODUCT($F43:$M43,$F$7:$M$7)</f>
        <v>12282.616997272</v>
      </c>
      <c r="R43" s="13" t="n">
        <f aca="false">SUMPRODUCT($F43:$M43,$F$8:$M$8)</f>
        <v>17413.3238555608</v>
      </c>
      <c r="S43" s="13" t="n">
        <f aca="false">SUMPRODUCT($F43:$M43,$F$9:$M$9)</f>
        <v>22866.1475999667</v>
      </c>
      <c r="T43" s="13" t="n">
        <f aca="false">SUMPRODUCT($F43:$M43,$F$10:$M$10)</f>
        <v>27867.152720669</v>
      </c>
      <c r="U43" s="13" t="n">
        <f aca="false">SUMPRODUCT($F43:$M43,$F$11:$M$11)</f>
        <v>32504.2626540764</v>
      </c>
      <c r="V43" s="13" t="n">
        <f aca="false">SUMPRODUCT($F43:$M43,$F$12:$M$12)</f>
        <v>36423.180751095</v>
      </c>
      <c r="W43" s="13" t="n">
        <f aca="false">SUMPRODUCT($F43:$M43,$F$13:$M$13)</f>
        <v>41696.5061034506</v>
      </c>
      <c r="X43" s="13" t="n">
        <f aca="false">SUMPRODUCT($F43:$M43,$F$14:$M$14)</f>
        <v>4586.61567137957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12" t="n">
        <v>1</v>
      </c>
      <c r="H44" s="3"/>
      <c r="I44" s="3"/>
      <c r="J44" s="3"/>
      <c r="K44" s="3"/>
      <c r="L44" s="3"/>
      <c r="M44" s="3"/>
      <c r="N44" s="13" t="n">
        <f aca="false">SUMPRODUCT($F44:$M44,$F$4:$M$4)</f>
        <v>295.0303572</v>
      </c>
      <c r="O44" s="13" t="n">
        <f aca="false">SUMPRODUCT($F44:$M44,$F$5:$M$5)</f>
        <v>709.7274503</v>
      </c>
      <c r="P44" s="13" t="n">
        <f aca="false">SUMPRODUCT($F44:$M44,$F$6:$M$6)</f>
        <v>986.8680576</v>
      </c>
      <c r="Q44" s="13" t="n">
        <f aca="false">SUMPRODUCT($F44:$M44,$F$7:$M$7)</f>
        <v>1500.638174</v>
      </c>
      <c r="R44" s="13" t="n">
        <f aca="false">SUMPRODUCT($F44:$M44,$F$8:$M$8)</f>
        <v>2312.627726</v>
      </c>
      <c r="S44" s="13" t="n">
        <f aca="false">SUMPRODUCT($F44:$M44,$F$9:$M$9)</f>
        <v>3252.869887</v>
      </c>
      <c r="T44" s="13" t="n">
        <f aca="false">SUMPRODUCT($F44:$M44,$F$10:$M$10)</f>
        <v>4102.315524</v>
      </c>
      <c r="U44" s="13" t="n">
        <f aca="false">SUMPRODUCT($F44:$M44,$F$11:$M$11)</f>
        <v>5104.306587</v>
      </c>
      <c r="V44" s="13" t="n">
        <f aca="false">SUMPRODUCT($F44:$M44,$F$12:$M$12)</f>
        <v>6195.186243</v>
      </c>
      <c r="W44" s="13" t="n">
        <f aca="false">SUMPRODUCT($F44:$M44,$F$13:$M$13)</f>
        <v>7424.858444</v>
      </c>
      <c r="X44" s="13" t="n">
        <f aca="false">SUMPRODUCT($F44:$M44,$F$14:$M$14)</f>
        <v>816.73442884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3"/>
      <c r="G45" s="3"/>
      <c r="H45" s="12" t="n">
        <v>1</v>
      </c>
      <c r="I45" s="3"/>
      <c r="J45" s="3"/>
      <c r="K45" s="3"/>
      <c r="L45" s="3"/>
      <c r="M45" s="3"/>
      <c r="N45" s="13" t="n">
        <f aca="false">SUMPRODUCT($F45:$M45,$F$4:$M$4)</f>
        <v>2727.90356888796</v>
      </c>
      <c r="O45" s="13" t="n">
        <f aca="false">SUMPRODUCT($F45:$M45,$F$5:$M$5)</f>
        <v>5488.91063218589</v>
      </c>
      <c r="P45" s="13" t="n">
        <f aca="false">SUMPRODUCT($F45:$M45,$F$6:$M$6)</f>
        <v>7206.58549675331</v>
      </c>
      <c r="Q45" s="13" t="n">
        <f aca="false">SUMPRODUCT($F45:$M45,$F$7:$M$7)</f>
        <v>10420.9077932162</v>
      </c>
      <c r="R45" s="13" t="n">
        <f aca="false">SUMPRODUCT($F45:$M45,$F$8:$M$8)</f>
        <v>14495.0713349105</v>
      </c>
      <c r="S45" s="13" t="n">
        <f aca="false">SUMPRODUCT($F45:$M45,$F$9:$M$9)</f>
        <v>18737.0609615097</v>
      </c>
      <c r="T45" s="13" t="n">
        <f aca="false">SUMPRODUCT($F45:$M45,$F$10:$M$10)</f>
        <v>22634.4822225078</v>
      </c>
      <c r="U45" s="13" t="n">
        <f aca="false">SUMPRODUCT($F45:$M45,$F$11:$M$11)</f>
        <v>26002.338467674</v>
      </c>
      <c r="V45" s="13" t="n">
        <f aca="false">SUMPRODUCT($F45:$M45,$F$12:$M$12)</f>
        <v>28613.3997200898</v>
      </c>
      <c r="W45" s="13" t="n">
        <f aca="false">SUMPRODUCT($F45:$M45,$F$13:$M$13)</f>
        <v>32428.7706862536</v>
      </c>
      <c r="X45" s="13" t="n">
        <f aca="false">SUMPRODUCT($F45:$M45,$F$14:$M$14)</f>
        <v>3567.1647754879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3"/>
      <c r="H46" s="3"/>
      <c r="I46" s="12" t="n">
        <v>1</v>
      </c>
      <c r="J46" s="3"/>
      <c r="K46" s="3"/>
      <c r="L46" s="3"/>
      <c r="M46" s="3"/>
      <c r="N46" s="13" t="n">
        <f aca="false">SUMPRODUCT($F46:$M46,$F$4:$M$4)</f>
        <v>92.4087543518401</v>
      </c>
      <c r="O46" s="13" t="n">
        <f aca="false">SUMPRODUCT($F46:$M46,$F$5:$M$5)</f>
        <v>178.139434573852</v>
      </c>
      <c r="P46" s="13" t="n">
        <f aca="false">SUMPRODUCT($F46:$M46,$F$6:$M$6)</f>
        <v>255.06523127917</v>
      </c>
      <c r="Q46" s="13" t="n">
        <f aca="false">SUMPRODUCT($F46:$M46,$F$7:$M$7)</f>
        <v>361.071030055753</v>
      </c>
      <c r="R46" s="13" t="n">
        <f aca="false">SUMPRODUCT($F46:$M46,$F$8:$M$8)</f>
        <v>605.624794650293</v>
      </c>
      <c r="S46" s="13" t="n">
        <f aca="false">SUMPRODUCT($F46:$M46,$F$9:$M$9)</f>
        <v>876.216751457047</v>
      </c>
      <c r="T46" s="13" t="n">
        <f aca="false">SUMPRODUCT($F46:$M46,$F$10:$M$10)</f>
        <v>1130.35497416121</v>
      </c>
      <c r="U46" s="13" t="n">
        <f aca="false">SUMPRODUCT($F46:$M46,$F$11:$M$11)</f>
        <v>1397.61759940245</v>
      </c>
      <c r="V46" s="13" t="n">
        <f aca="false">SUMPRODUCT($F46:$M46,$F$12:$M$12)</f>
        <v>1614.59478800518</v>
      </c>
      <c r="W46" s="13" t="n">
        <f aca="false">SUMPRODUCT($F46:$M46,$F$13:$M$13)</f>
        <v>1842.87697319699</v>
      </c>
      <c r="X46" s="13" t="n">
        <f aca="false">SUMPRODUCT($F46:$M46,$F$14:$M$14)</f>
        <v>202.716467051669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12" t="n">
        <v>1</v>
      </c>
      <c r="G47" s="3"/>
      <c r="H47" s="3"/>
      <c r="I47" s="3"/>
      <c r="J47" s="3"/>
      <c r="K47" s="3"/>
      <c r="L47" s="3"/>
      <c r="M47" s="3"/>
      <c r="N47" s="13" t="n">
        <f aca="false">SUMPRODUCT($F47:$M47,$F$4:$M$4)</f>
        <v>4178.736543</v>
      </c>
      <c r="O47" s="13" t="n">
        <f aca="false">SUMPRODUCT($F47:$M47,$F$5:$M$5)</f>
        <v>5997.303977</v>
      </c>
      <c r="P47" s="13" t="n">
        <f aca="false">SUMPRODUCT($F47:$M47,$F$6:$M$6)</f>
        <v>6851.747758</v>
      </c>
      <c r="Q47" s="13" t="n">
        <f aca="false">SUMPRODUCT($F47:$M47,$F$7:$M$7)</f>
        <v>8467.135549</v>
      </c>
      <c r="R47" s="13" t="n">
        <f aca="false">SUMPRODUCT($F47:$M47,$F$8:$M$8)</f>
        <v>12680.63271</v>
      </c>
      <c r="S47" s="13" t="n">
        <f aca="false">SUMPRODUCT($F47:$M47,$F$9:$M$9)</f>
        <v>15620.25307</v>
      </c>
      <c r="T47" s="13" t="n">
        <f aca="false">SUMPRODUCT($F47:$M47,$F$10:$M$10)</f>
        <v>20332.55326</v>
      </c>
      <c r="U47" s="13" t="n">
        <f aca="false">SUMPRODUCT($F47:$M47,$F$11:$M$11)</f>
        <v>25132.07848</v>
      </c>
      <c r="V47" s="13" t="n">
        <f aca="false">SUMPRODUCT($F47:$M47,$F$12:$M$12)</f>
        <v>28573.33614</v>
      </c>
      <c r="W47" s="13" t="n">
        <f aca="false">SUMPRODUCT($F47:$M47,$F$13:$M$13)</f>
        <v>32072.63913</v>
      </c>
      <c r="X47" s="13" t="n">
        <f aca="false">SUMPRODUCT($F47:$M47,$F$14:$M$14)</f>
        <v>3848.7166956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12" t="n">
        <v>2</v>
      </c>
      <c r="H48" s="12" t="n">
        <v>2</v>
      </c>
      <c r="I48" s="12" t="n">
        <v>2</v>
      </c>
      <c r="J48" s="3"/>
      <c r="K48" s="3"/>
      <c r="L48" s="3"/>
      <c r="M48" s="3"/>
      <c r="N48" s="13" t="n">
        <f aca="false">SUMPRODUCT($F48:$M48,$F$4:$M$4)</f>
        <v>6230.68536087961</v>
      </c>
      <c r="O48" s="13" t="n">
        <f aca="false">SUMPRODUCT($F48:$M48,$F$5:$M$5)</f>
        <v>12753.5550341195</v>
      </c>
      <c r="P48" s="13" t="n">
        <f aca="false">SUMPRODUCT($F48:$M48,$F$6:$M$6)</f>
        <v>16897.037571265</v>
      </c>
      <c r="Q48" s="13" t="n">
        <f aca="false">SUMPRODUCT($F48:$M48,$F$7:$M$7)</f>
        <v>24565.2339945439</v>
      </c>
      <c r="R48" s="13" t="n">
        <f aca="false">SUMPRODUCT($F48:$M48,$F$8:$M$8)</f>
        <v>34826.6477111216</v>
      </c>
      <c r="S48" s="13" t="n">
        <f aca="false">SUMPRODUCT($F48:$M48,$F$9:$M$9)</f>
        <v>45732.2951999334</v>
      </c>
      <c r="T48" s="13" t="n">
        <f aca="false">SUMPRODUCT($F48:$M48,$F$10:$M$10)</f>
        <v>55734.305441338</v>
      </c>
      <c r="U48" s="13" t="n">
        <f aca="false">SUMPRODUCT($F48:$M48,$F$11:$M$11)</f>
        <v>65008.5253081528</v>
      </c>
      <c r="V48" s="13" t="n">
        <f aca="false">SUMPRODUCT($F48:$M48,$F$12:$M$12)</f>
        <v>72846.3615021901</v>
      </c>
      <c r="W48" s="13" t="n">
        <f aca="false">SUMPRODUCT($F48:$M48,$F$13:$M$13)</f>
        <v>83393.0122069013</v>
      </c>
      <c r="X48" s="13" t="n">
        <f aca="false">SUMPRODUCT($F48:$M48,$F$14:$M$14)</f>
        <v>9173.23134275914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12" t="n">
        <v>1</v>
      </c>
      <c r="G49" s="3"/>
      <c r="H49" s="3"/>
      <c r="I49" s="3"/>
      <c r="J49" s="3"/>
      <c r="K49" s="3"/>
      <c r="L49" s="3"/>
      <c r="M49" s="3"/>
      <c r="N49" s="13" t="n">
        <f aca="false">SUMPRODUCT($F49:$M49,$F$4:$M$4)</f>
        <v>4178.736543</v>
      </c>
      <c r="O49" s="13" t="n">
        <f aca="false">SUMPRODUCT($F49:$M49,$F$5:$M$5)</f>
        <v>5997.303977</v>
      </c>
      <c r="P49" s="13" t="n">
        <f aca="false">SUMPRODUCT($F49:$M49,$F$6:$M$6)</f>
        <v>6851.747758</v>
      </c>
      <c r="Q49" s="13" t="n">
        <f aca="false">SUMPRODUCT($F49:$M49,$F$7:$M$7)</f>
        <v>8467.135549</v>
      </c>
      <c r="R49" s="13" t="n">
        <f aca="false">SUMPRODUCT($F49:$M49,$F$8:$M$8)</f>
        <v>12680.63271</v>
      </c>
      <c r="S49" s="13" t="n">
        <f aca="false">SUMPRODUCT($F49:$M49,$F$9:$M$9)</f>
        <v>15620.25307</v>
      </c>
      <c r="T49" s="13" t="n">
        <f aca="false">SUMPRODUCT($F49:$M49,$F$10:$M$10)</f>
        <v>20332.55326</v>
      </c>
      <c r="U49" s="13" t="n">
        <f aca="false">SUMPRODUCT($F49:$M49,$F$11:$M$11)</f>
        <v>25132.07848</v>
      </c>
      <c r="V49" s="13" t="n">
        <f aca="false">SUMPRODUCT($F49:$M49,$F$12:$M$12)</f>
        <v>28573.33614</v>
      </c>
      <c r="W49" s="13" t="n">
        <f aca="false">SUMPRODUCT($F49:$M49,$F$13:$M$13)</f>
        <v>32072.63913</v>
      </c>
      <c r="X49" s="13" t="n">
        <f aca="false">SUMPRODUCT($F49:$M49,$F$14:$M$14)</f>
        <v>3848.7166956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3"/>
      <c r="G50" s="12" t="n">
        <v>1</v>
      </c>
      <c r="H50" s="3"/>
      <c r="I50" s="3"/>
      <c r="J50" s="3"/>
      <c r="K50" s="3"/>
      <c r="L50" s="3"/>
      <c r="M50" s="3"/>
      <c r="N50" s="13" t="n">
        <f aca="false">SUMPRODUCT($F50:$M50,$F$4:$M$4)</f>
        <v>295.0303572</v>
      </c>
      <c r="O50" s="13" t="n">
        <f aca="false">SUMPRODUCT($F50:$M50,$F$5:$M$5)</f>
        <v>709.7274503</v>
      </c>
      <c r="P50" s="13" t="n">
        <f aca="false">SUMPRODUCT($F50:$M50,$F$6:$M$6)</f>
        <v>986.8680576</v>
      </c>
      <c r="Q50" s="13" t="n">
        <f aca="false">SUMPRODUCT($F50:$M50,$F$7:$M$7)</f>
        <v>1500.638174</v>
      </c>
      <c r="R50" s="13" t="n">
        <f aca="false">SUMPRODUCT($F50:$M50,$F$8:$M$8)</f>
        <v>2312.627726</v>
      </c>
      <c r="S50" s="13" t="n">
        <f aca="false">SUMPRODUCT($F50:$M50,$F$9:$M$9)</f>
        <v>3252.869887</v>
      </c>
      <c r="T50" s="13" t="n">
        <f aca="false">SUMPRODUCT($F50:$M50,$F$10:$M$10)</f>
        <v>4102.315524</v>
      </c>
      <c r="U50" s="13" t="n">
        <f aca="false">SUMPRODUCT($F50:$M50,$F$11:$M$11)</f>
        <v>5104.306587</v>
      </c>
      <c r="V50" s="13" t="n">
        <f aca="false">SUMPRODUCT($F50:$M50,$F$12:$M$12)</f>
        <v>6195.186243</v>
      </c>
      <c r="W50" s="13" t="n">
        <f aca="false">SUMPRODUCT($F50:$M50,$F$13:$M$13)</f>
        <v>7424.858444</v>
      </c>
      <c r="X50" s="13" t="n">
        <f aca="false">SUMPRODUCT($F50:$M50,$F$14:$M$14)</f>
        <v>816.73442884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3"/>
      <c r="H51" s="12" t="n">
        <v>1</v>
      </c>
      <c r="I51" s="3"/>
      <c r="J51" s="3"/>
      <c r="K51" s="3"/>
      <c r="L51" s="3"/>
      <c r="M51" s="3"/>
      <c r="N51" s="13" t="n">
        <f aca="false">SUMPRODUCT($F51:$M51,$F$4:$M$4)</f>
        <v>2727.90356888796</v>
      </c>
      <c r="O51" s="13" t="n">
        <f aca="false">SUMPRODUCT($F51:$M51,$F$5:$M$5)</f>
        <v>5488.91063218589</v>
      </c>
      <c r="P51" s="13" t="n">
        <f aca="false">SUMPRODUCT($F51:$M51,$F$6:$M$6)</f>
        <v>7206.58549675331</v>
      </c>
      <c r="Q51" s="13" t="n">
        <f aca="false">SUMPRODUCT($F51:$M51,$F$7:$M$7)</f>
        <v>10420.9077932162</v>
      </c>
      <c r="R51" s="13" t="n">
        <f aca="false">SUMPRODUCT($F51:$M51,$F$8:$M$8)</f>
        <v>14495.0713349105</v>
      </c>
      <c r="S51" s="13" t="n">
        <f aca="false">SUMPRODUCT($F51:$M51,$F$9:$M$9)</f>
        <v>18737.0609615097</v>
      </c>
      <c r="T51" s="13" t="n">
        <f aca="false">SUMPRODUCT($F51:$M51,$F$10:$M$10)</f>
        <v>22634.4822225078</v>
      </c>
      <c r="U51" s="13" t="n">
        <f aca="false">SUMPRODUCT($F51:$M51,$F$11:$M$11)</f>
        <v>26002.338467674</v>
      </c>
      <c r="V51" s="13" t="n">
        <f aca="false">SUMPRODUCT($F51:$M51,$F$12:$M$12)</f>
        <v>28613.3997200898</v>
      </c>
      <c r="W51" s="13" t="n">
        <f aca="false">SUMPRODUCT($F51:$M51,$F$13:$M$13)</f>
        <v>32428.7706862536</v>
      </c>
      <c r="X51" s="13" t="n">
        <f aca="false">SUMPRODUCT($F51:$M51,$F$14:$M$14)</f>
        <v>3567.1647754879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3"/>
      <c r="G52" s="3"/>
      <c r="H52" s="3"/>
      <c r="I52" s="12" t="n">
        <v>1</v>
      </c>
      <c r="J52" s="3"/>
      <c r="K52" s="3"/>
      <c r="L52" s="3"/>
      <c r="M52" s="3"/>
      <c r="N52" s="13" t="n">
        <f aca="false">SUMPRODUCT($F52:$M52,$F$4:$M$4)</f>
        <v>92.4087543518401</v>
      </c>
      <c r="O52" s="13" t="n">
        <f aca="false">SUMPRODUCT($F52:$M52,$F$5:$M$5)</f>
        <v>178.139434573852</v>
      </c>
      <c r="P52" s="13" t="n">
        <f aca="false">SUMPRODUCT($F52:$M52,$F$6:$M$6)</f>
        <v>255.06523127917</v>
      </c>
      <c r="Q52" s="13" t="n">
        <f aca="false">SUMPRODUCT($F52:$M52,$F$7:$M$7)</f>
        <v>361.071030055753</v>
      </c>
      <c r="R52" s="13" t="n">
        <f aca="false">SUMPRODUCT($F52:$M52,$F$8:$M$8)</f>
        <v>605.624794650293</v>
      </c>
      <c r="S52" s="13" t="n">
        <f aca="false">SUMPRODUCT($F52:$M52,$F$9:$M$9)</f>
        <v>876.216751457047</v>
      </c>
      <c r="T52" s="13" t="n">
        <f aca="false">SUMPRODUCT($F52:$M52,$F$10:$M$10)</f>
        <v>1130.35497416121</v>
      </c>
      <c r="U52" s="13" t="n">
        <f aca="false">SUMPRODUCT($F52:$M52,$F$11:$M$11)</f>
        <v>1397.61759940245</v>
      </c>
      <c r="V52" s="13" t="n">
        <f aca="false">SUMPRODUCT($F52:$M52,$F$12:$M$12)</f>
        <v>1614.59478800518</v>
      </c>
      <c r="W52" s="13" t="n">
        <f aca="false">SUMPRODUCT($F52:$M52,$F$13:$M$13)</f>
        <v>1842.87697319699</v>
      </c>
      <c r="X52" s="13" t="n">
        <f aca="false">SUMPRODUCT($F52:$M52,$F$14:$M$14)</f>
        <v>202.716467051669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 t="s">
        <v>294</v>
      </c>
      <c r="F53" s="12" t="n">
        <v>1</v>
      </c>
      <c r="G53" s="12" t="n">
        <v>1</v>
      </c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SUMPRODUCT($F53:$M53,$F$4:$M$4)*(1-DEMANDA!D$5)</f>
        <v>5593.44284475146</v>
      </c>
      <c r="O53" s="13" t="n">
        <f aca="false">SUMPRODUCT($F53:$M53,$F$5:$M$5)*(1-DEMANDA!E$5)</f>
        <v>9490.11919723452</v>
      </c>
      <c r="P53" s="13" t="n">
        <f aca="false">SUMPRODUCT($F53:$M53,$F$6:$M$6)*(1-DEMANDA!F$5)</f>
        <v>11734.3907603871</v>
      </c>
      <c r="Q53" s="13" t="n">
        <f aca="false">SUMPRODUCT($F53:$M53,$F$7:$M$7)*(1-DEMANDA!G$5)</f>
        <v>15912.4624491386</v>
      </c>
      <c r="R53" s="13" t="n">
        <f aca="false">SUMPRODUCT($F53:$M53,$F$8:$M$8)*(1-DEMANDA!H$5)</f>
        <v>23073.3529711428</v>
      </c>
      <c r="S53" s="13" t="n">
        <f aca="false">SUMPRODUCT($F53:$M53,$F$9:$M$9)*(1-DEMANDA!I$5)</f>
        <v>29497.188576133</v>
      </c>
      <c r="T53" s="13" t="n">
        <f aca="false">SUMPRODUCT($F53:$M53,$F$10:$M$10)*(1-DEMANDA!J$5)</f>
        <v>36921.9110293768</v>
      </c>
      <c r="U53" s="13" t="n">
        <f aca="false">SUMPRODUCT($F53:$M53,$F$11:$M$11)*(1-DEMANDA!K$5)</f>
        <v>44118.2064964255</v>
      </c>
      <c r="V53" s="13" t="n">
        <f aca="false">SUMPRODUCT($F53:$M53,$F$12:$M$12)*(1-DEMANDA!L$5)</f>
        <v>49704.4735162669</v>
      </c>
      <c r="W53" s="13" t="n">
        <f aca="false">SUMPRODUCT($F53:$M53,$F$13:$M$13)*(1-DEMANDA!M$5)</f>
        <v>56343.7542625258</v>
      </c>
      <c r="X53" s="13" t="n">
        <f aca="false">SUMPRODUCT($F53:$M53,$F$14:$M$14)*(1-DEMANDA!M$5)</f>
        <v>6442.77892205143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297</v>
      </c>
      <c r="D54" s="3" t="s">
        <v>214</v>
      </c>
      <c r="E54" s="3"/>
      <c r="F54" s="12" t="n">
        <v>1</v>
      </c>
      <c r="G54" s="12" t="n">
        <v>1</v>
      </c>
      <c r="H54" s="12" t="n">
        <v>1</v>
      </c>
      <c r="I54" s="12" t="n">
        <v>1</v>
      </c>
      <c r="J54" s="3"/>
      <c r="K54" s="3"/>
      <c r="L54" s="3"/>
      <c r="M54" s="3"/>
      <c r="N54" s="13" t="n">
        <f aca="false">SUMPRODUCT($F54:$M54,$F$4:$M$4)</f>
        <v>7294.0792234398</v>
      </c>
      <c r="O54" s="13" t="n">
        <f aca="false">SUMPRODUCT($F54:$M54,$F$5:$M$5)</f>
        <v>12374.0814940597</v>
      </c>
      <c r="P54" s="13" t="n">
        <f aca="false">SUMPRODUCT($F54:$M54,$F$6:$M$6)</f>
        <v>15300.2665436325</v>
      </c>
      <c r="Q54" s="13" t="n">
        <f aca="false">SUMPRODUCT($F54:$M54,$F$7:$M$7)</f>
        <v>20749.752546272</v>
      </c>
      <c r="R54" s="13" t="n">
        <f aca="false">SUMPRODUCT($F54:$M54,$F$8:$M$8)</f>
        <v>30093.9565655608</v>
      </c>
      <c r="S54" s="13" t="n">
        <f aca="false">SUMPRODUCT($F54:$M54,$F$9:$M$9)</f>
        <v>38486.4006699667</v>
      </c>
      <c r="T54" s="13" t="n">
        <f aca="false">SUMPRODUCT($F54:$M54,$F$10:$M$10)</f>
        <v>48199.705980669</v>
      </c>
      <c r="U54" s="13" t="n">
        <f aca="false">SUMPRODUCT($F54:$M54,$F$11:$M$11)</f>
        <v>57636.3411340764</v>
      </c>
      <c r="V54" s="13" t="n">
        <f aca="false">SUMPRODUCT($F54:$M54,$F$12:$M$12)</f>
        <v>64996.516891095</v>
      </c>
      <c r="W54" s="13" t="n">
        <f aca="false">SUMPRODUCT($F54:$M54,$F$13:$M$13)</f>
        <v>73769.1452334506</v>
      </c>
      <c r="X54" s="13" t="n">
        <f aca="false">SUMPRODUCT($F54:$M54,$F$14:$M$14)</f>
        <v>8435.33236697957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300</v>
      </c>
      <c r="D55" s="3" t="s">
        <v>214</v>
      </c>
      <c r="E55" s="3" t="s">
        <v>301</v>
      </c>
      <c r="F55" s="3"/>
      <c r="G55" s="12" t="n">
        <v>1</v>
      </c>
      <c r="H55" s="12" t="n">
        <v>1</v>
      </c>
      <c r="I55" s="12" t="n">
        <v>1</v>
      </c>
      <c r="J55" s="3"/>
      <c r="K55" s="3"/>
      <c r="L55" s="3"/>
      <c r="M55" s="3"/>
      <c r="N55" s="13" t="n">
        <f aca="false">SUMPRODUCT($F55:$M55,$F$4:$M$4)*DEMANDA!D$5</f>
        <v>726.351460155634</v>
      </c>
      <c r="O55" s="13" t="n">
        <f aca="false">SUMPRODUCT($F55:$M55,$F$5:$M$5)*DEMANDA!E$5</f>
        <v>1486.20210261841</v>
      </c>
      <c r="P55" s="13" t="n">
        <f aca="false">SUMPRODUCT($F55:$M55,$F$6:$M$6)*DEMANDA!F$5</f>
        <v>1969.0093931415</v>
      </c>
      <c r="Q55" s="13" t="n">
        <f aca="false">SUMPRODUCT($F55:$M55,$F$7:$M$7)*DEMANDA!G$5</f>
        <v>2863.38747584054</v>
      </c>
      <c r="R55" s="13" t="n">
        <f aca="false">SUMPRODUCT($F55:$M55,$F$8:$M$8)*DEMANDA!H$5</f>
        <v>4062.34533451206</v>
      </c>
      <c r="S55" s="13" t="n">
        <f aca="false">SUMPRODUCT($F55:$M55,$F$9:$M$9)*DEMANDA!I$5</f>
        <v>5340.81251992498</v>
      </c>
      <c r="T55" s="13" t="n">
        <f aca="false">SUMPRODUCT($F55:$M55,$F$10:$M$10)*DEMANDA!J$5</f>
        <v>6520.37243517825</v>
      </c>
      <c r="U55" s="13" t="n">
        <f aca="false">SUMPRODUCT($F55:$M55,$F$11:$M$11)*DEMANDA!K$5</f>
        <v>7623.61021205745</v>
      </c>
      <c r="V55" s="13" t="n">
        <f aca="false">SUMPRODUCT($F55:$M55,$F$12:$M$12)*DEMANDA!L$5</f>
        <v>8569.45704995555</v>
      </c>
      <c r="W55" s="13" t="n">
        <f aca="false">SUMPRODUCT($F55:$M55,$F$13:$M$13)*DEMANDA!M$5</f>
        <v>9849.34715828475</v>
      </c>
      <c r="X55" s="13" t="n">
        <f aca="false">SUMPRODUCT($F55:$M55,$F$14:$M$14)*DEMANDA!M$5</f>
        <v>1083.42818741132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304</v>
      </c>
      <c r="D56" s="3" t="s">
        <v>214</v>
      </c>
      <c r="E56" s="3"/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</f>
        <v>7294.0792234398</v>
      </c>
      <c r="O56" s="13" t="n">
        <f aca="false">SUMPRODUCT($F56:$M56,$F$5:$M$5)</f>
        <v>12374.0814940597</v>
      </c>
      <c r="P56" s="13" t="n">
        <f aca="false">SUMPRODUCT($F56:$M56,$F$6:$M$6)</f>
        <v>15300.2665436325</v>
      </c>
      <c r="Q56" s="13" t="n">
        <f aca="false">SUMPRODUCT($F56:$M56,$F$7:$M$7)</f>
        <v>20749.752546272</v>
      </c>
      <c r="R56" s="13" t="n">
        <f aca="false">SUMPRODUCT($F56:$M56,$F$8:$M$8)</f>
        <v>30093.9565655608</v>
      </c>
      <c r="S56" s="13" t="n">
        <f aca="false">SUMPRODUCT($F56:$M56,$F$9:$M$9)</f>
        <v>38486.4006699667</v>
      </c>
      <c r="T56" s="13" t="n">
        <f aca="false">SUMPRODUCT($F56:$M56,$F$10:$M$10)</f>
        <v>48199.705980669</v>
      </c>
      <c r="U56" s="13" t="n">
        <f aca="false">SUMPRODUCT($F56:$M56,$F$11:$M$11)</f>
        <v>57636.3411340764</v>
      </c>
      <c r="V56" s="13" t="n">
        <f aca="false">SUMPRODUCT($F56:$M56,$F$12:$M$12)</f>
        <v>64996.516891095</v>
      </c>
      <c r="W56" s="13" t="n">
        <f aca="false">SUMPRODUCT($F56:$M56,$F$13:$M$13)</f>
        <v>73769.1452334506</v>
      </c>
      <c r="X56" s="13" t="n">
        <f aca="false">SUMPRODUCT($F56:$M56,$F$14:$M$14)</f>
        <v>8435.33236697957</v>
      </c>
    </row>
    <row r="57" customFormat="false" ht="15" hidden="false" customHeight="false" outlineLevel="0" collapsed="false">
      <c r="A57" s="3" t="s">
        <v>305</v>
      </c>
      <c r="B57" s="3" t="s">
        <v>306</v>
      </c>
      <c r="C57" s="3" t="s">
        <v>307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308</v>
      </c>
      <c r="B58" s="3" t="s">
        <v>309</v>
      </c>
      <c r="C58" s="3" t="s">
        <v>310</v>
      </c>
      <c r="D58" s="3" t="s">
        <v>214</v>
      </c>
      <c r="E58" s="3"/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</f>
        <v>7294.0792234398</v>
      </c>
      <c r="O58" s="13" t="n">
        <f aca="false">SUMPRODUCT($F58:$M58,$F$5:$M$5)</f>
        <v>12374.0814940597</v>
      </c>
      <c r="P58" s="13" t="n">
        <f aca="false">SUMPRODUCT($F58:$M58,$F$6:$M$6)</f>
        <v>15300.2665436325</v>
      </c>
      <c r="Q58" s="13" t="n">
        <f aca="false">SUMPRODUCT($F58:$M58,$F$7:$M$7)</f>
        <v>20749.752546272</v>
      </c>
      <c r="R58" s="13" t="n">
        <f aca="false">SUMPRODUCT($F58:$M58,$F$8:$M$8)</f>
        <v>30093.9565655608</v>
      </c>
      <c r="S58" s="13" t="n">
        <f aca="false">SUMPRODUCT($F58:$M58,$F$9:$M$9)</f>
        <v>38486.4006699667</v>
      </c>
      <c r="T58" s="13" t="n">
        <f aca="false">SUMPRODUCT($F58:$M58,$F$10:$M$10)</f>
        <v>48199.705980669</v>
      </c>
      <c r="U58" s="13" t="n">
        <f aca="false">SUMPRODUCT($F58:$M58,$F$11:$M$11)</f>
        <v>57636.3411340764</v>
      </c>
      <c r="V58" s="13" t="n">
        <f aca="false">SUMPRODUCT($F58:$M58,$F$12:$M$12)</f>
        <v>64996.516891095</v>
      </c>
      <c r="W58" s="13" t="n">
        <f aca="false">SUMPRODUCT($F58:$M58,$F$13:$M$13)</f>
        <v>73769.1452334506</v>
      </c>
      <c r="X58" s="13" t="n">
        <f aca="false">SUMPRODUCT($F58:$M58,$F$14:$M$14)</f>
        <v>8435.33236697957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3"/>
      <c r="G59" s="3"/>
      <c r="H59" s="3"/>
      <c r="I59" s="3"/>
      <c r="J59" s="12" t="n">
        <v>1</v>
      </c>
      <c r="K59" s="12" t="n">
        <v>1</v>
      </c>
      <c r="L59" s="12" t="n">
        <v>1</v>
      </c>
      <c r="M59" s="12" t="n">
        <v>1</v>
      </c>
      <c r="N59" s="13" t="n">
        <f aca="false">SUMPRODUCT($F59:$M59,$F$4:$M$4)</f>
        <v>0</v>
      </c>
      <c r="O59" s="13" t="n">
        <f aca="false">SUMPRODUCT($F59:$M59,$F$5:$M$5)</f>
        <v>0</v>
      </c>
      <c r="P59" s="13" t="n">
        <f aca="false">SUMPRODUCT($F59:$M59,$F$6:$M$6)</f>
        <v>9531.2</v>
      </c>
      <c r="Q59" s="13" t="n">
        <f aca="false">SUMPRODUCT($F59:$M59,$F$7:$M$7)</f>
        <v>33205.6</v>
      </c>
      <c r="R59" s="13" t="n">
        <f aca="false">SUMPRODUCT($F59:$M59,$F$8:$M$8)</f>
        <v>61492</v>
      </c>
      <c r="S59" s="13" t="n">
        <f aca="false">SUMPRODUCT($F59:$M59,$F$9:$M$9)</f>
        <v>89163.2</v>
      </c>
      <c r="T59" s="13" t="n">
        <f aca="false">SUMPRODUCT($F59:$M59,$F$10:$M$10)</f>
        <v>126057.6</v>
      </c>
      <c r="U59" s="13" t="n">
        <f aca="false">SUMPRODUCT($F59:$M59,$F$11:$M$11)</f>
        <v>162952</v>
      </c>
      <c r="V59" s="13" t="n">
        <f aca="false">SUMPRODUCT($F59:$M59,$F$12:$M$12)</f>
        <v>182628.4</v>
      </c>
      <c r="W59" s="13" t="n">
        <f aca="false">SUMPRODUCT($F59:$M59,$F$13:$M$13)</f>
        <v>212143</v>
      </c>
      <c r="X59" s="13" t="n">
        <f aca="false">SUMPRODUCT($F59:$M59,$F$14:$M$14)</f>
        <v>25041.21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3"/>
      <c r="G60" s="3"/>
      <c r="H60" s="3"/>
      <c r="I60" s="3"/>
      <c r="J60" s="12" t="n">
        <v>1</v>
      </c>
      <c r="K60" s="3"/>
      <c r="L60" s="3"/>
      <c r="M60" s="3"/>
      <c r="N60" s="13" t="n">
        <f aca="false">SUMPRODUCT($F60:$M60,$F$4:$M$4)</f>
        <v>0</v>
      </c>
      <c r="O60" s="13" t="n">
        <f aca="false">SUMPRODUCT($F60:$M60,$F$5:$M$5)</f>
        <v>0</v>
      </c>
      <c r="P60" s="13" t="n">
        <f aca="false">SUMPRODUCT($F60:$M60,$F$6:$M$6)</f>
        <v>7662.4</v>
      </c>
      <c r="Q60" s="13" t="n">
        <f aca="false">SUMPRODUCT($F60:$M60,$F$7:$M$7)</f>
        <v>26694.8</v>
      </c>
      <c r="R60" s="13" t="n">
        <f aca="false">SUMPRODUCT($F60:$M60,$F$8:$M$8)</f>
        <v>49434.8</v>
      </c>
      <c r="S60" s="13" t="n">
        <f aca="false">SUMPRODUCT($F60:$M60,$F$9:$M$9)</f>
        <v>71680.2</v>
      </c>
      <c r="T60" s="13" t="n">
        <f aca="false">SUMPRODUCT($F60:$M60,$F$10:$M$10)</f>
        <v>101340.6</v>
      </c>
      <c r="U60" s="13" t="n">
        <f aca="false">SUMPRODUCT($F60:$M60,$F$11:$M$11)</f>
        <v>131001</v>
      </c>
      <c r="V60" s="13" t="n">
        <f aca="false">SUMPRODUCT($F60:$M60,$F$12:$M$12)</f>
        <v>146819.8</v>
      </c>
      <c r="W60" s="13" t="n">
        <f aca="false">SUMPRODUCT($F60:$M60,$F$13:$M$13)</f>
        <v>170548</v>
      </c>
      <c r="X60" s="13" t="n">
        <f aca="false">SUMPRODUCT($F60:$M60,$F$14:$M$14)</f>
        <v>20465.76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3"/>
      <c r="G61" s="3"/>
      <c r="H61" s="3"/>
      <c r="I61" s="3"/>
      <c r="J61" s="3"/>
      <c r="K61" s="12" t="n">
        <v>1</v>
      </c>
      <c r="L61" s="12" t="n">
        <v>1</v>
      </c>
      <c r="M61" s="12" t="n">
        <v>1</v>
      </c>
      <c r="N61" s="13" t="n">
        <f aca="false">SUMPRODUCT($F61:$M61,$F$4:$M$4)</f>
        <v>0</v>
      </c>
      <c r="O61" s="13" t="n">
        <f aca="false">SUMPRODUCT($F61:$M61,$F$5:$M$5)</f>
        <v>0</v>
      </c>
      <c r="P61" s="13" t="n">
        <f aca="false">SUMPRODUCT($F61:$M61,$F$6:$M$6)</f>
        <v>1868.8</v>
      </c>
      <c r="Q61" s="13" t="n">
        <f aca="false">SUMPRODUCT($F61:$M61,$F$7:$M$7)</f>
        <v>6510.8</v>
      </c>
      <c r="R61" s="13" t="n">
        <f aca="false">SUMPRODUCT($F61:$M61,$F$8:$M$8)</f>
        <v>12057.2</v>
      </c>
      <c r="S61" s="13" t="n">
        <f aca="false">SUMPRODUCT($F61:$M61,$F$9:$M$9)</f>
        <v>17483</v>
      </c>
      <c r="T61" s="13" t="n">
        <f aca="false">SUMPRODUCT($F61:$M61,$F$10:$M$10)</f>
        <v>24717</v>
      </c>
      <c r="U61" s="13" t="n">
        <f aca="false">SUMPRODUCT($F61:$M61,$F$11:$M$11)</f>
        <v>31951</v>
      </c>
      <c r="V61" s="13" t="n">
        <f aca="false">SUMPRODUCT($F61:$M61,$F$12:$M$12)</f>
        <v>35808.6</v>
      </c>
      <c r="W61" s="13" t="n">
        <f aca="false">SUMPRODUCT($F61:$M61,$F$13:$M$13)</f>
        <v>41595</v>
      </c>
      <c r="X61" s="13" t="n">
        <f aca="false">SUMPRODUCT($F61:$M61,$F$14:$M$14)</f>
        <v>4575.45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12" t="n">
        <v>1</v>
      </c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4178.736543</v>
      </c>
      <c r="O63" s="13" t="n">
        <f aca="false">SUMPRODUCT($F63:$M63,$F$5:$M$5)</f>
        <v>5997.303977</v>
      </c>
      <c r="P63" s="13" t="n">
        <f aca="false">SUMPRODUCT($F63:$M63,$F$6:$M$6)</f>
        <v>14514.147758</v>
      </c>
      <c r="Q63" s="13" t="n">
        <f aca="false">SUMPRODUCT($F63:$M63,$F$7:$M$7)</f>
        <v>35161.935549</v>
      </c>
      <c r="R63" s="13" t="n">
        <f aca="false">SUMPRODUCT($F63:$M63,$F$8:$M$8)</f>
        <v>62115.43271</v>
      </c>
      <c r="S63" s="13" t="n">
        <f aca="false">SUMPRODUCT($F63:$M63,$F$9:$M$9)</f>
        <v>87300.45307</v>
      </c>
      <c r="T63" s="13" t="n">
        <f aca="false">SUMPRODUCT($F63:$M63,$F$10:$M$10)</f>
        <v>121673.15326</v>
      </c>
      <c r="U63" s="13" t="n">
        <f aca="false">SUMPRODUCT($F63:$M63,$F$11:$M$11)</f>
        <v>156133.07848</v>
      </c>
      <c r="V63" s="13" t="n">
        <f aca="false">SUMPRODUCT($F63:$M63,$F$12:$M$12)</f>
        <v>175393.13614</v>
      </c>
      <c r="W63" s="13" t="n">
        <f aca="false">SUMPRODUCT($F63:$M63,$F$13:$M$13)</f>
        <v>202620.63913</v>
      </c>
      <c r="X63" s="13" t="n">
        <f aca="false">SUMPRODUCT($F63:$M63,$F$14:$M$14)</f>
        <v>24314.4766956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12" t="n">
        <v>1</v>
      </c>
      <c r="H64" s="3"/>
      <c r="I64" s="3"/>
      <c r="J64" s="3"/>
      <c r="K64" s="12" t="n">
        <v>1</v>
      </c>
      <c r="L64" s="3"/>
      <c r="M64" s="3"/>
      <c r="N64" s="13" t="n">
        <f aca="false">SUMPRODUCT($F64:$M64,$F$4:$M$4)</f>
        <v>295.0303572</v>
      </c>
      <c r="O64" s="13" t="n">
        <f aca="false">SUMPRODUCT($F64:$M64,$F$5:$M$5)</f>
        <v>709.7274503</v>
      </c>
      <c r="P64" s="13" t="n">
        <f aca="false">SUMPRODUCT($F64:$M64,$F$6:$M$6)</f>
        <v>1286.4680576</v>
      </c>
      <c r="Q64" s="13" t="n">
        <f aca="false">SUMPRODUCT($F64:$M64,$F$7:$M$7)</f>
        <v>2544.438174</v>
      </c>
      <c r="R64" s="13" t="n">
        <f aca="false">SUMPRODUCT($F64:$M64,$F$8:$M$8)</f>
        <v>4245.627726</v>
      </c>
      <c r="S64" s="13" t="n">
        <f aca="false">SUMPRODUCT($F64:$M64,$F$9:$M$9)</f>
        <v>6055.869887</v>
      </c>
      <c r="T64" s="13" t="n">
        <f aca="false">SUMPRODUCT($F64:$M64,$F$10:$M$10)</f>
        <v>8065.315524</v>
      </c>
      <c r="U64" s="13" t="n">
        <f aca="false">SUMPRODUCT($F64:$M64,$F$11:$M$11)</f>
        <v>10227.306587</v>
      </c>
      <c r="V64" s="13" t="n">
        <f aca="false">SUMPRODUCT($F64:$M64,$F$12:$M$12)</f>
        <v>11936.586243</v>
      </c>
      <c r="W64" s="13" t="n">
        <f aca="false">SUMPRODUCT($F64:$M64,$F$13:$M$13)</f>
        <v>14093.858444</v>
      </c>
      <c r="X64" s="13" t="n">
        <f aca="false">SUMPRODUCT($F64:$M64,$F$14:$M$14)</f>
        <v>1550.32442884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12" t="n">
        <v>1</v>
      </c>
      <c r="I65" s="3"/>
      <c r="J65" s="3"/>
      <c r="K65" s="3"/>
      <c r="L65" s="12" t="n">
        <v>1</v>
      </c>
      <c r="M65" s="3"/>
      <c r="N65" s="13" t="n">
        <f aca="false">SUMPRODUCT($F65:$M65,$F$4:$M$4)</f>
        <v>2727.90356888796</v>
      </c>
      <c r="O65" s="13" t="n">
        <f aca="false">SUMPRODUCT($F65:$M65,$F$5:$M$5)</f>
        <v>5488.91063218589</v>
      </c>
      <c r="P65" s="13" t="n">
        <f aca="false">SUMPRODUCT($F65:$M65,$F$6:$M$6)</f>
        <v>8685.38549675331</v>
      </c>
      <c r="Q65" s="13" t="n">
        <f aca="false">SUMPRODUCT($F65:$M65,$F$7:$M$7)</f>
        <v>15572.9077932162</v>
      </c>
      <c r="R65" s="13" t="n">
        <f aca="false">SUMPRODUCT($F65:$M65,$F$8:$M$8)</f>
        <v>24035.8713349105</v>
      </c>
      <c r="S65" s="13" t="n">
        <f aca="false">SUMPRODUCT($F65:$M65,$F$9:$M$9)</f>
        <v>32571.2609615097</v>
      </c>
      <c r="T65" s="13" t="n">
        <f aca="false">SUMPRODUCT($F65:$M65,$F$10:$M$10)</f>
        <v>42193.0822225078</v>
      </c>
      <c r="U65" s="13" t="n">
        <f aca="false">SUMPRODUCT($F65:$M65,$F$11:$M$11)</f>
        <v>51285.338467674</v>
      </c>
      <c r="V65" s="13" t="n">
        <f aca="false">SUMPRODUCT($F65:$M65,$F$12:$M$12)</f>
        <v>56949.1997200899</v>
      </c>
      <c r="W65" s="13" t="n">
        <f aca="false">SUMPRODUCT($F65:$M65,$F$13:$M$13)</f>
        <v>65343.7706862536</v>
      </c>
      <c r="X65" s="13" t="n">
        <f aca="false">SUMPRODUCT($F65:$M65,$F$14:$M$14)</f>
        <v>7187.8147754879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3"/>
      <c r="G66" s="3"/>
      <c r="H66" s="3"/>
      <c r="I66" s="12" t="n">
        <v>1</v>
      </c>
      <c r="J66" s="3"/>
      <c r="K66" s="3"/>
      <c r="L66" s="3"/>
      <c r="M66" s="12" t="n">
        <v>1</v>
      </c>
      <c r="N66" s="13" t="n">
        <f aca="false">SUMPRODUCT($F66:$M66,$F$4:$M$4)</f>
        <v>92.4087543518401</v>
      </c>
      <c r="O66" s="13" t="n">
        <f aca="false">SUMPRODUCT($F66:$M66,$F$5:$M$5)</f>
        <v>178.139434573852</v>
      </c>
      <c r="P66" s="13" t="n">
        <f aca="false">SUMPRODUCT($F66:$M66,$F$6:$M$6)</f>
        <v>345.46523127917</v>
      </c>
      <c r="Q66" s="13" t="n">
        <f aca="false">SUMPRODUCT($F66:$M66,$F$7:$M$7)</f>
        <v>676.071030055753</v>
      </c>
      <c r="R66" s="13" t="n">
        <f aca="false">SUMPRODUCT($F66:$M66,$F$8:$M$8)</f>
        <v>1189.02479465029</v>
      </c>
      <c r="S66" s="13" t="n">
        <f aca="false">SUMPRODUCT($F66:$M66,$F$9:$M$9)</f>
        <v>1722.01675145705</v>
      </c>
      <c r="T66" s="13" t="n">
        <f aca="false">SUMPRODUCT($F66:$M66,$F$10:$M$10)</f>
        <v>2325.75497416121</v>
      </c>
      <c r="U66" s="13" t="n">
        <f aca="false">SUMPRODUCT($F66:$M66,$F$11:$M$11)</f>
        <v>2942.61759940245</v>
      </c>
      <c r="V66" s="13" t="n">
        <f aca="false">SUMPRODUCT($F66:$M66,$F$12:$M$12)</f>
        <v>3345.99478800518</v>
      </c>
      <c r="W66" s="13" t="n">
        <f aca="false">SUMPRODUCT($F66:$M66,$F$13:$M$13)</f>
        <v>3853.87697319699</v>
      </c>
      <c r="X66" s="13" t="n">
        <f aca="false">SUMPRODUCT($F66:$M66,$F$14:$M$14)</f>
        <v>423.926467051669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12" t="n">
        <v>1</v>
      </c>
      <c r="K67" s="12" t="n">
        <v>1</v>
      </c>
      <c r="L67" s="12" t="n">
        <v>1</v>
      </c>
      <c r="M67" s="12" t="n">
        <v>1</v>
      </c>
      <c r="N67" s="13" t="n">
        <f aca="false">SUMPRODUCT($F67:$M67,$F$4:$M$4)</f>
        <v>7294.0792234398</v>
      </c>
      <c r="O67" s="13" t="n">
        <f aca="false">SUMPRODUCT($F67:$M67,$F$5:$M$5)</f>
        <v>12374.0814940597</v>
      </c>
      <c r="P67" s="13" t="n">
        <f aca="false">SUMPRODUCT($F67:$M67,$F$6:$M$6)</f>
        <v>24831.4665436325</v>
      </c>
      <c r="Q67" s="13" t="n">
        <f aca="false">SUMPRODUCT($F67:$M67,$F$7:$M$7)</f>
        <v>53955.352546272</v>
      </c>
      <c r="R67" s="13" t="n">
        <f aca="false">SUMPRODUCT($F67:$M67,$F$8:$M$8)</f>
        <v>91585.9565655608</v>
      </c>
      <c r="S67" s="13" t="n">
        <f aca="false">SUMPRODUCT($F67:$M67,$F$9:$M$9)</f>
        <v>127649.600669967</v>
      </c>
      <c r="T67" s="13" t="n">
        <f aca="false">SUMPRODUCT($F67:$M67,$F$10:$M$10)</f>
        <v>174257.305980669</v>
      </c>
      <c r="U67" s="13" t="n">
        <f aca="false">SUMPRODUCT($F67:$M67,$F$11:$M$11)</f>
        <v>220588.341134076</v>
      </c>
      <c r="V67" s="13" t="n">
        <f aca="false">SUMPRODUCT($F67:$M67,$F$12:$M$12)</f>
        <v>247624.916891095</v>
      </c>
      <c r="W67" s="13" t="n">
        <f aca="false">SUMPRODUCT($F67:$M67,$F$13:$M$13)</f>
        <v>285912.145233451</v>
      </c>
      <c r="X67" s="13" t="n">
        <f aca="false">SUMPRODUCT($F67:$M67,$F$14:$M$14)</f>
        <v>33476.5423669796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12" t="n">
        <f aca="false">1/400</f>
        <v>0.0025</v>
      </c>
      <c r="G68" s="12" t="n">
        <f aca="false">1/167</f>
        <v>0.00598802395209581</v>
      </c>
      <c r="H68" s="12" t="n">
        <f aca="false">1/90</f>
        <v>0.0111111111111111</v>
      </c>
      <c r="I68" s="12" t="n">
        <f aca="false">1/40</f>
        <v>0.025</v>
      </c>
      <c r="J68" s="12" t="n">
        <f aca="false">1/400</f>
        <v>0.0025</v>
      </c>
      <c r="K68" s="12" t="n">
        <f aca="false">1/167</f>
        <v>0.00598802395209581</v>
      </c>
      <c r="L68" s="12" t="n">
        <f aca="false">1/90</f>
        <v>0.0111111111111111</v>
      </c>
      <c r="M68" s="12" t="n">
        <f aca="false">1/40</f>
        <v>0.025</v>
      </c>
      <c r="N68" s="13" t="n">
        <f aca="false">SUMPRODUCT($F68:$M68,$F$4:$M$4)</f>
        <v>44.8337487161157</v>
      </c>
      <c r="O68" s="13" t="n">
        <f aca="false">SUMPRODUCT($F68:$M68,$F$5:$M$5)</f>
        <v>84.6845066918792</v>
      </c>
      <c r="P68" s="13" t="n">
        <f aca="false">SUMPRODUCT($F68:$M68,$F$6:$M$6)</f>
        <v>149.129685016753</v>
      </c>
      <c r="Q68" s="13" t="n">
        <f aca="false">SUMPRODUCT($F68:$M68,$F$7:$M$7)</f>
        <v>293.075080167946</v>
      </c>
      <c r="R68" s="13" t="n">
        <f aca="false">SUMPRODUCT($F68:$M68,$F$8:$M$8)</f>
        <v>477.502359210788</v>
      </c>
      <c r="S68" s="13" t="n">
        <f aca="false">SUMPRODUCT($F68:$M68,$F$9:$M$9)</f>
        <v>659.467144967888</v>
      </c>
      <c r="T68" s="13" t="n">
        <f aca="false">SUMPRODUCT($F68:$M68,$F$10:$M$10)</f>
        <v>879.434084737483</v>
      </c>
      <c r="U68" s="13" t="n">
        <f aca="false">SUMPRODUCT($F68:$M68,$F$11:$M$11)</f>
        <v>1094.97658707871</v>
      </c>
      <c r="V68" s="13" t="n">
        <f aca="false">SUMPRODUCT($F68:$M68,$F$12:$M$12)</f>
        <v>1226.37816015825</v>
      </c>
      <c r="W68" s="13" t="n">
        <f aca="false">SUMPRODUCT($F68:$M68,$F$13:$M$13)</f>
        <v>1413.33478060897</v>
      </c>
      <c r="X68" s="13" t="n">
        <f aca="false">SUMPRODUCT($F68:$M68,$F$14:$M$14)</f>
        <v>160.532341845237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12" t="n">
        <f aca="false">1/400</f>
        <v>0.0025</v>
      </c>
      <c r="G69" s="12" t="n">
        <f aca="false">1/167</f>
        <v>0.00598802395209581</v>
      </c>
      <c r="H69" s="12" t="n">
        <f aca="false">1/90</f>
        <v>0.0111111111111111</v>
      </c>
      <c r="I69" s="12" t="n">
        <f aca="false">1/40</f>
        <v>0.025</v>
      </c>
      <c r="J69" s="12" t="n">
        <f aca="false">1/400</f>
        <v>0.0025</v>
      </c>
      <c r="K69" s="12" t="n">
        <f aca="false">1/167</f>
        <v>0.00598802395209581</v>
      </c>
      <c r="L69" s="12" t="n">
        <f aca="false">1/90</f>
        <v>0.0111111111111111</v>
      </c>
      <c r="M69" s="12" t="n">
        <f aca="false">1/40</f>
        <v>0.025</v>
      </c>
      <c r="N69" s="13" t="n">
        <f aca="false">SUMPRODUCT($F69:$M69,$F$4:$M$4)</f>
        <v>44.8337487161157</v>
      </c>
      <c r="O69" s="13" t="n">
        <f aca="false">SUMPRODUCT($F69:$M69,$F$5:$M$5)</f>
        <v>84.6845066918792</v>
      </c>
      <c r="P69" s="13" t="n">
        <f aca="false">SUMPRODUCT($F69:$M69,$F$6:$M$6)</f>
        <v>149.129685016753</v>
      </c>
      <c r="Q69" s="13" t="n">
        <f aca="false">SUMPRODUCT($F69:$M69,$F$7:$M$7)</f>
        <v>293.075080167946</v>
      </c>
      <c r="R69" s="13" t="n">
        <f aca="false">SUMPRODUCT($F69:$M69,$F$8:$M$8)</f>
        <v>477.502359210788</v>
      </c>
      <c r="S69" s="13" t="n">
        <f aca="false">SUMPRODUCT($F69:$M69,$F$9:$M$9)</f>
        <v>659.467144967888</v>
      </c>
      <c r="T69" s="13" t="n">
        <f aca="false">SUMPRODUCT($F69:$M69,$F$10:$M$10)</f>
        <v>879.434084737483</v>
      </c>
      <c r="U69" s="13" t="n">
        <f aca="false">SUMPRODUCT($F69:$M69,$F$11:$M$11)</f>
        <v>1094.97658707871</v>
      </c>
      <c r="V69" s="13" t="n">
        <f aca="false">SUMPRODUCT($F69:$M69,$F$12:$M$12)</f>
        <v>1226.37816015825</v>
      </c>
      <c r="W69" s="13" t="n">
        <f aca="false">SUMPRODUCT($F69:$M69,$F$13:$M$13)</f>
        <v>1413.33478060897</v>
      </c>
      <c r="X69" s="13" t="n">
        <f aca="false">SUMPRODUCT($F69:$M69,$F$14:$M$14)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344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345</v>
      </c>
      <c r="G3" s="2" t="s">
        <v>346</v>
      </c>
      <c r="H3" s="2" t="s">
        <v>347</v>
      </c>
      <c r="I3" s="2" t="s">
        <v>348</v>
      </c>
      <c r="J3" s="2" t="s">
        <v>349</v>
      </c>
      <c r="K3" s="2" t="s">
        <v>350</v>
      </c>
      <c r="L3" s="2" t="s">
        <v>351</v>
      </c>
      <c r="M3" s="2" t="s">
        <v>352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353</v>
      </c>
      <c r="B16" s="3" t="s">
        <v>354</v>
      </c>
      <c r="C16" s="3" t="s">
        <v>355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356</v>
      </c>
      <c r="B17" s="3" t="s">
        <v>357</v>
      </c>
      <c r="C17" s="3" t="s">
        <v>358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359</v>
      </c>
      <c r="B18" s="3" t="s">
        <v>360</v>
      </c>
      <c r="C18" s="3" t="s">
        <v>361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362</v>
      </c>
      <c r="B19" s="3" t="s">
        <v>363</v>
      </c>
      <c r="C19" s="3" t="s">
        <v>364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365</v>
      </c>
      <c r="B20" s="3" t="s">
        <v>366</v>
      </c>
      <c r="C20" s="3" t="s">
        <v>367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368</v>
      </c>
      <c r="B21" s="3" t="s">
        <v>369</v>
      </c>
      <c r="C21" s="3" t="s">
        <v>370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371</v>
      </c>
      <c r="B22" s="3" t="s">
        <v>372</v>
      </c>
      <c r="C22" s="3" t="s">
        <v>373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374</v>
      </c>
      <c r="B23" s="3" t="s">
        <v>375</v>
      </c>
      <c r="C23" s="3" t="s">
        <v>376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377</v>
      </c>
      <c r="B24" s="3" t="s">
        <v>378</v>
      </c>
      <c r="C24" s="3" t="s">
        <v>379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380</v>
      </c>
      <c r="B25" s="3" t="s">
        <v>381</v>
      </c>
      <c r="C25" s="3" t="s">
        <v>382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383</v>
      </c>
      <c r="B26" s="3" t="s">
        <v>384</v>
      </c>
      <c r="C26" s="3" t="s">
        <v>385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386</v>
      </c>
      <c r="B27" s="3" t="s">
        <v>387</v>
      </c>
      <c r="C27" s="3" t="s">
        <v>388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389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390</v>
      </c>
      <c r="B29" s="3" t="s">
        <v>391</v>
      </c>
      <c r="C29" s="3" t="s">
        <v>392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393</v>
      </c>
      <c r="B30" s="3" t="s">
        <v>394</v>
      </c>
      <c r="C30" s="3" t="s">
        <v>395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396</v>
      </c>
      <c r="B31" s="3" t="s">
        <v>397</v>
      </c>
      <c r="C31" s="3" t="s">
        <v>398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399</v>
      </c>
      <c r="B32" s="3" t="s">
        <v>400</v>
      </c>
      <c r="C32" s="3" t="s">
        <v>401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402</v>
      </c>
      <c r="B33" s="3" t="s">
        <v>403</v>
      </c>
      <c r="C33" s="3" t="s">
        <v>404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405</v>
      </c>
      <c r="B34" s="3" t="s">
        <v>406</v>
      </c>
      <c r="C34" s="3" t="s">
        <v>407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408</v>
      </c>
      <c r="B35" s="3" t="s">
        <v>409</v>
      </c>
      <c r="C35" s="3" t="s">
        <v>410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411</v>
      </c>
      <c r="B36" s="3" t="s">
        <v>412</v>
      </c>
      <c r="C36" s="3" t="s">
        <v>413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414</v>
      </c>
      <c r="B37" s="3" t="s">
        <v>415</v>
      </c>
      <c r="C37" s="3" t="s">
        <v>416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417</v>
      </c>
      <c r="B38" s="3" t="s">
        <v>418</v>
      </c>
      <c r="C38" s="3" t="s">
        <v>419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420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421</v>
      </c>
      <c r="B40" s="3" t="s">
        <v>422</v>
      </c>
      <c r="C40" s="3" t="s">
        <v>423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424</v>
      </c>
      <c r="B41" s="3" t="s">
        <v>425</v>
      </c>
      <c r="C41" s="3" t="s">
        <v>426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427</v>
      </c>
      <c r="B42" s="3" t="s">
        <v>428</v>
      </c>
      <c r="C42" s="3" t="s">
        <v>429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430</v>
      </c>
      <c r="B43" s="3" t="s">
        <v>431</v>
      </c>
      <c r="C43" s="3" t="s">
        <v>432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433</v>
      </c>
      <c r="B44" s="3" t="s">
        <v>434</v>
      </c>
      <c r="C44" s="3" t="s">
        <v>435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436</v>
      </c>
      <c r="B45" s="3" t="s">
        <v>437</v>
      </c>
      <c r="C45" s="3" t="s">
        <v>438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439</v>
      </c>
      <c r="B46" s="3" t="s">
        <v>440</v>
      </c>
      <c r="C46" s="3" t="s">
        <v>441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442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443</v>
      </c>
      <c r="B48" s="3" t="s">
        <v>444</v>
      </c>
      <c r="C48" s="3" t="s">
        <v>445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446</v>
      </c>
      <c r="B49" s="3" t="s">
        <v>447</v>
      </c>
      <c r="C49" s="3" t="s">
        <v>448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449</v>
      </c>
      <c r="B50" s="3" t="s">
        <v>450</v>
      </c>
      <c r="C50" s="3" t="s">
        <v>451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452</v>
      </c>
      <c r="B51" s="3" t="s">
        <v>453</v>
      </c>
      <c r="C51" s="3" t="s">
        <v>454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455</v>
      </c>
      <c r="B52" s="3" t="s">
        <v>262</v>
      </c>
      <c r="C52" s="3" t="s">
        <v>263</v>
      </c>
      <c r="D52" s="3" t="s">
        <v>214</v>
      </c>
      <c r="E52" s="3"/>
      <c r="F52" s="12" t="n">
        <v>1</v>
      </c>
      <c r="G52" s="12" t="n">
        <v>1</v>
      </c>
      <c r="H52" s="3"/>
      <c r="I52" s="3"/>
      <c r="J52" s="3"/>
      <c r="K52" s="3"/>
      <c r="L52" s="3"/>
      <c r="M52" s="3"/>
      <c r="N52" s="13" t="n">
        <f aca="false">SUMPRODUCT($F52:$M52,$F$4:$M$4)</f>
        <v>109.25351877092</v>
      </c>
      <c r="O52" s="13" t="n">
        <f aca="false">SUMPRODUCT($F52:$M52,$F$5:$M$5)</f>
        <v>187.668833992386</v>
      </c>
      <c r="P52" s="13" t="n">
        <f aca="false">SUMPRODUCT($F52:$M52,$F$6:$M$6)</f>
        <v>241.861641585318</v>
      </c>
      <c r="Q52" s="13" t="n">
        <f aca="false">SUMPRODUCT($F52:$M52,$F$7:$M$7)</f>
        <v>323.235186698422</v>
      </c>
      <c r="R52" s="13" t="n">
        <f aca="false">SUMPRODUCT($F52:$M52,$F$8:$M$8)</f>
        <v>500.414815101152</v>
      </c>
      <c r="S52" s="13" t="n">
        <f aca="false">SUMPRODUCT($F52:$M52,$F$9:$M$9)</f>
        <v>680.161681614802</v>
      </c>
      <c r="T52" s="13" t="n">
        <f aca="false">SUMPRODUCT($F52:$M52,$F$10:$M$10)</f>
        <v>874.308232527158</v>
      </c>
      <c r="U52" s="13" t="n">
        <f aca="false">SUMPRODUCT($F52:$M52,$F$11:$M$11)</f>
        <v>1082.38200650805</v>
      </c>
      <c r="V52" s="13" t="n">
        <f aca="false">SUMPRODUCT($F52:$M52,$F$12:$M$12)</f>
        <v>1260.91715806969</v>
      </c>
      <c r="W52" s="13" t="n">
        <f aca="false">SUMPRODUCT($F52:$M52,$F$13:$M$13)</f>
        <v>1451.5305160204</v>
      </c>
      <c r="X52" s="13" t="n">
        <f aca="false">SUMPRODUCT($F52:$M52,$F$14:$M$14)</f>
        <v>130.637746441836</v>
      </c>
    </row>
    <row r="53" customFormat="false" ht="15" hidden="false" customHeight="false" outlineLevel="0" collapsed="false">
      <c r="A53" s="3" t="s">
        <v>456</v>
      </c>
      <c r="B53" s="3" t="s">
        <v>457</v>
      </c>
      <c r="C53" s="3" t="s">
        <v>458</v>
      </c>
      <c r="D53" s="3" t="s">
        <v>214</v>
      </c>
      <c r="E53" s="3"/>
      <c r="F53" s="3"/>
      <c r="G53" s="3"/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</f>
        <v>27.5292195009201</v>
      </c>
      <c r="O53" s="13" t="n">
        <f aca="false">SUMPRODUCT($F53:$M53,$F$5:$M$5)</f>
        <v>46.784107290546</v>
      </c>
      <c r="P53" s="13" t="n">
        <f aca="false">SUMPRODUCT($F53:$M53,$F$6:$M$6)</f>
        <v>60.4690077114661</v>
      </c>
      <c r="Q53" s="13" t="n">
        <f aca="false">SUMPRODUCT($F53:$M53,$F$7:$M$7)</f>
        <v>80.7404474020121</v>
      </c>
      <c r="R53" s="13" t="n">
        <f aca="false">SUMPRODUCT($F53:$M53,$F$8:$M$8)</f>
        <v>125.319543573478</v>
      </c>
      <c r="S53" s="13" t="n">
        <f aca="false">SUMPRODUCT($F53:$M53,$F$9:$M$9)</f>
        <v>169.90731918365</v>
      </c>
      <c r="T53" s="13" t="n">
        <f aca="false">SUMPRODUCT($F53:$M53,$F$10:$M$10)</f>
        <v>218.508708844196</v>
      </c>
      <c r="U53" s="13" t="n">
        <f aca="false">SUMPRODUCT($F53:$M53,$F$11:$M$11)</f>
        <v>270.667448154742</v>
      </c>
      <c r="V53" s="13" t="n">
        <f aca="false">SUMPRODUCT($F53:$M53,$F$12:$M$12)</f>
        <v>315.304833475288</v>
      </c>
      <c r="W53" s="13" t="n">
        <f aca="false">SUMPRODUCT($F53:$M53,$F$13:$M$13)</f>
        <v>362.745930484914</v>
      </c>
      <c r="X53" s="13" t="n">
        <f aca="false">SUMPRODUCT($F53:$M53,$F$14:$M$14)</f>
        <v>32.6471337436423</v>
      </c>
    </row>
    <row r="54" customFormat="false" ht="15" hidden="false" customHeight="false" outlineLevel="0" collapsed="false">
      <c r="A54" s="3" t="s">
        <v>459</v>
      </c>
      <c r="B54" s="3" t="s">
        <v>460</v>
      </c>
      <c r="C54" s="3" t="s">
        <v>461</v>
      </c>
      <c r="D54" s="3" t="s">
        <v>214</v>
      </c>
      <c r="E54" s="3"/>
      <c r="F54" s="12" t="n">
        <v>1</v>
      </c>
      <c r="G54" s="3"/>
      <c r="H54" s="3"/>
      <c r="I54" s="3"/>
      <c r="J54" s="3"/>
      <c r="K54" s="3"/>
      <c r="L54" s="3"/>
      <c r="M54" s="3"/>
      <c r="N54" s="13" t="n">
        <f aca="false">SUMPRODUCT($F54:$M54,$F$4:$M$4)</f>
        <v>34.05179136</v>
      </c>
      <c r="O54" s="13" t="n">
        <f aca="false">SUMPRODUCT($F54:$M54,$F$5:$M$5)</f>
        <v>58.46214745</v>
      </c>
      <c r="P54" s="13" t="n">
        <f aca="false">SUMPRODUCT($F54:$M54,$F$6:$M$6)</f>
        <v>75.20853998</v>
      </c>
      <c r="Q54" s="13" t="n">
        <f aca="false">SUMPRODUCT($F54:$M54,$F$7:$M$7)</f>
        <v>100.5298529</v>
      </c>
      <c r="R54" s="13" t="n">
        <f aca="false">SUMPRODUCT($F54:$M54,$F$8:$M$8)</f>
        <v>155.8760035</v>
      </c>
      <c r="S54" s="13" t="n">
        <f aca="false">SUMPRODUCT($F54:$M54,$F$9:$M$9)</f>
        <v>211.9344827</v>
      </c>
      <c r="T54" s="13" t="n">
        <f aca="false">SUMPRODUCT($F54:$M54,$F$10:$M$10)</f>
        <v>272.6682332</v>
      </c>
      <c r="U54" s="13" t="n">
        <f aca="false">SUMPRODUCT($F54:$M54,$F$11:$M$11)</f>
        <v>337.8486707</v>
      </c>
      <c r="V54" s="13" t="n">
        <f aca="false">SUMPRODUCT($F54:$M54,$F$12:$M$12)</f>
        <v>393.6274156</v>
      </c>
      <c r="W54" s="13" t="n">
        <f aca="false">SUMPRODUCT($F54:$M54,$F$13:$M$13)</f>
        <v>453.2705332</v>
      </c>
      <c r="X54" s="13" t="n">
        <f aca="false">SUMPRODUCT($F54:$M54,$F$14:$M$14)</f>
        <v>40.794347988</v>
      </c>
    </row>
    <row r="55" customFormat="false" ht="15" hidden="false" customHeight="false" outlineLevel="0" collapsed="false">
      <c r="A55" s="3" t="s">
        <v>462</v>
      </c>
      <c r="B55" s="3" t="s">
        <v>463</v>
      </c>
      <c r="C55" s="3" t="s">
        <v>464</v>
      </c>
      <c r="D55" s="3" t="s">
        <v>214</v>
      </c>
      <c r="E55" s="3"/>
      <c r="F55" s="3"/>
      <c r="G55" s="12" t="n">
        <v>1</v>
      </c>
      <c r="H55" s="3"/>
      <c r="I55" s="3"/>
      <c r="J55" s="3"/>
      <c r="K55" s="3"/>
      <c r="L55" s="3"/>
      <c r="M55" s="3"/>
      <c r="N55" s="13" t="n">
        <f aca="false">SUMPRODUCT($F55:$M55,$F$4:$M$4)</f>
        <v>75.2017274109201</v>
      </c>
      <c r="O55" s="13" t="n">
        <f aca="false">SUMPRODUCT($F55:$M55,$F$5:$M$5)</f>
        <v>129.206686542386</v>
      </c>
      <c r="P55" s="13" t="n">
        <f aca="false">SUMPRODUCT($F55:$M55,$F$6:$M$6)</f>
        <v>166.653101605318</v>
      </c>
      <c r="Q55" s="13" t="n">
        <f aca="false">SUMPRODUCT($F55:$M55,$F$7:$M$7)</f>
        <v>222.705333798422</v>
      </c>
      <c r="R55" s="13" t="n">
        <f aca="false">SUMPRODUCT($F55:$M55,$F$8:$M$8)</f>
        <v>344.538811601152</v>
      </c>
      <c r="S55" s="13" t="n">
        <f aca="false">SUMPRODUCT($F55:$M55,$F$9:$M$9)</f>
        <v>468.227198914802</v>
      </c>
      <c r="T55" s="13" t="n">
        <f aca="false">SUMPRODUCT($F55:$M55,$F$10:$M$10)</f>
        <v>601.639999327158</v>
      </c>
      <c r="U55" s="13" t="n">
        <f aca="false">SUMPRODUCT($F55:$M55,$F$11:$M$11)</f>
        <v>744.533335808048</v>
      </c>
      <c r="V55" s="13" t="n">
        <f aca="false">SUMPRODUCT($F55:$M55,$F$12:$M$12)</f>
        <v>867.289742469686</v>
      </c>
      <c r="W55" s="13" t="n">
        <f aca="false">SUMPRODUCT($F55:$M55,$F$13:$M$13)</f>
        <v>998.259982820404</v>
      </c>
      <c r="X55" s="13" t="n">
        <f aca="false">SUMPRODUCT($F55:$M55,$F$14:$M$14)</f>
        <v>89.8433984538364</v>
      </c>
    </row>
    <row r="56" customFormat="false" ht="15" hidden="false" customHeight="false" outlineLevel="0" collapsed="false">
      <c r="A56" s="3" t="s">
        <v>465</v>
      </c>
      <c r="B56" s="3" t="s">
        <v>466</v>
      </c>
      <c r="C56" s="3" t="s">
        <v>467</v>
      </c>
      <c r="D56" s="3" t="s">
        <v>214</v>
      </c>
      <c r="E56" s="3"/>
      <c r="F56" s="3"/>
      <c r="G56" s="3"/>
      <c r="H56" s="12" t="n">
        <v>1</v>
      </c>
      <c r="I56" s="3"/>
      <c r="J56" s="3"/>
      <c r="K56" s="3"/>
      <c r="L56" s="3"/>
      <c r="M56" s="3"/>
      <c r="N56" s="13" t="n">
        <f aca="false">SUMPRODUCT($F56:$M56,$F$4:$M$4)</f>
        <v>16.34485985</v>
      </c>
      <c r="O56" s="13" t="n">
        <f aca="false">SUMPRODUCT($F56:$M56,$F$5:$M$5)</f>
        <v>28.06183078</v>
      </c>
      <c r="P56" s="13" t="n">
        <f aca="false">SUMPRODUCT($F56:$M56,$F$6:$M$6)</f>
        <v>36.10009919</v>
      </c>
      <c r="Q56" s="13" t="n">
        <f aca="false">SUMPRODUCT($F56:$M56,$F$7:$M$7)</f>
        <v>48.25432941</v>
      </c>
      <c r="R56" s="13" t="n">
        <f aca="false">SUMPRODUCT($F56:$M56,$F$8:$M$8)</f>
        <v>74.82048167</v>
      </c>
      <c r="S56" s="13" t="n">
        <f aca="false">SUMPRODUCT($F56:$M56,$F$9:$M$9)</f>
        <v>101.7285517</v>
      </c>
      <c r="T56" s="13" t="n">
        <f aca="false">SUMPRODUCT($F56:$M56,$F$10:$M$10)</f>
        <v>130.8807519</v>
      </c>
      <c r="U56" s="13" t="n">
        <f aca="false">SUMPRODUCT($F56:$M56,$F$11:$M$11)</f>
        <v>162.1673619</v>
      </c>
      <c r="V56" s="13" t="n">
        <f aca="false">SUMPRODUCT($F56:$M56,$F$12:$M$12)</f>
        <v>188.9411595</v>
      </c>
      <c r="W56" s="13" t="n">
        <f aca="false">SUMPRODUCT($F56:$M56,$F$13:$M$13)</f>
        <v>217.569856</v>
      </c>
      <c r="X56" s="13" t="n">
        <f aca="false">SUMPRODUCT($F56:$M56,$F$14:$M$14)</f>
        <v>19.58128704</v>
      </c>
    </row>
    <row r="57" customFormat="false" ht="15" hidden="false" customHeight="false" outlineLevel="0" collapsed="false">
      <c r="A57" s="3" t="s">
        <v>468</v>
      </c>
      <c r="B57" s="3" t="s">
        <v>469</v>
      </c>
      <c r="C57" s="3" t="s">
        <v>470</v>
      </c>
      <c r="D57" s="3" t="s">
        <v>214</v>
      </c>
      <c r="E57" s="3"/>
      <c r="F57" s="3"/>
      <c r="G57" s="3"/>
      <c r="H57" s="3"/>
      <c r="I57" s="12" t="n">
        <v>1</v>
      </c>
      <c r="J57" s="3"/>
      <c r="K57" s="3"/>
      <c r="L57" s="3"/>
      <c r="M57" s="3"/>
      <c r="N57" s="13" t="n">
        <f aca="false">SUMPRODUCT($F57:$M57,$F$4:$M$4)</f>
        <v>11.1843596509201</v>
      </c>
      <c r="O57" s="13" t="n">
        <f aca="false">SUMPRODUCT($F57:$M57,$F$5:$M$5)</f>
        <v>18.722276510546</v>
      </c>
      <c r="P57" s="13" t="n">
        <f aca="false">SUMPRODUCT($F57:$M57,$F$6:$M$6)</f>
        <v>24.3689085214661</v>
      </c>
      <c r="Q57" s="13" t="n">
        <f aca="false">SUMPRODUCT($F57:$M57,$F$7:$M$7)</f>
        <v>32.4861179920121</v>
      </c>
      <c r="R57" s="13" t="n">
        <f aca="false">SUMPRODUCT($F57:$M57,$F$8:$M$8)</f>
        <v>50.4990619034781</v>
      </c>
      <c r="S57" s="13" t="n">
        <f aca="false">SUMPRODUCT($F57:$M57,$F$9:$M$9)</f>
        <v>68.1787674836501</v>
      </c>
      <c r="T57" s="13" t="n">
        <f aca="false">SUMPRODUCT($F57:$M57,$F$10:$M$10)</f>
        <v>87.6279569441961</v>
      </c>
      <c r="U57" s="13" t="n">
        <f aca="false">SUMPRODUCT($F57:$M57,$F$11:$M$11)</f>
        <v>108.500086254742</v>
      </c>
      <c r="V57" s="13" t="n">
        <f aca="false">SUMPRODUCT($F57:$M57,$F$12:$M$12)</f>
        <v>126.363673975288</v>
      </c>
      <c r="W57" s="13" t="n">
        <f aca="false">SUMPRODUCT($F57:$M57,$F$13:$M$13)</f>
        <v>145.176074484914</v>
      </c>
      <c r="X57" s="13" t="n">
        <f aca="false">SUMPRODUCT($F57:$M57,$F$14:$M$14)</f>
        <v>13.0658467036423</v>
      </c>
    </row>
    <row r="58" customFormat="false" ht="15" hidden="false" customHeight="false" outlineLevel="0" collapsed="false">
      <c r="A58" s="3" t="s">
        <v>471</v>
      </c>
      <c r="B58" s="3" t="s">
        <v>292</v>
      </c>
      <c r="C58" s="3" t="s">
        <v>293</v>
      </c>
      <c r="D58" s="3" t="s">
        <v>214</v>
      </c>
      <c r="E58" s="3" t="s">
        <v>294</v>
      </c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SUMPRODUCT($F58:$M58,$F$4:$M$4)*(1-DEMANDA!D$5)</f>
        <v>104.891433892506</v>
      </c>
      <c r="O58" s="13" t="n">
        <f aca="false">SUMPRODUCT($F58:$M58,$F$5:$M$5)*(1-DEMANDA!E$5)</f>
        <v>179.810223488941</v>
      </c>
      <c r="P58" s="13" t="n">
        <f aca="false">SUMPRODUCT($F58:$M58,$F$6:$M$6)*(1-DEMANDA!F$5)</f>
        <v>231.869553878226</v>
      </c>
      <c r="Q58" s="13" t="n">
        <f aca="false">SUMPRODUCT($F58:$M58,$F$7:$M$7)*(1-DEMANDA!G$5)</f>
        <v>309.798735847819</v>
      </c>
      <c r="R58" s="13" t="n">
        <f aca="false">SUMPRODUCT($F58:$M58,$F$8:$M$8)*(1-DEMANDA!H$5)</f>
        <v>479.75711310735</v>
      </c>
      <c r="S58" s="13" t="n">
        <f aca="false">SUMPRODUCT($F58:$M58,$F$9:$M$9)*(1-DEMANDA!I$5)</f>
        <v>651.519632461868</v>
      </c>
      <c r="T58" s="13" t="n">
        <f aca="false">SUMPRODUCT($F58:$M58,$F$10:$M$10)*(1-DEMANDA!J$5)</f>
        <v>837.119004354324</v>
      </c>
      <c r="U58" s="13" t="n">
        <f aca="false">SUMPRODUCT($F58:$M58,$F$11:$M$11)*(1-DEMANDA!K$5)</f>
        <v>1035.70271925877</v>
      </c>
      <c r="V58" s="13" t="n">
        <f aca="false">SUMPRODUCT($F58:$M58,$F$12:$M$12)*(1-DEMANDA!L$5)</f>
        <v>1205.37665681034</v>
      </c>
      <c r="W58" s="13" t="n">
        <f aca="false">SUMPRODUCT($F58:$M58,$F$13:$M$13)*(1-DEMANDA!M$5)</f>
        <v>1385.71683246007</v>
      </c>
      <c r="X58" s="13" t="n">
        <f aca="false">SUMPRODUCT($F58:$M58,$F$14:$M$14)*(1-DEMANDA!M$5)</f>
        <v>124.714514921406</v>
      </c>
    </row>
    <row r="59" customFormat="false" ht="15" hidden="false" customHeight="false" outlineLevel="0" collapsed="false">
      <c r="A59" s="3" t="s">
        <v>472</v>
      </c>
      <c r="B59" s="3" t="s">
        <v>296</v>
      </c>
      <c r="C59" s="3" t="s">
        <v>297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136.78273827184</v>
      </c>
      <c r="O59" s="13" t="n">
        <f aca="false">SUMPRODUCT($F59:$M59,$F$5:$M$5)</f>
        <v>234.452941282932</v>
      </c>
      <c r="P59" s="13" t="n">
        <f aca="false">SUMPRODUCT($F59:$M59,$F$6:$M$6)</f>
        <v>302.330649296784</v>
      </c>
      <c r="Q59" s="13" t="n">
        <f aca="false">SUMPRODUCT($F59:$M59,$F$7:$M$7)</f>
        <v>403.975634100434</v>
      </c>
      <c r="R59" s="13" t="n">
        <f aca="false">SUMPRODUCT($F59:$M59,$F$8:$M$8)</f>
        <v>625.734358674631</v>
      </c>
      <c r="S59" s="13" t="n">
        <f aca="false">SUMPRODUCT($F59:$M59,$F$9:$M$9)</f>
        <v>850.069000798452</v>
      </c>
      <c r="T59" s="13" t="n">
        <f aca="false">SUMPRODUCT($F59:$M59,$F$10:$M$10)</f>
        <v>1092.81694137135</v>
      </c>
      <c r="U59" s="13" t="n">
        <f aca="false">SUMPRODUCT($F59:$M59,$F$11:$M$11)</f>
        <v>1353.04945466279</v>
      </c>
      <c r="V59" s="13" t="n">
        <f aca="false">SUMPRODUCT($F59:$M59,$F$12:$M$12)</f>
        <v>1576.22199154497</v>
      </c>
      <c r="W59" s="13" t="n">
        <f aca="false">SUMPRODUCT($F59:$M59,$F$13:$M$13)</f>
        <v>1814.27644650532</v>
      </c>
      <c r="X59" s="13" t="n">
        <f aca="false">SUMPRODUCT($F59:$M59,$F$14:$M$14)</f>
        <v>163.284880185479</v>
      </c>
    </row>
    <row r="60" customFormat="false" ht="15" hidden="false" customHeight="false" outlineLevel="0" collapsed="false">
      <c r="A60" s="3" t="s">
        <v>473</v>
      </c>
      <c r="B60" s="3" t="s">
        <v>299</v>
      </c>
      <c r="C60" s="3" t="s">
        <v>300</v>
      </c>
      <c r="D60" s="3" t="s">
        <v>214</v>
      </c>
      <c r="E60" s="3" t="s">
        <v>301</v>
      </c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SUMPRODUCT($F60:$M60,$F$4:$M$4)*DEMANDA!D$5</f>
        <v>31.8913043793343</v>
      </c>
      <c r="O60" s="13" t="n">
        <f aca="false">SUMPRODUCT($F60:$M60,$F$5:$M$5)*DEMANDA!E$5</f>
        <v>54.6427177939912</v>
      </c>
      <c r="P60" s="13" t="n">
        <f aca="false">SUMPRODUCT($F60:$M60,$F$6:$M$6)*DEMANDA!F$5</f>
        <v>70.4610954185587</v>
      </c>
      <c r="Q60" s="13" t="n">
        <f aca="false">SUMPRODUCT($F60:$M60,$F$7:$M$7)*DEMANDA!G$5</f>
        <v>94.1768982526153</v>
      </c>
      <c r="R60" s="13" t="n">
        <f aca="false">SUMPRODUCT($F60:$M60,$F$8:$M$8)*DEMANDA!H$5</f>
        <v>145.977245567281</v>
      </c>
      <c r="S60" s="13" t="n">
        <f aca="false">SUMPRODUCT($F60:$M60,$F$9:$M$9)*DEMANDA!I$5</f>
        <v>198.549368336584</v>
      </c>
      <c r="T60" s="13" t="n">
        <f aca="false">SUMPRODUCT($F60:$M60,$F$10:$M$10)*DEMANDA!J$5</f>
        <v>255.69793701703</v>
      </c>
      <c r="U60" s="13" t="n">
        <f aca="false">SUMPRODUCT($F60:$M60,$F$11:$M$11)*DEMANDA!K$5</f>
        <v>317.346735404022</v>
      </c>
      <c r="V60" s="13" t="n">
        <f aca="false">SUMPRODUCT($F60:$M60,$F$12:$M$12)*DEMANDA!L$5</f>
        <v>370.845334734638</v>
      </c>
      <c r="W60" s="13" t="n">
        <f aca="false">SUMPRODUCT($F60:$M60,$F$13:$M$13)*DEMANDA!M$5</f>
        <v>428.559614045248</v>
      </c>
      <c r="X60" s="13" t="n">
        <f aca="false">SUMPRODUCT($F60:$M60,$F$14:$M$14)*DEMANDA!M$5</f>
        <v>38.5703652640723</v>
      </c>
    </row>
    <row r="61" customFormat="false" ht="15" hidden="false" customHeight="false" outlineLevel="0" collapsed="false">
      <c r="A61" s="3" t="s">
        <v>474</v>
      </c>
      <c r="B61" s="3" t="s">
        <v>303</v>
      </c>
      <c r="C61" s="3" t="s">
        <v>304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136.78273827184</v>
      </c>
      <c r="O61" s="13" t="n">
        <f aca="false">SUMPRODUCT($F61:$M61,$F$5:$M$5)</f>
        <v>234.452941282932</v>
      </c>
      <c r="P61" s="13" t="n">
        <f aca="false">SUMPRODUCT($F61:$M61,$F$6:$M$6)</f>
        <v>302.330649296784</v>
      </c>
      <c r="Q61" s="13" t="n">
        <f aca="false">SUMPRODUCT($F61:$M61,$F$7:$M$7)</f>
        <v>403.975634100434</v>
      </c>
      <c r="R61" s="13" t="n">
        <f aca="false">SUMPRODUCT($F61:$M61,$F$8:$M$8)</f>
        <v>625.734358674631</v>
      </c>
      <c r="S61" s="13" t="n">
        <f aca="false">SUMPRODUCT($F61:$M61,$F$9:$M$9)</f>
        <v>850.069000798452</v>
      </c>
      <c r="T61" s="13" t="n">
        <f aca="false">SUMPRODUCT($F61:$M61,$F$10:$M$10)</f>
        <v>1092.81694137135</v>
      </c>
      <c r="U61" s="13" t="n">
        <f aca="false">SUMPRODUCT($F61:$M61,$F$11:$M$11)</f>
        <v>1353.04945466279</v>
      </c>
      <c r="V61" s="13" t="n">
        <f aca="false">SUMPRODUCT($F61:$M61,$F$12:$M$12)</f>
        <v>1576.22199154497</v>
      </c>
      <c r="W61" s="13" t="n">
        <f aca="false">SUMPRODUCT($F61:$M61,$F$13:$M$13)</f>
        <v>1814.27644650532</v>
      </c>
      <c r="X61" s="13" t="n">
        <f aca="false">SUMPRODUCT($F61:$M61,$F$14:$M$14)</f>
        <v>163.284880185479</v>
      </c>
    </row>
    <row r="62" customFormat="false" ht="15" hidden="false" customHeight="false" outlineLevel="0" collapsed="false">
      <c r="A62" s="3" t="s">
        <v>475</v>
      </c>
      <c r="B62" s="3" t="s">
        <v>306</v>
      </c>
      <c r="C62" s="3" t="s">
        <v>307</v>
      </c>
      <c r="D62" s="3" t="s">
        <v>214</v>
      </c>
      <c r="E62" s="3"/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</f>
        <v>136.78273827184</v>
      </c>
      <c r="O62" s="13" t="n">
        <f aca="false">SUMPRODUCT($F62:$M62,$F$5:$M$5)</f>
        <v>234.452941282932</v>
      </c>
      <c r="P62" s="13" t="n">
        <f aca="false">SUMPRODUCT($F62:$M62,$F$6:$M$6)</f>
        <v>302.330649296784</v>
      </c>
      <c r="Q62" s="13" t="n">
        <f aca="false">SUMPRODUCT($F62:$M62,$F$7:$M$7)</f>
        <v>403.975634100434</v>
      </c>
      <c r="R62" s="13" t="n">
        <f aca="false">SUMPRODUCT($F62:$M62,$F$8:$M$8)</f>
        <v>625.734358674631</v>
      </c>
      <c r="S62" s="13" t="n">
        <f aca="false">SUMPRODUCT($F62:$M62,$F$9:$M$9)</f>
        <v>850.069000798452</v>
      </c>
      <c r="T62" s="13" t="n">
        <f aca="false">SUMPRODUCT($F62:$M62,$F$10:$M$10)</f>
        <v>1092.81694137135</v>
      </c>
      <c r="U62" s="13" t="n">
        <f aca="false">SUMPRODUCT($F62:$M62,$F$11:$M$11)</f>
        <v>1353.04945466279</v>
      </c>
      <c r="V62" s="13" t="n">
        <f aca="false">SUMPRODUCT($F62:$M62,$F$12:$M$12)</f>
        <v>1576.22199154497</v>
      </c>
      <c r="W62" s="13" t="n">
        <f aca="false">SUMPRODUCT($F62:$M62,$F$13:$M$13)</f>
        <v>1814.27644650532</v>
      </c>
      <c r="X62" s="13" t="n">
        <f aca="false">SUMPRODUCT($F62:$M62,$F$14:$M$14)</f>
        <v>163.284880185479</v>
      </c>
    </row>
    <row r="63" customFormat="false" ht="15" hidden="false" customHeight="false" outlineLevel="0" collapsed="false">
      <c r="A63" s="3" t="s">
        <v>476</v>
      </c>
      <c r="B63" s="3" t="s">
        <v>309</v>
      </c>
      <c r="C63" s="3" t="s">
        <v>310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477</v>
      </c>
      <c r="B64" s="3" t="s">
        <v>312</v>
      </c>
      <c r="C64" s="3" t="s">
        <v>313</v>
      </c>
      <c r="D64" s="3" t="s">
        <v>214</v>
      </c>
      <c r="E64" s="3"/>
      <c r="F64" s="3"/>
      <c r="G64" s="3"/>
      <c r="H64" s="3"/>
      <c r="I64" s="3"/>
      <c r="J64" s="12" t="n">
        <v>1</v>
      </c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57.8</v>
      </c>
      <c r="Q64" s="13" t="n">
        <f aca="false">SUMPRODUCT($F64:$M64,$F$7:$M$7)</f>
        <v>201.4</v>
      </c>
      <c r="R64" s="13" t="n">
        <f aca="false">SUMPRODUCT($F64:$M64,$F$8:$M$8)</f>
        <v>373</v>
      </c>
      <c r="S64" s="13" t="n">
        <f aca="false">SUMPRODUCT($F64:$M64,$F$9:$M$9)</f>
        <v>540.8</v>
      </c>
      <c r="T64" s="13" t="n">
        <f aca="false">SUMPRODUCT($F64:$M64,$F$10:$M$10)</f>
        <v>764.4</v>
      </c>
      <c r="U64" s="13" t="n">
        <f aca="false">SUMPRODUCT($F64:$M64,$F$11:$M$11)</f>
        <v>988</v>
      </c>
      <c r="V64" s="13" t="n">
        <f aca="false">SUMPRODUCT($F64:$M64,$F$12:$M$12)</f>
        <v>1107.6</v>
      </c>
      <c r="W64" s="13" t="n">
        <f aca="false">SUMPRODUCT($F64:$M64,$F$13:$M$13)</f>
        <v>1287</v>
      </c>
      <c r="X64" s="13" t="n">
        <f aca="false">SUMPRODUCT($F64:$M64,$F$14:$M$14)</f>
        <v>115.83</v>
      </c>
    </row>
    <row r="65" customFormat="false" ht="15" hidden="false" customHeight="false" outlineLevel="0" collapsed="false">
      <c r="A65" s="3" t="s">
        <v>478</v>
      </c>
      <c r="B65" s="3" t="s">
        <v>318</v>
      </c>
      <c r="C65" s="3" t="s">
        <v>319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3"/>
      <c r="M65" s="3"/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46.2</v>
      </c>
      <c r="Q65" s="13" t="n">
        <f aca="false">SUMPRODUCT($F65:$M65,$F$7:$M$7)</f>
        <v>161</v>
      </c>
      <c r="R65" s="13" t="n">
        <f aca="false">SUMPRODUCT($F65:$M65,$F$8:$M$8)</f>
        <v>298.2</v>
      </c>
      <c r="S65" s="13" t="n">
        <f aca="false">SUMPRODUCT($F65:$M65,$F$9:$M$9)</f>
        <v>432.6</v>
      </c>
      <c r="T65" s="13" t="n">
        <f aca="false">SUMPRODUCT($F65:$M65,$F$10:$M$10)</f>
        <v>611.8</v>
      </c>
      <c r="U65" s="13" t="n">
        <f aca="false">SUMPRODUCT($F65:$M65,$F$11:$M$11)</f>
        <v>791</v>
      </c>
      <c r="V65" s="13" t="n">
        <f aca="false">SUMPRODUCT($F65:$M65,$F$12:$M$12)</f>
        <v>886.6</v>
      </c>
      <c r="W65" s="13" t="n">
        <f aca="false">SUMPRODUCT($F65:$M65,$F$13:$M$13)</f>
        <v>1030</v>
      </c>
      <c r="X65" s="13" t="n">
        <f aca="false">SUMPRODUCT($F65:$M65,$F$14:$M$14)</f>
        <v>92.7</v>
      </c>
    </row>
    <row r="66" customFormat="false" ht="15" hidden="false" customHeight="false" outlineLevel="0" collapsed="false">
      <c r="A66" s="3" t="s">
        <v>479</v>
      </c>
      <c r="B66" s="3" t="s">
        <v>480</v>
      </c>
      <c r="C66" s="3" t="s">
        <v>481</v>
      </c>
      <c r="D66" s="3" t="s">
        <v>214</v>
      </c>
      <c r="E66" s="3"/>
      <c r="F66" s="3"/>
      <c r="G66" s="3"/>
      <c r="H66" s="3"/>
      <c r="I66" s="3"/>
      <c r="J66" s="3"/>
      <c r="K66" s="3"/>
      <c r="L66" s="12" t="n">
        <v>1</v>
      </c>
      <c r="M66" s="12" t="n">
        <v>1</v>
      </c>
      <c r="N66" s="13" t="n">
        <f aca="false">SUMPRODUCT($F66:$M66,$F$4:$M$4)</f>
        <v>0</v>
      </c>
      <c r="O66" s="13" t="n">
        <f aca="false">SUMPRODUCT($F66:$M66,$F$5:$M$5)</f>
        <v>0</v>
      </c>
      <c r="P66" s="13" t="n">
        <f aca="false">SUMPRODUCT($F66:$M66,$F$6:$M$6)</f>
        <v>11.6</v>
      </c>
      <c r="Q66" s="13" t="n">
        <f aca="false">SUMPRODUCT($F66:$M66,$F$7:$M$7)</f>
        <v>40.4</v>
      </c>
      <c r="R66" s="13" t="n">
        <f aca="false">SUMPRODUCT($F66:$M66,$F$8:$M$8)</f>
        <v>74.8</v>
      </c>
      <c r="S66" s="13" t="n">
        <f aca="false">SUMPRODUCT($F66:$M66,$F$9:$M$9)</f>
        <v>108.2</v>
      </c>
      <c r="T66" s="13" t="n">
        <f aca="false">SUMPRODUCT($F66:$M66,$F$10:$M$10)</f>
        <v>152.6</v>
      </c>
      <c r="U66" s="13" t="n">
        <f aca="false">SUMPRODUCT($F66:$M66,$F$11:$M$11)</f>
        <v>197</v>
      </c>
      <c r="V66" s="13" t="n">
        <f aca="false">SUMPRODUCT($F66:$M66,$F$12:$M$12)</f>
        <v>221</v>
      </c>
      <c r="W66" s="13" t="n">
        <f aca="false">SUMPRODUCT($F66:$M66,$F$13:$M$13)</f>
        <v>257</v>
      </c>
      <c r="X66" s="13" t="n">
        <f aca="false">SUMPRODUCT($F66:$M66,$F$14:$M$14)</f>
        <v>23.13</v>
      </c>
    </row>
    <row r="67" customFormat="false" ht="15" hidden="false" customHeight="false" outlineLevel="0" collapsed="false">
      <c r="A67" s="3" t="s">
        <v>482</v>
      </c>
      <c r="B67" s="3" t="s">
        <v>339</v>
      </c>
      <c r="C67" s="3" t="s">
        <v>340</v>
      </c>
      <c r="D67" s="3" t="s">
        <v>214</v>
      </c>
      <c r="E67" s="3"/>
      <c r="F67" s="3"/>
      <c r="G67" s="3"/>
      <c r="H67" s="3"/>
      <c r="I67" s="3"/>
      <c r="J67" s="12" t="n">
        <f aca="false">1/24</f>
        <v>0.0416666666666667</v>
      </c>
      <c r="K67" s="12" t="n">
        <f aca="false">1/9</f>
        <v>0.111111111111111</v>
      </c>
      <c r="L67" s="12" t="n">
        <f aca="false">1/6</f>
        <v>0.166666666666667</v>
      </c>
      <c r="M67" s="12" t="n">
        <f aca="false">1/6</f>
        <v>0.166666666666667</v>
      </c>
      <c r="N67" s="13" t="n">
        <f aca="false">SUMPRODUCT($F67:$M67,$F$4:$M$4)</f>
        <v>0</v>
      </c>
      <c r="O67" s="13" t="n">
        <f aca="false">SUMPRODUCT($F67:$M67,$F$5:$M$5)</f>
        <v>0</v>
      </c>
      <c r="P67" s="13" t="n">
        <f aca="false">SUMPRODUCT($F67:$M67,$F$6:$M$6)</f>
        <v>6.06666666666667</v>
      </c>
      <c r="Q67" s="13" t="n">
        <f aca="false">SUMPRODUCT($F67:$M67,$F$7:$M$7)</f>
        <v>21.1361111111111</v>
      </c>
      <c r="R67" s="13" t="n">
        <f aca="false">SUMPRODUCT($F67:$M67,$F$8:$M$8)</f>
        <v>39.1416666666667</v>
      </c>
      <c r="S67" s="13" t="n">
        <f aca="false">SUMPRODUCT($F67:$M67,$F$9:$M$9)</f>
        <v>56.725</v>
      </c>
      <c r="T67" s="13" t="n">
        <f aca="false">SUMPRODUCT($F67:$M67,$F$10:$M$10)</f>
        <v>80.1472222222222</v>
      </c>
      <c r="U67" s="13" t="n">
        <f aca="false">SUMPRODUCT($F67:$M67,$F$11:$M$11)</f>
        <v>103.569444444444</v>
      </c>
      <c r="V67" s="13" t="n">
        <f aca="false">SUMPRODUCT($F67:$M67,$F$12:$M$12)</f>
        <v>116.108333333333</v>
      </c>
      <c r="W67" s="13" t="n">
        <f aca="false">SUMPRODUCT($F67:$M67,$F$13:$M$13)</f>
        <v>134.916666666667</v>
      </c>
      <c r="X67" s="13" t="n">
        <f aca="false">SUMPRODUCT($F67:$M67,$F$14:$M$14)</f>
        <v>12.1425</v>
      </c>
    </row>
    <row r="68" customFormat="false" ht="15" hidden="false" customHeight="false" outlineLevel="0" collapsed="false">
      <c r="A68" s="3" t="s">
        <v>483</v>
      </c>
      <c r="B68" s="3" t="s">
        <v>342</v>
      </c>
      <c r="C68" s="3" t="s">
        <v>343</v>
      </c>
      <c r="D68" s="3" t="s">
        <v>214</v>
      </c>
      <c r="E68" s="3"/>
      <c r="F68" s="3"/>
      <c r="G68" s="3"/>
      <c r="H68" s="3"/>
      <c r="I68" s="3"/>
      <c r="J68" s="12" t="n">
        <f aca="false">1/24</f>
        <v>0.0416666666666667</v>
      </c>
      <c r="K68" s="12" t="n">
        <f aca="false">1/9</f>
        <v>0.111111111111111</v>
      </c>
      <c r="L68" s="12" t="n">
        <f aca="false">1/6</f>
        <v>0.166666666666667</v>
      </c>
      <c r="M68" s="12" t="n">
        <f aca="false">1/6</f>
        <v>0.166666666666667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6.06666666666667</v>
      </c>
      <c r="Q68" s="13" t="n">
        <f aca="false">SUMPRODUCT($F68:$M68,$F$7:$M$7)</f>
        <v>21.1361111111111</v>
      </c>
      <c r="R68" s="13" t="n">
        <f aca="false">SUMPRODUCT($F68:$M68,$F$8:$M$8)</f>
        <v>39.1416666666667</v>
      </c>
      <c r="S68" s="13" t="n">
        <f aca="false">SUMPRODUCT($F68:$M68,$F$9:$M$9)</f>
        <v>56.725</v>
      </c>
      <c r="T68" s="13" t="n">
        <f aca="false">SUMPRODUCT($F68:$M68,$F$10:$M$10)</f>
        <v>80.1472222222222</v>
      </c>
      <c r="U68" s="13" t="n">
        <f aca="false">SUMPRODUCT($F68:$M68,$F$11:$M$11)</f>
        <v>103.569444444444</v>
      </c>
      <c r="V68" s="13" t="n">
        <f aca="false">SUMPRODUCT($F68:$M68,$F$12:$M$12)</f>
        <v>116.108333333333</v>
      </c>
      <c r="W68" s="13" t="n">
        <f aca="false">SUMPRODUCT($F68:$M68,$F$13:$M$13)</f>
        <v>134.916666666667</v>
      </c>
      <c r="X68" s="13" t="n">
        <f aca="false">SUMPRODUCT($F68:$M68,$F$14:$M$14)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484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485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486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487</v>
      </c>
      <c r="B17" s="3" t="s">
        <v>418</v>
      </c>
      <c r="C17" s="3" t="s">
        <v>419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488</v>
      </c>
      <c r="B18" s="3" t="s">
        <v>489</v>
      </c>
      <c r="C18" s="3" t="s">
        <v>490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491</v>
      </c>
      <c r="B19" s="3" t="s">
        <v>492</v>
      </c>
      <c r="C19" s="3" t="s">
        <v>493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494</v>
      </c>
      <c r="B20" s="3" t="s">
        <v>495</v>
      </c>
      <c r="C20" s="3" t="s">
        <v>496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497</v>
      </c>
      <c r="B21" s="3" t="s">
        <v>498</v>
      </c>
      <c r="C21" s="3" t="s">
        <v>499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500</v>
      </c>
      <c r="B22" s="3" t="s">
        <v>501</v>
      </c>
      <c r="C22" s="3" t="s">
        <v>502</v>
      </c>
      <c r="D22" s="3" t="s">
        <v>503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504</v>
      </c>
      <c r="B23" s="3" t="s">
        <v>505</v>
      </c>
      <c r="C23" s="3" t="s">
        <v>506</v>
      </c>
      <c r="D23" s="3" t="s">
        <v>503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507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508</v>
      </c>
      <c r="B25" s="3" t="s">
        <v>509</v>
      </c>
      <c r="C25" s="3" t="s">
        <v>510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511</v>
      </c>
      <c r="B26" s="3" t="s">
        <v>512</v>
      </c>
      <c r="C26" s="3" t="s">
        <v>513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514</v>
      </c>
      <c r="B27" s="3" t="s">
        <v>515</v>
      </c>
      <c r="C27" s="3" t="s">
        <v>516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517</v>
      </c>
      <c r="B28" s="3" t="s">
        <v>518</v>
      </c>
      <c r="C28" s="3" t="s">
        <v>519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520</v>
      </c>
      <c r="B29" s="3" t="s">
        <v>521</v>
      </c>
      <c r="C29" s="3" t="s">
        <v>522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523</v>
      </c>
      <c r="B30" s="3" t="s">
        <v>524</v>
      </c>
      <c r="C30" s="3" t="s">
        <v>525</v>
      </c>
      <c r="D30" s="3" t="s">
        <v>214</v>
      </c>
      <c r="E30" s="3" t="s">
        <v>294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526</v>
      </c>
      <c r="B31" s="3" t="s">
        <v>527</v>
      </c>
      <c r="C31" s="3" t="s">
        <v>528</v>
      </c>
      <c r="D31" s="3" t="s">
        <v>214</v>
      </c>
      <c r="E31" s="3" t="s">
        <v>294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529</v>
      </c>
      <c r="B32" s="3" t="s">
        <v>299</v>
      </c>
      <c r="C32" s="3" t="s">
        <v>300</v>
      </c>
      <c r="D32" s="3" t="s">
        <v>214</v>
      </c>
      <c r="E32" s="3" t="s">
        <v>301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530</v>
      </c>
      <c r="B33" s="3" t="s">
        <v>531</v>
      </c>
      <c r="C33" s="3" t="s">
        <v>532</v>
      </c>
      <c r="D33" s="3" t="s">
        <v>503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5.17598699676593</v>
      </c>
      <c r="Y33" s="13" t="n">
        <f aca="false">SUMPRODUCT($F33:$W33,$F$5:$W$5)</f>
        <v>22.6138746036402</v>
      </c>
      <c r="Z33" s="13" t="n">
        <f aca="false">SUMPRODUCT($F33:$W33,$F$6:$W$6)</f>
        <v>47.7803224258779</v>
      </c>
      <c r="AA33" s="13" t="n">
        <f aca="false">SUMPRODUCT($F33:$W33,$F$7:$W$7)</f>
        <v>88.7021002793217</v>
      </c>
      <c r="AB33" s="13" t="n">
        <f aca="false">SUMPRODUCT($F33:$W33,$F$8:$W$8)</f>
        <v>129.144616556441</v>
      </c>
      <c r="AC33" s="13" t="n">
        <f aca="false">SUMPRODUCT($F33:$W33,$F$9:$W$9)</f>
        <v>173.663966306653</v>
      </c>
      <c r="AD33" s="13" t="n">
        <f aca="false">SUMPRODUCT($F33:$W33,$F$10:$W$10)</f>
        <v>214.400598483594</v>
      </c>
      <c r="AE33" s="13" t="n">
        <f aca="false">SUMPRODUCT($F33:$W33,$F$11:$W$11)</f>
        <v>241.251861852126</v>
      </c>
      <c r="AF33" s="13" t="n">
        <f aca="false">SUMPRODUCT($F33:$W33,$F$12:$W$12)</f>
        <v>260.130212458213</v>
      </c>
      <c r="AG33" s="13" t="n">
        <f aca="false">SUMPRODUCT($F33:$W33,$F$13:$W$13)</f>
        <v>279.348843561067</v>
      </c>
      <c r="AH33" s="13" t="n">
        <f aca="false">SUMPRODUCT($F33:$W33,$F$14:$W$14)</f>
        <v>23.2790702967556</v>
      </c>
    </row>
    <row r="34" customFormat="false" ht="15" hidden="false" customHeight="false" outlineLevel="0" collapsed="false">
      <c r="A34" s="3" t="s">
        <v>533</v>
      </c>
      <c r="B34" s="3" t="s">
        <v>534</v>
      </c>
      <c r="C34" s="3" t="s">
        <v>535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536</v>
      </c>
      <c r="B35" s="3" t="s">
        <v>537</v>
      </c>
      <c r="C35" s="3" t="s">
        <v>538</v>
      </c>
      <c r="D35" s="3" t="s">
        <v>214</v>
      </c>
      <c r="E35" s="3" t="s">
        <v>294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539</v>
      </c>
      <c r="B36" s="3" t="s">
        <v>540</v>
      </c>
      <c r="C36" s="3" t="s">
        <v>541</v>
      </c>
      <c r="D36" s="3" t="s">
        <v>214</v>
      </c>
      <c r="E36" s="3" t="s">
        <v>301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542</v>
      </c>
      <c r="B37" s="3" t="s">
        <v>321</v>
      </c>
      <c r="C37" s="3" t="s">
        <v>322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543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544</v>
      </c>
      <c r="G3" s="2" t="s">
        <v>545</v>
      </c>
      <c r="H3" s="2" t="s">
        <v>546</v>
      </c>
      <c r="I3" s="2" t="s">
        <v>547</v>
      </c>
      <c r="J3" s="2" t="s">
        <v>548</v>
      </c>
      <c r="K3" s="2" t="s">
        <v>549</v>
      </c>
      <c r="L3" s="2" t="s">
        <v>550</v>
      </c>
      <c r="M3" s="2" t="s">
        <v>551</v>
      </c>
      <c r="N3" s="2" t="s">
        <v>552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553</v>
      </c>
      <c r="B16" s="3" t="s">
        <v>554</v>
      </c>
      <c r="C16" s="3" t="s">
        <v>555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556</v>
      </c>
      <c r="B17" s="3" t="s">
        <v>557</v>
      </c>
      <c r="C17" s="3" t="s">
        <v>558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559</v>
      </c>
      <c r="B18" s="3" t="s">
        <v>560</v>
      </c>
      <c r="C18" s="3" t="s">
        <v>561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562</v>
      </c>
      <c r="B19" s="3" t="s">
        <v>563</v>
      </c>
      <c r="C19" s="3" t="s">
        <v>564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565</v>
      </c>
      <c r="B20" s="3" t="s">
        <v>566</v>
      </c>
      <c r="C20" s="3" t="s">
        <v>567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568</v>
      </c>
      <c r="B21" s="3" t="s">
        <v>569</v>
      </c>
      <c r="C21" s="3" t="s">
        <v>570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571</v>
      </c>
      <c r="B22" s="3" t="s">
        <v>572</v>
      </c>
      <c r="C22" s="3" t="s">
        <v>573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574</v>
      </c>
      <c r="B23" s="3" t="s">
        <v>575</v>
      </c>
      <c r="C23" s="3" t="s">
        <v>576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577</v>
      </c>
      <c r="B24" s="3" t="s">
        <v>578</v>
      </c>
      <c r="C24" s="3" t="s">
        <v>579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580</v>
      </c>
      <c r="B25" s="3" t="s">
        <v>299</v>
      </c>
      <c r="C25" s="3" t="s">
        <v>300</v>
      </c>
      <c r="D25" s="3" t="s">
        <v>214</v>
      </c>
      <c r="E25" s="3" t="s">
        <v>301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581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582</v>
      </c>
      <c r="E3" s="2" t="s">
        <v>583</v>
      </c>
      <c r="F3" s="2" t="s">
        <v>584</v>
      </c>
      <c r="G3" s="2" t="s">
        <v>585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SUMIF(MANUALES!$B$16:$B$69,$A4,MANUALES!W$16:W$69)</f>
        <v>8809.59300565217</v>
      </c>
      <c r="E4" s="13" t="n">
        <f aca="false">SUMIF(RODANTES!$B$16:$B$68,$A4,RODANTES!W$16:W$68)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SUMIF(MANUALES!$B$16:$B$69,$A4,MANUALES!N$16:N$69)+SUMIF(RODANTES!$B$16:$B$68,$A4,RODANTES!N$16:N$68)+SUMIF(RECARGAS!$B$16:$B$37,$A4,RECARGAS!X$16:X$37)+SUMIF(REVENDIDOS!$B$16:$B$25,$A4,REVENDIDOS!O$16:O$25)</f>
        <v>181.684197521739</v>
      </c>
      <c r="I4" s="13" t="n">
        <f aca="false">SUMIF(MANUALES!$B$16:$B$69,$A4,MANUALES!O$16:O$69)+SUMIF(RODANTES!$B$16:$B$68,$A4,RODANTES!O$16:O$68)+SUMIF(RECARGAS!$B$16:$B$37,$A4,RECARGAS!Y$16:Y$37)+SUMIF(REVENDIDOS!$B$16:$B$25,$A4,REVENDIDOS!P$16:P$25)</f>
        <v>260.752346826087</v>
      </c>
      <c r="J4" s="13" t="n">
        <f aca="false">SUMIF(MANUALES!$B$16:$B$69,$A4,MANUALES!P$16:P$69)+SUMIF(RODANTES!$B$16:$B$68,$A4,RODANTES!P$16:P$68)+SUMIF(RECARGAS!$B$16:$B$37,$A4,RECARGAS!Z$16:Z$37)+SUMIF(REVENDIDOS!$B$16:$B$25,$A4,REVENDIDOS!Q$16:Q$25)</f>
        <v>631.049902521739</v>
      </c>
      <c r="K4" s="13" t="n">
        <f aca="false">SUMIF(MANUALES!$B$16:$B$69,$A4,MANUALES!Q$16:Q$69)+SUMIF(RODANTES!$B$16:$B$68,$A4,RODANTES!Q$16:Q$68)+SUMIF(RECARGAS!$B$16:$B$37,$A4,RECARGAS!AA$16:AA$37)+SUMIF(REVENDIDOS!$B$16:$B$25,$A4,REVENDIDOS!R$16:R$25)</f>
        <v>1528.77980647826</v>
      </c>
      <c r="L4" s="13" t="n">
        <f aca="false">SUMIF(MANUALES!$B$16:$B$69,$A4,MANUALES!R$16:R$69)+SUMIF(RODANTES!$B$16:$B$68,$A4,RODANTES!R$16:R$68)+SUMIF(RECARGAS!$B$16:$B$37,$A4,RECARGAS!AB$16:AB$37)+SUMIF(REVENDIDOS!$B$16:$B$25,$A4,REVENDIDOS!S$16:S$25)</f>
        <v>2700.6709873913</v>
      </c>
      <c r="M4" s="13" t="n">
        <f aca="false">SUMIF(MANUALES!$B$16:$B$69,$A4,MANUALES!S$16:S$69)+SUMIF(RODANTES!$B$16:$B$68,$A4,RODANTES!S$16:S$68)+SUMIF(RECARGAS!$B$16:$B$37,$A4,RECARGAS!AC$16:AC$37)+SUMIF(REVENDIDOS!$B$16:$B$25,$A4,REVENDIDOS!T$16:T$25)</f>
        <v>3795.6718726087</v>
      </c>
      <c r="N4" s="13" t="n">
        <f aca="false">SUMIF(MANUALES!$B$16:$B$69,$A4,MANUALES!T$16:T$69)+SUMIF(RODANTES!$B$16:$B$68,$A4,RODANTES!T$16:T$68)+SUMIF(RECARGAS!$B$16:$B$37,$A4,RECARGAS!AD$16:AD$37)+SUMIF(REVENDIDOS!$B$16:$B$25,$A4,REVENDIDOS!U$16:U$25)</f>
        <v>5290.13709826087</v>
      </c>
      <c r="O4" s="13" t="n">
        <f aca="false">SUMIF(MANUALES!$B$16:$B$69,$A4,MANUALES!U$16:U$69)+SUMIF(RODANTES!$B$16:$B$68,$A4,RODANTES!U$16:U$68)+SUMIF(RECARGAS!$B$16:$B$37,$A4,RECARGAS!AE$16:AE$37)+SUMIF(REVENDIDOS!$B$16:$B$25,$A4,REVENDIDOS!V$16:V$25)</f>
        <v>6788.39471652174</v>
      </c>
      <c r="P4" s="13" t="n">
        <f aca="false">SUMIF(MANUALES!$B$16:$B$69,$A4,MANUALES!V$16:V$69)+SUMIF(RODANTES!$B$16:$B$68,$A4,RODANTES!V$16:V$68)+SUMIF(RECARGAS!$B$16:$B$37,$A4,RECARGAS!AF$16:AF$37)+SUMIF(REVENDIDOS!$B$16:$B$25,$A4,REVENDIDOS!W$16:W$25)</f>
        <v>7625.78852782609</v>
      </c>
      <c r="Q4" s="13" t="n">
        <f aca="false">SUMIF(MANUALES!$B$16:$B$69,$A4,MANUALES!W$16:W$69)+SUMIF(RODANTES!$B$16:$B$68,$A4,RODANTES!W$16:W$68)+SUMIF(RECARGAS!$B$16:$B$37,$A4,RECARGAS!AG$16:AG$37)+SUMIF(REVENDIDOS!$B$16:$B$25,$A4,REVENDIDOS!X$16:X$25)</f>
        <v>8809.59300565217</v>
      </c>
      <c r="R4" s="13" t="n">
        <f aca="false">SUMIF(MANUALES!$B$16:$B$69,$A4,MANUALES!X$16:X$69)+SUMIF(RODANTES!$B$16:$B$68,$A4,RODANTES!X$16:X$68)+SUMIF(RECARGAS!$B$16:$B$37,$A4,RECARGAS!AH$16:AH$37)+SUMIF(REVENDIDOS!$B$16:$B$25,$A4,REVENDIDOS!Y$16:Y$25)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SUMIF(MANUALES!$B$16:$B$69,$A5,MANUALES!W$16:W$69)</f>
        <v>521.994757185185</v>
      </c>
      <c r="E5" s="13" t="n">
        <f aca="false">SUMIF(RODANTES!$B$16:$B$68,$A5,RODANTES!W$16:W$68)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SUMIF(MANUALES!$B$16:$B$69,$A5,MANUALES!N$16:N$69)+SUMIF(RODANTES!$B$16:$B$68,$A5,RODANTES!N$16:N$68)+SUMIF(RECARGAS!$B$16:$B$37,$A5,RECARGAS!X$16:X$37)+SUMIF(REVENDIDOS!$B$16:$B$25,$A5,REVENDIDOS!O$16:O$25)</f>
        <v>10.9270502666667</v>
      </c>
      <c r="I5" s="13" t="n">
        <f aca="false">SUMIF(MANUALES!$B$16:$B$69,$A5,MANUALES!O$16:O$69)+SUMIF(RODANTES!$B$16:$B$68,$A5,RODANTES!O$16:O$68)+SUMIF(RECARGAS!$B$16:$B$37,$A5,RECARGAS!Y$16:Y$37)+SUMIF(REVENDIDOS!$B$16:$B$25,$A5,REVENDIDOS!P$16:P$25)</f>
        <v>26.286201862963</v>
      </c>
      <c r="J5" s="13" t="n">
        <f aca="false">SUMIF(MANUALES!$B$16:$B$69,$A5,MANUALES!P$16:P$69)+SUMIF(RODANTES!$B$16:$B$68,$A5,RODANTES!P$16:P$68)+SUMIF(RECARGAS!$B$16:$B$37,$A5,RECARGAS!Z$16:Z$37)+SUMIF(REVENDIDOS!$B$16:$B$25,$A5,REVENDIDOS!Q$16:Q$25)</f>
        <v>47.6469650962963</v>
      </c>
      <c r="K5" s="13" t="n">
        <f aca="false">SUMIF(MANUALES!$B$16:$B$69,$A5,MANUALES!Q$16:Q$69)+SUMIF(RODANTES!$B$16:$B$68,$A5,RODANTES!Q$16:Q$68)+SUMIF(RECARGAS!$B$16:$B$37,$A5,RECARGAS!AA$16:AA$37)+SUMIF(REVENDIDOS!$B$16:$B$25,$A5,REVENDIDOS!R$16:R$25)</f>
        <v>94.2384508888889</v>
      </c>
      <c r="L5" s="13" t="n">
        <f aca="false">SUMIF(MANUALES!$B$16:$B$69,$A5,MANUALES!R$16:R$69)+SUMIF(RODANTES!$B$16:$B$68,$A5,RODANTES!R$16:R$68)+SUMIF(RECARGAS!$B$16:$B$37,$A5,RECARGAS!AB$16:AB$37)+SUMIF(REVENDIDOS!$B$16:$B$25,$A5,REVENDIDOS!S$16:S$25)</f>
        <v>157.245471333333</v>
      </c>
      <c r="M5" s="13" t="n">
        <f aca="false">SUMIF(MANUALES!$B$16:$B$69,$A5,MANUALES!S$16:S$69)+SUMIF(RODANTES!$B$16:$B$68,$A5,RODANTES!S$16:S$68)+SUMIF(RECARGAS!$B$16:$B$37,$A5,RECARGAS!AC$16:AC$37)+SUMIF(REVENDIDOS!$B$16:$B$25,$A5,REVENDIDOS!T$16:T$25)</f>
        <v>224.291477296296</v>
      </c>
      <c r="N5" s="13" t="n">
        <f aca="false">SUMIF(MANUALES!$B$16:$B$69,$A5,MANUALES!T$16:T$69)+SUMIF(RODANTES!$B$16:$B$68,$A5,RODANTES!T$16:T$68)+SUMIF(RECARGAS!$B$16:$B$37,$A5,RECARGAS!AD$16:AD$37)+SUMIF(REVENDIDOS!$B$16:$B$25,$A5,REVENDIDOS!U$16:U$25)</f>
        <v>298.715389777778</v>
      </c>
      <c r="O5" s="13" t="n">
        <f aca="false">SUMIF(MANUALES!$B$16:$B$69,$A5,MANUALES!U$16:U$69)+SUMIF(RODANTES!$B$16:$B$68,$A5,RODANTES!U$16:U$68)+SUMIF(RECARGAS!$B$16:$B$37,$A5,RECARGAS!AE$16:AE$37)+SUMIF(REVENDIDOS!$B$16:$B$25,$A5,REVENDIDOS!V$16:V$25)</f>
        <v>378.789132851852</v>
      </c>
      <c r="P5" s="13" t="n">
        <f aca="false">SUMIF(MANUALES!$B$16:$B$69,$A5,MANUALES!V$16:V$69)+SUMIF(RODANTES!$B$16:$B$68,$A5,RODANTES!V$16:V$68)+SUMIF(RECARGAS!$B$16:$B$37,$A5,RECARGAS!AF$16:AF$37)+SUMIF(REVENDIDOS!$B$16:$B$25,$A5,REVENDIDOS!W$16:W$25)</f>
        <v>442.095786777778</v>
      </c>
      <c r="Q5" s="13" t="n">
        <f aca="false">SUMIF(MANUALES!$B$16:$B$69,$A5,MANUALES!W$16:W$69)+SUMIF(RODANTES!$B$16:$B$68,$A5,RODANTES!W$16:W$68)+SUMIF(RECARGAS!$B$16:$B$37,$A5,RECARGAS!AG$16:AG$37)+SUMIF(REVENDIDOS!$B$16:$B$25,$A5,REVENDIDOS!X$16:X$25)</f>
        <v>521.994757185185</v>
      </c>
      <c r="R5" s="13" t="n">
        <f aca="false">SUMIF(MANUALES!$B$16:$B$69,$A5,MANUALES!X$16:X$69)+SUMIF(RODANTES!$B$16:$B$68,$A5,RODANTES!X$16:X$68)+SUMIF(RECARGAS!$B$16:$B$37,$A5,RECARGAS!AH$16:AH$37)+SUMIF(REVENDIDOS!$B$16:$B$25,$A5,REVENDIDOS!Y$16:Y$25)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SUMIF(MANUALES!$B$16:$B$69,$A6,MANUALES!W$16:W$69)</f>
        <v>5445.31422385447</v>
      </c>
      <c r="E6" s="13" t="n">
        <f aca="false">SUMIF(RODANTES!$B$16:$B$68,$A6,RODANTES!W$16:W$68)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SUMIF(MANUALES!$B$16:$B$69,$A6,MANUALES!N$16:N$69)+SUMIF(RODANTES!$B$16:$B$68,$A6,RODANTES!N$16:N$68)+SUMIF(RECARGAS!$B$16:$B$37,$A6,RECARGAS!X$16:X$37)+SUMIF(REVENDIDOS!$B$16:$B$25,$A6,REVENDIDOS!O$16:O$25)</f>
        <v>227.32529740733</v>
      </c>
      <c r="I6" s="13" t="n">
        <f aca="false">SUMIF(MANUALES!$B$16:$B$69,$A6,MANUALES!O$16:O$69)+SUMIF(RODANTES!$B$16:$B$68,$A6,RODANTES!O$16:O$68)+SUMIF(RECARGAS!$B$16:$B$37,$A6,RECARGAS!Y$16:Y$37)+SUMIF(REVENDIDOS!$B$16:$B$25,$A6,REVENDIDOS!P$16:P$25)</f>
        <v>457.409219348824</v>
      </c>
      <c r="J6" s="13" t="n">
        <f aca="false">SUMIF(MANUALES!$B$16:$B$69,$A6,MANUALES!P$16:P$69)+SUMIF(RODANTES!$B$16:$B$68,$A6,RODANTES!P$16:P$68)+SUMIF(RECARGAS!$B$16:$B$37,$A6,RECARGAS!Z$16:Z$37)+SUMIF(REVENDIDOS!$B$16:$B$25,$A6,REVENDIDOS!Q$16:Q$25)</f>
        <v>723.782124729442</v>
      </c>
      <c r="K6" s="13" t="n">
        <f aca="false">SUMIF(MANUALES!$B$16:$B$69,$A6,MANUALES!Q$16:Q$69)+SUMIF(RODANTES!$B$16:$B$68,$A6,RODANTES!Q$16:Q$68)+SUMIF(RECARGAS!$B$16:$B$37,$A6,RECARGAS!AA$16:AA$37)+SUMIF(REVENDIDOS!$B$16:$B$25,$A6,REVENDIDOS!R$16:R$25)</f>
        <v>1297.74231610135</v>
      </c>
      <c r="L6" s="13" t="n">
        <f aca="false">SUMIF(MANUALES!$B$16:$B$69,$A6,MANUALES!R$16:R$69)+SUMIF(RODANTES!$B$16:$B$68,$A6,RODANTES!R$16:R$68)+SUMIF(RECARGAS!$B$16:$B$37,$A6,RECARGAS!AB$16:AB$37)+SUMIF(REVENDIDOS!$B$16:$B$25,$A6,REVENDIDOS!S$16:S$25)</f>
        <v>2002.98927790921</v>
      </c>
      <c r="M6" s="13" t="n">
        <f aca="false">SUMIF(MANUALES!$B$16:$B$69,$A6,MANUALES!S$16:S$69)+SUMIF(RODANTES!$B$16:$B$68,$A6,RODANTES!S$16:S$68)+SUMIF(RECARGAS!$B$16:$B$37,$A6,RECARGAS!AC$16:AC$37)+SUMIF(REVENDIDOS!$B$16:$B$25,$A6,REVENDIDOS!T$16:T$25)</f>
        <v>2714.27174679247</v>
      </c>
      <c r="N6" s="13" t="n">
        <f aca="false">SUMIF(MANUALES!$B$16:$B$69,$A6,MANUALES!T$16:T$69)+SUMIF(RODANTES!$B$16:$B$68,$A6,RODANTES!T$16:T$68)+SUMIF(RECARGAS!$B$16:$B$37,$A6,RECARGAS!AD$16:AD$37)+SUMIF(REVENDIDOS!$B$16:$B$25,$A6,REVENDIDOS!U$16:U$25)</f>
        <v>3516.09018520898</v>
      </c>
      <c r="O6" s="13" t="n">
        <f aca="false">SUMIF(MANUALES!$B$16:$B$69,$A6,MANUALES!U$16:U$69)+SUMIF(RODANTES!$B$16:$B$68,$A6,RODANTES!U$16:U$68)+SUMIF(RECARGAS!$B$16:$B$37,$A6,RECARGAS!AE$16:AE$37)+SUMIF(REVENDIDOS!$B$16:$B$25,$A6,REVENDIDOS!V$16:V$25)</f>
        <v>4273.7782056395</v>
      </c>
      <c r="P6" s="13" t="n">
        <f aca="false">SUMIF(MANUALES!$B$16:$B$69,$A6,MANUALES!V$16:V$69)+SUMIF(RODANTES!$B$16:$B$68,$A6,RODANTES!V$16:V$68)+SUMIF(RECARGAS!$B$16:$B$37,$A6,RECARGAS!AF$16:AF$37)+SUMIF(REVENDIDOS!$B$16:$B$25,$A6,REVENDIDOS!W$16:W$25)</f>
        <v>4745.76664334082</v>
      </c>
      <c r="Q6" s="13" t="n">
        <f aca="false">SUMIF(MANUALES!$B$16:$B$69,$A6,MANUALES!W$16:W$69)+SUMIF(RODANTES!$B$16:$B$68,$A6,RODANTES!W$16:W$68)+SUMIF(RECARGAS!$B$16:$B$37,$A6,RECARGAS!AG$16:AG$37)+SUMIF(REVENDIDOS!$B$16:$B$25,$A6,REVENDIDOS!X$16:X$25)</f>
        <v>5445.31422385447</v>
      </c>
      <c r="R6" s="13" t="n">
        <f aca="false">SUMIF(MANUALES!$B$16:$B$69,$A6,MANUALES!X$16:X$69)+SUMIF(RODANTES!$B$16:$B$68,$A6,RODANTES!X$16:X$68)+SUMIF(RECARGAS!$B$16:$B$37,$A6,RECARGAS!AH$16:AH$37)+SUMIF(REVENDIDOS!$B$16:$B$25,$A6,REVENDIDOS!Y$16:Y$25)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SUMIF(MANUALES!$B$16:$B$69,$A7,MANUALES!W$16:W$69)</f>
        <v>256.925131546466</v>
      </c>
      <c r="E7" s="13" t="n">
        <f aca="false">SUMIF(RODANTES!$B$16:$B$68,$A7,RODANTES!W$16:W$68)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SUMIF(MANUALES!$B$16:$B$69,$A7,MANUALES!N$16:N$69)+SUMIF(RODANTES!$B$16:$B$68,$A7,RODANTES!N$16:N$68)+SUMIF(RECARGAS!$B$16:$B$37,$A7,RECARGAS!X$16:X$37)+SUMIF(REVENDIDOS!$B$16:$B$25,$A7,REVENDIDOS!O$16:O$25)</f>
        <v>6.16058362345601</v>
      </c>
      <c r="I7" s="13" t="n">
        <f aca="false">SUMIF(MANUALES!$B$16:$B$69,$A7,MANUALES!O$16:O$69)+SUMIF(RODANTES!$B$16:$B$68,$A7,RODANTES!O$16:O$68)+SUMIF(RECARGAS!$B$16:$B$37,$A7,RECARGAS!Y$16:Y$37)+SUMIF(REVENDIDOS!$B$16:$B$25,$A7,REVENDIDOS!P$16:P$25)</f>
        <v>11.8759623049235</v>
      </c>
      <c r="J7" s="13" t="n">
        <f aca="false">SUMIF(MANUALES!$B$16:$B$69,$A7,MANUALES!P$16:P$69)+SUMIF(RODANTES!$B$16:$B$68,$A7,RODANTES!P$16:P$68)+SUMIF(RECARGAS!$B$16:$B$37,$A7,RECARGAS!Z$16:Z$37)+SUMIF(REVENDIDOS!$B$16:$B$25,$A7,REVENDIDOS!Q$16:Q$25)</f>
        <v>23.0310154186114</v>
      </c>
      <c r="K7" s="13" t="n">
        <f aca="false">SUMIF(MANUALES!$B$16:$B$69,$A7,MANUALES!Q$16:Q$69)+SUMIF(RODANTES!$B$16:$B$68,$A7,RODANTES!Q$16:Q$68)+SUMIF(RECARGAS!$B$16:$B$37,$A7,RECARGAS!AA$16:AA$37)+SUMIF(REVENDIDOS!$B$16:$B$25,$A7,REVENDIDOS!R$16:R$25)</f>
        <v>45.0714020037168</v>
      </c>
      <c r="L7" s="13" t="n">
        <f aca="false">SUMIF(MANUALES!$B$16:$B$69,$A7,MANUALES!R$16:R$69)+SUMIF(RODANTES!$B$16:$B$68,$A7,RODANTES!R$16:R$68)+SUMIF(RECARGAS!$B$16:$B$37,$A7,RECARGAS!AB$16:AB$37)+SUMIF(REVENDIDOS!$B$16:$B$25,$A7,REVENDIDOS!S$16:S$25)</f>
        <v>79.2683196433528</v>
      </c>
      <c r="M7" s="13" t="n">
        <f aca="false">SUMIF(MANUALES!$B$16:$B$69,$A7,MANUALES!S$16:S$69)+SUMIF(RODANTES!$B$16:$B$68,$A7,RODANTES!S$16:S$68)+SUMIF(RECARGAS!$B$16:$B$37,$A7,RECARGAS!AC$16:AC$37)+SUMIF(REVENDIDOS!$B$16:$B$25,$A7,REVENDIDOS!T$16:T$25)</f>
        <v>114.801116763803</v>
      </c>
      <c r="N7" s="13" t="n">
        <f aca="false">SUMIF(MANUALES!$B$16:$B$69,$A7,MANUALES!T$16:T$69)+SUMIF(RODANTES!$B$16:$B$68,$A7,RODANTES!T$16:T$68)+SUMIF(RECARGAS!$B$16:$B$37,$A7,RECARGAS!AD$16:AD$37)+SUMIF(REVENDIDOS!$B$16:$B$25,$A7,REVENDIDOS!U$16:U$25)</f>
        <v>155.050331610748</v>
      </c>
      <c r="O7" s="13" t="n">
        <f aca="false">SUMIF(MANUALES!$B$16:$B$69,$A7,MANUALES!U$16:U$69)+SUMIF(RODANTES!$B$16:$B$68,$A7,RODANTES!U$16:U$68)+SUMIF(RECARGAS!$B$16:$B$37,$A7,RECARGAS!AE$16:AE$37)+SUMIF(REVENDIDOS!$B$16:$B$25,$A7,REVENDIDOS!V$16:V$25)</f>
        <v>196.17450662683</v>
      </c>
      <c r="P7" s="13" t="n">
        <f aca="false">SUMIF(MANUALES!$B$16:$B$69,$A7,MANUALES!V$16:V$69)+SUMIF(RODANTES!$B$16:$B$68,$A7,RODANTES!V$16:V$68)+SUMIF(RECARGAS!$B$16:$B$37,$A7,RECARGAS!AF$16:AF$37)+SUMIF(REVENDIDOS!$B$16:$B$25,$A7,REVENDIDOS!W$16:W$25)</f>
        <v>223.066319200345</v>
      </c>
      <c r="Q7" s="13" t="n">
        <f aca="false">SUMIF(MANUALES!$B$16:$B$69,$A7,MANUALES!W$16:W$69)+SUMIF(RODANTES!$B$16:$B$68,$A7,RODANTES!W$16:W$68)+SUMIF(RECARGAS!$B$16:$B$37,$A7,RECARGAS!AG$16:AG$37)+SUMIF(REVENDIDOS!$B$16:$B$25,$A7,REVENDIDOS!X$16:X$25)</f>
        <v>256.925131546466</v>
      </c>
      <c r="R7" s="13" t="n">
        <f aca="false">SUMIF(MANUALES!$B$16:$B$69,$A7,MANUALES!X$16:X$69)+SUMIF(RODANTES!$B$16:$B$68,$A7,RODANTES!X$16:X$68)+SUMIF(RECARGAS!$B$16:$B$37,$A7,RECARGAS!AH$16:AH$37)+SUMIF(REVENDIDOS!$B$16:$B$25,$A7,REVENDIDOS!Y$16:Y$25)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SUMIF(MANUALES!$B$16:$B$69,$A8,MANUALES!W$16:W$69)</f>
        <v>15992.8835182459</v>
      </c>
      <c r="E8" s="13" t="n">
        <f aca="false">SUMIF(RODANTES!$B$16:$B$68,$A8,RODANTES!W$16:W$68)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SUMIF(MANUALES!$B$16:$B$69,$A8,MANUALES!N$16:N$69)+SUMIF(RODANTES!$B$16:$B$68,$A8,RODANTES!N$16:N$68)+SUMIF(RECARGAS!$B$16:$B$37,$A8,RECARGAS!X$16:X$37)+SUMIF(REVENDIDOS!$B$16:$B$25,$A8,REVENDIDOS!O$16:O$25)</f>
        <v>329.828427511568</v>
      </c>
      <c r="I8" s="13" t="n">
        <f aca="false">SUMIF(MANUALES!$B$16:$B$69,$A8,MANUALES!O$16:O$69)+SUMIF(RODANTES!$B$16:$B$68,$A8,RODANTES!O$16:O$68)+SUMIF(RECARGAS!$B$16:$B$37,$A8,RECARGAS!Y$16:Y$37)+SUMIF(REVENDIDOS!$B$16:$B$25,$A8,REVENDIDOS!P$16:P$25)</f>
        <v>473.368282419326</v>
      </c>
      <c r="J8" s="13" t="n">
        <f aca="false">SUMIF(MANUALES!$B$16:$B$69,$A8,MANUALES!P$16:P$69)+SUMIF(RODANTES!$B$16:$B$68,$A8,RODANTES!P$16:P$68)+SUMIF(RECARGAS!$B$16:$B$37,$A8,RECARGAS!Z$16:Z$37)+SUMIF(REVENDIDOS!$B$16:$B$25,$A8,REVENDIDOS!Q$16:Q$25)</f>
        <v>1145.60429508554</v>
      </c>
      <c r="K8" s="13" t="n">
        <f aca="false">SUMIF(MANUALES!$B$16:$B$69,$A8,MANUALES!Q$16:Q$69)+SUMIF(RODANTES!$B$16:$B$68,$A8,RODANTES!Q$16:Q$68)+SUMIF(RECARGAS!$B$16:$B$37,$A8,RECARGAS!AA$16:AA$37)+SUMIF(REVENDIDOS!$B$16:$B$25,$A8,REVENDIDOS!R$16:R$25)</f>
        <v>2775.33790203097</v>
      </c>
      <c r="L8" s="13" t="n">
        <f aca="false">SUMIF(MANUALES!$B$16:$B$69,$A8,MANUALES!R$16:R$69)+SUMIF(RODANTES!$B$16:$B$68,$A8,RODANTES!R$16:R$68)+SUMIF(RECARGAS!$B$16:$B$37,$A8,RECARGAS!AB$16:AB$37)+SUMIF(REVENDIDOS!$B$16:$B$25,$A8,REVENDIDOS!S$16:S$25)</f>
        <v>4902.78228457819</v>
      </c>
      <c r="M8" s="13" t="n">
        <f aca="false">SUMIF(MANUALES!$B$16:$B$69,$A8,MANUALES!S$16:S$69)+SUMIF(RODANTES!$B$16:$B$68,$A8,RODANTES!S$16:S$68)+SUMIF(RECARGAS!$B$16:$B$37,$A8,RECARGAS!AC$16:AC$37)+SUMIF(REVENDIDOS!$B$16:$B$25,$A8,REVENDIDOS!T$16:T$25)</f>
        <v>6890.64047489665</v>
      </c>
      <c r="N8" s="13" t="n">
        <f aca="false">SUMIF(MANUALES!$B$16:$B$69,$A8,MANUALES!T$16:T$69)+SUMIF(RODANTES!$B$16:$B$68,$A8,RODANTES!T$16:T$68)+SUMIF(RECARGAS!$B$16:$B$37,$A8,RECARGAS!AD$16:AD$37)+SUMIF(REVENDIDOS!$B$16:$B$25,$A8,REVENDIDOS!U$16:U$25)</f>
        <v>9603.68388797939</v>
      </c>
      <c r="O8" s="13" t="n">
        <f aca="false">SUMIF(MANUALES!$B$16:$B$69,$A8,MANUALES!U$16:U$69)+SUMIF(RODANTES!$B$16:$B$68,$A8,RODANTES!U$16:U$68)+SUMIF(RECARGAS!$B$16:$B$37,$A8,RECARGAS!AE$16:AE$37)+SUMIF(REVENDIDOS!$B$16:$B$25,$A8,REVENDIDOS!V$16:V$25)</f>
        <v>12323.6119883805</v>
      </c>
      <c r="P8" s="13" t="n">
        <f aca="false">SUMIF(MANUALES!$B$16:$B$69,$A8,MANUALES!V$16:V$69)+SUMIF(RODANTES!$B$16:$B$68,$A8,RODANTES!V$16:V$68)+SUMIF(RECARGAS!$B$16:$B$37,$A8,RECARGAS!AF$16:AF$37)+SUMIF(REVENDIDOS!$B$16:$B$25,$A8,REVENDIDOS!W$16:W$25)</f>
        <v>13843.8118062947</v>
      </c>
      <c r="Q8" s="13" t="n">
        <f aca="false">SUMIF(MANUALES!$B$16:$B$69,$A8,MANUALES!W$16:W$69)+SUMIF(RODANTES!$B$16:$B$68,$A8,RODANTES!W$16:W$68)+SUMIF(RECARGAS!$B$16:$B$37,$A8,RECARGAS!AG$16:AG$37)+SUMIF(REVENDIDOS!$B$16:$B$25,$A8,REVENDIDOS!X$16:X$25)</f>
        <v>15992.8835182459</v>
      </c>
      <c r="R8" s="13" t="n">
        <f aca="false">SUMIF(MANUALES!$B$16:$B$69,$A8,MANUALES!X$16:X$69)+SUMIF(RODANTES!$B$16:$B$68,$A8,RODANTES!X$16:X$68)+SUMIF(RECARGAS!$B$16:$B$37,$A8,RECARGAS!AH$16:AH$37)+SUMIF(REVENDIDOS!$B$16:$B$25,$A8,REVENDIDOS!Y$16:Y$25)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SUMIF(MANUALES!$B$16:$B$69,$A9,MANUALES!W$16:W$69)</f>
        <v>30867.038208215</v>
      </c>
      <c r="E9" s="13" t="n">
        <f aca="false">SUMIF(RODANTES!$B$16:$B$68,$A9,RODANTES!W$16:W$68)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SUMIF(MANUALES!$B$16:$B$69,$A9,MANUALES!N$16:N$69)+SUMIF(RODANTES!$B$16:$B$68,$A9,RODANTES!N$16:N$68)+SUMIF(RECARGAS!$B$16:$B$37,$A9,RECARGAS!X$16:X$37)+SUMIF(REVENDIDOS!$B$16:$B$25,$A9,REVENDIDOS!O$16:O$25)</f>
        <v>636.584807395111</v>
      </c>
      <c r="I9" s="13" t="n">
        <f aca="false">SUMIF(MANUALES!$B$16:$B$69,$A9,MANUALES!O$16:O$69)+SUMIF(RODANTES!$B$16:$B$68,$A9,RODANTES!O$16:O$68)+SUMIF(RECARGAS!$B$16:$B$37,$A9,RECARGAS!Y$16:Y$37)+SUMIF(REVENDIDOS!$B$16:$B$25,$A9,REVENDIDOS!P$16:P$25)</f>
        <v>913.623665383702</v>
      </c>
      <c r="J9" s="13" t="n">
        <f aca="false">SUMIF(MANUALES!$B$16:$B$69,$A9,MANUALES!P$16:P$69)+SUMIF(RODANTES!$B$16:$B$68,$A9,RODANTES!P$16:P$68)+SUMIF(RECARGAS!$B$16:$B$37,$A9,RECARGAS!Z$16:Z$37)+SUMIF(REVENDIDOS!$B$16:$B$25,$A9,REVENDIDOS!Q$16:Q$25)</f>
        <v>2211.0716624402</v>
      </c>
      <c r="K9" s="13" t="n">
        <f aca="false">SUMIF(MANUALES!$B$16:$B$69,$A9,MANUALES!Q$16:Q$69)+SUMIF(RODANTES!$B$16:$B$68,$A9,RODANTES!Q$16:Q$68)+SUMIF(RECARGAS!$B$16:$B$37,$A9,RECARGAS!AA$16:AA$37)+SUMIF(REVENDIDOS!$B$16:$B$25,$A9,REVENDIDOS!R$16:R$25)</f>
        <v>5356.53629722008</v>
      </c>
      <c r="L9" s="13" t="n">
        <f aca="false">SUMIF(MANUALES!$B$16:$B$69,$A9,MANUALES!R$16:R$69)+SUMIF(RODANTES!$B$16:$B$68,$A9,RODANTES!R$16:R$68)+SUMIF(RECARGAS!$B$16:$B$37,$A9,RECARGAS!AB$16:AB$37)+SUMIF(REVENDIDOS!$B$16:$B$25,$A9,REVENDIDOS!S$16:S$25)</f>
        <v>9462.60678582324</v>
      </c>
      <c r="M9" s="13" t="n">
        <f aca="false">SUMIF(MANUALES!$B$16:$B$69,$A9,MANUALES!S$16:S$69)+SUMIF(RODANTES!$B$16:$B$68,$A9,RODANTES!S$16:S$68)+SUMIF(RECARGAS!$B$16:$B$37,$A9,RECARGAS!AC$16:AC$37)+SUMIF(REVENDIDOS!$B$16:$B$25,$A9,REVENDIDOS!T$16:T$25)</f>
        <v>13299.269176509</v>
      </c>
      <c r="N9" s="13" t="n">
        <f aca="false">SUMIF(MANUALES!$B$16:$B$69,$A9,MANUALES!T$16:T$69)+SUMIF(RODANTES!$B$16:$B$68,$A9,RODANTES!T$16:T$68)+SUMIF(RECARGAS!$B$16:$B$37,$A9,RECARGAS!AD$16:AD$37)+SUMIF(REVENDIDOS!$B$16:$B$25,$A9,REVENDIDOS!U$16:U$25)</f>
        <v>18535.5740990472</v>
      </c>
      <c r="O9" s="13" t="n">
        <f aca="false">SUMIF(MANUALES!$B$16:$B$69,$A9,MANUALES!U$16:U$69)+SUMIF(RODANTES!$B$16:$B$68,$A9,RODANTES!U$16:U$68)+SUMIF(RECARGAS!$B$16:$B$37,$A9,RECARGAS!AE$16:AE$37)+SUMIF(REVENDIDOS!$B$16:$B$25,$A9,REVENDIDOS!V$16:V$25)</f>
        <v>23785.1668008821</v>
      </c>
      <c r="P9" s="13" t="n">
        <f aca="false">SUMIF(MANUALES!$B$16:$B$69,$A9,MANUALES!V$16:V$69)+SUMIF(RODANTES!$B$16:$B$68,$A9,RODANTES!V$16:V$68)+SUMIF(RECARGAS!$B$16:$B$37,$A9,RECARGAS!AF$16:AF$37)+SUMIF(REVENDIDOS!$B$16:$B$25,$A9,REVENDIDOS!W$16:W$25)</f>
        <v>26719.2259285025</v>
      </c>
      <c r="Q9" s="13" t="n">
        <f aca="false">SUMIF(MANUALES!$B$16:$B$69,$A9,MANUALES!W$16:W$69)+SUMIF(RODANTES!$B$16:$B$68,$A9,RODANTES!W$16:W$68)+SUMIF(RECARGAS!$B$16:$B$37,$A9,RECARGAS!AG$16:AG$37)+SUMIF(REVENDIDOS!$B$16:$B$25,$A9,REVENDIDOS!X$16:X$25)</f>
        <v>30867.038208215</v>
      </c>
      <c r="R9" s="13" t="n">
        <f aca="false">SUMIF(MANUALES!$B$16:$B$69,$A9,MANUALES!X$16:X$69)+SUMIF(RODANTES!$B$16:$B$68,$A9,RODANTES!X$16:X$68)+SUMIF(RECARGAS!$B$16:$B$37,$A9,RECARGAS!AH$16:AH$37)+SUMIF(REVENDIDOS!$B$16:$B$25,$A9,REVENDIDOS!Y$16:Y$25)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SUMIF(MANUALES!$B$16:$B$69,$A10,MANUALES!W$16:W$69)</f>
        <v>9210.51266638455</v>
      </c>
      <c r="E10" s="13" t="n">
        <f aca="false">SUMIF(RODANTES!$B$16:$B$68,$A10,RODANTES!W$16:W$68)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SUMIF(MANUALES!$B$16:$B$69,$A10,MANUALES!N$16:N$69)+SUMIF(RODANTES!$B$16:$B$68,$A10,RODANTES!N$16:N$68)+SUMIF(RECARGAS!$B$16:$B$37,$A10,RECARGAS!X$16:X$37)+SUMIF(REVENDIDOS!$B$16:$B$25,$A10,REVENDIDOS!O$16:O$25)</f>
        <v>192.806026309665</v>
      </c>
      <c r="I10" s="13" t="n">
        <f aca="false">SUMIF(MANUALES!$B$16:$B$69,$A10,MANUALES!O$16:O$69)+SUMIF(RODANTES!$B$16:$B$68,$A10,RODANTES!O$16:O$68)+SUMIF(RECARGAS!$B$16:$B$37,$A10,RECARGAS!Y$16:Y$37)+SUMIF(REVENDIDOS!$B$16:$B$25,$A10,REVENDIDOS!P$16:P$25)</f>
        <v>463.815760364179</v>
      </c>
      <c r="J10" s="13" t="n">
        <f aca="false">SUMIF(MANUALES!$B$16:$B$69,$A10,MANUALES!P$16:P$69)+SUMIF(RODANTES!$B$16:$B$68,$A10,RODANTES!P$16:P$68)+SUMIF(RECARGAS!$B$16:$B$37,$A10,RECARGAS!Z$16:Z$37)+SUMIF(REVENDIDOS!$B$16:$B$25,$A10,REVENDIDOS!Q$16:Q$25)</f>
        <v>840.72295649232</v>
      </c>
      <c r="K10" s="13" t="n">
        <f aca="false">SUMIF(MANUALES!$B$16:$B$69,$A10,MANUALES!Q$16:Q$69)+SUMIF(RODANTES!$B$16:$B$68,$A10,RODANTES!Q$16:Q$68)+SUMIF(RECARGAS!$B$16:$B$37,$A10,RECARGAS!AA$16:AA$37)+SUMIF(REVENDIDOS!$B$16:$B$25,$A10,REVENDIDOS!R$16:R$25)</f>
        <v>1662.82215218617</v>
      </c>
      <c r="L10" s="13" t="n">
        <f aca="false">SUMIF(MANUALES!$B$16:$B$69,$A10,MANUALES!R$16:R$69)+SUMIF(RODANTES!$B$16:$B$68,$A10,RODANTES!R$16:R$68)+SUMIF(RECARGAS!$B$16:$B$37,$A10,RECARGAS!AB$16:AB$37)+SUMIF(REVENDIDOS!$B$16:$B$25,$A10,REVENDIDOS!S$16:S$25)</f>
        <v>2774.57078928758</v>
      </c>
      <c r="M10" s="13" t="n">
        <f aca="false">SUMIF(MANUALES!$B$16:$B$69,$A10,MANUALES!S$16:S$69)+SUMIF(RODANTES!$B$16:$B$68,$A10,RODANTES!S$16:S$68)+SUMIF(RECARGAS!$B$16:$B$37,$A10,RECARGAS!AC$16:AC$37)+SUMIF(REVENDIDOS!$B$16:$B$25,$A10,REVENDIDOS!T$16:T$25)</f>
        <v>3957.58666952809</v>
      </c>
      <c r="N10" s="13" t="n">
        <f aca="false">SUMIF(MANUALES!$B$16:$B$69,$A10,MANUALES!T$16:T$69)+SUMIF(RODANTES!$B$16:$B$68,$A10,RODANTES!T$16:T$68)+SUMIF(RECARGAS!$B$16:$B$37,$A10,RECARGAS!AD$16:AD$37)+SUMIF(REVENDIDOS!$B$16:$B$25,$A10,REVENDIDOS!U$16:U$25)</f>
        <v>5270.78451137805</v>
      </c>
      <c r="O10" s="13" t="n">
        <f aca="false">SUMIF(MANUALES!$B$16:$B$69,$A10,MANUALES!U$16:U$69)+SUMIF(RODANTES!$B$16:$B$68,$A10,RODANTES!U$16:U$68)+SUMIF(RECARGAS!$B$16:$B$37,$A10,RECARGAS!AE$16:AE$37)+SUMIF(REVENDIDOS!$B$16:$B$25,$A10,REVENDIDOS!V$16:V$25)</f>
        <v>6683.67269593684</v>
      </c>
      <c r="P10" s="13" t="n">
        <f aca="false">SUMIF(MANUALES!$B$16:$B$69,$A10,MANUALES!V$16:V$69)+SUMIF(RODANTES!$B$16:$B$68,$A10,RODANTES!V$16:V$68)+SUMIF(RECARGAS!$B$16:$B$37,$A10,RECARGAS!AF$16:AF$37)+SUMIF(REVENDIDOS!$B$16:$B$25,$A10,REVENDIDOS!W$16:W$25)</f>
        <v>7800.70831712854</v>
      </c>
      <c r="Q10" s="13" t="n">
        <f aca="false">SUMIF(MANUALES!$B$16:$B$69,$A10,MANUALES!W$16:W$69)+SUMIF(RODANTES!$B$16:$B$68,$A10,RODANTES!W$16:W$68)+SUMIF(RECARGAS!$B$16:$B$37,$A10,RECARGAS!AG$16:AG$37)+SUMIF(REVENDIDOS!$B$16:$B$25,$A10,REVENDIDOS!X$16:X$25)</f>
        <v>9210.51266638455</v>
      </c>
      <c r="R10" s="13" t="n">
        <f aca="false">SUMIF(MANUALES!$B$16:$B$69,$A10,MANUALES!X$16:X$69)+SUMIF(RODANTES!$B$16:$B$68,$A10,RODANTES!X$16:X$68)+SUMIF(RECARGAS!$B$16:$B$37,$A10,RECARGAS!AH$16:AH$37)+SUMIF(REVENDIDOS!$B$16:$B$25,$A10,REVENDIDOS!Y$16:Y$25)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SUMIF(MANUALES!$B$16:$B$69,$A11,MANUALES!W$16:W$69)</f>
        <v>45960.1945498834</v>
      </c>
      <c r="E11" s="13" t="n">
        <f aca="false">SUMIF(RODANTES!$B$16:$B$68,$A11,RODANTES!W$16:W$68)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SUMIF(MANUALES!$B$16:$B$69,$A11,MANUALES!N$16:N$69)+SUMIF(RODANTES!$B$16:$B$68,$A11,RODANTES!N$16:N$68)+SUMIF(RECARGAS!$B$16:$B$37,$A11,RECARGAS!X$16:X$37)+SUMIF(REVENDIDOS!$B$16:$B$25,$A11,REVENDIDOS!O$16:O$25)</f>
        <v>1918.69825421304</v>
      </c>
      <c r="I11" s="13" t="n">
        <f aca="false">SUMIF(MANUALES!$B$16:$B$69,$A11,MANUALES!O$16:O$69)+SUMIF(RODANTES!$B$16:$B$68,$A11,RODANTES!O$16:O$68)+SUMIF(RECARGAS!$B$16:$B$37,$A11,RECARGAS!Y$16:Y$37)+SUMIF(REVENDIDOS!$B$16:$B$25,$A11,REVENDIDOS!P$16:P$25)</f>
        <v>3860.68018225427</v>
      </c>
      <c r="J11" s="13" t="n">
        <f aca="false">SUMIF(MANUALES!$B$16:$B$69,$A11,MANUALES!P$16:P$69)+SUMIF(RODANTES!$B$16:$B$68,$A11,RODANTES!P$16:P$68)+SUMIF(RECARGAS!$B$16:$B$37,$A11,RECARGAS!Z$16:Z$37)+SUMIF(REVENDIDOS!$B$16:$B$25,$A11,REVENDIDOS!Q$16:Q$25)</f>
        <v>6108.95274299641</v>
      </c>
      <c r="K11" s="13" t="n">
        <f aca="false">SUMIF(MANUALES!$B$16:$B$69,$A11,MANUALES!Q$16:Q$69)+SUMIF(RODANTES!$B$16:$B$68,$A11,RODANTES!Q$16:Q$68)+SUMIF(RECARGAS!$B$16:$B$37,$A11,RECARGAS!AA$16:AA$37)+SUMIF(REVENDIDOS!$B$16:$B$25,$A11,REVENDIDOS!R$16:R$25)</f>
        <v>10953.3604254366</v>
      </c>
      <c r="L11" s="13" t="n">
        <f aca="false">SUMIF(MANUALES!$B$16:$B$69,$A11,MANUALES!R$16:R$69)+SUMIF(RODANTES!$B$16:$B$68,$A11,RODANTES!R$16:R$68)+SUMIF(RECARGAS!$B$16:$B$37,$A11,RECARGAS!AB$16:AB$37)+SUMIF(REVENDIDOS!$B$16:$B$25,$A11,REVENDIDOS!S$16:S$25)</f>
        <v>16905.8704621226</v>
      </c>
      <c r="M11" s="13" t="n">
        <f aca="false">SUMIF(MANUALES!$B$16:$B$69,$A11,MANUALES!S$16:S$69)+SUMIF(RODANTES!$B$16:$B$68,$A11,RODANTES!S$16:S$68)+SUMIF(RECARGAS!$B$16:$B$37,$A11,RECARGAS!AC$16:AC$37)+SUMIF(REVENDIDOS!$B$16:$B$25,$A11,REVENDIDOS!T$16:T$25)</f>
        <v>22909.3221098874</v>
      </c>
      <c r="N11" s="13" t="n">
        <f aca="false">SUMIF(MANUALES!$B$16:$B$69,$A11,MANUALES!T$16:T$69)+SUMIF(RODANTES!$B$16:$B$68,$A11,RODANTES!T$16:T$68)+SUMIF(RECARGAS!$B$16:$B$37,$A11,RECARGAS!AD$16:AD$37)+SUMIF(REVENDIDOS!$B$16:$B$25,$A11,REVENDIDOS!U$16:U$25)</f>
        <v>29676.9263120231</v>
      </c>
      <c r="O11" s="13" t="n">
        <f aca="false">SUMIF(MANUALES!$B$16:$B$69,$A11,MANUALES!U$16:U$69)+SUMIF(RODANTES!$B$16:$B$68,$A11,RODANTES!U$16:U$68)+SUMIF(RECARGAS!$B$16:$B$37,$A11,RECARGAS!AE$16:AE$37)+SUMIF(REVENDIDOS!$B$16:$B$25,$A11,REVENDIDOS!V$16:V$25)</f>
        <v>36072.0556646232</v>
      </c>
      <c r="P11" s="13" t="n">
        <f aca="false">SUMIF(MANUALES!$B$16:$B$69,$A11,MANUALES!V$16:V$69)+SUMIF(RODANTES!$B$16:$B$68,$A11,RODANTES!V$16:V$68)+SUMIF(RECARGAS!$B$16:$B$37,$A11,RECARGAS!AF$16:AF$37)+SUMIF(REVENDIDOS!$B$16:$B$25,$A11,REVENDIDOS!W$16:W$25)</f>
        <v>40055.7891151224</v>
      </c>
      <c r="Q11" s="13" t="n">
        <f aca="false">SUMIF(MANUALES!$B$16:$B$69,$A11,MANUALES!W$16:W$69)+SUMIF(RODANTES!$B$16:$B$68,$A11,RODANTES!W$16:W$68)+SUMIF(RECARGAS!$B$16:$B$37,$A11,RECARGAS!AG$16:AG$37)+SUMIF(REVENDIDOS!$B$16:$B$25,$A11,REVENDIDOS!X$16:X$25)</f>
        <v>45960.1945498834</v>
      </c>
      <c r="R11" s="13" t="n">
        <f aca="false">SUMIF(MANUALES!$B$16:$B$69,$A11,MANUALES!X$16:X$69)+SUMIF(RODANTES!$B$16:$B$68,$A11,RODANTES!X$16:X$68)+SUMIF(RECARGAS!$B$16:$B$37,$A11,RECARGAS!AH$16:AH$37)+SUMIF(REVENDIDOS!$B$16:$B$25,$A11,REVENDIDOS!Y$16:Y$25)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SUMIF(MANUALES!$B$16:$B$69,$A12,MANUALES!W$16:W$69)</f>
        <v>29545.8393534965</v>
      </c>
      <c r="E12" s="13" t="n">
        <f aca="false">SUMIF(RODANTES!$B$16:$B$68,$A12,RODANTES!W$16:W$68)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SUMIF(MANUALES!$B$16:$B$69,$A12,MANUALES!N$16:N$69)+SUMIF(RODANTES!$B$16:$B$68,$A12,RODANTES!N$16:N$68)+SUMIF(RECARGAS!$B$16:$B$37,$A12,RECARGAS!X$16:X$37)+SUMIF(REVENDIDOS!$B$16:$B$25,$A12,REVENDIDOS!O$16:O$25)</f>
        <v>1233.44887770838</v>
      </c>
      <c r="I12" s="13" t="n">
        <f aca="false">SUMIF(MANUALES!$B$16:$B$69,$A12,MANUALES!O$16:O$69)+SUMIF(RODANTES!$B$16:$B$68,$A12,RODANTES!O$16:O$68)+SUMIF(RECARGAS!$B$16:$B$37,$A12,RECARGAS!Y$16:Y$37)+SUMIF(REVENDIDOS!$B$16:$B$25,$A12,REVENDIDOS!P$16:P$25)</f>
        <v>2481.86583144917</v>
      </c>
      <c r="J12" s="13" t="n">
        <f aca="false">SUMIF(MANUALES!$B$16:$B$69,$A12,MANUALES!P$16:P$69)+SUMIF(RODANTES!$B$16:$B$68,$A12,RODANTES!P$16:P$68)+SUMIF(RECARGAS!$B$16:$B$37,$A12,RECARGAS!Z$16:Z$37)+SUMIF(REVENDIDOS!$B$16:$B$25,$A12,REVENDIDOS!Q$16:Q$25)</f>
        <v>3927.18390621198</v>
      </c>
      <c r="K12" s="13" t="n">
        <f aca="false">SUMIF(MANUALES!$B$16:$B$69,$A12,MANUALES!Q$16:Q$69)+SUMIF(RODANTES!$B$16:$B$68,$A12,RODANTES!Q$16:Q$68)+SUMIF(RECARGAS!$B$16:$B$37,$A12,RECARGAS!AA$16:AA$37)+SUMIF(REVENDIDOS!$B$16:$B$25,$A12,REVENDIDOS!R$16:R$25)</f>
        <v>7041.44598778064</v>
      </c>
      <c r="L12" s="13" t="n">
        <f aca="false">SUMIF(MANUALES!$B$16:$B$69,$A12,MANUALES!R$16:R$69)+SUMIF(RODANTES!$B$16:$B$68,$A12,RODANTES!R$16:R$68)+SUMIF(RECARGAS!$B$16:$B$37,$A12,RECARGAS!AB$16:AB$37)+SUMIF(REVENDIDOS!$B$16:$B$25,$A12,REVENDIDOS!S$16:S$25)</f>
        <v>10868.0595827931</v>
      </c>
      <c r="M12" s="13" t="n">
        <f aca="false">SUMIF(MANUALES!$B$16:$B$69,$A12,MANUALES!S$16:S$69)+SUMIF(RODANTES!$B$16:$B$68,$A12,RODANTES!S$16:S$68)+SUMIF(RECARGAS!$B$16:$B$37,$A12,RECARGAS!AC$16:AC$37)+SUMIF(REVENDIDOS!$B$16:$B$25,$A12,REVENDIDOS!T$16:T$25)</f>
        <v>14727.4213563562</v>
      </c>
      <c r="N12" s="13" t="n">
        <f aca="false">SUMIF(MANUALES!$B$16:$B$69,$A12,MANUALES!T$16:T$69)+SUMIF(RODANTES!$B$16:$B$68,$A12,RODANTES!T$16:T$68)+SUMIF(RECARGAS!$B$16:$B$37,$A12,RECARGAS!AD$16:AD$37)+SUMIF(REVENDIDOS!$B$16:$B$25,$A12,REVENDIDOS!U$16:U$25)</f>
        <v>19078.0240577291</v>
      </c>
      <c r="O12" s="13" t="n">
        <f aca="false">SUMIF(MANUALES!$B$16:$B$69,$A12,MANUALES!U$16:U$69)+SUMIF(RODANTES!$B$16:$B$68,$A12,RODANTES!U$16:U$68)+SUMIF(RECARGAS!$B$16:$B$37,$A12,RECARGAS!AE$16:AE$37)+SUMIF(REVENDIDOS!$B$16:$B$25,$A12,REVENDIDOS!V$16:V$25)</f>
        <v>23189.1786415435</v>
      </c>
      <c r="P12" s="13" t="n">
        <f aca="false">SUMIF(MANUALES!$B$16:$B$69,$A12,MANUALES!V$16:V$69)+SUMIF(RODANTES!$B$16:$B$68,$A12,RODANTES!V$16:V$68)+SUMIF(RECARGAS!$B$16:$B$37,$A12,RECARGAS!AF$16:AF$37)+SUMIF(REVENDIDOS!$B$16:$B$25,$A12,REVENDIDOS!W$16:W$25)</f>
        <v>25750.1501454358</v>
      </c>
      <c r="Q12" s="13" t="n">
        <f aca="false">SUMIF(MANUALES!$B$16:$B$69,$A12,MANUALES!W$16:W$69)+SUMIF(RODANTES!$B$16:$B$68,$A12,RODANTES!W$16:W$68)+SUMIF(RECARGAS!$B$16:$B$37,$A12,RECARGAS!AG$16:AG$37)+SUMIF(REVENDIDOS!$B$16:$B$25,$A12,REVENDIDOS!X$16:X$25)</f>
        <v>29545.8393534965</v>
      </c>
      <c r="R12" s="13" t="n">
        <f aca="false">SUMIF(MANUALES!$B$16:$B$69,$A12,MANUALES!X$16:X$69)+SUMIF(RODANTES!$B$16:$B$68,$A12,RODANTES!X$16:X$68)+SUMIF(RECARGAS!$B$16:$B$37,$A12,RECARGAS!AH$16:AH$37)+SUMIF(REVENDIDOS!$B$16:$B$25,$A12,REVENDIDOS!Y$16:Y$25)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SUMIF(MANUALES!$B$16:$B$69,$A13,MANUALES!W$16:W$69)</f>
        <v>3790.08760153663</v>
      </c>
      <c r="E13" s="13" t="n">
        <f aca="false">SUMIF(RODANTES!$B$16:$B$68,$A13,RODANTES!W$16:W$68)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SUMIF(MANUALES!$B$16:$B$69,$A13,MANUALES!N$16:N$69)+SUMIF(RODANTES!$B$16:$B$68,$A13,RODANTES!N$16:N$68)+SUMIF(RECARGAS!$B$16:$B$37,$A13,RECARGAS!X$16:X$37)+SUMIF(REVENDIDOS!$B$16:$B$25,$A13,REVENDIDOS!O$16:O$25)</f>
        <v>90.8792046498085</v>
      </c>
      <c r="I13" s="13" t="n">
        <f aca="false">SUMIF(MANUALES!$B$16:$B$69,$A13,MANUALES!O$16:O$69)+SUMIF(RODANTES!$B$16:$B$68,$A13,RODANTES!O$16:O$68)+SUMIF(RECARGAS!$B$16:$B$37,$A13,RECARGAS!Y$16:Y$37)+SUMIF(REVENDIDOS!$B$16:$B$25,$A13,REVENDIDOS!P$16:P$25)</f>
        <v>175.190870652786</v>
      </c>
      <c r="J13" s="13" t="n">
        <f aca="false">SUMIF(MANUALES!$B$16:$B$69,$A13,MANUALES!P$16:P$69)+SUMIF(RODANTES!$B$16:$B$68,$A13,RODANTES!P$16:P$68)+SUMIF(RECARGAS!$B$16:$B$37,$A13,RECARGAS!Z$16:Z$37)+SUMIF(REVENDIDOS!$B$16:$B$25,$A13,REVENDIDOS!Q$16:Q$25)</f>
        <v>339.747090771038</v>
      </c>
      <c r="K13" s="13" t="n">
        <f aca="false">SUMIF(MANUALES!$B$16:$B$69,$A13,MANUALES!Q$16:Q$69)+SUMIF(RODANTES!$B$16:$B$68,$A13,RODANTES!Q$16:Q$68)+SUMIF(RECARGAS!$B$16:$B$37,$A13,RECARGAS!AA$16:AA$37)+SUMIF(REVENDIDOS!$B$16:$B$25,$A13,REVENDIDOS!R$16:R$25)</f>
        <v>664.88070236627</v>
      </c>
      <c r="L13" s="13" t="n">
        <f aca="false">SUMIF(MANUALES!$B$16:$B$69,$A13,MANUALES!R$16:R$69)+SUMIF(RODANTES!$B$16:$B$68,$A13,RODANTES!R$16:R$68)+SUMIF(RECARGAS!$B$16:$B$37,$A13,RECARGAS!AB$16:AB$37)+SUMIF(REVENDIDOS!$B$16:$B$25,$A13,REVENDIDOS!S$16:S$25)</f>
        <v>1169.34405624924</v>
      </c>
      <c r="M13" s="13" t="n">
        <f aca="false">SUMIF(MANUALES!$B$16:$B$69,$A13,MANUALES!S$16:S$69)+SUMIF(RODANTES!$B$16:$B$68,$A13,RODANTES!S$16:S$68)+SUMIF(RECARGAS!$B$16:$B$37,$A13,RECARGAS!AC$16:AC$37)+SUMIF(REVENDIDOS!$B$16:$B$25,$A13,REVENDIDOS!T$16:T$25)</f>
        <v>1693.51393018693</v>
      </c>
      <c r="N13" s="13" t="n">
        <f aca="false">SUMIF(MANUALES!$B$16:$B$69,$A13,MANUALES!T$16:T$69)+SUMIF(RODANTES!$B$16:$B$68,$A13,RODANTES!T$16:T$68)+SUMIF(RECARGAS!$B$16:$B$37,$A13,RECARGAS!AD$16:AD$37)+SUMIF(REVENDIDOS!$B$16:$B$25,$A13,REVENDIDOS!U$16:U$25)</f>
        <v>2287.2590778289</v>
      </c>
      <c r="O13" s="13" t="n">
        <f aca="false">SUMIF(MANUALES!$B$16:$B$69,$A13,MANUALES!U$16:U$69)+SUMIF(RODANTES!$B$16:$B$68,$A13,RODANTES!U$16:U$68)+SUMIF(RECARGAS!$B$16:$B$37,$A13,RECARGAS!AE$16:AE$37)+SUMIF(REVENDIDOS!$B$16:$B$25,$A13,REVENDIDOS!V$16:V$25)</f>
        <v>2893.91139289714</v>
      </c>
      <c r="P13" s="13" t="n">
        <f aca="false">SUMIF(MANUALES!$B$16:$B$69,$A13,MANUALES!V$16:V$69)+SUMIF(RODANTES!$B$16:$B$68,$A13,RODANTES!V$16:V$68)+SUMIF(RECARGAS!$B$16:$B$37,$A13,RECARGAS!AF$16:AF$37)+SUMIF(REVENDIDOS!$B$16:$B$25,$A13,REVENDIDOS!W$16:W$25)</f>
        <v>3290.61188227411</v>
      </c>
      <c r="Q13" s="13" t="n">
        <f aca="false">SUMIF(MANUALES!$B$16:$B$69,$A13,MANUALES!W$16:W$69)+SUMIF(RODANTES!$B$16:$B$68,$A13,RODANTES!W$16:W$68)+SUMIF(RECARGAS!$B$16:$B$37,$A13,RECARGAS!AG$16:AG$37)+SUMIF(REVENDIDOS!$B$16:$B$25,$A13,REVENDIDOS!X$16:X$25)</f>
        <v>3790.08760153663</v>
      </c>
      <c r="R13" s="13" t="n">
        <f aca="false">SUMIF(MANUALES!$B$16:$B$69,$A13,MANUALES!X$16:X$69)+SUMIF(RODANTES!$B$16:$B$68,$A13,RODANTES!X$16:X$68)+SUMIF(RECARGAS!$B$16:$B$37,$A13,RECARGAS!AH$16:AH$37)+SUMIF(REVENDIDOS!$B$16:$B$25,$A13,REVENDIDOS!Y$16:Y$25)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SUMIF(MANUALES!$B$16:$B$69,$A14,MANUALES!W$16:W$69)</f>
        <v>3133.71994027435</v>
      </c>
      <c r="E14" s="13" t="n">
        <f aca="false">SUMIF(RODANTES!$B$16:$B$68,$A14,RODANTES!W$16:W$68)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SUMIF(MANUALES!$B$16:$B$69,$A14,MANUALES!N$16:N$69)+SUMIF(RODANTES!$B$16:$B$68,$A14,RODANTES!N$16:N$68)+SUMIF(RECARGAS!$B$16:$B$37,$A14,RECARGAS!X$16:X$37)+SUMIF(REVENDIDOS!$B$16:$B$25,$A14,REVENDIDOS!O$16:O$25)</f>
        <v>75.1407370246309</v>
      </c>
      <c r="I14" s="13" t="n">
        <f aca="false">SUMIF(MANUALES!$B$16:$B$69,$A14,MANUALES!O$16:O$69)+SUMIF(RODANTES!$B$16:$B$68,$A14,RODANTES!O$16:O$68)+SUMIF(RECARGAS!$B$16:$B$37,$A14,RECARGAS!Y$16:Y$37)+SUMIF(REVENDIDOS!$B$16:$B$25,$A14,REVENDIDOS!P$16:P$25)</f>
        <v>144.851302248549</v>
      </c>
      <c r="J14" s="13" t="n">
        <f aca="false">SUMIF(MANUALES!$B$16:$B$69,$A14,MANUALES!P$16:P$69)+SUMIF(RODANTES!$B$16:$B$68,$A14,RODANTES!P$16:P$68)+SUMIF(RECARGAS!$B$16:$B$37,$A14,RECARGAS!Z$16:Z$37)+SUMIF(REVENDIDOS!$B$16:$B$25,$A14,REVENDIDOS!Q$16:Q$25)</f>
        <v>280.909663557049</v>
      </c>
      <c r="K14" s="13" t="n">
        <f aca="false">SUMIF(MANUALES!$B$16:$B$69,$A14,MANUALES!Q$16:Q$69)+SUMIF(RODANTES!$B$16:$B$68,$A14,RODANTES!Q$16:Q$68)+SUMIF(RECARGAS!$B$16:$B$37,$A14,RECARGAS!AA$16:AA$37)+SUMIF(REVENDIDOS!$B$16:$B$25,$A14,REVENDIDOS!R$16:R$25)</f>
        <v>549.736611381766</v>
      </c>
      <c r="L14" s="13" t="n">
        <f aca="false">SUMIF(MANUALES!$B$16:$B$69,$A14,MANUALES!R$16:R$69)+SUMIF(RODANTES!$B$16:$B$68,$A14,RODANTES!R$16:R$68)+SUMIF(RECARGAS!$B$16:$B$37,$A14,RECARGAS!AB$16:AB$37)+SUMIF(REVENDIDOS!$B$16:$B$25,$A14,REVENDIDOS!S$16:S$25)</f>
        <v>966.836962983089</v>
      </c>
      <c r="M14" s="13" t="n">
        <f aca="false">SUMIF(MANUALES!$B$16:$B$69,$A14,MANUALES!S$16:S$69)+SUMIF(RODANTES!$B$16:$B$68,$A14,RODANTES!S$16:S$68)+SUMIF(RECARGAS!$B$16:$B$37,$A14,RECARGAS!AC$16:AC$37)+SUMIF(REVENDIDOS!$B$16:$B$25,$A14,REVENDIDOS!T$16:T$25)</f>
        <v>1400.23105798597</v>
      </c>
      <c r="N14" s="13" t="n">
        <f aca="false">SUMIF(MANUALES!$B$16:$B$69,$A14,MANUALES!T$16:T$69)+SUMIF(RODANTES!$B$16:$B$68,$A14,RODANTES!T$16:T$68)+SUMIF(RECARGAS!$B$16:$B$37,$A14,RECARGAS!AD$16:AD$37)+SUMIF(REVENDIDOS!$B$16:$B$25,$A14,REVENDIDOS!U$16:U$25)</f>
        <v>1891.15137546159</v>
      </c>
      <c r="O14" s="13" t="n">
        <f aca="false">SUMIF(MANUALES!$B$16:$B$69,$A14,MANUALES!U$16:U$69)+SUMIF(RODANTES!$B$16:$B$68,$A14,RODANTES!U$16:U$68)+SUMIF(RECARGAS!$B$16:$B$37,$A14,RECARGAS!AE$16:AE$37)+SUMIF(REVENDIDOS!$B$16:$B$25,$A14,REVENDIDOS!V$16:V$25)</f>
        <v>2392.74359611955</v>
      </c>
      <c r="P14" s="13" t="n">
        <f aca="false">SUMIF(MANUALES!$B$16:$B$69,$A14,MANUALES!V$16:V$69)+SUMIF(RODANTES!$B$16:$B$68,$A14,RODANTES!V$16:V$68)+SUMIF(RECARGAS!$B$16:$B$37,$A14,RECARGAS!AF$16:AF$37)+SUMIF(REVENDIDOS!$B$16:$B$25,$A14,REVENDIDOS!W$16:W$25)</f>
        <v>2720.74346434772</v>
      </c>
      <c r="Q14" s="13" t="n">
        <f aca="false">SUMIF(MANUALES!$B$16:$B$69,$A14,MANUALES!W$16:W$69)+SUMIF(RODANTES!$B$16:$B$68,$A14,RODANTES!W$16:W$68)+SUMIF(RECARGAS!$B$16:$B$37,$A14,RECARGAS!AG$16:AG$37)+SUMIF(REVENDIDOS!$B$16:$B$25,$A14,REVENDIDOS!X$16:X$25)</f>
        <v>3133.71994027435</v>
      </c>
      <c r="R14" s="13" t="n">
        <f aca="false">SUMIF(MANUALES!$B$16:$B$69,$A14,MANUALES!X$16:X$69)+SUMIF(RODANTES!$B$16:$B$68,$A14,RODANTES!X$16:X$68)+SUMIF(RECARGAS!$B$16:$B$37,$A14,RECARGAS!AH$16:AH$37)+SUMIF(REVENDIDOS!$B$16:$B$25,$A14,REVENDIDOS!Y$16:Y$25)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354</v>
      </c>
      <c r="B15" s="3" t="s">
        <v>355</v>
      </c>
      <c r="C15" s="3" t="s">
        <v>182</v>
      </c>
      <c r="D15" s="13" t="n">
        <f aca="false">SUMIF(MANUALES!$B$16:$B$69,$A15,MANUALES!W$16:W$69)</f>
        <v>0</v>
      </c>
      <c r="E15" s="13" t="n">
        <f aca="false">SUMIF(RODANTES!$B$16:$B$68,$A15,RODANTES!W$16:W$68)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SUMIF(MANUALES!$B$16:$B$69,$A15,MANUALES!N$16:N$69)+SUMIF(RODANTES!$B$16:$B$68,$A15,RODANTES!N$16:N$68)+SUMIF(RECARGAS!$B$16:$B$37,$A15,RECARGAS!X$16:X$37)+SUMIF(REVENDIDOS!$B$16:$B$25,$A15,REVENDIDOS!O$16:O$25)</f>
        <v>16.3171536084867</v>
      </c>
      <c r="I15" s="13" t="n">
        <f aca="false">SUMIF(MANUALES!$B$16:$B$69,$A15,MANUALES!O$16:O$69)+SUMIF(RODANTES!$B$16:$B$68,$A15,RODANTES!O$16:O$68)+SUMIF(RECARGAS!$B$16:$B$37,$A15,RECARGAS!Y$16:Y$37)+SUMIF(REVENDIDOS!$B$16:$B$25,$A15,REVENDIDOS!P$16:P$25)</f>
        <v>28.0302419181755</v>
      </c>
      <c r="J15" s="13" t="n">
        <f aca="false">SUMIF(MANUALES!$B$16:$B$69,$A15,MANUALES!P$16:P$69)+SUMIF(RODANTES!$B$16:$B$68,$A15,RODANTES!P$16:P$68)+SUMIF(RECARGAS!$B$16:$B$37,$A15,RECARGAS!Z$16:Z$37)+SUMIF(REVENDIDOS!$B$16:$B$25,$A15,REVENDIDOS!Q$16:Q$25)</f>
        <v>43.0320213764419</v>
      </c>
      <c r="K15" s="13" t="n">
        <f aca="false">SUMIF(MANUALES!$B$16:$B$69,$A15,MANUALES!Q$16:Q$69)+SUMIF(RODANTES!$B$16:$B$68,$A15,RODANTES!Q$16:Q$68)+SUMIF(RECARGAS!$B$16:$B$37,$A15,RECARGAS!AA$16:AA$37)+SUMIF(REVENDIDOS!$B$16:$B$25,$A15,REVENDIDOS!R$16:R$25)</f>
        <v>72.3319837330704</v>
      </c>
      <c r="L15" s="13" t="n">
        <f aca="false">SUMIF(MANUALES!$B$16:$B$69,$A15,MANUALES!R$16:R$69)+SUMIF(RODANTES!$B$16:$B$68,$A15,RODANTES!R$16:R$68)+SUMIF(RECARGAS!$B$16:$B$37,$A15,RECARGAS!AB$16:AB$37)+SUMIF(REVENDIDOS!$B$16:$B$25,$A15,REVENDIDOS!S$16:S$25)</f>
        <v>119.276024544636</v>
      </c>
      <c r="M15" s="13" t="n">
        <f aca="false">SUMIF(MANUALES!$B$16:$B$69,$A15,MANUALES!S$16:S$69)+SUMIF(RODANTES!$B$16:$B$68,$A15,RODANTES!S$16:S$68)+SUMIF(RECARGAS!$B$16:$B$37,$A15,RECARGAS!AC$16:AC$37)+SUMIF(REVENDIDOS!$B$16:$B$25,$A15,REVENDIDOS!T$16:T$25)</f>
        <v>166.186142341356</v>
      </c>
      <c r="N15" s="13" t="n">
        <f aca="false">SUMIF(MANUALES!$B$16:$B$69,$A15,MANUALES!T$16:T$69)+SUMIF(RODANTES!$B$16:$B$68,$A15,RODANTES!T$16:T$68)+SUMIF(RECARGAS!$B$16:$B$37,$A15,RECARGAS!AD$16:AD$37)+SUMIF(REVENDIDOS!$B$16:$B$25,$A15,REVENDIDOS!U$16:U$25)</f>
        <v>221.925359132304</v>
      </c>
      <c r="O15" s="13" t="n">
        <f aca="false">SUMIF(MANUALES!$B$16:$B$69,$A15,MANUALES!U$16:U$69)+SUMIF(RODANTES!$B$16:$B$68,$A15,RODANTES!U$16:U$68)+SUMIF(RECARGAS!$B$16:$B$37,$A15,RECARGAS!AE$16:AE$37)+SUMIF(REVENDIDOS!$B$16:$B$25,$A15,REVENDIDOS!V$16:V$25)</f>
        <v>279.738741601341</v>
      </c>
      <c r="P15" s="13" t="n">
        <f aca="false">SUMIF(MANUALES!$B$16:$B$69,$A15,MANUALES!V$16:V$69)+SUMIF(RODANTES!$B$16:$B$68,$A15,RODANTES!V$16:V$68)+SUMIF(RECARGAS!$B$16:$B$37,$A15,RECARGAS!AF$16:AF$37)+SUMIF(REVENDIDOS!$B$16:$B$25,$A15,REVENDIDOS!W$16:W$25)</f>
        <v>320.662447700503</v>
      </c>
      <c r="Q15" s="13" t="n">
        <f aca="false">SUMIF(MANUALES!$B$16:$B$69,$A15,MANUALES!W$16:W$69)+SUMIF(RODANTES!$B$16:$B$68,$A15,RODANTES!W$16:W$68)+SUMIF(RECARGAS!$B$16:$B$37,$A15,RECARGAS!AG$16:AG$37)+SUMIF(REVENDIDOS!$B$16:$B$25,$A15,REVENDIDOS!X$16:X$25)</f>
        <v>370.517834158956</v>
      </c>
      <c r="R15" s="13" t="n">
        <f aca="false">SUMIF(MANUALES!$B$16:$B$69,$A15,MANUALES!X$16:X$69)+SUMIF(RODANTES!$B$16:$B$68,$A15,RODANTES!X$16:X$68)+SUMIF(RECARGAS!$B$16:$B$37,$A15,RECARGAS!AH$16:AH$37)+SUMIF(REVENDIDOS!$B$16:$B$25,$A15,REVENDIDOS!Y$16:Y$25)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357</v>
      </c>
      <c r="B16" s="3" t="s">
        <v>358</v>
      </c>
      <c r="C16" s="3" t="s">
        <v>182</v>
      </c>
      <c r="D16" s="13" t="n">
        <f aca="false">SUMIF(MANUALES!$B$16:$B$69,$A16,MANUALES!W$16:W$69)</f>
        <v>0</v>
      </c>
      <c r="E16" s="13" t="n">
        <f aca="false">SUMIF(RODANTES!$B$16:$B$68,$A16,RODANTES!W$16:W$68)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SUMIF(MANUALES!$B$16:$B$69,$A16,MANUALES!N$16:N$69)+SUMIF(RODANTES!$B$16:$B$68,$A16,RODANTES!N$16:N$68)+SUMIF(RECARGAS!$B$16:$B$37,$A16,RECARGAS!X$16:X$37)+SUMIF(REVENDIDOS!$B$16:$B$25,$A16,REVENDIDOS!O$16:O$25)</f>
        <v>7.3603109614178</v>
      </c>
      <c r="I16" s="13" t="n">
        <f aca="false">SUMIF(MANUALES!$B$16:$B$69,$A16,MANUALES!O$16:O$69)+SUMIF(RODANTES!$B$16:$B$68,$A16,RODANTES!O$16:O$68)+SUMIF(RECARGAS!$B$16:$B$37,$A16,RECARGAS!Y$16:Y$37)+SUMIF(REVENDIDOS!$B$16:$B$25,$A16,REVENDIDOS!P$16:P$25)</f>
        <v>12.4767212324042</v>
      </c>
      <c r="J16" s="13" t="n">
        <f aca="false">SUMIF(MANUALES!$B$16:$B$69,$A16,MANUALES!P$16:P$69)+SUMIF(RODANTES!$B$16:$B$68,$A16,RODANTES!P$16:P$68)+SUMIF(RECARGAS!$B$16:$B$37,$A16,RECARGAS!Z$16:Z$37)+SUMIF(REVENDIDOS!$B$16:$B$25,$A16,REVENDIDOS!Q$16:Q$25)</f>
        <v>19.2341026604887</v>
      </c>
      <c r="K16" s="13" t="n">
        <f aca="false">SUMIF(MANUALES!$B$16:$B$69,$A16,MANUALES!Q$16:Q$69)+SUMIF(RODANTES!$B$16:$B$68,$A16,RODANTES!Q$16:Q$68)+SUMIF(RECARGAS!$B$16:$B$37,$A16,RECARGAS!AA$16:AA$37)+SUMIF(REVENDIDOS!$B$16:$B$25,$A16,REVENDIDOS!R$16:R$25)</f>
        <v>32.3074458662262</v>
      </c>
      <c r="L16" s="13" t="n">
        <f aca="false">SUMIF(MANUALES!$B$16:$B$69,$A16,MANUALES!R$16:R$69)+SUMIF(RODANTES!$B$16:$B$68,$A16,RODANTES!R$16:R$68)+SUMIF(RECARGAS!$B$16:$B$37,$A16,RECARGAS!AB$16:AB$37)+SUMIF(REVENDIDOS!$B$16:$B$25,$A16,REVENDIDOS!S$16:S$25)</f>
        <v>53.3709054500483</v>
      </c>
      <c r="M16" s="13" t="n">
        <f aca="false">SUMIF(MANUALES!$B$16:$B$69,$A16,MANUALES!S$16:S$69)+SUMIF(RODANTES!$B$16:$B$68,$A16,RODANTES!S$16:S$68)+SUMIF(RECARGAS!$B$16:$B$37,$A16,RECARGAS!AC$16:AC$37)+SUMIF(REVENDIDOS!$B$16:$B$25,$A16,REVENDIDOS!T$16:T$25)</f>
        <v>74.1326006501056</v>
      </c>
      <c r="N16" s="13" t="n">
        <f aca="false">SUMIF(MANUALES!$B$16:$B$69,$A16,MANUALES!T$16:T$69)+SUMIF(RODANTES!$B$16:$B$68,$A16,RODANTES!T$16:T$68)+SUMIF(RECARGAS!$B$16:$B$37,$A16,RECARGAS!AD$16:AD$37)+SUMIF(REVENDIDOS!$B$16:$B$25,$A16,REVENDIDOS!U$16:U$25)</f>
        <v>98.9161527369543</v>
      </c>
      <c r="O16" s="13" t="n">
        <f aca="false">SUMIF(MANUALES!$B$16:$B$69,$A16,MANUALES!U$16:U$69)+SUMIF(RODANTES!$B$16:$B$68,$A16,RODANTES!U$16:U$68)+SUMIF(RECARGAS!$B$16:$B$37,$A16,RECARGAS!AE$16:AE$37)+SUMIF(REVENDIDOS!$B$16:$B$25,$A16,REVENDIDOS!V$16:V$25)</f>
        <v>124.648331396025</v>
      </c>
      <c r="P16" s="13" t="n">
        <f aca="false">SUMIF(MANUALES!$B$16:$B$69,$A16,MANUALES!V$16:V$69)+SUMIF(RODANTES!$B$16:$B$68,$A16,RODANTES!V$16:V$68)+SUMIF(RECARGAS!$B$16:$B$37,$A16,RECARGAS!AF$16:AF$37)+SUMIF(REVENDIDOS!$B$16:$B$25,$A16,REVENDIDOS!W$16:W$25)</f>
        <v>142.952593436207</v>
      </c>
      <c r="Q16" s="13" t="n">
        <f aca="false">SUMIF(MANUALES!$B$16:$B$69,$A16,MANUALES!W$16:W$69)+SUMIF(RODANTES!$B$16:$B$68,$A16,RODANTES!W$16:W$68)+SUMIF(RECARGAS!$B$16:$B$37,$A16,RECARGAS!AG$16:AG$37)+SUMIF(REVENDIDOS!$B$16:$B$25,$A16,REVENDIDOS!X$16:X$25)</f>
        <v>165.185326161638</v>
      </c>
      <c r="R16" s="13" t="n">
        <f aca="false">SUMIF(MANUALES!$B$16:$B$69,$A16,MANUALES!X$16:X$69)+SUMIF(RODANTES!$B$16:$B$68,$A16,RODANTES!X$16:X$68)+SUMIF(RECARGAS!$B$16:$B$37,$A16,RECARGAS!AH$16:AH$37)+SUMIF(REVENDIDOS!$B$16:$B$25,$A16,REVENDIDOS!Y$16:Y$25)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360</v>
      </c>
      <c r="B17" s="3" t="s">
        <v>361</v>
      </c>
      <c r="C17" s="3" t="s">
        <v>214</v>
      </c>
      <c r="D17" s="13" t="n">
        <f aca="false">SUMIF(MANUALES!$B$16:$B$69,$A17,MANUALES!W$16:W$69)</f>
        <v>0</v>
      </c>
      <c r="E17" s="13" t="n">
        <f aca="false">SUMIF(RODANTES!$B$16:$B$68,$A17,RODANTES!W$16:W$68)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SUMIF(MANUALES!$B$16:$B$69,$A17,MANUALES!N$16:N$69)+SUMIF(RODANTES!$B$16:$B$68,$A17,RODANTES!N$16:N$68)+SUMIF(RECARGAS!$B$16:$B$37,$A17,RECARGAS!X$16:X$37)+SUMIF(REVENDIDOS!$B$16:$B$25,$A17,REVENDIDOS!O$16:O$25)</f>
        <v>68.10358272</v>
      </c>
      <c r="I17" s="13" t="n">
        <f aca="false">SUMIF(MANUALES!$B$16:$B$69,$A17,MANUALES!O$16:O$69)+SUMIF(RODANTES!$B$16:$B$68,$A17,RODANTES!O$16:O$68)+SUMIF(RECARGAS!$B$16:$B$37,$A17,RECARGAS!Y$16:Y$37)+SUMIF(REVENDIDOS!$B$16:$B$25,$A17,REVENDIDOS!P$16:P$25)</f>
        <v>116.9242949</v>
      </c>
      <c r="J17" s="13" t="n">
        <f aca="false">SUMIF(MANUALES!$B$16:$B$69,$A17,MANUALES!P$16:P$69)+SUMIF(RODANTES!$B$16:$B$68,$A17,RODANTES!P$16:P$68)+SUMIF(RECARGAS!$B$16:$B$37,$A17,RECARGAS!Z$16:Z$37)+SUMIF(REVENDIDOS!$B$16:$B$25,$A17,REVENDIDOS!Q$16:Q$25)</f>
        <v>179.21707996</v>
      </c>
      <c r="K17" s="13" t="n">
        <f aca="false">SUMIF(MANUALES!$B$16:$B$69,$A17,MANUALES!Q$16:Q$69)+SUMIF(RODANTES!$B$16:$B$68,$A17,RODANTES!Q$16:Q$68)+SUMIF(RECARGAS!$B$16:$B$37,$A17,RECARGAS!AA$16:AA$37)+SUMIF(REVENDIDOS!$B$16:$B$25,$A17,REVENDIDOS!R$16:R$25)</f>
        <v>301.4597058</v>
      </c>
      <c r="L17" s="13" t="n">
        <f aca="false">SUMIF(MANUALES!$B$16:$B$69,$A17,MANUALES!R$16:R$69)+SUMIF(RODANTES!$B$16:$B$68,$A17,RODANTES!R$16:R$68)+SUMIF(RECARGAS!$B$16:$B$37,$A17,RECARGAS!AB$16:AB$37)+SUMIF(REVENDIDOS!$B$16:$B$25,$A17,REVENDIDOS!S$16:S$25)</f>
        <v>497.752007</v>
      </c>
      <c r="M17" s="13" t="n">
        <f aca="false">SUMIF(MANUALES!$B$16:$B$69,$A17,MANUALES!S$16:S$69)+SUMIF(RODANTES!$B$16:$B$68,$A17,RODANTES!S$16:S$68)+SUMIF(RECARGAS!$B$16:$B$37,$A17,RECARGAS!AC$16:AC$37)+SUMIF(REVENDIDOS!$B$16:$B$25,$A17,REVENDIDOS!T$16:T$25)</f>
        <v>693.8689654</v>
      </c>
      <c r="N17" s="13" t="n">
        <f aca="false">SUMIF(MANUALES!$B$16:$B$69,$A17,MANUALES!T$16:T$69)+SUMIF(RODANTES!$B$16:$B$68,$A17,RODANTES!T$16:T$68)+SUMIF(RECARGAS!$B$16:$B$37,$A17,RECARGAS!AD$16:AD$37)+SUMIF(REVENDIDOS!$B$16:$B$25,$A17,REVENDIDOS!U$16:U$25)</f>
        <v>927.3364664</v>
      </c>
      <c r="O17" s="13" t="n">
        <f aca="false">SUMIF(MANUALES!$B$16:$B$69,$A17,MANUALES!U$16:U$69)+SUMIF(RODANTES!$B$16:$B$68,$A17,RODANTES!U$16:U$68)+SUMIF(RECARGAS!$B$16:$B$37,$A17,RECARGAS!AE$16:AE$37)+SUMIF(REVENDIDOS!$B$16:$B$25,$A17,REVENDIDOS!V$16:V$25)</f>
        <v>1169.6973414</v>
      </c>
      <c r="P17" s="13" t="n">
        <f aca="false">SUMIF(MANUALES!$B$16:$B$69,$A17,MANUALES!V$16:V$69)+SUMIF(RODANTES!$B$16:$B$68,$A17,RODANTES!V$16:V$68)+SUMIF(RECARGAS!$B$16:$B$37,$A17,RECARGAS!AF$16:AF$37)+SUMIF(REVENDIDOS!$B$16:$B$25,$A17,REVENDIDOS!W$16:W$25)</f>
        <v>1341.2548312</v>
      </c>
      <c r="Q17" s="13" t="n">
        <f aca="false">SUMIF(MANUALES!$B$16:$B$69,$A17,MANUALES!W$16:W$69)+SUMIF(RODANTES!$B$16:$B$68,$A17,RODANTES!W$16:W$68)+SUMIF(RECARGAS!$B$16:$B$37,$A17,RECARGAS!AG$16:AG$37)+SUMIF(REVENDIDOS!$B$16:$B$25,$A17,REVENDIDOS!X$16:X$25)</f>
        <v>1550.5410664</v>
      </c>
      <c r="R17" s="13" t="n">
        <f aca="false">SUMIF(MANUALES!$B$16:$B$69,$A17,MANUALES!X$16:X$69)+SUMIF(RODANTES!$B$16:$B$68,$A17,RODANTES!X$16:X$68)+SUMIF(RECARGAS!$B$16:$B$37,$A17,RECARGAS!AH$16:AH$37)+SUMIF(REVENDIDOS!$B$16:$B$25,$A17,REVENDIDOS!Y$16:Y$25)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363</v>
      </c>
      <c r="B18" s="3" t="s">
        <v>364</v>
      </c>
      <c r="C18" s="3" t="s">
        <v>214</v>
      </c>
      <c r="D18" s="13" t="n">
        <f aca="false">SUMIF(MANUALES!$B$16:$B$69,$A18,MANUALES!W$16:W$69)</f>
        <v>0</v>
      </c>
      <c r="E18" s="13" t="n">
        <f aca="false">SUMIF(RODANTES!$B$16:$B$68,$A18,RODANTES!W$16:W$68)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SUMIF(MANUALES!$B$16:$B$69,$A18,MANUALES!N$16:N$69)+SUMIF(RODANTES!$B$16:$B$68,$A18,RODANTES!N$16:N$68)+SUMIF(RECARGAS!$B$16:$B$37,$A18,RECARGAS!X$16:X$37)+SUMIF(REVENDIDOS!$B$16:$B$25,$A18,REVENDIDOS!O$16:O$25)</f>
        <v>150.40345482184</v>
      </c>
      <c r="I18" s="13" t="n">
        <f aca="false">SUMIF(MANUALES!$B$16:$B$69,$A18,MANUALES!O$16:O$69)+SUMIF(RODANTES!$B$16:$B$68,$A18,RODANTES!O$16:O$68)+SUMIF(RECARGAS!$B$16:$B$37,$A18,RECARGAS!Y$16:Y$37)+SUMIF(REVENDIDOS!$B$16:$B$25,$A18,REVENDIDOS!P$16:P$25)</f>
        <v>258.413373084772</v>
      </c>
      <c r="J18" s="13" t="n">
        <f aca="false">SUMIF(MANUALES!$B$16:$B$69,$A18,MANUALES!P$16:P$69)+SUMIF(RODANTES!$B$16:$B$68,$A18,RODANTES!P$16:P$68)+SUMIF(RECARGAS!$B$16:$B$37,$A18,RECARGAS!Z$16:Z$37)+SUMIF(REVENDIDOS!$B$16:$B$25,$A18,REVENDIDOS!Q$16:Q$25)</f>
        <v>396.906203210637</v>
      </c>
      <c r="K18" s="13" t="n">
        <f aca="false">SUMIF(MANUALES!$B$16:$B$69,$A18,MANUALES!Q$16:Q$69)+SUMIF(RODANTES!$B$16:$B$68,$A18,RODANTES!Q$16:Q$68)+SUMIF(RECARGAS!$B$16:$B$37,$A18,RECARGAS!AA$16:AA$37)+SUMIF(REVENDIDOS!$B$16:$B$25,$A18,REVENDIDOS!R$16:R$25)</f>
        <v>667.010667596845</v>
      </c>
      <c r="L18" s="13" t="n">
        <f aca="false">SUMIF(MANUALES!$B$16:$B$69,$A18,MANUALES!R$16:R$69)+SUMIF(RODANTES!$B$16:$B$68,$A18,RODANTES!R$16:R$68)+SUMIF(RECARGAS!$B$16:$B$37,$A18,RECARGAS!AB$16:AB$37)+SUMIF(REVENDIDOS!$B$16:$B$25,$A18,REVENDIDOS!S$16:S$25)</f>
        <v>1099.4776232023</v>
      </c>
      <c r="M18" s="13" t="n">
        <f aca="false">SUMIF(MANUALES!$B$16:$B$69,$A18,MANUALES!S$16:S$69)+SUMIF(RODANTES!$B$16:$B$68,$A18,RODANTES!S$16:S$68)+SUMIF(RECARGAS!$B$16:$B$37,$A18,RECARGAS!AC$16:AC$37)+SUMIF(REVENDIDOS!$B$16:$B$25,$A18,REVENDIDOS!T$16:T$25)</f>
        <v>1531.65439782961</v>
      </c>
      <c r="N18" s="13" t="n">
        <f aca="false">SUMIF(MANUALES!$B$16:$B$69,$A18,MANUALES!T$16:T$69)+SUMIF(RODANTES!$B$16:$B$68,$A18,RODANTES!T$16:T$68)+SUMIF(RECARGAS!$B$16:$B$37,$A18,RECARGAS!AD$16:AD$37)+SUMIF(REVENDIDOS!$B$16:$B$25,$A18,REVENDIDOS!U$16:U$25)</f>
        <v>2044.87999865432</v>
      </c>
      <c r="O18" s="13" t="n">
        <f aca="false">SUMIF(MANUALES!$B$16:$B$69,$A18,MANUALES!U$16:U$69)+SUMIF(RODANTES!$B$16:$B$68,$A18,RODANTES!U$16:U$68)+SUMIF(RECARGAS!$B$16:$B$37,$A18,RECARGAS!AE$16:AE$37)+SUMIF(REVENDIDOS!$B$16:$B$25,$A18,REVENDIDOS!V$16:V$25)</f>
        <v>2577.0666716161</v>
      </c>
      <c r="P18" s="13" t="n">
        <f aca="false">SUMIF(MANUALES!$B$16:$B$69,$A18,MANUALES!V$16:V$69)+SUMIF(RODANTES!$B$16:$B$68,$A18,RODANTES!V$16:V$68)+SUMIF(RECARGAS!$B$16:$B$37,$A18,RECARGAS!AF$16:AF$37)+SUMIF(REVENDIDOS!$B$16:$B$25,$A18,REVENDIDOS!W$16:W$25)</f>
        <v>2953.77948493937</v>
      </c>
      <c r="Q18" s="13" t="n">
        <f aca="false">SUMIF(MANUALES!$B$16:$B$69,$A18,MANUALES!W$16:W$69)+SUMIF(RODANTES!$B$16:$B$68,$A18,RODANTES!W$16:W$68)+SUMIF(RECARGAS!$B$16:$B$37,$A18,RECARGAS!AG$16:AG$37)+SUMIF(REVENDIDOS!$B$16:$B$25,$A18,REVENDIDOS!X$16:X$25)</f>
        <v>3412.51996564081</v>
      </c>
      <c r="R18" s="13" t="n">
        <f aca="false">SUMIF(MANUALES!$B$16:$B$69,$A18,MANUALES!X$16:X$69)+SUMIF(RODANTES!$B$16:$B$68,$A18,RODANTES!X$16:X$68)+SUMIF(RECARGAS!$B$16:$B$37,$A18,RECARGAS!AH$16:AH$37)+SUMIF(REVENDIDOS!$B$16:$B$25,$A18,REVENDIDOS!Y$16:Y$25)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366</v>
      </c>
      <c r="B19" s="3" t="s">
        <v>367</v>
      </c>
      <c r="C19" s="3" t="s">
        <v>214</v>
      </c>
      <c r="D19" s="13" t="n">
        <f aca="false">SUMIF(MANUALES!$B$16:$B$69,$A19,MANUALES!W$16:W$69)</f>
        <v>0</v>
      </c>
      <c r="E19" s="13" t="n">
        <f aca="false">SUMIF(RODANTES!$B$16:$B$68,$A19,RODANTES!W$16:W$68)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SUMIF(MANUALES!$B$16:$B$69,$A19,MANUALES!N$16:N$69)+SUMIF(RODANTES!$B$16:$B$68,$A19,RODANTES!N$16:N$68)+SUMIF(RECARGAS!$B$16:$B$37,$A19,RECARGAS!X$16:X$37)+SUMIF(REVENDIDOS!$B$16:$B$25,$A19,REVENDIDOS!O$16:O$25)</f>
        <v>55.0584390018401</v>
      </c>
      <c r="I19" s="13" t="n">
        <f aca="false">SUMIF(MANUALES!$B$16:$B$69,$A19,MANUALES!O$16:O$69)+SUMIF(RODANTES!$B$16:$B$68,$A19,RODANTES!O$16:O$68)+SUMIF(RECARGAS!$B$16:$B$37,$A19,RECARGAS!Y$16:Y$37)+SUMIF(REVENDIDOS!$B$16:$B$25,$A19,REVENDIDOS!P$16:P$25)</f>
        <v>93.568214581092</v>
      </c>
      <c r="J19" s="13" t="n">
        <f aca="false">SUMIF(MANUALES!$B$16:$B$69,$A19,MANUALES!P$16:P$69)+SUMIF(RODANTES!$B$16:$B$68,$A19,RODANTES!P$16:P$68)+SUMIF(RECARGAS!$B$16:$B$37,$A19,RECARGAS!Z$16:Z$37)+SUMIF(REVENDIDOS!$B$16:$B$25,$A19,REVENDIDOS!Q$16:Q$25)</f>
        <v>144.138015422932</v>
      </c>
      <c r="K19" s="13" t="n">
        <f aca="false">SUMIF(MANUALES!$B$16:$B$69,$A19,MANUALES!Q$16:Q$69)+SUMIF(RODANTES!$B$16:$B$68,$A19,RODANTES!Q$16:Q$68)+SUMIF(RECARGAS!$B$16:$B$37,$A19,RECARGAS!AA$16:AA$37)+SUMIF(REVENDIDOS!$B$16:$B$25,$A19,REVENDIDOS!R$16:R$25)</f>
        <v>242.280894804024</v>
      </c>
      <c r="L19" s="13" t="n">
        <f aca="false">SUMIF(MANUALES!$B$16:$B$69,$A19,MANUALES!R$16:R$69)+SUMIF(RODANTES!$B$16:$B$68,$A19,RODANTES!R$16:R$68)+SUMIF(RECARGAS!$B$16:$B$37,$A19,RECARGAS!AB$16:AB$37)+SUMIF(REVENDIDOS!$B$16:$B$25,$A19,REVENDIDOS!S$16:S$25)</f>
        <v>400.239087146956</v>
      </c>
      <c r="M19" s="13" t="n">
        <f aca="false">SUMIF(MANUALES!$B$16:$B$69,$A19,MANUALES!S$16:S$69)+SUMIF(RODANTES!$B$16:$B$68,$A19,RODANTES!S$16:S$68)+SUMIF(RECARGAS!$B$16:$B$37,$A19,RECARGAS!AC$16:AC$37)+SUMIF(REVENDIDOS!$B$16:$B$25,$A19,REVENDIDOS!T$16:T$25)</f>
        <v>556.2146383673</v>
      </c>
      <c r="N19" s="13" t="n">
        <f aca="false">SUMIF(MANUALES!$B$16:$B$69,$A19,MANUALES!T$16:T$69)+SUMIF(RODANTES!$B$16:$B$68,$A19,RODANTES!T$16:T$68)+SUMIF(RECARGAS!$B$16:$B$37,$A19,RECARGAS!AD$16:AD$37)+SUMIF(REVENDIDOS!$B$16:$B$25,$A19,REVENDIDOS!U$16:U$25)</f>
        <v>742.217417688392</v>
      </c>
      <c r="O19" s="13" t="n">
        <f aca="false">SUMIF(MANUALES!$B$16:$B$69,$A19,MANUALES!U$16:U$69)+SUMIF(RODANTES!$B$16:$B$68,$A19,RODANTES!U$16:U$68)+SUMIF(RECARGAS!$B$16:$B$37,$A19,RECARGAS!AE$16:AE$37)+SUMIF(REVENDIDOS!$B$16:$B$25,$A19,REVENDIDOS!V$16:V$25)</f>
        <v>935.334896309484</v>
      </c>
      <c r="P19" s="13" t="n">
        <f aca="false">SUMIF(MANUALES!$B$16:$B$69,$A19,MANUALES!V$16:V$69)+SUMIF(RODANTES!$B$16:$B$68,$A19,RODANTES!V$16:V$68)+SUMIF(RECARGAS!$B$16:$B$37,$A19,RECARGAS!AF$16:AF$37)+SUMIF(REVENDIDOS!$B$16:$B$25,$A19,REVENDIDOS!W$16:W$25)</f>
        <v>1072.60966695058</v>
      </c>
      <c r="Q19" s="13" t="n">
        <f aca="false">SUMIF(MANUALES!$B$16:$B$69,$A19,MANUALES!W$16:W$69)+SUMIF(RODANTES!$B$16:$B$68,$A19,RODANTES!W$16:W$68)+SUMIF(RECARGAS!$B$16:$B$37,$A19,RECARGAS!AG$16:AG$37)+SUMIF(REVENDIDOS!$B$16:$B$25,$A19,REVENDIDOS!X$16:X$25)</f>
        <v>1239.49186096983</v>
      </c>
      <c r="R19" s="13" t="n">
        <f aca="false">SUMIF(MANUALES!$B$16:$B$69,$A19,MANUALES!X$16:X$69)+SUMIF(RODANTES!$B$16:$B$68,$A19,RODANTES!X$16:X$68)+SUMIF(RECARGAS!$B$16:$B$37,$A19,RECARGAS!AH$16:AH$37)+SUMIF(REVENDIDOS!$B$16:$B$25,$A19,REVENDIDOS!Y$16:Y$25)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SUMIF(MANUALES!$B$16:$B$69,$A20,MANUALES!W$16:W$69)</f>
        <v>202620.63913</v>
      </c>
      <c r="E20" s="13" t="n">
        <f aca="false">SUMIF(RODANTES!$B$16:$B$68,$A20,RODANTES!W$16:W$68)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SUMIF(MANUALES!$B$16:$B$69,$A20,MANUALES!N$16:N$69)+SUMIF(RODANTES!$B$16:$B$68,$A20,RODANTES!N$16:N$68)+SUMIF(RECARGAS!$B$16:$B$37,$A20,RECARGAS!X$16:X$37)+SUMIF(REVENDIDOS!$B$16:$B$25,$A20,REVENDIDOS!O$16:O$25)</f>
        <v>4178.736543</v>
      </c>
      <c r="I20" s="13" t="n">
        <f aca="false">SUMIF(MANUALES!$B$16:$B$69,$A20,MANUALES!O$16:O$69)+SUMIF(RODANTES!$B$16:$B$68,$A20,RODANTES!O$16:O$68)+SUMIF(RECARGAS!$B$16:$B$37,$A20,RECARGAS!Y$16:Y$37)+SUMIF(REVENDIDOS!$B$16:$B$25,$A20,REVENDIDOS!P$16:P$25)</f>
        <v>5997.303977</v>
      </c>
      <c r="J20" s="13" t="n">
        <f aca="false">SUMIF(MANUALES!$B$16:$B$69,$A20,MANUALES!P$16:P$69)+SUMIF(RODANTES!$B$16:$B$68,$A20,RODANTES!P$16:P$68)+SUMIF(RECARGAS!$B$16:$B$37,$A20,RECARGAS!Z$16:Z$37)+SUMIF(REVENDIDOS!$B$16:$B$25,$A20,REVENDIDOS!Q$16:Q$25)</f>
        <v>14514.147758</v>
      </c>
      <c r="K20" s="13" t="n">
        <f aca="false">SUMIF(MANUALES!$B$16:$B$69,$A20,MANUALES!Q$16:Q$69)+SUMIF(RODANTES!$B$16:$B$68,$A20,RODANTES!Q$16:Q$68)+SUMIF(RECARGAS!$B$16:$B$37,$A20,RECARGAS!AA$16:AA$37)+SUMIF(REVENDIDOS!$B$16:$B$25,$A20,REVENDIDOS!R$16:R$25)</f>
        <v>35161.935549</v>
      </c>
      <c r="L20" s="13" t="n">
        <f aca="false">SUMIF(MANUALES!$B$16:$B$69,$A20,MANUALES!R$16:R$69)+SUMIF(RODANTES!$B$16:$B$68,$A20,RODANTES!R$16:R$68)+SUMIF(RECARGAS!$B$16:$B$37,$A20,RECARGAS!AB$16:AB$37)+SUMIF(REVENDIDOS!$B$16:$B$25,$A20,REVENDIDOS!S$16:S$25)</f>
        <v>62115.43271</v>
      </c>
      <c r="M20" s="13" t="n">
        <f aca="false">SUMIF(MANUALES!$B$16:$B$69,$A20,MANUALES!S$16:S$69)+SUMIF(RODANTES!$B$16:$B$68,$A20,RODANTES!S$16:S$68)+SUMIF(RECARGAS!$B$16:$B$37,$A20,RECARGAS!AC$16:AC$37)+SUMIF(REVENDIDOS!$B$16:$B$25,$A20,REVENDIDOS!T$16:T$25)</f>
        <v>87300.45307</v>
      </c>
      <c r="N20" s="13" t="n">
        <f aca="false">SUMIF(MANUALES!$B$16:$B$69,$A20,MANUALES!T$16:T$69)+SUMIF(RODANTES!$B$16:$B$68,$A20,RODANTES!T$16:T$68)+SUMIF(RECARGAS!$B$16:$B$37,$A20,RECARGAS!AD$16:AD$37)+SUMIF(REVENDIDOS!$B$16:$B$25,$A20,REVENDIDOS!U$16:U$25)</f>
        <v>121673.15326</v>
      </c>
      <c r="O20" s="13" t="n">
        <f aca="false">SUMIF(MANUALES!$B$16:$B$69,$A20,MANUALES!U$16:U$69)+SUMIF(RODANTES!$B$16:$B$68,$A20,RODANTES!U$16:U$68)+SUMIF(RECARGAS!$B$16:$B$37,$A20,RECARGAS!AE$16:AE$37)+SUMIF(REVENDIDOS!$B$16:$B$25,$A20,REVENDIDOS!V$16:V$25)</f>
        <v>156133.07848</v>
      </c>
      <c r="P20" s="13" t="n">
        <f aca="false">SUMIF(MANUALES!$B$16:$B$69,$A20,MANUALES!V$16:V$69)+SUMIF(RODANTES!$B$16:$B$68,$A20,RODANTES!V$16:V$68)+SUMIF(RECARGAS!$B$16:$B$37,$A20,RECARGAS!AF$16:AF$37)+SUMIF(REVENDIDOS!$B$16:$B$25,$A20,REVENDIDOS!W$16:W$25)</f>
        <v>175393.13614</v>
      </c>
      <c r="Q20" s="13" t="n">
        <f aca="false">SUMIF(MANUALES!$B$16:$B$69,$A20,MANUALES!W$16:W$69)+SUMIF(RODANTES!$B$16:$B$68,$A20,RODANTES!W$16:W$68)+SUMIF(RECARGAS!$B$16:$B$37,$A20,RECARGAS!AG$16:AG$37)+SUMIF(REVENDIDOS!$B$16:$B$25,$A20,REVENDIDOS!X$16:X$25)</f>
        <v>202620.63913</v>
      </c>
      <c r="R20" s="13" t="n">
        <f aca="false">SUMIF(MANUALES!$B$16:$B$69,$A20,MANUALES!X$16:X$69)+SUMIF(RODANTES!$B$16:$B$68,$A20,RODANTES!X$16:X$68)+SUMIF(RECARGAS!$B$16:$B$37,$A20,RECARGAS!AH$16:AH$37)+SUMIF(REVENDIDOS!$B$16:$B$25,$A20,REVENDIDOS!Y$16:Y$25)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SUMIF(MANUALES!$B$16:$B$69,$A21,MANUALES!W$16:W$69)</f>
        <v>83291.5061034506</v>
      </c>
      <c r="E21" s="13" t="n">
        <f aca="false">SUMIF(RODANTES!$B$16:$B$68,$A21,RODANTES!W$16:W$68)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SUMIF(MANUALES!$B$16:$B$69,$A21,MANUALES!N$16:N$69)+SUMIF(RODANTES!$B$16:$B$68,$A21,RODANTES!N$16:N$68)+SUMIF(RECARGAS!$B$16:$B$37,$A21,RECARGAS!X$16:X$37)+SUMIF(REVENDIDOS!$B$16:$B$25,$A21,REVENDIDOS!O$16:O$25)</f>
        <v>3115.3426804398</v>
      </c>
      <c r="I21" s="13" t="n">
        <f aca="false">SUMIF(MANUALES!$B$16:$B$69,$A21,MANUALES!O$16:O$69)+SUMIF(RODANTES!$B$16:$B$68,$A21,RODANTES!O$16:O$68)+SUMIF(RECARGAS!$B$16:$B$37,$A21,RECARGAS!Y$16:Y$37)+SUMIF(REVENDIDOS!$B$16:$B$25,$A21,REVENDIDOS!P$16:P$25)</f>
        <v>6376.77751705974</v>
      </c>
      <c r="J21" s="13" t="n">
        <f aca="false">SUMIF(MANUALES!$B$16:$B$69,$A21,MANUALES!P$16:P$69)+SUMIF(RODANTES!$B$16:$B$68,$A21,RODANTES!P$16:P$68)+SUMIF(RECARGAS!$B$16:$B$37,$A21,RECARGAS!Z$16:Z$37)+SUMIF(REVENDIDOS!$B$16:$B$25,$A21,REVENDIDOS!Q$16:Q$25)</f>
        <v>10317.3187856325</v>
      </c>
      <c r="K21" s="13" t="n">
        <f aca="false">SUMIF(MANUALES!$B$16:$B$69,$A21,MANUALES!Q$16:Q$69)+SUMIF(RODANTES!$B$16:$B$68,$A21,RODANTES!Q$16:Q$68)+SUMIF(RECARGAS!$B$16:$B$37,$A21,RECARGAS!AA$16:AA$37)+SUMIF(REVENDIDOS!$B$16:$B$25,$A21,REVENDIDOS!R$16:R$25)</f>
        <v>18793.416997272</v>
      </c>
      <c r="L21" s="13" t="n">
        <f aca="false">SUMIF(MANUALES!$B$16:$B$69,$A21,MANUALES!R$16:R$69)+SUMIF(RODANTES!$B$16:$B$68,$A21,RODANTES!R$16:R$68)+SUMIF(RECARGAS!$B$16:$B$37,$A21,RECARGAS!AB$16:AB$37)+SUMIF(REVENDIDOS!$B$16:$B$25,$A21,REVENDIDOS!S$16:S$25)</f>
        <v>29470.5238555608</v>
      </c>
      <c r="M21" s="13" t="n">
        <f aca="false">SUMIF(MANUALES!$B$16:$B$69,$A21,MANUALES!S$16:S$69)+SUMIF(RODANTES!$B$16:$B$68,$A21,RODANTES!S$16:S$68)+SUMIF(RECARGAS!$B$16:$B$37,$A21,RECARGAS!AC$16:AC$37)+SUMIF(REVENDIDOS!$B$16:$B$25,$A21,REVENDIDOS!T$16:T$25)</f>
        <v>40349.1475999667</v>
      </c>
      <c r="N21" s="13" t="n">
        <f aca="false">SUMIF(MANUALES!$B$16:$B$69,$A21,MANUALES!T$16:T$69)+SUMIF(RODANTES!$B$16:$B$68,$A21,RODANTES!T$16:T$68)+SUMIF(RECARGAS!$B$16:$B$37,$A21,RECARGAS!AD$16:AD$37)+SUMIF(REVENDIDOS!$B$16:$B$25,$A21,REVENDIDOS!U$16:U$25)</f>
        <v>52584.152720669</v>
      </c>
      <c r="O21" s="13" t="n">
        <f aca="false">SUMIF(MANUALES!$B$16:$B$69,$A21,MANUALES!U$16:U$69)+SUMIF(RODANTES!$B$16:$B$68,$A21,RODANTES!U$16:U$68)+SUMIF(RECARGAS!$B$16:$B$37,$A21,RECARGAS!AE$16:AE$37)+SUMIF(REVENDIDOS!$B$16:$B$25,$A21,REVENDIDOS!V$16:V$25)</f>
        <v>64455.2626540764</v>
      </c>
      <c r="P21" s="13" t="n">
        <f aca="false">SUMIF(MANUALES!$B$16:$B$69,$A21,MANUALES!V$16:V$69)+SUMIF(RODANTES!$B$16:$B$68,$A21,RODANTES!V$16:V$68)+SUMIF(RECARGAS!$B$16:$B$37,$A21,RECARGAS!AF$16:AF$37)+SUMIF(REVENDIDOS!$B$16:$B$25,$A21,REVENDIDOS!W$16:W$25)</f>
        <v>72231.780751095</v>
      </c>
      <c r="Q21" s="13" t="n">
        <f aca="false">SUMIF(MANUALES!$B$16:$B$69,$A21,MANUALES!W$16:W$69)+SUMIF(RODANTES!$B$16:$B$68,$A21,RODANTES!W$16:W$68)+SUMIF(RECARGAS!$B$16:$B$37,$A21,RECARGAS!AG$16:AG$37)+SUMIF(REVENDIDOS!$B$16:$B$25,$A21,REVENDIDOS!X$16:X$25)</f>
        <v>83291.5061034506</v>
      </c>
      <c r="R21" s="13" t="n">
        <f aca="false">SUMIF(MANUALES!$B$16:$B$69,$A21,MANUALES!X$16:X$69)+SUMIF(RODANTES!$B$16:$B$68,$A21,RODANTES!X$16:X$68)+SUMIF(RECARGAS!$B$16:$B$37,$A21,RECARGAS!AH$16:AH$37)+SUMIF(REVENDIDOS!$B$16:$B$25,$A21,REVENDIDOS!Y$16:Y$25)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369</v>
      </c>
      <c r="B22" s="3" t="s">
        <v>370</v>
      </c>
      <c r="C22" s="3" t="s">
        <v>214</v>
      </c>
      <c r="D22" s="13" t="n">
        <f aca="false">SUMIF(MANUALES!$B$16:$B$69,$A22,MANUALES!W$16:W$69)</f>
        <v>0</v>
      </c>
      <c r="E22" s="13" t="n">
        <f aca="false">SUMIF(RODANTES!$B$16:$B$68,$A22,RODANTES!W$16:W$68)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SUMIF(MANUALES!$B$16:$B$69,$A22,MANUALES!N$16:N$69)+SUMIF(RODANTES!$B$16:$B$68,$A22,RODANTES!N$16:N$68)+SUMIF(RECARGAS!$B$16:$B$37,$A22,RECARGAS!X$16:X$37)+SUMIF(REVENDIDOS!$B$16:$B$25,$A22,REVENDIDOS!O$16:O$25)</f>
        <v>109.25351877092</v>
      </c>
      <c r="I22" s="13" t="n">
        <f aca="false">SUMIF(MANUALES!$B$16:$B$69,$A22,MANUALES!O$16:O$69)+SUMIF(RODANTES!$B$16:$B$68,$A22,RODANTES!O$16:O$68)+SUMIF(RECARGAS!$B$16:$B$37,$A22,RECARGAS!Y$16:Y$37)+SUMIF(REVENDIDOS!$B$16:$B$25,$A22,REVENDIDOS!P$16:P$25)</f>
        <v>187.668833992386</v>
      </c>
      <c r="J22" s="13" t="n">
        <f aca="false">SUMIF(MANUALES!$B$16:$B$69,$A22,MANUALES!P$16:P$69)+SUMIF(RODANTES!$B$16:$B$68,$A22,RODANTES!P$16:P$68)+SUMIF(RECARGAS!$B$16:$B$37,$A22,RECARGAS!Z$16:Z$37)+SUMIF(REVENDIDOS!$B$16:$B$25,$A22,REVENDIDOS!Q$16:Q$25)</f>
        <v>288.061641585318</v>
      </c>
      <c r="K22" s="13" t="n">
        <f aca="false">SUMIF(MANUALES!$B$16:$B$69,$A22,MANUALES!Q$16:Q$69)+SUMIF(RODANTES!$B$16:$B$68,$A22,RODANTES!Q$16:Q$68)+SUMIF(RECARGAS!$B$16:$B$37,$A22,RECARGAS!AA$16:AA$37)+SUMIF(REVENDIDOS!$B$16:$B$25,$A22,REVENDIDOS!R$16:R$25)</f>
        <v>484.235186698422</v>
      </c>
      <c r="L22" s="13" t="n">
        <f aca="false">SUMIF(MANUALES!$B$16:$B$69,$A22,MANUALES!R$16:R$69)+SUMIF(RODANTES!$B$16:$B$68,$A22,RODANTES!R$16:R$68)+SUMIF(RECARGAS!$B$16:$B$37,$A22,RECARGAS!AB$16:AB$37)+SUMIF(REVENDIDOS!$B$16:$B$25,$A22,REVENDIDOS!S$16:S$25)</f>
        <v>798.614815101152</v>
      </c>
      <c r="M22" s="13" t="n">
        <f aca="false">SUMIF(MANUALES!$B$16:$B$69,$A22,MANUALES!S$16:S$69)+SUMIF(RODANTES!$B$16:$B$68,$A22,RODANTES!S$16:S$68)+SUMIF(RECARGAS!$B$16:$B$37,$A22,RECARGAS!AC$16:AC$37)+SUMIF(REVENDIDOS!$B$16:$B$25,$A22,REVENDIDOS!T$16:T$25)</f>
        <v>1112.7616816148</v>
      </c>
      <c r="N22" s="13" t="n">
        <f aca="false">SUMIF(MANUALES!$B$16:$B$69,$A22,MANUALES!T$16:T$69)+SUMIF(RODANTES!$B$16:$B$68,$A22,RODANTES!T$16:T$68)+SUMIF(RECARGAS!$B$16:$B$37,$A22,RECARGAS!AD$16:AD$37)+SUMIF(REVENDIDOS!$B$16:$B$25,$A22,REVENDIDOS!U$16:U$25)</f>
        <v>1486.10823252716</v>
      </c>
      <c r="O22" s="13" t="n">
        <f aca="false">SUMIF(MANUALES!$B$16:$B$69,$A22,MANUALES!U$16:U$69)+SUMIF(RODANTES!$B$16:$B$68,$A22,RODANTES!U$16:U$68)+SUMIF(RECARGAS!$B$16:$B$37,$A22,RECARGAS!AE$16:AE$37)+SUMIF(REVENDIDOS!$B$16:$B$25,$A22,REVENDIDOS!V$16:V$25)</f>
        <v>1873.38200650805</v>
      </c>
      <c r="P22" s="13" t="n">
        <f aca="false">SUMIF(MANUALES!$B$16:$B$69,$A22,MANUALES!V$16:V$69)+SUMIF(RODANTES!$B$16:$B$68,$A22,RODANTES!V$16:V$68)+SUMIF(RECARGAS!$B$16:$B$37,$A22,RECARGAS!AF$16:AF$37)+SUMIF(REVENDIDOS!$B$16:$B$25,$A22,REVENDIDOS!W$16:W$25)</f>
        <v>2147.51715806969</v>
      </c>
      <c r="Q22" s="13" t="n">
        <f aca="false">SUMIF(MANUALES!$B$16:$B$69,$A22,MANUALES!W$16:W$69)+SUMIF(RODANTES!$B$16:$B$68,$A22,RODANTES!W$16:W$68)+SUMIF(RECARGAS!$B$16:$B$37,$A22,RECARGAS!AG$16:AG$37)+SUMIF(REVENDIDOS!$B$16:$B$25,$A22,REVENDIDOS!X$16:X$25)</f>
        <v>2481.5305160204</v>
      </c>
      <c r="R22" s="13" t="n">
        <f aca="false">SUMIF(MANUALES!$B$16:$B$69,$A22,MANUALES!X$16:X$69)+SUMIF(RODANTES!$B$16:$B$68,$A22,RODANTES!X$16:X$68)+SUMIF(RECARGAS!$B$16:$B$37,$A22,RECARGAS!AH$16:AH$37)+SUMIF(REVENDIDOS!$B$16:$B$25,$A22,REVENDIDOS!Y$16:Y$25)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372</v>
      </c>
      <c r="B23" s="3" t="s">
        <v>373</v>
      </c>
      <c r="C23" s="3" t="s">
        <v>214</v>
      </c>
      <c r="D23" s="13" t="n">
        <f aca="false">SUMIF(MANUALES!$B$16:$B$69,$A23,MANUALES!W$16:W$69)</f>
        <v>0</v>
      </c>
      <c r="E23" s="13" t="n">
        <f aca="false">SUMIF(RODANTES!$B$16:$B$68,$A23,RODANTES!W$16:W$68)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SUMIF(MANUALES!$B$16:$B$69,$A23,MANUALES!N$16:N$69)+SUMIF(RODANTES!$B$16:$B$68,$A23,RODANTES!N$16:N$68)+SUMIF(RECARGAS!$B$16:$B$37,$A23,RECARGAS!X$16:X$37)+SUMIF(REVENDIDOS!$B$16:$B$25,$A23,REVENDIDOS!O$16:O$25)</f>
        <v>27.5292195009201</v>
      </c>
      <c r="I23" s="13" t="n">
        <f aca="false">SUMIF(MANUALES!$B$16:$B$69,$A23,MANUALES!O$16:O$69)+SUMIF(RODANTES!$B$16:$B$68,$A23,RODANTES!O$16:O$68)+SUMIF(RECARGAS!$B$16:$B$37,$A23,RECARGAS!Y$16:Y$37)+SUMIF(REVENDIDOS!$B$16:$B$25,$A23,REVENDIDOS!P$16:P$25)</f>
        <v>46.784107290546</v>
      </c>
      <c r="J23" s="13" t="n">
        <f aca="false">SUMIF(MANUALES!$B$16:$B$69,$A23,MANUALES!P$16:P$69)+SUMIF(RODANTES!$B$16:$B$68,$A23,RODANTES!P$16:P$68)+SUMIF(RECARGAS!$B$16:$B$37,$A23,RECARGAS!Z$16:Z$37)+SUMIF(REVENDIDOS!$B$16:$B$25,$A23,REVENDIDOS!Q$16:Q$25)</f>
        <v>72.0690077114661</v>
      </c>
      <c r="K23" s="13" t="n">
        <f aca="false">SUMIF(MANUALES!$B$16:$B$69,$A23,MANUALES!Q$16:Q$69)+SUMIF(RODANTES!$B$16:$B$68,$A23,RODANTES!Q$16:Q$68)+SUMIF(RECARGAS!$B$16:$B$37,$A23,RECARGAS!AA$16:AA$37)+SUMIF(REVENDIDOS!$B$16:$B$25,$A23,REVENDIDOS!R$16:R$25)</f>
        <v>121.140447402012</v>
      </c>
      <c r="L23" s="13" t="n">
        <f aca="false">SUMIF(MANUALES!$B$16:$B$69,$A23,MANUALES!R$16:R$69)+SUMIF(RODANTES!$B$16:$B$68,$A23,RODANTES!R$16:R$68)+SUMIF(RECARGAS!$B$16:$B$37,$A23,RECARGAS!AB$16:AB$37)+SUMIF(REVENDIDOS!$B$16:$B$25,$A23,REVENDIDOS!S$16:S$25)</f>
        <v>200.119543573478</v>
      </c>
      <c r="M23" s="13" t="n">
        <f aca="false">SUMIF(MANUALES!$B$16:$B$69,$A23,MANUALES!S$16:S$69)+SUMIF(RODANTES!$B$16:$B$68,$A23,RODANTES!S$16:S$68)+SUMIF(RECARGAS!$B$16:$B$37,$A23,RECARGAS!AC$16:AC$37)+SUMIF(REVENDIDOS!$B$16:$B$25,$A23,REVENDIDOS!T$16:T$25)</f>
        <v>278.10731918365</v>
      </c>
      <c r="N23" s="13" t="n">
        <f aca="false">SUMIF(MANUALES!$B$16:$B$69,$A23,MANUALES!T$16:T$69)+SUMIF(RODANTES!$B$16:$B$68,$A23,RODANTES!T$16:T$68)+SUMIF(RECARGAS!$B$16:$B$37,$A23,RECARGAS!AD$16:AD$37)+SUMIF(REVENDIDOS!$B$16:$B$25,$A23,REVENDIDOS!U$16:U$25)</f>
        <v>371.108708844196</v>
      </c>
      <c r="O23" s="13" t="n">
        <f aca="false">SUMIF(MANUALES!$B$16:$B$69,$A23,MANUALES!U$16:U$69)+SUMIF(RODANTES!$B$16:$B$68,$A23,RODANTES!U$16:U$68)+SUMIF(RECARGAS!$B$16:$B$37,$A23,RECARGAS!AE$16:AE$37)+SUMIF(REVENDIDOS!$B$16:$B$25,$A23,REVENDIDOS!V$16:V$25)</f>
        <v>467.667448154742</v>
      </c>
      <c r="P23" s="13" t="n">
        <f aca="false">SUMIF(MANUALES!$B$16:$B$69,$A23,MANUALES!V$16:V$69)+SUMIF(RODANTES!$B$16:$B$68,$A23,RODANTES!V$16:V$68)+SUMIF(RECARGAS!$B$16:$B$37,$A23,RECARGAS!AF$16:AF$37)+SUMIF(REVENDIDOS!$B$16:$B$25,$A23,REVENDIDOS!W$16:W$25)</f>
        <v>536.304833475288</v>
      </c>
      <c r="Q23" s="13" t="n">
        <f aca="false">SUMIF(MANUALES!$B$16:$B$69,$A23,MANUALES!W$16:W$69)+SUMIF(RODANTES!$B$16:$B$68,$A23,RODANTES!W$16:W$68)+SUMIF(RECARGAS!$B$16:$B$37,$A23,RECARGAS!AG$16:AG$37)+SUMIF(REVENDIDOS!$B$16:$B$25,$A23,REVENDIDOS!X$16:X$25)</f>
        <v>619.745930484914</v>
      </c>
      <c r="R23" s="13" t="n">
        <f aca="false">SUMIF(MANUALES!$B$16:$B$69,$A23,MANUALES!X$16:X$69)+SUMIF(RODANTES!$B$16:$B$68,$A23,RODANTES!X$16:X$68)+SUMIF(RECARGAS!$B$16:$B$37,$A23,RECARGAS!AH$16:AH$37)+SUMIF(REVENDIDOS!$B$16:$B$25,$A23,REVENDIDOS!Y$16:Y$25)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375</v>
      </c>
      <c r="B24" s="3" t="s">
        <v>376</v>
      </c>
      <c r="C24" s="3" t="s">
        <v>178</v>
      </c>
      <c r="D24" s="13" t="n">
        <f aca="false">SUMIF(MANUALES!$B$16:$B$69,$A24,MANUALES!W$16:W$69)</f>
        <v>0</v>
      </c>
      <c r="E24" s="13" t="n">
        <f aca="false">SUMIF(RODANTES!$B$16:$B$68,$A24,RODANTES!W$16:W$68)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SUMIF(MANUALES!$B$16:$B$69,$A24,MANUALES!N$16:N$69)+SUMIF(RODANTES!$B$16:$B$68,$A24,RODANTES!N$16:N$68)+SUMIF(RECARGAS!$B$16:$B$37,$A24,RECARGAS!X$16:X$37)+SUMIF(REVENDIDOS!$B$16:$B$25,$A24,REVENDIDOS!O$16:O$25)</f>
        <v>38.4503505913862</v>
      </c>
      <c r="I24" s="13" t="n">
        <f aca="false">SUMIF(MANUALES!$B$16:$B$69,$A24,MANUALES!O$16:O$69)+SUMIF(RODANTES!$B$16:$B$68,$A24,RODANTES!O$16:O$68)+SUMIF(RECARGAS!$B$16:$B$37,$A24,RECARGAS!Y$16:Y$37)+SUMIF(REVENDIDOS!$B$16:$B$25,$A24,REVENDIDOS!P$16:P$25)</f>
        <v>65.9056116950342</v>
      </c>
      <c r="J24" s="13" t="n">
        <f aca="false">SUMIF(MANUALES!$B$16:$B$69,$A24,MANUALES!P$16:P$69)+SUMIF(RODANTES!$B$16:$B$68,$A24,RODANTES!P$16:P$68)+SUMIF(RECARGAS!$B$16:$B$37,$A24,RECARGAS!Z$16:Z$37)+SUMIF(REVENDIDOS!$B$16:$B$25,$A24,REVENDIDOS!Q$16:Q$25)</f>
        <v>84.97939603955</v>
      </c>
      <c r="K24" s="13" t="n">
        <f aca="false">SUMIF(MANUALES!$B$16:$B$69,$A24,MANUALES!Q$16:Q$69)+SUMIF(RODANTES!$B$16:$B$68,$A24,RODANTES!Q$16:Q$68)+SUMIF(RECARGAS!$B$16:$B$37,$A24,RECARGAS!AA$16:AA$37)+SUMIF(REVENDIDOS!$B$16:$B$25,$A24,REVENDIDOS!R$16:R$25)</f>
        <v>113.550872779895</v>
      </c>
      <c r="L24" s="13" t="n">
        <f aca="false">SUMIF(MANUALES!$B$16:$B$69,$A24,MANUALES!R$16:R$69)+SUMIF(RODANTES!$B$16:$B$68,$A24,RODANTES!R$16:R$68)+SUMIF(RECARGAS!$B$16:$B$37,$A24,RECARGAS!AB$16:AB$37)+SUMIF(REVENDIDOS!$B$16:$B$25,$A24,REVENDIDOS!S$16:S$25)</f>
        <v>175.894494420102</v>
      </c>
      <c r="M24" s="13" t="n">
        <f aca="false">SUMIF(MANUALES!$B$16:$B$69,$A24,MANUALES!S$16:S$69)+SUMIF(RODANTES!$B$16:$B$68,$A24,RODANTES!S$16:S$68)+SUMIF(RECARGAS!$B$16:$B$37,$A24,RECARGAS!AC$16:AC$37)+SUMIF(REVENDIDOS!$B$16:$B$25,$A24,REVENDIDOS!T$16:T$25)</f>
        <v>238.959375757246</v>
      </c>
      <c r="N24" s="13" t="n">
        <f aca="false">SUMIF(MANUALES!$B$16:$B$69,$A24,MANUALES!T$16:T$69)+SUMIF(RODANTES!$B$16:$B$68,$A24,RODANTES!T$16:T$68)+SUMIF(RECARGAS!$B$16:$B$37,$A24,RECARGAS!AD$16:AD$37)+SUMIF(REVENDIDOS!$B$16:$B$25,$A24,REVENDIDOS!U$16:U$25)</f>
        <v>307.208501122869</v>
      </c>
      <c r="O24" s="13" t="n">
        <f aca="false">SUMIF(MANUALES!$B$16:$B$69,$A24,MANUALES!U$16:U$69)+SUMIF(RODANTES!$B$16:$B$68,$A24,RODANTES!U$16:U$68)+SUMIF(RECARGAS!$B$16:$B$37,$A24,RECARGAS!AE$16:AE$37)+SUMIF(REVENDIDOS!$B$16:$B$25,$A24,REVENDIDOS!V$16:V$25)</f>
        <v>380.377618987732</v>
      </c>
      <c r="P24" s="13" t="n">
        <f aca="false">SUMIF(MANUALES!$B$16:$B$69,$A24,MANUALES!V$16:V$69)+SUMIF(RODANTES!$B$16:$B$68,$A24,RODANTES!V$16:V$68)+SUMIF(RECARGAS!$B$16:$B$37,$A24,RECARGAS!AF$16:AF$37)+SUMIF(REVENDIDOS!$B$16:$B$25,$A24,REVENDIDOS!W$16:W$25)</f>
        <v>443.119767958953</v>
      </c>
      <c r="Q24" s="13" t="n">
        <f aca="false">SUMIF(MANUALES!$B$16:$B$69,$A24,MANUALES!W$16:W$69)+SUMIF(RODANTES!$B$16:$B$68,$A24,RODANTES!W$16:W$68)+SUMIF(RECARGAS!$B$16:$B$37,$A24,RECARGAS!AG$16:AG$37)+SUMIF(REVENDIDOS!$B$16:$B$25,$A24,REVENDIDOS!X$16:X$25)</f>
        <v>510.050621038391</v>
      </c>
      <c r="R24" s="13" t="n">
        <f aca="false">SUMIF(MANUALES!$B$16:$B$69,$A24,MANUALES!X$16:X$69)+SUMIF(RODANTES!$B$16:$B$68,$A24,RODANTES!X$16:X$68)+SUMIF(RECARGAS!$B$16:$B$37,$A24,RECARGAS!AH$16:AH$37)+SUMIF(REVENDIDOS!$B$16:$B$25,$A24,REVENDIDOS!Y$16:Y$25)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378</v>
      </c>
      <c r="B25" s="3" t="s">
        <v>379</v>
      </c>
      <c r="C25" s="3" t="s">
        <v>178</v>
      </c>
      <c r="D25" s="13" t="n">
        <f aca="false">SUMIF(MANUALES!$B$16:$B$69,$A25,MANUALES!W$16:W$69)</f>
        <v>0</v>
      </c>
      <c r="E25" s="13" t="n">
        <f aca="false">SUMIF(RODANTES!$B$16:$B$68,$A25,RODANTES!W$16:W$68)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SUMIF(MANUALES!$B$16:$B$69,$A25,MANUALES!N$16:N$69)+SUMIF(RODANTES!$B$16:$B$68,$A25,RODANTES!N$16:N$68)+SUMIF(RECARGAS!$B$16:$B$37,$A25,RECARGAS!X$16:X$37)+SUMIF(REVENDIDOS!$B$16:$B$25,$A25,REVENDIDOS!O$16:O$25)</f>
        <v>6.76650750295877</v>
      </c>
      <c r="I25" s="13" t="n">
        <f aca="false">SUMIF(MANUALES!$B$16:$B$69,$A25,MANUALES!O$16:O$69)+SUMIF(RODANTES!$B$16:$B$68,$A25,RODANTES!O$16:O$68)+SUMIF(RECARGAS!$B$16:$B$37,$A25,RECARGAS!Y$16:Y$37)+SUMIF(REVENDIDOS!$B$16:$B$25,$A25,REVENDIDOS!P$16:P$25)</f>
        <v>11.5865736140529</v>
      </c>
      <c r="J25" s="13" t="n">
        <f aca="false">SUMIF(MANUALES!$B$16:$B$69,$A25,MANUALES!P$16:P$69)+SUMIF(RODANTES!$B$16:$B$68,$A25,RODANTES!P$16:P$68)+SUMIF(RECARGAS!$B$16:$B$37,$A25,RECARGAS!Z$16:Z$37)+SUMIF(REVENDIDOS!$B$16:$B$25,$A25,REVENDIDOS!Q$16:Q$25)</f>
        <v>14.9541661956244</v>
      </c>
      <c r="K25" s="13" t="n">
        <f aca="false">SUMIF(MANUALES!$B$16:$B$69,$A25,MANUALES!Q$16:Q$69)+SUMIF(RODANTES!$B$16:$B$68,$A25,RODANTES!Q$16:Q$68)+SUMIF(RECARGAS!$B$16:$B$37,$A25,RECARGAS!AA$16:AA$37)+SUMIF(REVENDIDOS!$B$16:$B$25,$A25,REVENDIDOS!R$16:R$25)</f>
        <v>19.9787793573886</v>
      </c>
      <c r="L25" s="13" t="n">
        <f aca="false">SUMIF(MANUALES!$B$16:$B$69,$A25,MANUALES!R$16:R$69)+SUMIF(RODANTES!$B$16:$B$68,$A25,RODANTES!R$16:R$68)+SUMIF(RECARGAS!$B$16:$B$37,$A25,RECARGAS!AB$16:AB$37)+SUMIF(REVENDIDOS!$B$16:$B$25,$A25,REVENDIDOS!S$16:S$25)</f>
        <v>30.9395475820522</v>
      </c>
      <c r="M25" s="13" t="n">
        <f aca="false">SUMIF(MANUALES!$B$16:$B$69,$A25,MANUALES!S$16:S$69)+SUMIF(RODANTES!$B$16:$B$68,$A25,RODANTES!S$16:S$68)+SUMIF(RECARGAS!$B$16:$B$37,$A25,RECARGAS!AC$16:AC$37)+SUMIF(REVENDIDOS!$B$16:$B$25,$A25,REVENDIDOS!T$16:T$25)</f>
        <v>42.0161763055341</v>
      </c>
      <c r="N25" s="13" t="n">
        <f aca="false">SUMIF(MANUALES!$B$16:$B$69,$A25,MANUALES!T$16:T$69)+SUMIF(RODANTES!$B$16:$B$68,$A25,RODANTES!T$16:T$68)+SUMIF(RECARGAS!$B$16:$B$37,$A25,RECARGAS!AD$16:AD$37)+SUMIF(REVENDIDOS!$B$16:$B$25,$A25,REVENDIDOS!U$16:U$25)</f>
        <v>54.0023402456483</v>
      </c>
      <c r="O25" s="13" t="n">
        <f aca="false">SUMIF(MANUALES!$B$16:$B$69,$A25,MANUALES!U$16:U$69)+SUMIF(RODANTES!$B$16:$B$68,$A25,RODANTES!U$16:U$68)+SUMIF(RECARGAS!$B$16:$B$37,$A25,RECARGAS!AE$16:AE$37)+SUMIF(REVENDIDOS!$B$16:$B$25,$A25,REVENDIDOS!V$16:V$25)</f>
        <v>66.8481532237205</v>
      </c>
      <c r="P25" s="13" t="n">
        <f aca="false">SUMIF(MANUALES!$B$16:$B$69,$A25,MANUALES!V$16:V$69)+SUMIF(RODANTES!$B$16:$B$68,$A25,RODANTES!V$16:V$68)+SUMIF(RECARGAS!$B$16:$B$37,$A25,RECARGAS!AF$16:AF$37)+SUMIF(REVENDIDOS!$B$16:$B$25,$A25,REVENDIDOS!W$16:W$25)</f>
        <v>77.870678344306</v>
      </c>
      <c r="Q25" s="13" t="n">
        <f aca="false">SUMIF(MANUALES!$B$16:$B$69,$A25,MANUALES!W$16:W$69)+SUMIF(RODANTES!$B$16:$B$68,$A25,RODANTES!W$16:W$68)+SUMIF(RECARGAS!$B$16:$B$37,$A25,RECARGAS!AG$16:AG$37)+SUMIF(REVENDIDOS!$B$16:$B$25,$A25,REVENDIDOS!X$16:X$25)</f>
        <v>89.6168013594519</v>
      </c>
      <c r="R25" s="13" t="n">
        <f aca="false">SUMIF(MANUALES!$B$16:$B$69,$A25,MANUALES!X$16:X$69)+SUMIF(RODANTES!$B$16:$B$68,$A25,RODANTES!X$16:X$68)+SUMIF(RECARGAS!$B$16:$B$37,$A25,RECARGAS!AH$16:AH$37)+SUMIF(REVENDIDOS!$B$16:$B$25,$A25,REVENDIDOS!Y$16:Y$25)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381</v>
      </c>
      <c r="B26" s="3" t="s">
        <v>382</v>
      </c>
      <c r="C26" s="3" t="s">
        <v>178</v>
      </c>
      <c r="D26" s="13" t="n">
        <f aca="false">SUMIF(MANUALES!$B$16:$B$69,$A26,MANUALES!W$16:W$69)</f>
        <v>0</v>
      </c>
      <c r="E26" s="13" t="n">
        <f aca="false">SUMIF(RODANTES!$B$16:$B$68,$A26,RODANTES!W$16:W$68)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SUMIF(MANUALES!$B$16:$B$69,$A26,MANUALES!N$16:N$69)+SUMIF(RODANTES!$B$16:$B$68,$A26,RODANTES!N$16:N$68)+SUMIF(RECARGAS!$B$16:$B$37,$A26,RECARGAS!X$16:X$37)+SUMIF(REVENDIDOS!$B$16:$B$25,$A26,REVENDIDOS!O$16:O$25)</f>
        <v>4.25647392</v>
      </c>
      <c r="I26" s="13" t="n">
        <f aca="false">SUMIF(MANUALES!$B$16:$B$69,$A26,MANUALES!O$16:O$69)+SUMIF(RODANTES!$B$16:$B$68,$A26,RODANTES!O$16:O$68)+SUMIF(RECARGAS!$B$16:$B$37,$A26,RECARGAS!Y$16:Y$37)+SUMIF(REVENDIDOS!$B$16:$B$25,$A26,REVENDIDOS!P$16:P$25)</f>
        <v>7.30776843125</v>
      </c>
      <c r="J26" s="13" t="n">
        <f aca="false">SUMIF(MANUALES!$B$16:$B$69,$A26,MANUALES!P$16:P$69)+SUMIF(RODANTES!$B$16:$B$68,$A26,RODANTES!P$16:P$68)+SUMIF(RECARGAS!$B$16:$B$37,$A26,RECARGAS!Z$16:Z$37)+SUMIF(REVENDIDOS!$B$16:$B$25,$A26,REVENDIDOS!Q$16:Q$25)</f>
        <v>9.4010674975</v>
      </c>
      <c r="K26" s="13" t="n">
        <f aca="false">SUMIF(MANUALES!$B$16:$B$69,$A26,MANUALES!Q$16:Q$69)+SUMIF(RODANTES!$B$16:$B$68,$A26,RODANTES!Q$16:Q$68)+SUMIF(RECARGAS!$B$16:$B$37,$A26,RECARGAS!AA$16:AA$37)+SUMIF(REVENDIDOS!$B$16:$B$25,$A26,REVENDIDOS!R$16:R$25)</f>
        <v>12.5662316125</v>
      </c>
      <c r="L26" s="13" t="n">
        <f aca="false">SUMIF(MANUALES!$B$16:$B$69,$A26,MANUALES!R$16:R$69)+SUMIF(RODANTES!$B$16:$B$68,$A26,RODANTES!R$16:R$68)+SUMIF(RECARGAS!$B$16:$B$37,$A26,RECARGAS!AB$16:AB$37)+SUMIF(REVENDIDOS!$B$16:$B$25,$A26,REVENDIDOS!S$16:S$25)</f>
        <v>19.4845004375</v>
      </c>
      <c r="M26" s="13" t="n">
        <f aca="false">SUMIF(MANUALES!$B$16:$B$69,$A26,MANUALES!S$16:S$69)+SUMIF(RODANTES!$B$16:$B$68,$A26,RODANTES!S$16:S$68)+SUMIF(RECARGAS!$B$16:$B$37,$A26,RECARGAS!AC$16:AC$37)+SUMIF(REVENDIDOS!$B$16:$B$25,$A26,REVENDIDOS!T$16:T$25)</f>
        <v>26.4918103375</v>
      </c>
      <c r="N26" s="13" t="n">
        <f aca="false">SUMIF(MANUALES!$B$16:$B$69,$A26,MANUALES!T$16:T$69)+SUMIF(RODANTES!$B$16:$B$68,$A26,RODANTES!T$16:T$68)+SUMIF(RECARGAS!$B$16:$B$37,$A26,RECARGAS!AD$16:AD$37)+SUMIF(REVENDIDOS!$B$16:$B$25,$A26,REVENDIDOS!U$16:U$25)</f>
        <v>34.08352915</v>
      </c>
      <c r="O26" s="13" t="n">
        <f aca="false">SUMIF(MANUALES!$B$16:$B$69,$A26,MANUALES!U$16:U$69)+SUMIF(RODANTES!$B$16:$B$68,$A26,RODANTES!U$16:U$68)+SUMIF(RECARGAS!$B$16:$B$37,$A26,RECARGAS!AE$16:AE$37)+SUMIF(REVENDIDOS!$B$16:$B$25,$A26,REVENDIDOS!V$16:V$25)</f>
        <v>42.2310838375</v>
      </c>
      <c r="P26" s="13" t="n">
        <f aca="false">SUMIF(MANUALES!$B$16:$B$69,$A26,MANUALES!V$16:V$69)+SUMIF(RODANTES!$B$16:$B$68,$A26,RODANTES!V$16:V$68)+SUMIF(RECARGAS!$B$16:$B$37,$A26,RECARGAS!AF$16:AF$37)+SUMIF(REVENDIDOS!$B$16:$B$25,$A26,REVENDIDOS!W$16:W$25)</f>
        <v>49.20342695</v>
      </c>
      <c r="Q26" s="13" t="n">
        <f aca="false">SUMIF(MANUALES!$B$16:$B$69,$A26,MANUALES!W$16:W$69)+SUMIF(RODANTES!$B$16:$B$68,$A26,RODANTES!W$16:W$68)+SUMIF(RECARGAS!$B$16:$B$37,$A26,RECARGAS!AG$16:AG$37)+SUMIF(REVENDIDOS!$B$16:$B$25,$A26,REVENDIDOS!X$16:X$25)</f>
        <v>56.65881665</v>
      </c>
      <c r="R26" s="13" t="n">
        <f aca="false">SUMIF(MANUALES!$B$16:$B$69,$A26,MANUALES!X$16:X$69)+SUMIF(RODANTES!$B$16:$B$68,$A26,RODANTES!X$16:X$68)+SUMIF(RECARGAS!$B$16:$B$37,$A26,RECARGAS!AH$16:AH$37)+SUMIF(REVENDIDOS!$B$16:$B$25,$A26,REVENDIDOS!Y$16:Y$25)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384</v>
      </c>
      <c r="B27" s="3" t="s">
        <v>385</v>
      </c>
      <c r="C27" s="3" t="s">
        <v>178</v>
      </c>
      <c r="D27" s="13" t="n">
        <f aca="false">SUMIF(MANUALES!$B$16:$B$69,$A27,MANUALES!W$16:W$69)</f>
        <v>0</v>
      </c>
      <c r="E27" s="13" t="n">
        <f aca="false">SUMIF(RODANTES!$B$16:$B$68,$A27,RODANTES!W$16:W$68)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SUMIF(MANUALES!$B$16:$B$69,$A27,MANUALES!N$16:N$69)+SUMIF(RODANTES!$B$16:$B$68,$A27,RODANTES!N$16:N$68)+SUMIF(RECARGAS!$B$16:$B$37,$A27,RECARGAS!X$16:X$37)+SUMIF(REVENDIDOS!$B$16:$B$25,$A27,REVENDIDOS!O$16:O$25)</f>
        <v>9.58944262381201</v>
      </c>
      <c r="I27" s="13" t="n">
        <f aca="false">SUMIF(MANUALES!$B$16:$B$69,$A27,MANUALES!O$16:O$69)+SUMIF(RODANTES!$B$16:$B$68,$A27,RODANTES!O$16:O$68)+SUMIF(RECARGAS!$B$16:$B$37,$A27,RECARGAS!Y$16:Y$37)+SUMIF(REVENDIDOS!$B$16:$B$25,$A27,REVENDIDOS!P$16:P$25)</f>
        <v>16.4244731419988</v>
      </c>
      <c r="J27" s="13" t="n">
        <f aca="false">SUMIF(MANUALES!$B$16:$B$69,$A27,MANUALES!P$16:P$69)+SUMIF(RODANTES!$B$16:$B$68,$A27,RODANTES!P$16:P$68)+SUMIF(RECARGAS!$B$16:$B$37,$A27,RECARGAS!Z$16:Z$37)+SUMIF(REVENDIDOS!$B$16:$B$25,$A27,REVENDIDOS!Q$16:Q$25)</f>
        <v>21.1971827352664</v>
      </c>
      <c r="K27" s="13" t="n">
        <f aca="false">SUMIF(MANUALES!$B$16:$B$69,$A27,MANUALES!Q$16:Q$69)+SUMIF(RODANTES!$B$16:$B$68,$A27,RODANTES!Q$16:Q$68)+SUMIF(RECARGAS!$B$16:$B$37,$A27,RECARGAS!AA$16:AA$37)+SUMIF(REVENDIDOS!$B$16:$B$25,$A27,REVENDIDOS!R$16:R$25)</f>
        <v>28.3199841764214</v>
      </c>
      <c r="L27" s="13" t="n">
        <f aca="false">SUMIF(MANUALES!$B$16:$B$69,$A27,MANUALES!R$16:R$69)+SUMIF(RODANTES!$B$16:$B$68,$A27,RODANTES!R$16:R$68)+SUMIF(RECARGAS!$B$16:$B$37,$A27,RECARGAS!AB$16:AB$37)+SUMIF(REVENDIDOS!$B$16:$B$25,$A27,REVENDIDOS!S$16:S$25)</f>
        <v>43.8536645029071</v>
      </c>
      <c r="M27" s="13" t="n">
        <f aca="false">SUMIF(MANUALES!$B$16:$B$69,$A27,MANUALES!S$16:S$69)+SUMIF(RODANTES!$B$16:$B$68,$A27,RODANTES!S$16:S$68)+SUMIF(RECARGAS!$B$16:$B$37,$A27,RECARGAS!AC$16:AC$37)+SUMIF(REVENDIDOS!$B$16:$B$25,$A27,REVENDIDOS!T$16:T$25)</f>
        <v>59.5568409106198</v>
      </c>
      <c r="N27" s="13" t="n">
        <f aca="false">SUMIF(MANUALES!$B$16:$B$69,$A27,MANUALES!T$16:T$69)+SUMIF(RODANTES!$B$16:$B$68,$A27,RODANTES!T$16:T$68)+SUMIF(RECARGAS!$B$16:$B$37,$A27,RECARGAS!AD$16:AD$37)+SUMIF(REVENDIDOS!$B$16:$B$25,$A27,REVENDIDOS!U$16:U$25)</f>
        <v>76.5454162777976</v>
      </c>
      <c r="O27" s="13" t="n">
        <f aca="false">SUMIF(MANUALES!$B$16:$B$69,$A27,MANUALES!U$16:U$69)+SUMIF(RODANTES!$B$16:$B$68,$A27,RODANTES!U$16:U$68)+SUMIF(RECARGAS!$B$16:$B$37,$A27,RECARGAS!AE$16:AE$37)+SUMIF(REVENDIDOS!$B$16:$B$25,$A27,REVENDIDOS!V$16:V$25)</f>
        <v>94.7515935252968</v>
      </c>
      <c r="P27" s="13" t="n">
        <f aca="false">SUMIF(MANUALES!$B$16:$B$69,$A27,MANUALES!V$16:V$69)+SUMIF(RODANTES!$B$16:$B$68,$A27,RODANTES!V$16:V$68)+SUMIF(RECARGAS!$B$16:$B$37,$A27,RECARGAS!AF$16:AF$37)+SUMIF(REVENDIDOS!$B$16:$B$25,$A27,REVENDIDOS!W$16:W$25)</f>
        <v>110.375005390228</v>
      </c>
      <c r="Q27" s="13" t="n">
        <f aca="false">SUMIF(MANUALES!$B$16:$B$69,$A27,MANUALES!W$16:W$69)+SUMIF(RODANTES!$B$16:$B$68,$A27,RODANTES!W$16:W$68)+SUMIF(RECARGAS!$B$16:$B$37,$A27,RECARGAS!AG$16:AG$37)+SUMIF(REVENDIDOS!$B$16:$B$25,$A27,REVENDIDOS!X$16:X$25)</f>
        <v>127.025500577619</v>
      </c>
      <c r="R27" s="13" t="n">
        <f aca="false">SUMIF(MANUALES!$B$16:$B$69,$A27,MANUALES!X$16:X$69)+SUMIF(RODANTES!$B$16:$B$68,$A27,RODANTES!X$16:X$68)+SUMIF(RECARGAS!$B$16:$B$37,$A27,RECARGAS!AH$16:AH$37)+SUMIF(REVENDIDOS!$B$16:$B$25,$A27,REVENDIDOS!Y$16:Y$25)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422</v>
      </c>
      <c r="B28" s="3" t="s">
        <v>423</v>
      </c>
      <c r="C28" s="3" t="s">
        <v>214</v>
      </c>
      <c r="D28" s="13" t="n">
        <f aca="false">SUMIF(MANUALES!$B$16:$B$69,$A28,MANUALES!W$16:W$69)</f>
        <v>0</v>
      </c>
      <c r="E28" s="13" t="n">
        <f aca="false">SUMIF(RODANTES!$B$16:$B$68,$A28,RODANTES!W$16:W$68)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SUMIF(MANUALES!$B$16:$B$69,$A28,MANUALES!N$16:N$69)+SUMIF(RODANTES!$B$16:$B$68,$A28,RODANTES!N$16:N$68)+SUMIF(RECARGAS!$B$16:$B$37,$A28,RECARGAS!X$16:X$37)+SUMIF(REVENDIDOS!$B$16:$B$25,$A28,REVENDIDOS!O$16:O$25)</f>
        <v>547.130953087361</v>
      </c>
      <c r="I28" s="13" t="n">
        <f aca="false">SUMIF(MANUALES!$B$16:$B$69,$A28,MANUALES!O$16:O$69)+SUMIF(RODANTES!$B$16:$B$68,$A28,RODANTES!O$16:O$68)+SUMIF(RECARGAS!$B$16:$B$37,$A28,RECARGAS!Y$16:Y$37)+SUMIF(REVENDIDOS!$B$16:$B$25,$A28,REVENDIDOS!P$16:P$25)</f>
        <v>937.811765131729</v>
      </c>
      <c r="J28" s="13" t="n">
        <f aca="false">SUMIF(MANUALES!$B$16:$B$69,$A28,MANUALES!P$16:P$69)+SUMIF(RODANTES!$B$16:$B$68,$A28,RODANTES!P$16:P$68)+SUMIF(RECARGAS!$B$16:$B$37,$A28,RECARGAS!Z$16:Z$37)+SUMIF(REVENDIDOS!$B$16:$B$25,$A28,REVENDIDOS!Q$16:Q$25)</f>
        <v>1209.32259718714</v>
      </c>
      <c r="K28" s="13" t="n">
        <f aca="false">SUMIF(MANUALES!$B$16:$B$69,$A28,MANUALES!Q$16:Q$69)+SUMIF(RODANTES!$B$16:$B$68,$A28,RODANTES!Q$16:Q$68)+SUMIF(RECARGAS!$B$16:$B$37,$A28,RECARGAS!AA$16:AA$37)+SUMIF(REVENDIDOS!$B$16:$B$25,$A28,REVENDIDOS!R$16:R$25)</f>
        <v>1615.90253640174</v>
      </c>
      <c r="L28" s="13" t="n">
        <f aca="false">SUMIF(MANUALES!$B$16:$B$69,$A28,MANUALES!R$16:R$69)+SUMIF(RODANTES!$B$16:$B$68,$A28,RODANTES!R$16:R$68)+SUMIF(RECARGAS!$B$16:$B$37,$A28,RECARGAS!AB$16:AB$37)+SUMIF(REVENDIDOS!$B$16:$B$25,$A28,REVENDIDOS!S$16:S$25)</f>
        <v>2502.93743469852</v>
      </c>
      <c r="M28" s="13" t="n">
        <f aca="false">SUMIF(MANUALES!$B$16:$B$69,$A28,MANUALES!S$16:S$69)+SUMIF(RODANTES!$B$16:$B$68,$A28,RODANTES!S$16:S$68)+SUMIF(RECARGAS!$B$16:$B$37,$A28,RECARGAS!AC$16:AC$37)+SUMIF(REVENDIDOS!$B$16:$B$25,$A28,REVENDIDOS!T$16:T$25)</f>
        <v>3400.27600319381</v>
      </c>
      <c r="N28" s="13" t="n">
        <f aca="false">SUMIF(MANUALES!$B$16:$B$69,$A28,MANUALES!T$16:T$69)+SUMIF(RODANTES!$B$16:$B$68,$A28,RODANTES!T$16:T$68)+SUMIF(RECARGAS!$B$16:$B$37,$A28,RECARGAS!AD$16:AD$37)+SUMIF(REVENDIDOS!$B$16:$B$25,$A28,REVENDIDOS!U$16:U$25)</f>
        <v>4371.26776548542</v>
      </c>
      <c r="O28" s="13" t="n">
        <f aca="false">SUMIF(MANUALES!$B$16:$B$69,$A28,MANUALES!U$16:U$69)+SUMIF(RODANTES!$B$16:$B$68,$A28,RODANTES!U$16:U$68)+SUMIF(RECARGAS!$B$16:$B$37,$A28,RECARGAS!AE$16:AE$37)+SUMIF(REVENDIDOS!$B$16:$B$25,$A28,REVENDIDOS!V$16:V$25)</f>
        <v>5412.19781865116</v>
      </c>
      <c r="P28" s="13" t="n">
        <f aca="false">SUMIF(MANUALES!$B$16:$B$69,$A28,MANUALES!V$16:V$69)+SUMIF(RODANTES!$B$16:$B$68,$A28,RODANTES!V$16:V$68)+SUMIF(RECARGAS!$B$16:$B$37,$A28,RECARGAS!AF$16:AF$37)+SUMIF(REVENDIDOS!$B$16:$B$25,$A28,REVENDIDOS!W$16:W$25)</f>
        <v>6304.8879661799</v>
      </c>
      <c r="Q28" s="13" t="n">
        <f aca="false">SUMIF(MANUALES!$B$16:$B$69,$A28,MANUALES!W$16:W$69)+SUMIF(RODANTES!$B$16:$B$68,$A28,RODANTES!W$16:W$68)+SUMIF(RECARGAS!$B$16:$B$37,$A28,RECARGAS!AG$16:AG$37)+SUMIF(REVENDIDOS!$B$16:$B$25,$A28,REVENDIDOS!X$16:X$25)</f>
        <v>7257.10578602127</v>
      </c>
      <c r="R28" s="13" t="n">
        <f aca="false">SUMIF(MANUALES!$B$16:$B$69,$A28,MANUALES!X$16:X$69)+SUMIF(RODANTES!$B$16:$B$68,$A28,RODANTES!X$16:X$68)+SUMIF(RECARGAS!$B$16:$B$37,$A28,RECARGAS!AH$16:AH$37)+SUMIF(REVENDIDOS!$B$16:$B$25,$A28,REVENDIDOS!Y$16:Y$25)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425</v>
      </c>
      <c r="B29" s="3" t="s">
        <v>426</v>
      </c>
      <c r="C29" s="3" t="s">
        <v>214</v>
      </c>
      <c r="D29" s="13" t="n">
        <f aca="false">SUMIF(MANUALES!$B$16:$B$69,$A29,MANUALES!W$16:W$69)</f>
        <v>0</v>
      </c>
      <c r="E29" s="13" t="n">
        <f aca="false">SUMIF(RODANTES!$B$16:$B$68,$A29,RODANTES!W$16:W$68)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SUMIF(MANUALES!$B$16:$B$69,$A29,MANUALES!N$16:N$69)+SUMIF(RODANTES!$B$16:$B$68,$A29,RODANTES!N$16:N$68)+SUMIF(RECARGAS!$B$16:$B$37,$A29,RECARGAS!X$16:X$37)+SUMIF(REVENDIDOS!$B$16:$B$25,$A29,REVENDIDOS!O$16:O$25)</f>
        <v>273.56547654368</v>
      </c>
      <c r="I29" s="13" t="n">
        <f aca="false">SUMIF(MANUALES!$B$16:$B$69,$A29,MANUALES!O$16:O$69)+SUMIF(RODANTES!$B$16:$B$68,$A29,RODANTES!O$16:O$68)+SUMIF(RECARGAS!$B$16:$B$37,$A29,RECARGAS!Y$16:Y$37)+SUMIF(REVENDIDOS!$B$16:$B$25,$A29,REVENDIDOS!P$16:P$25)</f>
        <v>468.905882565864</v>
      </c>
      <c r="J29" s="13" t="n">
        <f aca="false">SUMIF(MANUALES!$B$16:$B$69,$A29,MANUALES!P$16:P$69)+SUMIF(RODANTES!$B$16:$B$68,$A29,RODANTES!P$16:P$68)+SUMIF(RECARGAS!$B$16:$B$37,$A29,RECARGAS!Z$16:Z$37)+SUMIF(REVENDIDOS!$B$16:$B$25,$A29,REVENDIDOS!Q$16:Q$25)</f>
        <v>604.661298593569</v>
      </c>
      <c r="K29" s="13" t="n">
        <f aca="false">SUMIF(MANUALES!$B$16:$B$69,$A29,MANUALES!Q$16:Q$69)+SUMIF(RODANTES!$B$16:$B$68,$A29,RODANTES!Q$16:Q$68)+SUMIF(RECARGAS!$B$16:$B$37,$A29,RECARGAS!AA$16:AA$37)+SUMIF(REVENDIDOS!$B$16:$B$25,$A29,REVENDIDOS!R$16:R$25)</f>
        <v>807.951268200869</v>
      </c>
      <c r="L29" s="13" t="n">
        <f aca="false">SUMIF(MANUALES!$B$16:$B$69,$A29,MANUALES!R$16:R$69)+SUMIF(RODANTES!$B$16:$B$68,$A29,RODANTES!R$16:R$68)+SUMIF(RECARGAS!$B$16:$B$37,$A29,RECARGAS!AB$16:AB$37)+SUMIF(REVENDIDOS!$B$16:$B$25,$A29,REVENDIDOS!S$16:S$25)</f>
        <v>1251.46871734926</v>
      </c>
      <c r="M29" s="13" t="n">
        <f aca="false">SUMIF(MANUALES!$B$16:$B$69,$A29,MANUALES!S$16:S$69)+SUMIF(RODANTES!$B$16:$B$68,$A29,RODANTES!S$16:S$68)+SUMIF(RECARGAS!$B$16:$B$37,$A29,RECARGAS!AC$16:AC$37)+SUMIF(REVENDIDOS!$B$16:$B$25,$A29,REVENDIDOS!T$16:T$25)</f>
        <v>1700.1380015969</v>
      </c>
      <c r="N29" s="13" t="n">
        <f aca="false">SUMIF(MANUALES!$B$16:$B$69,$A29,MANUALES!T$16:T$69)+SUMIF(RODANTES!$B$16:$B$68,$A29,RODANTES!T$16:T$68)+SUMIF(RECARGAS!$B$16:$B$37,$A29,RECARGAS!AD$16:AD$37)+SUMIF(REVENDIDOS!$B$16:$B$25,$A29,REVENDIDOS!U$16:U$25)</f>
        <v>2185.63388274271</v>
      </c>
      <c r="O29" s="13" t="n">
        <f aca="false">SUMIF(MANUALES!$B$16:$B$69,$A29,MANUALES!U$16:U$69)+SUMIF(RODANTES!$B$16:$B$68,$A29,RODANTES!U$16:U$68)+SUMIF(RECARGAS!$B$16:$B$37,$A29,RECARGAS!AE$16:AE$37)+SUMIF(REVENDIDOS!$B$16:$B$25,$A29,REVENDIDOS!V$16:V$25)</f>
        <v>2706.09890932558</v>
      </c>
      <c r="P29" s="13" t="n">
        <f aca="false">SUMIF(MANUALES!$B$16:$B$69,$A29,MANUALES!V$16:V$69)+SUMIF(RODANTES!$B$16:$B$68,$A29,RODANTES!V$16:V$68)+SUMIF(RECARGAS!$B$16:$B$37,$A29,RECARGAS!AF$16:AF$37)+SUMIF(REVENDIDOS!$B$16:$B$25,$A29,REVENDIDOS!W$16:W$25)</f>
        <v>3152.44398308995</v>
      </c>
      <c r="Q29" s="13" t="n">
        <f aca="false">SUMIF(MANUALES!$B$16:$B$69,$A29,MANUALES!W$16:W$69)+SUMIF(RODANTES!$B$16:$B$68,$A29,RODANTES!W$16:W$68)+SUMIF(RECARGAS!$B$16:$B$37,$A29,RECARGAS!AG$16:AG$37)+SUMIF(REVENDIDOS!$B$16:$B$25,$A29,REVENDIDOS!X$16:X$25)</f>
        <v>3628.55289301064</v>
      </c>
      <c r="R29" s="13" t="n">
        <f aca="false">SUMIF(MANUALES!$B$16:$B$69,$A29,MANUALES!X$16:X$69)+SUMIF(RODANTES!$B$16:$B$68,$A29,RODANTES!X$16:X$68)+SUMIF(RECARGAS!$B$16:$B$37,$A29,RECARGAS!AH$16:AH$37)+SUMIF(REVENDIDOS!$B$16:$B$25,$A29,REVENDIDOS!Y$16:Y$25)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428</v>
      </c>
      <c r="B30" s="3" t="s">
        <v>429</v>
      </c>
      <c r="C30" s="3" t="s">
        <v>214</v>
      </c>
      <c r="D30" s="13" t="n">
        <f aca="false">SUMIF(MANUALES!$B$16:$B$69,$A30,MANUALES!W$16:W$69)</f>
        <v>0</v>
      </c>
      <c r="E30" s="13" t="n">
        <f aca="false">SUMIF(RODANTES!$B$16:$B$68,$A30,RODANTES!W$16:W$68)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SUMIF(MANUALES!$B$16:$B$69,$A30,MANUALES!N$16:N$69)+SUMIF(RODANTES!$B$16:$B$68,$A30,RODANTES!N$16:N$68)+SUMIF(RECARGAS!$B$16:$B$37,$A30,RECARGAS!X$16:X$37)+SUMIF(REVENDIDOS!$B$16:$B$25,$A30,REVENDIDOS!O$16:O$25)</f>
        <v>68.10358272</v>
      </c>
      <c r="I30" s="13" t="n">
        <f aca="false">SUMIF(MANUALES!$B$16:$B$69,$A30,MANUALES!O$16:O$69)+SUMIF(RODANTES!$B$16:$B$68,$A30,RODANTES!O$16:O$68)+SUMIF(RECARGAS!$B$16:$B$37,$A30,RECARGAS!Y$16:Y$37)+SUMIF(REVENDIDOS!$B$16:$B$25,$A30,REVENDIDOS!P$16:P$25)</f>
        <v>116.9242949</v>
      </c>
      <c r="J30" s="13" t="n">
        <f aca="false">SUMIF(MANUALES!$B$16:$B$69,$A30,MANUALES!P$16:P$69)+SUMIF(RODANTES!$B$16:$B$68,$A30,RODANTES!P$16:P$68)+SUMIF(RECARGAS!$B$16:$B$37,$A30,RECARGAS!Z$16:Z$37)+SUMIF(REVENDIDOS!$B$16:$B$25,$A30,REVENDIDOS!Q$16:Q$25)</f>
        <v>150.41707996</v>
      </c>
      <c r="K30" s="13" t="n">
        <f aca="false">SUMIF(MANUALES!$B$16:$B$69,$A30,MANUALES!Q$16:Q$69)+SUMIF(RODANTES!$B$16:$B$68,$A30,RODANTES!Q$16:Q$68)+SUMIF(RECARGAS!$B$16:$B$37,$A30,RECARGAS!AA$16:AA$37)+SUMIF(REVENDIDOS!$B$16:$B$25,$A30,REVENDIDOS!R$16:R$25)</f>
        <v>201.0597058</v>
      </c>
      <c r="L30" s="13" t="n">
        <f aca="false">SUMIF(MANUALES!$B$16:$B$69,$A30,MANUALES!R$16:R$69)+SUMIF(RODANTES!$B$16:$B$68,$A30,RODANTES!R$16:R$68)+SUMIF(RECARGAS!$B$16:$B$37,$A30,RECARGAS!AB$16:AB$37)+SUMIF(REVENDIDOS!$B$16:$B$25,$A30,REVENDIDOS!S$16:S$25)</f>
        <v>311.752007</v>
      </c>
      <c r="M30" s="13" t="n">
        <f aca="false">SUMIF(MANUALES!$B$16:$B$69,$A30,MANUALES!S$16:S$69)+SUMIF(RODANTES!$B$16:$B$68,$A30,RODANTES!S$16:S$68)+SUMIF(RECARGAS!$B$16:$B$37,$A30,RECARGAS!AC$16:AC$37)+SUMIF(REVENDIDOS!$B$16:$B$25,$A30,REVENDIDOS!T$16:T$25)</f>
        <v>423.8689654</v>
      </c>
      <c r="N30" s="13" t="n">
        <f aca="false">SUMIF(MANUALES!$B$16:$B$69,$A30,MANUALES!T$16:T$69)+SUMIF(RODANTES!$B$16:$B$68,$A30,RODANTES!T$16:T$68)+SUMIF(RECARGAS!$B$16:$B$37,$A30,RECARGAS!AD$16:AD$37)+SUMIF(REVENDIDOS!$B$16:$B$25,$A30,REVENDIDOS!U$16:U$25)</f>
        <v>545.3364664</v>
      </c>
      <c r="O30" s="13" t="n">
        <f aca="false">SUMIF(MANUALES!$B$16:$B$69,$A30,MANUALES!U$16:U$69)+SUMIF(RODANTES!$B$16:$B$68,$A30,RODANTES!U$16:U$68)+SUMIF(RECARGAS!$B$16:$B$37,$A30,RECARGAS!AE$16:AE$37)+SUMIF(REVENDIDOS!$B$16:$B$25,$A30,REVENDIDOS!V$16:V$25)</f>
        <v>675.6973414</v>
      </c>
      <c r="P30" s="13" t="n">
        <f aca="false">SUMIF(MANUALES!$B$16:$B$69,$A30,MANUALES!V$16:V$69)+SUMIF(RODANTES!$B$16:$B$68,$A30,RODANTES!V$16:V$68)+SUMIF(RECARGAS!$B$16:$B$37,$A30,RECARGAS!AF$16:AF$37)+SUMIF(REVENDIDOS!$B$16:$B$25,$A30,REVENDIDOS!W$16:W$25)</f>
        <v>787.2548312</v>
      </c>
      <c r="Q30" s="13" t="n">
        <f aca="false">SUMIF(MANUALES!$B$16:$B$69,$A30,MANUALES!W$16:W$69)+SUMIF(RODANTES!$B$16:$B$68,$A30,RODANTES!W$16:W$68)+SUMIF(RECARGAS!$B$16:$B$37,$A30,RECARGAS!AG$16:AG$37)+SUMIF(REVENDIDOS!$B$16:$B$25,$A30,REVENDIDOS!X$16:X$25)</f>
        <v>906.5410664</v>
      </c>
      <c r="R30" s="13" t="n">
        <f aca="false">SUMIF(MANUALES!$B$16:$B$69,$A30,MANUALES!X$16:X$69)+SUMIF(RODANTES!$B$16:$B$68,$A30,RODANTES!X$16:X$68)+SUMIF(RECARGAS!$B$16:$B$37,$A30,RECARGAS!AH$16:AH$37)+SUMIF(REVENDIDOS!$B$16:$B$25,$A30,REVENDIDOS!Y$16:Y$25)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431</v>
      </c>
      <c r="B31" s="3" t="s">
        <v>432</v>
      </c>
      <c r="C31" s="3" t="s">
        <v>214</v>
      </c>
      <c r="D31" s="13" t="n">
        <f aca="false">SUMIF(MANUALES!$B$16:$B$69,$A31,MANUALES!W$16:W$69)</f>
        <v>0</v>
      </c>
      <c r="E31" s="13" t="n">
        <f aca="false">SUMIF(RODANTES!$B$16:$B$68,$A31,RODANTES!W$16:W$68)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SUMIF(MANUALES!$B$16:$B$69,$A31,MANUALES!N$16:N$69)+SUMIF(RODANTES!$B$16:$B$68,$A31,RODANTES!N$16:N$68)+SUMIF(RECARGAS!$B$16:$B$37,$A31,RECARGAS!X$16:X$37)+SUMIF(REVENDIDOS!$B$16:$B$25,$A31,REVENDIDOS!O$16:O$25)</f>
        <v>150.40345482184</v>
      </c>
      <c r="I31" s="13" t="n">
        <f aca="false">SUMIF(MANUALES!$B$16:$B$69,$A31,MANUALES!O$16:O$69)+SUMIF(RODANTES!$B$16:$B$68,$A31,RODANTES!O$16:O$68)+SUMIF(RECARGAS!$B$16:$B$37,$A31,RECARGAS!Y$16:Y$37)+SUMIF(REVENDIDOS!$B$16:$B$25,$A31,REVENDIDOS!P$16:P$25)</f>
        <v>258.413373084772</v>
      </c>
      <c r="J31" s="13" t="n">
        <f aca="false">SUMIF(MANUALES!$B$16:$B$69,$A31,MANUALES!P$16:P$69)+SUMIF(RODANTES!$B$16:$B$68,$A31,RODANTES!P$16:P$68)+SUMIF(RECARGAS!$B$16:$B$37,$A31,RECARGAS!Z$16:Z$37)+SUMIF(REVENDIDOS!$B$16:$B$25,$A31,REVENDIDOS!Q$16:Q$25)</f>
        <v>333.306203210636</v>
      </c>
      <c r="K31" s="13" t="n">
        <f aca="false">SUMIF(MANUALES!$B$16:$B$69,$A31,MANUALES!Q$16:Q$69)+SUMIF(RODANTES!$B$16:$B$68,$A31,RODANTES!Q$16:Q$68)+SUMIF(RECARGAS!$B$16:$B$37,$A31,RECARGAS!AA$16:AA$37)+SUMIF(REVENDIDOS!$B$16:$B$25,$A31,REVENDIDOS!R$16:R$25)</f>
        <v>445.410667596845</v>
      </c>
      <c r="L31" s="13" t="n">
        <f aca="false">SUMIF(MANUALES!$B$16:$B$69,$A31,MANUALES!R$16:R$69)+SUMIF(RODANTES!$B$16:$B$68,$A31,RODANTES!R$16:R$68)+SUMIF(RECARGAS!$B$16:$B$37,$A31,RECARGAS!AB$16:AB$37)+SUMIF(REVENDIDOS!$B$16:$B$25,$A31,REVENDIDOS!S$16:S$25)</f>
        <v>689.077623202305</v>
      </c>
      <c r="M31" s="13" t="n">
        <f aca="false">SUMIF(MANUALES!$B$16:$B$69,$A31,MANUALES!S$16:S$69)+SUMIF(RODANTES!$B$16:$B$68,$A31,RODANTES!S$16:S$68)+SUMIF(RECARGAS!$B$16:$B$37,$A31,RECARGAS!AC$16:AC$37)+SUMIF(REVENDIDOS!$B$16:$B$25,$A31,REVENDIDOS!T$16:T$25)</f>
        <v>936.454397829605</v>
      </c>
      <c r="N31" s="13" t="n">
        <f aca="false">SUMIF(MANUALES!$B$16:$B$69,$A31,MANUALES!T$16:T$69)+SUMIF(RODANTES!$B$16:$B$68,$A31,RODANTES!T$16:T$68)+SUMIF(RECARGAS!$B$16:$B$37,$A31,RECARGAS!AD$16:AD$37)+SUMIF(REVENDIDOS!$B$16:$B$25,$A31,REVENDIDOS!U$16:U$25)</f>
        <v>1203.27999865432</v>
      </c>
      <c r="O31" s="13" t="n">
        <f aca="false">SUMIF(MANUALES!$B$16:$B$69,$A31,MANUALES!U$16:U$69)+SUMIF(RODANTES!$B$16:$B$68,$A31,RODANTES!U$16:U$68)+SUMIF(RECARGAS!$B$16:$B$37,$A31,RECARGAS!AE$16:AE$37)+SUMIF(REVENDIDOS!$B$16:$B$25,$A31,REVENDIDOS!V$16:V$25)</f>
        <v>1489.0666716161</v>
      </c>
      <c r="P31" s="13" t="n">
        <f aca="false">SUMIF(MANUALES!$B$16:$B$69,$A31,MANUALES!V$16:V$69)+SUMIF(RODANTES!$B$16:$B$68,$A31,RODANTES!V$16:V$68)+SUMIF(RECARGAS!$B$16:$B$37,$A31,RECARGAS!AF$16:AF$37)+SUMIF(REVENDIDOS!$B$16:$B$25,$A31,REVENDIDOS!W$16:W$25)</f>
        <v>1734.57948493937</v>
      </c>
      <c r="Q31" s="13" t="n">
        <f aca="false">SUMIF(MANUALES!$B$16:$B$69,$A31,MANUALES!W$16:W$69)+SUMIF(RODANTES!$B$16:$B$68,$A31,RODANTES!W$16:W$68)+SUMIF(RECARGAS!$B$16:$B$37,$A31,RECARGAS!AG$16:AG$37)+SUMIF(REVENDIDOS!$B$16:$B$25,$A31,REVENDIDOS!X$16:X$25)</f>
        <v>1996.51996564081</v>
      </c>
      <c r="R31" s="13" t="n">
        <f aca="false">SUMIF(MANUALES!$B$16:$B$69,$A31,MANUALES!X$16:X$69)+SUMIF(RODANTES!$B$16:$B$68,$A31,RODANTES!X$16:X$68)+SUMIF(RECARGAS!$B$16:$B$37,$A31,RECARGAS!AH$16:AH$37)+SUMIF(REVENDIDOS!$B$16:$B$25,$A31,REVENDIDOS!Y$16:Y$25)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434</v>
      </c>
      <c r="B32" s="3" t="s">
        <v>435</v>
      </c>
      <c r="C32" s="3" t="s">
        <v>214</v>
      </c>
      <c r="D32" s="13" t="n">
        <f aca="false">SUMIF(MANUALES!$B$16:$B$69,$A32,MANUALES!W$16:W$69)</f>
        <v>0</v>
      </c>
      <c r="E32" s="13" t="n">
        <f aca="false">SUMIF(RODANTES!$B$16:$B$68,$A32,RODANTES!W$16:W$68)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SUMIF(MANUALES!$B$16:$B$69,$A32,MANUALES!N$16:N$69)+SUMIF(RODANTES!$B$16:$B$68,$A32,RODANTES!N$16:N$68)+SUMIF(RECARGAS!$B$16:$B$37,$A32,RECARGAS!X$16:X$37)+SUMIF(REVENDIDOS!$B$16:$B$25,$A32,REVENDIDOS!O$16:O$25)</f>
        <v>55.0584390018401</v>
      </c>
      <c r="I32" s="13" t="n">
        <f aca="false">SUMIF(MANUALES!$B$16:$B$69,$A32,MANUALES!O$16:O$69)+SUMIF(RODANTES!$B$16:$B$68,$A32,RODANTES!O$16:O$68)+SUMIF(RECARGAS!$B$16:$B$37,$A32,RECARGAS!Y$16:Y$37)+SUMIF(REVENDIDOS!$B$16:$B$25,$A32,REVENDIDOS!P$16:P$25)</f>
        <v>93.568214581092</v>
      </c>
      <c r="J32" s="13" t="n">
        <f aca="false">SUMIF(MANUALES!$B$16:$B$69,$A32,MANUALES!P$16:P$69)+SUMIF(RODANTES!$B$16:$B$68,$A32,RODANTES!P$16:P$68)+SUMIF(RECARGAS!$B$16:$B$37,$A32,RECARGAS!Z$16:Z$37)+SUMIF(REVENDIDOS!$B$16:$B$25,$A32,REVENDIDOS!Q$16:Q$25)</f>
        <v>120.938015422932</v>
      </c>
      <c r="K32" s="13" t="n">
        <f aca="false">SUMIF(MANUALES!$B$16:$B$69,$A32,MANUALES!Q$16:Q$69)+SUMIF(RODANTES!$B$16:$B$68,$A32,RODANTES!Q$16:Q$68)+SUMIF(RECARGAS!$B$16:$B$37,$A32,RECARGAS!AA$16:AA$37)+SUMIF(REVENDIDOS!$B$16:$B$25,$A32,REVENDIDOS!R$16:R$25)</f>
        <v>161.480894804024</v>
      </c>
      <c r="L32" s="13" t="n">
        <f aca="false">SUMIF(MANUALES!$B$16:$B$69,$A32,MANUALES!R$16:R$69)+SUMIF(RODANTES!$B$16:$B$68,$A32,RODANTES!R$16:R$68)+SUMIF(RECARGAS!$B$16:$B$37,$A32,RECARGAS!AB$16:AB$37)+SUMIF(REVENDIDOS!$B$16:$B$25,$A32,REVENDIDOS!S$16:S$25)</f>
        <v>250.639087146956</v>
      </c>
      <c r="M32" s="13" t="n">
        <f aca="false">SUMIF(MANUALES!$B$16:$B$69,$A32,MANUALES!S$16:S$69)+SUMIF(RODANTES!$B$16:$B$68,$A32,RODANTES!S$16:S$68)+SUMIF(RECARGAS!$B$16:$B$37,$A32,RECARGAS!AC$16:AC$37)+SUMIF(REVENDIDOS!$B$16:$B$25,$A32,REVENDIDOS!T$16:T$25)</f>
        <v>339.8146383673</v>
      </c>
      <c r="N32" s="13" t="n">
        <f aca="false">SUMIF(MANUALES!$B$16:$B$69,$A32,MANUALES!T$16:T$69)+SUMIF(RODANTES!$B$16:$B$68,$A32,RODANTES!T$16:T$68)+SUMIF(RECARGAS!$B$16:$B$37,$A32,RECARGAS!AD$16:AD$37)+SUMIF(REVENDIDOS!$B$16:$B$25,$A32,REVENDIDOS!U$16:U$25)</f>
        <v>437.017417688392</v>
      </c>
      <c r="O32" s="13" t="n">
        <f aca="false">SUMIF(MANUALES!$B$16:$B$69,$A32,MANUALES!U$16:U$69)+SUMIF(RODANTES!$B$16:$B$68,$A32,RODANTES!U$16:U$68)+SUMIF(RECARGAS!$B$16:$B$37,$A32,RECARGAS!AE$16:AE$37)+SUMIF(REVENDIDOS!$B$16:$B$25,$A32,REVENDIDOS!V$16:V$25)</f>
        <v>541.334896309484</v>
      </c>
      <c r="P32" s="13" t="n">
        <f aca="false">SUMIF(MANUALES!$B$16:$B$69,$A32,MANUALES!V$16:V$69)+SUMIF(RODANTES!$B$16:$B$68,$A32,RODANTES!V$16:V$68)+SUMIF(RECARGAS!$B$16:$B$37,$A32,RECARGAS!AF$16:AF$37)+SUMIF(REVENDIDOS!$B$16:$B$25,$A32,REVENDIDOS!W$16:W$25)</f>
        <v>630.609666950576</v>
      </c>
      <c r="Q32" s="13" t="n">
        <f aca="false">SUMIF(MANUALES!$B$16:$B$69,$A32,MANUALES!W$16:W$69)+SUMIF(RODANTES!$B$16:$B$68,$A32,RODANTES!W$16:W$68)+SUMIF(RECARGAS!$B$16:$B$37,$A32,RECARGAS!AG$16:AG$37)+SUMIF(REVENDIDOS!$B$16:$B$25,$A32,REVENDIDOS!X$16:X$25)</f>
        <v>725.491860969828</v>
      </c>
      <c r="R32" s="13" t="n">
        <f aca="false">SUMIF(MANUALES!$B$16:$B$69,$A32,MANUALES!X$16:X$69)+SUMIF(RODANTES!$B$16:$B$68,$A32,RODANTES!X$16:X$68)+SUMIF(RECARGAS!$B$16:$B$37,$A32,RECARGAS!AH$16:AH$37)+SUMIF(REVENDIDOS!$B$16:$B$25,$A32,REVENDIDOS!Y$16:Y$25)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SUMIF(MANUALES!$B$16:$B$69,$A33,MANUALES!W$16:W$69)</f>
        <v>6043.43512149988</v>
      </c>
      <c r="E33" s="13" t="n">
        <f aca="false">SUMIF(RODANTES!$B$16:$B$68,$A33,RODANTES!W$16:W$68)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SUMIF(MANUALES!$B$16:$B$69,$A33,MANUALES!N$16:N$69)+SUMIF(RODANTES!$B$16:$B$68,$A33,RODANTES!N$16:N$68)+SUMIF(RECARGAS!$B$16:$B$37,$A33,RECARGAS!X$16:X$37)+SUMIF(REVENDIDOS!$B$16:$B$25,$A33,REVENDIDOS!O$16:O$25)</f>
        <v>176.086340306679</v>
      </c>
      <c r="I33" s="13" t="n">
        <f aca="false">SUMIF(MANUALES!$B$16:$B$69,$A33,MANUALES!O$16:O$69)+SUMIF(RODANTES!$B$16:$B$68,$A33,RODANTES!O$16:O$68)+SUMIF(RECARGAS!$B$16:$B$37,$A33,RECARGAS!Y$16:Y$37)+SUMIF(REVENDIDOS!$B$16:$B$25,$A33,REVENDIDOS!P$16:P$25)</f>
        <v>321.342645968935</v>
      </c>
      <c r="J33" s="13" t="n">
        <f aca="false">SUMIF(MANUALES!$B$16:$B$69,$A33,MANUALES!P$16:P$69)+SUMIF(RODANTES!$B$16:$B$68,$A33,RODANTES!P$16:P$68)+SUMIF(RECARGAS!$B$16:$B$37,$A33,RECARGAS!Z$16:Z$37)+SUMIF(REVENDIDOS!$B$16:$B$25,$A33,REVENDIDOS!Q$16:Q$25)</f>
        <v>591.668655180166</v>
      </c>
      <c r="K33" s="13" t="n">
        <f aca="false">SUMIF(MANUALES!$B$16:$B$69,$A33,MANUALES!Q$16:Q$69)+SUMIF(RODANTES!$B$16:$B$68,$A33,RODANTES!Q$16:Q$68)+SUMIF(RECARGAS!$B$16:$B$37,$A33,RECARGAS!AA$16:AA$37)+SUMIF(REVENDIDOS!$B$16:$B$25,$A33,REVENDIDOS!R$16:R$25)</f>
        <v>1207.66294539486</v>
      </c>
      <c r="L33" s="13" t="n">
        <f aca="false">SUMIF(MANUALES!$B$16:$B$69,$A33,MANUALES!R$16:R$69)+SUMIF(RODANTES!$B$16:$B$68,$A33,RODANTES!R$16:R$68)+SUMIF(RECARGAS!$B$16:$B$37,$A33,RECARGAS!AB$16:AB$37)+SUMIF(REVENDIDOS!$B$16:$B$25,$A33,REVENDIDOS!S$16:S$25)</f>
        <v>1997.89357510651</v>
      </c>
      <c r="M33" s="13" t="n">
        <f aca="false">SUMIF(MANUALES!$B$16:$B$69,$A33,MANUALES!S$16:S$69)+SUMIF(RODANTES!$B$16:$B$68,$A33,RODANTES!S$16:S$68)+SUMIF(RECARGAS!$B$16:$B$37,$A33,RECARGAS!AC$16:AC$37)+SUMIF(REVENDIDOS!$B$16:$B$25,$A33,REVENDIDOS!T$16:T$25)</f>
        <v>2768.50834279874</v>
      </c>
      <c r="N33" s="13" t="n">
        <f aca="false">SUMIF(MANUALES!$B$16:$B$69,$A33,MANUALES!T$16:T$69)+SUMIF(RODANTES!$B$16:$B$68,$A33,RODANTES!T$16:T$68)+SUMIF(RECARGAS!$B$16:$B$37,$A33,RECARGAS!AD$16:AD$37)+SUMIF(REVENDIDOS!$B$16:$B$25,$A33,REVENDIDOS!U$16:U$25)</f>
        <v>3726.06522104204</v>
      </c>
      <c r="O33" s="13" t="n">
        <f aca="false">SUMIF(MANUALES!$B$16:$B$69,$A33,MANUALES!U$16:U$69)+SUMIF(RODANTES!$B$16:$B$68,$A33,RODANTES!U$16:U$68)+SUMIF(RECARGAS!$B$16:$B$37,$A33,RECARGAS!AE$16:AE$37)+SUMIF(REVENDIDOS!$B$16:$B$25,$A33,REVENDIDOS!V$16:V$25)</f>
        <v>4670.70591051968</v>
      </c>
      <c r="P33" s="13" t="n">
        <f aca="false">SUMIF(MANUALES!$B$16:$B$69,$A33,MANUALES!V$16:V$69)+SUMIF(RODANTES!$B$16:$B$68,$A33,RODANTES!V$16:V$68)+SUMIF(RECARGAS!$B$16:$B$37,$A33,RECARGAS!AF$16:AF$37)+SUMIF(REVENDIDOS!$B$16:$B$25,$A33,REVENDIDOS!W$16:W$25)</f>
        <v>5237.97768379034</v>
      </c>
      <c r="Q33" s="13" t="n">
        <f aca="false">SUMIF(MANUALES!$B$16:$B$69,$A33,MANUALES!W$16:W$69)+SUMIF(RODANTES!$B$16:$B$68,$A33,RODANTES!W$16:W$68)+SUMIF(RECARGAS!$B$16:$B$37,$A33,RECARGAS!AG$16:AG$37)+SUMIF(REVENDIDOS!$B$16:$B$25,$A33,REVENDIDOS!X$16:X$25)</f>
        <v>6043.43512149988</v>
      </c>
      <c r="R33" s="13" t="n">
        <f aca="false">SUMIF(MANUALES!$B$16:$B$69,$A33,MANUALES!X$16:X$69)+SUMIF(RODANTES!$B$16:$B$68,$A33,RODANTES!X$16:X$68)+SUMIF(RECARGAS!$B$16:$B$37,$A33,RECARGAS!AH$16:AH$37)+SUMIF(REVENDIDOS!$B$16:$B$25,$A33,REVENDIDOS!Y$16:Y$25)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387</v>
      </c>
      <c r="B34" s="3" t="s">
        <v>388</v>
      </c>
      <c r="C34" s="3" t="s">
        <v>192</v>
      </c>
      <c r="D34" s="13" t="n">
        <f aca="false">SUMIF(MANUALES!$B$16:$B$69,$A34,MANUALES!W$16:W$69)</f>
        <v>0</v>
      </c>
      <c r="E34" s="13" t="n">
        <f aca="false">SUMIF(RODANTES!$B$16:$B$68,$A34,RODANTES!W$16:W$68)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SUMIF(MANUALES!$B$16:$B$69,$A34,MANUALES!N$16:N$69)+SUMIF(RODANTES!$B$16:$B$68,$A34,RODANTES!N$16:N$68)+SUMIF(RECARGAS!$B$16:$B$37,$A34,RECARGAS!X$16:X$37)+SUMIF(REVENDIDOS!$B$16:$B$25,$A34,REVENDIDOS!O$16:O$25)</f>
        <v>70.1368064636938</v>
      </c>
      <c r="I34" s="13" t="n">
        <f aca="false">SUMIF(MANUALES!$B$16:$B$69,$A34,MANUALES!O$16:O$69)+SUMIF(RODANTES!$B$16:$B$68,$A34,RODANTES!O$16:O$68)+SUMIF(RECARGAS!$B$16:$B$37,$A34,RECARGAS!Y$16:Y$37)+SUMIF(REVENDIDOS!$B$16:$B$25,$A34,REVENDIDOS!P$16:P$25)</f>
        <v>120.041790076202</v>
      </c>
      <c r="J34" s="13" t="n">
        <f aca="false">SUMIF(MANUALES!$B$16:$B$69,$A34,MANUALES!P$16:P$69)+SUMIF(RODANTES!$B$16:$B$68,$A34,RODANTES!P$16:P$68)+SUMIF(RECARGAS!$B$16:$B$37,$A34,RECARGAS!Z$16:Z$37)+SUMIF(REVENDIDOS!$B$16:$B$25,$A34,REVENDIDOS!Q$16:Q$25)</f>
        <v>175.504977643568</v>
      </c>
      <c r="K34" s="13" t="n">
        <f aca="false">SUMIF(MANUALES!$B$16:$B$69,$A34,MANUALES!Q$16:Q$69)+SUMIF(RODANTES!$B$16:$B$68,$A34,RODANTES!Q$16:Q$68)+SUMIF(RECARGAS!$B$16:$B$37,$A34,RECARGAS!AA$16:AA$37)+SUMIF(REVENDIDOS!$B$16:$B$25,$A34,REVENDIDOS!R$16:R$25)</f>
        <v>278.809596946781</v>
      </c>
      <c r="L34" s="13" t="n">
        <f aca="false">SUMIF(MANUALES!$B$16:$B$69,$A34,MANUALES!R$16:R$69)+SUMIF(RODANTES!$B$16:$B$68,$A34,RODANTES!R$16:R$68)+SUMIF(RECARGAS!$B$16:$B$37,$A34,RECARGAS!AB$16:AB$37)+SUMIF(REVENDIDOS!$B$16:$B$25,$A34,REVENDIDOS!S$16:S$25)</f>
        <v>453.740750300024</v>
      </c>
      <c r="M34" s="13" t="n">
        <f aca="false">SUMIF(MANUALES!$B$16:$B$69,$A34,MANUALES!S$16:S$69)+SUMIF(RODANTES!$B$16:$B$68,$A34,RODANTES!S$16:S$68)+SUMIF(RECARGAS!$B$16:$B$37,$A34,RECARGAS!AC$16:AC$37)+SUMIF(REVENDIDOS!$B$16:$B$25,$A34,REVENDIDOS!T$16:T$25)</f>
        <v>628.327149770847</v>
      </c>
      <c r="N34" s="13" t="n">
        <f aca="false">SUMIF(MANUALES!$B$16:$B$69,$A34,MANUALES!T$16:T$69)+SUMIF(RODANTES!$B$16:$B$68,$A34,RODANTES!T$16:T$68)+SUMIF(RECARGAS!$B$16:$B$37,$A34,RECARGAS!AD$16:AD$37)+SUMIF(REVENDIDOS!$B$16:$B$25,$A34,REVENDIDOS!U$16:U$25)</f>
        <v>832.331139024825</v>
      </c>
      <c r="O34" s="13" t="n">
        <f aca="false">SUMIF(MANUALES!$B$16:$B$69,$A34,MANUALES!U$16:U$69)+SUMIF(RODANTES!$B$16:$B$68,$A34,RODANTES!U$16:U$68)+SUMIF(RECARGAS!$B$16:$B$37,$A34,RECARGAS!AE$16:AE$37)+SUMIF(REVENDIDOS!$B$16:$B$25,$A34,REVENDIDOS!V$16:V$25)</f>
        <v>1045.31034065937</v>
      </c>
      <c r="P34" s="13" t="n">
        <f aca="false">SUMIF(MANUALES!$B$16:$B$69,$A34,MANUALES!V$16:V$69)+SUMIF(RODANTES!$B$16:$B$68,$A34,RODANTES!V$16:V$68)+SUMIF(RECARGAS!$B$16:$B$37,$A34,RECARGAS!AF$16:AF$37)+SUMIF(REVENDIDOS!$B$16:$B$25,$A34,REVENDIDOS!W$16:W$25)</f>
        <v>1202.30892851674</v>
      </c>
      <c r="Q34" s="13" t="n">
        <f aca="false">SUMIF(MANUALES!$B$16:$B$69,$A34,MANUALES!W$16:W$69)+SUMIF(RODANTES!$B$16:$B$68,$A34,RODANTES!W$16:W$68)+SUMIF(RECARGAS!$B$16:$B$37,$A34,RECARGAS!AG$16:AG$37)+SUMIF(REVENDIDOS!$B$16:$B$25,$A34,REVENDIDOS!X$16:X$25)</f>
        <v>1388.19529361605</v>
      </c>
      <c r="R34" s="13" t="n">
        <f aca="false">SUMIF(MANUALES!$B$16:$B$69,$A34,MANUALES!X$16:X$69)+SUMIF(RODANTES!$B$16:$B$68,$A34,RODANTES!X$16:X$68)+SUMIF(RECARGAS!$B$16:$B$37,$A34,RECARGAS!AH$16:AH$37)+SUMIF(REVENDIDOS!$B$16:$B$25,$A34,REVENDIDOS!Y$16:Y$25)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SUMIF(MANUALES!$B$16:$B$69,$A35,MANUALES!W$16:W$69)</f>
        <v>7464.30012785666</v>
      </c>
      <c r="E35" s="13" t="n">
        <f aca="false">SUMIF(RODANTES!$B$16:$B$68,$A35,RODANTES!W$16:W$68)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SUMIF(MANUALES!$B$16:$B$69,$A35,MANUALES!N$16:N$69)+SUMIF(RODANTES!$B$16:$B$68,$A35,RODANTES!N$16:N$68)+SUMIF(RECARGAS!$B$16:$B$37,$A35,RECARGAS!X$16:X$37)+SUMIF(REVENDIDOS!$B$16:$B$25,$A35,REVENDIDOS!O$16:O$25)</f>
        <v>247.880294014578</v>
      </c>
      <c r="I35" s="13" t="n">
        <f aca="false">SUMIF(MANUALES!$B$16:$B$69,$A35,MANUALES!O$16:O$69)+SUMIF(RODANTES!$B$16:$B$68,$A35,RODANTES!O$16:O$68)+SUMIF(RECARGAS!$B$16:$B$37,$A35,RECARGAS!Y$16:Y$37)+SUMIF(REVENDIDOS!$B$16:$B$25,$A35,REVENDIDOS!P$16:P$25)</f>
        <v>448.946308564295</v>
      </c>
      <c r="J35" s="13" t="n">
        <f aca="false">SUMIF(MANUALES!$B$16:$B$69,$A35,MANUALES!P$16:P$69)+SUMIF(RODANTES!$B$16:$B$68,$A35,RODANTES!P$16:P$68)+SUMIF(RECARGAS!$B$16:$B$37,$A35,RECARGAS!Z$16:Z$37)+SUMIF(REVENDIDOS!$B$16:$B$25,$A35,REVENDIDOS!Q$16:Q$25)</f>
        <v>804.996326382215</v>
      </c>
      <c r="K35" s="13" t="n">
        <f aca="false">SUMIF(MANUALES!$B$16:$B$69,$A35,MANUALES!Q$16:Q$69)+SUMIF(RODANTES!$B$16:$B$68,$A35,RODANTES!Q$16:Q$68)+SUMIF(RECARGAS!$B$16:$B$37,$A35,RECARGAS!AA$16:AA$37)+SUMIF(REVENDIDOS!$B$16:$B$25,$A35,REVENDIDOS!R$16:R$25)</f>
        <v>1605.97348980119</v>
      </c>
      <c r="L35" s="13" t="n">
        <f aca="false">SUMIF(MANUALES!$B$16:$B$69,$A35,MANUALES!R$16:R$69)+SUMIF(RODANTES!$B$16:$B$68,$A35,RODANTES!R$16:R$68)+SUMIF(RECARGAS!$B$16:$B$37,$A35,RECARGAS!AB$16:AB$37)+SUMIF(REVENDIDOS!$B$16:$B$25,$A35,REVENDIDOS!S$16:S$25)</f>
        <v>2652.28522168121</v>
      </c>
      <c r="M35" s="13" t="n">
        <f aca="false">SUMIF(MANUALES!$B$16:$B$69,$A35,MANUALES!S$16:S$69)+SUMIF(RODANTES!$B$16:$B$68,$A35,RODANTES!S$16:S$68)+SUMIF(RECARGAS!$B$16:$B$37,$A35,RECARGAS!AC$16:AC$37)+SUMIF(REVENDIDOS!$B$16:$B$25,$A35,REVENDIDOS!T$16:T$25)</f>
        <v>3674.40536752073</v>
      </c>
      <c r="N35" s="13" t="n">
        <f aca="false">SUMIF(MANUALES!$B$16:$B$69,$A35,MANUALES!T$16:T$69)+SUMIF(RODANTES!$B$16:$B$68,$A35,RODANTES!T$16:T$68)+SUMIF(RECARGAS!$B$16:$B$37,$A35,RECARGAS!AD$16:AD$37)+SUMIF(REVENDIDOS!$B$16:$B$25,$A35,REVENDIDOS!U$16:U$25)</f>
        <v>4938.36505113982</v>
      </c>
      <c r="O35" s="13" t="n">
        <f aca="false">SUMIF(MANUALES!$B$16:$B$69,$A35,MANUALES!U$16:U$69)+SUMIF(RODANTES!$B$16:$B$68,$A35,RODANTES!U$16:U$68)+SUMIF(RECARGAS!$B$16:$B$37,$A35,RECARGAS!AE$16:AE$37)+SUMIF(REVENDIDOS!$B$16:$B$25,$A35,REVENDIDOS!V$16:V$25)</f>
        <v>6190.26057986239</v>
      </c>
      <c r="P35" s="13" t="n">
        <f aca="false">SUMIF(MANUALES!$B$16:$B$69,$A35,MANUALES!V$16:V$69)+SUMIF(RODANTES!$B$16:$B$68,$A35,RODANTES!V$16:V$68)+SUMIF(RECARGAS!$B$16:$B$37,$A35,RECARGAS!AF$16:AF$37)+SUMIF(REVENDIDOS!$B$16:$B$25,$A35,REVENDIDOS!W$16:W$25)</f>
        <v>6955.11753852467</v>
      </c>
      <c r="Q35" s="13" t="n">
        <f aca="false">SUMIF(MANUALES!$B$16:$B$69,$A35,MANUALES!W$16:W$69)+SUMIF(RODANTES!$B$16:$B$68,$A35,RODANTES!W$16:W$68)+SUMIF(RECARGAS!$B$16:$B$37,$A35,RECARGAS!AG$16:AG$37)+SUMIF(REVENDIDOS!$B$16:$B$25,$A35,REVENDIDOS!X$16:X$25)</f>
        <v>8024.76864225766</v>
      </c>
      <c r="R35" s="13" t="n">
        <f aca="false">SUMIF(MANUALES!$B$16:$B$69,$A35,MANUALES!X$16:X$69)+SUMIF(RODANTES!$B$16:$B$68,$A35,RODANTES!X$16:X$68)+SUMIF(RECARGAS!$B$16:$B$37,$A35,RECARGAS!AH$16:AH$37)+SUMIF(REVENDIDOS!$B$16:$B$25,$A35,REVENDIDOS!Y$16:Y$25)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391</v>
      </c>
      <c r="B36" s="3" t="s">
        <v>392</v>
      </c>
      <c r="C36" s="3" t="s">
        <v>214</v>
      </c>
      <c r="D36" s="13" t="n">
        <f aca="false">SUMIF(MANUALES!$B$16:$B$69,$A36,MANUALES!W$16:W$69)</f>
        <v>0</v>
      </c>
      <c r="E36" s="13" t="n">
        <f aca="false">SUMIF(RODANTES!$B$16:$B$68,$A36,RODANTES!W$16:W$68)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SUMIF(MANUALES!$B$16:$B$69,$A36,MANUALES!N$16:N$69)+SUMIF(RODANTES!$B$16:$B$68,$A36,RODANTES!N$16:N$68)+SUMIF(RECARGAS!$B$16:$B$37,$A36,RECARGAS!X$16:X$37)+SUMIF(REVENDIDOS!$B$16:$B$25,$A36,REVENDIDOS!O$16:O$25)</f>
        <v>2.0517410740776</v>
      </c>
      <c r="I36" s="13" t="n">
        <f aca="false">SUMIF(MANUALES!$B$16:$B$69,$A36,MANUALES!O$16:O$69)+SUMIF(RODANTES!$B$16:$B$68,$A36,RODANTES!O$16:O$68)+SUMIF(RECARGAS!$B$16:$B$37,$A36,RECARGAS!Y$16:Y$37)+SUMIF(REVENDIDOS!$B$16:$B$25,$A36,REVENDIDOS!P$16:P$25)</f>
        <v>3.51679411924398</v>
      </c>
      <c r="J36" s="13" t="n">
        <f aca="false">SUMIF(MANUALES!$B$16:$B$69,$A36,MANUALES!P$16:P$69)+SUMIF(RODANTES!$B$16:$B$68,$A36,RODANTES!P$16:P$68)+SUMIF(RECARGAS!$B$16:$B$37,$A36,RECARGAS!Z$16:Z$37)+SUMIF(REVENDIDOS!$B$16:$B$25,$A36,REVENDIDOS!Q$16:Q$25)</f>
        <v>4.53495973945176</v>
      </c>
      <c r="K36" s="13" t="n">
        <f aca="false">SUMIF(MANUALES!$B$16:$B$69,$A36,MANUALES!Q$16:Q$69)+SUMIF(RODANTES!$B$16:$B$68,$A36,RODANTES!Q$16:Q$68)+SUMIF(RECARGAS!$B$16:$B$37,$A36,RECARGAS!AA$16:AA$37)+SUMIF(REVENDIDOS!$B$16:$B$25,$A36,REVENDIDOS!R$16:R$25)</f>
        <v>6.05963451150652</v>
      </c>
      <c r="L36" s="13" t="n">
        <f aca="false">SUMIF(MANUALES!$B$16:$B$69,$A36,MANUALES!R$16:R$69)+SUMIF(RODANTES!$B$16:$B$68,$A36,RODANTES!R$16:R$68)+SUMIF(RECARGAS!$B$16:$B$37,$A36,RECARGAS!AB$16:AB$37)+SUMIF(REVENDIDOS!$B$16:$B$25,$A36,REVENDIDOS!S$16:S$25)</f>
        <v>9.38601538011946</v>
      </c>
      <c r="M36" s="13" t="n">
        <f aca="false">SUMIF(MANUALES!$B$16:$B$69,$A36,MANUALES!S$16:S$69)+SUMIF(RODANTES!$B$16:$B$68,$A36,RODANTES!S$16:S$68)+SUMIF(RECARGAS!$B$16:$B$37,$A36,RECARGAS!AC$16:AC$37)+SUMIF(REVENDIDOS!$B$16:$B$25,$A36,REVENDIDOS!T$16:T$25)</f>
        <v>12.7510350119768</v>
      </c>
      <c r="N36" s="13" t="n">
        <f aca="false">SUMIF(MANUALES!$B$16:$B$69,$A36,MANUALES!T$16:T$69)+SUMIF(RODANTES!$B$16:$B$68,$A36,RODANTES!T$16:T$68)+SUMIF(RECARGAS!$B$16:$B$37,$A36,RECARGAS!AD$16:AD$37)+SUMIF(REVENDIDOS!$B$16:$B$25,$A36,REVENDIDOS!U$16:U$25)</f>
        <v>16.3922541205703</v>
      </c>
      <c r="O36" s="13" t="n">
        <f aca="false">SUMIF(MANUALES!$B$16:$B$69,$A36,MANUALES!U$16:U$69)+SUMIF(RODANTES!$B$16:$B$68,$A36,RODANTES!U$16:U$68)+SUMIF(RECARGAS!$B$16:$B$37,$A36,RECARGAS!AE$16:AE$37)+SUMIF(REVENDIDOS!$B$16:$B$25,$A36,REVENDIDOS!V$16:V$25)</f>
        <v>20.2957418199419</v>
      </c>
      <c r="P36" s="13" t="n">
        <f aca="false">SUMIF(MANUALES!$B$16:$B$69,$A36,MANUALES!V$16:V$69)+SUMIF(RODANTES!$B$16:$B$68,$A36,RODANTES!V$16:V$68)+SUMIF(RECARGAS!$B$16:$B$37,$A36,RECARGAS!AF$16:AF$37)+SUMIF(REVENDIDOS!$B$16:$B$25,$A36,REVENDIDOS!W$16:W$25)</f>
        <v>23.6433298731746</v>
      </c>
      <c r="Q36" s="13" t="n">
        <f aca="false">SUMIF(MANUALES!$B$16:$B$69,$A36,MANUALES!W$16:W$69)+SUMIF(RODANTES!$B$16:$B$68,$A36,RODANTES!W$16:W$68)+SUMIF(RECARGAS!$B$16:$B$37,$A36,RECARGAS!AG$16:AG$37)+SUMIF(REVENDIDOS!$B$16:$B$25,$A36,REVENDIDOS!X$16:X$25)</f>
        <v>27.2141466975798</v>
      </c>
      <c r="R36" s="13" t="n">
        <f aca="false">SUMIF(MANUALES!$B$16:$B$69,$A36,MANUALES!X$16:X$69)+SUMIF(RODANTES!$B$16:$B$68,$A36,RODANTES!X$16:X$68)+SUMIF(RECARGAS!$B$16:$B$37,$A36,RECARGAS!AH$16:AH$37)+SUMIF(REVENDIDOS!$B$16:$B$25,$A36,REVENDIDOS!Y$16:Y$25)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394</v>
      </c>
      <c r="B37" s="3" t="s">
        <v>395</v>
      </c>
      <c r="C37" s="3" t="s">
        <v>214</v>
      </c>
      <c r="D37" s="13" t="n">
        <f aca="false">SUMIF(MANUALES!$B$16:$B$69,$A37,MANUALES!W$16:W$69)</f>
        <v>0</v>
      </c>
      <c r="E37" s="13" t="n">
        <f aca="false">SUMIF(RODANTES!$B$16:$B$68,$A37,RODANTES!W$16:W$68)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SUMIF(MANUALES!$B$16:$B$69,$A37,MANUALES!N$16:N$69)+SUMIF(RODANTES!$B$16:$B$68,$A37,RODANTES!N$16:N$68)+SUMIF(RECARGAS!$B$16:$B$37,$A37,RECARGAS!X$16:X$37)+SUMIF(REVENDIDOS!$B$16:$B$25,$A37,REVENDIDOS!O$16:O$25)</f>
        <v>5.82837516312651</v>
      </c>
      <c r="I37" s="13" t="n">
        <f aca="false">SUMIF(MANUALES!$B$16:$B$69,$A37,MANUALES!O$16:O$69)+SUMIF(RODANTES!$B$16:$B$68,$A37,RODANTES!O$16:O$68)+SUMIF(RECARGAS!$B$16:$B$37,$A37,RECARGAS!Y$16:Y$37)+SUMIF(REVENDIDOS!$B$16:$B$25,$A37,REVENDIDOS!P$16:P$25)</f>
        <v>9.95493291999608</v>
      </c>
      <c r="J37" s="13" t="n">
        <f aca="false">SUMIF(MANUALES!$B$16:$B$69,$A37,MANUALES!P$16:P$69)+SUMIF(RODANTES!$B$16:$B$68,$A37,RODANTES!P$16:P$68)+SUMIF(RECARGAS!$B$16:$B$37,$A37,RECARGAS!Z$16:Z$37)+SUMIF(REVENDIDOS!$B$16:$B$25,$A37,REVENDIDOS!Q$16:Q$25)</f>
        <v>13.8643044071729</v>
      </c>
      <c r="K37" s="13" t="n">
        <f aca="false">SUMIF(MANUALES!$B$16:$B$69,$A37,MANUALES!Q$16:Q$69)+SUMIF(RODANTES!$B$16:$B$68,$A37,RODANTES!Q$16:Q$68)+SUMIF(RECARGAS!$B$16:$B$37,$A37,RECARGAS!AA$16:AA$37)+SUMIF(REVENDIDOS!$B$16:$B$25,$A37,REVENDIDOS!R$16:R$25)</f>
        <v>20.6991800001869</v>
      </c>
      <c r="L37" s="13" t="n">
        <f aca="false">SUMIF(MANUALES!$B$16:$B$69,$A37,MANUALES!R$16:R$69)+SUMIF(RODANTES!$B$16:$B$68,$A37,RODANTES!R$16:R$68)+SUMIF(RECARGAS!$B$16:$B$37,$A37,RECARGAS!AB$16:AB$37)+SUMIF(REVENDIDOS!$B$16:$B$25,$A37,REVENDIDOS!S$16:S$25)</f>
        <v>33.1538190295451</v>
      </c>
      <c r="M37" s="13" t="n">
        <f aca="false">SUMIF(MANUALES!$B$16:$B$69,$A37,MANUALES!S$16:S$69)+SUMIF(RODANTES!$B$16:$B$68,$A37,RODANTES!S$16:S$68)+SUMIF(RECARGAS!$B$16:$B$37,$A37,RECARGAS!AC$16:AC$37)+SUMIF(REVENDIDOS!$B$16:$B$25,$A37,REVENDIDOS!T$16:T$25)</f>
        <v>45.5861154485307</v>
      </c>
      <c r="N37" s="13" t="n">
        <f aca="false">SUMIF(MANUALES!$B$16:$B$69,$A37,MANUALES!T$16:T$69)+SUMIF(RODANTES!$B$16:$B$68,$A37,RODANTES!T$16:T$68)+SUMIF(RECARGAS!$B$16:$B$37,$A37,RECARGAS!AD$16:AD$37)+SUMIF(REVENDIDOS!$B$16:$B$25,$A37,REVENDIDOS!U$16:U$25)</f>
        <v>59.792435558151</v>
      </c>
      <c r="O37" s="13" t="n">
        <f aca="false">SUMIF(MANUALES!$B$16:$B$69,$A37,MANUALES!U$16:U$69)+SUMIF(RODANTES!$B$16:$B$68,$A37,RODANTES!U$16:U$68)+SUMIF(RECARGAS!$B$16:$B$37,$A37,RECARGAS!AE$16:AE$37)+SUMIF(REVENDIDOS!$B$16:$B$25,$A37,REVENDIDOS!V$16:V$25)</f>
        <v>74.7471380801097</v>
      </c>
      <c r="P37" s="13" t="n">
        <f aca="false">SUMIF(MANUALES!$B$16:$B$69,$A37,MANUALES!V$16:V$69)+SUMIF(RODANTES!$B$16:$B$68,$A37,RODANTES!V$16:V$68)+SUMIF(RECARGAS!$B$16:$B$37,$A37,RECARGAS!AF$16:AF$37)+SUMIF(REVENDIDOS!$B$16:$B$25,$A37,REVENDIDOS!W$16:W$25)</f>
        <v>86.3322227177121</v>
      </c>
      <c r="Q37" s="13" t="n">
        <f aca="false">SUMIF(MANUALES!$B$16:$B$69,$A37,MANUALES!W$16:W$69)+SUMIF(RODANTES!$B$16:$B$68,$A37,RODANTES!W$16:W$68)+SUMIF(RECARGAS!$B$16:$B$37,$A37,RECARGAS!AG$16:AG$37)+SUMIF(REVENDIDOS!$B$16:$B$25,$A37,REVENDIDOS!X$16:X$25)</f>
        <v>99.5846800800629</v>
      </c>
      <c r="R37" s="13" t="n">
        <f aca="false">SUMIF(MANUALES!$B$16:$B$69,$A37,MANUALES!X$16:X$69)+SUMIF(RODANTES!$B$16:$B$68,$A37,RODANTES!X$16:X$68)+SUMIF(RECARGAS!$B$16:$B$37,$A37,RECARGAS!AH$16:AH$37)+SUMIF(REVENDIDOS!$B$16:$B$25,$A37,REVENDIDOS!Y$16:Y$25)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397</v>
      </c>
      <c r="B38" s="3" t="s">
        <v>398</v>
      </c>
      <c r="C38" s="3" t="s">
        <v>214</v>
      </c>
      <c r="D38" s="13" t="n">
        <f aca="false">SUMIF(MANUALES!$B$16:$B$69,$A38,MANUALES!W$16:W$69)</f>
        <v>0</v>
      </c>
      <c r="E38" s="13" t="n">
        <f aca="false">SUMIF(RODANTES!$B$16:$B$68,$A38,RODANTES!W$16:W$68)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SUMIF(MANUALES!$B$16:$B$69,$A38,MANUALES!N$16:N$69)+SUMIF(RODANTES!$B$16:$B$68,$A38,RODANTES!N$16:N$68)+SUMIF(RECARGAS!$B$16:$B$37,$A38,RECARGAS!X$16:X$37)+SUMIF(REVENDIDOS!$B$16:$B$25,$A38,REVENDIDOS!O$16:O$25)</f>
        <v>1.28611536794183</v>
      </c>
      <c r="I38" s="13" t="n">
        <f aca="false">SUMIF(MANUALES!$B$16:$B$69,$A38,MANUALES!O$16:O$69)+SUMIF(RODANTES!$B$16:$B$68,$A38,RODANTES!O$16:O$68)+SUMIF(RECARGAS!$B$16:$B$37,$A38,RECARGAS!Y$16:Y$37)+SUMIF(REVENDIDOS!$B$16:$B$25,$A38,REVENDIDOS!P$16:P$25)</f>
        <v>2.19566705339535</v>
      </c>
      <c r="J38" s="13" t="n">
        <f aca="false">SUMIF(MANUALES!$B$16:$B$69,$A38,MANUALES!P$16:P$69)+SUMIF(RODANTES!$B$16:$B$68,$A38,RODANTES!P$16:P$68)+SUMIF(RECARGAS!$B$16:$B$37,$A38,RECARGAS!Z$16:Z$37)+SUMIF(REVENDIDOS!$B$16:$B$25,$A38,REVENDIDOS!Q$16:Q$25)</f>
        <v>3.08816279017224</v>
      </c>
      <c r="K38" s="13" t="n">
        <f aca="false">SUMIF(MANUALES!$B$16:$B$69,$A38,MANUALES!Q$16:Q$69)+SUMIF(RODANTES!$B$16:$B$68,$A38,RODANTES!Q$16:Q$68)+SUMIF(RECARGAS!$B$16:$B$37,$A38,RECARGAS!AA$16:AA$37)+SUMIF(REVENDIDOS!$B$16:$B$25,$A38,REVENDIDOS!R$16:R$25)</f>
        <v>4.66982545742119</v>
      </c>
      <c r="L38" s="13" t="n">
        <f aca="false">SUMIF(MANUALES!$B$16:$B$69,$A38,MANUALES!R$16:R$69)+SUMIF(RODANTES!$B$16:$B$68,$A38,RODANTES!R$16:R$68)+SUMIF(RECARGAS!$B$16:$B$37,$A38,RECARGAS!AB$16:AB$37)+SUMIF(REVENDIDOS!$B$16:$B$25,$A38,REVENDIDOS!S$16:S$25)</f>
        <v>7.50628680904299</v>
      </c>
      <c r="M38" s="13" t="n">
        <f aca="false">SUMIF(MANUALES!$B$16:$B$69,$A38,MANUALES!S$16:S$69)+SUMIF(RODANTES!$B$16:$B$68,$A38,RODANTES!S$16:S$68)+SUMIF(RECARGAS!$B$16:$B$37,$A38,RECARGAS!AC$16:AC$37)+SUMIF(REVENDIDOS!$B$16:$B$25,$A38,REVENDIDOS!T$16:T$25)</f>
        <v>10.3339426111346</v>
      </c>
      <c r="N38" s="13" t="n">
        <f aca="false">SUMIF(MANUALES!$B$16:$B$69,$A38,MANUALES!T$16:T$69)+SUMIF(RODANTES!$B$16:$B$68,$A38,RODANTES!T$16:T$68)+SUMIF(RECARGAS!$B$16:$B$37,$A38,RECARGAS!AD$16:AD$37)+SUMIF(REVENDIDOS!$B$16:$B$25,$A38,REVENDIDOS!U$16:U$25)</f>
        <v>13.5820877128236</v>
      </c>
      <c r="O38" s="13" t="n">
        <f aca="false">SUMIF(MANUALES!$B$16:$B$69,$A38,MANUALES!U$16:U$69)+SUMIF(RODANTES!$B$16:$B$68,$A38,RODANTES!U$16:U$68)+SUMIF(RECARGAS!$B$16:$B$37,$A38,RECARGAS!AE$16:AE$37)+SUMIF(REVENDIDOS!$B$16:$B$25,$A38,REVENDIDOS!V$16:V$25)</f>
        <v>16.9954727016989</v>
      </c>
      <c r="P38" s="13" t="n">
        <f aca="false">SUMIF(MANUALES!$B$16:$B$69,$A38,MANUALES!V$16:V$69)+SUMIF(RODANTES!$B$16:$B$68,$A38,RODANTES!V$16:V$68)+SUMIF(RECARGAS!$B$16:$B$37,$A38,RECARGAS!AF$16:AF$37)+SUMIF(REVENDIDOS!$B$16:$B$25,$A38,REVENDIDOS!W$16:W$25)</f>
        <v>19.6127781899968</v>
      </c>
      <c r="Q38" s="13" t="n">
        <f aca="false">SUMIF(MANUALES!$B$16:$B$69,$A38,MANUALES!W$16:W$69)+SUMIF(RODANTES!$B$16:$B$68,$A38,RODANTES!W$16:W$68)+SUMIF(RECARGAS!$B$16:$B$37,$A38,RECARGAS!AG$16:AG$37)+SUMIF(REVENDIDOS!$B$16:$B$25,$A38,REVENDIDOS!X$16:X$25)</f>
        <v>22.6283244618841</v>
      </c>
      <c r="R38" s="13" t="n">
        <f aca="false">SUMIF(MANUALES!$B$16:$B$69,$A38,MANUALES!X$16:X$69)+SUMIF(RODANTES!$B$16:$B$68,$A38,RODANTES!X$16:X$68)+SUMIF(RECARGAS!$B$16:$B$37,$A38,RECARGAS!AH$16:AH$37)+SUMIF(REVENDIDOS!$B$16:$B$25,$A38,REVENDIDOS!Y$16:Y$25)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400</v>
      </c>
      <c r="B39" s="3" t="s">
        <v>401</v>
      </c>
      <c r="C39" s="3" t="s">
        <v>214</v>
      </c>
      <c r="D39" s="13" t="n">
        <f aca="false">SUMIF(MANUALES!$B$16:$B$69,$A39,MANUALES!W$16:W$69)</f>
        <v>0</v>
      </c>
      <c r="E39" s="13" t="n">
        <f aca="false">SUMIF(RODANTES!$B$16:$B$68,$A39,RODANTES!W$16:W$68)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SUMIF(MANUALES!$B$16:$B$69,$A39,MANUALES!N$16:N$69)+SUMIF(RODANTES!$B$16:$B$68,$A39,RODANTES!N$16:N$68)+SUMIF(RECARGAS!$B$16:$B$37,$A39,RECARGAS!X$16:X$37)+SUMIF(REVENDIDOS!$B$16:$B$25,$A39,REVENDIDOS!O$16:O$25)</f>
        <v>1.3678273827184</v>
      </c>
      <c r="I39" s="13" t="n">
        <f aca="false">SUMIF(MANUALES!$B$16:$B$69,$A39,MANUALES!O$16:O$69)+SUMIF(RODANTES!$B$16:$B$68,$A39,RODANTES!O$16:O$68)+SUMIF(RECARGAS!$B$16:$B$37,$A39,RECARGAS!Y$16:Y$37)+SUMIF(REVENDIDOS!$B$16:$B$25,$A39,REVENDIDOS!P$16:P$25)</f>
        <v>2.34452941282932</v>
      </c>
      <c r="J39" s="13" t="n">
        <f aca="false">SUMIF(MANUALES!$B$16:$B$69,$A39,MANUALES!P$16:P$69)+SUMIF(RODANTES!$B$16:$B$68,$A39,RODANTES!P$16:P$68)+SUMIF(RECARGAS!$B$16:$B$37,$A39,RECARGAS!Z$16:Z$37)+SUMIF(REVENDIDOS!$B$16:$B$25,$A39,REVENDIDOS!Q$16:Q$25)</f>
        <v>3.02330649296784</v>
      </c>
      <c r="K39" s="13" t="n">
        <f aca="false">SUMIF(MANUALES!$B$16:$B$69,$A39,MANUALES!Q$16:Q$69)+SUMIF(RODANTES!$B$16:$B$68,$A39,RODANTES!Q$16:Q$68)+SUMIF(RECARGAS!$B$16:$B$37,$A39,RECARGAS!AA$16:AA$37)+SUMIF(REVENDIDOS!$B$16:$B$25,$A39,REVENDIDOS!R$16:R$25)</f>
        <v>4.03975634100434</v>
      </c>
      <c r="L39" s="13" t="n">
        <f aca="false">SUMIF(MANUALES!$B$16:$B$69,$A39,MANUALES!R$16:R$69)+SUMIF(RODANTES!$B$16:$B$68,$A39,RODANTES!R$16:R$68)+SUMIF(RECARGAS!$B$16:$B$37,$A39,RECARGAS!AB$16:AB$37)+SUMIF(REVENDIDOS!$B$16:$B$25,$A39,REVENDIDOS!S$16:S$25)</f>
        <v>6.2573435867463</v>
      </c>
      <c r="M39" s="13" t="n">
        <f aca="false">SUMIF(MANUALES!$B$16:$B$69,$A39,MANUALES!S$16:S$69)+SUMIF(RODANTES!$B$16:$B$68,$A39,RODANTES!S$16:S$68)+SUMIF(RECARGAS!$B$16:$B$37,$A39,RECARGAS!AC$16:AC$37)+SUMIF(REVENDIDOS!$B$16:$B$25,$A39,REVENDIDOS!T$16:T$25)</f>
        <v>8.50069000798452</v>
      </c>
      <c r="N39" s="13" t="n">
        <f aca="false">SUMIF(MANUALES!$B$16:$B$69,$A39,MANUALES!T$16:T$69)+SUMIF(RODANTES!$B$16:$B$68,$A39,RODANTES!T$16:T$68)+SUMIF(RECARGAS!$B$16:$B$37,$A39,RECARGAS!AD$16:AD$37)+SUMIF(REVENDIDOS!$B$16:$B$25,$A39,REVENDIDOS!U$16:U$25)</f>
        <v>10.9281694137135</v>
      </c>
      <c r="O39" s="13" t="n">
        <f aca="false">SUMIF(MANUALES!$B$16:$B$69,$A39,MANUALES!U$16:U$69)+SUMIF(RODANTES!$B$16:$B$68,$A39,RODANTES!U$16:U$68)+SUMIF(RECARGAS!$B$16:$B$37,$A39,RECARGAS!AE$16:AE$37)+SUMIF(REVENDIDOS!$B$16:$B$25,$A39,REVENDIDOS!V$16:V$25)</f>
        <v>13.5304945466279</v>
      </c>
      <c r="P39" s="13" t="n">
        <f aca="false">SUMIF(MANUALES!$B$16:$B$69,$A39,MANUALES!V$16:V$69)+SUMIF(RODANTES!$B$16:$B$68,$A39,RODANTES!V$16:V$68)+SUMIF(RECARGAS!$B$16:$B$37,$A39,RECARGAS!AF$16:AF$37)+SUMIF(REVENDIDOS!$B$16:$B$25,$A39,REVENDIDOS!W$16:W$25)</f>
        <v>15.7622199154497</v>
      </c>
      <c r="Q39" s="13" t="n">
        <f aca="false">SUMIF(MANUALES!$B$16:$B$69,$A39,MANUALES!W$16:W$69)+SUMIF(RODANTES!$B$16:$B$68,$A39,RODANTES!W$16:W$68)+SUMIF(RECARGAS!$B$16:$B$37,$A39,RECARGAS!AG$16:AG$37)+SUMIF(REVENDIDOS!$B$16:$B$25,$A39,REVENDIDOS!X$16:X$25)</f>
        <v>18.1427644650532</v>
      </c>
      <c r="R39" s="13" t="n">
        <f aca="false">SUMIF(MANUALES!$B$16:$B$69,$A39,MANUALES!X$16:X$69)+SUMIF(RODANTES!$B$16:$B$68,$A39,RODANTES!X$16:X$68)+SUMIF(RECARGAS!$B$16:$B$37,$A39,RECARGAS!AH$16:AH$37)+SUMIF(REVENDIDOS!$B$16:$B$25,$A39,REVENDIDOS!Y$16:Y$25)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403</v>
      </c>
      <c r="B40" s="3" t="s">
        <v>404</v>
      </c>
      <c r="C40" s="3" t="s">
        <v>214</v>
      </c>
      <c r="D40" s="13" t="n">
        <f aca="false">SUMIF(MANUALES!$B$16:$B$69,$A40,MANUALES!W$16:W$69)</f>
        <v>0</v>
      </c>
      <c r="E40" s="13" t="n">
        <f aca="false">SUMIF(RODANTES!$B$16:$B$68,$A40,RODANTES!W$16:W$68)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SUMIF(MANUALES!$B$16:$B$69,$A40,MANUALES!N$16:N$69)+SUMIF(RODANTES!$B$16:$B$68,$A40,RODANTES!N$16:N$68)+SUMIF(RECARGAS!$B$16:$B$37,$A40,RECARGAS!X$16:X$37)+SUMIF(REVENDIDOS!$B$16:$B$25,$A40,REVENDIDOS!O$16:O$25)</f>
        <v>0.3419568456796</v>
      </c>
      <c r="I40" s="13" t="n">
        <f aca="false">SUMIF(MANUALES!$B$16:$B$69,$A40,MANUALES!O$16:O$69)+SUMIF(RODANTES!$B$16:$B$68,$A40,RODANTES!O$16:O$68)+SUMIF(RECARGAS!$B$16:$B$37,$A40,RECARGAS!Y$16:Y$37)+SUMIF(REVENDIDOS!$B$16:$B$25,$A40,REVENDIDOS!P$16:P$25)</f>
        <v>0.58613235320733</v>
      </c>
      <c r="J40" s="13" t="n">
        <f aca="false">SUMIF(MANUALES!$B$16:$B$69,$A40,MANUALES!P$16:P$69)+SUMIF(RODANTES!$B$16:$B$68,$A40,RODANTES!P$16:P$68)+SUMIF(RECARGAS!$B$16:$B$37,$A40,RECARGAS!Z$16:Z$37)+SUMIF(REVENDIDOS!$B$16:$B$25,$A40,REVENDIDOS!Q$16:Q$25)</f>
        <v>0.900326623241961</v>
      </c>
      <c r="K40" s="13" t="n">
        <f aca="false">SUMIF(MANUALES!$B$16:$B$69,$A40,MANUALES!Q$16:Q$69)+SUMIF(RODANTES!$B$16:$B$68,$A40,RODANTES!Q$16:Q$68)+SUMIF(RECARGAS!$B$16:$B$37,$A40,RECARGAS!AA$16:AA$37)+SUMIF(REVENDIDOS!$B$16:$B$25,$A40,REVENDIDOS!R$16:R$25)</f>
        <v>1.51343908525109</v>
      </c>
      <c r="L40" s="13" t="n">
        <f aca="false">SUMIF(MANUALES!$B$16:$B$69,$A40,MANUALES!R$16:R$69)+SUMIF(RODANTES!$B$16:$B$68,$A40,RODANTES!R$16:R$68)+SUMIF(RECARGAS!$B$16:$B$37,$A40,RECARGAS!AB$16:AB$37)+SUMIF(REVENDIDOS!$B$16:$B$25,$A40,REVENDIDOS!S$16:S$25)</f>
        <v>2.49683589668658</v>
      </c>
      <c r="M40" s="13" t="n">
        <f aca="false">SUMIF(MANUALES!$B$16:$B$69,$A40,MANUALES!S$16:S$69)+SUMIF(RODANTES!$B$16:$B$68,$A40,RODANTES!S$16:S$68)+SUMIF(RECARGAS!$B$16:$B$37,$A40,RECARGAS!AC$16:AC$37)+SUMIF(REVENDIDOS!$B$16:$B$25,$A40,REVENDIDOS!T$16:T$25)</f>
        <v>3.47717250199613</v>
      </c>
      <c r="N40" s="13" t="n">
        <f aca="false">SUMIF(MANUALES!$B$16:$B$69,$A40,MANUALES!T$16:T$69)+SUMIF(RODANTES!$B$16:$B$68,$A40,RODANTES!T$16:T$68)+SUMIF(RECARGAS!$B$16:$B$37,$A40,RECARGAS!AD$16:AD$37)+SUMIF(REVENDIDOS!$B$16:$B$25,$A40,REVENDIDOS!U$16:U$25)</f>
        <v>4.64304235342839</v>
      </c>
      <c r="O40" s="13" t="n">
        <f aca="false">SUMIF(MANUALES!$B$16:$B$69,$A40,MANUALES!U$16:U$69)+SUMIF(RODANTES!$B$16:$B$68,$A40,RODANTES!U$16:U$68)+SUMIF(RECARGAS!$B$16:$B$37,$A40,RECARGAS!AE$16:AE$37)+SUMIF(REVENDIDOS!$B$16:$B$25,$A40,REVENDIDOS!V$16:V$25)</f>
        <v>5.85262363665698</v>
      </c>
      <c r="P40" s="13" t="n">
        <f aca="false">SUMIF(MANUALES!$B$16:$B$69,$A40,MANUALES!V$16:V$69)+SUMIF(RODANTES!$B$16:$B$68,$A40,RODANTES!V$16:V$68)+SUMIF(RECARGAS!$B$16:$B$37,$A40,RECARGAS!AF$16:AF$37)+SUMIF(REVENDIDOS!$B$16:$B$25,$A40,REVENDIDOS!W$16:W$25)</f>
        <v>6.70955497886244</v>
      </c>
      <c r="Q40" s="13" t="n">
        <f aca="false">SUMIF(MANUALES!$B$16:$B$69,$A40,MANUALES!W$16:W$69)+SUMIF(RODANTES!$B$16:$B$68,$A40,RODANTES!W$16:W$68)+SUMIF(RECARGAS!$B$16:$B$37,$A40,RECARGAS!AG$16:AG$37)+SUMIF(REVENDIDOS!$B$16:$B$25,$A40,REVENDIDOS!X$16:X$25)</f>
        <v>7.7531911162633</v>
      </c>
      <c r="R40" s="13" t="n">
        <f aca="false">SUMIF(MANUALES!$B$16:$B$69,$A40,MANUALES!X$16:X$69)+SUMIF(RODANTES!$B$16:$B$68,$A40,RODANTES!X$16:X$68)+SUMIF(RECARGAS!$B$16:$B$37,$A40,RECARGAS!AH$16:AH$37)+SUMIF(REVENDIDOS!$B$16:$B$25,$A40,REVENDIDOS!Y$16:Y$25)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SUMIF(MANUALES!$B$16:$B$69,$A41,MANUALES!W$16:W$69)</f>
        <v>22872.9716186761</v>
      </c>
      <c r="E41" s="13" t="n">
        <f aca="false">SUMIF(RODANTES!$B$16:$B$68,$A41,RODANTES!W$16:W$68)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SUMIF(MANUALES!$B$16:$B$69,$A41,MANUALES!N$16:N$69)+SUMIF(RODANTES!$B$16:$B$68,$A41,RODANTES!N$16:N$68)+SUMIF(RECARGAS!$B$16:$B$37,$A41,RECARGAS!X$16:X$37)+SUMIF(REVENDIDOS!$B$16:$B$25,$A41,REVENDIDOS!O$16:O$25)</f>
        <v>583.526337875184</v>
      </c>
      <c r="I41" s="13" t="n">
        <f aca="false">SUMIF(MANUALES!$B$16:$B$69,$A41,MANUALES!O$16:O$69)+SUMIF(RODANTES!$B$16:$B$68,$A41,RODANTES!O$16:O$68)+SUMIF(RECARGAS!$B$16:$B$37,$A41,RECARGAS!Y$16:Y$37)+SUMIF(REVENDIDOS!$B$16:$B$25,$A41,REVENDIDOS!P$16:P$25)</f>
        <v>989.92651952478</v>
      </c>
      <c r="J41" s="13" t="n">
        <f aca="false">SUMIF(MANUALES!$B$16:$B$69,$A41,MANUALES!P$16:P$69)+SUMIF(RODANTES!$B$16:$B$68,$A41,RODANTES!P$16:P$68)+SUMIF(RECARGAS!$B$16:$B$37,$A41,RECARGAS!Z$16:Z$37)+SUMIF(REVENDIDOS!$B$16:$B$25,$A41,REVENDIDOS!Q$16:Q$25)</f>
        <v>1986.5173234906</v>
      </c>
      <c r="K41" s="13" t="n">
        <f aca="false">SUMIF(MANUALES!$B$16:$B$69,$A41,MANUALES!Q$16:Q$69)+SUMIF(RODANTES!$B$16:$B$68,$A41,RODANTES!Q$16:Q$68)+SUMIF(RECARGAS!$B$16:$B$37,$A41,RECARGAS!AA$16:AA$37)+SUMIF(REVENDIDOS!$B$16:$B$25,$A41,REVENDIDOS!R$16:R$25)</f>
        <v>4316.42820370176</v>
      </c>
      <c r="L41" s="13" t="n">
        <f aca="false">SUMIF(MANUALES!$B$16:$B$69,$A41,MANUALES!R$16:R$69)+SUMIF(RODANTES!$B$16:$B$68,$A41,RODANTES!R$16:R$68)+SUMIF(RECARGAS!$B$16:$B$37,$A41,RECARGAS!AB$16:AB$37)+SUMIF(REVENDIDOS!$B$16:$B$25,$A41,REVENDIDOS!S$16:S$25)</f>
        <v>7326.87652524486</v>
      </c>
      <c r="M41" s="13" t="n">
        <f aca="false">SUMIF(MANUALES!$B$16:$B$69,$A41,MANUALES!S$16:S$69)+SUMIF(RODANTES!$B$16:$B$68,$A41,RODANTES!S$16:S$68)+SUMIF(RECARGAS!$B$16:$B$37,$A41,RECARGAS!AC$16:AC$37)+SUMIF(REVENDIDOS!$B$16:$B$25,$A41,REVENDIDOS!T$16:T$25)</f>
        <v>10211.9680535973</v>
      </c>
      <c r="N41" s="13" t="n">
        <f aca="false">SUMIF(MANUALES!$B$16:$B$69,$A41,MANUALES!T$16:T$69)+SUMIF(RODANTES!$B$16:$B$68,$A41,RODANTES!T$16:T$68)+SUMIF(RECARGAS!$B$16:$B$37,$A41,RECARGAS!AD$16:AD$37)+SUMIF(REVENDIDOS!$B$16:$B$25,$A41,REVENDIDOS!U$16:U$25)</f>
        <v>13940.5844784535</v>
      </c>
      <c r="O41" s="13" t="n">
        <f aca="false">SUMIF(MANUALES!$B$16:$B$69,$A41,MANUALES!U$16:U$69)+SUMIF(RODANTES!$B$16:$B$68,$A41,RODANTES!U$16:U$68)+SUMIF(RECARGAS!$B$16:$B$37,$A41,RECARGAS!AE$16:AE$37)+SUMIF(REVENDIDOS!$B$16:$B$25,$A41,REVENDIDOS!V$16:V$25)</f>
        <v>17647.0672907261</v>
      </c>
      <c r="P41" s="13" t="n">
        <f aca="false">SUMIF(MANUALES!$B$16:$B$69,$A41,MANUALES!V$16:V$69)+SUMIF(RODANTES!$B$16:$B$68,$A41,RODANTES!V$16:V$68)+SUMIF(RECARGAS!$B$16:$B$37,$A41,RECARGAS!AF$16:AF$37)+SUMIF(REVENDIDOS!$B$16:$B$25,$A41,REVENDIDOS!W$16:W$25)</f>
        <v>19809.9933512876</v>
      </c>
      <c r="Q41" s="13" t="n">
        <f aca="false">SUMIF(MANUALES!$B$16:$B$69,$A41,MANUALES!W$16:W$69)+SUMIF(RODANTES!$B$16:$B$68,$A41,RODANTES!W$16:W$68)+SUMIF(RECARGAS!$B$16:$B$37,$A41,RECARGAS!AG$16:AG$37)+SUMIF(REVENDIDOS!$B$16:$B$25,$A41,REVENDIDOS!X$16:X$25)</f>
        <v>22872.9716186761</v>
      </c>
      <c r="R41" s="13" t="n">
        <f aca="false">SUMIF(MANUALES!$B$16:$B$69,$A41,MANUALES!X$16:X$69)+SUMIF(RODANTES!$B$16:$B$68,$A41,RODANTES!X$16:X$68)+SUMIF(RECARGAS!$B$16:$B$37,$A41,RECARGAS!AH$16:AH$37)+SUMIF(REVENDIDOS!$B$16:$B$25,$A41,REVENDIDOS!Y$16:Y$25)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SUMIF(MANUALES!$B$16:$B$69,$A42,MANUALES!W$16:W$69)</f>
        <v>3609.0147583921</v>
      </c>
      <c r="E42" s="13" t="n">
        <f aca="false">SUMIF(RODANTES!$B$16:$B$68,$A42,RODANTES!W$16:W$68)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SUMIF(MANUALES!$B$16:$B$69,$A42,MANUALES!N$16:N$69)+SUMIF(RODANTES!$B$16:$B$68,$A42,RODANTES!N$16:N$68)+SUMIF(RECARGAS!$B$16:$B$37,$A42,RECARGAS!X$16:X$37)+SUMIF(REVENDIDOS!$B$16:$B$25,$A42,REVENDIDOS!O$16:O$25)</f>
        <v>107.117197622362</v>
      </c>
      <c r="I42" s="13" t="n">
        <f aca="false">SUMIF(MANUALES!$B$16:$B$69,$A42,MANUALES!O$16:O$69)+SUMIF(RODANTES!$B$16:$B$68,$A42,RODANTES!O$16:O$68)+SUMIF(RECARGAS!$B$16:$B$37,$A42,RECARGAS!Y$16:Y$37)+SUMIF(REVENDIDOS!$B$16:$B$25,$A42,REVENDIDOS!P$16:P$25)</f>
        <v>196.51048213915</v>
      </c>
      <c r="J42" s="13" t="n">
        <f aca="false">SUMIF(MANUALES!$B$16:$B$69,$A42,MANUALES!P$16:P$69)+SUMIF(RODANTES!$B$16:$B$68,$A42,RODANTES!P$16:P$68)+SUMIF(RECARGAS!$B$16:$B$37,$A42,RECARGAS!Z$16:Z$37)+SUMIF(REVENDIDOS!$B$16:$B$25,$A42,REVENDIDOS!Q$16:Q$25)</f>
        <v>358.645003914689</v>
      </c>
      <c r="K42" s="13" t="n">
        <f aca="false">SUMIF(MANUALES!$B$16:$B$69,$A42,MANUALES!Q$16:Q$69)+SUMIF(RODANTES!$B$16:$B$68,$A42,RODANTES!Q$16:Q$68)+SUMIF(RECARGAS!$B$16:$B$37,$A42,RECARGAS!AA$16:AA$37)+SUMIF(REVENDIDOS!$B$16:$B$25,$A42,REVENDIDOS!R$16:R$25)</f>
        <v>726.585965948557</v>
      </c>
      <c r="L42" s="13" t="n">
        <f aca="false">SUMIF(MANUALES!$B$16:$B$69,$A42,MANUALES!R$16:R$69)+SUMIF(RODANTES!$B$16:$B$68,$A42,RODANTES!R$16:R$68)+SUMIF(RECARGAS!$B$16:$B$37,$A42,RECARGAS!AB$16:AB$37)+SUMIF(REVENDIDOS!$B$16:$B$25,$A42,REVENDIDOS!S$16:S$25)</f>
        <v>1198.69158455781</v>
      </c>
      <c r="M42" s="13" t="n">
        <f aca="false">SUMIF(MANUALES!$B$16:$B$69,$A42,MANUALES!S$16:S$69)+SUMIF(RODANTES!$B$16:$B$68,$A42,RODANTES!S$16:S$68)+SUMIF(RECARGAS!$B$16:$B$37,$A42,RECARGAS!AC$16:AC$37)+SUMIF(REVENDIDOS!$B$16:$B$25,$A42,REVENDIDOS!T$16:T$25)</f>
        <v>1659.89932912247</v>
      </c>
      <c r="N42" s="13" t="n">
        <f aca="false">SUMIF(MANUALES!$B$16:$B$69,$A42,MANUALES!T$16:T$69)+SUMIF(RODANTES!$B$16:$B$68,$A42,RODANTES!T$16:T$68)+SUMIF(RECARGAS!$B$16:$B$37,$A42,RECARGAS!AD$16:AD$37)+SUMIF(REVENDIDOS!$B$16:$B$25,$A42,REVENDIDOS!U$16:U$25)</f>
        <v>2230.30191190286</v>
      </c>
      <c r="O42" s="13" t="n">
        <f aca="false">SUMIF(MANUALES!$B$16:$B$69,$A42,MANUALES!U$16:U$69)+SUMIF(RODANTES!$B$16:$B$68,$A42,RODANTES!U$16:U$68)+SUMIF(RECARGAS!$B$16:$B$37,$A42,RECARGAS!AE$16:AE$37)+SUMIF(REVENDIDOS!$B$16:$B$25,$A42,REVENDIDOS!V$16:V$25)</f>
        <v>2791.97116975246</v>
      </c>
      <c r="P42" s="13" t="n">
        <f aca="false">SUMIF(MANUALES!$B$16:$B$69,$A42,MANUALES!V$16:V$69)+SUMIF(RODANTES!$B$16:$B$68,$A42,RODANTES!V$16:V$68)+SUMIF(RECARGAS!$B$16:$B$37,$A42,RECARGAS!AF$16:AF$37)+SUMIF(REVENDIDOS!$B$16:$B$25,$A42,REVENDIDOS!W$16:W$25)</f>
        <v>3129.39112513287</v>
      </c>
      <c r="Q42" s="13" t="n">
        <f aca="false">SUMIF(MANUALES!$B$16:$B$69,$A42,MANUALES!W$16:W$69)+SUMIF(RODANTES!$B$16:$B$68,$A42,RODANTES!W$16:W$68)+SUMIF(RECARGAS!$B$16:$B$37,$A42,RECARGAS!AG$16:AG$37)+SUMIF(REVENDIDOS!$B$16:$B$25,$A42,REVENDIDOS!X$16:X$25)</f>
        <v>3609.0147583921</v>
      </c>
      <c r="R42" s="13" t="n">
        <f aca="false">SUMIF(MANUALES!$B$16:$B$69,$A42,MANUALES!X$16:X$69)+SUMIF(RODANTES!$B$16:$B$68,$A42,RODANTES!X$16:X$68)+SUMIF(RECARGAS!$B$16:$B$37,$A42,RECARGAS!AH$16:AH$37)+SUMIF(REVENDIDOS!$B$16:$B$25,$A42,REVENDIDOS!Y$16:Y$25)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SUMIF(MANUALES!$B$16:$B$69,$A43,MANUALES!W$16:W$69)</f>
        <v>238323.030430856</v>
      </c>
      <c r="E43" s="13" t="n">
        <f aca="false">SUMIF(RODANTES!$B$16:$B$68,$A43,RODANTES!W$16:W$68)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SUMIF(MANUALES!$B$16:$B$69,$A43,MANUALES!N$16:N$69)+SUMIF(RODANTES!$B$16:$B$68,$A43,RODANTES!N$16:N$68)+SUMIF(RECARGAS!$B$16:$B$37,$A43,RECARGAS!X$16:X$37)+SUMIF(REVENDIDOS!$B$16:$B$25,$A43,REVENDIDOS!O$16:O$25)</f>
        <v>20935.1917416978</v>
      </c>
      <c r="I43" s="13" t="n">
        <f aca="false">SUMIF(MANUALES!$B$16:$B$69,$A43,MANUALES!O$16:O$69)+SUMIF(RODANTES!$B$16:$B$68,$A43,RODANTES!O$16:O$68)+SUMIF(RECARGAS!$B$16:$B$37,$A43,RECARGAS!Y$16:Y$37)+SUMIF(REVENDIDOS!$B$16:$B$25,$A43,REVENDIDOS!P$16:P$25)</f>
        <v>41589.9052800745</v>
      </c>
      <c r="J43" s="13" t="n">
        <f aca="false">SUMIF(MANUALES!$B$16:$B$69,$A43,MANUALES!P$16:P$69)+SUMIF(RODANTES!$B$16:$B$68,$A43,RODANTES!P$16:P$68)+SUMIF(RECARGAS!$B$16:$B$37,$A43,RECARGAS!Z$16:Z$37)+SUMIF(REVENDIDOS!$B$16:$B$25,$A43,REVENDIDOS!Q$16:Q$25)</f>
        <v>56676.7061807992</v>
      </c>
      <c r="K43" s="13" t="n">
        <f aca="false">SUMIF(MANUALES!$B$16:$B$69,$A43,MANUALES!Q$16:Q$69)+SUMIF(RODANTES!$B$16:$B$68,$A43,RODANTES!Q$16:Q$68)+SUMIF(RECARGAS!$B$16:$B$37,$A43,RECARGAS!AA$16:AA$37)+SUMIF(REVENDIDOS!$B$16:$B$25,$A43,REVENDIDOS!R$16:R$25)</f>
        <v>83671.3838098062</v>
      </c>
      <c r="L43" s="13" t="n">
        <f aca="false">SUMIF(MANUALES!$B$16:$B$69,$A43,MANUALES!R$16:R$69)+SUMIF(RODANTES!$B$16:$B$68,$A43,RODANTES!R$16:R$68)+SUMIF(RECARGAS!$B$16:$B$37,$A43,RECARGAS!AB$16:AB$37)+SUMIF(REVENDIDOS!$B$16:$B$25,$A43,REVENDIDOS!S$16:S$25)</f>
        <v>119854.788424096</v>
      </c>
      <c r="M43" s="13" t="n">
        <f aca="false">SUMIF(MANUALES!$B$16:$B$69,$A43,MANUALES!S$16:S$69)+SUMIF(RODANTES!$B$16:$B$68,$A43,RODANTES!S$16:S$68)+SUMIF(RECARGAS!$B$16:$B$37,$A43,RECARGAS!AC$16:AC$37)+SUMIF(REVENDIDOS!$B$16:$B$25,$A43,REVENDIDOS!T$16:T$25)</f>
        <v>156794.227168056</v>
      </c>
      <c r="N43" s="13" t="n">
        <f aca="false">SUMIF(MANUALES!$B$16:$B$69,$A43,MANUALES!T$16:T$69)+SUMIF(RODANTES!$B$16:$B$68,$A43,RODANTES!T$16:T$68)+SUMIF(RECARGAS!$B$16:$B$37,$A43,RECARGAS!AD$16:AD$37)+SUMIF(REVENDIDOS!$B$16:$B$25,$A43,REVENDIDOS!U$16:U$25)</f>
        <v>192778.379915357</v>
      </c>
      <c r="O43" s="13" t="n">
        <f aca="false">SUMIF(MANUALES!$B$16:$B$69,$A43,MANUALES!U$16:U$69)+SUMIF(RODANTES!$B$16:$B$68,$A43,RODANTES!U$16:U$68)+SUMIF(RECARGAS!$B$16:$B$37,$A43,RECARGAS!AE$16:AE$37)+SUMIF(REVENDIDOS!$B$16:$B$25,$A43,REVENDIDOS!V$16:V$25)</f>
        <v>224465.473375775</v>
      </c>
      <c r="P43" s="13" t="n">
        <f aca="false">SUMIF(MANUALES!$B$16:$B$69,$A43,MANUALES!V$16:V$69)+SUMIF(RODANTES!$B$16:$B$68,$A43,RODANTES!V$16:V$68)+SUMIF(RECARGAS!$B$16:$B$37,$A43,RECARGAS!AF$16:AF$37)+SUMIF(REVENDIDOS!$B$16:$B$25,$A43,REVENDIDOS!W$16:W$25)</f>
        <v>249353.857226629</v>
      </c>
      <c r="Q43" s="13" t="n">
        <f aca="false">SUMIF(MANUALES!$B$16:$B$69,$A43,MANUALES!W$16:W$69)+SUMIF(RODANTES!$B$16:$B$68,$A43,RODANTES!W$16:W$68)+SUMIF(RECARGAS!$B$16:$B$37,$A43,RECARGAS!AG$16:AG$37)+SUMIF(REVENDIDOS!$B$16:$B$25,$A43,REVENDIDOS!X$16:X$25)</f>
        <v>281029.602570039</v>
      </c>
      <c r="R43" s="13" t="n">
        <f aca="false">SUMIF(MANUALES!$B$16:$B$69,$A43,MANUALES!X$16:X$69)+SUMIF(RODANTES!$B$16:$B$68,$A43,RODANTES!X$16:X$68)+SUMIF(RECARGAS!$B$16:$B$37,$A43,RECARGAS!AH$16:AH$37)+SUMIF(REVENDIDOS!$B$16:$B$25,$A43,REVENDIDOS!Y$16:Y$25)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418</v>
      </c>
      <c r="B44" s="3" t="s">
        <v>419</v>
      </c>
      <c r="C44" s="3" t="s">
        <v>192</v>
      </c>
      <c r="D44" s="13" t="n">
        <f aca="false">SUMIF(MANUALES!$B$16:$B$69,$A44,MANUALES!W$16:W$69)</f>
        <v>0</v>
      </c>
      <c r="E44" s="13" t="n">
        <f aca="false">SUMIF(RODANTES!$B$16:$B$68,$A44,RODANTES!W$16:W$68)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SUMIF(MANUALES!$B$16:$B$69,$A44,MANUALES!N$16:N$69)+SUMIF(RODANTES!$B$16:$B$68,$A44,RODANTES!N$16:N$68)+SUMIF(RECARGAS!$B$16:$B$37,$A44,RECARGAS!X$16:X$37)+SUMIF(REVENDIDOS!$B$16:$B$25,$A44,REVENDIDOS!O$16:O$25)</f>
        <v>7126.53495607207</v>
      </c>
      <c r="I44" s="13" t="n">
        <f aca="false">SUMIF(MANUALES!$B$16:$B$69,$A44,MANUALES!O$16:O$69)+SUMIF(RODANTES!$B$16:$B$68,$A44,RODANTES!O$16:O$68)+SUMIF(RECARGAS!$B$16:$B$37,$A44,RECARGAS!Y$16:Y$37)+SUMIF(REVENDIDOS!$B$16:$B$25,$A44,REVENDIDOS!P$16:P$25)</f>
        <v>12748.2882957772</v>
      </c>
      <c r="J44" s="13" t="n">
        <f aca="false">SUMIF(MANUALES!$B$16:$B$69,$A44,MANUALES!P$16:P$69)+SUMIF(RODANTES!$B$16:$B$68,$A44,RODANTES!P$16:P$68)+SUMIF(RECARGAS!$B$16:$B$37,$A44,RECARGAS!Z$16:Z$37)+SUMIF(REVENDIDOS!$B$16:$B$25,$A44,REVENDIDOS!Q$16:Q$25)</f>
        <v>17224.4719025319</v>
      </c>
      <c r="K44" s="13" t="n">
        <f aca="false">SUMIF(MANUALES!$B$16:$B$69,$A44,MANUALES!Q$16:Q$69)+SUMIF(RODANTES!$B$16:$B$68,$A44,RODANTES!Q$16:Q$68)+SUMIF(RECARGAS!$B$16:$B$37,$A44,RECARGAS!AA$16:AA$37)+SUMIF(REVENDIDOS!$B$16:$B$25,$A44,REVENDIDOS!R$16:R$25)</f>
        <v>23888.0629728921</v>
      </c>
      <c r="L44" s="13" t="n">
        <f aca="false">SUMIF(MANUALES!$B$16:$B$69,$A44,MANUALES!R$16:R$69)+SUMIF(RODANTES!$B$16:$B$68,$A44,RODANTES!R$16:R$68)+SUMIF(RECARGAS!$B$16:$B$37,$A44,RECARGAS!AB$16:AB$37)+SUMIF(REVENDIDOS!$B$16:$B$25,$A44,REVENDIDOS!S$16:S$25)</f>
        <v>36633.4619874786</v>
      </c>
      <c r="M44" s="13" t="n">
        <f aca="false">SUMIF(MANUALES!$B$16:$B$69,$A44,MANUALES!S$16:S$69)+SUMIF(RODANTES!$B$16:$B$68,$A44,RODANTES!S$16:S$68)+SUMIF(RECARGAS!$B$16:$B$37,$A44,RECARGAS!AC$16:AC$37)+SUMIF(REVENDIDOS!$B$16:$B$25,$A44,REVENDIDOS!T$16:T$25)</f>
        <v>49593.921876397</v>
      </c>
      <c r="N44" s="13" t="n">
        <f aca="false">SUMIF(MANUALES!$B$16:$B$69,$A44,MANUALES!T$16:T$69)+SUMIF(RODANTES!$B$16:$B$68,$A44,RODANTES!T$16:T$68)+SUMIF(RECARGAS!$B$16:$B$37,$A44,RECARGAS!AD$16:AD$37)+SUMIF(REVENDIDOS!$B$16:$B$25,$A44,REVENDIDOS!U$16:U$25)</f>
        <v>63399.6456463476</v>
      </c>
      <c r="O44" s="13" t="n">
        <f aca="false">SUMIF(MANUALES!$B$16:$B$69,$A44,MANUALES!U$16:U$69)+SUMIF(RODANTES!$B$16:$B$68,$A44,RODANTES!U$16:U$68)+SUMIF(RECARGAS!$B$16:$B$37,$A44,RECARGAS!AE$16:AE$37)+SUMIF(REVENDIDOS!$B$16:$B$25,$A44,REVENDIDOS!V$16:V$25)</f>
        <v>77566.4446397109</v>
      </c>
      <c r="P44" s="13" t="n">
        <f aca="false">SUMIF(MANUALES!$B$16:$B$69,$A44,MANUALES!V$16:V$69)+SUMIF(RODANTES!$B$16:$B$68,$A44,RODANTES!V$16:V$68)+SUMIF(RECARGAS!$B$16:$B$37,$A44,RECARGAS!AF$16:AF$37)+SUMIF(REVENDIDOS!$B$16:$B$25,$A44,REVENDIDOS!W$16:W$25)</f>
        <v>89639.9117929209</v>
      </c>
      <c r="Q44" s="13" t="n">
        <f aca="false">SUMIF(MANUALES!$B$16:$B$69,$A44,MANUALES!W$16:W$69)+SUMIF(RODANTES!$B$16:$B$68,$A44,RODANTES!W$16:W$68)+SUMIF(RECARGAS!$B$16:$B$37,$A44,RECARGAS!AG$16:AG$37)+SUMIF(REVENDIDOS!$B$16:$B$25,$A44,REVENDIDOS!X$16:X$25)</f>
        <v>102455.198498763</v>
      </c>
      <c r="R44" s="13" t="n">
        <f aca="false">SUMIF(MANUALES!$B$16:$B$69,$A44,MANUALES!X$16:X$69)+SUMIF(RODANTES!$B$16:$B$68,$A44,RODANTES!X$16:X$68)+SUMIF(RECARGAS!$B$16:$B$37,$A44,RECARGAS!AH$16:AH$37)+SUMIF(REVENDIDOS!$B$16:$B$25,$A44,REVENDIDOS!Y$16:Y$25)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SUMIF(MANUALES!$B$16:$B$69,$A45,MANUALES!W$16:W$69)</f>
        <v>1313.39275671279</v>
      </c>
      <c r="E45" s="13" t="n">
        <f aca="false">SUMIF(RODANTES!$B$16:$B$68,$A45,RODANTES!W$16:W$68)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SUMIF(MANUALES!$B$16:$B$69,$A45,MANUALES!N$16:N$69)+SUMIF(RODANTES!$B$16:$B$68,$A45,RODANTES!N$16:N$68)+SUMIF(RECARGAS!$B$16:$B$37,$A45,RECARGAS!X$16:X$37)+SUMIF(REVENDIDOS!$B$16:$B$25,$A45,REVENDIDOS!O$16:O$25)</f>
        <v>184.818159469924</v>
      </c>
      <c r="I45" s="13" t="n">
        <f aca="false">SUMIF(MANUALES!$B$16:$B$69,$A45,MANUALES!O$16:O$69)+SUMIF(RODANTES!$B$16:$B$68,$A45,RODANTES!O$16:O$68)+SUMIF(RECARGAS!$B$16:$B$37,$A45,RECARGAS!Y$16:Y$37)+SUMIF(REVENDIDOS!$B$16:$B$25,$A45,REVENDIDOS!P$16:P$25)</f>
        <v>427.657331134955</v>
      </c>
      <c r="J45" s="13" t="n">
        <f aca="false">SUMIF(MANUALES!$B$16:$B$69,$A45,MANUALES!P$16:P$69)+SUMIF(RODANTES!$B$16:$B$68,$A45,RODANTES!P$16:P$68)+SUMIF(RECARGAS!$B$16:$B$37,$A45,RECARGAS!Z$16:Z$37)+SUMIF(REVENDIDOS!$B$16:$B$25,$A45,REVENDIDOS!Q$16:Q$25)</f>
        <v>681.74749509307</v>
      </c>
      <c r="K45" s="13" t="n">
        <f aca="false">SUMIF(MANUALES!$B$16:$B$69,$A45,MANUALES!Q$16:Q$69)+SUMIF(RODANTES!$B$16:$B$68,$A45,RODANTES!Q$16:Q$68)+SUMIF(RECARGAS!$B$16:$B$37,$A45,RECARGAS!AA$16:AA$37)+SUMIF(REVENDIDOS!$B$16:$B$25,$A45,REVENDIDOS!R$16:R$25)</f>
        <v>1099.91584299782</v>
      </c>
      <c r="L45" s="13" t="n">
        <f aca="false">SUMIF(MANUALES!$B$16:$B$69,$A45,MANUALES!R$16:R$69)+SUMIF(RODANTES!$B$16:$B$68,$A45,RODANTES!R$16:R$68)+SUMIF(RECARGAS!$B$16:$B$37,$A45,RECARGAS!AB$16:AB$37)+SUMIF(REVENDIDOS!$B$16:$B$25,$A45,REVENDIDOS!S$16:S$25)</f>
        <v>1599.04435887187</v>
      </c>
      <c r="M45" s="13" t="n">
        <f aca="false">SUMIF(MANUALES!$B$16:$B$69,$A45,MANUALES!S$16:S$69)+SUMIF(RODANTES!$B$16:$B$68,$A45,RODANTES!S$16:S$68)+SUMIF(RECARGAS!$B$16:$B$37,$A45,RECARGAS!AC$16:AC$37)+SUMIF(REVENDIDOS!$B$16:$B$25,$A45,REVENDIDOS!T$16:T$25)</f>
        <v>2124.61222906804</v>
      </c>
      <c r="N45" s="13" t="n">
        <f aca="false">SUMIF(MANUALES!$B$16:$B$69,$A45,MANUALES!T$16:T$69)+SUMIF(RODANTES!$B$16:$B$68,$A45,RODANTES!T$16:T$68)+SUMIF(RECARGAS!$B$16:$B$37,$A45,RECARGAS!AD$16:AD$37)+SUMIF(REVENDIDOS!$B$16:$B$25,$A45,REVENDIDOS!U$16:U$25)</f>
        <v>2628.67374810765</v>
      </c>
      <c r="O45" s="13" t="n">
        <f aca="false">SUMIF(MANUALES!$B$16:$B$69,$A45,MANUALES!U$16:U$69)+SUMIF(RODANTES!$B$16:$B$68,$A45,RODANTES!U$16:U$68)+SUMIF(RECARGAS!$B$16:$B$37,$A45,RECARGAS!AE$16:AE$37)+SUMIF(REVENDIDOS!$B$16:$B$25,$A45,REVENDIDOS!V$16:V$25)</f>
        <v>3031.5014433586</v>
      </c>
      <c r="P45" s="13" t="n">
        <f aca="false">SUMIF(MANUALES!$B$16:$B$69,$A45,MANUALES!V$16:V$69)+SUMIF(RODANTES!$B$16:$B$68,$A45,RODANTES!V$16:V$68)+SUMIF(RECARGAS!$B$16:$B$37,$A45,RECARGAS!AF$16:AF$37)+SUMIF(REVENDIDOS!$B$16:$B$25,$A45,REVENDIDOS!W$16:W$25)</f>
        <v>3347.15344011062</v>
      </c>
      <c r="Q45" s="13" t="n">
        <f aca="false">SUMIF(MANUALES!$B$16:$B$69,$A45,MANUALES!W$16:W$69)+SUMIF(RODANTES!$B$16:$B$68,$A45,RODANTES!W$16:W$68)+SUMIF(RECARGAS!$B$16:$B$37,$A45,RECARGAS!AG$16:AG$37)+SUMIF(REVENDIDOS!$B$16:$B$25,$A45,REVENDIDOS!X$16:X$25)</f>
        <v>3706.10551362893</v>
      </c>
      <c r="R45" s="13" t="n">
        <f aca="false">SUMIF(MANUALES!$B$16:$B$69,$A45,MANUALES!X$16:X$69)+SUMIF(RODANTES!$B$16:$B$68,$A45,RODANTES!X$16:X$68)+SUMIF(RECARGAS!$B$16:$B$37,$A45,RECARGAS!AH$16:AH$37)+SUMIF(REVENDIDOS!$B$16:$B$25,$A45,REVENDIDOS!Y$16:Y$25)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489</v>
      </c>
      <c r="B46" s="3" t="s">
        <v>490</v>
      </c>
      <c r="C46" s="3" t="s">
        <v>192</v>
      </c>
      <c r="D46" s="13" t="n">
        <f aca="false">SUMIF(MANUALES!$B$16:$B$69,$A46,MANUALES!W$16:W$69)</f>
        <v>0</v>
      </c>
      <c r="E46" s="13" t="n">
        <f aca="false">SUMIF(RODANTES!$B$16:$B$68,$A46,RODANTES!W$16:W$68)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SUMIF(MANUALES!$B$16:$B$69,$A46,MANUALES!N$16:N$69)+SUMIF(RODANTES!$B$16:$B$68,$A46,RODANTES!N$16:N$68)+SUMIF(RECARGAS!$B$16:$B$37,$A46,RECARGAS!X$16:X$37)+SUMIF(REVENDIDOS!$B$16:$B$25,$A46,REVENDIDOS!O$16:O$25)</f>
        <v>11.6011634566694</v>
      </c>
      <c r="I46" s="13" t="n">
        <f aca="false">SUMIF(MANUALES!$B$16:$B$69,$A46,MANUALES!O$16:O$69)+SUMIF(RODANTES!$B$16:$B$68,$A46,RODANTES!O$16:O$68)+SUMIF(RECARGAS!$B$16:$B$37,$A46,RECARGAS!Y$16:Y$37)+SUMIF(REVENDIDOS!$B$16:$B$25,$A46,REVENDIDOS!P$16:P$25)</f>
        <v>71.2491602092144</v>
      </c>
      <c r="J46" s="13" t="n">
        <f aca="false">SUMIF(MANUALES!$B$16:$B$69,$A46,MANUALES!P$16:P$69)+SUMIF(RODANTES!$B$16:$B$68,$A46,RODANTES!P$16:P$68)+SUMIF(RECARGAS!$B$16:$B$37,$A46,RECARGAS!Z$16:Z$37)+SUMIF(REVENDIDOS!$B$16:$B$25,$A46,REVENDIDOS!Q$16:Q$25)</f>
        <v>133.225490600138</v>
      </c>
      <c r="K46" s="13" t="n">
        <f aca="false">SUMIF(MANUALES!$B$16:$B$69,$A46,MANUALES!Q$16:Q$69)+SUMIF(RODANTES!$B$16:$B$68,$A46,RODANTES!Q$16:Q$68)+SUMIF(RECARGAS!$B$16:$B$37,$A46,RECARGAS!AA$16:AA$37)+SUMIF(REVENDIDOS!$B$16:$B$25,$A46,REVENDIDOS!R$16:R$25)</f>
        <v>239.362844978255</v>
      </c>
      <c r="L46" s="13" t="n">
        <f aca="false">SUMIF(MANUALES!$B$16:$B$69,$A46,MANUALES!R$16:R$69)+SUMIF(RODANTES!$B$16:$B$68,$A46,RODANTES!R$16:R$68)+SUMIF(RECARGAS!$B$16:$B$37,$A46,RECARGAS!AB$16:AB$37)+SUMIF(REVENDIDOS!$B$16:$B$25,$A46,REVENDIDOS!S$16:S$25)</f>
        <v>330.206254453821</v>
      </c>
      <c r="M46" s="13" t="n">
        <f aca="false">SUMIF(MANUALES!$B$16:$B$69,$A46,MANUALES!S$16:S$69)+SUMIF(RODANTES!$B$16:$B$68,$A46,RODANTES!S$16:S$68)+SUMIF(RECARGAS!$B$16:$B$37,$A46,RECARGAS!AC$16:AC$37)+SUMIF(REVENDIDOS!$B$16:$B$25,$A46,REVENDIDOS!T$16:T$25)</f>
        <v>438.508714083932</v>
      </c>
      <c r="N46" s="13" t="n">
        <f aca="false">SUMIF(MANUALES!$B$16:$B$69,$A46,MANUALES!T$16:T$69)+SUMIF(RODANTES!$B$16:$B$68,$A46,RODANTES!T$16:T$68)+SUMIF(RECARGAS!$B$16:$B$37,$A46,RECARGAS!AD$16:AD$37)+SUMIF(REVENDIDOS!$B$16:$B$25,$A46,REVENDIDOS!U$16:U$25)</f>
        <v>552.592349225674</v>
      </c>
      <c r="O46" s="13" t="n">
        <f aca="false">SUMIF(MANUALES!$B$16:$B$69,$A46,MANUALES!U$16:U$69)+SUMIF(RODANTES!$B$16:$B$68,$A46,RODANTES!U$16:U$68)+SUMIF(RECARGAS!$B$16:$B$37,$A46,RECARGAS!AE$16:AE$37)+SUMIF(REVENDIDOS!$B$16:$B$25,$A46,REVENDIDOS!V$16:V$25)</f>
        <v>612.713416102567</v>
      </c>
      <c r="P46" s="13" t="n">
        <f aca="false">SUMIF(MANUALES!$B$16:$B$69,$A46,MANUALES!V$16:V$69)+SUMIF(RODANTES!$B$16:$B$68,$A46,RODANTES!V$16:V$68)+SUMIF(RECARGAS!$B$16:$B$37,$A46,RECARGAS!AF$16:AF$37)+SUMIF(REVENDIDOS!$B$16:$B$25,$A46,REVENDIDOS!W$16:W$25)</f>
        <v>668.103926966961</v>
      </c>
      <c r="Q46" s="13" t="n">
        <f aca="false">SUMIF(MANUALES!$B$16:$B$69,$A46,MANUALES!W$16:W$69)+SUMIF(RODANTES!$B$16:$B$68,$A46,RODANTES!W$16:W$68)+SUMIF(RECARGAS!$B$16:$B$37,$A46,RECARGAS!AG$16:AG$37)+SUMIF(REVENDIDOS!$B$16:$B$25,$A46,REVENDIDOS!X$16:X$25)</f>
        <v>725.457135307448</v>
      </c>
      <c r="R46" s="13" t="n">
        <f aca="false">SUMIF(MANUALES!$B$16:$B$69,$A46,MANUALES!X$16:X$69)+SUMIF(RODANTES!$B$16:$B$68,$A46,RODANTES!X$16:X$68)+SUMIF(RECARGAS!$B$16:$B$37,$A46,RECARGAS!AH$16:AH$37)+SUMIF(REVENDIDOS!$B$16:$B$25,$A46,REVENDIDOS!Y$16:Y$25)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492</v>
      </c>
      <c r="B47" s="3" t="s">
        <v>493</v>
      </c>
      <c r="C47" s="3" t="s">
        <v>192</v>
      </c>
      <c r="D47" s="13" t="n">
        <f aca="false">SUMIF(MANUALES!$B$16:$B$69,$A47,MANUALES!W$16:W$69)</f>
        <v>0</v>
      </c>
      <c r="E47" s="13" t="n">
        <f aca="false">SUMIF(RODANTES!$B$16:$B$68,$A47,RODANTES!W$16:W$68)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SUMIF(MANUALES!$B$16:$B$69,$A47,MANUALES!N$16:N$69)+SUMIF(RODANTES!$B$16:$B$68,$A47,RODANTES!N$16:N$68)+SUMIF(RECARGAS!$B$16:$B$37,$A47,RECARGAS!X$16:X$37)+SUMIF(REVENDIDOS!$B$16:$B$25,$A47,REVENDIDOS!O$16:O$25)</f>
        <v>20.6117758501991</v>
      </c>
      <c r="I47" s="13" t="n">
        <f aca="false">SUMIF(MANUALES!$B$16:$B$69,$A47,MANUALES!O$16:O$69)+SUMIF(RODANTES!$B$16:$B$68,$A47,RODANTES!O$16:O$68)+SUMIF(RECARGAS!$B$16:$B$37,$A47,RECARGAS!Y$16:Y$37)+SUMIF(REVENDIDOS!$B$16:$B$25,$A47,REVENDIDOS!P$16:P$25)</f>
        <v>126.588313769769</v>
      </c>
      <c r="J47" s="13" t="n">
        <f aca="false">SUMIF(MANUALES!$B$16:$B$69,$A47,MANUALES!P$16:P$69)+SUMIF(RODANTES!$B$16:$B$68,$A47,RODANTES!P$16:P$68)+SUMIF(RECARGAS!$B$16:$B$37,$A47,RECARGAS!Z$16:Z$37)+SUMIF(REVENDIDOS!$B$16:$B$25,$A47,REVENDIDOS!Q$16:Q$25)</f>
        <v>236.701599804129</v>
      </c>
      <c r="K47" s="13" t="n">
        <f aca="false">SUMIF(MANUALES!$B$16:$B$69,$A47,MANUALES!Q$16:Q$69)+SUMIF(RODANTES!$B$16:$B$68,$A47,RODANTES!Q$16:Q$68)+SUMIF(RECARGAS!$B$16:$B$37,$A47,RECARGAS!AA$16:AA$37)+SUMIF(REVENDIDOS!$B$16:$B$25,$A47,REVENDIDOS!R$16:R$25)</f>
        <v>395.722004830904</v>
      </c>
      <c r="L47" s="13" t="n">
        <f aca="false">SUMIF(MANUALES!$B$16:$B$69,$A47,MANUALES!R$16:R$69)+SUMIF(RODANTES!$B$16:$B$68,$A47,RODANTES!R$16:R$68)+SUMIF(RECARGAS!$B$16:$B$37,$A47,RECARGAS!AB$16:AB$37)+SUMIF(REVENDIDOS!$B$16:$B$25,$A47,REVENDIDOS!S$16:S$25)</f>
        <v>548.310350870864</v>
      </c>
      <c r="M47" s="13" t="n">
        <f aca="false">SUMIF(MANUALES!$B$16:$B$69,$A47,MANUALES!S$16:S$69)+SUMIF(RODANTES!$B$16:$B$68,$A47,RODANTES!S$16:S$68)+SUMIF(RECARGAS!$B$16:$B$37,$A47,RECARGAS!AC$16:AC$37)+SUMIF(REVENDIDOS!$B$16:$B$25,$A47,REVENDIDOS!T$16:T$25)</f>
        <v>681.392195009438</v>
      </c>
      <c r="N47" s="13" t="n">
        <f aca="false">SUMIF(MANUALES!$B$16:$B$69,$A47,MANUALES!T$16:T$69)+SUMIF(RODANTES!$B$16:$B$68,$A47,RODANTES!T$16:T$68)+SUMIF(RECARGAS!$B$16:$B$37,$A47,RECARGAS!AD$16:AD$37)+SUMIF(REVENDIDOS!$B$16:$B$25,$A47,REVENDIDOS!U$16:U$25)</f>
        <v>875.337997194073</v>
      </c>
      <c r="O47" s="13" t="n">
        <f aca="false">SUMIF(MANUALES!$B$16:$B$69,$A47,MANUALES!U$16:U$69)+SUMIF(RODANTES!$B$16:$B$68,$A47,RODANTES!U$16:U$68)+SUMIF(RECARGAS!$B$16:$B$37,$A47,RECARGAS!AE$16:AE$37)+SUMIF(REVENDIDOS!$B$16:$B$25,$A47,REVENDIDOS!V$16:V$25)</f>
        <v>976.692068979476</v>
      </c>
      <c r="P47" s="13" t="n">
        <f aca="false">SUMIF(MANUALES!$B$16:$B$69,$A47,MANUALES!V$16:V$69)+SUMIF(RODANTES!$B$16:$B$68,$A47,RODANTES!V$16:V$68)+SUMIF(RECARGAS!$B$16:$B$37,$A47,RECARGAS!AF$16:AF$37)+SUMIF(REVENDIDOS!$B$16:$B$25,$A47,REVENDIDOS!W$16:W$25)</f>
        <v>1070.89284018933</v>
      </c>
      <c r="Q47" s="13" t="n">
        <f aca="false">SUMIF(MANUALES!$B$16:$B$69,$A47,MANUALES!W$16:W$69)+SUMIF(RODANTES!$B$16:$B$68,$A47,RODANTES!W$16:W$68)+SUMIF(RECARGAS!$B$16:$B$37,$A47,RECARGAS!AG$16:AG$37)+SUMIF(REVENDIDOS!$B$16:$B$25,$A47,REVENDIDOS!X$16:X$25)</f>
        <v>1163.06980253485</v>
      </c>
      <c r="R47" s="13" t="n">
        <f aca="false">SUMIF(MANUALES!$B$16:$B$69,$A47,MANUALES!X$16:X$69)+SUMIF(RODANTES!$B$16:$B$68,$A47,RODANTES!X$16:X$68)+SUMIF(RECARGAS!$B$16:$B$37,$A47,RECARGAS!AH$16:AH$37)+SUMIF(REVENDIDOS!$B$16:$B$25,$A47,REVENDIDOS!Y$16:Y$25)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495</v>
      </c>
      <c r="B48" s="3" t="s">
        <v>496</v>
      </c>
      <c r="C48" s="3" t="s">
        <v>192</v>
      </c>
      <c r="D48" s="13" t="n">
        <f aca="false">SUMIF(MANUALES!$B$16:$B$69,$A48,MANUALES!W$16:W$69)</f>
        <v>0</v>
      </c>
      <c r="E48" s="13" t="n">
        <f aca="false">SUMIF(RODANTES!$B$16:$B$68,$A48,RODANTES!W$16:W$68)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SUMIF(MANUALES!$B$16:$B$69,$A48,MANUALES!N$16:N$69)+SUMIF(RODANTES!$B$16:$B$68,$A48,RODANTES!N$16:N$68)+SUMIF(RECARGAS!$B$16:$B$37,$A48,RECARGAS!X$16:X$37)+SUMIF(REVENDIDOS!$B$16:$B$25,$A48,REVENDIDOS!O$16:O$25)</f>
        <v>44.9547706745188</v>
      </c>
      <c r="I48" s="13" t="n">
        <f aca="false">SUMIF(MANUALES!$B$16:$B$69,$A48,MANUALES!O$16:O$69)+SUMIF(RODANTES!$B$16:$B$68,$A48,RODANTES!O$16:O$68)+SUMIF(RECARGAS!$B$16:$B$37,$A48,RECARGAS!Y$16:Y$37)+SUMIF(REVENDIDOS!$B$16:$B$25,$A48,REVENDIDOS!P$16:P$25)</f>
        <v>194.040414465211</v>
      </c>
      <c r="J48" s="13" t="n">
        <f aca="false">SUMIF(MANUALES!$B$16:$B$69,$A48,MANUALES!P$16:P$69)+SUMIF(RODANTES!$B$16:$B$68,$A48,RODANTES!P$16:P$68)+SUMIF(RECARGAS!$B$16:$B$37,$A48,RECARGAS!Z$16:Z$37)+SUMIF(REVENDIDOS!$B$16:$B$25,$A48,REVENDIDOS!Q$16:Q$25)</f>
        <v>433.939525679275</v>
      </c>
      <c r="K48" s="13" t="n">
        <f aca="false">SUMIF(MANUALES!$B$16:$B$69,$A48,MANUALES!Q$16:Q$69)+SUMIF(RODANTES!$B$16:$B$68,$A48,RODANTES!Q$16:Q$68)+SUMIF(RECARGAS!$B$16:$B$37,$A48,RECARGAS!AA$16:AA$37)+SUMIF(REVENDIDOS!$B$16:$B$25,$A48,REVENDIDOS!R$16:R$25)</f>
        <v>804.908143109446</v>
      </c>
      <c r="L48" s="13" t="n">
        <f aca="false">SUMIF(MANUALES!$B$16:$B$69,$A48,MANUALES!R$16:R$69)+SUMIF(RODANTES!$B$16:$B$68,$A48,RODANTES!R$16:R$68)+SUMIF(RECARGAS!$B$16:$B$37,$A48,RECARGAS!AB$16:AB$37)+SUMIF(REVENDIDOS!$B$16:$B$25,$A48,REVENDIDOS!S$16:S$25)</f>
        <v>1161.11968855987</v>
      </c>
      <c r="M48" s="13" t="n">
        <f aca="false">SUMIF(MANUALES!$B$16:$B$69,$A48,MANUALES!S$16:S$69)+SUMIF(RODANTES!$B$16:$B$68,$A48,RODANTES!S$16:S$68)+SUMIF(RECARGAS!$B$16:$B$37,$A48,RECARGAS!AC$16:AC$37)+SUMIF(REVENDIDOS!$B$16:$B$25,$A48,REVENDIDOS!T$16:T$25)</f>
        <v>1545.04118817947</v>
      </c>
      <c r="N48" s="13" t="n">
        <f aca="false">SUMIF(MANUALES!$B$16:$B$69,$A48,MANUALES!T$16:T$69)+SUMIF(RODANTES!$B$16:$B$68,$A48,RODANTES!T$16:T$68)+SUMIF(RECARGAS!$B$16:$B$37,$A48,RECARGAS!AD$16:AD$37)+SUMIF(REVENDIDOS!$B$16:$B$25,$A48,REVENDIDOS!U$16:U$25)</f>
        <v>1900.47021417553</v>
      </c>
      <c r="O48" s="13" t="n">
        <f aca="false">SUMIF(MANUALES!$B$16:$B$69,$A48,MANUALES!U$16:U$69)+SUMIF(RODANTES!$B$16:$B$68,$A48,RODANTES!U$16:U$68)+SUMIF(RECARGAS!$B$16:$B$37,$A48,RECARGAS!AE$16:AE$37)+SUMIF(REVENDIDOS!$B$16:$B$25,$A48,REVENDIDOS!V$16:V$25)</f>
        <v>2120.74728692824</v>
      </c>
      <c r="P48" s="13" t="n">
        <f aca="false">SUMIF(MANUALES!$B$16:$B$69,$A48,MANUALES!V$16:V$69)+SUMIF(RODANTES!$B$16:$B$68,$A48,RODANTES!V$16:V$68)+SUMIF(RECARGAS!$B$16:$B$37,$A48,RECARGAS!AF$16:AF$37)+SUMIF(REVENDIDOS!$B$16:$B$25,$A48,REVENDIDOS!W$16:W$25)</f>
        <v>2296.02198947077</v>
      </c>
      <c r="Q48" s="13" t="n">
        <f aca="false">SUMIF(MANUALES!$B$16:$B$69,$A48,MANUALES!W$16:W$69)+SUMIF(RODANTES!$B$16:$B$68,$A48,RODANTES!W$16:W$68)+SUMIF(RECARGAS!$B$16:$B$37,$A48,RECARGAS!AG$16:AG$37)+SUMIF(REVENDIDOS!$B$16:$B$25,$A48,REVENDIDOS!X$16:X$25)</f>
        <v>2474.01024591012</v>
      </c>
      <c r="R48" s="13" t="n">
        <f aca="false">SUMIF(MANUALES!$B$16:$B$69,$A48,MANUALES!X$16:X$69)+SUMIF(RODANTES!$B$16:$B$68,$A48,RODANTES!X$16:X$68)+SUMIF(RECARGAS!$B$16:$B$37,$A48,RECARGAS!AH$16:AH$37)+SUMIF(REVENDIDOS!$B$16:$B$25,$A48,REVENDIDOS!Y$16:Y$25)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498</v>
      </c>
      <c r="B49" s="3" t="s">
        <v>499</v>
      </c>
      <c r="C49" s="3" t="s">
        <v>192</v>
      </c>
      <c r="D49" s="13" t="n">
        <f aca="false">SUMIF(MANUALES!$B$16:$B$69,$A49,MANUALES!W$16:W$69)</f>
        <v>0</v>
      </c>
      <c r="E49" s="13" t="n">
        <f aca="false">SUMIF(RODANTES!$B$16:$B$68,$A49,RODANTES!W$16:W$68)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SUMIF(MANUALES!$B$16:$B$69,$A49,MANUALES!N$16:N$69)+SUMIF(RODANTES!$B$16:$B$68,$A49,RODANTES!N$16:N$68)+SUMIF(RECARGAS!$B$16:$B$37,$A49,RECARGAS!X$16:X$37)+SUMIF(REVENDIDOS!$B$16:$B$25,$A49,REVENDIDOS!O$16:O$25)</f>
        <v>2.76371545531391</v>
      </c>
      <c r="I49" s="13" t="n">
        <f aca="false">SUMIF(MANUALES!$B$16:$B$69,$A49,MANUALES!O$16:O$69)+SUMIF(RODANTES!$B$16:$B$68,$A49,RODANTES!O$16:O$68)+SUMIF(RECARGAS!$B$16:$B$37,$A49,RECARGAS!Y$16:Y$37)+SUMIF(REVENDIDOS!$B$16:$B$25,$A49,REVENDIDOS!P$16:P$25)</f>
        <v>16.4146349534345</v>
      </c>
      <c r="J49" s="13" t="n">
        <f aca="false">SUMIF(MANUALES!$B$16:$B$69,$A49,MANUALES!P$16:P$69)+SUMIF(RODANTES!$B$16:$B$68,$A49,RODANTES!P$16:P$68)+SUMIF(RECARGAS!$B$16:$B$37,$A49,RECARGAS!Z$16:Z$37)+SUMIF(REVENDIDOS!$B$16:$B$25,$A49,REVENDIDOS!Q$16:Q$25)</f>
        <v>33.6500075980496</v>
      </c>
      <c r="K49" s="13" t="n">
        <f aca="false">SUMIF(MANUALES!$B$16:$B$69,$A49,MANUALES!Q$16:Q$69)+SUMIF(RODANTES!$B$16:$B$68,$A49,RODANTES!Q$16:Q$68)+SUMIF(RECARGAS!$B$16:$B$37,$A49,RECARGAS!AA$16:AA$37)+SUMIF(REVENDIDOS!$B$16:$B$25,$A49,REVENDIDOS!R$16:R$25)</f>
        <v>58.3796799854928</v>
      </c>
      <c r="L49" s="13" t="n">
        <f aca="false">SUMIF(MANUALES!$B$16:$B$69,$A49,MANUALES!R$16:R$69)+SUMIF(RODANTES!$B$16:$B$68,$A49,RODANTES!R$16:R$68)+SUMIF(RECARGAS!$B$16:$B$37,$A49,RECARGAS!AB$16:AB$37)+SUMIF(REVENDIDOS!$B$16:$B$25,$A49,REVENDIDOS!S$16:S$25)</f>
        <v>83.6750198311306</v>
      </c>
      <c r="M49" s="13" t="n">
        <f aca="false">SUMIF(MANUALES!$B$16:$B$69,$A49,MANUALES!S$16:S$69)+SUMIF(RODANTES!$B$16:$B$68,$A49,RODANTES!S$16:S$68)+SUMIF(RECARGAS!$B$16:$B$37,$A49,RECARGAS!AC$16:AC$37)+SUMIF(REVENDIDOS!$B$16:$B$25,$A49,REVENDIDOS!T$16:T$25)</f>
        <v>109.840248538574</v>
      </c>
      <c r="N49" s="13" t="n">
        <f aca="false">SUMIF(MANUALES!$B$16:$B$69,$A49,MANUALES!T$16:T$69)+SUMIF(RODANTES!$B$16:$B$68,$A49,RODANTES!T$16:T$68)+SUMIF(RECARGAS!$B$16:$B$37,$A49,RECARGAS!AD$16:AD$37)+SUMIF(REVENDIDOS!$B$16:$B$25,$A49,REVENDIDOS!U$16:U$25)</f>
        <v>137.540153580407</v>
      </c>
      <c r="O49" s="13" t="n">
        <f aca="false">SUMIF(MANUALES!$B$16:$B$69,$A49,MANUALES!U$16:U$69)+SUMIF(RODANTES!$B$16:$B$68,$A49,RODANTES!U$16:U$68)+SUMIF(RECARGAS!$B$16:$B$37,$A49,RECARGAS!AE$16:AE$37)+SUMIF(REVENDIDOS!$B$16:$B$25,$A49,REVENDIDOS!V$16:V$25)</f>
        <v>156.01400228109</v>
      </c>
      <c r="P49" s="13" t="n">
        <f aca="false">SUMIF(MANUALES!$B$16:$B$69,$A49,MANUALES!V$16:V$69)+SUMIF(RODANTES!$B$16:$B$68,$A49,RODANTES!V$16:V$68)+SUMIF(RECARGAS!$B$16:$B$37,$A49,RECARGAS!AF$16:AF$37)+SUMIF(REVENDIDOS!$B$16:$B$25,$A49,REVENDIDOS!W$16:W$25)</f>
        <v>170.469669394052</v>
      </c>
      <c r="Q49" s="13" t="n">
        <f aca="false">SUMIF(MANUALES!$B$16:$B$69,$A49,MANUALES!W$16:W$69)+SUMIF(RODANTES!$B$16:$B$68,$A49,RODANTES!W$16:W$68)+SUMIF(RECARGAS!$B$16:$B$37,$A49,RECARGAS!AG$16:AG$37)+SUMIF(REVENDIDOS!$B$16:$B$25,$A49,REVENDIDOS!X$16:X$25)</f>
        <v>185.038186767902</v>
      </c>
      <c r="R49" s="13" t="n">
        <f aca="false">SUMIF(MANUALES!$B$16:$B$69,$A49,MANUALES!X$16:X$69)+SUMIF(RODANTES!$B$16:$B$68,$A49,RODANTES!X$16:X$68)+SUMIF(RECARGAS!$B$16:$B$37,$A49,RECARGAS!AH$16:AH$37)+SUMIF(REVENDIDOS!$B$16:$B$25,$A49,REVENDIDOS!Y$16:Y$25)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501</v>
      </c>
      <c r="B50" s="3" t="s">
        <v>502</v>
      </c>
      <c r="C50" s="3" t="s">
        <v>503</v>
      </c>
      <c r="D50" s="13" t="n">
        <f aca="false">SUMIF(MANUALES!$B$16:$B$69,$A50,MANUALES!W$16:W$69)</f>
        <v>0</v>
      </c>
      <c r="E50" s="13" t="n">
        <f aca="false">SUMIF(RODANTES!$B$16:$B$68,$A50,RODANTES!W$16:W$68)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SUMIF(MANUALES!$B$16:$B$69,$A50,MANUALES!N$16:N$69)+SUMIF(RODANTES!$B$16:$B$68,$A50,RODANTES!N$16:N$68)+SUMIF(RECARGAS!$B$16:$B$37,$A50,RECARGAS!X$16:X$37)+SUMIF(REVENDIDOS!$B$16:$B$25,$A50,REVENDIDOS!O$16:O$25)</f>
        <v>7.3950489447671</v>
      </c>
      <c r="I50" s="13" t="n">
        <f aca="false">SUMIF(MANUALES!$B$16:$B$69,$A50,MANUALES!O$16:O$69)+SUMIF(RODANTES!$B$16:$B$68,$A50,RODANTES!O$16:O$68)+SUMIF(RECARGAS!$B$16:$B$37,$A50,RECARGAS!Y$16:Y$37)+SUMIF(REVENDIDOS!$B$16:$B$25,$A50,REVENDIDOS!P$16:P$25)</f>
        <v>50.457592796477</v>
      </c>
      <c r="J50" s="13" t="n">
        <f aca="false">SUMIF(MANUALES!$B$16:$B$69,$A50,MANUALES!P$16:P$69)+SUMIF(RODANTES!$B$16:$B$68,$A50,RODANTES!P$16:P$68)+SUMIF(RECARGAS!$B$16:$B$37,$A50,RECARGAS!Z$16:Z$37)+SUMIF(REVENDIDOS!$B$16:$B$25,$A50,REVENDIDOS!Q$16:Q$25)</f>
        <v>99.5389690638769</v>
      </c>
      <c r="K50" s="13" t="n">
        <f aca="false">SUMIF(MANUALES!$B$16:$B$69,$A50,MANUALES!Q$16:Q$69)+SUMIF(RODANTES!$B$16:$B$68,$A50,RODANTES!Q$16:Q$68)+SUMIF(RECARGAS!$B$16:$B$37,$A50,RECARGAS!AA$16:AA$37)+SUMIF(REVENDIDOS!$B$16:$B$25,$A50,REVENDIDOS!R$16:R$25)</f>
        <v>169.227073120085</v>
      </c>
      <c r="L50" s="13" t="n">
        <f aca="false">SUMIF(MANUALES!$B$16:$B$69,$A50,MANUALES!R$16:R$69)+SUMIF(RODANTES!$B$16:$B$68,$A50,RODANTES!R$16:R$68)+SUMIF(RECARGAS!$B$16:$B$37,$A50,RECARGAS!AB$16:AB$37)+SUMIF(REVENDIDOS!$B$16:$B$25,$A50,REVENDIDOS!S$16:S$25)</f>
        <v>239.349208894033</v>
      </c>
      <c r="M50" s="13" t="n">
        <f aca="false">SUMIF(MANUALES!$B$16:$B$69,$A50,MANUALES!S$16:S$69)+SUMIF(RODANTES!$B$16:$B$68,$A50,RODANTES!S$16:S$68)+SUMIF(RECARGAS!$B$16:$B$37,$A50,RECARGAS!AC$16:AC$37)+SUMIF(REVENDIDOS!$B$16:$B$25,$A50,REVENDIDOS!T$16:T$25)</f>
        <v>308.781358329469</v>
      </c>
      <c r="N50" s="13" t="n">
        <f aca="false">SUMIF(MANUALES!$B$16:$B$69,$A50,MANUALES!T$16:T$69)+SUMIF(RODANTES!$B$16:$B$68,$A50,RODANTES!T$16:T$68)+SUMIF(RECARGAS!$B$16:$B$37,$A50,RECARGAS!AD$16:AD$37)+SUMIF(REVENDIDOS!$B$16:$B$25,$A50,REVENDIDOS!U$16:U$25)</f>
        <v>378.865318939589</v>
      </c>
      <c r="O50" s="13" t="n">
        <f aca="false">SUMIF(MANUALES!$B$16:$B$69,$A50,MANUALES!U$16:U$69)+SUMIF(RODANTES!$B$16:$B$68,$A50,RODANTES!U$16:U$68)+SUMIF(RECARGAS!$B$16:$B$37,$A50,RECARGAS!AE$16:AE$37)+SUMIF(REVENDIDOS!$B$16:$B$25,$A50,REVENDIDOS!V$16:V$25)</f>
        <v>428.442649638979</v>
      </c>
      <c r="P50" s="13" t="n">
        <f aca="false">SUMIF(MANUALES!$B$16:$B$69,$A50,MANUALES!V$16:V$69)+SUMIF(RODANTES!$B$16:$B$68,$A50,RODANTES!V$16:V$68)+SUMIF(RECARGAS!$B$16:$B$37,$A50,RECARGAS!AF$16:AF$37)+SUMIF(REVENDIDOS!$B$16:$B$25,$A50,REVENDIDOS!W$16:W$25)</f>
        <v>466.697791397574</v>
      </c>
      <c r="Q50" s="13" t="n">
        <f aca="false">SUMIF(MANUALES!$B$16:$B$69,$A50,MANUALES!W$16:W$69)+SUMIF(RODANTES!$B$16:$B$68,$A50,RODANTES!W$16:W$68)+SUMIF(RECARGAS!$B$16:$B$37,$A50,RECARGAS!AG$16:AG$37)+SUMIF(REVENDIDOS!$B$16:$B$25,$A50,REVENDIDOS!X$16:X$25)</f>
        <v>505.427368998169</v>
      </c>
      <c r="R50" s="13" t="n">
        <f aca="false">SUMIF(MANUALES!$B$16:$B$69,$A50,MANUALES!X$16:X$69)+SUMIF(RODANTES!$B$16:$B$68,$A50,RODANTES!X$16:X$68)+SUMIF(RECARGAS!$B$16:$B$37,$A50,RECARGAS!AH$16:AH$37)+SUMIF(REVENDIDOS!$B$16:$B$25,$A50,REVENDIDOS!Y$16:Y$25)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505</v>
      </c>
      <c r="B51" s="3" t="s">
        <v>506</v>
      </c>
      <c r="C51" s="3" t="s">
        <v>503</v>
      </c>
      <c r="D51" s="13" t="n">
        <f aca="false">SUMIF(MANUALES!$B$16:$B$69,$A51,MANUALES!W$16:W$69)</f>
        <v>0</v>
      </c>
      <c r="E51" s="13" t="n">
        <f aca="false">SUMIF(RODANTES!$B$16:$B$68,$A51,RODANTES!W$16:W$68)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SUMIF(MANUALES!$B$16:$B$69,$A51,MANUALES!N$16:N$69)+SUMIF(RODANTES!$B$16:$B$68,$A51,RODANTES!N$16:N$68)+SUMIF(RECARGAS!$B$16:$B$37,$A51,RECARGAS!X$16:X$37)+SUMIF(REVENDIDOS!$B$16:$B$25,$A51,REVENDIDOS!O$16:O$25)</f>
        <v>145.345076765758</v>
      </c>
      <c r="I51" s="13" t="n">
        <f aca="false">SUMIF(MANUALES!$B$16:$B$69,$A51,MANUALES!O$16:O$69)+SUMIF(RODANTES!$B$16:$B$68,$A51,RODANTES!O$16:O$68)+SUMIF(RECARGAS!$B$16:$B$37,$A51,RECARGAS!Y$16:Y$37)+SUMIF(REVENDIDOS!$B$16:$B$25,$A51,REVENDIDOS!P$16:P$25)</f>
        <v>594.836964682322</v>
      </c>
      <c r="J51" s="13" t="n">
        <f aca="false">SUMIF(MANUALES!$B$16:$B$69,$A51,MANUALES!P$16:P$69)+SUMIF(RODANTES!$B$16:$B$68,$A51,RODANTES!P$16:P$68)+SUMIF(RECARGAS!$B$16:$B$37,$A51,RECARGAS!Z$16:Z$37)+SUMIF(REVENDIDOS!$B$16:$B$25,$A51,REVENDIDOS!Q$16:Q$25)</f>
        <v>1324.27621149413</v>
      </c>
      <c r="K51" s="13" t="n">
        <f aca="false">SUMIF(MANUALES!$B$16:$B$69,$A51,MANUALES!Q$16:Q$69)+SUMIF(RODANTES!$B$16:$B$68,$A51,RODANTES!Q$16:Q$68)+SUMIF(RECARGAS!$B$16:$B$37,$A51,RECARGAS!AA$16:AA$37)+SUMIF(REVENDIDOS!$B$16:$B$25,$A51,REVENDIDOS!R$16:R$25)</f>
        <v>2407.92329159814</v>
      </c>
      <c r="L51" s="13" t="n">
        <f aca="false">SUMIF(MANUALES!$B$16:$B$69,$A51,MANUALES!R$16:R$69)+SUMIF(RODANTES!$B$16:$B$68,$A51,RODANTES!R$16:R$68)+SUMIF(RECARGAS!$B$16:$B$37,$A51,RECARGAS!AB$16:AB$37)+SUMIF(REVENDIDOS!$B$16:$B$25,$A51,REVENDIDOS!S$16:S$25)</f>
        <v>3475.6639501563</v>
      </c>
      <c r="M51" s="13" t="n">
        <f aca="false">SUMIF(MANUALES!$B$16:$B$69,$A51,MANUALES!S$16:S$69)+SUMIF(RODANTES!$B$16:$B$68,$A51,RODANTES!S$16:S$68)+SUMIF(RECARGAS!$B$16:$B$37,$A51,RECARGAS!AC$16:AC$37)+SUMIF(REVENDIDOS!$B$16:$B$25,$A51,REVENDIDOS!T$16:T$25)</f>
        <v>4605.0796391451</v>
      </c>
      <c r="N51" s="13" t="n">
        <f aca="false">SUMIF(MANUALES!$B$16:$B$69,$A51,MANUALES!T$16:T$69)+SUMIF(RODANTES!$B$16:$B$68,$A51,RODANTES!T$16:T$68)+SUMIF(RECARGAS!$B$16:$B$37,$A51,RECARGAS!AD$16:AD$37)+SUMIF(REVENDIDOS!$B$16:$B$25,$A51,REVENDIDOS!U$16:U$25)</f>
        <v>5664.92716663034</v>
      </c>
      <c r="O51" s="13" t="n">
        <f aca="false">SUMIF(MANUALES!$B$16:$B$69,$A51,MANUALES!U$16:U$69)+SUMIF(RODANTES!$B$16:$B$68,$A51,RODANTES!U$16:U$68)+SUMIF(RECARGAS!$B$16:$B$37,$A51,RECARGAS!AE$16:AE$37)+SUMIF(REVENDIDOS!$B$16:$B$25,$A51,REVENDIDOS!V$16:V$25)</f>
        <v>6340.1692540895</v>
      </c>
      <c r="P51" s="13" t="n">
        <f aca="false">SUMIF(MANUALES!$B$16:$B$69,$A51,MANUALES!V$16:V$69)+SUMIF(RODANTES!$B$16:$B$68,$A51,RODANTES!V$16:V$68)+SUMIF(RECARGAS!$B$16:$B$37,$A51,RECARGAS!AF$16:AF$37)+SUMIF(REVENDIDOS!$B$16:$B$25,$A51,REVENDIDOS!W$16:W$25)</f>
        <v>6857.55743060786</v>
      </c>
      <c r="Q51" s="13" t="n">
        <f aca="false">SUMIF(MANUALES!$B$16:$B$69,$A51,MANUALES!W$16:W$69)+SUMIF(RODANTES!$B$16:$B$68,$A51,RODANTES!W$16:W$68)+SUMIF(RECARGAS!$B$16:$B$37,$A51,RECARGAS!AG$16:AG$37)+SUMIF(REVENDIDOS!$B$16:$B$25,$A51,REVENDIDOS!X$16:X$25)</f>
        <v>7383.01305370899</v>
      </c>
      <c r="R51" s="13" t="n">
        <f aca="false">SUMIF(MANUALES!$B$16:$B$69,$A51,MANUALES!X$16:X$69)+SUMIF(RODANTES!$B$16:$B$68,$A51,RODANTES!X$16:X$68)+SUMIF(RECARGAS!$B$16:$B$37,$A51,RECARGAS!AH$16:AH$37)+SUMIF(REVENDIDOS!$B$16:$B$25,$A51,REVENDIDOS!Y$16:Y$25)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SUMIF(MANUALES!$B$16:$B$69,$A52,MANUALES!W$16:W$69)</f>
        <v>32072.63913</v>
      </c>
      <c r="E52" s="13" t="n">
        <f aca="false">SUMIF(RODANTES!$B$16:$B$68,$A52,RODANTES!W$16:W$68)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SUMIF(MANUALES!$B$16:$B$69,$A52,MANUALES!N$16:N$69)+SUMIF(RODANTES!$B$16:$B$68,$A52,RODANTES!N$16:N$68)+SUMIF(RECARGAS!$B$16:$B$37,$A52,RECARGAS!X$16:X$37)+SUMIF(REVENDIDOS!$B$16:$B$25,$A52,REVENDIDOS!O$16:O$25)</f>
        <v>4178.736543</v>
      </c>
      <c r="I52" s="13" t="n">
        <f aca="false">SUMIF(MANUALES!$B$16:$B$69,$A52,MANUALES!O$16:O$69)+SUMIF(RODANTES!$B$16:$B$68,$A52,RODANTES!O$16:O$68)+SUMIF(RECARGAS!$B$16:$B$37,$A52,RECARGAS!Y$16:Y$37)+SUMIF(REVENDIDOS!$B$16:$B$25,$A52,REVENDIDOS!P$16:P$25)</f>
        <v>5997.303977</v>
      </c>
      <c r="J52" s="13" t="n">
        <f aca="false">SUMIF(MANUALES!$B$16:$B$69,$A52,MANUALES!P$16:P$69)+SUMIF(RODANTES!$B$16:$B$68,$A52,RODANTES!P$16:P$68)+SUMIF(RECARGAS!$B$16:$B$37,$A52,RECARGAS!Z$16:Z$37)+SUMIF(REVENDIDOS!$B$16:$B$25,$A52,REVENDIDOS!Q$16:Q$25)</f>
        <v>6851.747758</v>
      </c>
      <c r="K52" s="13" t="n">
        <f aca="false">SUMIF(MANUALES!$B$16:$B$69,$A52,MANUALES!Q$16:Q$69)+SUMIF(RODANTES!$B$16:$B$68,$A52,RODANTES!Q$16:Q$68)+SUMIF(RECARGAS!$B$16:$B$37,$A52,RECARGAS!AA$16:AA$37)+SUMIF(REVENDIDOS!$B$16:$B$25,$A52,REVENDIDOS!R$16:R$25)</f>
        <v>8467.135549</v>
      </c>
      <c r="L52" s="13" t="n">
        <f aca="false">SUMIF(MANUALES!$B$16:$B$69,$A52,MANUALES!R$16:R$69)+SUMIF(RODANTES!$B$16:$B$68,$A52,RODANTES!R$16:R$68)+SUMIF(RECARGAS!$B$16:$B$37,$A52,RECARGAS!AB$16:AB$37)+SUMIF(REVENDIDOS!$B$16:$B$25,$A52,REVENDIDOS!S$16:S$25)</f>
        <v>12680.63271</v>
      </c>
      <c r="M52" s="13" t="n">
        <f aca="false">SUMIF(MANUALES!$B$16:$B$69,$A52,MANUALES!S$16:S$69)+SUMIF(RODANTES!$B$16:$B$68,$A52,RODANTES!S$16:S$68)+SUMIF(RECARGAS!$B$16:$B$37,$A52,RECARGAS!AC$16:AC$37)+SUMIF(REVENDIDOS!$B$16:$B$25,$A52,REVENDIDOS!T$16:T$25)</f>
        <v>15620.25307</v>
      </c>
      <c r="N52" s="13" t="n">
        <f aca="false">SUMIF(MANUALES!$B$16:$B$69,$A52,MANUALES!T$16:T$69)+SUMIF(RODANTES!$B$16:$B$68,$A52,RODANTES!T$16:T$68)+SUMIF(RECARGAS!$B$16:$B$37,$A52,RECARGAS!AD$16:AD$37)+SUMIF(REVENDIDOS!$B$16:$B$25,$A52,REVENDIDOS!U$16:U$25)</f>
        <v>20332.55326</v>
      </c>
      <c r="O52" s="13" t="n">
        <f aca="false">SUMIF(MANUALES!$B$16:$B$69,$A52,MANUALES!U$16:U$69)+SUMIF(RODANTES!$B$16:$B$68,$A52,RODANTES!U$16:U$68)+SUMIF(RECARGAS!$B$16:$B$37,$A52,RECARGAS!AE$16:AE$37)+SUMIF(REVENDIDOS!$B$16:$B$25,$A52,REVENDIDOS!V$16:V$25)</f>
        <v>25132.07848</v>
      </c>
      <c r="P52" s="13" t="n">
        <f aca="false">SUMIF(MANUALES!$B$16:$B$69,$A52,MANUALES!V$16:V$69)+SUMIF(RODANTES!$B$16:$B$68,$A52,RODANTES!V$16:V$68)+SUMIF(RECARGAS!$B$16:$B$37,$A52,RECARGAS!AF$16:AF$37)+SUMIF(REVENDIDOS!$B$16:$B$25,$A52,REVENDIDOS!W$16:W$25)</f>
        <v>28573.33614</v>
      </c>
      <c r="Q52" s="13" t="n">
        <f aca="false">SUMIF(MANUALES!$B$16:$B$69,$A52,MANUALES!W$16:W$69)+SUMIF(RODANTES!$B$16:$B$68,$A52,RODANTES!W$16:W$68)+SUMIF(RECARGAS!$B$16:$B$37,$A52,RECARGAS!AG$16:AG$37)+SUMIF(REVENDIDOS!$B$16:$B$25,$A52,REVENDIDOS!X$16:X$25)</f>
        <v>32072.63913</v>
      </c>
      <c r="R52" s="13" t="n">
        <f aca="false">SUMIF(MANUALES!$B$16:$B$69,$A52,MANUALES!X$16:X$69)+SUMIF(RODANTES!$B$16:$B$68,$A52,RODANTES!X$16:X$68)+SUMIF(RECARGAS!$B$16:$B$37,$A52,RECARGAS!AH$16:AH$37)+SUMIF(REVENDIDOS!$B$16:$B$25,$A52,REVENDIDOS!Y$16:Y$25)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SUMIF(MANUALES!$B$16:$B$69,$A53,MANUALES!W$16:W$69)</f>
        <v>41696.5061034506</v>
      </c>
      <c r="E53" s="13" t="n">
        <f aca="false">SUMIF(RODANTES!$B$16:$B$68,$A53,RODANTES!W$16:W$68)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SUMIF(MANUALES!$B$16:$B$69,$A53,MANUALES!N$16:N$69)+SUMIF(RODANTES!$B$16:$B$68,$A53,RODANTES!N$16:N$68)+SUMIF(RECARGAS!$B$16:$B$37,$A53,RECARGAS!X$16:X$37)+SUMIF(REVENDIDOS!$B$16:$B$25,$A53,REVENDIDOS!O$16:O$25)</f>
        <v>3115.3426804398</v>
      </c>
      <c r="I53" s="13" t="n">
        <f aca="false">SUMIF(MANUALES!$B$16:$B$69,$A53,MANUALES!O$16:O$69)+SUMIF(RODANTES!$B$16:$B$68,$A53,RODANTES!O$16:O$68)+SUMIF(RECARGAS!$B$16:$B$37,$A53,RECARGAS!Y$16:Y$37)+SUMIF(REVENDIDOS!$B$16:$B$25,$A53,REVENDIDOS!P$16:P$25)</f>
        <v>6376.77751705974</v>
      </c>
      <c r="J53" s="13" t="n">
        <f aca="false">SUMIF(MANUALES!$B$16:$B$69,$A53,MANUALES!P$16:P$69)+SUMIF(RODANTES!$B$16:$B$68,$A53,RODANTES!P$16:P$68)+SUMIF(RECARGAS!$B$16:$B$37,$A53,RECARGAS!Z$16:Z$37)+SUMIF(REVENDIDOS!$B$16:$B$25,$A53,REVENDIDOS!Q$16:Q$25)</f>
        <v>8448.51878563248</v>
      </c>
      <c r="K53" s="13" t="n">
        <f aca="false">SUMIF(MANUALES!$B$16:$B$69,$A53,MANUALES!Q$16:Q$69)+SUMIF(RODANTES!$B$16:$B$68,$A53,RODANTES!Q$16:Q$68)+SUMIF(RECARGAS!$B$16:$B$37,$A53,RECARGAS!AA$16:AA$37)+SUMIF(REVENDIDOS!$B$16:$B$25,$A53,REVENDIDOS!R$16:R$25)</f>
        <v>12282.616997272</v>
      </c>
      <c r="L53" s="13" t="n">
        <f aca="false">SUMIF(MANUALES!$B$16:$B$69,$A53,MANUALES!R$16:R$69)+SUMIF(RODANTES!$B$16:$B$68,$A53,RODANTES!R$16:R$68)+SUMIF(RECARGAS!$B$16:$B$37,$A53,RECARGAS!AB$16:AB$37)+SUMIF(REVENDIDOS!$B$16:$B$25,$A53,REVENDIDOS!S$16:S$25)</f>
        <v>17413.3238555608</v>
      </c>
      <c r="M53" s="13" t="n">
        <f aca="false">SUMIF(MANUALES!$B$16:$B$69,$A53,MANUALES!S$16:S$69)+SUMIF(RODANTES!$B$16:$B$68,$A53,RODANTES!S$16:S$68)+SUMIF(RECARGAS!$B$16:$B$37,$A53,RECARGAS!AC$16:AC$37)+SUMIF(REVENDIDOS!$B$16:$B$25,$A53,REVENDIDOS!T$16:T$25)</f>
        <v>22866.1475999667</v>
      </c>
      <c r="N53" s="13" t="n">
        <f aca="false">SUMIF(MANUALES!$B$16:$B$69,$A53,MANUALES!T$16:T$69)+SUMIF(RODANTES!$B$16:$B$68,$A53,RODANTES!T$16:T$68)+SUMIF(RECARGAS!$B$16:$B$37,$A53,RECARGAS!AD$16:AD$37)+SUMIF(REVENDIDOS!$B$16:$B$25,$A53,REVENDIDOS!U$16:U$25)</f>
        <v>27867.152720669</v>
      </c>
      <c r="O53" s="13" t="n">
        <f aca="false">SUMIF(MANUALES!$B$16:$B$69,$A53,MANUALES!U$16:U$69)+SUMIF(RODANTES!$B$16:$B$68,$A53,RODANTES!U$16:U$68)+SUMIF(RECARGAS!$B$16:$B$37,$A53,RECARGAS!AE$16:AE$37)+SUMIF(REVENDIDOS!$B$16:$B$25,$A53,REVENDIDOS!V$16:V$25)</f>
        <v>32504.2626540764</v>
      </c>
      <c r="P53" s="13" t="n">
        <f aca="false">SUMIF(MANUALES!$B$16:$B$69,$A53,MANUALES!V$16:V$69)+SUMIF(RODANTES!$B$16:$B$68,$A53,RODANTES!V$16:V$68)+SUMIF(RECARGAS!$B$16:$B$37,$A53,RECARGAS!AF$16:AF$37)+SUMIF(REVENDIDOS!$B$16:$B$25,$A53,REVENDIDOS!W$16:W$25)</f>
        <v>36423.180751095</v>
      </c>
      <c r="Q53" s="13" t="n">
        <f aca="false">SUMIF(MANUALES!$B$16:$B$69,$A53,MANUALES!W$16:W$69)+SUMIF(RODANTES!$B$16:$B$68,$A53,RODANTES!W$16:W$68)+SUMIF(RECARGAS!$B$16:$B$37,$A53,RECARGAS!AG$16:AG$37)+SUMIF(REVENDIDOS!$B$16:$B$25,$A53,REVENDIDOS!X$16:X$25)</f>
        <v>41696.5061034506</v>
      </c>
      <c r="R53" s="13" t="n">
        <f aca="false">SUMIF(MANUALES!$B$16:$B$69,$A53,MANUALES!X$16:X$69)+SUMIF(RODANTES!$B$16:$B$68,$A53,RODANTES!X$16:X$68)+SUMIF(RECARGAS!$B$16:$B$37,$A53,RECARGAS!AH$16:AH$37)+SUMIF(REVENDIDOS!$B$16:$B$25,$A53,REVENDIDOS!Y$16:Y$25)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437</v>
      </c>
      <c r="B54" s="3" t="s">
        <v>438</v>
      </c>
      <c r="C54" s="3" t="s">
        <v>214</v>
      </c>
      <c r="D54" s="13" t="n">
        <f aca="false">SUMIF(MANUALES!$B$16:$B$69,$A54,MANUALES!W$16:W$69)</f>
        <v>0</v>
      </c>
      <c r="E54" s="13" t="n">
        <f aca="false">SUMIF(RODANTES!$B$16:$B$68,$A54,RODANTES!W$16:W$68)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SUMIF(MANUALES!$B$16:$B$69,$A54,MANUALES!N$16:N$69)+SUMIF(RODANTES!$B$16:$B$68,$A54,RODANTES!N$16:N$68)+SUMIF(RECARGAS!$B$16:$B$37,$A54,RECARGAS!X$16:X$37)+SUMIF(REVENDIDOS!$B$16:$B$25,$A54,REVENDIDOS!O$16:O$25)</f>
        <v>34.05179136</v>
      </c>
      <c r="I54" s="13" t="n">
        <f aca="false">SUMIF(MANUALES!$B$16:$B$69,$A54,MANUALES!O$16:O$69)+SUMIF(RODANTES!$B$16:$B$68,$A54,RODANTES!O$16:O$68)+SUMIF(RECARGAS!$B$16:$B$37,$A54,RECARGAS!Y$16:Y$37)+SUMIF(REVENDIDOS!$B$16:$B$25,$A54,REVENDIDOS!P$16:P$25)</f>
        <v>58.46214745</v>
      </c>
      <c r="J54" s="13" t="n">
        <f aca="false">SUMIF(MANUALES!$B$16:$B$69,$A54,MANUALES!P$16:P$69)+SUMIF(RODANTES!$B$16:$B$68,$A54,RODANTES!P$16:P$68)+SUMIF(RECARGAS!$B$16:$B$37,$A54,RECARGAS!Z$16:Z$37)+SUMIF(REVENDIDOS!$B$16:$B$25,$A54,REVENDIDOS!Q$16:Q$25)</f>
        <v>75.20853998</v>
      </c>
      <c r="K54" s="13" t="n">
        <f aca="false">SUMIF(MANUALES!$B$16:$B$69,$A54,MANUALES!Q$16:Q$69)+SUMIF(RODANTES!$B$16:$B$68,$A54,RODANTES!Q$16:Q$68)+SUMIF(RECARGAS!$B$16:$B$37,$A54,RECARGAS!AA$16:AA$37)+SUMIF(REVENDIDOS!$B$16:$B$25,$A54,REVENDIDOS!R$16:R$25)</f>
        <v>100.5298529</v>
      </c>
      <c r="L54" s="13" t="n">
        <f aca="false">SUMIF(MANUALES!$B$16:$B$69,$A54,MANUALES!R$16:R$69)+SUMIF(RODANTES!$B$16:$B$68,$A54,RODANTES!R$16:R$68)+SUMIF(RECARGAS!$B$16:$B$37,$A54,RECARGAS!AB$16:AB$37)+SUMIF(REVENDIDOS!$B$16:$B$25,$A54,REVENDIDOS!S$16:S$25)</f>
        <v>155.8760035</v>
      </c>
      <c r="M54" s="13" t="n">
        <f aca="false">SUMIF(MANUALES!$B$16:$B$69,$A54,MANUALES!S$16:S$69)+SUMIF(RODANTES!$B$16:$B$68,$A54,RODANTES!S$16:S$68)+SUMIF(RECARGAS!$B$16:$B$37,$A54,RECARGAS!AC$16:AC$37)+SUMIF(REVENDIDOS!$B$16:$B$25,$A54,REVENDIDOS!T$16:T$25)</f>
        <v>211.9344827</v>
      </c>
      <c r="N54" s="13" t="n">
        <f aca="false">SUMIF(MANUALES!$B$16:$B$69,$A54,MANUALES!T$16:T$69)+SUMIF(RODANTES!$B$16:$B$68,$A54,RODANTES!T$16:T$68)+SUMIF(RECARGAS!$B$16:$B$37,$A54,RECARGAS!AD$16:AD$37)+SUMIF(REVENDIDOS!$B$16:$B$25,$A54,REVENDIDOS!U$16:U$25)</f>
        <v>272.6682332</v>
      </c>
      <c r="O54" s="13" t="n">
        <f aca="false">SUMIF(MANUALES!$B$16:$B$69,$A54,MANUALES!U$16:U$69)+SUMIF(RODANTES!$B$16:$B$68,$A54,RODANTES!U$16:U$68)+SUMIF(RECARGAS!$B$16:$B$37,$A54,RECARGAS!AE$16:AE$37)+SUMIF(REVENDIDOS!$B$16:$B$25,$A54,REVENDIDOS!V$16:V$25)</f>
        <v>337.8486707</v>
      </c>
      <c r="P54" s="13" t="n">
        <f aca="false">SUMIF(MANUALES!$B$16:$B$69,$A54,MANUALES!V$16:V$69)+SUMIF(RODANTES!$B$16:$B$68,$A54,RODANTES!V$16:V$68)+SUMIF(RECARGAS!$B$16:$B$37,$A54,RECARGAS!AF$16:AF$37)+SUMIF(REVENDIDOS!$B$16:$B$25,$A54,REVENDIDOS!W$16:W$25)</f>
        <v>393.6274156</v>
      </c>
      <c r="Q54" s="13" t="n">
        <f aca="false">SUMIF(MANUALES!$B$16:$B$69,$A54,MANUALES!W$16:W$69)+SUMIF(RODANTES!$B$16:$B$68,$A54,RODANTES!W$16:W$68)+SUMIF(RECARGAS!$B$16:$B$37,$A54,RECARGAS!AG$16:AG$37)+SUMIF(REVENDIDOS!$B$16:$B$25,$A54,REVENDIDOS!X$16:X$25)</f>
        <v>453.2705332</v>
      </c>
      <c r="R54" s="13" t="n">
        <f aca="false">SUMIF(MANUALES!$B$16:$B$69,$A54,MANUALES!X$16:X$69)+SUMIF(RODANTES!$B$16:$B$68,$A54,RODANTES!X$16:X$68)+SUMIF(RECARGAS!$B$16:$B$37,$A54,RECARGAS!AH$16:AH$37)+SUMIF(REVENDIDOS!$B$16:$B$25,$A54,REVENDIDOS!Y$16:Y$25)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440</v>
      </c>
      <c r="B55" s="3" t="s">
        <v>441</v>
      </c>
      <c r="C55" s="3" t="s">
        <v>214</v>
      </c>
      <c r="D55" s="13" t="n">
        <f aca="false">SUMIF(MANUALES!$B$16:$B$69,$A55,MANUALES!W$16:W$69)</f>
        <v>0</v>
      </c>
      <c r="E55" s="13" t="n">
        <f aca="false">SUMIF(RODANTES!$B$16:$B$68,$A55,RODANTES!W$16:W$68)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SUMIF(MANUALES!$B$16:$B$69,$A55,MANUALES!N$16:N$69)+SUMIF(RODANTES!$B$16:$B$68,$A55,RODANTES!N$16:N$68)+SUMIF(RECARGAS!$B$16:$B$37,$A55,RECARGAS!X$16:X$37)+SUMIF(REVENDIDOS!$B$16:$B$25,$A55,REVENDIDOS!O$16:O$25)</f>
        <v>102.73094691184</v>
      </c>
      <c r="I55" s="13" t="n">
        <f aca="false">SUMIF(MANUALES!$B$16:$B$69,$A55,MANUALES!O$16:O$69)+SUMIF(RODANTES!$B$16:$B$68,$A55,RODANTES!O$16:O$68)+SUMIF(RECARGAS!$B$16:$B$37,$A55,RECARGAS!Y$16:Y$37)+SUMIF(REVENDIDOS!$B$16:$B$25,$A55,REVENDIDOS!P$16:P$25)</f>
        <v>175.990793832932</v>
      </c>
      <c r="J55" s="13" t="n">
        <f aca="false">SUMIF(MANUALES!$B$16:$B$69,$A55,MANUALES!P$16:P$69)+SUMIF(RODANTES!$B$16:$B$68,$A55,RODANTES!P$16:P$68)+SUMIF(RECARGAS!$B$16:$B$37,$A55,RECARGAS!Z$16:Z$37)+SUMIF(REVENDIDOS!$B$16:$B$25,$A55,REVENDIDOS!Q$16:Q$25)</f>
        <v>227.122109316784</v>
      </c>
      <c r="K55" s="13" t="n">
        <f aca="false">SUMIF(MANUALES!$B$16:$B$69,$A55,MANUALES!Q$16:Q$69)+SUMIF(RODANTES!$B$16:$B$68,$A55,RODANTES!Q$16:Q$68)+SUMIF(RECARGAS!$B$16:$B$37,$A55,RECARGAS!AA$16:AA$37)+SUMIF(REVENDIDOS!$B$16:$B$25,$A55,REVENDIDOS!R$16:R$25)</f>
        <v>303.445781200434</v>
      </c>
      <c r="L55" s="13" t="n">
        <f aca="false">SUMIF(MANUALES!$B$16:$B$69,$A55,MANUALES!R$16:R$69)+SUMIF(RODANTES!$B$16:$B$68,$A55,RODANTES!R$16:R$68)+SUMIF(RECARGAS!$B$16:$B$37,$A55,RECARGAS!AB$16:AB$37)+SUMIF(REVENDIDOS!$B$16:$B$25,$A55,REVENDIDOS!S$16:S$25)</f>
        <v>469.85835517463</v>
      </c>
      <c r="M55" s="13" t="n">
        <f aca="false">SUMIF(MANUALES!$B$16:$B$69,$A55,MANUALES!S$16:S$69)+SUMIF(RODANTES!$B$16:$B$68,$A55,RODANTES!S$16:S$68)+SUMIF(RECARGAS!$B$16:$B$37,$A55,RECARGAS!AC$16:AC$37)+SUMIF(REVENDIDOS!$B$16:$B$25,$A55,REVENDIDOS!T$16:T$25)</f>
        <v>638.134518098452</v>
      </c>
      <c r="N55" s="13" t="n">
        <f aca="false">SUMIF(MANUALES!$B$16:$B$69,$A55,MANUALES!T$16:T$69)+SUMIF(RODANTES!$B$16:$B$68,$A55,RODANTES!T$16:T$68)+SUMIF(RECARGAS!$B$16:$B$37,$A55,RECARGAS!AD$16:AD$37)+SUMIF(REVENDIDOS!$B$16:$B$25,$A55,REVENDIDOS!U$16:U$25)</f>
        <v>820.148708171354</v>
      </c>
      <c r="O55" s="13" t="n">
        <f aca="false">SUMIF(MANUALES!$B$16:$B$69,$A55,MANUALES!U$16:U$69)+SUMIF(RODANTES!$B$16:$B$68,$A55,RODANTES!U$16:U$68)+SUMIF(RECARGAS!$B$16:$B$37,$A55,RECARGAS!AE$16:AE$37)+SUMIF(REVENDIDOS!$B$16:$B$25,$A55,REVENDIDOS!V$16:V$25)</f>
        <v>1015.20078396279</v>
      </c>
      <c r="P55" s="13" t="n">
        <f aca="false">SUMIF(MANUALES!$B$16:$B$69,$A55,MANUALES!V$16:V$69)+SUMIF(RODANTES!$B$16:$B$68,$A55,RODANTES!V$16:V$68)+SUMIF(RECARGAS!$B$16:$B$37,$A55,RECARGAS!AF$16:AF$37)+SUMIF(REVENDIDOS!$B$16:$B$25,$A55,REVENDIDOS!W$16:W$25)</f>
        <v>1182.59457594497</v>
      </c>
      <c r="Q55" s="13" t="n">
        <f aca="false">SUMIF(MANUALES!$B$16:$B$69,$A55,MANUALES!W$16:W$69)+SUMIF(RODANTES!$B$16:$B$68,$A55,RODANTES!W$16:W$68)+SUMIF(RECARGAS!$B$16:$B$37,$A55,RECARGAS!AG$16:AG$37)+SUMIF(REVENDIDOS!$B$16:$B$25,$A55,REVENDIDOS!X$16:X$25)</f>
        <v>1361.00591330532</v>
      </c>
      <c r="R55" s="13" t="n">
        <f aca="false">SUMIF(MANUALES!$B$16:$B$69,$A55,MANUALES!X$16:X$69)+SUMIF(RODANTES!$B$16:$B$68,$A55,RODANTES!X$16:X$68)+SUMIF(RECARGAS!$B$16:$B$37,$A55,RECARGAS!AH$16:AH$37)+SUMIF(REVENDIDOS!$B$16:$B$25,$A55,REVENDIDOS!Y$16:Y$25)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SUMIF(MANUALES!$B$16:$B$69,$A56,MANUALES!W$16:W$69)</f>
        <v>73769.1452334506</v>
      </c>
      <c r="E56" s="13" t="n">
        <f aca="false">SUMIF(RODANTES!$B$16:$B$68,$A56,RODANTES!W$16:W$68)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SUMIF(MANUALES!$B$16:$B$69,$A56,MANUALES!N$16:N$69)+SUMIF(RODANTES!$B$16:$B$68,$A56,RODANTES!N$16:N$68)+SUMIF(RECARGAS!$B$16:$B$37,$A56,RECARGAS!X$16:X$37)+SUMIF(REVENDIDOS!$B$16:$B$25,$A56,REVENDIDOS!O$16:O$25)</f>
        <v>7430.86196171164</v>
      </c>
      <c r="I56" s="13" t="n">
        <f aca="false">SUMIF(MANUALES!$B$16:$B$69,$A56,MANUALES!O$16:O$69)+SUMIF(RODANTES!$B$16:$B$68,$A56,RODANTES!O$16:O$68)+SUMIF(RECARGAS!$B$16:$B$37,$A56,RECARGAS!Y$16:Y$37)+SUMIF(REVENDIDOS!$B$16:$B$25,$A56,REVENDIDOS!P$16:P$25)</f>
        <v>12608.5344353427</v>
      </c>
      <c r="J56" s="13" t="n">
        <f aca="false">SUMIF(MANUALES!$B$16:$B$69,$A56,MANUALES!P$16:P$69)+SUMIF(RODANTES!$B$16:$B$68,$A56,RODANTES!P$16:P$68)+SUMIF(RECARGAS!$B$16:$B$37,$A56,RECARGAS!Z$16:Z$37)+SUMIF(REVENDIDOS!$B$16:$B$25,$A56,REVENDIDOS!Q$16:Q$25)</f>
        <v>15602.5971929293</v>
      </c>
      <c r="K56" s="13" t="n">
        <f aca="false">SUMIF(MANUALES!$B$16:$B$69,$A56,MANUALES!Q$16:Q$69)+SUMIF(RODANTES!$B$16:$B$68,$A56,RODANTES!Q$16:Q$68)+SUMIF(RECARGAS!$B$16:$B$37,$A56,RECARGAS!AA$16:AA$37)+SUMIF(REVENDIDOS!$B$16:$B$25,$A56,REVENDIDOS!R$16:R$25)</f>
        <v>21153.7281803724</v>
      </c>
      <c r="L56" s="13" t="n">
        <f aca="false">SUMIF(MANUALES!$B$16:$B$69,$A56,MANUALES!R$16:R$69)+SUMIF(RODANTES!$B$16:$B$68,$A56,RODANTES!R$16:R$68)+SUMIF(RECARGAS!$B$16:$B$37,$A56,RECARGAS!AB$16:AB$37)+SUMIF(REVENDIDOS!$B$16:$B$25,$A56,REVENDIDOS!S$16:S$25)</f>
        <v>30719.6909242354</v>
      </c>
      <c r="M56" s="13" t="n">
        <f aca="false">SUMIF(MANUALES!$B$16:$B$69,$A56,MANUALES!S$16:S$69)+SUMIF(RODANTES!$B$16:$B$68,$A56,RODANTES!S$16:S$68)+SUMIF(RECARGAS!$B$16:$B$37,$A56,RECARGAS!AC$16:AC$37)+SUMIF(REVENDIDOS!$B$16:$B$25,$A56,REVENDIDOS!T$16:T$25)</f>
        <v>39336.4696707652</v>
      </c>
      <c r="N56" s="13" t="n">
        <f aca="false">SUMIF(MANUALES!$B$16:$B$69,$A56,MANUALES!T$16:T$69)+SUMIF(RODANTES!$B$16:$B$68,$A56,RODANTES!T$16:T$68)+SUMIF(RECARGAS!$B$16:$B$37,$A56,RECARGAS!AD$16:AD$37)+SUMIF(REVENDIDOS!$B$16:$B$25,$A56,REVENDIDOS!U$16:U$25)</f>
        <v>49292.5229220404</v>
      </c>
      <c r="O56" s="13" t="n">
        <f aca="false">SUMIF(MANUALES!$B$16:$B$69,$A56,MANUALES!U$16:U$69)+SUMIF(RODANTES!$B$16:$B$68,$A56,RODANTES!U$16:U$68)+SUMIF(RECARGAS!$B$16:$B$37,$A56,RECARGAS!AE$16:AE$37)+SUMIF(REVENDIDOS!$B$16:$B$25,$A56,REVENDIDOS!V$16:V$25)</f>
        <v>58989.3905887392</v>
      </c>
      <c r="P56" s="13" t="n">
        <f aca="false">SUMIF(MANUALES!$B$16:$B$69,$A56,MANUALES!V$16:V$69)+SUMIF(RODANTES!$B$16:$B$68,$A56,RODANTES!V$16:V$68)+SUMIF(RECARGAS!$B$16:$B$37,$A56,RECARGAS!AF$16:AF$37)+SUMIF(REVENDIDOS!$B$16:$B$25,$A56,REVENDIDOS!W$16:W$25)</f>
        <v>66572.73888264</v>
      </c>
      <c r="Q56" s="13" t="n">
        <f aca="false">SUMIF(MANUALES!$B$16:$B$69,$A56,MANUALES!W$16:W$69)+SUMIF(RODANTES!$B$16:$B$68,$A56,RODANTES!W$16:W$68)+SUMIF(RECARGAS!$B$16:$B$37,$A56,RECARGAS!AG$16:AG$37)+SUMIF(REVENDIDOS!$B$16:$B$25,$A56,REVENDIDOS!X$16:X$25)</f>
        <v>75583.421679956</v>
      </c>
      <c r="R56" s="13" t="n">
        <f aca="false">SUMIF(MANUALES!$B$16:$B$69,$A56,MANUALES!X$16:X$69)+SUMIF(RODANTES!$B$16:$B$68,$A56,RODANTES!X$16:X$68)+SUMIF(RECARGAS!$B$16:$B$37,$A56,RECARGAS!AH$16:AH$37)+SUMIF(REVENDIDOS!$B$16:$B$25,$A56,REVENDIDOS!Y$16:Y$25)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SUMIF(MANUALES!$B$16:$B$69,$A57,MANUALES!W$16:W$69)</f>
        <v>32072.63913</v>
      </c>
      <c r="E57" s="13" t="n">
        <f aca="false">SUMIF(RODANTES!$B$16:$B$68,$A57,RODANTES!W$16:W$68)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SUMIF(MANUALES!$B$16:$B$69,$A57,MANUALES!N$16:N$69)+SUMIF(RODANTES!$B$16:$B$68,$A57,RODANTES!N$16:N$68)+SUMIF(RECARGAS!$B$16:$B$37,$A57,RECARGAS!X$16:X$37)+SUMIF(REVENDIDOS!$B$16:$B$25,$A57,REVENDIDOS!O$16:O$25)</f>
        <v>4178.736543</v>
      </c>
      <c r="I57" s="13" t="n">
        <f aca="false">SUMIF(MANUALES!$B$16:$B$69,$A57,MANUALES!O$16:O$69)+SUMIF(RODANTES!$B$16:$B$68,$A57,RODANTES!O$16:O$68)+SUMIF(RECARGAS!$B$16:$B$37,$A57,RECARGAS!Y$16:Y$37)+SUMIF(REVENDIDOS!$B$16:$B$25,$A57,REVENDIDOS!P$16:P$25)</f>
        <v>5997.303977</v>
      </c>
      <c r="J57" s="13" t="n">
        <f aca="false">SUMIF(MANUALES!$B$16:$B$69,$A57,MANUALES!P$16:P$69)+SUMIF(RODANTES!$B$16:$B$68,$A57,RODANTES!P$16:P$68)+SUMIF(RECARGAS!$B$16:$B$37,$A57,RECARGAS!Z$16:Z$37)+SUMIF(REVENDIDOS!$B$16:$B$25,$A57,REVENDIDOS!Q$16:Q$25)</f>
        <v>6851.747758</v>
      </c>
      <c r="K57" s="13" t="n">
        <f aca="false">SUMIF(MANUALES!$B$16:$B$69,$A57,MANUALES!Q$16:Q$69)+SUMIF(RODANTES!$B$16:$B$68,$A57,RODANTES!Q$16:Q$68)+SUMIF(RECARGAS!$B$16:$B$37,$A57,RECARGAS!AA$16:AA$37)+SUMIF(REVENDIDOS!$B$16:$B$25,$A57,REVENDIDOS!R$16:R$25)</f>
        <v>8467.135549</v>
      </c>
      <c r="L57" s="13" t="n">
        <f aca="false">SUMIF(MANUALES!$B$16:$B$69,$A57,MANUALES!R$16:R$69)+SUMIF(RODANTES!$B$16:$B$68,$A57,RODANTES!R$16:R$68)+SUMIF(RECARGAS!$B$16:$B$37,$A57,RECARGAS!AB$16:AB$37)+SUMIF(REVENDIDOS!$B$16:$B$25,$A57,REVENDIDOS!S$16:S$25)</f>
        <v>12680.63271</v>
      </c>
      <c r="M57" s="13" t="n">
        <f aca="false">SUMIF(MANUALES!$B$16:$B$69,$A57,MANUALES!S$16:S$69)+SUMIF(RODANTES!$B$16:$B$68,$A57,RODANTES!S$16:S$68)+SUMIF(RECARGAS!$B$16:$B$37,$A57,RECARGAS!AC$16:AC$37)+SUMIF(REVENDIDOS!$B$16:$B$25,$A57,REVENDIDOS!T$16:T$25)</f>
        <v>15620.25307</v>
      </c>
      <c r="N57" s="13" t="n">
        <f aca="false">SUMIF(MANUALES!$B$16:$B$69,$A57,MANUALES!T$16:T$69)+SUMIF(RODANTES!$B$16:$B$68,$A57,RODANTES!T$16:T$68)+SUMIF(RECARGAS!$B$16:$B$37,$A57,RECARGAS!AD$16:AD$37)+SUMIF(REVENDIDOS!$B$16:$B$25,$A57,REVENDIDOS!U$16:U$25)</f>
        <v>20332.55326</v>
      </c>
      <c r="O57" s="13" t="n">
        <f aca="false">SUMIF(MANUALES!$B$16:$B$69,$A57,MANUALES!U$16:U$69)+SUMIF(RODANTES!$B$16:$B$68,$A57,RODANTES!U$16:U$68)+SUMIF(RECARGAS!$B$16:$B$37,$A57,RECARGAS!AE$16:AE$37)+SUMIF(REVENDIDOS!$B$16:$B$25,$A57,REVENDIDOS!V$16:V$25)</f>
        <v>25132.07848</v>
      </c>
      <c r="P57" s="13" t="n">
        <f aca="false">SUMIF(MANUALES!$B$16:$B$69,$A57,MANUALES!V$16:V$69)+SUMIF(RODANTES!$B$16:$B$68,$A57,RODANTES!V$16:V$68)+SUMIF(RECARGAS!$B$16:$B$37,$A57,RECARGAS!AF$16:AF$37)+SUMIF(REVENDIDOS!$B$16:$B$25,$A57,REVENDIDOS!W$16:W$25)</f>
        <v>28573.33614</v>
      </c>
      <c r="Q57" s="13" t="n">
        <f aca="false">SUMIF(MANUALES!$B$16:$B$69,$A57,MANUALES!W$16:W$69)+SUMIF(RODANTES!$B$16:$B$68,$A57,RODANTES!W$16:W$68)+SUMIF(RECARGAS!$B$16:$B$37,$A57,RECARGAS!AG$16:AG$37)+SUMIF(REVENDIDOS!$B$16:$B$25,$A57,REVENDIDOS!X$16:X$25)</f>
        <v>32072.63913</v>
      </c>
      <c r="R57" s="13" t="n">
        <f aca="false">SUMIF(MANUALES!$B$16:$B$69,$A57,MANUALES!X$16:X$69)+SUMIF(RODANTES!$B$16:$B$68,$A57,RODANTES!X$16:X$68)+SUMIF(RECARGAS!$B$16:$B$37,$A57,RECARGAS!AH$16:AH$37)+SUMIF(REVENDIDOS!$B$16:$B$25,$A57,REVENDIDOS!Y$16:Y$25)</f>
        <v>3848.7166956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SUMIF(MANUALES!$B$16:$B$69,$A58,MANUALES!W$16:W$69)</f>
        <v>7424.858444</v>
      </c>
      <c r="E58" s="13" t="n">
        <f aca="false">SUMIF(RODANTES!$B$16:$B$68,$A58,RODANTES!W$16:W$68)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SUMIF(MANUALES!$B$16:$B$69,$A58,MANUALES!N$16:N$69)+SUMIF(RODANTES!$B$16:$B$68,$A58,RODANTES!N$16:N$68)+SUMIF(RECARGAS!$B$16:$B$37,$A58,RECARGAS!X$16:X$37)+SUMIF(REVENDIDOS!$B$16:$B$25,$A58,REVENDIDOS!O$16:O$25)</f>
        <v>295.0303572</v>
      </c>
      <c r="I58" s="13" t="n">
        <f aca="false">SUMIF(MANUALES!$B$16:$B$69,$A58,MANUALES!O$16:O$69)+SUMIF(RODANTES!$B$16:$B$68,$A58,RODANTES!O$16:O$68)+SUMIF(RECARGAS!$B$16:$B$37,$A58,RECARGAS!Y$16:Y$37)+SUMIF(REVENDIDOS!$B$16:$B$25,$A58,REVENDIDOS!P$16:P$25)</f>
        <v>709.7274503</v>
      </c>
      <c r="J58" s="13" t="n">
        <f aca="false">SUMIF(MANUALES!$B$16:$B$69,$A58,MANUALES!P$16:P$69)+SUMIF(RODANTES!$B$16:$B$68,$A58,RODANTES!P$16:P$68)+SUMIF(RECARGAS!$B$16:$B$37,$A58,RECARGAS!Z$16:Z$37)+SUMIF(REVENDIDOS!$B$16:$B$25,$A58,REVENDIDOS!Q$16:Q$25)</f>
        <v>986.8680576</v>
      </c>
      <c r="K58" s="13" t="n">
        <f aca="false">SUMIF(MANUALES!$B$16:$B$69,$A58,MANUALES!Q$16:Q$69)+SUMIF(RODANTES!$B$16:$B$68,$A58,RODANTES!Q$16:Q$68)+SUMIF(RECARGAS!$B$16:$B$37,$A58,RECARGAS!AA$16:AA$37)+SUMIF(REVENDIDOS!$B$16:$B$25,$A58,REVENDIDOS!R$16:R$25)</f>
        <v>1500.638174</v>
      </c>
      <c r="L58" s="13" t="n">
        <f aca="false">SUMIF(MANUALES!$B$16:$B$69,$A58,MANUALES!R$16:R$69)+SUMIF(RODANTES!$B$16:$B$68,$A58,RODANTES!R$16:R$68)+SUMIF(RECARGAS!$B$16:$B$37,$A58,RECARGAS!AB$16:AB$37)+SUMIF(REVENDIDOS!$B$16:$B$25,$A58,REVENDIDOS!S$16:S$25)</f>
        <v>2312.627726</v>
      </c>
      <c r="M58" s="13" t="n">
        <f aca="false">SUMIF(MANUALES!$B$16:$B$69,$A58,MANUALES!S$16:S$69)+SUMIF(RODANTES!$B$16:$B$68,$A58,RODANTES!S$16:S$68)+SUMIF(RECARGAS!$B$16:$B$37,$A58,RECARGAS!AC$16:AC$37)+SUMIF(REVENDIDOS!$B$16:$B$25,$A58,REVENDIDOS!T$16:T$25)</f>
        <v>3252.869887</v>
      </c>
      <c r="N58" s="13" t="n">
        <f aca="false">SUMIF(MANUALES!$B$16:$B$69,$A58,MANUALES!T$16:T$69)+SUMIF(RODANTES!$B$16:$B$68,$A58,RODANTES!T$16:T$68)+SUMIF(RECARGAS!$B$16:$B$37,$A58,RECARGAS!AD$16:AD$37)+SUMIF(REVENDIDOS!$B$16:$B$25,$A58,REVENDIDOS!U$16:U$25)</f>
        <v>4102.315524</v>
      </c>
      <c r="O58" s="13" t="n">
        <f aca="false">SUMIF(MANUALES!$B$16:$B$69,$A58,MANUALES!U$16:U$69)+SUMIF(RODANTES!$B$16:$B$68,$A58,RODANTES!U$16:U$68)+SUMIF(RECARGAS!$B$16:$B$37,$A58,RECARGAS!AE$16:AE$37)+SUMIF(REVENDIDOS!$B$16:$B$25,$A58,REVENDIDOS!V$16:V$25)</f>
        <v>5104.306587</v>
      </c>
      <c r="P58" s="13" t="n">
        <f aca="false">SUMIF(MANUALES!$B$16:$B$69,$A58,MANUALES!V$16:V$69)+SUMIF(RODANTES!$B$16:$B$68,$A58,RODANTES!V$16:V$68)+SUMIF(RECARGAS!$B$16:$B$37,$A58,RECARGAS!AF$16:AF$37)+SUMIF(REVENDIDOS!$B$16:$B$25,$A58,REVENDIDOS!W$16:W$25)</f>
        <v>6195.186243</v>
      </c>
      <c r="Q58" s="13" t="n">
        <f aca="false">SUMIF(MANUALES!$B$16:$B$69,$A58,MANUALES!W$16:W$69)+SUMIF(RODANTES!$B$16:$B$68,$A58,RODANTES!W$16:W$68)+SUMIF(RECARGAS!$B$16:$B$37,$A58,RECARGAS!AG$16:AG$37)+SUMIF(REVENDIDOS!$B$16:$B$25,$A58,REVENDIDOS!X$16:X$25)</f>
        <v>7424.858444</v>
      </c>
      <c r="R58" s="13" t="n">
        <f aca="false">SUMIF(MANUALES!$B$16:$B$69,$A58,MANUALES!X$16:X$69)+SUMIF(RODANTES!$B$16:$B$68,$A58,RODANTES!X$16:X$68)+SUMIF(RECARGAS!$B$16:$B$37,$A58,RECARGAS!AH$16:AH$37)+SUMIF(REVENDIDOS!$B$16:$B$25,$A58,REVENDIDOS!Y$16:Y$25)</f>
        <v>816.73442884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SUMIF(MANUALES!$B$16:$B$69,$A59,MANUALES!W$16:W$69)</f>
        <v>32428.7706862536</v>
      </c>
      <c r="E59" s="13" t="n">
        <f aca="false">SUMIF(RODANTES!$B$16:$B$68,$A59,RODANTES!W$16:W$68)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SUMIF(MANUALES!$B$16:$B$69,$A59,MANUALES!N$16:N$69)+SUMIF(RODANTES!$B$16:$B$68,$A59,RODANTES!N$16:N$68)+SUMIF(RECARGAS!$B$16:$B$37,$A59,RECARGAS!X$16:X$37)+SUMIF(REVENDIDOS!$B$16:$B$25,$A59,REVENDIDOS!O$16:O$25)</f>
        <v>2727.90356888796</v>
      </c>
      <c r="I59" s="13" t="n">
        <f aca="false">SUMIF(MANUALES!$B$16:$B$69,$A59,MANUALES!O$16:O$69)+SUMIF(RODANTES!$B$16:$B$68,$A59,RODANTES!O$16:O$68)+SUMIF(RECARGAS!$B$16:$B$37,$A59,RECARGAS!Y$16:Y$37)+SUMIF(REVENDIDOS!$B$16:$B$25,$A59,REVENDIDOS!P$16:P$25)</f>
        <v>5488.91063218589</v>
      </c>
      <c r="J59" s="13" t="n">
        <f aca="false">SUMIF(MANUALES!$B$16:$B$69,$A59,MANUALES!P$16:P$69)+SUMIF(RODANTES!$B$16:$B$68,$A59,RODANTES!P$16:P$68)+SUMIF(RECARGAS!$B$16:$B$37,$A59,RECARGAS!Z$16:Z$37)+SUMIF(REVENDIDOS!$B$16:$B$25,$A59,REVENDIDOS!Q$16:Q$25)</f>
        <v>7206.58549675331</v>
      </c>
      <c r="K59" s="13" t="n">
        <f aca="false">SUMIF(MANUALES!$B$16:$B$69,$A59,MANUALES!Q$16:Q$69)+SUMIF(RODANTES!$B$16:$B$68,$A59,RODANTES!Q$16:Q$68)+SUMIF(RECARGAS!$B$16:$B$37,$A59,RECARGAS!AA$16:AA$37)+SUMIF(REVENDIDOS!$B$16:$B$25,$A59,REVENDIDOS!R$16:R$25)</f>
        <v>10420.9077932162</v>
      </c>
      <c r="L59" s="13" t="n">
        <f aca="false">SUMIF(MANUALES!$B$16:$B$69,$A59,MANUALES!R$16:R$69)+SUMIF(RODANTES!$B$16:$B$68,$A59,RODANTES!R$16:R$68)+SUMIF(RECARGAS!$B$16:$B$37,$A59,RECARGAS!AB$16:AB$37)+SUMIF(REVENDIDOS!$B$16:$B$25,$A59,REVENDIDOS!S$16:S$25)</f>
        <v>14495.0713349105</v>
      </c>
      <c r="M59" s="13" t="n">
        <f aca="false">SUMIF(MANUALES!$B$16:$B$69,$A59,MANUALES!S$16:S$69)+SUMIF(RODANTES!$B$16:$B$68,$A59,RODANTES!S$16:S$68)+SUMIF(RECARGAS!$B$16:$B$37,$A59,RECARGAS!AC$16:AC$37)+SUMIF(REVENDIDOS!$B$16:$B$25,$A59,REVENDIDOS!T$16:T$25)</f>
        <v>18737.0609615097</v>
      </c>
      <c r="N59" s="13" t="n">
        <f aca="false">SUMIF(MANUALES!$B$16:$B$69,$A59,MANUALES!T$16:T$69)+SUMIF(RODANTES!$B$16:$B$68,$A59,RODANTES!T$16:T$68)+SUMIF(RECARGAS!$B$16:$B$37,$A59,RECARGAS!AD$16:AD$37)+SUMIF(REVENDIDOS!$B$16:$B$25,$A59,REVENDIDOS!U$16:U$25)</f>
        <v>22634.4822225078</v>
      </c>
      <c r="O59" s="13" t="n">
        <f aca="false">SUMIF(MANUALES!$B$16:$B$69,$A59,MANUALES!U$16:U$69)+SUMIF(RODANTES!$B$16:$B$68,$A59,RODANTES!U$16:U$68)+SUMIF(RECARGAS!$B$16:$B$37,$A59,RECARGAS!AE$16:AE$37)+SUMIF(REVENDIDOS!$B$16:$B$25,$A59,REVENDIDOS!V$16:V$25)</f>
        <v>26002.338467674</v>
      </c>
      <c r="P59" s="13" t="n">
        <f aca="false">SUMIF(MANUALES!$B$16:$B$69,$A59,MANUALES!V$16:V$69)+SUMIF(RODANTES!$B$16:$B$68,$A59,RODANTES!V$16:V$68)+SUMIF(RECARGAS!$B$16:$B$37,$A59,RECARGAS!AF$16:AF$37)+SUMIF(REVENDIDOS!$B$16:$B$25,$A59,REVENDIDOS!W$16:W$25)</f>
        <v>28613.3997200898</v>
      </c>
      <c r="Q59" s="13" t="n">
        <f aca="false">SUMIF(MANUALES!$B$16:$B$69,$A59,MANUALES!W$16:W$69)+SUMIF(RODANTES!$B$16:$B$68,$A59,RODANTES!W$16:W$68)+SUMIF(RECARGAS!$B$16:$B$37,$A59,RECARGAS!AG$16:AG$37)+SUMIF(REVENDIDOS!$B$16:$B$25,$A59,REVENDIDOS!X$16:X$25)</f>
        <v>32428.7706862536</v>
      </c>
      <c r="R59" s="13" t="n">
        <f aca="false">SUMIF(MANUALES!$B$16:$B$69,$A59,MANUALES!X$16:X$69)+SUMIF(RODANTES!$B$16:$B$68,$A59,RODANTES!X$16:X$68)+SUMIF(RECARGAS!$B$16:$B$37,$A59,RECARGAS!AH$16:AH$37)+SUMIF(REVENDIDOS!$B$16:$B$25,$A59,REVENDIDOS!Y$16:Y$25)</f>
        <v>3567.1647754879</v>
      </c>
    </row>
    <row r="60" customFormat="false" ht="15" hidden="false" customHeight="false" outlineLevel="0" collapsed="false">
      <c r="A60" s="3" t="s">
        <v>256</v>
      </c>
      <c r="B60" s="3" t="s">
        <v>257</v>
      </c>
      <c r="C60" s="3" t="s">
        <v>214</v>
      </c>
      <c r="D60" s="13" t="n">
        <f aca="false">SUMIF(MANUALES!$B$16:$B$69,$A60,MANUALES!W$16:W$69)</f>
        <v>1842.87697319699</v>
      </c>
      <c r="E60" s="13" t="n">
        <f aca="false">SUMIF(RODANTES!$B$16:$B$68,$A60,RODANTES!W$16:W$68)</f>
        <v>0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SUMIF(MANUALES!$B$16:$B$69,$A60,MANUALES!N$16:N$69)+SUMIF(RODANTES!$B$16:$B$68,$A60,RODANTES!N$16:N$68)+SUMIF(RECARGAS!$B$16:$B$37,$A60,RECARGAS!X$16:X$37)+SUMIF(REVENDIDOS!$B$16:$B$25,$A60,REVENDIDOS!O$16:O$25)</f>
        <v>92.4087543518401</v>
      </c>
      <c r="I60" s="13" t="n">
        <f aca="false">SUMIF(MANUALES!$B$16:$B$69,$A60,MANUALES!O$16:O$69)+SUMIF(RODANTES!$B$16:$B$68,$A60,RODANTES!O$16:O$68)+SUMIF(RECARGAS!$B$16:$B$37,$A60,RECARGAS!Y$16:Y$37)+SUMIF(REVENDIDOS!$B$16:$B$25,$A60,REVENDIDOS!P$16:P$25)</f>
        <v>178.139434573852</v>
      </c>
      <c r="J60" s="13" t="n">
        <f aca="false">SUMIF(MANUALES!$B$16:$B$69,$A60,MANUALES!P$16:P$69)+SUMIF(RODANTES!$B$16:$B$68,$A60,RODANTES!P$16:P$68)+SUMIF(RECARGAS!$B$16:$B$37,$A60,RECARGAS!Z$16:Z$37)+SUMIF(REVENDIDOS!$B$16:$B$25,$A60,REVENDIDOS!Q$16:Q$25)</f>
        <v>255.06523127917</v>
      </c>
      <c r="K60" s="13" t="n">
        <f aca="false">SUMIF(MANUALES!$B$16:$B$69,$A60,MANUALES!Q$16:Q$69)+SUMIF(RODANTES!$B$16:$B$68,$A60,RODANTES!Q$16:Q$68)+SUMIF(RECARGAS!$B$16:$B$37,$A60,RECARGAS!AA$16:AA$37)+SUMIF(REVENDIDOS!$B$16:$B$25,$A60,REVENDIDOS!R$16:R$25)</f>
        <v>361.071030055753</v>
      </c>
      <c r="L60" s="13" t="n">
        <f aca="false">SUMIF(MANUALES!$B$16:$B$69,$A60,MANUALES!R$16:R$69)+SUMIF(RODANTES!$B$16:$B$68,$A60,RODANTES!R$16:R$68)+SUMIF(RECARGAS!$B$16:$B$37,$A60,RECARGAS!AB$16:AB$37)+SUMIF(REVENDIDOS!$B$16:$B$25,$A60,REVENDIDOS!S$16:S$25)</f>
        <v>605.624794650293</v>
      </c>
      <c r="M60" s="13" t="n">
        <f aca="false">SUMIF(MANUALES!$B$16:$B$69,$A60,MANUALES!S$16:S$69)+SUMIF(RODANTES!$B$16:$B$68,$A60,RODANTES!S$16:S$68)+SUMIF(RECARGAS!$B$16:$B$37,$A60,RECARGAS!AC$16:AC$37)+SUMIF(REVENDIDOS!$B$16:$B$25,$A60,REVENDIDOS!T$16:T$25)</f>
        <v>876.216751457047</v>
      </c>
      <c r="N60" s="13" t="n">
        <f aca="false">SUMIF(MANUALES!$B$16:$B$69,$A60,MANUALES!T$16:T$69)+SUMIF(RODANTES!$B$16:$B$68,$A60,RODANTES!T$16:T$68)+SUMIF(RECARGAS!$B$16:$B$37,$A60,RECARGAS!AD$16:AD$37)+SUMIF(REVENDIDOS!$B$16:$B$25,$A60,REVENDIDOS!U$16:U$25)</f>
        <v>1130.35497416121</v>
      </c>
      <c r="O60" s="13" t="n">
        <f aca="false">SUMIF(MANUALES!$B$16:$B$69,$A60,MANUALES!U$16:U$69)+SUMIF(RODANTES!$B$16:$B$68,$A60,RODANTES!U$16:U$68)+SUMIF(RECARGAS!$B$16:$B$37,$A60,RECARGAS!AE$16:AE$37)+SUMIF(REVENDIDOS!$B$16:$B$25,$A60,REVENDIDOS!V$16:V$25)</f>
        <v>1397.61759940245</v>
      </c>
      <c r="P60" s="13" t="n">
        <f aca="false">SUMIF(MANUALES!$B$16:$B$69,$A60,MANUALES!V$16:V$69)+SUMIF(RODANTES!$B$16:$B$68,$A60,RODANTES!V$16:V$68)+SUMIF(RECARGAS!$B$16:$B$37,$A60,RECARGAS!AF$16:AF$37)+SUMIF(REVENDIDOS!$B$16:$B$25,$A60,REVENDIDOS!W$16:W$25)</f>
        <v>1614.59478800518</v>
      </c>
      <c r="Q60" s="13" t="n">
        <f aca="false">SUMIF(MANUALES!$B$16:$B$69,$A60,MANUALES!W$16:W$69)+SUMIF(RODANTES!$B$16:$B$68,$A60,RODANTES!W$16:W$68)+SUMIF(RECARGAS!$B$16:$B$37,$A60,RECARGAS!AG$16:AG$37)+SUMIF(REVENDIDOS!$B$16:$B$25,$A60,REVENDIDOS!X$16:X$25)</f>
        <v>1842.87697319699</v>
      </c>
      <c r="R60" s="13" t="n">
        <f aca="false">SUMIF(MANUALES!$B$16:$B$69,$A60,MANUALES!X$16:X$69)+SUMIF(RODANTES!$B$16:$B$68,$A60,RODANTES!X$16:X$68)+SUMIF(RECARGAS!$B$16:$B$37,$A60,RECARGAS!AH$16:AH$37)+SUMIF(REVENDIDOS!$B$16:$B$25,$A60,REVENDIDOS!Y$16:Y$25)</f>
        <v>202.716467051669</v>
      </c>
    </row>
    <row r="61" customFormat="false" ht="15" hidden="false" customHeight="false" outlineLevel="0" collapsed="false">
      <c r="A61" s="3" t="s">
        <v>444</v>
      </c>
      <c r="B61" s="3" t="s">
        <v>445</v>
      </c>
      <c r="C61" s="3" t="s">
        <v>214</v>
      </c>
      <c r="D61" s="13" t="n">
        <f aca="false">SUMIF(MANUALES!$B$16:$B$69,$A61,MANUALES!W$16:W$69)</f>
        <v>0</v>
      </c>
      <c r="E61" s="13" t="n">
        <f aca="false">SUMIF(RODANTES!$B$16:$B$68,$A61,RODANTES!W$16:W$68)</f>
        <v>453.2705332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SUMIF(MANUALES!$B$16:$B$69,$A61,MANUALES!N$16:N$69)+SUMIF(RODANTES!$B$16:$B$68,$A61,RODANTES!N$16:N$68)+SUMIF(RECARGAS!$B$16:$B$37,$A61,RECARGAS!X$16:X$37)+SUMIF(REVENDIDOS!$B$16:$B$25,$A61,REVENDIDOS!O$16:O$25)</f>
        <v>34.05179136</v>
      </c>
      <c r="I61" s="13" t="n">
        <f aca="false">SUMIF(MANUALES!$B$16:$B$69,$A61,MANUALES!O$16:O$69)+SUMIF(RODANTES!$B$16:$B$68,$A61,RODANTES!O$16:O$68)+SUMIF(RECARGAS!$B$16:$B$37,$A61,RECARGAS!Y$16:Y$37)+SUMIF(REVENDIDOS!$B$16:$B$25,$A61,REVENDIDOS!P$16:P$25)</f>
        <v>58.46214745</v>
      </c>
      <c r="J61" s="13" t="n">
        <f aca="false">SUMIF(MANUALES!$B$16:$B$69,$A61,MANUALES!P$16:P$69)+SUMIF(RODANTES!$B$16:$B$68,$A61,RODANTES!P$16:P$68)+SUMIF(RECARGAS!$B$16:$B$37,$A61,RECARGAS!Z$16:Z$37)+SUMIF(REVENDIDOS!$B$16:$B$25,$A61,REVENDIDOS!Q$16:Q$25)</f>
        <v>75.20853998</v>
      </c>
      <c r="K61" s="13" t="n">
        <f aca="false">SUMIF(MANUALES!$B$16:$B$69,$A61,MANUALES!Q$16:Q$69)+SUMIF(RODANTES!$B$16:$B$68,$A61,RODANTES!Q$16:Q$68)+SUMIF(RECARGAS!$B$16:$B$37,$A61,RECARGAS!AA$16:AA$37)+SUMIF(REVENDIDOS!$B$16:$B$25,$A61,REVENDIDOS!R$16:R$25)</f>
        <v>100.5298529</v>
      </c>
      <c r="L61" s="13" t="n">
        <f aca="false">SUMIF(MANUALES!$B$16:$B$69,$A61,MANUALES!R$16:R$69)+SUMIF(RODANTES!$B$16:$B$68,$A61,RODANTES!R$16:R$68)+SUMIF(RECARGAS!$B$16:$B$37,$A61,RECARGAS!AB$16:AB$37)+SUMIF(REVENDIDOS!$B$16:$B$25,$A61,REVENDIDOS!S$16:S$25)</f>
        <v>155.8760035</v>
      </c>
      <c r="M61" s="13" t="n">
        <f aca="false">SUMIF(MANUALES!$B$16:$B$69,$A61,MANUALES!S$16:S$69)+SUMIF(RODANTES!$B$16:$B$68,$A61,RODANTES!S$16:S$68)+SUMIF(RECARGAS!$B$16:$B$37,$A61,RECARGAS!AC$16:AC$37)+SUMIF(REVENDIDOS!$B$16:$B$25,$A61,REVENDIDOS!T$16:T$25)</f>
        <v>211.9344827</v>
      </c>
      <c r="N61" s="13" t="n">
        <f aca="false">SUMIF(MANUALES!$B$16:$B$69,$A61,MANUALES!T$16:T$69)+SUMIF(RODANTES!$B$16:$B$68,$A61,RODANTES!T$16:T$68)+SUMIF(RECARGAS!$B$16:$B$37,$A61,RECARGAS!AD$16:AD$37)+SUMIF(REVENDIDOS!$B$16:$B$25,$A61,REVENDIDOS!U$16:U$25)</f>
        <v>272.6682332</v>
      </c>
      <c r="O61" s="13" t="n">
        <f aca="false">SUMIF(MANUALES!$B$16:$B$69,$A61,MANUALES!U$16:U$69)+SUMIF(RODANTES!$B$16:$B$68,$A61,RODANTES!U$16:U$68)+SUMIF(RECARGAS!$B$16:$B$37,$A61,RECARGAS!AE$16:AE$37)+SUMIF(REVENDIDOS!$B$16:$B$25,$A61,REVENDIDOS!V$16:V$25)</f>
        <v>337.8486707</v>
      </c>
      <c r="P61" s="13" t="n">
        <f aca="false">SUMIF(MANUALES!$B$16:$B$69,$A61,MANUALES!V$16:V$69)+SUMIF(RODANTES!$B$16:$B$68,$A61,RODANTES!V$16:V$68)+SUMIF(RECARGAS!$B$16:$B$37,$A61,RECARGAS!AF$16:AF$37)+SUMIF(REVENDIDOS!$B$16:$B$25,$A61,REVENDIDOS!W$16:W$25)</f>
        <v>393.6274156</v>
      </c>
      <c r="Q61" s="13" t="n">
        <f aca="false">SUMIF(MANUALES!$B$16:$B$69,$A61,MANUALES!W$16:W$69)+SUMIF(RODANTES!$B$16:$B$68,$A61,RODANTES!W$16:W$68)+SUMIF(RECARGAS!$B$16:$B$37,$A61,RECARGAS!AG$16:AG$37)+SUMIF(REVENDIDOS!$B$16:$B$25,$A61,REVENDIDOS!X$16:X$25)</f>
        <v>453.2705332</v>
      </c>
      <c r="R61" s="13" t="n">
        <f aca="false">SUMIF(MANUALES!$B$16:$B$69,$A61,MANUALES!X$16:X$69)+SUMIF(RODANTES!$B$16:$B$68,$A61,RODANTES!X$16:X$68)+SUMIF(RECARGAS!$B$16:$B$37,$A61,RECARGAS!AH$16:AH$37)+SUMIF(REVENDIDOS!$B$16:$B$25,$A61,REVENDIDOS!Y$16:Y$25)</f>
        <v>40.794347988</v>
      </c>
    </row>
    <row r="62" customFormat="false" ht="15" hidden="false" customHeight="false" outlineLevel="0" collapsed="false">
      <c r="A62" s="3" t="s">
        <v>447</v>
      </c>
      <c r="B62" s="3" t="s">
        <v>448</v>
      </c>
      <c r="C62" s="3" t="s">
        <v>214</v>
      </c>
      <c r="D62" s="13" t="n">
        <f aca="false">SUMIF(MANUALES!$B$16:$B$69,$A62,MANUALES!W$16:W$69)</f>
        <v>0</v>
      </c>
      <c r="E62" s="13" t="n">
        <f aca="false">SUMIF(RODANTES!$B$16:$B$68,$A62,RODANTES!W$16:W$68)</f>
        <v>998.259982820404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SUMIF(MANUALES!$B$16:$B$69,$A62,MANUALES!N$16:N$69)+SUMIF(RODANTES!$B$16:$B$68,$A62,RODANTES!N$16:N$68)+SUMIF(RECARGAS!$B$16:$B$37,$A62,RECARGAS!X$16:X$37)+SUMIF(REVENDIDOS!$B$16:$B$25,$A62,REVENDIDOS!O$16:O$25)</f>
        <v>75.2017274109201</v>
      </c>
      <c r="I62" s="13" t="n">
        <f aca="false">SUMIF(MANUALES!$B$16:$B$69,$A62,MANUALES!O$16:O$69)+SUMIF(RODANTES!$B$16:$B$68,$A62,RODANTES!O$16:O$68)+SUMIF(RECARGAS!$B$16:$B$37,$A62,RECARGAS!Y$16:Y$37)+SUMIF(REVENDIDOS!$B$16:$B$25,$A62,REVENDIDOS!P$16:P$25)</f>
        <v>129.206686542386</v>
      </c>
      <c r="J62" s="13" t="n">
        <f aca="false">SUMIF(MANUALES!$B$16:$B$69,$A62,MANUALES!P$16:P$69)+SUMIF(RODANTES!$B$16:$B$68,$A62,RODANTES!P$16:P$68)+SUMIF(RECARGAS!$B$16:$B$37,$A62,RECARGAS!Z$16:Z$37)+SUMIF(REVENDIDOS!$B$16:$B$25,$A62,REVENDIDOS!Q$16:Q$25)</f>
        <v>166.653101605318</v>
      </c>
      <c r="K62" s="13" t="n">
        <f aca="false">SUMIF(MANUALES!$B$16:$B$69,$A62,MANUALES!Q$16:Q$69)+SUMIF(RODANTES!$B$16:$B$68,$A62,RODANTES!Q$16:Q$68)+SUMIF(RECARGAS!$B$16:$B$37,$A62,RECARGAS!AA$16:AA$37)+SUMIF(REVENDIDOS!$B$16:$B$25,$A62,REVENDIDOS!R$16:R$25)</f>
        <v>222.705333798422</v>
      </c>
      <c r="L62" s="13" t="n">
        <f aca="false">SUMIF(MANUALES!$B$16:$B$69,$A62,MANUALES!R$16:R$69)+SUMIF(RODANTES!$B$16:$B$68,$A62,RODANTES!R$16:R$68)+SUMIF(RECARGAS!$B$16:$B$37,$A62,RECARGAS!AB$16:AB$37)+SUMIF(REVENDIDOS!$B$16:$B$25,$A62,REVENDIDOS!S$16:S$25)</f>
        <v>344.538811601152</v>
      </c>
      <c r="M62" s="13" t="n">
        <f aca="false">SUMIF(MANUALES!$B$16:$B$69,$A62,MANUALES!S$16:S$69)+SUMIF(RODANTES!$B$16:$B$68,$A62,RODANTES!S$16:S$68)+SUMIF(RECARGAS!$B$16:$B$37,$A62,RECARGAS!AC$16:AC$37)+SUMIF(REVENDIDOS!$B$16:$B$25,$A62,REVENDIDOS!T$16:T$25)</f>
        <v>468.227198914802</v>
      </c>
      <c r="N62" s="13" t="n">
        <f aca="false">SUMIF(MANUALES!$B$16:$B$69,$A62,MANUALES!T$16:T$69)+SUMIF(RODANTES!$B$16:$B$68,$A62,RODANTES!T$16:T$68)+SUMIF(RECARGAS!$B$16:$B$37,$A62,RECARGAS!AD$16:AD$37)+SUMIF(REVENDIDOS!$B$16:$B$25,$A62,REVENDIDOS!U$16:U$25)</f>
        <v>601.639999327158</v>
      </c>
      <c r="O62" s="13" t="n">
        <f aca="false">SUMIF(MANUALES!$B$16:$B$69,$A62,MANUALES!U$16:U$69)+SUMIF(RODANTES!$B$16:$B$68,$A62,RODANTES!U$16:U$68)+SUMIF(RECARGAS!$B$16:$B$37,$A62,RECARGAS!AE$16:AE$37)+SUMIF(REVENDIDOS!$B$16:$B$25,$A62,REVENDIDOS!V$16:V$25)</f>
        <v>744.533335808048</v>
      </c>
      <c r="P62" s="13" t="n">
        <f aca="false">SUMIF(MANUALES!$B$16:$B$69,$A62,MANUALES!V$16:V$69)+SUMIF(RODANTES!$B$16:$B$68,$A62,RODANTES!V$16:V$68)+SUMIF(RECARGAS!$B$16:$B$37,$A62,RECARGAS!AF$16:AF$37)+SUMIF(REVENDIDOS!$B$16:$B$25,$A62,REVENDIDOS!W$16:W$25)</f>
        <v>867.289742469686</v>
      </c>
      <c r="Q62" s="13" t="n">
        <f aca="false">SUMIF(MANUALES!$B$16:$B$69,$A62,MANUALES!W$16:W$69)+SUMIF(RODANTES!$B$16:$B$68,$A62,RODANTES!W$16:W$68)+SUMIF(RECARGAS!$B$16:$B$37,$A62,RECARGAS!AG$16:AG$37)+SUMIF(REVENDIDOS!$B$16:$B$25,$A62,REVENDIDOS!X$16:X$25)</f>
        <v>998.259982820404</v>
      </c>
      <c r="R62" s="13" t="n">
        <f aca="false">SUMIF(MANUALES!$B$16:$B$69,$A62,MANUALES!X$16:X$69)+SUMIF(RODANTES!$B$16:$B$68,$A62,RODANTES!X$16:X$68)+SUMIF(RECARGAS!$B$16:$B$37,$A62,RECARGAS!AH$16:AH$37)+SUMIF(REVENDIDOS!$B$16:$B$25,$A62,REVENDIDOS!Y$16:Y$25)</f>
        <v>89.8433984538364</v>
      </c>
    </row>
    <row r="63" customFormat="false" ht="15" hidden="false" customHeight="false" outlineLevel="0" collapsed="false">
      <c r="A63" s="3" t="s">
        <v>450</v>
      </c>
      <c r="B63" s="3" t="s">
        <v>451</v>
      </c>
      <c r="C63" s="3" t="s">
        <v>214</v>
      </c>
      <c r="D63" s="13" t="n">
        <f aca="false">SUMIF(MANUALES!$B$16:$B$69,$A63,MANUALES!W$16:W$69)</f>
        <v>0</v>
      </c>
      <c r="E63" s="13" t="n">
        <f aca="false">SUMIF(RODANTES!$B$16:$B$68,$A63,RODANTES!W$16:W$68)</f>
        <v>217.569856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SUMIF(MANUALES!$B$16:$B$69,$A63,MANUALES!N$16:N$69)+SUMIF(RODANTES!$B$16:$B$68,$A63,RODANTES!N$16:N$68)+SUMIF(RECARGAS!$B$16:$B$37,$A63,RECARGAS!X$16:X$37)+SUMIF(REVENDIDOS!$B$16:$B$25,$A63,REVENDIDOS!O$16:O$25)</f>
        <v>16.34485985</v>
      </c>
      <c r="I63" s="13" t="n">
        <f aca="false">SUMIF(MANUALES!$B$16:$B$69,$A63,MANUALES!O$16:O$69)+SUMIF(RODANTES!$B$16:$B$68,$A63,RODANTES!O$16:O$68)+SUMIF(RECARGAS!$B$16:$B$37,$A63,RECARGAS!Y$16:Y$37)+SUMIF(REVENDIDOS!$B$16:$B$25,$A63,REVENDIDOS!P$16:P$25)</f>
        <v>28.06183078</v>
      </c>
      <c r="J63" s="13" t="n">
        <f aca="false">SUMIF(MANUALES!$B$16:$B$69,$A63,MANUALES!P$16:P$69)+SUMIF(RODANTES!$B$16:$B$68,$A63,RODANTES!P$16:P$68)+SUMIF(RECARGAS!$B$16:$B$37,$A63,RECARGAS!Z$16:Z$37)+SUMIF(REVENDIDOS!$B$16:$B$25,$A63,REVENDIDOS!Q$16:Q$25)</f>
        <v>36.10009919</v>
      </c>
      <c r="K63" s="13" t="n">
        <f aca="false">SUMIF(MANUALES!$B$16:$B$69,$A63,MANUALES!Q$16:Q$69)+SUMIF(RODANTES!$B$16:$B$68,$A63,RODANTES!Q$16:Q$68)+SUMIF(RECARGAS!$B$16:$B$37,$A63,RECARGAS!AA$16:AA$37)+SUMIF(REVENDIDOS!$B$16:$B$25,$A63,REVENDIDOS!R$16:R$25)</f>
        <v>48.25432941</v>
      </c>
      <c r="L63" s="13" t="n">
        <f aca="false">SUMIF(MANUALES!$B$16:$B$69,$A63,MANUALES!R$16:R$69)+SUMIF(RODANTES!$B$16:$B$68,$A63,RODANTES!R$16:R$68)+SUMIF(RECARGAS!$B$16:$B$37,$A63,RECARGAS!AB$16:AB$37)+SUMIF(REVENDIDOS!$B$16:$B$25,$A63,REVENDIDOS!S$16:S$25)</f>
        <v>74.82048167</v>
      </c>
      <c r="M63" s="13" t="n">
        <f aca="false">SUMIF(MANUALES!$B$16:$B$69,$A63,MANUALES!S$16:S$69)+SUMIF(RODANTES!$B$16:$B$68,$A63,RODANTES!S$16:S$68)+SUMIF(RECARGAS!$B$16:$B$37,$A63,RECARGAS!AC$16:AC$37)+SUMIF(REVENDIDOS!$B$16:$B$25,$A63,REVENDIDOS!T$16:T$25)</f>
        <v>101.7285517</v>
      </c>
      <c r="N63" s="13" t="n">
        <f aca="false">SUMIF(MANUALES!$B$16:$B$69,$A63,MANUALES!T$16:T$69)+SUMIF(RODANTES!$B$16:$B$68,$A63,RODANTES!T$16:T$68)+SUMIF(RECARGAS!$B$16:$B$37,$A63,RECARGAS!AD$16:AD$37)+SUMIF(REVENDIDOS!$B$16:$B$25,$A63,REVENDIDOS!U$16:U$25)</f>
        <v>130.8807519</v>
      </c>
      <c r="O63" s="13" t="n">
        <f aca="false">SUMIF(MANUALES!$B$16:$B$69,$A63,MANUALES!U$16:U$69)+SUMIF(RODANTES!$B$16:$B$68,$A63,RODANTES!U$16:U$68)+SUMIF(RECARGAS!$B$16:$B$37,$A63,RECARGAS!AE$16:AE$37)+SUMIF(REVENDIDOS!$B$16:$B$25,$A63,REVENDIDOS!V$16:V$25)</f>
        <v>162.1673619</v>
      </c>
      <c r="P63" s="13" t="n">
        <f aca="false">SUMIF(MANUALES!$B$16:$B$69,$A63,MANUALES!V$16:V$69)+SUMIF(RODANTES!$B$16:$B$68,$A63,RODANTES!V$16:V$68)+SUMIF(RECARGAS!$B$16:$B$37,$A63,RECARGAS!AF$16:AF$37)+SUMIF(REVENDIDOS!$B$16:$B$25,$A63,REVENDIDOS!W$16:W$25)</f>
        <v>188.9411595</v>
      </c>
      <c r="Q63" s="13" t="n">
        <f aca="false">SUMIF(MANUALES!$B$16:$B$69,$A63,MANUALES!W$16:W$69)+SUMIF(RODANTES!$B$16:$B$68,$A63,RODANTES!W$16:W$68)+SUMIF(RECARGAS!$B$16:$B$37,$A63,RECARGAS!AG$16:AG$37)+SUMIF(REVENDIDOS!$B$16:$B$25,$A63,REVENDIDOS!X$16:X$25)</f>
        <v>217.569856</v>
      </c>
      <c r="R63" s="13" t="n">
        <f aca="false">SUMIF(MANUALES!$B$16:$B$69,$A63,MANUALES!X$16:X$69)+SUMIF(RODANTES!$B$16:$B$68,$A63,RODANTES!X$16:X$68)+SUMIF(RECARGAS!$B$16:$B$37,$A63,RECARGAS!AH$16:AH$37)+SUMIF(REVENDIDOS!$B$16:$B$25,$A63,REVENDIDOS!Y$16:Y$25)</f>
        <v>19.58128704</v>
      </c>
    </row>
    <row r="64" customFormat="false" ht="15" hidden="false" customHeight="false" outlineLevel="0" collapsed="false">
      <c r="A64" s="3" t="s">
        <v>453</v>
      </c>
      <c r="B64" s="3" t="s">
        <v>454</v>
      </c>
      <c r="C64" s="3" t="s">
        <v>214</v>
      </c>
      <c r="D64" s="13" t="n">
        <f aca="false">SUMIF(MANUALES!$B$16:$B$69,$A64,MANUALES!W$16:W$69)</f>
        <v>0</v>
      </c>
      <c r="E64" s="13" t="n">
        <f aca="false">SUMIF(RODANTES!$B$16:$B$68,$A64,RODANTES!W$16:W$68)</f>
        <v>145.176074484914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SUMIF(MANUALES!$B$16:$B$69,$A64,MANUALES!N$16:N$69)+SUMIF(RODANTES!$B$16:$B$68,$A64,RODANTES!N$16:N$68)+SUMIF(RECARGAS!$B$16:$B$37,$A64,RECARGAS!X$16:X$37)+SUMIF(REVENDIDOS!$B$16:$B$25,$A64,REVENDIDOS!O$16:O$25)</f>
        <v>11.1843596509201</v>
      </c>
      <c r="I64" s="13" t="n">
        <f aca="false">SUMIF(MANUALES!$B$16:$B$69,$A64,MANUALES!O$16:O$69)+SUMIF(RODANTES!$B$16:$B$68,$A64,RODANTES!O$16:O$68)+SUMIF(RECARGAS!$B$16:$B$37,$A64,RECARGAS!Y$16:Y$37)+SUMIF(REVENDIDOS!$B$16:$B$25,$A64,REVENDIDOS!P$16:P$25)</f>
        <v>18.722276510546</v>
      </c>
      <c r="J64" s="13" t="n">
        <f aca="false">SUMIF(MANUALES!$B$16:$B$69,$A64,MANUALES!P$16:P$69)+SUMIF(RODANTES!$B$16:$B$68,$A64,RODANTES!P$16:P$68)+SUMIF(RECARGAS!$B$16:$B$37,$A64,RECARGAS!Z$16:Z$37)+SUMIF(REVENDIDOS!$B$16:$B$25,$A64,REVENDIDOS!Q$16:Q$25)</f>
        <v>24.3689085214661</v>
      </c>
      <c r="K64" s="13" t="n">
        <f aca="false">SUMIF(MANUALES!$B$16:$B$69,$A64,MANUALES!Q$16:Q$69)+SUMIF(RODANTES!$B$16:$B$68,$A64,RODANTES!Q$16:Q$68)+SUMIF(RECARGAS!$B$16:$B$37,$A64,RECARGAS!AA$16:AA$37)+SUMIF(REVENDIDOS!$B$16:$B$25,$A64,REVENDIDOS!R$16:R$25)</f>
        <v>32.4861179920121</v>
      </c>
      <c r="L64" s="13" t="n">
        <f aca="false">SUMIF(MANUALES!$B$16:$B$69,$A64,MANUALES!R$16:R$69)+SUMIF(RODANTES!$B$16:$B$68,$A64,RODANTES!R$16:R$68)+SUMIF(RECARGAS!$B$16:$B$37,$A64,RECARGAS!AB$16:AB$37)+SUMIF(REVENDIDOS!$B$16:$B$25,$A64,REVENDIDOS!S$16:S$25)</f>
        <v>50.4990619034781</v>
      </c>
      <c r="M64" s="13" t="n">
        <f aca="false">SUMIF(MANUALES!$B$16:$B$69,$A64,MANUALES!S$16:S$69)+SUMIF(RODANTES!$B$16:$B$68,$A64,RODANTES!S$16:S$68)+SUMIF(RECARGAS!$B$16:$B$37,$A64,RECARGAS!AC$16:AC$37)+SUMIF(REVENDIDOS!$B$16:$B$25,$A64,REVENDIDOS!T$16:T$25)</f>
        <v>68.1787674836501</v>
      </c>
      <c r="N64" s="13" t="n">
        <f aca="false">SUMIF(MANUALES!$B$16:$B$69,$A64,MANUALES!T$16:T$69)+SUMIF(RODANTES!$B$16:$B$68,$A64,RODANTES!T$16:T$68)+SUMIF(RECARGAS!$B$16:$B$37,$A64,RECARGAS!AD$16:AD$37)+SUMIF(REVENDIDOS!$B$16:$B$25,$A64,REVENDIDOS!U$16:U$25)</f>
        <v>87.6279569441961</v>
      </c>
      <c r="O64" s="13" t="n">
        <f aca="false">SUMIF(MANUALES!$B$16:$B$69,$A64,MANUALES!U$16:U$69)+SUMIF(RODANTES!$B$16:$B$68,$A64,RODANTES!U$16:U$68)+SUMIF(RECARGAS!$B$16:$B$37,$A64,RECARGAS!AE$16:AE$37)+SUMIF(REVENDIDOS!$B$16:$B$25,$A64,REVENDIDOS!V$16:V$25)</f>
        <v>108.500086254742</v>
      </c>
      <c r="P64" s="13" t="n">
        <f aca="false">SUMIF(MANUALES!$B$16:$B$69,$A64,MANUALES!V$16:V$69)+SUMIF(RODANTES!$B$16:$B$68,$A64,RODANTES!V$16:V$68)+SUMIF(RECARGAS!$B$16:$B$37,$A64,RECARGAS!AF$16:AF$37)+SUMIF(REVENDIDOS!$B$16:$B$25,$A64,REVENDIDOS!W$16:W$25)</f>
        <v>126.363673975288</v>
      </c>
      <c r="Q64" s="13" t="n">
        <f aca="false">SUMIF(MANUALES!$B$16:$B$69,$A64,MANUALES!W$16:W$69)+SUMIF(RODANTES!$B$16:$B$68,$A64,RODANTES!W$16:W$68)+SUMIF(RECARGAS!$B$16:$B$37,$A64,RECARGAS!AG$16:AG$37)+SUMIF(REVENDIDOS!$B$16:$B$25,$A64,REVENDIDOS!X$16:X$25)</f>
        <v>145.176074484914</v>
      </c>
      <c r="R64" s="13" t="n">
        <f aca="false">SUMIF(MANUALES!$B$16:$B$69,$A64,MANUALES!X$16:X$69)+SUMIF(RODANTES!$B$16:$B$68,$A64,RODANTES!X$16:X$68)+SUMIF(RECARGAS!$B$16:$B$37,$A64,RECARGAS!AH$16:AH$37)+SUMIF(REVENDIDOS!$B$16:$B$25,$A64,REVENDIDOS!Y$16:Y$25)</f>
        <v>13.0658467036423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SUMIF(MANUALES!$B$16:$B$69,$A65,MANUALES!W$16:W$69)</f>
        <v>32072.63913</v>
      </c>
      <c r="E65" s="13" t="n">
        <f aca="false">SUMIF(RODANTES!$B$16:$B$68,$A65,RODANTES!W$16:W$68)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SUMIF(MANUALES!$B$16:$B$69,$A65,MANUALES!N$16:N$69)+SUMIF(RODANTES!$B$16:$B$68,$A65,RODANTES!N$16:N$68)+SUMIF(RECARGAS!$B$16:$B$37,$A65,RECARGAS!X$16:X$37)+SUMIF(REVENDIDOS!$B$16:$B$25,$A65,REVENDIDOS!O$16:O$25)</f>
        <v>4178.736543</v>
      </c>
      <c r="I65" s="13" t="n">
        <f aca="false">SUMIF(MANUALES!$B$16:$B$69,$A65,MANUALES!O$16:O$69)+SUMIF(RODANTES!$B$16:$B$68,$A65,RODANTES!O$16:O$68)+SUMIF(RECARGAS!$B$16:$B$37,$A65,RECARGAS!Y$16:Y$37)+SUMIF(REVENDIDOS!$B$16:$B$25,$A65,REVENDIDOS!P$16:P$25)</f>
        <v>5997.303977</v>
      </c>
      <c r="J65" s="13" t="n">
        <f aca="false">SUMIF(MANUALES!$B$16:$B$69,$A65,MANUALES!P$16:P$69)+SUMIF(RODANTES!$B$16:$B$68,$A65,RODANTES!P$16:P$68)+SUMIF(RECARGAS!$B$16:$B$37,$A65,RECARGAS!Z$16:Z$37)+SUMIF(REVENDIDOS!$B$16:$B$25,$A65,REVENDIDOS!Q$16:Q$25)</f>
        <v>6851.747758</v>
      </c>
      <c r="K65" s="13" t="n">
        <f aca="false">SUMIF(MANUALES!$B$16:$B$69,$A65,MANUALES!Q$16:Q$69)+SUMIF(RODANTES!$B$16:$B$68,$A65,RODANTES!Q$16:Q$68)+SUMIF(RECARGAS!$B$16:$B$37,$A65,RECARGAS!AA$16:AA$37)+SUMIF(REVENDIDOS!$B$16:$B$25,$A65,REVENDIDOS!R$16:R$25)</f>
        <v>8467.135549</v>
      </c>
      <c r="L65" s="13" t="n">
        <f aca="false">SUMIF(MANUALES!$B$16:$B$69,$A65,MANUALES!R$16:R$69)+SUMIF(RODANTES!$B$16:$B$68,$A65,RODANTES!R$16:R$68)+SUMIF(RECARGAS!$B$16:$B$37,$A65,RECARGAS!AB$16:AB$37)+SUMIF(REVENDIDOS!$B$16:$B$25,$A65,REVENDIDOS!S$16:S$25)</f>
        <v>12680.63271</v>
      </c>
      <c r="M65" s="13" t="n">
        <f aca="false">SUMIF(MANUALES!$B$16:$B$69,$A65,MANUALES!S$16:S$69)+SUMIF(RODANTES!$B$16:$B$68,$A65,RODANTES!S$16:S$68)+SUMIF(RECARGAS!$B$16:$B$37,$A65,RECARGAS!AC$16:AC$37)+SUMIF(REVENDIDOS!$B$16:$B$25,$A65,REVENDIDOS!T$16:T$25)</f>
        <v>15620.25307</v>
      </c>
      <c r="N65" s="13" t="n">
        <f aca="false">SUMIF(MANUALES!$B$16:$B$69,$A65,MANUALES!T$16:T$69)+SUMIF(RODANTES!$B$16:$B$68,$A65,RODANTES!T$16:T$68)+SUMIF(RECARGAS!$B$16:$B$37,$A65,RECARGAS!AD$16:AD$37)+SUMIF(REVENDIDOS!$B$16:$B$25,$A65,REVENDIDOS!U$16:U$25)</f>
        <v>20332.55326</v>
      </c>
      <c r="O65" s="13" t="n">
        <f aca="false">SUMIF(MANUALES!$B$16:$B$69,$A65,MANUALES!U$16:U$69)+SUMIF(RODANTES!$B$16:$B$68,$A65,RODANTES!U$16:U$68)+SUMIF(RECARGAS!$B$16:$B$37,$A65,RECARGAS!AE$16:AE$37)+SUMIF(REVENDIDOS!$B$16:$B$25,$A65,REVENDIDOS!V$16:V$25)</f>
        <v>25132.07848</v>
      </c>
      <c r="P65" s="13" t="n">
        <f aca="false">SUMIF(MANUALES!$B$16:$B$69,$A65,MANUALES!V$16:V$69)+SUMIF(RODANTES!$B$16:$B$68,$A65,RODANTES!V$16:V$68)+SUMIF(RECARGAS!$B$16:$B$37,$A65,RECARGAS!AF$16:AF$37)+SUMIF(REVENDIDOS!$B$16:$B$25,$A65,REVENDIDOS!W$16:W$25)</f>
        <v>28573.33614</v>
      </c>
      <c r="Q65" s="13" t="n">
        <f aca="false">SUMIF(MANUALES!$B$16:$B$69,$A65,MANUALES!W$16:W$69)+SUMIF(RODANTES!$B$16:$B$68,$A65,RODANTES!W$16:W$68)+SUMIF(RECARGAS!$B$16:$B$37,$A65,RECARGAS!AG$16:AG$37)+SUMIF(REVENDIDOS!$B$16:$B$25,$A65,REVENDIDOS!X$16:X$25)</f>
        <v>32072.63913</v>
      </c>
      <c r="R65" s="13" t="n">
        <f aca="false">SUMIF(MANUALES!$B$16:$B$69,$A65,MANUALES!X$16:X$69)+SUMIF(RODANTES!$B$16:$B$68,$A65,RODANTES!X$16:X$68)+SUMIF(RECARGAS!$B$16:$B$37,$A65,RECARGAS!AH$16:AH$37)+SUMIF(REVENDIDOS!$B$16:$B$25,$A65,REVENDIDOS!Y$16:Y$25)</f>
        <v>3848.7166956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SUMIF(MANUALES!$B$16:$B$69,$A66,MANUALES!W$16:W$69)</f>
        <v>41696.5061034506</v>
      </c>
      <c r="E66" s="13" t="n">
        <f aca="false">SUMIF(RODANTES!$B$16:$B$68,$A66,RODANTES!W$16:W$68)</f>
        <v>1451.5305160204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SUMIF(MANUALES!$B$16:$B$69,$A66,MANUALES!N$16:N$69)+SUMIF(RODANTES!$B$16:$B$68,$A66,RODANTES!N$16:N$68)+SUMIF(RECARGAS!$B$16:$B$37,$A66,RECARGAS!X$16:X$37)+SUMIF(REVENDIDOS!$B$16:$B$25,$A66,REVENDIDOS!O$16:O$25)</f>
        <v>3224.59619921072</v>
      </c>
      <c r="I66" s="13" t="n">
        <f aca="false">SUMIF(MANUALES!$B$16:$B$69,$A66,MANUALES!O$16:O$69)+SUMIF(RODANTES!$B$16:$B$68,$A66,RODANTES!O$16:O$68)+SUMIF(RECARGAS!$B$16:$B$37,$A66,RECARGAS!Y$16:Y$37)+SUMIF(REVENDIDOS!$B$16:$B$25,$A66,REVENDIDOS!P$16:P$25)</f>
        <v>6564.44635105213</v>
      </c>
      <c r="J66" s="13" t="n">
        <f aca="false">SUMIF(MANUALES!$B$16:$B$69,$A66,MANUALES!P$16:P$69)+SUMIF(RODANTES!$B$16:$B$68,$A66,RODANTES!P$16:P$68)+SUMIF(RECARGAS!$B$16:$B$37,$A66,RECARGAS!Z$16:Z$37)+SUMIF(REVENDIDOS!$B$16:$B$25,$A66,REVENDIDOS!Q$16:Q$25)</f>
        <v>8690.3804272178</v>
      </c>
      <c r="K66" s="13" t="n">
        <f aca="false">SUMIF(MANUALES!$B$16:$B$69,$A66,MANUALES!Q$16:Q$69)+SUMIF(RODANTES!$B$16:$B$68,$A66,RODANTES!Q$16:Q$68)+SUMIF(RECARGAS!$B$16:$B$37,$A66,RECARGAS!AA$16:AA$37)+SUMIF(REVENDIDOS!$B$16:$B$25,$A66,REVENDIDOS!R$16:R$25)</f>
        <v>12605.8521839704</v>
      </c>
      <c r="L66" s="13" t="n">
        <f aca="false">SUMIF(MANUALES!$B$16:$B$69,$A66,MANUALES!R$16:R$69)+SUMIF(RODANTES!$B$16:$B$68,$A66,RODANTES!R$16:R$68)+SUMIF(RECARGAS!$B$16:$B$37,$A66,RECARGAS!AB$16:AB$37)+SUMIF(REVENDIDOS!$B$16:$B$25,$A66,REVENDIDOS!S$16:S$25)</f>
        <v>17913.7386706619</v>
      </c>
      <c r="M66" s="13" t="n">
        <f aca="false">SUMIF(MANUALES!$B$16:$B$69,$A66,MANUALES!S$16:S$69)+SUMIF(RODANTES!$B$16:$B$68,$A66,RODANTES!S$16:S$68)+SUMIF(RECARGAS!$B$16:$B$37,$A66,RECARGAS!AC$16:AC$37)+SUMIF(REVENDIDOS!$B$16:$B$25,$A66,REVENDIDOS!T$16:T$25)</f>
        <v>23546.3092815815</v>
      </c>
      <c r="N66" s="13" t="n">
        <f aca="false">SUMIF(MANUALES!$B$16:$B$69,$A66,MANUALES!T$16:T$69)+SUMIF(RODANTES!$B$16:$B$68,$A66,RODANTES!T$16:T$68)+SUMIF(RECARGAS!$B$16:$B$37,$A66,RECARGAS!AD$16:AD$37)+SUMIF(REVENDIDOS!$B$16:$B$25,$A66,REVENDIDOS!U$16:U$25)</f>
        <v>28741.4609531962</v>
      </c>
      <c r="O66" s="13" t="n">
        <f aca="false">SUMIF(MANUALES!$B$16:$B$69,$A66,MANUALES!U$16:U$69)+SUMIF(RODANTES!$B$16:$B$68,$A66,RODANTES!U$16:U$68)+SUMIF(RECARGAS!$B$16:$B$37,$A66,RECARGAS!AE$16:AE$37)+SUMIF(REVENDIDOS!$B$16:$B$25,$A66,REVENDIDOS!V$16:V$25)</f>
        <v>33586.6446605845</v>
      </c>
      <c r="P66" s="13" t="n">
        <f aca="false">SUMIF(MANUALES!$B$16:$B$69,$A66,MANUALES!V$16:V$69)+SUMIF(RODANTES!$B$16:$B$68,$A66,RODANTES!V$16:V$68)+SUMIF(RECARGAS!$B$16:$B$37,$A66,RECARGAS!AF$16:AF$37)+SUMIF(REVENDIDOS!$B$16:$B$25,$A66,REVENDIDOS!W$16:W$25)</f>
        <v>37684.0979091647</v>
      </c>
      <c r="Q66" s="13" t="n">
        <f aca="false">SUMIF(MANUALES!$B$16:$B$69,$A66,MANUALES!W$16:W$69)+SUMIF(RODANTES!$B$16:$B$68,$A66,RODANTES!W$16:W$68)+SUMIF(RECARGAS!$B$16:$B$37,$A66,RECARGAS!AG$16:AG$37)+SUMIF(REVENDIDOS!$B$16:$B$25,$A66,REVENDIDOS!X$16:X$25)</f>
        <v>43148.036619471</v>
      </c>
      <c r="R66" s="13" t="n">
        <f aca="false">SUMIF(MANUALES!$B$16:$B$69,$A66,MANUALES!X$16:X$69)+SUMIF(RODANTES!$B$16:$B$68,$A66,RODANTES!X$16:X$68)+SUMIF(RECARGAS!$B$16:$B$37,$A66,RECARGAS!AH$16:AH$37)+SUMIF(REVENDIDOS!$B$16:$B$25,$A66,REVENDIDOS!Y$16:Y$25)</f>
        <v>4717.25341782141</v>
      </c>
    </row>
    <row r="67" customFormat="false" ht="15" hidden="false" customHeight="false" outlineLevel="0" collapsed="false">
      <c r="A67" s="3" t="s">
        <v>457</v>
      </c>
      <c r="B67" s="3" t="s">
        <v>458</v>
      </c>
      <c r="C67" s="3" t="s">
        <v>214</v>
      </c>
      <c r="D67" s="13" t="n">
        <f aca="false">SUMIF(MANUALES!$B$16:$B$69,$A67,MANUALES!W$16:W$69)</f>
        <v>0</v>
      </c>
      <c r="E67" s="13" t="n">
        <f aca="false">SUMIF(RODANTES!$B$16:$B$68,$A67,RODANTES!W$16:W$68)</f>
        <v>362.745930484914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SUMIF(MANUALES!$B$16:$B$69,$A67,MANUALES!N$16:N$69)+SUMIF(RODANTES!$B$16:$B$68,$A67,RODANTES!N$16:N$68)+SUMIF(RECARGAS!$B$16:$B$37,$A67,RECARGAS!X$16:X$37)+SUMIF(REVENDIDOS!$B$16:$B$25,$A67,REVENDIDOS!O$16:O$25)</f>
        <v>27.5292195009201</v>
      </c>
      <c r="I67" s="13" t="n">
        <f aca="false">SUMIF(MANUALES!$B$16:$B$69,$A67,MANUALES!O$16:O$69)+SUMIF(RODANTES!$B$16:$B$68,$A67,RODANTES!O$16:O$68)+SUMIF(RECARGAS!$B$16:$B$37,$A67,RECARGAS!Y$16:Y$37)+SUMIF(REVENDIDOS!$B$16:$B$25,$A67,REVENDIDOS!P$16:P$25)</f>
        <v>46.784107290546</v>
      </c>
      <c r="J67" s="13" t="n">
        <f aca="false">SUMIF(MANUALES!$B$16:$B$69,$A67,MANUALES!P$16:P$69)+SUMIF(RODANTES!$B$16:$B$68,$A67,RODANTES!P$16:P$68)+SUMIF(RECARGAS!$B$16:$B$37,$A67,RECARGAS!Z$16:Z$37)+SUMIF(REVENDIDOS!$B$16:$B$25,$A67,REVENDIDOS!Q$16:Q$25)</f>
        <v>60.4690077114661</v>
      </c>
      <c r="K67" s="13" t="n">
        <f aca="false">SUMIF(MANUALES!$B$16:$B$69,$A67,MANUALES!Q$16:Q$69)+SUMIF(RODANTES!$B$16:$B$68,$A67,RODANTES!Q$16:Q$68)+SUMIF(RECARGAS!$B$16:$B$37,$A67,RECARGAS!AA$16:AA$37)+SUMIF(REVENDIDOS!$B$16:$B$25,$A67,REVENDIDOS!R$16:R$25)</f>
        <v>80.7404474020121</v>
      </c>
      <c r="L67" s="13" t="n">
        <f aca="false">SUMIF(MANUALES!$B$16:$B$69,$A67,MANUALES!R$16:R$69)+SUMIF(RODANTES!$B$16:$B$68,$A67,RODANTES!R$16:R$68)+SUMIF(RECARGAS!$B$16:$B$37,$A67,RECARGAS!AB$16:AB$37)+SUMIF(REVENDIDOS!$B$16:$B$25,$A67,REVENDIDOS!S$16:S$25)</f>
        <v>125.319543573478</v>
      </c>
      <c r="M67" s="13" t="n">
        <f aca="false">SUMIF(MANUALES!$B$16:$B$69,$A67,MANUALES!S$16:S$69)+SUMIF(RODANTES!$B$16:$B$68,$A67,RODANTES!S$16:S$68)+SUMIF(RECARGAS!$B$16:$B$37,$A67,RECARGAS!AC$16:AC$37)+SUMIF(REVENDIDOS!$B$16:$B$25,$A67,REVENDIDOS!T$16:T$25)</f>
        <v>169.90731918365</v>
      </c>
      <c r="N67" s="13" t="n">
        <f aca="false">SUMIF(MANUALES!$B$16:$B$69,$A67,MANUALES!T$16:T$69)+SUMIF(RODANTES!$B$16:$B$68,$A67,RODANTES!T$16:T$68)+SUMIF(RECARGAS!$B$16:$B$37,$A67,RECARGAS!AD$16:AD$37)+SUMIF(REVENDIDOS!$B$16:$B$25,$A67,REVENDIDOS!U$16:U$25)</f>
        <v>218.508708844196</v>
      </c>
      <c r="O67" s="13" t="n">
        <f aca="false">SUMIF(MANUALES!$B$16:$B$69,$A67,MANUALES!U$16:U$69)+SUMIF(RODANTES!$B$16:$B$68,$A67,RODANTES!U$16:U$68)+SUMIF(RECARGAS!$B$16:$B$37,$A67,RECARGAS!AE$16:AE$37)+SUMIF(REVENDIDOS!$B$16:$B$25,$A67,REVENDIDOS!V$16:V$25)</f>
        <v>270.667448154742</v>
      </c>
      <c r="P67" s="13" t="n">
        <f aca="false">SUMIF(MANUALES!$B$16:$B$69,$A67,MANUALES!V$16:V$69)+SUMIF(RODANTES!$B$16:$B$68,$A67,RODANTES!V$16:V$68)+SUMIF(RECARGAS!$B$16:$B$37,$A67,RECARGAS!AF$16:AF$37)+SUMIF(REVENDIDOS!$B$16:$B$25,$A67,REVENDIDOS!W$16:W$25)</f>
        <v>315.304833475288</v>
      </c>
      <c r="Q67" s="13" t="n">
        <f aca="false">SUMIF(MANUALES!$B$16:$B$69,$A67,MANUALES!W$16:W$69)+SUMIF(RODANTES!$B$16:$B$68,$A67,RODANTES!W$16:W$68)+SUMIF(RECARGAS!$B$16:$B$37,$A67,RECARGAS!AG$16:AG$37)+SUMIF(REVENDIDOS!$B$16:$B$25,$A67,REVENDIDOS!X$16:X$25)</f>
        <v>362.745930484914</v>
      </c>
      <c r="R67" s="13" t="n">
        <f aca="false">SUMIF(MANUALES!$B$16:$B$69,$A67,MANUALES!X$16:X$69)+SUMIF(RODANTES!$B$16:$B$68,$A67,RODANTES!X$16:X$68)+SUMIF(RECARGAS!$B$16:$B$37,$A67,RECARGAS!AH$16:AH$37)+SUMIF(REVENDIDOS!$B$16:$B$25,$A67,REVENDIDOS!Y$16:Y$25)</f>
        <v>32.6471337436423</v>
      </c>
    </row>
    <row r="68" customFormat="false" ht="15" hidden="false" customHeight="false" outlineLevel="0" collapsed="false">
      <c r="A68" s="3" t="s">
        <v>509</v>
      </c>
      <c r="B68" s="3" t="s">
        <v>510</v>
      </c>
      <c r="C68" s="3" t="s">
        <v>214</v>
      </c>
      <c r="D68" s="13" t="n">
        <f aca="false">SUMIF(MANUALES!$B$16:$B$69,$A68,MANUALES!W$16:W$69)</f>
        <v>0</v>
      </c>
      <c r="E68" s="13" t="n">
        <f aca="false">SUMIF(RODANTES!$B$16:$B$68,$A68,RODANTES!W$16:W$68)</f>
        <v>0</v>
      </c>
      <c r="F68" s="13" t="n">
        <f aca="false">SUMIF(RECARGAS!$B$16:$B$37,$A68,RECARGAS!AG$16:AG$37)</f>
        <v>102177.896561299</v>
      </c>
      <c r="G68" s="13" t="n">
        <f aca="false">SUMIF(REVENDIDOS!$B$16:$B$25,$A68,REVENDIDOS!X$16:X$25)</f>
        <v>0</v>
      </c>
      <c r="H68" s="13" t="n">
        <f aca="false">SUMIF(MANUALES!$B$16:$B$69,$A68,MANUALES!N$16:N$69)+SUMIF(RODANTES!$B$16:$B$68,$A68,RODANTES!N$16:N$68)+SUMIF(RECARGAS!$B$16:$B$37,$A68,RECARGAS!X$16:X$37)+SUMIF(REVENDIDOS!$B$16:$B$25,$A68,REVENDIDOS!O$16:O$25)</f>
        <v>1876.51042821459</v>
      </c>
      <c r="I68" s="13" t="n">
        <f aca="false">SUMIF(MANUALES!$B$16:$B$69,$A68,MANUALES!O$16:O$69)+SUMIF(RODANTES!$B$16:$B$68,$A68,RODANTES!O$16:O$68)+SUMIF(RECARGAS!$B$16:$B$37,$A68,RECARGAS!Y$16:Y$37)+SUMIF(REVENDIDOS!$B$16:$B$25,$A68,REVENDIDOS!P$16:P$25)</f>
        <v>8456.63372270333</v>
      </c>
      <c r="J68" s="13" t="n">
        <f aca="false">SUMIF(MANUALES!$B$16:$B$69,$A68,MANUALES!P$16:P$69)+SUMIF(RODANTES!$B$16:$B$68,$A68,RODANTES!P$16:P$68)+SUMIF(RECARGAS!$B$16:$B$37,$A68,RECARGAS!Z$16:Z$37)+SUMIF(REVENDIDOS!$B$16:$B$25,$A68,REVENDIDOS!Q$16:Q$25)</f>
        <v>16834.4452791357</v>
      </c>
      <c r="K68" s="13" t="n">
        <f aca="false">SUMIF(MANUALES!$B$16:$B$69,$A68,MANUALES!Q$16:Q$69)+SUMIF(RODANTES!$B$16:$B$68,$A68,RODANTES!Q$16:Q$68)+SUMIF(RECARGAS!$B$16:$B$37,$A68,RECARGAS!AA$16:AA$37)+SUMIF(REVENDIDOS!$B$16:$B$25,$A68,REVENDIDOS!R$16:R$25)</f>
        <v>31206.7602188981</v>
      </c>
      <c r="L68" s="13" t="n">
        <f aca="false">SUMIF(MANUALES!$B$16:$B$69,$A68,MANUALES!R$16:R$69)+SUMIF(RODANTES!$B$16:$B$68,$A68,RODANTES!R$16:R$68)+SUMIF(RECARGAS!$B$16:$B$37,$A68,RECARGAS!AB$16:AB$37)+SUMIF(REVENDIDOS!$B$16:$B$25,$A68,REVENDIDOS!S$16:S$25)</f>
        <v>45989.8524746055</v>
      </c>
      <c r="M68" s="13" t="n">
        <f aca="false">SUMIF(MANUALES!$B$16:$B$69,$A68,MANUALES!S$16:S$69)+SUMIF(RODANTES!$B$16:$B$68,$A68,RODANTES!S$16:S$68)+SUMIF(RECARGAS!$B$16:$B$37,$A68,RECARGAS!AC$16:AC$37)+SUMIF(REVENDIDOS!$B$16:$B$25,$A68,REVENDIDOS!T$16:T$25)</f>
        <v>62687.019675692</v>
      </c>
      <c r="N68" s="13" t="n">
        <f aca="false">SUMIF(MANUALES!$B$16:$B$69,$A68,MANUALES!T$16:T$69)+SUMIF(RODANTES!$B$16:$B$68,$A68,RODANTES!T$16:T$68)+SUMIF(RECARGAS!$B$16:$B$37,$A68,RECARGAS!AD$16:AD$37)+SUMIF(REVENDIDOS!$B$16:$B$25,$A68,REVENDIDOS!U$16:U$25)</f>
        <v>77908.2327830588</v>
      </c>
      <c r="O68" s="13" t="n">
        <f aca="false">SUMIF(MANUALES!$B$16:$B$69,$A68,MANUALES!U$16:U$69)+SUMIF(RODANTES!$B$16:$B$68,$A68,RODANTES!U$16:U$68)+SUMIF(RECARGAS!$B$16:$B$37,$A68,RECARGAS!AE$16:AE$37)+SUMIF(REVENDIDOS!$B$16:$B$25,$A68,REVENDIDOS!V$16:V$25)</f>
        <v>88684.5059283756</v>
      </c>
      <c r="P68" s="13" t="n">
        <f aca="false">SUMIF(MANUALES!$B$16:$B$69,$A68,MANUALES!V$16:V$69)+SUMIF(RODANTES!$B$16:$B$68,$A68,RODANTES!V$16:V$68)+SUMIF(RECARGAS!$B$16:$B$37,$A68,RECARGAS!AF$16:AF$37)+SUMIF(REVENDIDOS!$B$16:$B$25,$A68,REVENDIDOS!W$16:W$25)</f>
        <v>95360.29464815</v>
      </c>
      <c r="Q68" s="13" t="n">
        <f aca="false">SUMIF(MANUALES!$B$16:$B$69,$A68,MANUALES!W$16:W$69)+SUMIF(RODANTES!$B$16:$B$68,$A68,RODANTES!W$16:W$68)+SUMIF(RECARGAS!$B$16:$B$37,$A68,RECARGAS!AG$16:AG$37)+SUMIF(REVENDIDOS!$B$16:$B$25,$A68,REVENDIDOS!X$16:X$25)</f>
        <v>102177.896561299</v>
      </c>
      <c r="R68" s="13" t="n">
        <f aca="false">SUMIF(MANUALES!$B$16:$B$69,$A68,MANUALES!X$16:X$69)+SUMIF(RODANTES!$B$16:$B$68,$A68,RODANTES!X$16:X$68)+SUMIF(RECARGAS!$B$16:$B$37,$A68,RECARGAS!AH$16:AH$37)+SUMIF(REVENDIDOS!$B$16:$B$25,$A68,REVENDIDOS!Y$16:Y$25)</f>
        <v>8514.82471344157</v>
      </c>
    </row>
    <row r="69" customFormat="false" ht="15" hidden="false" customHeight="false" outlineLevel="0" collapsed="false">
      <c r="A69" s="3" t="s">
        <v>265</v>
      </c>
      <c r="B69" s="3" t="s">
        <v>266</v>
      </c>
      <c r="C69" s="3" t="s">
        <v>214</v>
      </c>
      <c r="D69" s="13" t="n">
        <f aca="false">SUMIF(MANUALES!$B$16:$B$69,$A69,MANUALES!W$16:W$69)</f>
        <v>7424.858444</v>
      </c>
      <c r="E69" s="13" t="n">
        <f aca="false">SUMIF(RODANTES!$B$16:$B$68,$A69,RODANTES!W$16:W$68)</f>
        <v>0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SUMIF(MANUALES!$B$16:$B$69,$A69,MANUALES!N$16:N$69)+SUMIF(RODANTES!$B$16:$B$68,$A69,RODANTES!N$16:N$68)+SUMIF(RECARGAS!$B$16:$B$37,$A69,RECARGAS!X$16:X$37)+SUMIF(REVENDIDOS!$B$16:$B$25,$A69,REVENDIDOS!O$16:O$25)</f>
        <v>295.0303572</v>
      </c>
      <c r="I69" s="13" t="n">
        <f aca="false">SUMIF(MANUALES!$B$16:$B$69,$A69,MANUALES!O$16:O$69)+SUMIF(RODANTES!$B$16:$B$68,$A69,RODANTES!O$16:O$68)+SUMIF(RECARGAS!$B$16:$B$37,$A69,RECARGAS!Y$16:Y$37)+SUMIF(REVENDIDOS!$B$16:$B$25,$A69,REVENDIDOS!P$16:P$25)</f>
        <v>709.7274503</v>
      </c>
      <c r="J69" s="13" t="n">
        <f aca="false">SUMIF(MANUALES!$B$16:$B$69,$A69,MANUALES!P$16:P$69)+SUMIF(RODANTES!$B$16:$B$68,$A69,RODANTES!P$16:P$68)+SUMIF(RECARGAS!$B$16:$B$37,$A69,RECARGAS!Z$16:Z$37)+SUMIF(REVENDIDOS!$B$16:$B$25,$A69,REVENDIDOS!Q$16:Q$25)</f>
        <v>986.8680576</v>
      </c>
      <c r="K69" s="13" t="n">
        <f aca="false">SUMIF(MANUALES!$B$16:$B$69,$A69,MANUALES!Q$16:Q$69)+SUMIF(RODANTES!$B$16:$B$68,$A69,RODANTES!Q$16:Q$68)+SUMIF(RECARGAS!$B$16:$B$37,$A69,RECARGAS!AA$16:AA$37)+SUMIF(REVENDIDOS!$B$16:$B$25,$A69,REVENDIDOS!R$16:R$25)</f>
        <v>1500.638174</v>
      </c>
      <c r="L69" s="13" t="n">
        <f aca="false">SUMIF(MANUALES!$B$16:$B$69,$A69,MANUALES!R$16:R$69)+SUMIF(RODANTES!$B$16:$B$68,$A69,RODANTES!R$16:R$68)+SUMIF(RECARGAS!$B$16:$B$37,$A69,RECARGAS!AB$16:AB$37)+SUMIF(REVENDIDOS!$B$16:$B$25,$A69,REVENDIDOS!S$16:S$25)</f>
        <v>2312.627726</v>
      </c>
      <c r="M69" s="13" t="n">
        <f aca="false">SUMIF(MANUALES!$B$16:$B$69,$A69,MANUALES!S$16:S$69)+SUMIF(RODANTES!$B$16:$B$68,$A69,RODANTES!S$16:S$68)+SUMIF(RECARGAS!$B$16:$B$37,$A69,RECARGAS!AC$16:AC$37)+SUMIF(REVENDIDOS!$B$16:$B$25,$A69,REVENDIDOS!T$16:T$25)</f>
        <v>3252.869887</v>
      </c>
      <c r="N69" s="13" t="n">
        <f aca="false">SUMIF(MANUALES!$B$16:$B$69,$A69,MANUALES!T$16:T$69)+SUMIF(RODANTES!$B$16:$B$68,$A69,RODANTES!T$16:T$68)+SUMIF(RECARGAS!$B$16:$B$37,$A69,RECARGAS!AD$16:AD$37)+SUMIF(REVENDIDOS!$B$16:$B$25,$A69,REVENDIDOS!U$16:U$25)</f>
        <v>4102.315524</v>
      </c>
      <c r="O69" s="13" t="n">
        <f aca="false">SUMIF(MANUALES!$B$16:$B$69,$A69,MANUALES!U$16:U$69)+SUMIF(RODANTES!$B$16:$B$68,$A69,RODANTES!U$16:U$68)+SUMIF(RECARGAS!$B$16:$B$37,$A69,RECARGAS!AE$16:AE$37)+SUMIF(REVENDIDOS!$B$16:$B$25,$A69,REVENDIDOS!V$16:V$25)</f>
        <v>5104.306587</v>
      </c>
      <c r="P69" s="13" t="n">
        <f aca="false">SUMIF(MANUALES!$B$16:$B$69,$A69,MANUALES!V$16:V$69)+SUMIF(RODANTES!$B$16:$B$68,$A69,RODANTES!V$16:V$68)+SUMIF(RECARGAS!$B$16:$B$37,$A69,RECARGAS!AF$16:AF$37)+SUMIF(REVENDIDOS!$B$16:$B$25,$A69,REVENDIDOS!W$16:W$25)</f>
        <v>6195.186243</v>
      </c>
      <c r="Q69" s="13" t="n">
        <f aca="false">SUMIF(MANUALES!$B$16:$B$69,$A69,MANUALES!W$16:W$69)+SUMIF(RODANTES!$B$16:$B$68,$A69,RODANTES!W$16:W$68)+SUMIF(RECARGAS!$B$16:$B$37,$A69,RECARGAS!AG$16:AG$37)+SUMIF(REVENDIDOS!$B$16:$B$25,$A69,REVENDIDOS!X$16:X$25)</f>
        <v>7424.858444</v>
      </c>
      <c r="R69" s="13" t="n">
        <f aca="false">SUMIF(MANUALES!$B$16:$B$69,$A69,MANUALES!X$16:X$69)+SUMIF(RODANTES!$B$16:$B$68,$A69,RODANTES!X$16:X$68)+SUMIF(RECARGAS!$B$16:$B$37,$A69,RECARGAS!AH$16:AH$37)+SUMIF(REVENDIDOS!$B$16:$B$25,$A69,REVENDIDOS!Y$16:Y$25)</f>
        <v>816.73442884</v>
      </c>
    </row>
    <row r="70" customFormat="false" ht="15" hidden="false" customHeight="false" outlineLevel="0" collapsed="false">
      <c r="A70" s="3" t="s">
        <v>268</v>
      </c>
      <c r="B70" s="3" t="s">
        <v>269</v>
      </c>
      <c r="C70" s="3" t="s">
        <v>214</v>
      </c>
      <c r="D70" s="13" t="n">
        <f aca="false">SUMIF(MANUALES!$B$16:$B$69,$A70,MANUALES!W$16:W$69)</f>
        <v>32428.7706862536</v>
      </c>
      <c r="E70" s="13" t="n">
        <f aca="false">SUMIF(RODANTES!$B$16:$B$68,$A70,RODANTES!W$16:W$68)</f>
        <v>0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SUMIF(MANUALES!$B$16:$B$69,$A70,MANUALES!N$16:N$69)+SUMIF(RODANTES!$B$16:$B$68,$A70,RODANTES!N$16:N$68)+SUMIF(RECARGAS!$B$16:$B$37,$A70,RECARGAS!X$16:X$37)+SUMIF(REVENDIDOS!$B$16:$B$25,$A70,REVENDIDOS!O$16:O$25)</f>
        <v>2727.90356888796</v>
      </c>
      <c r="I70" s="13" t="n">
        <f aca="false">SUMIF(MANUALES!$B$16:$B$69,$A70,MANUALES!O$16:O$69)+SUMIF(RODANTES!$B$16:$B$68,$A70,RODANTES!O$16:O$68)+SUMIF(RECARGAS!$B$16:$B$37,$A70,RECARGAS!Y$16:Y$37)+SUMIF(REVENDIDOS!$B$16:$B$25,$A70,REVENDIDOS!P$16:P$25)</f>
        <v>5488.91063218589</v>
      </c>
      <c r="J70" s="13" t="n">
        <f aca="false">SUMIF(MANUALES!$B$16:$B$69,$A70,MANUALES!P$16:P$69)+SUMIF(RODANTES!$B$16:$B$68,$A70,RODANTES!P$16:P$68)+SUMIF(RECARGAS!$B$16:$B$37,$A70,RECARGAS!Z$16:Z$37)+SUMIF(REVENDIDOS!$B$16:$B$25,$A70,REVENDIDOS!Q$16:Q$25)</f>
        <v>7206.58549675331</v>
      </c>
      <c r="K70" s="13" t="n">
        <f aca="false">SUMIF(MANUALES!$B$16:$B$69,$A70,MANUALES!Q$16:Q$69)+SUMIF(RODANTES!$B$16:$B$68,$A70,RODANTES!Q$16:Q$68)+SUMIF(RECARGAS!$B$16:$B$37,$A70,RECARGAS!AA$16:AA$37)+SUMIF(REVENDIDOS!$B$16:$B$25,$A70,REVENDIDOS!R$16:R$25)</f>
        <v>10420.9077932162</v>
      </c>
      <c r="L70" s="13" t="n">
        <f aca="false">SUMIF(MANUALES!$B$16:$B$69,$A70,MANUALES!R$16:R$69)+SUMIF(RODANTES!$B$16:$B$68,$A70,RODANTES!R$16:R$68)+SUMIF(RECARGAS!$B$16:$B$37,$A70,RECARGAS!AB$16:AB$37)+SUMIF(REVENDIDOS!$B$16:$B$25,$A70,REVENDIDOS!S$16:S$25)</f>
        <v>14495.0713349105</v>
      </c>
      <c r="M70" s="13" t="n">
        <f aca="false">SUMIF(MANUALES!$B$16:$B$69,$A70,MANUALES!S$16:S$69)+SUMIF(RODANTES!$B$16:$B$68,$A70,RODANTES!S$16:S$68)+SUMIF(RECARGAS!$B$16:$B$37,$A70,RECARGAS!AC$16:AC$37)+SUMIF(REVENDIDOS!$B$16:$B$25,$A70,REVENDIDOS!T$16:T$25)</f>
        <v>18737.0609615097</v>
      </c>
      <c r="N70" s="13" t="n">
        <f aca="false">SUMIF(MANUALES!$B$16:$B$69,$A70,MANUALES!T$16:T$69)+SUMIF(RODANTES!$B$16:$B$68,$A70,RODANTES!T$16:T$68)+SUMIF(RECARGAS!$B$16:$B$37,$A70,RECARGAS!AD$16:AD$37)+SUMIF(REVENDIDOS!$B$16:$B$25,$A70,REVENDIDOS!U$16:U$25)</f>
        <v>22634.4822225078</v>
      </c>
      <c r="O70" s="13" t="n">
        <f aca="false">SUMIF(MANUALES!$B$16:$B$69,$A70,MANUALES!U$16:U$69)+SUMIF(RODANTES!$B$16:$B$68,$A70,RODANTES!U$16:U$68)+SUMIF(RECARGAS!$B$16:$B$37,$A70,RECARGAS!AE$16:AE$37)+SUMIF(REVENDIDOS!$B$16:$B$25,$A70,REVENDIDOS!V$16:V$25)</f>
        <v>26002.338467674</v>
      </c>
      <c r="P70" s="13" t="n">
        <f aca="false">SUMIF(MANUALES!$B$16:$B$69,$A70,MANUALES!V$16:V$69)+SUMIF(RODANTES!$B$16:$B$68,$A70,RODANTES!V$16:V$68)+SUMIF(RECARGAS!$B$16:$B$37,$A70,RECARGAS!AF$16:AF$37)+SUMIF(REVENDIDOS!$B$16:$B$25,$A70,REVENDIDOS!W$16:W$25)</f>
        <v>28613.3997200898</v>
      </c>
      <c r="Q70" s="13" t="n">
        <f aca="false">SUMIF(MANUALES!$B$16:$B$69,$A70,MANUALES!W$16:W$69)+SUMIF(RODANTES!$B$16:$B$68,$A70,RODANTES!W$16:W$68)+SUMIF(RECARGAS!$B$16:$B$37,$A70,RECARGAS!AG$16:AG$37)+SUMIF(REVENDIDOS!$B$16:$B$25,$A70,REVENDIDOS!X$16:X$25)</f>
        <v>32428.7706862536</v>
      </c>
      <c r="R70" s="13" t="n">
        <f aca="false">SUMIF(MANUALES!$B$16:$B$69,$A70,MANUALES!X$16:X$69)+SUMIF(RODANTES!$B$16:$B$68,$A70,RODANTES!X$16:X$68)+SUMIF(RECARGAS!$B$16:$B$37,$A70,RECARGAS!AH$16:AH$37)+SUMIF(REVENDIDOS!$B$16:$B$25,$A70,REVENDIDOS!Y$16:Y$25)</f>
        <v>3567.1647754879</v>
      </c>
    </row>
    <row r="71" customFormat="false" ht="15" hidden="false" customHeight="false" outlineLevel="0" collapsed="false">
      <c r="A71" s="3" t="s">
        <v>271</v>
      </c>
      <c r="B71" s="3" t="s">
        <v>272</v>
      </c>
      <c r="C71" s="3" t="s">
        <v>214</v>
      </c>
      <c r="D71" s="13" t="n">
        <f aca="false">SUMIF(MANUALES!$B$16:$B$69,$A71,MANUALES!W$16:W$69)</f>
        <v>1842.87697319699</v>
      </c>
      <c r="E71" s="13" t="n">
        <f aca="false">SUMIF(RODANTES!$B$16:$B$68,$A71,RODANTES!W$16:W$68)</f>
        <v>0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SUMIF(MANUALES!$B$16:$B$69,$A71,MANUALES!N$16:N$69)+SUMIF(RODANTES!$B$16:$B$68,$A71,RODANTES!N$16:N$68)+SUMIF(RECARGAS!$B$16:$B$37,$A71,RECARGAS!X$16:X$37)+SUMIF(REVENDIDOS!$B$16:$B$25,$A71,REVENDIDOS!O$16:O$25)</f>
        <v>92.4087543518401</v>
      </c>
      <c r="I71" s="13" t="n">
        <f aca="false">SUMIF(MANUALES!$B$16:$B$69,$A71,MANUALES!O$16:O$69)+SUMIF(RODANTES!$B$16:$B$68,$A71,RODANTES!O$16:O$68)+SUMIF(RECARGAS!$B$16:$B$37,$A71,RECARGAS!Y$16:Y$37)+SUMIF(REVENDIDOS!$B$16:$B$25,$A71,REVENDIDOS!P$16:P$25)</f>
        <v>178.139434573852</v>
      </c>
      <c r="J71" s="13" t="n">
        <f aca="false">SUMIF(MANUALES!$B$16:$B$69,$A71,MANUALES!P$16:P$69)+SUMIF(RODANTES!$B$16:$B$68,$A71,RODANTES!P$16:P$68)+SUMIF(RECARGAS!$B$16:$B$37,$A71,RECARGAS!Z$16:Z$37)+SUMIF(REVENDIDOS!$B$16:$B$25,$A71,REVENDIDOS!Q$16:Q$25)</f>
        <v>255.06523127917</v>
      </c>
      <c r="K71" s="13" t="n">
        <f aca="false">SUMIF(MANUALES!$B$16:$B$69,$A71,MANUALES!Q$16:Q$69)+SUMIF(RODANTES!$B$16:$B$68,$A71,RODANTES!Q$16:Q$68)+SUMIF(RECARGAS!$B$16:$B$37,$A71,RECARGAS!AA$16:AA$37)+SUMIF(REVENDIDOS!$B$16:$B$25,$A71,REVENDIDOS!R$16:R$25)</f>
        <v>361.071030055753</v>
      </c>
      <c r="L71" s="13" t="n">
        <f aca="false">SUMIF(MANUALES!$B$16:$B$69,$A71,MANUALES!R$16:R$69)+SUMIF(RODANTES!$B$16:$B$68,$A71,RODANTES!R$16:R$68)+SUMIF(RECARGAS!$B$16:$B$37,$A71,RECARGAS!AB$16:AB$37)+SUMIF(REVENDIDOS!$B$16:$B$25,$A71,REVENDIDOS!S$16:S$25)</f>
        <v>605.624794650293</v>
      </c>
      <c r="M71" s="13" t="n">
        <f aca="false">SUMIF(MANUALES!$B$16:$B$69,$A71,MANUALES!S$16:S$69)+SUMIF(RODANTES!$B$16:$B$68,$A71,RODANTES!S$16:S$68)+SUMIF(RECARGAS!$B$16:$B$37,$A71,RECARGAS!AC$16:AC$37)+SUMIF(REVENDIDOS!$B$16:$B$25,$A71,REVENDIDOS!T$16:T$25)</f>
        <v>876.216751457047</v>
      </c>
      <c r="N71" s="13" t="n">
        <f aca="false">SUMIF(MANUALES!$B$16:$B$69,$A71,MANUALES!T$16:T$69)+SUMIF(RODANTES!$B$16:$B$68,$A71,RODANTES!T$16:T$68)+SUMIF(RECARGAS!$B$16:$B$37,$A71,RECARGAS!AD$16:AD$37)+SUMIF(REVENDIDOS!$B$16:$B$25,$A71,REVENDIDOS!U$16:U$25)</f>
        <v>1130.35497416121</v>
      </c>
      <c r="O71" s="13" t="n">
        <f aca="false">SUMIF(MANUALES!$B$16:$B$69,$A71,MANUALES!U$16:U$69)+SUMIF(RODANTES!$B$16:$B$68,$A71,RODANTES!U$16:U$68)+SUMIF(RECARGAS!$B$16:$B$37,$A71,RECARGAS!AE$16:AE$37)+SUMIF(REVENDIDOS!$B$16:$B$25,$A71,REVENDIDOS!V$16:V$25)</f>
        <v>1397.61759940245</v>
      </c>
      <c r="P71" s="13" t="n">
        <f aca="false">SUMIF(MANUALES!$B$16:$B$69,$A71,MANUALES!V$16:V$69)+SUMIF(RODANTES!$B$16:$B$68,$A71,RODANTES!V$16:V$68)+SUMIF(RECARGAS!$B$16:$B$37,$A71,RECARGAS!AF$16:AF$37)+SUMIF(REVENDIDOS!$B$16:$B$25,$A71,REVENDIDOS!W$16:W$25)</f>
        <v>1614.59478800518</v>
      </c>
      <c r="Q71" s="13" t="n">
        <f aca="false">SUMIF(MANUALES!$B$16:$B$69,$A71,MANUALES!W$16:W$69)+SUMIF(RODANTES!$B$16:$B$68,$A71,RODANTES!W$16:W$68)+SUMIF(RECARGAS!$B$16:$B$37,$A71,RECARGAS!AG$16:AG$37)+SUMIF(REVENDIDOS!$B$16:$B$25,$A71,REVENDIDOS!X$16:X$25)</f>
        <v>1842.87697319699</v>
      </c>
      <c r="R71" s="13" t="n">
        <f aca="false">SUMIF(MANUALES!$B$16:$B$69,$A71,MANUALES!X$16:X$69)+SUMIF(RODANTES!$B$16:$B$68,$A71,RODANTES!X$16:X$68)+SUMIF(RECARGAS!$B$16:$B$37,$A71,RECARGAS!AH$16:AH$37)+SUMIF(REVENDIDOS!$B$16:$B$25,$A71,REVENDIDOS!Y$16:Y$25)</f>
        <v>202.716467051669</v>
      </c>
    </row>
    <row r="72" customFormat="false" ht="15" hidden="false" customHeight="false" outlineLevel="0" collapsed="false">
      <c r="A72" s="3" t="s">
        <v>274</v>
      </c>
      <c r="B72" s="3" t="s">
        <v>275</v>
      </c>
      <c r="C72" s="3" t="s">
        <v>214</v>
      </c>
      <c r="D72" s="13" t="n">
        <f aca="false">SUMIF(MANUALES!$B$16:$B$69,$A72,MANUALES!W$16:W$69)</f>
        <v>32072.63913</v>
      </c>
      <c r="E72" s="13" t="n">
        <f aca="false">SUMIF(RODANTES!$B$16:$B$68,$A72,RODANTES!W$16:W$68)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SUMIF(MANUALES!$B$16:$B$69,$A72,MANUALES!N$16:N$69)+SUMIF(RODANTES!$B$16:$B$68,$A72,RODANTES!N$16:N$68)+SUMIF(RECARGAS!$B$16:$B$37,$A72,RECARGAS!X$16:X$37)+SUMIF(REVENDIDOS!$B$16:$B$25,$A72,REVENDIDOS!O$16:O$25)</f>
        <v>4178.736543</v>
      </c>
      <c r="I72" s="13" t="n">
        <f aca="false">SUMIF(MANUALES!$B$16:$B$69,$A72,MANUALES!O$16:O$69)+SUMIF(RODANTES!$B$16:$B$68,$A72,RODANTES!O$16:O$68)+SUMIF(RECARGAS!$B$16:$B$37,$A72,RECARGAS!Y$16:Y$37)+SUMIF(REVENDIDOS!$B$16:$B$25,$A72,REVENDIDOS!P$16:P$25)</f>
        <v>5997.303977</v>
      </c>
      <c r="J72" s="13" t="n">
        <f aca="false">SUMIF(MANUALES!$B$16:$B$69,$A72,MANUALES!P$16:P$69)+SUMIF(RODANTES!$B$16:$B$68,$A72,RODANTES!P$16:P$68)+SUMIF(RECARGAS!$B$16:$B$37,$A72,RECARGAS!Z$16:Z$37)+SUMIF(REVENDIDOS!$B$16:$B$25,$A72,REVENDIDOS!Q$16:Q$25)</f>
        <v>6851.747758</v>
      </c>
      <c r="K72" s="13" t="n">
        <f aca="false">SUMIF(MANUALES!$B$16:$B$69,$A72,MANUALES!Q$16:Q$69)+SUMIF(RODANTES!$B$16:$B$68,$A72,RODANTES!Q$16:Q$68)+SUMIF(RECARGAS!$B$16:$B$37,$A72,RECARGAS!AA$16:AA$37)+SUMIF(REVENDIDOS!$B$16:$B$25,$A72,REVENDIDOS!R$16:R$25)</f>
        <v>8467.135549</v>
      </c>
      <c r="L72" s="13" t="n">
        <f aca="false">SUMIF(MANUALES!$B$16:$B$69,$A72,MANUALES!R$16:R$69)+SUMIF(RODANTES!$B$16:$B$68,$A72,RODANTES!R$16:R$68)+SUMIF(RECARGAS!$B$16:$B$37,$A72,RECARGAS!AB$16:AB$37)+SUMIF(REVENDIDOS!$B$16:$B$25,$A72,REVENDIDOS!S$16:S$25)</f>
        <v>12680.63271</v>
      </c>
      <c r="M72" s="13" t="n">
        <f aca="false">SUMIF(MANUALES!$B$16:$B$69,$A72,MANUALES!S$16:S$69)+SUMIF(RODANTES!$B$16:$B$68,$A72,RODANTES!S$16:S$68)+SUMIF(RECARGAS!$B$16:$B$37,$A72,RECARGAS!AC$16:AC$37)+SUMIF(REVENDIDOS!$B$16:$B$25,$A72,REVENDIDOS!T$16:T$25)</f>
        <v>15620.25307</v>
      </c>
      <c r="N72" s="13" t="n">
        <f aca="false">SUMIF(MANUALES!$B$16:$B$69,$A72,MANUALES!T$16:T$69)+SUMIF(RODANTES!$B$16:$B$68,$A72,RODANTES!T$16:T$68)+SUMIF(RECARGAS!$B$16:$B$37,$A72,RECARGAS!AD$16:AD$37)+SUMIF(REVENDIDOS!$B$16:$B$25,$A72,REVENDIDOS!U$16:U$25)</f>
        <v>20332.55326</v>
      </c>
      <c r="O72" s="13" t="n">
        <f aca="false">SUMIF(MANUALES!$B$16:$B$69,$A72,MANUALES!U$16:U$69)+SUMIF(RODANTES!$B$16:$B$68,$A72,RODANTES!U$16:U$68)+SUMIF(RECARGAS!$B$16:$B$37,$A72,RECARGAS!AE$16:AE$37)+SUMIF(REVENDIDOS!$B$16:$B$25,$A72,REVENDIDOS!V$16:V$25)</f>
        <v>25132.07848</v>
      </c>
      <c r="P72" s="13" t="n">
        <f aca="false">SUMIF(MANUALES!$B$16:$B$69,$A72,MANUALES!V$16:V$69)+SUMIF(RODANTES!$B$16:$B$68,$A72,RODANTES!V$16:V$68)+SUMIF(RECARGAS!$B$16:$B$37,$A72,RECARGAS!AF$16:AF$37)+SUMIF(REVENDIDOS!$B$16:$B$25,$A72,REVENDIDOS!W$16:W$25)</f>
        <v>28573.33614</v>
      </c>
      <c r="Q72" s="13" t="n">
        <f aca="false">SUMIF(MANUALES!$B$16:$B$69,$A72,MANUALES!W$16:W$69)+SUMIF(RODANTES!$B$16:$B$68,$A72,RODANTES!W$16:W$68)+SUMIF(RECARGAS!$B$16:$B$37,$A72,RECARGAS!AG$16:AG$37)+SUMIF(REVENDIDOS!$B$16:$B$25,$A72,REVENDIDOS!X$16:X$25)</f>
        <v>32072.63913</v>
      </c>
      <c r="R72" s="13" t="n">
        <f aca="false">SUMIF(MANUALES!$B$16:$B$69,$A72,MANUALES!X$16:X$69)+SUMIF(RODANTES!$B$16:$B$68,$A72,RODANTES!X$16:X$68)+SUMIF(RECARGAS!$B$16:$B$37,$A72,RECARGAS!AH$16:AH$37)+SUMIF(REVENDIDOS!$B$16:$B$25,$A72,REVENDIDOS!Y$16:Y$25)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277</v>
      </c>
      <c r="B73" s="3" t="s">
        <v>278</v>
      </c>
      <c r="C73" s="3" t="s">
        <v>214</v>
      </c>
      <c r="D73" s="13" t="n">
        <f aca="false">SUMIF(MANUALES!$B$16:$B$69,$A73,MANUALES!W$16:W$69)</f>
        <v>83393.0122069013</v>
      </c>
      <c r="E73" s="13" t="n">
        <f aca="false">SUMIF(RODANTES!$B$16:$B$68,$A73,RODANTES!W$16:W$68)</f>
        <v>0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SUMIF(MANUALES!$B$16:$B$69,$A73,MANUALES!N$16:N$69)+SUMIF(RODANTES!$B$16:$B$68,$A73,RODANTES!N$16:N$68)+SUMIF(RECARGAS!$B$16:$B$37,$A73,RECARGAS!X$16:X$37)+SUMIF(REVENDIDOS!$B$16:$B$25,$A73,REVENDIDOS!O$16:O$25)</f>
        <v>6230.68536087961</v>
      </c>
      <c r="I73" s="13" t="n">
        <f aca="false">SUMIF(MANUALES!$B$16:$B$69,$A73,MANUALES!O$16:O$69)+SUMIF(RODANTES!$B$16:$B$68,$A73,RODANTES!O$16:O$68)+SUMIF(RECARGAS!$B$16:$B$37,$A73,RECARGAS!Y$16:Y$37)+SUMIF(REVENDIDOS!$B$16:$B$25,$A73,REVENDIDOS!P$16:P$25)</f>
        <v>12753.5550341195</v>
      </c>
      <c r="J73" s="13" t="n">
        <f aca="false">SUMIF(MANUALES!$B$16:$B$69,$A73,MANUALES!P$16:P$69)+SUMIF(RODANTES!$B$16:$B$68,$A73,RODANTES!P$16:P$68)+SUMIF(RECARGAS!$B$16:$B$37,$A73,RECARGAS!Z$16:Z$37)+SUMIF(REVENDIDOS!$B$16:$B$25,$A73,REVENDIDOS!Q$16:Q$25)</f>
        <v>16897.037571265</v>
      </c>
      <c r="K73" s="13" t="n">
        <f aca="false">SUMIF(MANUALES!$B$16:$B$69,$A73,MANUALES!Q$16:Q$69)+SUMIF(RODANTES!$B$16:$B$68,$A73,RODANTES!Q$16:Q$68)+SUMIF(RECARGAS!$B$16:$B$37,$A73,RECARGAS!AA$16:AA$37)+SUMIF(REVENDIDOS!$B$16:$B$25,$A73,REVENDIDOS!R$16:R$25)</f>
        <v>24565.2339945439</v>
      </c>
      <c r="L73" s="13" t="n">
        <f aca="false">SUMIF(MANUALES!$B$16:$B$69,$A73,MANUALES!R$16:R$69)+SUMIF(RODANTES!$B$16:$B$68,$A73,RODANTES!R$16:R$68)+SUMIF(RECARGAS!$B$16:$B$37,$A73,RECARGAS!AB$16:AB$37)+SUMIF(REVENDIDOS!$B$16:$B$25,$A73,REVENDIDOS!S$16:S$25)</f>
        <v>34826.6477111216</v>
      </c>
      <c r="M73" s="13" t="n">
        <f aca="false">SUMIF(MANUALES!$B$16:$B$69,$A73,MANUALES!S$16:S$69)+SUMIF(RODANTES!$B$16:$B$68,$A73,RODANTES!S$16:S$68)+SUMIF(RECARGAS!$B$16:$B$37,$A73,RECARGAS!AC$16:AC$37)+SUMIF(REVENDIDOS!$B$16:$B$25,$A73,REVENDIDOS!T$16:T$25)</f>
        <v>45732.2951999334</v>
      </c>
      <c r="N73" s="13" t="n">
        <f aca="false">SUMIF(MANUALES!$B$16:$B$69,$A73,MANUALES!T$16:T$69)+SUMIF(RODANTES!$B$16:$B$68,$A73,RODANTES!T$16:T$68)+SUMIF(RECARGAS!$B$16:$B$37,$A73,RECARGAS!AD$16:AD$37)+SUMIF(REVENDIDOS!$B$16:$B$25,$A73,REVENDIDOS!U$16:U$25)</f>
        <v>55734.305441338</v>
      </c>
      <c r="O73" s="13" t="n">
        <f aca="false">SUMIF(MANUALES!$B$16:$B$69,$A73,MANUALES!U$16:U$69)+SUMIF(RODANTES!$B$16:$B$68,$A73,RODANTES!U$16:U$68)+SUMIF(RECARGAS!$B$16:$B$37,$A73,RECARGAS!AE$16:AE$37)+SUMIF(REVENDIDOS!$B$16:$B$25,$A73,REVENDIDOS!V$16:V$25)</f>
        <v>65008.5253081528</v>
      </c>
      <c r="P73" s="13" t="n">
        <f aca="false">SUMIF(MANUALES!$B$16:$B$69,$A73,MANUALES!V$16:V$69)+SUMIF(RODANTES!$B$16:$B$68,$A73,RODANTES!V$16:V$68)+SUMIF(RECARGAS!$B$16:$B$37,$A73,RECARGAS!AF$16:AF$37)+SUMIF(REVENDIDOS!$B$16:$B$25,$A73,REVENDIDOS!W$16:W$25)</f>
        <v>72846.3615021901</v>
      </c>
      <c r="Q73" s="13" t="n">
        <f aca="false">SUMIF(MANUALES!$B$16:$B$69,$A73,MANUALES!W$16:W$69)+SUMIF(RODANTES!$B$16:$B$68,$A73,RODANTES!W$16:W$68)+SUMIF(RECARGAS!$B$16:$B$37,$A73,RECARGAS!AG$16:AG$37)+SUMIF(REVENDIDOS!$B$16:$B$25,$A73,REVENDIDOS!X$16:X$25)</f>
        <v>83393.0122069013</v>
      </c>
      <c r="R73" s="13" t="n">
        <f aca="false">SUMIF(MANUALES!$B$16:$B$69,$A73,MANUALES!X$16:X$69)+SUMIF(RODANTES!$B$16:$B$68,$A73,RODANTES!X$16:X$68)+SUMIF(RECARGAS!$B$16:$B$37,$A73,RECARGAS!AH$16:AH$37)+SUMIF(REVENDIDOS!$B$16:$B$25,$A73,REVENDIDOS!Y$16:Y$25)</f>
        <v>9173.23134275914</v>
      </c>
    </row>
    <row r="74" customFormat="false" ht="15" hidden="false" customHeight="false" outlineLevel="0" collapsed="false">
      <c r="A74" s="3" t="s">
        <v>512</v>
      </c>
      <c r="B74" s="3" t="s">
        <v>513</v>
      </c>
      <c r="C74" s="3" t="s">
        <v>214</v>
      </c>
      <c r="D74" s="13" t="n">
        <f aca="false">SUMIF(MANUALES!$B$16:$B$69,$A74,MANUALES!W$16:W$69)</f>
        <v>0</v>
      </c>
      <c r="E74" s="13" t="n">
        <f aca="false">SUMIF(RODANTES!$B$16:$B$68,$A74,RODANTES!W$16:W$68)</f>
        <v>0</v>
      </c>
      <c r="F74" s="13" t="n">
        <f aca="false">SUMIF(RECARGAS!$B$16:$B$37,$A74,RECARGAS!AG$16:AG$37)</f>
        <v>3105.77010888421</v>
      </c>
      <c r="G74" s="13" t="n">
        <f aca="false">SUMIF(REVENDIDOS!$B$16:$B$25,$A74,REVENDIDOS!X$16:X$25)</f>
        <v>0</v>
      </c>
      <c r="H74" s="13" t="n">
        <f aca="false">SUMIF(MANUALES!$B$16:$B$69,$A74,MANUALES!N$16:N$69)+SUMIF(RODANTES!$B$16:$B$68,$A74,RODANTES!N$16:N$68)+SUMIF(RECARGAS!$B$16:$B$37,$A74,RECARGAS!X$16:X$37)+SUMIF(REVENDIDOS!$B$16:$B$25,$A74,REVENDIDOS!O$16:O$25)</f>
        <v>58.701391760754</v>
      </c>
      <c r="I74" s="13" t="n">
        <f aca="false">SUMIF(MANUALES!$B$16:$B$69,$A74,MANUALES!O$16:O$69)+SUMIF(RODANTES!$B$16:$B$68,$A74,RODANTES!O$16:O$68)+SUMIF(RECARGAS!$B$16:$B$37,$A74,RECARGAS!Y$16:Y$37)+SUMIF(REVENDIDOS!$B$16:$B$25,$A74,REVENDIDOS!P$16:P$25)</f>
        <v>238.397701759929</v>
      </c>
      <c r="J74" s="13" t="n">
        <f aca="false">SUMIF(MANUALES!$B$16:$B$69,$A74,MANUALES!P$16:P$69)+SUMIF(RODANTES!$B$16:$B$68,$A74,RODANTES!P$16:P$68)+SUMIF(RECARGAS!$B$16:$B$37,$A74,RECARGAS!Z$16:Z$37)+SUMIF(REVENDIDOS!$B$16:$B$25,$A74,REVENDIDOS!Q$16:Q$25)</f>
        <v>542.790568707176</v>
      </c>
      <c r="K74" s="13" t="n">
        <f aca="false">SUMIF(MANUALES!$B$16:$B$69,$A74,MANUALES!Q$16:Q$69)+SUMIF(RODANTES!$B$16:$B$68,$A74,RODANTES!Q$16:Q$68)+SUMIF(RECARGAS!$B$16:$B$37,$A74,RECARGAS!AA$16:AA$37)+SUMIF(REVENDIDOS!$B$16:$B$25,$A74,REVENDIDOS!R$16:R$25)</f>
        <v>1020.40157438122</v>
      </c>
      <c r="L74" s="13" t="n">
        <f aca="false">SUMIF(MANUALES!$B$16:$B$69,$A74,MANUALES!R$16:R$69)+SUMIF(RODANTES!$B$16:$B$68,$A74,RODANTES!R$16:R$68)+SUMIF(RECARGAS!$B$16:$B$37,$A74,RECARGAS!AB$16:AB$37)+SUMIF(REVENDIDOS!$B$16:$B$25,$A74,REVENDIDOS!S$16:S$25)</f>
        <v>1472.74433112732</v>
      </c>
      <c r="M74" s="13" t="n">
        <f aca="false">SUMIF(MANUALES!$B$16:$B$69,$A74,MANUALES!S$16:S$69)+SUMIF(RODANTES!$B$16:$B$68,$A74,RODANTES!S$16:S$68)+SUMIF(RECARGAS!$B$16:$B$37,$A74,RECARGAS!AC$16:AC$37)+SUMIF(REVENDIDOS!$B$16:$B$25,$A74,REVENDIDOS!T$16:T$25)</f>
        <v>1958.73804342551</v>
      </c>
      <c r="N74" s="13" t="n">
        <f aca="false">SUMIF(MANUALES!$B$16:$B$69,$A74,MANUALES!T$16:T$69)+SUMIF(RODANTES!$B$16:$B$68,$A74,RODANTES!T$16:T$68)+SUMIF(RECARGAS!$B$16:$B$37,$A74,RECARGAS!AD$16:AD$37)+SUMIF(REVENDIDOS!$B$16:$B$25,$A74,REVENDIDOS!U$16:U$25)</f>
        <v>2402.8414294977</v>
      </c>
      <c r="O74" s="13" t="n">
        <f aca="false">SUMIF(MANUALES!$B$16:$B$69,$A74,MANUALES!U$16:U$69)+SUMIF(RODANTES!$B$16:$B$68,$A74,RODANTES!U$16:U$68)+SUMIF(RECARGAS!$B$16:$B$37,$A74,RECARGAS!AE$16:AE$37)+SUMIF(REVENDIDOS!$B$16:$B$25,$A74,REVENDIDOS!V$16:V$25)</f>
        <v>2670.09178268887</v>
      </c>
      <c r="P74" s="13" t="n">
        <f aca="false">SUMIF(MANUALES!$B$16:$B$69,$A74,MANUALES!V$16:V$69)+SUMIF(RODANTES!$B$16:$B$68,$A74,RODANTES!V$16:V$68)+SUMIF(RECARGAS!$B$16:$B$37,$A74,RECARGAS!AF$16:AF$37)+SUMIF(REVENDIDOS!$B$16:$B$25,$A74,REVENDIDOS!W$16:W$25)</f>
        <v>2886.1322491769</v>
      </c>
      <c r="Q74" s="13" t="n">
        <f aca="false">SUMIF(MANUALES!$B$16:$B$69,$A74,MANUALES!W$16:W$69)+SUMIF(RODANTES!$B$16:$B$68,$A74,RODANTES!W$16:W$68)+SUMIF(RECARGAS!$B$16:$B$37,$A74,RECARGAS!AG$16:AG$37)+SUMIF(REVENDIDOS!$B$16:$B$25,$A74,REVENDIDOS!X$16:X$25)</f>
        <v>3105.77010888421</v>
      </c>
      <c r="R74" s="13" t="n">
        <f aca="false">SUMIF(MANUALES!$B$16:$B$69,$A74,MANUALES!X$16:X$69)+SUMIF(RODANTES!$B$16:$B$68,$A74,RODANTES!X$16:X$68)+SUMIF(RECARGAS!$B$16:$B$37,$A74,RECARGAS!AH$16:AH$37)+SUMIF(REVENDIDOS!$B$16:$B$25,$A74,REVENDIDOS!Y$16:Y$25)</f>
        <v>258.814175740351</v>
      </c>
    </row>
    <row r="75" customFormat="false" ht="15" hidden="false" customHeight="false" outlineLevel="0" collapsed="false">
      <c r="A75" s="3" t="s">
        <v>280</v>
      </c>
      <c r="B75" s="3" t="s">
        <v>281</v>
      </c>
      <c r="C75" s="3" t="s">
        <v>214</v>
      </c>
      <c r="D75" s="13" t="n">
        <f aca="false">SUMIF(MANUALES!$B$16:$B$69,$A75,MANUALES!W$16:W$69)</f>
        <v>32072.63913</v>
      </c>
      <c r="E75" s="13" t="n">
        <f aca="false">SUMIF(RODANTES!$B$16:$B$68,$A75,RODANTES!W$16:W$68)</f>
        <v>0</v>
      </c>
      <c r="F75" s="13" t="n">
        <f aca="false">SUMIF(RECARGAS!$B$16:$B$37,$A75,RECARGAS!AG$16:AG$37)</f>
        <v>0</v>
      </c>
      <c r="G75" s="13" t="n">
        <f aca="false">SUMIF(REVENDIDOS!$B$16:$B$25,$A75,REVENDIDOS!X$16:X$25)</f>
        <v>0</v>
      </c>
      <c r="H75" s="13" t="n">
        <f aca="false">SUMIF(MANUALES!$B$16:$B$69,$A75,MANUALES!N$16:N$69)+SUMIF(RODANTES!$B$16:$B$68,$A75,RODANTES!N$16:N$68)+SUMIF(RECARGAS!$B$16:$B$37,$A75,RECARGAS!X$16:X$37)+SUMIF(REVENDIDOS!$B$16:$B$25,$A75,REVENDIDOS!O$16:O$25)</f>
        <v>4178.736543</v>
      </c>
      <c r="I75" s="13" t="n">
        <f aca="false">SUMIF(MANUALES!$B$16:$B$69,$A75,MANUALES!O$16:O$69)+SUMIF(RODANTES!$B$16:$B$68,$A75,RODANTES!O$16:O$68)+SUMIF(RECARGAS!$B$16:$B$37,$A75,RECARGAS!Y$16:Y$37)+SUMIF(REVENDIDOS!$B$16:$B$25,$A75,REVENDIDOS!P$16:P$25)</f>
        <v>5997.303977</v>
      </c>
      <c r="J75" s="13" t="n">
        <f aca="false">SUMIF(MANUALES!$B$16:$B$69,$A75,MANUALES!P$16:P$69)+SUMIF(RODANTES!$B$16:$B$68,$A75,RODANTES!P$16:P$68)+SUMIF(RECARGAS!$B$16:$B$37,$A75,RECARGAS!Z$16:Z$37)+SUMIF(REVENDIDOS!$B$16:$B$25,$A75,REVENDIDOS!Q$16:Q$25)</f>
        <v>6851.747758</v>
      </c>
      <c r="K75" s="13" t="n">
        <f aca="false">SUMIF(MANUALES!$B$16:$B$69,$A75,MANUALES!Q$16:Q$69)+SUMIF(RODANTES!$B$16:$B$68,$A75,RODANTES!Q$16:Q$68)+SUMIF(RECARGAS!$B$16:$B$37,$A75,RECARGAS!AA$16:AA$37)+SUMIF(REVENDIDOS!$B$16:$B$25,$A75,REVENDIDOS!R$16:R$25)</f>
        <v>8467.135549</v>
      </c>
      <c r="L75" s="13" t="n">
        <f aca="false">SUMIF(MANUALES!$B$16:$B$69,$A75,MANUALES!R$16:R$69)+SUMIF(RODANTES!$B$16:$B$68,$A75,RODANTES!R$16:R$68)+SUMIF(RECARGAS!$B$16:$B$37,$A75,RECARGAS!AB$16:AB$37)+SUMIF(REVENDIDOS!$B$16:$B$25,$A75,REVENDIDOS!S$16:S$25)</f>
        <v>12680.63271</v>
      </c>
      <c r="M75" s="13" t="n">
        <f aca="false">SUMIF(MANUALES!$B$16:$B$69,$A75,MANUALES!S$16:S$69)+SUMIF(RODANTES!$B$16:$B$68,$A75,RODANTES!S$16:S$68)+SUMIF(RECARGAS!$B$16:$B$37,$A75,RECARGAS!AC$16:AC$37)+SUMIF(REVENDIDOS!$B$16:$B$25,$A75,REVENDIDOS!T$16:T$25)</f>
        <v>15620.25307</v>
      </c>
      <c r="N75" s="13" t="n">
        <f aca="false">SUMIF(MANUALES!$B$16:$B$69,$A75,MANUALES!T$16:T$69)+SUMIF(RODANTES!$B$16:$B$68,$A75,RODANTES!T$16:T$68)+SUMIF(RECARGAS!$B$16:$B$37,$A75,RECARGAS!AD$16:AD$37)+SUMIF(REVENDIDOS!$B$16:$B$25,$A75,REVENDIDOS!U$16:U$25)</f>
        <v>20332.55326</v>
      </c>
      <c r="O75" s="13" t="n">
        <f aca="false">SUMIF(MANUALES!$B$16:$B$69,$A75,MANUALES!U$16:U$69)+SUMIF(RODANTES!$B$16:$B$68,$A75,RODANTES!U$16:U$68)+SUMIF(RECARGAS!$B$16:$B$37,$A75,RECARGAS!AE$16:AE$37)+SUMIF(REVENDIDOS!$B$16:$B$25,$A75,REVENDIDOS!V$16:V$25)</f>
        <v>25132.07848</v>
      </c>
      <c r="P75" s="13" t="n">
        <f aca="false">SUMIF(MANUALES!$B$16:$B$69,$A75,MANUALES!V$16:V$69)+SUMIF(RODANTES!$B$16:$B$68,$A75,RODANTES!V$16:V$68)+SUMIF(RECARGAS!$B$16:$B$37,$A75,RECARGAS!AF$16:AF$37)+SUMIF(REVENDIDOS!$B$16:$B$25,$A75,REVENDIDOS!W$16:W$25)</f>
        <v>28573.33614</v>
      </c>
      <c r="Q75" s="13" t="n">
        <f aca="false">SUMIF(MANUALES!$B$16:$B$69,$A75,MANUALES!W$16:W$69)+SUMIF(RODANTES!$B$16:$B$68,$A75,RODANTES!W$16:W$68)+SUMIF(RECARGAS!$B$16:$B$37,$A75,RECARGAS!AG$16:AG$37)+SUMIF(REVENDIDOS!$B$16:$B$25,$A75,REVENDIDOS!X$16:X$25)</f>
        <v>32072.63913</v>
      </c>
      <c r="R75" s="13" t="n">
        <f aca="false">SUMIF(MANUALES!$B$16:$B$69,$A75,MANUALES!X$16:X$69)+SUMIF(RODANTES!$B$16:$B$68,$A75,RODANTES!X$16:X$68)+SUMIF(RECARGAS!$B$16:$B$37,$A75,RECARGAS!AH$16:AH$37)+SUMIF(REVENDIDOS!$B$16:$B$25,$A75,REVENDIDOS!Y$16:Y$25)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3" t="s">
        <v>283</v>
      </c>
      <c r="B76" s="3" t="s">
        <v>284</v>
      </c>
      <c r="C76" s="3" t="s">
        <v>214</v>
      </c>
      <c r="D76" s="13" t="n">
        <f aca="false">SUMIF(MANUALES!$B$16:$B$69,$A76,MANUALES!W$16:W$69)</f>
        <v>7424.858444</v>
      </c>
      <c r="E76" s="13" t="n">
        <f aca="false">SUMIF(RODANTES!$B$16:$B$68,$A76,RODANTES!W$16:W$68)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SUMIF(MANUALES!$B$16:$B$69,$A76,MANUALES!N$16:N$69)+SUMIF(RODANTES!$B$16:$B$68,$A76,RODANTES!N$16:N$68)+SUMIF(RECARGAS!$B$16:$B$37,$A76,RECARGAS!X$16:X$37)+SUMIF(REVENDIDOS!$B$16:$B$25,$A76,REVENDIDOS!O$16:O$25)</f>
        <v>295.0303572</v>
      </c>
      <c r="I76" s="13" t="n">
        <f aca="false">SUMIF(MANUALES!$B$16:$B$69,$A76,MANUALES!O$16:O$69)+SUMIF(RODANTES!$B$16:$B$68,$A76,RODANTES!O$16:O$68)+SUMIF(RECARGAS!$B$16:$B$37,$A76,RECARGAS!Y$16:Y$37)+SUMIF(REVENDIDOS!$B$16:$B$25,$A76,REVENDIDOS!P$16:P$25)</f>
        <v>709.7274503</v>
      </c>
      <c r="J76" s="13" t="n">
        <f aca="false">SUMIF(MANUALES!$B$16:$B$69,$A76,MANUALES!P$16:P$69)+SUMIF(RODANTES!$B$16:$B$68,$A76,RODANTES!P$16:P$68)+SUMIF(RECARGAS!$B$16:$B$37,$A76,RECARGAS!Z$16:Z$37)+SUMIF(REVENDIDOS!$B$16:$B$25,$A76,REVENDIDOS!Q$16:Q$25)</f>
        <v>986.8680576</v>
      </c>
      <c r="K76" s="13" t="n">
        <f aca="false">SUMIF(MANUALES!$B$16:$B$69,$A76,MANUALES!Q$16:Q$69)+SUMIF(RODANTES!$B$16:$B$68,$A76,RODANTES!Q$16:Q$68)+SUMIF(RECARGAS!$B$16:$B$37,$A76,RECARGAS!AA$16:AA$37)+SUMIF(REVENDIDOS!$B$16:$B$25,$A76,REVENDIDOS!R$16:R$25)</f>
        <v>1500.638174</v>
      </c>
      <c r="L76" s="13" t="n">
        <f aca="false">SUMIF(MANUALES!$B$16:$B$69,$A76,MANUALES!R$16:R$69)+SUMIF(RODANTES!$B$16:$B$68,$A76,RODANTES!R$16:R$68)+SUMIF(RECARGAS!$B$16:$B$37,$A76,RECARGAS!AB$16:AB$37)+SUMIF(REVENDIDOS!$B$16:$B$25,$A76,REVENDIDOS!S$16:S$25)</f>
        <v>2312.627726</v>
      </c>
      <c r="M76" s="13" t="n">
        <f aca="false">SUMIF(MANUALES!$B$16:$B$69,$A76,MANUALES!S$16:S$69)+SUMIF(RODANTES!$B$16:$B$68,$A76,RODANTES!S$16:S$68)+SUMIF(RECARGAS!$B$16:$B$37,$A76,RECARGAS!AC$16:AC$37)+SUMIF(REVENDIDOS!$B$16:$B$25,$A76,REVENDIDOS!T$16:T$25)</f>
        <v>3252.869887</v>
      </c>
      <c r="N76" s="13" t="n">
        <f aca="false">SUMIF(MANUALES!$B$16:$B$69,$A76,MANUALES!T$16:T$69)+SUMIF(RODANTES!$B$16:$B$68,$A76,RODANTES!T$16:T$68)+SUMIF(RECARGAS!$B$16:$B$37,$A76,RECARGAS!AD$16:AD$37)+SUMIF(REVENDIDOS!$B$16:$B$25,$A76,REVENDIDOS!U$16:U$25)</f>
        <v>4102.315524</v>
      </c>
      <c r="O76" s="13" t="n">
        <f aca="false">SUMIF(MANUALES!$B$16:$B$69,$A76,MANUALES!U$16:U$69)+SUMIF(RODANTES!$B$16:$B$68,$A76,RODANTES!U$16:U$68)+SUMIF(RECARGAS!$B$16:$B$37,$A76,RECARGAS!AE$16:AE$37)+SUMIF(REVENDIDOS!$B$16:$B$25,$A76,REVENDIDOS!V$16:V$25)</f>
        <v>5104.306587</v>
      </c>
      <c r="P76" s="13" t="n">
        <f aca="false">SUMIF(MANUALES!$B$16:$B$69,$A76,MANUALES!V$16:V$69)+SUMIF(RODANTES!$B$16:$B$68,$A76,RODANTES!V$16:V$68)+SUMIF(RECARGAS!$B$16:$B$37,$A76,RECARGAS!AF$16:AF$37)+SUMIF(REVENDIDOS!$B$16:$B$25,$A76,REVENDIDOS!W$16:W$25)</f>
        <v>6195.186243</v>
      </c>
      <c r="Q76" s="13" t="n">
        <f aca="false">SUMIF(MANUALES!$B$16:$B$69,$A76,MANUALES!W$16:W$69)+SUMIF(RODANTES!$B$16:$B$68,$A76,RODANTES!W$16:W$68)+SUMIF(RECARGAS!$B$16:$B$37,$A76,RECARGAS!AG$16:AG$37)+SUMIF(REVENDIDOS!$B$16:$B$25,$A76,REVENDIDOS!X$16:X$25)</f>
        <v>7424.858444</v>
      </c>
      <c r="R76" s="13" t="n">
        <f aca="false">SUMIF(MANUALES!$B$16:$B$69,$A76,MANUALES!X$16:X$69)+SUMIF(RODANTES!$B$16:$B$68,$A76,RODANTES!X$16:X$68)+SUMIF(RECARGAS!$B$16:$B$37,$A76,RECARGAS!AH$16:AH$37)+SUMIF(REVENDIDOS!$B$16:$B$25,$A76,REVENDIDOS!Y$16:Y$25)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286</v>
      </c>
      <c r="B77" s="3" t="s">
        <v>287</v>
      </c>
      <c r="C77" s="3" t="s">
        <v>214</v>
      </c>
      <c r="D77" s="13" t="n">
        <f aca="false">SUMIF(MANUALES!$B$16:$B$69,$A77,MANUALES!W$16:W$69)</f>
        <v>32428.7706862536</v>
      </c>
      <c r="E77" s="13" t="n">
        <f aca="false">SUMIF(RODANTES!$B$16:$B$68,$A77,RODANTES!W$16:W$68)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SUMIF(MANUALES!$B$16:$B$69,$A77,MANUALES!N$16:N$69)+SUMIF(RODANTES!$B$16:$B$68,$A77,RODANTES!N$16:N$68)+SUMIF(RECARGAS!$B$16:$B$37,$A77,RECARGAS!X$16:X$37)+SUMIF(REVENDIDOS!$B$16:$B$25,$A77,REVENDIDOS!O$16:O$25)</f>
        <v>2727.90356888796</v>
      </c>
      <c r="I77" s="13" t="n">
        <f aca="false">SUMIF(MANUALES!$B$16:$B$69,$A77,MANUALES!O$16:O$69)+SUMIF(RODANTES!$B$16:$B$68,$A77,RODANTES!O$16:O$68)+SUMIF(RECARGAS!$B$16:$B$37,$A77,RECARGAS!Y$16:Y$37)+SUMIF(REVENDIDOS!$B$16:$B$25,$A77,REVENDIDOS!P$16:P$25)</f>
        <v>5488.91063218589</v>
      </c>
      <c r="J77" s="13" t="n">
        <f aca="false">SUMIF(MANUALES!$B$16:$B$69,$A77,MANUALES!P$16:P$69)+SUMIF(RODANTES!$B$16:$B$68,$A77,RODANTES!P$16:P$68)+SUMIF(RECARGAS!$B$16:$B$37,$A77,RECARGAS!Z$16:Z$37)+SUMIF(REVENDIDOS!$B$16:$B$25,$A77,REVENDIDOS!Q$16:Q$25)</f>
        <v>7206.58549675331</v>
      </c>
      <c r="K77" s="13" t="n">
        <f aca="false">SUMIF(MANUALES!$B$16:$B$69,$A77,MANUALES!Q$16:Q$69)+SUMIF(RODANTES!$B$16:$B$68,$A77,RODANTES!Q$16:Q$68)+SUMIF(RECARGAS!$B$16:$B$37,$A77,RECARGAS!AA$16:AA$37)+SUMIF(REVENDIDOS!$B$16:$B$25,$A77,REVENDIDOS!R$16:R$25)</f>
        <v>10420.9077932162</v>
      </c>
      <c r="L77" s="13" t="n">
        <f aca="false">SUMIF(MANUALES!$B$16:$B$69,$A77,MANUALES!R$16:R$69)+SUMIF(RODANTES!$B$16:$B$68,$A77,RODANTES!R$16:R$68)+SUMIF(RECARGAS!$B$16:$B$37,$A77,RECARGAS!AB$16:AB$37)+SUMIF(REVENDIDOS!$B$16:$B$25,$A77,REVENDIDOS!S$16:S$25)</f>
        <v>14495.0713349105</v>
      </c>
      <c r="M77" s="13" t="n">
        <f aca="false">SUMIF(MANUALES!$B$16:$B$69,$A77,MANUALES!S$16:S$69)+SUMIF(RODANTES!$B$16:$B$68,$A77,RODANTES!S$16:S$68)+SUMIF(RECARGAS!$B$16:$B$37,$A77,RECARGAS!AC$16:AC$37)+SUMIF(REVENDIDOS!$B$16:$B$25,$A77,REVENDIDOS!T$16:T$25)</f>
        <v>18737.0609615097</v>
      </c>
      <c r="N77" s="13" t="n">
        <f aca="false">SUMIF(MANUALES!$B$16:$B$69,$A77,MANUALES!T$16:T$69)+SUMIF(RODANTES!$B$16:$B$68,$A77,RODANTES!T$16:T$68)+SUMIF(RECARGAS!$B$16:$B$37,$A77,RECARGAS!AD$16:AD$37)+SUMIF(REVENDIDOS!$B$16:$B$25,$A77,REVENDIDOS!U$16:U$25)</f>
        <v>22634.4822225078</v>
      </c>
      <c r="O77" s="13" t="n">
        <f aca="false">SUMIF(MANUALES!$B$16:$B$69,$A77,MANUALES!U$16:U$69)+SUMIF(RODANTES!$B$16:$B$68,$A77,RODANTES!U$16:U$68)+SUMIF(RECARGAS!$B$16:$B$37,$A77,RECARGAS!AE$16:AE$37)+SUMIF(REVENDIDOS!$B$16:$B$25,$A77,REVENDIDOS!V$16:V$25)</f>
        <v>26002.338467674</v>
      </c>
      <c r="P77" s="13" t="n">
        <f aca="false">SUMIF(MANUALES!$B$16:$B$69,$A77,MANUALES!V$16:V$69)+SUMIF(RODANTES!$B$16:$B$68,$A77,RODANTES!V$16:V$68)+SUMIF(RECARGAS!$B$16:$B$37,$A77,RECARGAS!AF$16:AF$37)+SUMIF(REVENDIDOS!$B$16:$B$25,$A77,REVENDIDOS!W$16:W$25)</f>
        <v>28613.3997200898</v>
      </c>
      <c r="Q77" s="13" t="n">
        <f aca="false">SUMIF(MANUALES!$B$16:$B$69,$A77,MANUALES!W$16:W$69)+SUMIF(RODANTES!$B$16:$B$68,$A77,RODANTES!W$16:W$68)+SUMIF(RECARGAS!$B$16:$B$37,$A77,RECARGAS!AG$16:AG$37)+SUMIF(REVENDIDOS!$B$16:$B$25,$A77,REVENDIDOS!X$16:X$25)</f>
        <v>32428.7706862536</v>
      </c>
      <c r="R77" s="13" t="n">
        <f aca="false">SUMIF(MANUALES!$B$16:$B$69,$A77,MANUALES!X$16:X$69)+SUMIF(RODANTES!$B$16:$B$68,$A77,RODANTES!X$16:X$68)+SUMIF(RECARGAS!$B$16:$B$37,$A77,RECARGAS!AH$16:AH$37)+SUMIF(REVENDIDOS!$B$16:$B$25,$A77,REVENDIDOS!Y$16:Y$25)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289</v>
      </c>
      <c r="B78" s="3" t="s">
        <v>290</v>
      </c>
      <c r="C78" s="3" t="s">
        <v>214</v>
      </c>
      <c r="D78" s="13" t="n">
        <f aca="false">SUMIF(MANUALES!$B$16:$B$69,$A78,MANUALES!W$16:W$69)</f>
        <v>1842.87697319699</v>
      </c>
      <c r="E78" s="13" t="n">
        <f aca="false">SUMIF(RODANTES!$B$16:$B$68,$A78,RODANTES!W$16:W$68)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SUMIF(MANUALES!$B$16:$B$69,$A78,MANUALES!N$16:N$69)+SUMIF(RODANTES!$B$16:$B$68,$A78,RODANTES!N$16:N$68)+SUMIF(RECARGAS!$B$16:$B$37,$A78,RECARGAS!X$16:X$37)+SUMIF(REVENDIDOS!$B$16:$B$25,$A78,REVENDIDOS!O$16:O$25)</f>
        <v>92.4087543518401</v>
      </c>
      <c r="I78" s="13" t="n">
        <f aca="false">SUMIF(MANUALES!$B$16:$B$69,$A78,MANUALES!O$16:O$69)+SUMIF(RODANTES!$B$16:$B$68,$A78,RODANTES!O$16:O$68)+SUMIF(RECARGAS!$B$16:$B$37,$A78,RECARGAS!Y$16:Y$37)+SUMIF(REVENDIDOS!$B$16:$B$25,$A78,REVENDIDOS!P$16:P$25)</f>
        <v>178.139434573852</v>
      </c>
      <c r="J78" s="13" t="n">
        <f aca="false">SUMIF(MANUALES!$B$16:$B$69,$A78,MANUALES!P$16:P$69)+SUMIF(RODANTES!$B$16:$B$68,$A78,RODANTES!P$16:P$68)+SUMIF(RECARGAS!$B$16:$B$37,$A78,RECARGAS!Z$16:Z$37)+SUMIF(REVENDIDOS!$B$16:$B$25,$A78,REVENDIDOS!Q$16:Q$25)</f>
        <v>255.06523127917</v>
      </c>
      <c r="K78" s="13" t="n">
        <f aca="false">SUMIF(MANUALES!$B$16:$B$69,$A78,MANUALES!Q$16:Q$69)+SUMIF(RODANTES!$B$16:$B$68,$A78,RODANTES!Q$16:Q$68)+SUMIF(RECARGAS!$B$16:$B$37,$A78,RECARGAS!AA$16:AA$37)+SUMIF(REVENDIDOS!$B$16:$B$25,$A78,REVENDIDOS!R$16:R$25)</f>
        <v>361.071030055753</v>
      </c>
      <c r="L78" s="13" t="n">
        <f aca="false">SUMIF(MANUALES!$B$16:$B$69,$A78,MANUALES!R$16:R$69)+SUMIF(RODANTES!$B$16:$B$68,$A78,RODANTES!R$16:R$68)+SUMIF(RECARGAS!$B$16:$B$37,$A78,RECARGAS!AB$16:AB$37)+SUMIF(REVENDIDOS!$B$16:$B$25,$A78,REVENDIDOS!S$16:S$25)</f>
        <v>605.624794650293</v>
      </c>
      <c r="M78" s="13" t="n">
        <f aca="false">SUMIF(MANUALES!$B$16:$B$69,$A78,MANUALES!S$16:S$69)+SUMIF(RODANTES!$B$16:$B$68,$A78,RODANTES!S$16:S$68)+SUMIF(RECARGAS!$B$16:$B$37,$A78,RECARGAS!AC$16:AC$37)+SUMIF(REVENDIDOS!$B$16:$B$25,$A78,REVENDIDOS!T$16:T$25)</f>
        <v>876.216751457047</v>
      </c>
      <c r="N78" s="13" t="n">
        <f aca="false">SUMIF(MANUALES!$B$16:$B$69,$A78,MANUALES!T$16:T$69)+SUMIF(RODANTES!$B$16:$B$68,$A78,RODANTES!T$16:T$68)+SUMIF(RECARGAS!$B$16:$B$37,$A78,RECARGAS!AD$16:AD$37)+SUMIF(REVENDIDOS!$B$16:$B$25,$A78,REVENDIDOS!U$16:U$25)</f>
        <v>1130.35497416121</v>
      </c>
      <c r="O78" s="13" t="n">
        <f aca="false">SUMIF(MANUALES!$B$16:$B$69,$A78,MANUALES!U$16:U$69)+SUMIF(RODANTES!$B$16:$B$68,$A78,RODANTES!U$16:U$68)+SUMIF(RECARGAS!$B$16:$B$37,$A78,RECARGAS!AE$16:AE$37)+SUMIF(REVENDIDOS!$B$16:$B$25,$A78,REVENDIDOS!V$16:V$25)</f>
        <v>1397.61759940245</v>
      </c>
      <c r="P78" s="13" t="n">
        <f aca="false">SUMIF(MANUALES!$B$16:$B$69,$A78,MANUALES!V$16:V$69)+SUMIF(RODANTES!$B$16:$B$68,$A78,RODANTES!V$16:V$68)+SUMIF(RECARGAS!$B$16:$B$37,$A78,RECARGAS!AF$16:AF$37)+SUMIF(REVENDIDOS!$B$16:$B$25,$A78,REVENDIDOS!W$16:W$25)</f>
        <v>1614.59478800518</v>
      </c>
      <c r="Q78" s="13" t="n">
        <f aca="false">SUMIF(MANUALES!$B$16:$B$69,$A78,MANUALES!W$16:W$69)+SUMIF(RODANTES!$B$16:$B$68,$A78,RODANTES!W$16:W$68)+SUMIF(RECARGAS!$B$16:$B$37,$A78,RECARGAS!AG$16:AG$37)+SUMIF(REVENDIDOS!$B$16:$B$25,$A78,REVENDIDOS!X$16:X$25)</f>
        <v>1842.87697319699</v>
      </c>
      <c r="R78" s="13" t="n">
        <f aca="false">SUMIF(MANUALES!$B$16:$B$69,$A78,MANUALES!X$16:X$69)+SUMIF(RODANTES!$B$16:$B$68,$A78,RODANTES!X$16:X$68)+SUMIF(RECARGAS!$B$16:$B$37,$A78,RECARGAS!AH$16:AH$37)+SUMIF(REVENDIDOS!$B$16:$B$25,$A78,REVENDIDOS!Y$16:Y$25)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460</v>
      </c>
      <c r="B79" s="3" t="s">
        <v>461</v>
      </c>
      <c r="C79" s="3" t="s">
        <v>214</v>
      </c>
      <c r="D79" s="13" t="n">
        <f aca="false">SUMIF(MANUALES!$B$16:$B$69,$A79,MANUALES!W$16:W$69)</f>
        <v>0</v>
      </c>
      <c r="E79" s="13" t="n">
        <f aca="false">SUMIF(RODANTES!$B$16:$B$68,$A79,RODANTES!W$16:W$68)</f>
        <v>453.2705332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SUMIF(MANUALES!$B$16:$B$69,$A79,MANUALES!N$16:N$69)+SUMIF(RODANTES!$B$16:$B$68,$A79,RODANTES!N$16:N$68)+SUMIF(RECARGAS!$B$16:$B$37,$A79,RECARGAS!X$16:X$37)+SUMIF(REVENDIDOS!$B$16:$B$25,$A79,REVENDIDOS!O$16:O$25)</f>
        <v>34.05179136</v>
      </c>
      <c r="I79" s="13" t="n">
        <f aca="false">SUMIF(MANUALES!$B$16:$B$69,$A79,MANUALES!O$16:O$69)+SUMIF(RODANTES!$B$16:$B$68,$A79,RODANTES!O$16:O$68)+SUMIF(RECARGAS!$B$16:$B$37,$A79,RECARGAS!Y$16:Y$37)+SUMIF(REVENDIDOS!$B$16:$B$25,$A79,REVENDIDOS!P$16:P$25)</f>
        <v>58.46214745</v>
      </c>
      <c r="J79" s="13" t="n">
        <f aca="false">SUMIF(MANUALES!$B$16:$B$69,$A79,MANUALES!P$16:P$69)+SUMIF(RODANTES!$B$16:$B$68,$A79,RODANTES!P$16:P$68)+SUMIF(RECARGAS!$B$16:$B$37,$A79,RECARGAS!Z$16:Z$37)+SUMIF(REVENDIDOS!$B$16:$B$25,$A79,REVENDIDOS!Q$16:Q$25)</f>
        <v>75.20853998</v>
      </c>
      <c r="K79" s="13" t="n">
        <f aca="false">SUMIF(MANUALES!$B$16:$B$69,$A79,MANUALES!Q$16:Q$69)+SUMIF(RODANTES!$B$16:$B$68,$A79,RODANTES!Q$16:Q$68)+SUMIF(RECARGAS!$B$16:$B$37,$A79,RECARGAS!AA$16:AA$37)+SUMIF(REVENDIDOS!$B$16:$B$25,$A79,REVENDIDOS!R$16:R$25)</f>
        <v>100.5298529</v>
      </c>
      <c r="L79" s="13" t="n">
        <f aca="false">SUMIF(MANUALES!$B$16:$B$69,$A79,MANUALES!R$16:R$69)+SUMIF(RODANTES!$B$16:$B$68,$A79,RODANTES!R$16:R$68)+SUMIF(RECARGAS!$B$16:$B$37,$A79,RECARGAS!AB$16:AB$37)+SUMIF(REVENDIDOS!$B$16:$B$25,$A79,REVENDIDOS!S$16:S$25)</f>
        <v>155.8760035</v>
      </c>
      <c r="M79" s="13" t="n">
        <f aca="false">SUMIF(MANUALES!$B$16:$B$69,$A79,MANUALES!S$16:S$69)+SUMIF(RODANTES!$B$16:$B$68,$A79,RODANTES!S$16:S$68)+SUMIF(RECARGAS!$B$16:$B$37,$A79,RECARGAS!AC$16:AC$37)+SUMIF(REVENDIDOS!$B$16:$B$25,$A79,REVENDIDOS!T$16:T$25)</f>
        <v>211.9344827</v>
      </c>
      <c r="N79" s="13" t="n">
        <f aca="false">SUMIF(MANUALES!$B$16:$B$69,$A79,MANUALES!T$16:T$69)+SUMIF(RODANTES!$B$16:$B$68,$A79,RODANTES!T$16:T$68)+SUMIF(RECARGAS!$B$16:$B$37,$A79,RECARGAS!AD$16:AD$37)+SUMIF(REVENDIDOS!$B$16:$B$25,$A79,REVENDIDOS!U$16:U$25)</f>
        <v>272.6682332</v>
      </c>
      <c r="O79" s="13" t="n">
        <f aca="false">SUMIF(MANUALES!$B$16:$B$69,$A79,MANUALES!U$16:U$69)+SUMIF(RODANTES!$B$16:$B$68,$A79,RODANTES!U$16:U$68)+SUMIF(RECARGAS!$B$16:$B$37,$A79,RECARGAS!AE$16:AE$37)+SUMIF(REVENDIDOS!$B$16:$B$25,$A79,REVENDIDOS!V$16:V$25)</f>
        <v>337.8486707</v>
      </c>
      <c r="P79" s="13" t="n">
        <f aca="false">SUMIF(MANUALES!$B$16:$B$69,$A79,MANUALES!V$16:V$69)+SUMIF(RODANTES!$B$16:$B$68,$A79,RODANTES!V$16:V$68)+SUMIF(RECARGAS!$B$16:$B$37,$A79,RECARGAS!AF$16:AF$37)+SUMIF(REVENDIDOS!$B$16:$B$25,$A79,REVENDIDOS!W$16:W$25)</f>
        <v>393.6274156</v>
      </c>
      <c r="Q79" s="13" t="n">
        <f aca="false">SUMIF(MANUALES!$B$16:$B$69,$A79,MANUALES!W$16:W$69)+SUMIF(RODANTES!$B$16:$B$68,$A79,RODANTES!W$16:W$68)+SUMIF(RECARGAS!$B$16:$B$37,$A79,RECARGAS!AG$16:AG$37)+SUMIF(REVENDIDOS!$B$16:$B$25,$A79,REVENDIDOS!X$16:X$25)</f>
        <v>453.2705332</v>
      </c>
      <c r="R79" s="13" t="n">
        <f aca="false">SUMIF(MANUALES!$B$16:$B$69,$A79,MANUALES!X$16:X$69)+SUMIF(RODANTES!$B$16:$B$68,$A79,RODANTES!X$16:X$68)+SUMIF(RECARGAS!$B$16:$B$37,$A79,RECARGAS!AH$16:AH$37)+SUMIF(REVENDIDOS!$B$16:$B$25,$A79,REVENDIDOS!Y$16:Y$25)</f>
        <v>40.794347988</v>
      </c>
    </row>
    <row r="80" customFormat="false" ht="15" hidden="false" customHeight="false" outlineLevel="0" collapsed="false">
      <c r="A80" s="3" t="s">
        <v>463</v>
      </c>
      <c r="B80" s="3" t="s">
        <v>464</v>
      </c>
      <c r="C80" s="3" t="s">
        <v>214</v>
      </c>
      <c r="D80" s="13" t="n">
        <f aca="false">SUMIF(MANUALES!$B$16:$B$69,$A80,MANUALES!W$16:W$69)</f>
        <v>0</v>
      </c>
      <c r="E80" s="13" t="n">
        <f aca="false">SUMIF(RODANTES!$B$16:$B$68,$A80,RODANTES!W$16:W$68)</f>
        <v>998.259982820404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SUMIF(MANUALES!$B$16:$B$69,$A80,MANUALES!N$16:N$69)+SUMIF(RODANTES!$B$16:$B$68,$A80,RODANTES!N$16:N$68)+SUMIF(RECARGAS!$B$16:$B$37,$A80,RECARGAS!X$16:X$37)+SUMIF(REVENDIDOS!$B$16:$B$25,$A80,REVENDIDOS!O$16:O$25)</f>
        <v>75.2017274109201</v>
      </c>
      <c r="I80" s="13" t="n">
        <f aca="false">SUMIF(MANUALES!$B$16:$B$69,$A80,MANUALES!O$16:O$69)+SUMIF(RODANTES!$B$16:$B$68,$A80,RODANTES!O$16:O$68)+SUMIF(RECARGAS!$B$16:$B$37,$A80,RECARGAS!Y$16:Y$37)+SUMIF(REVENDIDOS!$B$16:$B$25,$A80,REVENDIDOS!P$16:P$25)</f>
        <v>129.206686542386</v>
      </c>
      <c r="J80" s="13" t="n">
        <f aca="false">SUMIF(MANUALES!$B$16:$B$69,$A80,MANUALES!P$16:P$69)+SUMIF(RODANTES!$B$16:$B$68,$A80,RODANTES!P$16:P$68)+SUMIF(RECARGAS!$B$16:$B$37,$A80,RECARGAS!Z$16:Z$37)+SUMIF(REVENDIDOS!$B$16:$B$25,$A80,REVENDIDOS!Q$16:Q$25)</f>
        <v>166.653101605318</v>
      </c>
      <c r="K80" s="13" t="n">
        <f aca="false">SUMIF(MANUALES!$B$16:$B$69,$A80,MANUALES!Q$16:Q$69)+SUMIF(RODANTES!$B$16:$B$68,$A80,RODANTES!Q$16:Q$68)+SUMIF(RECARGAS!$B$16:$B$37,$A80,RECARGAS!AA$16:AA$37)+SUMIF(REVENDIDOS!$B$16:$B$25,$A80,REVENDIDOS!R$16:R$25)</f>
        <v>222.705333798422</v>
      </c>
      <c r="L80" s="13" t="n">
        <f aca="false">SUMIF(MANUALES!$B$16:$B$69,$A80,MANUALES!R$16:R$69)+SUMIF(RODANTES!$B$16:$B$68,$A80,RODANTES!R$16:R$68)+SUMIF(RECARGAS!$B$16:$B$37,$A80,RECARGAS!AB$16:AB$37)+SUMIF(REVENDIDOS!$B$16:$B$25,$A80,REVENDIDOS!S$16:S$25)</f>
        <v>344.538811601152</v>
      </c>
      <c r="M80" s="13" t="n">
        <f aca="false">SUMIF(MANUALES!$B$16:$B$69,$A80,MANUALES!S$16:S$69)+SUMIF(RODANTES!$B$16:$B$68,$A80,RODANTES!S$16:S$68)+SUMIF(RECARGAS!$B$16:$B$37,$A80,RECARGAS!AC$16:AC$37)+SUMIF(REVENDIDOS!$B$16:$B$25,$A80,REVENDIDOS!T$16:T$25)</f>
        <v>468.227198914802</v>
      </c>
      <c r="N80" s="13" t="n">
        <f aca="false">SUMIF(MANUALES!$B$16:$B$69,$A80,MANUALES!T$16:T$69)+SUMIF(RODANTES!$B$16:$B$68,$A80,RODANTES!T$16:T$68)+SUMIF(RECARGAS!$B$16:$B$37,$A80,RECARGAS!AD$16:AD$37)+SUMIF(REVENDIDOS!$B$16:$B$25,$A80,REVENDIDOS!U$16:U$25)</f>
        <v>601.639999327158</v>
      </c>
      <c r="O80" s="13" t="n">
        <f aca="false">SUMIF(MANUALES!$B$16:$B$69,$A80,MANUALES!U$16:U$69)+SUMIF(RODANTES!$B$16:$B$68,$A80,RODANTES!U$16:U$68)+SUMIF(RECARGAS!$B$16:$B$37,$A80,RECARGAS!AE$16:AE$37)+SUMIF(REVENDIDOS!$B$16:$B$25,$A80,REVENDIDOS!V$16:V$25)</f>
        <v>744.533335808048</v>
      </c>
      <c r="P80" s="13" t="n">
        <f aca="false">SUMIF(MANUALES!$B$16:$B$69,$A80,MANUALES!V$16:V$69)+SUMIF(RODANTES!$B$16:$B$68,$A80,RODANTES!V$16:V$68)+SUMIF(RECARGAS!$B$16:$B$37,$A80,RECARGAS!AF$16:AF$37)+SUMIF(REVENDIDOS!$B$16:$B$25,$A80,REVENDIDOS!W$16:W$25)</f>
        <v>867.289742469686</v>
      </c>
      <c r="Q80" s="13" t="n">
        <f aca="false">SUMIF(MANUALES!$B$16:$B$69,$A80,MANUALES!W$16:W$69)+SUMIF(RODANTES!$B$16:$B$68,$A80,RODANTES!W$16:W$68)+SUMIF(RECARGAS!$B$16:$B$37,$A80,RECARGAS!AG$16:AG$37)+SUMIF(REVENDIDOS!$B$16:$B$25,$A80,REVENDIDOS!X$16:X$25)</f>
        <v>998.259982820404</v>
      </c>
      <c r="R80" s="13" t="n">
        <f aca="false">SUMIF(MANUALES!$B$16:$B$69,$A80,MANUALES!X$16:X$69)+SUMIF(RODANTES!$B$16:$B$68,$A80,RODANTES!X$16:X$68)+SUMIF(RECARGAS!$B$16:$B$37,$A80,RECARGAS!AH$16:AH$37)+SUMIF(REVENDIDOS!$B$16:$B$25,$A80,REVENDIDOS!Y$16:Y$25)</f>
        <v>89.8433984538364</v>
      </c>
    </row>
    <row r="81" customFormat="false" ht="15" hidden="false" customHeight="false" outlineLevel="0" collapsed="false">
      <c r="A81" s="3" t="s">
        <v>466</v>
      </c>
      <c r="B81" s="3" t="s">
        <v>467</v>
      </c>
      <c r="C81" s="3" t="s">
        <v>214</v>
      </c>
      <c r="D81" s="13" t="n">
        <f aca="false">SUMIF(MANUALES!$B$16:$B$69,$A81,MANUALES!W$16:W$69)</f>
        <v>0</v>
      </c>
      <c r="E81" s="13" t="n">
        <f aca="false">SUMIF(RODANTES!$B$16:$B$68,$A81,RODANTES!W$16:W$68)</f>
        <v>217.569856</v>
      </c>
      <c r="F81" s="13" t="n">
        <f aca="false">SUMIF(RECARGAS!$B$16:$B$37,$A81,RECARGAS!AG$16:AG$37)</f>
        <v>0</v>
      </c>
      <c r="G81" s="13" t="n">
        <f aca="false">SUMIF(REVENDIDOS!$B$16:$B$25,$A81,REVENDIDOS!X$16:X$25)</f>
        <v>0</v>
      </c>
      <c r="H81" s="13" t="n">
        <f aca="false">SUMIF(MANUALES!$B$16:$B$69,$A81,MANUALES!N$16:N$69)+SUMIF(RODANTES!$B$16:$B$68,$A81,RODANTES!N$16:N$68)+SUMIF(RECARGAS!$B$16:$B$37,$A81,RECARGAS!X$16:X$37)+SUMIF(REVENDIDOS!$B$16:$B$25,$A81,REVENDIDOS!O$16:O$25)</f>
        <v>16.34485985</v>
      </c>
      <c r="I81" s="13" t="n">
        <f aca="false">SUMIF(MANUALES!$B$16:$B$69,$A81,MANUALES!O$16:O$69)+SUMIF(RODANTES!$B$16:$B$68,$A81,RODANTES!O$16:O$68)+SUMIF(RECARGAS!$B$16:$B$37,$A81,RECARGAS!Y$16:Y$37)+SUMIF(REVENDIDOS!$B$16:$B$25,$A81,REVENDIDOS!P$16:P$25)</f>
        <v>28.06183078</v>
      </c>
      <c r="J81" s="13" t="n">
        <f aca="false">SUMIF(MANUALES!$B$16:$B$69,$A81,MANUALES!P$16:P$69)+SUMIF(RODANTES!$B$16:$B$68,$A81,RODANTES!P$16:P$68)+SUMIF(RECARGAS!$B$16:$B$37,$A81,RECARGAS!Z$16:Z$37)+SUMIF(REVENDIDOS!$B$16:$B$25,$A81,REVENDIDOS!Q$16:Q$25)</f>
        <v>36.10009919</v>
      </c>
      <c r="K81" s="13" t="n">
        <f aca="false">SUMIF(MANUALES!$B$16:$B$69,$A81,MANUALES!Q$16:Q$69)+SUMIF(RODANTES!$B$16:$B$68,$A81,RODANTES!Q$16:Q$68)+SUMIF(RECARGAS!$B$16:$B$37,$A81,RECARGAS!AA$16:AA$37)+SUMIF(REVENDIDOS!$B$16:$B$25,$A81,REVENDIDOS!R$16:R$25)</f>
        <v>48.25432941</v>
      </c>
      <c r="L81" s="13" t="n">
        <f aca="false">SUMIF(MANUALES!$B$16:$B$69,$A81,MANUALES!R$16:R$69)+SUMIF(RODANTES!$B$16:$B$68,$A81,RODANTES!R$16:R$68)+SUMIF(RECARGAS!$B$16:$B$37,$A81,RECARGAS!AB$16:AB$37)+SUMIF(REVENDIDOS!$B$16:$B$25,$A81,REVENDIDOS!S$16:S$25)</f>
        <v>74.82048167</v>
      </c>
      <c r="M81" s="13" t="n">
        <f aca="false">SUMIF(MANUALES!$B$16:$B$69,$A81,MANUALES!S$16:S$69)+SUMIF(RODANTES!$B$16:$B$68,$A81,RODANTES!S$16:S$68)+SUMIF(RECARGAS!$B$16:$B$37,$A81,RECARGAS!AC$16:AC$37)+SUMIF(REVENDIDOS!$B$16:$B$25,$A81,REVENDIDOS!T$16:T$25)</f>
        <v>101.7285517</v>
      </c>
      <c r="N81" s="13" t="n">
        <f aca="false">SUMIF(MANUALES!$B$16:$B$69,$A81,MANUALES!T$16:T$69)+SUMIF(RODANTES!$B$16:$B$68,$A81,RODANTES!T$16:T$68)+SUMIF(RECARGAS!$B$16:$B$37,$A81,RECARGAS!AD$16:AD$37)+SUMIF(REVENDIDOS!$B$16:$B$25,$A81,REVENDIDOS!U$16:U$25)</f>
        <v>130.8807519</v>
      </c>
      <c r="O81" s="13" t="n">
        <f aca="false">SUMIF(MANUALES!$B$16:$B$69,$A81,MANUALES!U$16:U$69)+SUMIF(RODANTES!$B$16:$B$68,$A81,RODANTES!U$16:U$68)+SUMIF(RECARGAS!$B$16:$B$37,$A81,RECARGAS!AE$16:AE$37)+SUMIF(REVENDIDOS!$B$16:$B$25,$A81,REVENDIDOS!V$16:V$25)</f>
        <v>162.1673619</v>
      </c>
      <c r="P81" s="13" t="n">
        <f aca="false">SUMIF(MANUALES!$B$16:$B$69,$A81,MANUALES!V$16:V$69)+SUMIF(RODANTES!$B$16:$B$68,$A81,RODANTES!V$16:V$68)+SUMIF(RECARGAS!$B$16:$B$37,$A81,RECARGAS!AF$16:AF$37)+SUMIF(REVENDIDOS!$B$16:$B$25,$A81,REVENDIDOS!W$16:W$25)</f>
        <v>188.9411595</v>
      </c>
      <c r="Q81" s="13" t="n">
        <f aca="false">SUMIF(MANUALES!$B$16:$B$69,$A81,MANUALES!W$16:W$69)+SUMIF(RODANTES!$B$16:$B$68,$A81,RODANTES!W$16:W$68)+SUMIF(RECARGAS!$B$16:$B$37,$A81,RECARGAS!AG$16:AG$37)+SUMIF(REVENDIDOS!$B$16:$B$25,$A81,REVENDIDOS!X$16:X$25)</f>
        <v>217.569856</v>
      </c>
      <c r="R81" s="13" t="n">
        <f aca="false">SUMIF(MANUALES!$B$16:$B$69,$A81,MANUALES!X$16:X$69)+SUMIF(RODANTES!$B$16:$B$68,$A81,RODANTES!X$16:X$68)+SUMIF(RECARGAS!$B$16:$B$37,$A81,RECARGAS!AH$16:AH$37)+SUMIF(REVENDIDOS!$B$16:$B$25,$A81,REVENDIDOS!Y$16:Y$25)</f>
        <v>19.58128704</v>
      </c>
    </row>
    <row r="82" customFormat="false" ht="15" hidden="false" customHeight="false" outlineLevel="0" collapsed="false">
      <c r="A82" s="3" t="s">
        <v>469</v>
      </c>
      <c r="B82" s="3" t="s">
        <v>470</v>
      </c>
      <c r="C82" s="3" t="s">
        <v>214</v>
      </c>
      <c r="D82" s="13" t="n">
        <f aca="false">SUMIF(MANUALES!$B$16:$B$69,$A82,MANUALES!W$16:W$69)</f>
        <v>0</v>
      </c>
      <c r="E82" s="13" t="n">
        <f aca="false">SUMIF(RODANTES!$B$16:$B$68,$A82,RODANTES!W$16:W$68)</f>
        <v>145.176074484914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SUMIF(MANUALES!$B$16:$B$69,$A82,MANUALES!N$16:N$69)+SUMIF(RODANTES!$B$16:$B$68,$A82,RODANTES!N$16:N$68)+SUMIF(RECARGAS!$B$16:$B$37,$A82,RECARGAS!X$16:X$37)+SUMIF(REVENDIDOS!$B$16:$B$25,$A82,REVENDIDOS!O$16:O$25)</f>
        <v>11.1843596509201</v>
      </c>
      <c r="I82" s="13" t="n">
        <f aca="false">SUMIF(MANUALES!$B$16:$B$69,$A82,MANUALES!O$16:O$69)+SUMIF(RODANTES!$B$16:$B$68,$A82,RODANTES!O$16:O$68)+SUMIF(RECARGAS!$B$16:$B$37,$A82,RECARGAS!Y$16:Y$37)+SUMIF(REVENDIDOS!$B$16:$B$25,$A82,REVENDIDOS!P$16:P$25)</f>
        <v>18.722276510546</v>
      </c>
      <c r="J82" s="13" t="n">
        <f aca="false">SUMIF(MANUALES!$B$16:$B$69,$A82,MANUALES!P$16:P$69)+SUMIF(RODANTES!$B$16:$B$68,$A82,RODANTES!P$16:P$68)+SUMIF(RECARGAS!$B$16:$B$37,$A82,RECARGAS!Z$16:Z$37)+SUMIF(REVENDIDOS!$B$16:$B$25,$A82,REVENDIDOS!Q$16:Q$25)</f>
        <v>24.3689085214661</v>
      </c>
      <c r="K82" s="13" t="n">
        <f aca="false">SUMIF(MANUALES!$B$16:$B$69,$A82,MANUALES!Q$16:Q$69)+SUMIF(RODANTES!$B$16:$B$68,$A82,RODANTES!Q$16:Q$68)+SUMIF(RECARGAS!$B$16:$B$37,$A82,RECARGAS!AA$16:AA$37)+SUMIF(REVENDIDOS!$B$16:$B$25,$A82,REVENDIDOS!R$16:R$25)</f>
        <v>32.4861179920121</v>
      </c>
      <c r="L82" s="13" t="n">
        <f aca="false">SUMIF(MANUALES!$B$16:$B$69,$A82,MANUALES!R$16:R$69)+SUMIF(RODANTES!$B$16:$B$68,$A82,RODANTES!R$16:R$68)+SUMIF(RECARGAS!$B$16:$B$37,$A82,RECARGAS!AB$16:AB$37)+SUMIF(REVENDIDOS!$B$16:$B$25,$A82,REVENDIDOS!S$16:S$25)</f>
        <v>50.4990619034781</v>
      </c>
      <c r="M82" s="13" t="n">
        <f aca="false">SUMIF(MANUALES!$B$16:$B$69,$A82,MANUALES!S$16:S$69)+SUMIF(RODANTES!$B$16:$B$68,$A82,RODANTES!S$16:S$68)+SUMIF(RECARGAS!$B$16:$B$37,$A82,RECARGAS!AC$16:AC$37)+SUMIF(REVENDIDOS!$B$16:$B$25,$A82,REVENDIDOS!T$16:T$25)</f>
        <v>68.1787674836501</v>
      </c>
      <c r="N82" s="13" t="n">
        <f aca="false">SUMIF(MANUALES!$B$16:$B$69,$A82,MANUALES!T$16:T$69)+SUMIF(RODANTES!$B$16:$B$68,$A82,RODANTES!T$16:T$68)+SUMIF(RECARGAS!$B$16:$B$37,$A82,RECARGAS!AD$16:AD$37)+SUMIF(REVENDIDOS!$B$16:$B$25,$A82,REVENDIDOS!U$16:U$25)</f>
        <v>87.6279569441961</v>
      </c>
      <c r="O82" s="13" t="n">
        <f aca="false">SUMIF(MANUALES!$B$16:$B$69,$A82,MANUALES!U$16:U$69)+SUMIF(RODANTES!$B$16:$B$68,$A82,RODANTES!U$16:U$68)+SUMIF(RECARGAS!$B$16:$B$37,$A82,RECARGAS!AE$16:AE$37)+SUMIF(REVENDIDOS!$B$16:$B$25,$A82,REVENDIDOS!V$16:V$25)</f>
        <v>108.500086254742</v>
      </c>
      <c r="P82" s="13" t="n">
        <f aca="false">SUMIF(MANUALES!$B$16:$B$69,$A82,MANUALES!V$16:V$69)+SUMIF(RODANTES!$B$16:$B$68,$A82,RODANTES!V$16:V$68)+SUMIF(RECARGAS!$B$16:$B$37,$A82,RECARGAS!AF$16:AF$37)+SUMIF(REVENDIDOS!$B$16:$B$25,$A82,REVENDIDOS!W$16:W$25)</f>
        <v>126.363673975288</v>
      </c>
      <c r="Q82" s="13" t="n">
        <f aca="false">SUMIF(MANUALES!$B$16:$B$69,$A82,MANUALES!W$16:W$69)+SUMIF(RODANTES!$B$16:$B$68,$A82,RODANTES!W$16:W$68)+SUMIF(RECARGAS!$B$16:$B$37,$A82,RECARGAS!AG$16:AG$37)+SUMIF(REVENDIDOS!$B$16:$B$25,$A82,REVENDIDOS!X$16:X$25)</f>
        <v>145.176074484914</v>
      </c>
      <c r="R82" s="13" t="n">
        <f aca="false">SUMIF(MANUALES!$B$16:$B$69,$A82,MANUALES!X$16:X$69)+SUMIF(RODANTES!$B$16:$B$68,$A82,RODANTES!X$16:X$68)+SUMIF(RECARGAS!$B$16:$B$37,$A82,RECARGAS!AH$16:AH$37)+SUMIF(REVENDIDOS!$B$16:$B$25,$A82,REVENDIDOS!Y$16:Y$25)</f>
        <v>13.0658467036423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SUMIF(MANUALES!$B$16:$B$69,$A83,MANUALES!W$16:W$69)</f>
        <v>56343.7542625258</v>
      </c>
      <c r="E83" s="13" t="n">
        <f aca="false">SUMIF(RODANTES!$B$16:$B$68,$A83,RODANTES!W$16:W$68)</f>
        <v>1385.71683246007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SUMIF(MANUALES!$B$16:$B$69,$A83,MANUALES!N$16:N$69)+SUMIF(RODANTES!$B$16:$B$68,$A83,RODANTES!N$16:N$68)+SUMIF(RECARGAS!$B$16:$B$37,$A83,RECARGAS!X$16:X$37)+SUMIF(REVENDIDOS!$B$16:$B$25,$A83,REVENDIDOS!O$16:O$25)</f>
        <v>5698.33427864397</v>
      </c>
      <c r="I83" s="13" t="n">
        <f aca="false">SUMIF(MANUALES!$B$16:$B$69,$A83,MANUALES!O$16:O$69)+SUMIF(RODANTES!$B$16:$B$68,$A83,RODANTES!O$16:O$68)+SUMIF(RECARGAS!$B$16:$B$37,$A83,RECARGAS!Y$16:Y$37)+SUMIF(REVENDIDOS!$B$16:$B$25,$A83,REVENDIDOS!P$16:P$25)</f>
        <v>9669.92942072346</v>
      </c>
      <c r="J83" s="13" t="n">
        <f aca="false">SUMIF(MANUALES!$B$16:$B$69,$A83,MANUALES!P$16:P$69)+SUMIF(RODANTES!$B$16:$B$68,$A83,RODANTES!P$16:P$68)+SUMIF(RECARGAS!$B$16:$B$37,$A83,RECARGAS!Z$16:Z$37)+SUMIF(REVENDIDOS!$B$16:$B$25,$A83,REVENDIDOS!Q$16:Q$25)</f>
        <v>11966.2603142653</v>
      </c>
      <c r="K83" s="13" t="n">
        <f aca="false">SUMIF(MANUALES!$B$16:$B$69,$A83,MANUALES!Q$16:Q$69)+SUMIF(RODANTES!$B$16:$B$68,$A83,RODANTES!Q$16:Q$68)+SUMIF(RECARGAS!$B$16:$B$37,$A83,RECARGAS!AA$16:AA$37)+SUMIF(REVENDIDOS!$B$16:$B$25,$A83,REVENDIDOS!R$16:R$25)</f>
        <v>16222.2611849864</v>
      </c>
      <c r="L83" s="13" t="n">
        <f aca="false">SUMIF(MANUALES!$B$16:$B$69,$A83,MANUALES!R$16:R$69)+SUMIF(RODANTES!$B$16:$B$68,$A83,RODANTES!R$16:R$68)+SUMIF(RECARGAS!$B$16:$B$37,$A83,RECARGAS!AB$16:AB$37)+SUMIF(REVENDIDOS!$B$16:$B$25,$A83,REVENDIDOS!S$16:S$25)</f>
        <v>23553.1100842501</v>
      </c>
      <c r="M83" s="13" t="n">
        <f aca="false">SUMIF(MANUALES!$B$16:$B$69,$A83,MANUALES!S$16:S$69)+SUMIF(RODANTES!$B$16:$B$68,$A83,RODANTES!S$16:S$68)+SUMIF(RECARGAS!$B$16:$B$37,$A83,RECARGAS!AC$16:AC$37)+SUMIF(REVENDIDOS!$B$16:$B$25,$A83,REVENDIDOS!T$16:T$25)</f>
        <v>30148.7082085949</v>
      </c>
      <c r="N83" s="13" t="n">
        <f aca="false">SUMIF(MANUALES!$B$16:$B$69,$A83,MANUALES!T$16:T$69)+SUMIF(RODANTES!$B$16:$B$68,$A83,RODANTES!T$16:T$68)+SUMIF(RECARGAS!$B$16:$B$37,$A83,RECARGAS!AD$16:AD$37)+SUMIF(REVENDIDOS!$B$16:$B$25,$A83,REVENDIDOS!U$16:U$25)</f>
        <v>37759.0300337311</v>
      </c>
      <c r="O83" s="13" t="n">
        <f aca="false">SUMIF(MANUALES!$B$16:$B$69,$A83,MANUALES!U$16:U$69)+SUMIF(RODANTES!$B$16:$B$68,$A83,RODANTES!U$16:U$68)+SUMIF(RECARGAS!$B$16:$B$37,$A83,RECARGAS!AE$16:AE$37)+SUMIF(REVENDIDOS!$B$16:$B$25,$A83,REVENDIDOS!V$16:V$25)</f>
        <v>45153.9092156843</v>
      </c>
      <c r="P83" s="13" t="n">
        <f aca="false">SUMIF(MANUALES!$B$16:$B$69,$A83,MANUALES!V$16:V$69)+SUMIF(RODANTES!$B$16:$B$68,$A83,RODANTES!V$16:V$68)+SUMIF(RECARGAS!$B$16:$B$37,$A83,RECARGAS!AF$16:AF$37)+SUMIF(REVENDIDOS!$B$16:$B$25,$A83,REVENDIDOS!W$16:W$25)</f>
        <v>50909.8501730773</v>
      </c>
      <c r="Q83" s="13" t="n">
        <f aca="false">SUMIF(MANUALES!$B$16:$B$69,$A83,MANUALES!W$16:W$69)+SUMIF(RODANTES!$B$16:$B$68,$A83,RODANTES!W$16:W$68)+SUMIF(RECARGAS!$B$16:$B$37,$A83,RECARGAS!AG$16:AG$37)+SUMIF(REVENDIDOS!$B$16:$B$25,$A83,REVENDIDOS!X$16:X$25)</f>
        <v>57729.4710949858</v>
      </c>
      <c r="R83" s="13" t="n">
        <f aca="false">SUMIF(MANUALES!$B$16:$B$69,$A83,MANUALES!X$16:X$69)+SUMIF(RODANTES!$B$16:$B$68,$A83,RODANTES!X$16:X$68)+SUMIF(RECARGAS!$B$16:$B$37,$A83,RECARGAS!AH$16:AH$37)+SUMIF(REVENDIDOS!$B$16:$B$25,$A83,REVENDIDOS!Y$16:Y$25)</f>
        <v>6567.49343697284</v>
      </c>
    </row>
    <row r="84" customFormat="false" ht="15" hidden="false" customHeight="false" outlineLevel="0" collapsed="false">
      <c r="A84" s="3" t="s">
        <v>296</v>
      </c>
      <c r="B84" s="3" t="s">
        <v>297</v>
      </c>
      <c r="C84" s="3" t="s">
        <v>214</v>
      </c>
      <c r="D84" s="13" t="n">
        <f aca="false">SUMIF(MANUALES!$B$16:$B$69,$A84,MANUALES!W$16:W$69)</f>
        <v>73769.1452334506</v>
      </c>
      <c r="E84" s="13" t="n">
        <f aca="false">SUMIF(RODANTES!$B$16:$B$68,$A84,RODANTES!W$16:W$68)</f>
        <v>1814.27644650532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SUMIF(MANUALES!$B$16:$B$69,$A84,MANUALES!N$16:N$69)+SUMIF(RODANTES!$B$16:$B$68,$A84,RODANTES!N$16:N$68)+SUMIF(RECARGAS!$B$16:$B$37,$A84,RECARGAS!X$16:X$37)+SUMIF(REVENDIDOS!$B$16:$B$25,$A84,REVENDIDOS!O$16:O$25)</f>
        <v>7430.86196171164</v>
      </c>
      <c r="I84" s="13" t="n">
        <f aca="false">SUMIF(MANUALES!$B$16:$B$69,$A84,MANUALES!O$16:O$69)+SUMIF(RODANTES!$B$16:$B$68,$A84,RODANTES!O$16:O$68)+SUMIF(RECARGAS!$B$16:$B$37,$A84,RECARGAS!Y$16:Y$37)+SUMIF(REVENDIDOS!$B$16:$B$25,$A84,REVENDIDOS!P$16:P$25)</f>
        <v>12608.5344353427</v>
      </c>
      <c r="J84" s="13" t="n">
        <f aca="false">SUMIF(MANUALES!$B$16:$B$69,$A84,MANUALES!P$16:P$69)+SUMIF(RODANTES!$B$16:$B$68,$A84,RODANTES!P$16:P$68)+SUMIF(RECARGAS!$B$16:$B$37,$A84,RECARGAS!Z$16:Z$37)+SUMIF(REVENDIDOS!$B$16:$B$25,$A84,REVENDIDOS!Q$16:Q$25)</f>
        <v>15602.5971929293</v>
      </c>
      <c r="K84" s="13" t="n">
        <f aca="false">SUMIF(MANUALES!$B$16:$B$69,$A84,MANUALES!Q$16:Q$69)+SUMIF(RODANTES!$B$16:$B$68,$A84,RODANTES!Q$16:Q$68)+SUMIF(RECARGAS!$B$16:$B$37,$A84,RECARGAS!AA$16:AA$37)+SUMIF(REVENDIDOS!$B$16:$B$25,$A84,REVENDIDOS!R$16:R$25)</f>
        <v>21153.7281803724</v>
      </c>
      <c r="L84" s="13" t="n">
        <f aca="false">SUMIF(MANUALES!$B$16:$B$69,$A84,MANUALES!R$16:R$69)+SUMIF(RODANTES!$B$16:$B$68,$A84,RODANTES!R$16:R$68)+SUMIF(RECARGAS!$B$16:$B$37,$A84,RECARGAS!AB$16:AB$37)+SUMIF(REVENDIDOS!$B$16:$B$25,$A84,REVENDIDOS!S$16:S$25)</f>
        <v>30719.6909242354</v>
      </c>
      <c r="M84" s="13" t="n">
        <f aca="false">SUMIF(MANUALES!$B$16:$B$69,$A84,MANUALES!S$16:S$69)+SUMIF(RODANTES!$B$16:$B$68,$A84,RODANTES!S$16:S$68)+SUMIF(RECARGAS!$B$16:$B$37,$A84,RECARGAS!AC$16:AC$37)+SUMIF(REVENDIDOS!$B$16:$B$25,$A84,REVENDIDOS!T$16:T$25)</f>
        <v>39336.4696707652</v>
      </c>
      <c r="N84" s="13" t="n">
        <f aca="false">SUMIF(MANUALES!$B$16:$B$69,$A84,MANUALES!T$16:T$69)+SUMIF(RODANTES!$B$16:$B$68,$A84,RODANTES!T$16:T$68)+SUMIF(RECARGAS!$B$16:$B$37,$A84,RECARGAS!AD$16:AD$37)+SUMIF(REVENDIDOS!$B$16:$B$25,$A84,REVENDIDOS!U$16:U$25)</f>
        <v>49292.5229220404</v>
      </c>
      <c r="O84" s="13" t="n">
        <f aca="false">SUMIF(MANUALES!$B$16:$B$69,$A84,MANUALES!U$16:U$69)+SUMIF(RODANTES!$B$16:$B$68,$A84,RODANTES!U$16:U$68)+SUMIF(RECARGAS!$B$16:$B$37,$A84,RECARGAS!AE$16:AE$37)+SUMIF(REVENDIDOS!$B$16:$B$25,$A84,REVENDIDOS!V$16:V$25)</f>
        <v>58989.3905887392</v>
      </c>
      <c r="P84" s="13" t="n">
        <f aca="false">SUMIF(MANUALES!$B$16:$B$69,$A84,MANUALES!V$16:V$69)+SUMIF(RODANTES!$B$16:$B$68,$A84,RODANTES!V$16:V$68)+SUMIF(RECARGAS!$B$16:$B$37,$A84,RECARGAS!AF$16:AF$37)+SUMIF(REVENDIDOS!$B$16:$B$25,$A84,REVENDIDOS!W$16:W$25)</f>
        <v>66572.73888264</v>
      </c>
      <c r="Q84" s="13" t="n">
        <f aca="false">SUMIF(MANUALES!$B$16:$B$69,$A84,MANUALES!W$16:W$69)+SUMIF(RODANTES!$B$16:$B$68,$A84,RODANTES!W$16:W$68)+SUMIF(RECARGAS!$B$16:$B$37,$A84,RECARGAS!AG$16:AG$37)+SUMIF(REVENDIDOS!$B$16:$B$25,$A84,REVENDIDOS!X$16:X$25)</f>
        <v>75583.421679956</v>
      </c>
      <c r="R84" s="13" t="n">
        <f aca="false">SUMIF(MANUALES!$B$16:$B$69,$A84,MANUALES!X$16:X$69)+SUMIF(RODANTES!$B$16:$B$68,$A84,RODANTES!X$16:X$68)+SUMIF(RECARGAS!$B$16:$B$37,$A84,RECARGAS!AH$16:AH$37)+SUMIF(REVENDIDOS!$B$16:$B$25,$A84,REVENDIDOS!Y$16:Y$25)</f>
        <v>8598.61724716505</v>
      </c>
    </row>
    <row r="85" customFormat="false" ht="15" hidden="false" customHeight="false" outlineLevel="0" collapsed="false">
      <c r="A85" s="3" t="s">
        <v>299</v>
      </c>
      <c r="B85" s="3" t="s">
        <v>300</v>
      </c>
      <c r="C85" s="3" t="s">
        <v>214</v>
      </c>
      <c r="D85" s="13" t="n">
        <f aca="false">SUMIF(MANUALES!$B$16:$B$69,$A85,MANUALES!W$16:W$69)</f>
        <v>9849.34715828475</v>
      </c>
      <c r="E85" s="13" t="n">
        <f aca="false">SUMIF(RODANTES!$B$16:$B$68,$A85,RODANTES!W$16:W$68)</f>
        <v>428.559614045248</v>
      </c>
      <c r="F85" s="13" t="n">
        <f aca="false">SUMIF(RECARGAS!$B$16:$B$37,$A85,RECARGAS!AG$16:AG$37)</f>
        <v>22451.7402206056</v>
      </c>
      <c r="G85" s="13" t="n">
        <f aca="false">SUMIF(REVENDIDOS!$B$16:$B$25,$A85,REVENDIDOS!X$16:X$25)</f>
        <v>4258.3020622765</v>
      </c>
      <c r="H85" s="13" t="n">
        <f aca="false">SUMIF(MANUALES!$B$16:$B$69,$A85,MANUALES!N$16:N$69)+SUMIF(RODANTES!$B$16:$B$68,$A85,RODANTES!N$16:N$68)+SUMIF(RECARGAS!$B$16:$B$37,$A85,RECARGAS!X$16:X$37)+SUMIF(REVENDIDOS!$B$16:$B$25,$A85,REVENDIDOS!O$16:O$25)</f>
        <v>1469.17192416544</v>
      </c>
      <c r="I85" s="13" t="n">
        <f aca="false">SUMIF(MANUALES!$B$16:$B$69,$A85,MANUALES!O$16:O$69)+SUMIF(RODANTES!$B$16:$B$68,$A85,RODANTES!O$16:O$68)+SUMIF(RECARGAS!$B$16:$B$37,$A85,RECARGAS!Y$16:Y$37)+SUMIF(REVENDIDOS!$B$16:$B$25,$A85,REVENDIDOS!P$16:P$25)</f>
        <v>3934.06575488537</v>
      </c>
      <c r="J85" s="13" t="n">
        <f aca="false">SUMIF(MANUALES!$B$16:$B$69,$A85,MANUALES!P$16:P$69)+SUMIF(RODANTES!$B$16:$B$68,$A85,RODANTES!P$16:P$68)+SUMIF(RECARGAS!$B$16:$B$37,$A85,RECARGAS!Z$16:Z$37)+SUMIF(REVENDIDOS!$B$16:$B$25,$A85,REVENDIDOS!Q$16:Q$25)</f>
        <v>6474.97339203091</v>
      </c>
      <c r="K85" s="13" t="n">
        <f aca="false">SUMIF(MANUALES!$B$16:$B$69,$A85,MANUALES!Q$16:Q$69)+SUMIF(RODANTES!$B$16:$B$68,$A85,RODANTES!Q$16:Q$68)+SUMIF(RECARGAS!$B$16:$B$37,$A85,RECARGAS!AA$16:AA$37)+SUMIF(REVENDIDOS!$B$16:$B$25,$A85,REVENDIDOS!R$16:R$25)</f>
        <v>10828.9280064815</v>
      </c>
      <c r="L85" s="13" t="n">
        <f aca="false">SUMIF(MANUALES!$B$16:$B$69,$A85,MANUALES!R$16:R$69)+SUMIF(RODANTES!$B$16:$B$68,$A85,RODANTES!R$16:R$68)+SUMIF(RECARGAS!$B$16:$B$37,$A85,RECARGAS!AB$16:AB$37)+SUMIF(REVENDIDOS!$B$16:$B$25,$A85,REVENDIDOS!S$16:S$25)</f>
        <v>15858.9583878208</v>
      </c>
      <c r="M85" s="13" t="n">
        <f aca="false">SUMIF(MANUALES!$B$16:$B$69,$A85,MANUALES!S$16:S$69)+SUMIF(RODANTES!$B$16:$B$68,$A85,RODANTES!S$16:S$68)+SUMIF(RECARGAS!$B$16:$B$37,$A85,RECARGAS!AC$16:AC$37)+SUMIF(REVENDIDOS!$B$16:$B$25,$A85,REVENDIDOS!T$16:T$25)</f>
        <v>21368.3788128812</v>
      </c>
      <c r="N85" s="13" t="n">
        <f aca="false">SUMIF(MANUALES!$B$16:$B$69,$A85,MANUALES!T$16:T$69)+SUMIF(RODANTES!$B$16:$B$68,$A85,RODANTES!T$16:T$68)+SUMIF(RECARGAS!$B$16:$B$37,$A85,RECARGAS!AD$16:AD$37)+SUMIF(REVENDIDOS!$B$16:$B$25,$A85,REVENDIDOS!U$16:U$25)</f>
        <v>26493.1717618823</v>
      </c>
      <c r="O85" s="13" t="n">
        <f aca="false">SUMIF(MANUALES!$B$16:$B$69,$A85,MANUALES!U$16:U$69)+SUMIF(RODANTES!$B$16:$B$68,$A85,RODANTES!U$16:U$68)+SUMIF(RECARGAS!$B$16:$B$37,$A85,RECARGAS!AE$16:AE$37)+SUMIF(REVENDIDOS!$B$16:$B$25,$A85,REVENDIDOS!V$16:V$25)</f>
        <v>30592.7001127701</v>
      </c>
      <c r="P85" s="13" t="n">
        <f aca="false">SUMIF(MANUALES!$B$16:$B$69,$A85,MANUALES!V$16:V$69)+SUMIF(RODANTES!$B$16:$B$68,$A85,RODANTES!V$16:V$68)+SUMIF(RECARGAS!$B$16:$B$37,$A85,RECARGAS!AF$16:AF$37)+SUMIF(REVENDIDOS!$B$16:$B$25,$A85,REVENDIDOS!W$16:W$25)</f>
        <v>33577.8260271524</v>
      </c>
      <c r="Q85" s="13" t="n">
        <f aca="false">SUMIF(MANUALES!$B$16:$B$69,$A85,MANUALES!W$16:W$69)+SUMIF(RODANTES!$B$16:$B$68,$A85,RODANTES!W$16:W$68)+SUMIF(RECARGAS!$B$16:$B$37,$A85,RECARGAS!AG$16:AG$37)+SUMIF(REVENDIDOS!$B$16:$B$25,$A85,REVENDIDOS!X$16:X$25)</f>
        <v>36987.9490552122</v>
      </c>
      <c r="R85" s="13" t="n">
        <f aca="false">SUMIF(MANUALES!$B$16:$B$69,$A85,MANUALES!X$16:X$69)+SUMIF(RODANTES!$B$16:$B$68,$A85,RODANTES!X$16:X$68)+SUMIF(RECARGAS!$B$16:$B$37,$A85,RECARGAS!AH$16:AH$37)+SUMIF(REVENDIDOS!$B$16:$B$25,$A85,REVENDIDOS!Y$16:Y$25)</f>
        <v>3458.43909506662</v>
      </c>
    </row>
    <row r="86" customFormat="false" ht="15" hidden="false" customHeight="false" outlineLevel="0" collapsed="false">
      <c r="A86" s="3" t="s">
        <v>303</v>
      </c>
      <c r="B86" s="3" t="s">
        <v>304</v>
      </c>
      <c r="C86" s="3" t="s">
        <v>214</v>
      </c>
      <c r="D86" s="13" t="n">
        <f aca="false">SUMIF(MANUALES!$B$16:$B$69,$A86,MANUALES!W$16:W$69)</f>
        <v>73769.1452334506</v>
      </c>
      <c r="E86" s="13" t="n">
        <f aca="false">SUMIF(RODANTES!$B$16:$B$68,$A86,RODANTES!W$16:W$68)</f>
        <v>1814.27644650532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SUMIF(MANUALES!$B$16:$B$69,$A86,MANUALES!N$16:N$69)+SUMIF(RODANTES!$B$16:$B$68,$A86,RODANTES!N$16:N$68)+SUMIF(RECARGAS!$B$16:$B$37,$A86,RECARGAS!X$16:X$37)+SUMIF(REVENDIDOS!$B$16:$B$25,$A86,REVENDIDOS!O$16:O$25)</f>
        <v>7430.86196171164</v>
      </c>
      <c r="I86" s="13" t="n">
        <f aca="false">SUMIF(MANUALES!$B$16:$B$69,$A86,MANUALES!O$16:O$69)+SUMIF(RODANTES!$B$16:$B$68,$A86,RODANTES!O$16:O$68)+SUMIF(RECARGAS!$B$16:$B$37,$A86,RECARGAS!Y$16:Y$37)+SUMIF(REVENDIDOS!$B$16:$B$25,$A86,REVENDIDOS!P$16:P$25)</f>
        <v>12608.5344353427</v>
      </c>
      <c r="J86" s="13" t="n">
        <f aca="false">SUMIF(MANUALES!$B$16:$B$69,$A86,MANUALES!P$16:P$69)+SUMIF(RODANTES!$B$16:$B$68,$A86,RODANTES!P$16:P$68)+SUMIF(RECARGAS!$B$16:$B$37,$A86,RECARGAS!Z$16:Z$37)+SUMIF(REVENDIDOS!$B$16:$B$25,$A86,REVENDIDOS!Q$16:Q$25)</f>
        <v>15602.5971929293</v>
      </c>
      <c r="K86" s="13" t="n">
        <f aca="false">SUMIF(MANUALES!$B$16:$B$69,$A86,MANUALES!Q$16:Q$69)+SUMIF(RODANTES!$B$16:$B$68,$A86,RODANTES!Q$16:Q$68)+SUMIF(RECARGAS!$B$16:$B$37,$A86,RECARGAS!AA$16:AA$37)+SUMIF(REVENDIDOS!$B$16:$B$25,$A86,REVENDIDOS!R$16:R$25)</f>
        <v>21153.7281803724</v>
      </c>
      <c r="L86" s="13" t="n">
        <f aca="false">SUMIF(MANUALES!$B$16:$B$69,$A86,MANUALES!R$16:R$69)+SUMIF(RODANTES!$B$16:$B$68,$A86,RODANTES!R$16:R$68)+SUMIF(RECARGAS!$B$16:$B$37,$A86,RECARGAS!AB$16:AB$37)+SUMIF(REVENDIDOS!$B$16:$B$25,$A86,REVENDIDOS!S$16:S$25)</f>
        <v>30719.6909242354</v>
      </c>
      <c r="M86" s="13" t="n">
        <f aca="false">SUMIF(MANUALES!$B$16:$B$69,$A86,MANUALES!S$16:S$69)+SUMIF(RODANTES!$B$16:$B$68,$A86,RODANTES!S$16:S$68)+SUMIF(RECARGAS!$B$16:$B$37,$A86,RECARGAS!AC$16:AC$37)+SUMIF(REVENDIDOS!$B$16:$B$25,$A86,REVENDIDOS!T$16:T$25)</f>
        <v>39336.4696707652</v>
      </c>
      <c r="N86" s="13" t="n">
        <f aca="false">SUMIF(MANUALES!$B$16:$B$69,$A86,MANUALES!T$16:T$69)+SUMIF(RODANTES!$B$16:$B$68,$A86,RODANTES!T$16:T$68)+SUMIF(RECARGAS!$B$16:$B$37,$A86,RECARGAS!AD$16:AD$37)+SUMIF(REVENDIDOS!$B$16:$B$25,$A86,REVENDIDOS!U$16:U$25)</f>
        <v>49292.5229220404</v>
      </c>
      <c r="O86" s="13" t="n">
        <f aca="false">SUMIF(MANUALES!$B$16:$B$69,$A86,MANUALES!U$16:U$69)+SUMIF(RODANTES!$B$16:$B$68,$A86,RODANTES!U$16:U$68)+SUMIF(RECARGAS!$B$16:$B$37,$A86,RECARGAS!AE$16:AE$37)+SUMIF(REVENDIDOS!$B$16:$B$25,$A86,REVENDIDOS!V$16:V$25)</f>
        <v>58989.3905887392</v>
      </c>
      <c r="P86" s="13" t="n">
        <f aca="false">SUMIF(MANUALES!$B$16:$B$69,$A86,MANUALES!V$16:V$69)+SUMIF(RODANTES!$B$16:$B$68,$A86,RODANTES!V$16:V$68)+SUMIF(RECARGAS!$B$16:$B$37,$A86,RECARGAS!AF$16:AF$37)+SUMIF(REVENDIDOS!$B$16:$B$25,$A86,REVENDIDOS!W$16:W$25)</f>
        <v>66572.73888264</v>
      </c>
      <c r="Q86" s="13" t="n">
        <f aca="false">SUMIF(MANUALES!$B$16:$B$69,$A86,MANUALES!W$16:W$69)+SUMIF(RODANTES!$B$16:$B$68,$A86,RODANTES!W$16:W$68)+SUMIF(RECARGAS!$B$16:$B$37,$A86,RECARGAS!AG$16:AG$37)+SUMIF(REVENDIDOS!$B$16:$B$25,$A86,REVENDIDOS!X$16:X$25)</f>
        <v>75583.421679956</v>
      </c>
      <c r="R86" s="13" t="n">
        <f aca="false">SUMIF(MANUALES!$B$16:$B$69,$A86,MANUALES!X$16:X$69)+SUMIF(RODANTES!$B$16:$B$68,$A86,RODANTES!X$16:X$68)+SUMIF(RECARGAS!$B$16:$B$37,$A86,RECARGAS!AH$16:AH$37)+SUMIF(REVENDIDOS!$B$16:$B$25,$A86,REVENDIDOS!Y$16:Y$25)</f>
        <v>8598.61724716505</v>
      </c>
    </row>
    <row r="87" customFormat="false" ht="15" hidden="false" customHeight="false" outlineLevel="0" collapsed="false">
      <c r="A87" s="3" t="s">
        <v>306</v>
      </c>
      <c r="B87" s="3" t="s">
        <v>307</v>
      </c>
      <c r="C87" s="3" t="s">
        <v>214</v>
      </c>
      <c r="D87" s="13" t="n">
        <f aca="false">SUMIF(MANUALES!$B$16:$B$69,$A87,MANUALES!W$16:W$69)</f>
        <v>73769.1452334506</v>
      </c>
      <c r="E87" s="13" t="n">
        <f aca="false">SUMIF(RODANTES!$B$16:$B$68,$A87,RODANTES!W$16:W$68)</f>
        <v>1814.27644650532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SUMIF(MANUALES!$B$16:$B$69,$A87,MANUALES!N$16:N$69)+SUMIF(RODANTES!$B$16:$B$68,$A87,RODANTES!N$16:N$68)+SUMIF(RECARGAS!$B$16:$B$37,$A87,RECARGAS!X$16:X$37)+SUMIF(REVENDIDOS!$B$16:$B$25,$A87,REVENDIDOS!O$16:O$25)</f>
        <v>7430.86196171164</v>
      </c>
      <c r="I87" s="13" t="n">
        <f aca="false">SUMIF(MANUALES!$B$16:$B$69,$A87,MANUALES!O$16:O$69)+SUMIF(RODANTES!$B$16:$B$68,$A87,RODANTES!O$16:O$68)+SUMIF(RECARGAS!$B$16:$B$37,$A87,RECARGAS!Y$16:Y$37)+SUMIF(REVENDIDOS!$B$16:$B$25,$A87,REVENDIDOS!P$16:P$25)</f>
        <v>12608.5344353427</v>
      </c>
      <c r="J87" s="13" t="n">
        <f aca="false">SUMIF(MANUALES!$B$16:$B$69,$A87,MANUALES!P$16:P$69)+SUMIF(RODANTES!$B$16:$B$68,$A87,RODANTES!P$16:P$68)+SUMIF(RECARGAS!$B$16:$B$37,$A87,RECARGAS!Z$16:Z$37)+SUMIF(REVENDIDOS!$B$16:$B$25,$A87,REVENDIDOS!Q$16:Q$25)</f>
        <v>15602.5971929293</v>
      </c>
      <c r="K87" s="13" t="n">
        <f aca="false">SUMIF(MANUALES!$B$16:$B$69,$A87,MANUALES!Q$16:Q$69)+SUMIF(RODANTES!$B$16:$B$68,$A87,RODANTES!Q$16:Q$68)+SUMIF(RECARGAS!$B$16:$B$37,$A87,RECARGAS!AA$16:AA$37)+SUMIF(REVENDIDOS!$B$16:$B$25,$A87,REVENDIDOS!R$16:R$25)</f>
        <v>21153.7281803724</v>
      </c>
      <c r="L87" s="13" t="n">
        <f aca="false">SUMIF(MANUALES!$B$16:$B$69,$A87,MANUALES!R$16:R$69)+SUMIF(RODANTES!$B$16:$B$68,$A87,RODANTES!R$16:R$68)+SUMIF(RECARGAS!$B$16:$B$37,$A87,RECARGAS!AB$16:AB$37)+SUMIF(REVENDIDOS!$B$16:$B$25,$A87,REVENDIDOS!S$16:S$25)</f>
        <v>30719.6909242354</v>
      </c>
      <c r="M87" s="13" t="n">
        <f aca="false">SUMIF(MANUALES!$B$16:$B$69,$A87,MANUALES!S$16:S$69)+SUMIF(RODANTES!$B$16:$B$68,$A87,RODANTES!S$16:S$68)+SUMIF(RECARGAS!$B$16:$B$37,$A87,RECARGAS!AC$16:AC$37)+SUMIF(REVENDIDOS!$B$16:$B$25,$A87,REVENDIDOS!T$16:T$25)</f>
        <v>39336.4696707652</v>
      </c>
      <c r="N87" s="13" t="n">
        <f aca="false">SUMIF(MANUALES!$B$16:$B$69,$A87,MANUALES!T$16:T$69)+SUMIF(RODANTES!$B$16:$B$68,$A87,RODANTES!T$16:T$68)+SUMIF(RECARGAS!$B$16:$B$37,$A87,RECARGAS!AD$16:AD$37)+SUMIF(REVENDIDOS!$B$16:$B$25,$A87,REVENDIDOS!U$16:U$25)</f>
        <v>49292.5229220404</v>
      </c>
      <c r="O87" s="13" t="n">
        <f aca="false">SUMIF(MANUALES!$B$16:$B$69,$A87,MANUALES!U$16:U$69)+SUMIF(RODANTES!$B$16:$B$68,$A87,RODANTES!U$16:U$68)+SUMIF(RECARGAS!$B$16:$B$37,$A87,RECARGAS!AE$16:AE$37)+SUMIF(REVENDIDOS!$B$16:$B$25,$A87,REVENDIDOS!V$16:V$25)</f>
        <v>58989.3905887392</v>
      </c>
      <c r="P87" s="13" t="n">
        <f aca="false">SUMIF(MANUALES!$B$16:$B$69,$A87,MANUALES!V$16:V$69)+SUMIF(RODANTES!$B$16:$B$68,$A87,RODANTES!V$16:V$68)+SUMIF(RECARGAS!$B$16:$B$37,$A87,RECARGAS!AF$16:AF$37)+SUMIF(REVENDIDOS!$B$16:$B$25,$A87,REVENDIDOS!W$16:W$25)</f>
        <v>66572.73888264</v>
      </c>
      <c r="Q87" s="13" t="n">
        <f aca="false">SUMIF(MANUALES!$B$16:$B$69,$A87,MANUALES!W$16:W$69)+SUMIF(RODANTES!$B$16:$B$68,$A87,RODANTES!W$16:W$68)+SUMIF(RECARGAS!$B$16:$B$37,$A87,RECARGAS!AG$16:AG$37)+SUMIF(REVENDIDOS!$B$16:$B$25,$A87,REVENDIDOS!X$16:X$25)</f>
        <v>75583.421679956</v>
      </c>
      <c r="R87" s="13" t="n">
        <f aca="false">SUMIF(MANUALES!$B$16:$B$69,$A87,MANUALES!X$16:X$69)+SUMIF(RODANTES!$B$16:$B$68,$A87,RODANTES!X$16:X$68)+SUMIF(RECARGAS!$B$16:$B$37,$A87,RECARGAS!AH$16:AH$37)+SUMIF(REVENDIDOS!$B$16:$B$25,$A87,REVENDIDOS!Y$16:Y$25)</f>
        <v>8598.61724716505</v>
      </c>
    </row>
    <row r="88" customFormat="false" ht="15" hidden="false" customHeight="false" outlineLevel="0" collapsed="false">
      <c r="A88" s="3" t="s">
        <v>309</v>
      </c>
      <c r="B88" s="3" t="s">
        <v>310</v>
      </c>
      <c r="C88" s="3" t="s">
        <v>214</v>
      </c>
      <c r="D88" s="13" t="n">
        <f aca="false">SUMIF(MANUALES!$B$16:$B$69,$A88,MANUALES!W$16:W$69)</f>
        <v>73769.1452334506</v>
      </c>
      <c r="E88" s="13" t="n">
        <f aca="false">SUMIF(RODANTES!$B$16:$B$68,$A88,RODANTES!W$16:W$68)</f>
        <v>1814.27644650532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SUMIF(MANUALES!$B$16:$B$69,$A88,MANUALES!N$16:N$69)+SUMIF(RODANTES!$B$16:$B$68,$A88,RODANTES!N$16:N$68)+SUMIF(RECARGAS!$B$16:$B$37,$A88,RECARGAS!X$16:X$37)+SUMIF(REVENDIDOS!$B$16:$B$25,$A88,REVENDIDOS!O$16:O$25)</f>
        <v>7430.86196171164</v>
      </c>
      <c r="I88" s="13" t="n">
        <f aca="false">SUMIF(MANUALES!$B$16:$B$69,$A88,MANUALES!O$16:O$69)+SUMIF(RODANTES!$B$16:$B$68,$A88,RODANTES!O$16:O$68)+SUMIF(RECARGAS!$B$16:$B$37,$A88,RECARGAS!Y$16:Y$37)+SUMIF(REVENDIDOS!$B$16:$B$25,$A88,REVENDIDOS!P$16:P$25)</f>
        <v>12608.5344353427</v>
      </c>
      <c r="J88" s="13" t="n">
        <f aca="false">SUMIF(MANUALES!$B$16:$B$69,$A88,MANUALES!P$16:P$69)+SUMIF(RODANTES!$B$16:$B$68,$A88,RODANTES!P$16:P$68)+SUMIF(RECARGAS!$B$16:$B$37,$A88,RECARGAS!Z$16:Z$37)+SUMIF(REVENDIDOS!$B$16:$B$25,$A88,REVENDIDOS!Q$16:Q$25)</f>
        <v>15602.5971929293</v>
      </c>
      <c r="K88" s="13" t="n">
        <f aca="false">SUMIF(MANUALES!$B$16:$B$69,$A88,MANUALES!Q$16:Q$69)+SUMIF(RODANTES!$B$16:$B$68,$A88,RODANTES!Q$16:Q$68)+SUMIF(RECARGAS!$B$16:$B$37,$A88,RECARGAS!AA$16:AA$37)+SUMIF(REVENDIDOS!$B$16:$B$25,$A88,REVENDIDOS!R$16:R$25)</f>
        <v>21153.7281803724</v>
      </c>
      <c r="L88" s="13" t="n">
        <f aca="false">SUMIF(MANUALES!$B$16:$B$69,$A88,MANUALES!R$16:R$69)+SUMIF(RODANTES!$B$16:$B$68,$A88,RODANTES!R$16:R$68)+SUMIF(RECARGAS!$B$16:$B$37,$A88,RECARGAS!AB$16:AB$37)+SUMIF(REVENDIDOS!$B$16:$B$25,$A88,REVENDIDOS!S$16:S$25)</f>
        <v>30719.6909242354</v>
      </c>
      <c r="M88" s="13" t="n">
        <f aca="false">SUMIF(MANUALES!$B$16:$B$69,$A88,MANUALES!S$16:S$69)+SUMIF(RODANTES!$B$16:$B$68,$A88,RODANTES!S$16:S$68)+SUMIF(RECARGAS!$B$16:$B$37,$A88,RECARGAS!AC$16:AC$37)+SUMIF(REVENDIDOS!$B$16:$B$25,$A88,REVENDIDOS!T$16:T$25)</f>
        <v>39336.4696707652</v>
      </c>
      <c r="N88" s="13" t="n">
        <f aca="false">SUMIF(MANUALES!$B$16:$B$69,$A88,MANUALES!T$16:T$69)+SUMIF(RODANTES!$B$16:$B$68,$A88,RODANTES!T$16:T$68)+SUMIF(RECARGAS!$B$16:$B$37,$A88,RECARGAS!AD$16:AD$37)+SUMIF(REVENDIDOS!$B$16:$B$25,$A88,REVENDIDOS!U$16:U$25)</f>
        <v>49292.5229220404</v>
      </c>
      <c r="O88" s="13" t="n">
        <f aca="false">SUMIF(MANUALES!$B$16:$B$69,$A88,MANUALES!U$16:U$69)+SUMIF(RODANTES!$B$16:$B$68,$A88,RODANTES!U$16:U$68)+SUMIF(RECARGAS!$B$16:$B$37,$A88,RECARGAS!AE$16:AE$37)+SUMIF(REVENDIDOS!$B$16:$B$25,$A88,REVENDIDOS!V$16:V$25)</f>
        <v>58989.3905887392</v>
      </c>
      <c r="P88" s="13" t="n">
        <f aca="false">SUMIF(MANUALES!$B$16:$B$69,$A88,MANUALES!V$16:V$69)+SUMIF(RODANTES!$B$16:$B$68,$A88,RODANTES!V$16:V$68)+SUMIF(RECARGAS!$B$16:$B$37,$A88,RECARGAS!AF$16:AF$37)+SUMIF(REVENDIDOS!$B$16:$B$25,$A88,REVENDIDOS!W$16:W$25)</f>
        <v>66572.73888264</v>
      </c>
      <c r="Q88" s="13" t="n">
        <f aca="false">SUMIF(MANUALES!$B$16:$B$69,$A88,MANUALES!W$16:W$69)+SUMIF(RODANTES!$B$16:$B$68,$A88,RODANTES!W$16:W$68)+SUMIF(RECARGAS!$B$16:$B$37,$A88,RECARGAS!AG$16:AG$37)+SUMIF(REVENDIDOS!$B$16:$B$25,$A88,REVENDIDOS!X$16:X$25)</f>
        <v>75583.421679956</v>
      </c>
      <c r="R88" s="13" t="n">
        <f aca="false">SUMIF(MANUALES!$B$16:$B$69,$A88,MANUALES!X$16:X$69)+SUMIF(RODANTES!$B$16:$B$68,$A88,RODANTES!X$16:X$68)+SUMIF(RECARGAS!$B$16:$B$37,$A88,RECARGAS!AH$16:AH$37)+SUMIF(REVENDIDOS!$B$16:$B$25,$A88,REVENDIDOS!Y$16:Y$25)</f>
        <v>8598.61724716505</v>
      </c>
    </row>
    <row r="89" customFormat="false" ht="15" hidden="false" customHeight="false" outlineLevel="0" collapsed="false">
      <c r="A89" s="3" t="s">
        <v>312</v>
      </c>
      <c r="B89" s="3" t="s">
        <v>313</v>
      </c>
      <c r="C89" s="3" t="s">
        <v>214</v>
      </c>
      <c r="D89" s="13" t="n">
        <f aca="false">SUMIF(MANUALES!$B$16:$B$69,$A89,MANUALES!W$16:W$69)</f>
        <v>212143</v>
      </c>
      <c r="E89" s="13" t="n">
        <f aca="false">SUMIF(RODANTES!$B$16:$B$68,$A89,RODANTES!W$16:W$68)</f>
        <v>1287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SUMIF(MANUALES!$B$16:$B$69,$A89,MANUALES!N$16:N$69)+SUMIF(RODANTES!$B$16:$B$68,$A89,RODANTES!N$16:N$68)+SUMIF(RECARGAS!$B$16:$B$37,$A89,RECARGAS!X$16:X$37)+SUMIF(REVENDIDOS!$B$16:$B$25,$A89,REVENDIDOS!O$16:O$25)</f>
        <v>0</v>
      </c>
      <c r="I89" s="13" t="n">
        <f aca="false">SUMIF(MANUALES!$B$16:$B$69,$A89,MANUALES!O$16:O$69)+SUMIF(RODANTES!$B$16:$B$68,$A89,RODANTES!O$16:O$68)+SUMIF(RECARGAS!$B$16:$B$37,$A89,RECARGAS!Y$16:Y$37)+SUMIF(REVENDIDOS!$B$16:$B$25,$A89,REVENDIDOS!P$16:P$25)</f>
        <v>0</v>
      </c>
      <c r="J89" s="13" t="n">
        <f aca="false">SUMIF(MANUALES!$B$16:$B$69,$A89,MANUALES!P$16:P$69)+SUMIF(RODANTES!$B$16:$B$68,$A89,RODANTES!P$16:P$68)+SUMIF(RECARGAS!$B$16:$B$37,$A89,RECARGAS!Z$16:Z$37)+SUMIF(REVENDIDOS!$B$16:$B$25,$A89,REVENDIDOS!Q$16:Q$25)</f>
        <v>9589</v>
      </c>
      <c r="K89" s="13" t="n">
        <f aca="false">SUMIF(MANUALES!$B$16:$B$69,$A89,MANUALES!Q$16:Q$69)+SUMIF(RODANTES!$B$16:$B$68,$A89,RODANTES!Q$16:Q$68)+SUMIF(RECARGAS!$B$16:$B$37,$A89,RECARGAS!AA$16:AA$37)+SUMIF(REVENDIDOS!$B$16:$B$25,$A89,REVENDIDOS!R$16:R$25)</f>
        <v>33407</v>
      </c>
      <c r="L89" s="13" t="n">
        <f aca="false">SUMIF(MANUALES!$B$16:$B$69,$A89,MANUALES!R$16:R$69)+SUMIF(RODANTES!$B$16:$B$68,$A89,RODANTES!R$16:R$68)+SUMIF(RECARGAS!$B$16:$B$37,$A89,RECARGAS!AB$16:AB$37)+SUMIF(REVENDIDOS!$B$16:$B$25,$A89,REVENDIDOS!S$16:S$25)</f>
        <v>61865</v>
      </c>
      <c r="M89" s="13" t="n">
        <f aca="false">SUMIF(MANUALES!$B$16:$B$69,$A89,MANUALES!S$16:S$69)+SUMIF(RODANTES!$B$16:$B$68,$A89,RODANTES!S$16:S$68)+SUMIF(RECARGAS!$B$16:$B$37,$A89,RECARGAS!AC$16:AC$37)+SUMIF(REVENDIDOS!$B$16:$B$25,$A89,REVENDIDOS!T$16:T$25)</f>
        <v>89704</v>
      </c>
      <c r="N89" s="13" t="n">
        <f aca="false">SUMIF(MANUALES!$B$16:$B$69,$A89,MANUALES!T$16:T$69)+SUMIF(RODANTES!$B$16:$B$68,$A89,RODANTES!T$16:T$68)+SUMIF(RECARGAS!$B$16:$B$37,$A89,RECARGAS!AD$16:AD$37)+SUMIF(REVENDIDOS!$B$16:$B$25,$A89,REVENDIDOS!U$16:U$25)</f>
        <v>126822</v>
      </c>
      <c r="O89" s="13" t="n">
        <f aca="false">SUMIF(MANUALES!$B$16:$B$69,$A89,MANUALES!U$16:U$69)+SUMIF(RODANTES!$B$16:$B$68,$A89,RODANTES!U$16:U$68)+SUMIF(RECARGAS!$B$16:$B$37,$A89,RECARGAS!AE$16:AE$37)+SUMIF(REVENDIDOS!$B$16:$B$25,$A89,REVENDIDOS!V$16:V$25)</f>
        <v>163940</v>
      </c>
      <c r="P89" s="13" t="n">
        <f aca="false">SUMIF(MANUALES!$B$16:$B$69,$A89,MANUALES!V$16:V$69)+SUMIF(RODANTES!$B$16:$B$68,$A89,RODANTES!V$16:V$68)+SUMIF(RECARGAS!$B$16:$B$37,$A89,RECARGAS!AF$16:AF$37)+SUMIF(REVENDIDOS!$B$16:$B$25,$A89,REVENDIDOS!W$16:W$25)</f>
        <v>183736</v>
      </c>
      <c r="Q89" s="13" t="n">
        <f aca="false">SUMIF(MANUALES!$B$16:$B$69,$A89,MANUALES!W$16:W$69)+SUMIF(RODANTES!$B$16:$B$68,$A89,RODANTES!W$16:W$68)+SUMIF(RECARGAS!$B$16:$B$37,$A89,RECARGAS!AG$16:AG$37)+SUMIF(REVENDIDOS!$B$16:$B$25,$A89,REVENDIDOS!X$16:X$25)</f>
        <v>213430</v>
      </c>
      <c r="R89" s="13" t="n">
        <f aca="false">SUMIF(MANUALES!$B$16:$B$69,$A89,MANUALES!X$16:X$69)+SUMIF(RODANTES!$B$16:$B$68,$A89,RODANTES!X$16:X$68)+SUMIF(RECARGAS!$B$16:$B$37,$A89,RECARGAS!AH$16:AH$37)+SUMIF(REVENDIDOS!$B$16:$B$25,$A89,REVENDIDOS!Y$16:Y$25)</f>
        <v>25157.04</v>
      </c>
    </row>
    <row r="90" customFormat="false" ht="15" hidden="false" customHeight="false" outlineLevel="0" collapsed="false">
      <c r="A90" s="3" t="s">
        <v>315</v>
      </c>
      <c r="B90" s="3" t="s">
        <v>316</v>
      </c>
      <c r="C90" s="3" t="s">
        <v>214</v>
      </c>
      <c r="D90" s="13" t="n">
        <f aca="false">SUMIF(MANUALES!$B$16:$B$69,$A90,MANUALES!W$16:W$69)</f>
        <v>170548</v>
      </c>
      <c r="E90" s="13" t="n">
        <f aca="false">SUMIF(RODANTES!$B$16:$B$68,$A90,RODANTES!W$16:W$68)</f>
        <v>0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SUMIF(MANUALES!$B$16:$B$69,$A90,MANUALES!N$16:N$69)+SUMIF(RODANTES!$B$16:$B$68,$A90,RODANTES!N$16:N$68)+SUMIF(RECARGAS!$B$16:$B$37,$A90,RECARGAS!X$16:X$37)+SUMIF(REVENDIDOS!$B$16:$B$25,$A90,REVENDIDOS!O$16:O$25)</f>
        <v>0</v>
      </c>
      <c r="I90" s="13" t="n">
        <f aca="false">SUMIF(MANUALES!$B$16:$B$69,$A90,MANUALES!O$16:O$69)+SUMIF(RODANTES!$B$16:$B$68,$A90,RODANTES!O$16:O$68)+SUMIF(RECARGAS!$B$16:$B$37,$A90,RECARGAS!Y$16:Y$37)+SUMIF(REVENDIDOS!$B$16:$B$25,$A90,REVENDIDOS!P$16:P$25)</f>
        <v>0</v>
      </c>
      <c r="J90" s="13" t="n">
        <f aca="false">SUMIF(MANUALES!$B$16:$B$69,$A90,MANUALES!P$16:P$69)+SUMIF(RODANTES!$B$16:$B$68,$A90,RODANTES!P$16:P$68)+SUMIF(RECARGAS!$B$16:$B$37,$A90,RECARGAS!Z$16:Z$37)+SUMIF(REVENDIDOS!$B$16:$B$25,$A90,REVENDIDOS!Q$16:Q$25)</f>
        <v>7662.4</v>
      </c>
      <c r="K90" s="13" t="n">
        <f aca="false">SUMIF(MANUALES!$B$16:$B$69,$A90,MANUALES!Q$16:Q$69)+SUMIF(RODANTES!$B$16:$B$68,$A90,RODANTES!Q$16:Q$68)+SUMIF(RECARGAS!$B$16:$B$37,$A90,RECARGAS!AA$16:AA$37)+SUMIF(REVENDIDOS!$B$16:$B$25,$A90,REVENDIDOS!R$16:R$25)</f>
        <v>26694.8</v>
      </c>
      <c r="L90" s="13" t="n">
        <f aca="false">SUMIF(MANUALES!$B$16:$B$69,$A90,MANUALES!R$16:R$69)+SUMIF(RODANTES!$B$16:$B$68,$A90,RODANTES!R$16:R$68)+SUMIF(RECARGAS!$B$16:$B$37,$A90,RECARGAS!AB$16:AB$37)+SUMIF(REVENDIDOS!$B$16:$B$25,$A90,REVENDIDOS!S$16:S$25)</f>
        <v>49434.8</v>
      </c>
      <c r="M90" s="13" t="n">
        <f aca="false">SUMIF(MANUALES!$B$16:$B$69,$A90,MANUALES!S$16:S$69)+SUMIF(RODANTES!$B$16:$B$68,$A90,RODANTES!S$16:S$68)+SUMIF(RECARGAS!$B$16:$B$37,$A90,RECARGAS!AC$16:AC$37)+SUMIF(REVENDIDOS!$B$16:$B$25,$A90,REVENDIDOS!T$16:T$25)</f>
        <v>71680.2</v>
      </c>
      <c r="N90" s="13" t="n">
        <f aca="false">SUMIF(MANUALES!$B$16:$B$69,$A90,MANUALES!T$16:T$69)+SUMIF(RODANTES!$B$16:$B$68,$A90,RODANTES!T$16:T$68)+SUMIF(RECARGAS!$B$16:$B$37,$A90,RECARGAS!AD$16:AD$37)+SUMIF(REVENDIDOS!$B$16:$B$25,$A90,REVENDIDOS!U$16:U$25)</f>
        <v>101340.6</v>
      </c>
      <c r="O90" s="13" t="n">
        <f aca="false">SUMIF(MANUALES!$B$16:$B$69,$A90,MANUALES!U$16:U$69)+SUMIF(RODANTES!$B$16:$B$68,$A90,RODANTES!U$16:U$68)+SUMIF(RECARGAS!$B$16:$B$37,$A90,RECARGAS!AE$16:AE$37)+SUMIF(REVENDIDOS!$B$16:$B$25,$A90,REVENDIDOS!V$16:V$25)</f>
        <v>131001</v>
      </c>
      <c r="P90" s="13" t="n">
        <f aca="false">SUMIF(MANUALES!$B$16:$B$69,$A90,MANUALES!V$16:V$69)+SUMIF(RODANTES!$B$16:$B$68,$A90,RODANTES!V$16:V$68)+SUMIF(RECARGAS!$B$16:$B$37,$A90,RECARGAS!AF$16:AF$37)+SUMIF(REVENDIDOS!$B$16:$B$25,$A90,REVENDIDOS!W$16:W$25)</f>
        <v>146819.8</v>
      </c>
      <c r="Q90" s="13" t="n">
        <f aca="false">SUMIF(MANUALES!$B$16:$B$69,$A90,MANUALES!W$16:W$69)+SUMIF(RODANTES!$B$16:$B$68,$A90,RODANTES!W$16:W$68)+SUMIF(RECARGAS!$B$16:$B$37,$A90,RECARGAS!AG$16:AG$37)+SUMIF(REVENDIDOS!$B$16:$B$25,$A90,REVENDIDOS!X$16:X$25)</f>
        <v>170548</v>
      </c>
      <c r="R90" s="13" t="n">
        <f aca="false">SUMIF(MANUALES!$B$16:$B$69,$A90,MANUALES!X$16:X$69)+SUMIF(RODANTES!$B$16:$B$68,$A90,RODANTES!X$16:X$68)+SUMIF(RECARGAS!$B$16:$B$37,$A90,RECARGAS!AH$16:AH$37)+SUMIF(REVENDIDOS!$B$16:$B$25,$A90,REVENDIDOS!Y$16:Y$25)</f>
        <v>20465.76</v>
      </c>
    </row>
    <row r="91" customFormat="false" ht="15" hidden="false" customHeight="false" outlineLevel="0" collapsed="false">
      <c r="A91" s="3" t="s">
        <v>318</v>
      </c>
      <c r="B91" s="3" t="s">
        <v>319</v>
      </c>
      <c r="C91" s="3" t="s">
        <v>214</v>
      </c>
      <c r="D91" s="13" t="n">
        <f aca="false">SUMIF(MANUALES!$B$16:$B$69,$A91,MANUALES!W$16:W$69)</f>
        <v>41595</v>
      </c>
      <c r="E91" s="13" t="n">
        <f aca="false">SUMIF(RODANTES!$B$16:$B$68,$A91,RODANTES!W$16:W$68)</f>
        <v>1030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SUMIF(MANUALES!$B$16:$B$69,$A91,MANUALES!N$16:N$69)+SUMIF(RODANTES!$B$16:$B$68,$A91,RODANTES!N$16:N$68)+SUMIF(RECARGAS!$B$16:$B$37,$A91,RECARGAS!X$16:X$37)+SUMIF(REVENDIDOS!$B$16:$B$25,$A91,REVENDIDOS!O$16:O$25)</f>
        <v>0</v>
      </c>
      <c r="I91" s="13" t="n">
        <f aca="false">SUMIF(MANUALES!$B$16:$B$69,$A91,MANUALES!O$16:O$69)+SUMIF(RODANTES!$B$16:$B$68,$A91,RODANTES!O$16:O$68)+SUMIF(RECARGAS!$B$16:$B$37,$A91,RECARGAS!Y$16:Y$37)+SUMIF(REVENDIDOS!$B$16:$B$25,$A91,REVENDIDOS!P$16:P$25)</f>
        <v>0</v>
      </c>
      <c r="J91" s="13" t="n">
        <f aca="false">SUMIF(MANUALES!$B$16:$B$69,$A91,MANUALES!P$16:P$69)+SUMIF(RODANTES!$B$16:$B$68,$A91,RODANTES!P$16:P$68)+SUMIF(RECARGAS!$B$16:$B$37,$A91,RECARGAS!Z$16:Z$37)+SUMIF(REVENDIDOS!$B$16:$B$25,$A91,REVENDIDOS!Q$16:Q$25)</f>
        <v>1915</v>
      </c>
      <c r="K91" s="13" t="n">
        <f aca="false">SUMIF(MANUALES!$B$16:$B$69,$A91,MANUALES!Q$16:Q$69)+SUMIF(RODANTES!$B$16:$B$68,$A91,RODANTES!Q$16:Q$68)+SUMIF(RECARGAS!$B$16:$B$37,$A91,RECARGAS!AA$16:AA$37)+SUMIF(REVENDIDOS!$B$16:$B$25,$A91,REVENDIDOS!R$16:R$25)</f>
        <v>6671.8</v>
      </c>
      <c r="L91" s="13" t="n">
        <f aca="false">SUMIF(MANUALES!$B$16:$B$69,$A91,MANUALES!R$16:R$69)+SUMIF(RODANTES!$B$16:$B$68,$A91,RODANTES!R$16:R$68)+SUMIF(RECARGAS!$B$16:$B$37,$A91,RECARGAS!AB$16:AB$37)+SUMIF(REVENDIDOS!$B$16:$B$25,$A91,REVENDIDOS!S$16:S$25)</f>
        <v>12355.4</v>
      </c>
      <c r="M91" s="13" t="n">
        <f aca="false">SUMIF(MANUALES!$B$16:$B$69,$A91,MANUALES!S$16:S$69)+SUMIF(RODANTES!$B$16:$B$68,$A91,RODANTES!S$16:S$68)+SUMIF(RECARGAS!$B$16:$B$37,$A91,RECARGAS!AC$16:AC$37)+SUMIF(REVENDIDOS!$B$16:$B$25,$A91,REVENDIDOS!T$16:T$25)</f>
        <v>17915.6</v>
      </c>
      <c r="N91" s="13" t="n">
        <f aca="false">SUMIF(MANUALES!$B$16:$B$69,$A91,MANUALES!T$16:T$69)+SUMIF(RODANTES!$B$16:$B$68,$A91,RODANTES!T$16:T$68)+SUMIF(RECARGAS!$B$16:$B$37,$A91,RECARGAS!AD$16:AD$37)+SUMIF(REVENDIDOS!$B$16:$B$25,$A91,REVENDIDOS!U$16:U$25)</f>
        <v>25328.8</v>
      </c>
      <c r="O91" s="13" t="n">
        <f aca="false">SUMIF(MANUALES!$B$16:$B$69,$A91,MANUALES!U$16:U$69)+SUMIF(RODANTES!$B$16:$B$68,$A91,RODANTES!U$16:U$68)+SUMIF(RECARGAS!$B$16:$B$37,$A91,RECARGAS!AE$16:AE$37)+SUMIF(REVENDIDOS!$B$16:$B$25,$A91,REVENDIDOS!V$16:V$25)</f>
        <v>32742</v>
      </c>
      <c r="P91" s="13" t="n">
        <f aca="false">SUMIF(MANUALES!$B$16:$B$69,$A91,MANUALES!V$16:V$69)+SUMIF(RODANTES!$B$16:$B$68,$A91,RODANTES!V$16:V$68)+SUMIF(RECARGAS!$B$16:$B$37,$A91,RECARGAS!AF$16:AF$37)+SUMIF(REVENDIDOS!$B$16:$B$25,$A91,REVENDIDOS!W$16:W$25)</f>
        <v>36695.2</v>
      </c>
      <c r="Q91" s="13" t="n">
        <f aca="false">SUMIF(MANUALES!$B$16:$B$69,$A91,MANUALES!W$16:W$69)+SUMIF(RODANTES!$B$16:$B$68,$A91,RODANTES!W$16:W$68)+SUMIF(RECARGAS!$B$16:$B$37,$A91,RECARGAS!AG$16:AG$37)+SUMIF(REVENDIDOS!$B$16:$B$25,$A91,REVENDIDOS!X$16:X$25)</f>
        <v>42625</v>
      </c>
      <c r="R91" s="13" t="n">
        <f aca="false">SUMIF(MANUALES!$B$16:$B$69,$A91,MANUALES!X$16:X$69)+SUMIF(RODANTES!$B$16:$B$68,$A91,RODANTES!X$16:X$68)+SUMIF(RECARGAS!$B$16:$B$37,$A91,RECARGAS!AH$16:AH$37)+SUMIF(REVENDIDOS!$B$16:$B$25,$A91,REVENDIDOS!Y$16:Y$25)</f>
        <v>4668.15</v>
      </c>
    </row>
    <row r="92" customFormat="false" ht="15" hidden="false" customHeight="false" outlineLevel="0" collapsed="false">
      <c r="A92" s="3" t="s">
        <v>480</v>
      </c>
      <c r="B92" s="3" t="s">
        <v>481</v>
      </c>
      <c r="C92" s="3" t="s">
        <v>214</v>
      </c>
      <c r="D92" s="13" t="n">
        <f aca="false">SUMIF(MANUALES!$B$16:$B$69,$A92,MANUALES!W$16:W$69)</f>
        <v>0</v>
      </c>
      <c r="E92" s="13" t="n">
        <f aca="false">SUMIF(RODANTES!$B$16:$B$68,$A92,RODANTES!W$16:W$68)</f>
        <v>257</v>
      </c>
      <c r="F92" s="13" t="n">
        <f aca="false">SUMIF(RECARGAS!$B$16:$B$37,$A92,RECARGAS!AG$16:AG$37)</f>
        <v>0</v>
      </c>
      <c r="G92" s="13" t="n">
        <f aca="false">SUMIF(REVENDIDOS!$B$16:$B$25,$A92,REVENDIDOS!X$16:X$25)</f>
        <v>0</v>
      </c>
      <c r="H92" s="13" t="n">
        <f aca="false">SUMIF(MANUALES!$B$16:$B$69,$A92,MANUALES!N$16:N$69)+SUMIF(RODANTES!$B$16:$B$68,$A92,RODANTES!N$16:N$68)+SUMIF(RECARGAS!$B$16:$B$37,$A92,RECARGAS!X$16:X$37)+SUMIF(REVENDIDOS!$B$16:$B$25,$A92,REVENDIDOS!O$16:O$25)</f>
        <v>0</v>
      </c>
      <c r="I92" s="13" t="n">
        <f aca="false">SUMIF(MANUALES!$B$16:$B$69,$A92,MANUALES!O$16:O$69)+SUMIF(RODANTES!$B$16:$B$68,$A92,RODANTES!O$16:O$68)+SUMIF(RECARGAS!$B$16:$B$37,$A92,RECARGAS!Y$16:Y$37)+SUMIF(REVENDIDOS!$B$16:$B$25,$A92,REVENDIDOS!P$16:P$25)</f>
        <v>0</v>
      </c>
      <c r="J92" s="13" t="n">
        <f aca="false">SUMIF(MANUALES!$B$16:$B$69,$A92,MANUALES!P$16:P$69)+SUMIF(RODANTES!$B$16:$B$68,$A92,RODANTES!P$16:P$68)+SUMIF(RECARGAS!$B$16:$B$37,$A92,RECARGAS!Z$16:Z$37)+SUMIF(REVENDIDOS!$B$16:$B$25,$A92,REVENDIDOS!Q$16:Q$25)</f>
        <v>11.6</v>
      </c>
      <c r="K92" s="13" t="n">
        <f aca="false">SUMIF(MANUALES!$B$16:$B$69,$A92,MANUALES!Q$16:Q$69)+SUMIF(RODANTES!$B$16:$B$68,$A92,RODANTES!Q$16:Q$68)+SUMIF(RECARGAS!$B$16:$B$37,$A92,RECARGAS!AA$16:AA$37)+SUMIF(REVENDIDOS!$B$16:$B$25,$A92,REVENDIDOS!R$16:R$25)</f>
        <v>40.4</v>
      </c>
      <c r="L92" s="13" t="n">
        <f aca="false">SUMIF(MANUALES!$B$16:$B$69,$A92,MANUALES!R$16:R$69)+SUMIF(RODANTES!$B$16:$B$68,$A92,RODANTES!R$16:R$68)+SUMIF(RECARGAS!$B$16:$B$37,$A92,RECARGAS!AB$16:AB$37)+SUMIF(REVENDIDOS!$B$16:$B$25,$A92,REVENDIDOS!S$16:S$25)</f>
        <v>74.8</v>
      </c>
      <c r="M92" s="13" t="n">
        <f aca="false">SUMIF(MANUALES!$B$16:$B$69,$A92,MANUALES!S$16:S$69)+SUMIF(RODANTES!$B$16:$B$68,$A92,RODANTES!S$16:S$68)+SUMIF(RECARGAS!$B$16:$B$37,$A92,RECARGAS!AC$16:AC$37)+SUMIF(REVENDIDOS!$B$16:$B$25,$A92,REVENDIDOS!T$16:T$25)</f>
        <v>108.2</v>
      </c>
      <c r="N92" s="13" t="n">
        <f aca="false">SUMIF(MANUALES!$B$16:$B$69,$A92,MANUALES!T$16:T$69)+SUMIF(RODANTES!$B$16:$B$68,$A92,RODANTES!T$16:T$68)+SUMIF(RECARGAS!$B$16:$B$37,$A92,RECARGAS!AD$16:AD$37)+SUMIF(REVENDIDOS!$B$16:$B$25,$A92,REVENDIDOS!U$16:U$25)</f>
        <v>152.6</v>
      </c>
      <c r="O92" s="13" t="n">
        <f aca="false">SUMIF(MANUALES!$B$16:$B$69,$A92,MANUALES!U$16:U$69)+SUMIF(RODANTES!$B$16:$B$68,$A92,RODANTES!U$16:U$68)+SUMIF(RECARGAS!$B$16:$B$37,$A92,RECARGAS!AE$16:AE$37)+SUMIF(REVENDIDOS!$B$16:$B$25,$A92,REVENDIDOS!V$16:V$25)</f>
        <v>197</v>
      </c>
      <c r="P92" s="13" t="n">
        <f aca="false">SUMIF(MANUALES!$B$16:$B$69,$A92,MANUALES!V$16:V$69)+SUMIF(RODANTES!$B$16:$B$68,$A92,RODANTES!V$16:V$68)+SUMIF(RECARGAS!$B$16:$B$37,$A92,RECARGAS!AF$16:AF$37)+SUMIF(REVENDIDOS!$B$16:$B$25,$A92,REVENDIDOS!W$16:W$25)</f>
        <v>221</v>
      </c>
      <c r="Q92" s="13" t="n">
        <f aca="false">SUMIF(MANUALES!$B$16:$B$69,$A92,MANUALES!W$16:W$69)+SUMIF(RODANTES!$B$16:$B$68,$A92,RODANTES!W$16:W$68)+SUMIF(RECARGAS!$B$16:$B$37,$A92,RECARGAS!AG$16:AG$37)+SUMIF(REVENDIDOS!$B$16:$B$25,$A92,REVENDIDOS!X$16:X$25)</f>
        <v>257</v>
      </c>
      <c r="R92" s="13" t="n">
        <f aca="false">SUMIF(MANUALES!$B$16:$B$69,$A92,MANUALES!X$16:X$69)+SUMIF(RODANTES!$B$16:$B$68,$A92,RODANTES!X$16:X$68)+SUMIF(RECARGAS!$B$16:$B$37,$A92,RECARGAS!AH$16:AH$37)+SUMIF(REVENDIDOS!$B$16:$B$25,$A92,REVENDIDOS!Y$16:Y$25)</f>
        <v>23.13</v>
      </c>
    </row>
    <row r="93" customFormat="false" ht="15" hidden="false" customHeight="false" outlineLevel="0" collapsed="false">
      <c r="A93" s="3" t="s">
        <v>321</v>
      </c>
      <c r="B93" s="3" t="s">
        <v>322</v>
      </c>
      <c r="C93" s="3" t="s">
        <v>214</v>
      </c>
      <c r="D93" s="13" t="n">
        <f aca="false">SUMIF(MANUALES!$B$16:$B$69,$A93,MANUALES!W$16:W$69)</f>
        <v>212143</v>
      </c>
      <c r="E93" s="13" t="n">
        <f aca="false">SUMIF(RODANTES!$B$16:$B$68,$A93,RODANTES!W$16:W$68)</f>
        <v>0</v>
      </c>
      <c r="F93" s="13" t="n">
        <f aca="false">SUMIF(RECARGAS!$B$16:$B$37,$A93,RECARGAS!AG$16:AG$37)</f>
        <v>129.892396568768</v>
      </c>
      <c r="G93" s="13" t="n">
        <f aca="false">SUMIF(REVENDIDOS!$B$16:$B$25,$A93,REVENDIDOS!X$16:X$25)</f>
        <v>0</v>
      </c>
      <c r="H93" s="13" t="n">
        <f aca="false">SUMIF(MANUALES!$B$16:$B$69,$A93,MANUALES!N$16:N$69)+SUMIF(RODANTES!$B$16:$B$68,$A93,RODANTES!N$16:N$68)+SUMIF(RECARGAS!$B$16:$B$37,$A93,RECARGAS!X$16:X$37)+SUMIF(REVENDIDOS!$B$16:$B$25,$A93,REVENDIDOS!O$16:O$25)</f>
        <v>23.5984856954447</v>
      </c>
      <c r="I93" s="13" t="n">
        <f aca="false">SUMIF(MANUALES!$B$16:$B$69,$A93,MANUALES!O$16:O$69)+SUMIF(RODANTES!$B$16:$B$68,$A93,RODANTES!O$16:O$68)+SUMIF(RECARGAS!$B$16:$B$37,$A93,RECARGAS!Y$16:Y$37)+SUMIF(REVENDIDOS!$B$16:$B$25,$A93,REVENDIDOS!P$16:P$25)</f>
        <v>73.9563111566799</v>
      </c>
      <c r="J93" s="13" t="n">
        <f aca="false">SUMIF(MANUALES!$B$16:$B$69,$A93,MANUALES!P$16:P$69)+SUMIF(RODANTES!$B$16:$B$68,$A93,RODANTES!P$16:P$68)+SUMIF(RECARGAS!$B$16:$B$37,$A93,RECARGAS!Z$16:Z$37)+SUMIF(REVENDIDOS!$B$16:$B$25,$A93,REVENDIDOS!Q$16:Q$25)</f>
        <v>9631.72858978415</v>
      </c>
      <c r="K93" s="13" t="n">
        <f aca="false">SUMIF(MANUALES!$B$16:$B$69,$A93,MANUALES!Q$16:Q$69)+SUMIF(RODANTES!$B$16:$B$68,$A93,RODANTES!Q$16:Q$68)+SUMIF(RECARGAS!$B$16:$B$37,$A93,RECARGAS!AA$16:AA$37)+SUMIF(REVENDIDOS!$B$16:$B$25,$A93,REVENDIDOS!R$16:R$25)</f>
        <v>33378.1087675763</v>
      </c>
      <c r="L93" s="13" t="n">
        <f aca="false">SUMIF(MANUALES!$B$16:$B$69,$A93,MANUALES!R$16:R$69)+SUMIF(RODANTES!$B$16:$B$68,$A93,RODANTES!R$16:R$68)+SUMIF(RECARGAS!$B$16:$B$37,$A93,RECARGAS!AB$16:AB$37)+SUMIF(REVENDIDOS!$B$16:$B$25,$A93,REVENDIDOS!S$16:S$25)</f>
        <v>61676.7396900404</v>
      </c>
      <c r="M93" s="13" t="n">
        <f aca="false">SUMIF(MANUALES!$B$16:$B$69,$A93,MANUALES!S$16:S$69)+SUMIF(RODANTES!$B$16:$B$68,$A93,RODANTES!S$16:S$68)+SUMIF(RECARGAS!$B$16:$B$37,$A93,RECARGAS!AC$16:AC$37)+SUMIF(REVENDIDOS!$B$16:$B$25,$A93,REVENDIDOS!T$16:T$25)</f>
        <v>89376.8094635054</v>
      </c>
      <c r="N93" s="13" t="n">
        <f aca="false">SUMIF(MANUALES!$B$16:$B$69,$A93,MANUALES!T$16:T$69)+SUMIF(RODANTES!$B$16:$B$68,$A93,RODANTES!T$16:T$68)+SUMIF(RECARGAS!$B$16:$B$37,$A93,RECARGAS!AD$16:AD$37)+SUMIF(REVENDIDOS!$B$16:$B$25,$A93,REVENDIDOS!U$16:U$25)</f>
        <v>126263.103479588</v>
      </c>
      <c r="O93" s="13" t="n">
        <f aca="false">SUMIF(MANUALES!$B$16:$B$69,$A93,MANUALES!U$16:U$69)+SUMIF(RODANTES!$B$16:$B$68,$A93,RODANTES!U$16:U$68)+SUMIF(RECARGAS!$B$16:$B$37,$A93,RECARGAS!AE$16:AE$37)+SUMIF(REVENDIDOS!$B$16:$B$25,$A93,REVENDIDOS!V$16:V$25)</f>
        <v>163115.462681403</v>
      </c>
      <c r="P93" s="13" t="n">
        <f aca="false">SUMIF(MANUALES!$B$16:$B$69,$A93,MANUALES!V$16:V$69)+SUMIF(RODANTES!$B$16:$B$68,$A93,RODANTES!V$16:V$68)+SUMIF(RECARGAS!$B$16:$B$37,$A93,RECARGAS!AF$16:AF$37)+SUMIF(REVENDIDOS!$B$16:$B$25,$A93,REVENDIDOS!W$16:W$25)</f>
        <v>182753.438399095</v>
      </c>
      <c r="Q93" s="13" t="n">
        <f aca="false">SUMIF(MANUALES!$B$16:$B$69,$A93,MANUALES!W$16:W$69)+SUMIF(RODANTES!$B$16:$B$68,$A93,RODANTES!W$16:W$68)+SUMIF(RECARGAS!$B$16:$B$37,$A93,RECARGAS!AG$16:AG$37)+SUMIF(REVENDIDOS!$B$16:$B$25,$A93,REVENDIDOS!X$16:X$25)</f>
        <v>212272.892396569</v>
      </c>
      <c r="R93" s="13" t="n">
        <f aca="false">SUMIF(MANUALES!$B$16:$B$69,$A93,MANUALES!X$16:X$69)+SUMIF(RODANTES!$B$16:$B$68,$A93,RODANTES!X$16:X$68)+SUMIF(RECARGAS!$B$16:$B$37,$A93,RECARGAS!AH$16:AH$37)+SUMIF(REVENDIDOS!$B$16:$B$25,$A93,REVENDIDOS!Y$16:Y$25)</f>
        <v>25052.0343663807</v>
      </c>
    </row>
    <row r="94" customFormat="false" ht="15" hidden="false" customHeight="false" outlineLevel="0" collapsed="false">
      <c r="A94" s="3" t="s">
        <v>515</v>
      </c>
      <c r="B94" s="3" t="s">
        <v>516</v>
      </c>
      <c r="C94" s="3" t="s">
        <v>214</v>
      </c>
      <c r="D94" s="13" t="n">
        <f aca="false">SUMIF(MANUALES!$B$16:$B$69,$A94,MANUALES!W$16:W$69)</f>
        <v>0</v>
      </c>
      <c r="E94" s="13" t="n">
        <f aca="false">SUMIF(RODANTES!$B$16:$B$68,$A94,RODANTES!W$16:W$68)</f>
        <v>0</v>
      </c>
      <c r="F94" s="13" t="n">
        <f aca="false">SUMIF(RECARGAS!$B$16:$B$37,$A94,RECARGAS!AG$16:AG$37)</f>
        <v>108186.304977739</v>
      </c>
      <c r="G94" s="13" t="n">
        <f aca="false">SUMIF(REVENDIDOS!$B$16:$B$25,$A94,REVENDIDOS!X$16:X$25)</f>
        <v>0</v>
      </c>
      <c r="H94" s="13" t="n">
        <f aca="false">SUMIF(MANUALES!$B$16:$B$69,$A94,MANUALES!N$16:N$69)+SUMIF(RODANTES!$B$16:$B$68,$A94,RODANTES!N$16:N$68)+SUMIF(RECARGAS!$B$16:$B$37,$A94,RECARGAS!X$16:X$37)+SUMIF(REVENDIDOS!$B$16:$B$25,$A94,REVENDIDOS!O$16:O$25)</f>
        <v>1989.12012871933</v>
      </c>
      <c r="I94" s="13" t="n">
        <f aca="false">SUMIF(MANUALES!$B$16:$B$69,$A94,MANUALES!O$16:O$69)+SUMIF(RODANTES!$B$16:$B$68,$A94,RODANTES!O$16:O$68)+SUMIF(RECARGAS!$B$16:$B$37,$A94,RECARGAS!Y$16:Y$37)+SUMIF(REVENDIDOS!$B$16:$B$25,$A94,REVENDIDOS!P$16:P$25)</f>
        <v>8920.71133712552</v>
      </c>
      <c r="J94" s="13" t="n">
        <f aca="false">SUMIF(MANUALES!$B$16:$B$69,$A94,MANUALES!P$16:P$69)+SUMIF(RODANTES!$B$16:$B$68,$A94,RODANTES!P$16:P$68)+SUMIF(RECARGAS!$B$16:$B$37,$A94,RECARGAS!Z$16:Z$37)+SUMIF(REVENDIDOS!$B$16:$B$25,$A94,REVENDIDOS!Q$16:Q$25)</f>
        <v>17886.2299166122</v>
      </c>
      <c r="K94" s="13" t="n">
        <f aca="false">SUMIF(MANUALES!$B$16:$B$69,$A94,MANUALES!Q$16:Q$69)+SUMIF(RODANTES!$B$16:$B$68,$A94,RODANTES!Q$16:Q$68)+SUMIF(RECARGAS!$B$16:$B$37,$A94,RECARGAS!AA$16:AA$37)+SUMIF(REVENDIDOS!$B$16:$B$25,$A94,REVENDIDOS!R$16:R$25)</f>
        <v>33177.6852981587</v>
      </c>
      <c r="L94" s="13" t="n">
        <f aca="false">SUMIF(MANUALES!$B$16:$B$69,$A94,MANUALES!R$16:R$69)+SUMIF(RODANTES!$B$16:$B$68,$A94,RODANTES!R$16:R$68)+SUMIF(RECARGAS!$B$16:$B$37,$A94,RECARGAS!AB$16:AB$37)+SUMIF(REVENDIDOS!$B$16:$B$25,$A94,REVENDIDOS!S$16:S$25)</f>
        <v>48833.7266153367</v>
      </c>
      <c r="M94" s="13" t="n">
        <f aca="false">SUMIF(MANUALES!$B$16:$B$69,$A94,MANUALES!S$16:S$69)+SUMIF(RODANTES!$B$16:$B$68,$A94,RODANTES!S$16:S$68)+SUMIF(RECARGAS!$B$16:$B$37,$A94,RECARGAS!AC$16:AC$37)+SUMIF(REVENDIDOS!$B$16:$B$25,$A94,REVENDIDOS!T$16:T$25)</f>
        <v>66467.4683651538</v>
      </c>
      <c r="N94" s="13" t="n">
        <f aca="false">SUMIF(MANUALES!$B$16:$B$69,$A94,MANUALES!T$16:T$69)+SUMIF(RODANTES!$B$16:$B$68,$A94,RODANTES!T$16:T$68)+SUMIF(RECARGAS!$B$16:$B$37,$A94,RECARGAS!AD$16:AD$37)+SUMIF(REVENDIDOS!$B$16:$B$25,$A94,REVENDIDOS!U$16:U$25)</f>
        <v>82549.454780352</v>
      </c>
      <c r="O94" s="13" t="n">
        <f aca="false">SUMIF(MANUALES!$B$16:$B$69,$A94,MANUALES!U$16:U$69)+SUMIF(RODANTES!$B$16:$B$68,$A94,RODANTES!U$16:U$68)+SUMIF(RECARGAS!$B$16:$B$37,$A94,RECARGAS!AE$16:AE$37)+SUMIF(REVENDIDOS!$B$16:$B$25,$A94,REVENDIDOS!V$16:V$25)</f>
        <v>93846.0660134775</v>
      </c>
      <c r="P94" s="13" t="n">
        <f aca="false">SUMIF(MANUALES!$B$16:$B$69,$A94,MANUALES!V$16:V$69)+SUMIF(RODANTES!$B$16:$B$68,$A94,RODANTES!V$16:V$68)+SUMIF(RECARGAS!$B$16:$B$37,$A94,RECARGAS!AF$16:AF$37)+SUMIF(REVENDIDOS!$B$16:$B$25,$A94,REVENDIDOS!W$16:W$25)</f>
        <v>100941.865109691</v>
      </c>
      <c r="Q94" s="13" t="n">
        <f aca="false">SUMIF(MANUALES!$B$16:$B$69,$A94,MANUALES!W$16:W$69)+SUMIF(RODANTES!$B$16:$B$68,$A94,RODANTES!W$16:W$68)+SUMIF(RECARGAS!$B$16:$B$37,$A94,RECARGAS!AG$16:AG$37)+SUMIF(REVENDIDOS!$B$16:$B$25,$A94,REVENDIDOS!X$16:X$25)</f>
        <v>108186.304977739</v>
      </c>
      <c r="R94" s="13" t="n">
        <f aca="false">SUMIF(MANUALES!$B$16:$B$69,$A94,MANUALES!X$16:X$69)+SUMIF(RODANTES!$B$16:$B$68,$A94,RODANTES!X$16:X$68)+SUMIF(RECARGAS!$B$16:$B$37,$A94,RECARGAS!AH$16:AH$37)+SUMIF(REVENDIDOS!$B$16:$B$25,$A94,REVENDIDOS!Y$16:Y$25)</f>
        <v>9015.5254148116</v>
      </c>
    </row>
    <row r="95" customFormat="false" ht="15" hidden="false" customHeight="false" outlineLevel="0" collapsed="false">
      <c r="A95" s="3" t="s">
        <v>518</v>
      </c>
      <c r="B95" s="3" t="s">
        <v>519</v>
      </c>
      <c r="C95" s="3" t="s">
        <v>214</v>
      </c>
      <c r="D95" s="13" t="n">
        <f aca="false">SUMIF(MANUALES!$B$16:$B$69,$A95,MANUALES!W$16:W$69)</f>
        <v>0</v>
      </c>
      <c r="E95" s="13" t="n">
        <f aca="false">SUMIF(RODANTES!$B$16:$B$68,$A95,RODANTES!W$16:W$68)</f>
        <v>0</v>
      </c>
      <c r="F95" s="13" t="n">
        <f aca="false">SUMIF(RECARGAS!$B$16:$B$37,$A95,RECARGAS!AG$16:AG$37)</f>
        <v>108186.304977739</v>
      </c>
      <c r="G95" s="13" t="n">
        <f aca="false">SUMIF(REVENDIDOS!$B$16:$B$25,$A95,REVENDIDOS!X$16:X$25)</f>
        <v>0</v>
      </c>
      <c r="H95" s="13" t="n">
        <f aca="false">SUMIF(MANUALES!$B$16:$B$69,$A95,MANUALES!N$16:N$69)+SUMIF(RODANTES!$B$16:$B$68,$A95,RODANTES!N$16:N$68)+SUMIF(RECARGAS!$B$16:$B$37,$A95,RECARGAS!X$16:X$37)+SUMIF(REVENDIDOS!$B$16:$B$25,$A95,REVENDIDOS!O$16:O$25)</f>
        <v>1989.12012871933</v>
      </c>
      <c r="I95" s="13" t="n">
        <f aca="false">SUMIF(MANUALES!$B$16:$B$69,$A95,MANUALES!O$16:O$69)+SUMIF(RODANTES!$B$16:$B$68,$A95,RODANTES!O$16:O$68)+SUMIF(RECARGAS!$B$16:$B$37,$A95,RECARGAS!Y$16:Y$37)+SUMIF(REVENDIDOS!$B$16:$B$25,$A95,REVENDIDOS!P$16:P$25)</f>
        <v>8920.71133712552</v>
      </c>
      <c r="J95" s="13" t="n">
        <f aca="false">SUMIF(MANUALES!$B$16:$B$69,$A95,MANUALES!P$16:P$69)+SUMIF(RODANTES!$B$16:$B$68,$A95,RODANTES!P$16:P$68)+SUMIF(RECARGAS!$B$16:$B$37,$A95,RECARGAS!Z$16:Z$37)+SUMIF(REVENDIDOS!$B$16:$B$25,$A95,REVENDIDOS!Q$16:Q$25)</f>
        <v>17886.2299166122</v>
      </c>
      <c r="K95" s="13" t="n">
        <f aca="false">SUMIF(MANUALES!$B$16:$B$69,$A95,MANUALES!Q$16:Q$69)+SUMIF(RODANTES!$B$16:$B$68,$A95,RODANTES!Q$16:Q$68)+SUMIF(RECARGAS!$B$16:$B$37,$A95,RECARGAS!AA$16:AA$37)+SUMIF(REVENDIDOS!$B$16:$B$25,$A95,REVENDIDOS!R$16:R$25)</f>
        <v>33177.6852981587</v>
      </c>
      <c r="L95" s="13" t="n">
        <f aca="false">SUMIF(MANUALES!$B$16:$B$69,$A95,MANUALES!R$16:R$69)+SUMIF(RODANTES!$B$16:$B$68,$A95,RODANTES!R$16:R$68)+SUMIF(RECARGAS!$B$16:$B$37,$A95,RECARGAS!AB$16:AB$37)+SUMIF(REVENDIDOS!$B$16:$B$25,$A95,REVENDIDOS!S$16:S$25)</f>
        <v>48833.7266153367</v>
      </c>
      <c r="M95" s="13" t="n">
        <f aca="false">SUMIF(MANUALES!$B$16:$B$69,$A95,MANUALES!S$16:S$69)+SUMIF(RODANTES!$B$16:$B$68,$A95,RODANTES!S$16:S$68)+SUMIF(RECARGAS!$B$16:$B$37,$A95,RECARGAS!AC$16:AC$37)+SUMIF(REVENDIDOS!$B$16:$B$25,$A95,REVENDIDOS!T$16:T$25)</f>
        <v>66467.4683651538</v>
      </c>
      <c r="N95" s="13" t="n">
        <f aca="false">SUMIF(MANUALES!$B$16:$B$69,$A95,MANUALES!T$16:T$69)+SUMIF(RODANTES!$B$16:$B$68,$A95,RODANTES!T$16:T$68)+SUMIF(RECARGAS!$B$16:$B$37,$A95,RECARGAS!AD$16:AD$37)+SUMIF(REVENDIDOS!$B$16:$B$25,$A95,REVENDIDOS!U$16:U$25)</f>
        <v>82549.454780352</v>
      </c>
      <c r="O95" s="13" t="n">
        <f aca="false">SUMIF(MANUALES!$B$16:$B$69,$A95,MANUALES!U$16:U$69)+SUMIF(RODANTES!$B$16:$B$68,$A95,RODANTES!U$16:U$68)+SUMIF(RECARGAS!$B$16:$B$37,$A95,RECARGAS!AE$16:AE$37)+SUMIF(REVENDIDOS!$B$16:$B$25,$A95,REVENDIDOS!V$16:V$25)</f>
        <v>93846.0660134775</v>
      </c>
      <c r="P95" s="13" t="n">
        <f aca="false">SUMIF(MANUALES!$B$16:$B$69,$A95,MANUALES!V$16:V$69)+SUMIF(RODANTES!$B$16:$B$68,$A95,RODANTES!V$16:V$68)+SUMIF(RECARGAS!$B$16:$B$37,$A95,RECARGAS!AF$16:AF$37)+SUMIF(REVENDIDOS!$B$16:$B$25,$A95,REVENDIDOS!W$16:W$25)</f>
        <v>100941.865109691</v>
      </c>
      <c r="Q95" s="13" t="n">
        <f aca="false">SUMIF(MANUALES!$B$16:$B$69,$A95,MANUALES!W$16:W$69)+SUMIF(RODANTES!$B$16:$B$68,$A95,RODANTES!W$16:W$68)+SUMIF(RECARGAS!$B$16:$B$37,$A95,RECARGAS!AG$16:AG$37)+SUMIF(REVENDIDOS!$B$16:$B$25,$A95,REVENDIDOS!X$16:X$25)</f>
        <v>108186.304977739</v>
      </c>
      <c r="R95" s="13" t="n">
        <f aca="false">SUMIF(MANUALES!$B$16:$B$69,$A95,MANUALES!X$16:X$69)+SUMIF(RODANTES!$B$16:$B$68,$A95,RODANTES!X$16:X$68)+SUMIF(RECARGAS!$B$16:$B$37,$A95,RECARGAS!AH$16:AH$37)+SUMIF(REVENDIDOS!$B$16:$B$25,$A95,REVENDIDOS!Y$16:Y$25)</f>
        <v>9015.5254148116</v>
      </c>
    </row>
    <row r="96" customFormat="false" ht="15" hidden="false" customHeight="false" outlineLevel="0" collapsed="false">
      <c r="A96" s="3" t="s">
        <v>521</v>
      </c>
      <c r="B96" s="3" t="s">
        <v>522</v>
      </c>
      <c r="C96" s="3" t="s">
        <v>214</v>
      </c>
      <c r="D96" s="13" t="n">
        <f aca="false">SUMIF(MANUALES!$B$16:$B$69,$A96,MANUALES!W$16:W$69)</f>
        <v>0</v>
      </c>
      <c r="E96" s="13" t="n">
        <f aca="false">SUMIF(RODANTES!$B$16:$B$68,$A96,RODANTES!W$16:W$68)</f>
        <v>0</v>
      </c>
      <c r="F96" s="13" t="n">
        <f aca="false">SUMIF(RECARGAS!$B$16:$B$37,$A96,RECARGAS!AG$16:AG$37)</f>
        <v>108186.304977739</v>
      </c>
      <c r="G96" s="13" t="n">
        <f aca="false">SUMIF(REVENDIDOS!$B$16:$B$25,$A96,REVENDIDOS!X$16:X$25)</f>
        <v>0</v>
      </c>
      <c r="H96" s="13" t="n">
        <f aca="false">SUMIF(MANUALES!$B$16:$B$69,$A96,MANUALES!N$16:N$69)+SUMIF(RODANTES!$B$16:$B$68,$A96,RODANTES!N$16:N$68)+SUMIF(RECARGAS!$B$16:$B$37,$A96,RECARGAS!X$16:X$37)+SUMIF(REVENDIDOS!$B$16:$B$25,$A96,REVENDIDOS!O$16:O$25)</f>
        <v>1989.12012871933</v>
      </c>
      <c r="I96" s="13" t="n">
        <f aca="false">SUMIF(MANUALES!$B$16:$B$69,$A96,MANUALES!O$16:O$69)+SUMIF(RODANTES!$B$16:$B$68,$A96,RODANTES!O$16:O$68)+SUMIF(RECARGAS!$B$16:$B$37,$A96,RECARGAS!Y$16:Y$37)+SUMIF(REVENDIDOS!$B$16:$B$25,$A96,REVENDIDOS!P$16:P$25)</f>
        <v>8920.71133712552</v>
      </c>
      <c r="J96" s="13" t="n">
        <f aca="false">SUMIF(MANUALES!$B$16:$B$69,$A96,MANUALES!P$16:P$69)+SUMIF(RODANTES!$B$16:$B$68,$A96,RODANTES!P$16:P$68)+SUMIF(RECARGAS!$B$16:$B$37,$A96,RECARGAS!Z$16:Z$37)+SUMIF(REVENDIDOS!$B$16:$B$25,$A96,REVENDIDOS!Q$16:Q$25)</f>
        <v>17886.2299166122</v>
      </c>
      <c r="K96" s="13" t="n">
        <f aca="false">SUMIF(MANUALES!$B$16:$B$69,$A96,MANUALES!Q$16:Q$69)+SUMIF(RODANTES!$B$16:$B$68,$A96,RODANTES!Q$16:Q$68)+SUMIF(RECARGAS!$B$16:$B$37,$A96,RECARGAS!AA$16:AA$37)+SUMIF(REVENDIDOS!$B$16:$B$25,$A96,REVENDIDOS!R$16:R$25)</f>
        <v>33177.6852981587</v>
      </c>
      <c r="L96" s="13" t="n">
        <f aca="false">SUMIF(MANUALES!$B$16:$B$69,$A96,MANUALES!R$16:R$69)+SUMIF(RODANTES!$B$16:$B$68,$A96,RODANTES!R$16:R$68)+SUMIF(RECARGAS!$B$16:$B$37,$A96,RECARGAS!AB$16:AB$37)+SUMIF(REVENDIDOS!$B$16:$B$25,$A96,REVENDIDOS!S$16:S$25)</f>
        <v>48833.7266153367</v>
      </c>
      <c r="M96" s="13" t="n">
        <f aca="false">SUMIF(MANUALES!$B$16:$B$69,$A96,MANUALES!S$16:S$69)+SUMIF(RODANTES!$B$16:$B$68,$A96,RODANTES!S$16:S$68)+SUMIF(RECARGAS!$B$16:$B$37,$A96,RECARGAS!AC$16:AC$37)+SUMIF(REVENDIDOS!$B$16:$B$25,$A96,REVENDIDOS!T$16:T$25)</f>
        <v>66467.4683651538</v>
      </c>
      <c r="N96" s="13" t="n">
        <f aca="false">SUMIF(MANUALES!$B$16:$B$69,$A96,MANUALES!T$16:T$69)+SUMIF(RODANTES!$B$16:$B$68,$A96,RODANTES!T$16:T$68)+SUMIF(RECARGAS!$B$16:$B$37,$A96,RECARGAS!AD$16:AD$37)+SUMIF(REVENDIDOS!$B$16:$B$25,$A96,REVENDIDOS!U$16:U$25)</f>
        <v>82549.454780352</v>
      </c>
      <c r="O96" s="13" t="n">
        <f aca="false">SUMIF(MANUALES!$B$16:$B$69,$A96,MANUALES!U$16:U$69)+SUMIF(RODANTES!$B$16:$B$68,$A96,RODANTES!U$16:U$68)+SUMIF(RECARGAS!$B$16:$B$37,$A96,RECARGAS!AE$16:AE$37)+SUMIF(REVENDIDOS!$B$16:$B$25,$A96,REVENDIDOS!V$16:V$25)</f>
        <v>93846.0660134775</v>
      </c>
      <c r="P96" s="13" t="n">
        <f aca="false">SUMIF(MANUALES!$B$16:$B$69,$A96,MANUALES!V$16:V$69)+SUMIF(RODANTES!$B$16:$B$68,$A96,RODANTES!V$16:V$68)+SUMIF(RECARGAS!$B$16:$B$37,$A96,RECARGAS!AF$16:AF$37)+SUMIF(REVENDIDOS!$B$16:$B$25,$A96,REVENDIDOS!W$16:W$25)</f>
        <v>100941.865109691</v>
      </c>
      <c r="Q96" s="13" t="n">
        <f aca="false">SUMIF(MANUALES!$B$16:$B$69,$A96,MANUALES!W$16:W$69)+SUMIF(RODANTES!$B$16:$B$68,$A96,RODANTES!W$16:W$68)+SUMIF(RECARGAS!$B$16:$B$37,$A96,RECARGAS!AG$16:AG$37)+SUMIF(REVENDIDOS!$B$16:$B$25,$A96,REVENDIDOS!X$16:X$25)</f>
        <v>108186.304977739</v>
      </c>
      <c r="R96" s="13" t="n">
        <f aca="false">SUMIF(MANUALES!$B$16:$B$69,$A96,MANUALES!X$16:X$69)+SUMIF(RODANTES!$B$16:$B$68,$A96,RODANTES!X$16:X$68)+SUMIF(RECARGAS!$B$16:$B$37,$A96,RECARGAS!AH$16:AH$37)+SUMIF(REVENDIDOS!$B$16:$B$25,$A96,REVENDIDOS!Y$16:Y$25)</f>
        <v>9015.5254148116</v>
      </c>
    </row>
    <row r="97" customFormat="false" ht="15" hidden="false" customHeight="false" outlineLevel="0" collapsed="false">
      <c r="A97" s="3" t="s">
        <v>524</v>
      </c>
      <c r="B97" s="3" t="s">
        <v>525</v>
      </c>
      <c r="C97" s="3" t="s">
        <v>214</v>
      </c>
      <c r="D97" s="13" t="n">
        <f aca="false">SUMIF(MANUALES!$B$16:$B$69,$A97,MANUALES!W$16:W$69)</f>
        <v>0</v>
      </c>
      <c r="E97" s="13" t="n">
        <f aca="false">SUMIF(RODANTES!$B$16:$B$68,$A97,RODANTES!W$16:W$68)</f>
        <v>0</v>
      </c>
      <c r="F97" s="13" t="n">
        <f aca="false">SUMIF(RECARGAS!$B$16:$B$37,$A97,RECARGAS!AG$16:AG$37)</f>
        <v>85734.5647571335</v>
      </c>
      <c r="G97" s="13" t="n">
        <f aca="false">SUMIF(REVENDIDOS!$B$16:$B$25,$A97,REVENDIDOS!X$16:X$25)</f>
        <v>0</v>
      </c>
      <c r="H97" s="13" t="n">
        <f aca="false">SUMIF(MANUALES!$B$16:$B$69,$A97,MANUALES!N$16:N$69)+SUMIF(RODANTES!$B$16:$B$68,$A97,RODANTES!N$16:N$68)+SUMIF(RECARGAS!$B$16:$B$37,$A97,RECARGAS!X$16:X$37)+SUMIF(REVENDIDOS!$B$16:$B$25,$A97,REVENDIDOS!O$16:O$25)</f>
        <v>1568.33189848101</v>
      </c>
      <c r="I97" s="13" t="n">
        <f aca="false">SUMIF(MANUALES!$B$16:$B$69,$A97,MANUALES!O$16:O$69)+SUMIF(RODANTES!$B$16:$B$68,$A97,RODANTES!O$16:O$68)+SUMIF(RECARGAS!$B$16:$B$37,$A97,RECARGAS!Y$16:Y$37)+SUMIF(REVENDIDOS!$B$16:$B$25,$A97,REVENDIDOS!P$16:P$25)</f>
        <v>7040.14548872183</v>
      </c>
      <c r="J97" s="13" t="n">
        <f aca="false">SUMIF(MANUALES!$B$16:$B$69,$A97,MANUALES!P$16:P$69)+SUMIF(RODANTES!$B$16:$B$68,$A97,RODANTES!P$16:P$68)+SUMIF(RECARGAS!$B$16:$B$37,$A97,RECARGAS!Z$16:Z$37)+SUMIF(REVENDIDOS!$B$16:$B$25,$A97,REVENDIDOS!Q$16:Q$25)</f>
        <v>14127.9123176868</v>
      </c>
      <c r="K97" s="13" t="n">
        <f aca="false">SUMIF(MANUALES!$B$16:$B$69,$A97,MANUALES!Q$16:Q$69)+SUMIF(RODANTES!$B$16:$B$68,$A97,RODANTES!Q$16:Q$68)+SUMIF(RECARGAS!$B$16:$B$37,$A97,RECARGAS!AA$16:AA$37)+SUMIF(REVENDIDOS!$B$16:$B$25,$A97,REVENDIDOS!R$16:R$25)</f>
        <v>26227.167937042</v>
      </c>
      <c r="L97" s="13" t="n">
        <f aca="false">SUMIF(MANUALES!$B$16:$B$69,$A97,MANUALES!R$16:R$69)+SUMIF(RODANTES!$B$16:$B$68,$A97,RODANTES!R$16:R$68)+SUMIF(RECARGAS!$B$16:$B$37,$A97,RECARGAS!AB$16:AB$37)+SUMIF(REVENDIDOS!$B$16:$B$25,$A97,REVENDIDOS!S$16:S$25)</f>
        <v>38630.8125561855</v>
      </c>
      <c r="M97" s="13" t="n">
        <f aca="false">SUMIF(MANUALES!$B$16:$B$69,$A97,MANUALES!S$16:S$69)+SUMIF(RODANTES!$B$16:$B$68,$A97,RODANTES!S$16:S$68)+SUMIF(RECARGAS!$B$16:$B$37,$A97,RECARGAS!AC$16:AC$37)+SUMIF(REVENDIDOS!$B$16:$B$25,$A97,REVENDIDOS!T$16:T$25)</f>
        <v>52612.7236028695</v>
      </c>
      <c r="N97" s="13" t="n">
        <f aca="false">SUMIF(MANUALES!$B$16:$B$69,$A97,MANUALES!T$16:T$69)+SUMIF(RODANTES!$B$16:$B$68,$A97,RODANTES!T$16:T$68)+SUMIF(RECARGAS!$B$16:$B$37,$A97,RECARGAS!AD$16:AD$37)+SUMIF(REVENDIDOS!$B$16:$B$25,$A97,REVENDIDOS!U$16:U$25)</f>
        <v>65375.4178234694</v>
      </c>
      <c r="O97" s="13" t="n">
        <f aca="false">SUMIF(MANUALES!$B$16:$B$69,$A97,MANUALES!U$16:U$69)+SUMIF(RODANTES!$B$16:$B$68,$A97,RODANTES!U$16:U$68)+SUMIF(RECARGAS!$B$16:$B$37,$A97,RECARGAS!AE$16:AE$37)+SUMIF(REVENDIDOS!$B$16:$B$25,$A97,REVENDIDOS!V$16:V$25)</f>
        <v>74349.7185059845</v>
      </c>
      <c r="P97" s="13" t="n">
        <f aca="false">SUMIF(MANUALES!$B$16:$B$69,$A97,MANUALES!V$16:V$69)+SUMIF(RODANTES!$B$16:$B$68,$A97,RODANTES!V$16:V$68)+SUMIF(RECARGAS!$B$16:$B$37,$A97,RECARGAS!AF$16:AF$37)+SUMIF(REVENDIDOS!$B$16:$B$25,$A97,REVENDIDOS!W$16:W$25)</f>
        <v>79989.4287388313</v>
      </c>
      <c r="Q97" s="13" t="n">
        <f aca="false">SUMIF(MANUALES!$B$16:$B$69,$A97,MANUALES!W$16:W$69)+SUMIF(RODANTES!$B$16:$B$68,$A97,RODANTES!W$16:W$68)+SUMIF(RECARGAS!$B$16:$B$37,$A97,RECARGAS!AG$16:AG$37)+SUMIF(REVENDIDOS!$B$16:$B$25,$A97,REVENDIDOS!X$16:X$25)</f>
        <v>85734.5647571335</v>
      </c>
      <c r="R97" s="13" t="n">
        <f aca="false">SUMIF(MANUALES!$B$16:$B$69,$A97,MANUALES!X$16:X$69)+SUMIF(RODANTES!$B$16:$B$68,$A97,RODANTES!X$16:X$68)+SUMIF(RECARGAS!$B$16:$B$37,$A97,RECARGAS!AH$16:AH$37)+SUMIF(REVENDIDOS!$B$16:$B$25,$A97,REVENDIDOS!Y$16:Y$25)</f>
        <v>7144.54706309446</v>
      </c>
    </row>
    <row r="98" customFormat="false" ht="15" hidden="false" customHeight="false" outlineLevel="0" collapsed="false">
      <c r="A98" s="3" t="s">
        <v>527</v>
      </c>
      <c r="B98" s="3" t="s">
        <v>528</v>
      </c>
      <c r="C98" s="3" t="s">
        <v>214</v>
      </c>
      <c r="D98" s="13" t="n">
        <f aca="false">SUMIF(MANUALES!$B$16:$B$69,$A98,MANUALES!W$16:W$69)</f>
        <v>0</v>
      </c>
      <c r="E98" s="13" t="n">
        <f aca="false">SUMIF(RODANTES!$B$16:$B$68,$A98,RODANTES!W$16:W$68)</f>
        <v>0</v>
      </c>
      <c r="F98" s="13" t="n">
        <f aca="false">SUMIF(RECARGAS!$B$16:$B$37,$A98,RECARGAS!AG$16:AG$37)</f>
        <v>85734.5647571335</v>
      </c>
      <c r="G98" s="13" t="n">
        <f aca="false">SUMIF(REVENDIDOS!$B$16:$B$25,$A98,REVENDIDOS!X$16:X$25)</f>
        <v>0</v>
      </c>
      <c r="H98" s="13" t="n">
        <f aca="false">SUMIF(MANUALES!$B$16:$B$69,$A98,MANUALES!N$16:N$69)+SUMIF(RODANTES!$B$16:$B$68,$A98,RODANTES!N$16:N$68)+SUMIF(RECARGAS!$B$16:$B$37,$A98,RECARGAS!X$16:X$37)+SUMIF(REVENDIDOS!$B$16:$B$25,$A98,REVENDIDOS!O$16:O$25)</f>
        <v>1568.33189848101</v>
      </c>
      <c r="I98" s="13" t="n">
        <f aca="false">SUMIF(MANUALES!$B$16:$B$69,$A98,MANUALES!O$16:O$69)+SUMIF(RODANTES!$B$16:$B$68,$A98,RODANTES!O$16:O$68)+SUMIF(RECARGAS!$B$16:$B$37,$A98,RECARGAS!Y$16:Y$37)+SUMIF(REVENDIDOS!$B$16:$B$25,$A98,REVENDIDOS!P$16:P$25)</f>
        <v>7040.14548872183</v>
      </c>
      <c r="J98" s="13" t="n">
        <f aca="false">SUMIF(MANUALES!$B$16:$B$69,$A98,MANUALES!P$16:P$69)+SUMIF(RODANTES!$B$16:$B$68,$A98,RODANTES!P$16:P$68)+SUMIF(RECARGAS!$B$16:$B$37,$A98,RECARGAS!Z$16:Z$37)+SUMIF(REVENDIDOS!$B$16:$B$25,$A98,REVENDIDOS!Q$16:Q$25)</f>
        <v>14127.9123176868</v>
      </c>
      <c r="K98" s="13" t="n">
        <f aca="false">SUMIF(MANUALES!$B$16:$B$69,$A98,MANUALES!Q$16:Q$69)+SUMIF(RODANTES!$B$16:$B$68,$A98,RODANTES!Q$16:Q$68)+SUMIF(RECARGAS!$B$16:$B$37,$A98,RECARGAS!AA$16:AA$37)+SUMIF(REVENDIDOS!$B$16:$B$25,$A98,REVENDIDOS!R$16:R$25)</f>
        <v>26227.167937042</v>
      </c>
      <c r="L98" s="13" t="n">
        <f aca="false">SUMIF(MANUALES!$B$16:$B$69,$A98,MANUALES!R$16:R$69)+SUMIF(RODANTES!$B$16:$B$68,$A98,RODANTES!R$16:R$68)+SUMIF(RECARGAS!$B$16:$B$37,$A98,RECARGAS!AB$16:AB$37)+SUMIF(REVENDIDOS!$B$16:$B$25,$A98,REVENDIDOS!S$16:S$25)</f>
        <v>38630.8125561855</v>
      </c>
      <c r="M98" s="13" t="n">
        <f aca="false">SUMIF(MANUALES!$B$16:$B$69,$A98,MANUALES!S$16:S$69)+SUMIF(RODANTES!$B$16:$B$68,$A98,RODANTES!S$16:S$68)+SUMIF(RECARGAS!$B$16:$B$37,$A98,RECARGAS!AC$16:AC$37)+SUMIF(REVENDIDOS!$B$16:$B$25,$A98,REVENDIDOS!T$16:T$25)</f>
        <v>52612.7236028695</v>
      </c>
      <c r="N98" s="13" t="n">
        <f aca="false">SUMIF(MANUALES!$B$16:$B$69,$A98,MANUALES!T$16:T$69)+SUMIF(RODANTES!$B$16:$B$68,$A98,RODANTES!T$16:T$68)+SUMIF(RECARGAS!$B$16:$B$37,$A98,RECARGAS!AD$16:AD$37)+SUMIF(REVENDIDOS!$B$16:$B$25,$A98,REVENDIDOS!U$16:U$25)</f>
        <v>65375.4178234694</v>
      </c>
      <c r="O98" s="13" t="n">
        <f aca="false">SUMIF(MANUALES!$B$16:$B$69,$A98,MANUALES!U$16:U$69)+SUMIF(RODANTES!$B$16:$B$68,$A98,RODANTES!U$16:U$68)+SUMIF(RECARGAS!$B$16:$B$37,$A98,RECARGAS!AE$16:AE$37)+SUMIF(REVENDIDOS!$B$16:$B$25,$A98,REVENDIDOS!V$16:V$25)</f>
        <v>74349.7185059845</v>
      </c>
      <c r="P98" s="13" t="n">
        <f aca="false">SUMIF(MANUALES!$B$16:$B$69,$A98,MANUALES!V$16:V$69)+SUMIF(RODANTES!$B$16:$B$68,$A98,RODANTES!V$16:V$68)+SUMIF(RECARGAS!$B$16:$B$37,$A98,RECARGAS!AF$16:AF$37)+SUMIF(REVENDIDOS!$B$16:$B$25,$A98,REVENDIDOS!W$16:W$25)</f>
        <v>79989.4287388313</v>
      </c>
      <c r="Q98" s="13" t="n">
        <f aca="false">SUMIF(MANUALES!$B$16:$B$69,$A98,MANUALES!W$16:W$69)+SUMIF(RODANTES!$B$16:$B$68,$A98,RODANTES!W$16:W$68)+SUMIF(RECARGAS!$B$16:$B$37,$A98,RECARGAS!AG$16:AG$37)+SUMIF(REVENDIDOS!$B$16:$B$25,$A98,REVENDIDOS!X$16:X$25)</f>
        <v>85734.5647571335</v>
      </c>
      <c r="R98" s="13" t="n">
        <f aca="false">SUMIF(MANUALES!$B$16:$B$69,$A98,MANUALES!X$16:X$69)+SUMIF(RODANTES!$B$16:$B$68,$A98,RODANTES!X$16:X$68)+SUMIF(RECARGAS!$B$16:$B$37,$A98,RECARGAS!AH$16:AH$37)+SUMIF(REVENDIDOS!$B$16:$B$25,$A98,REVENDIDOS!Y$16:Y$25)</f>
        <v>7144.54706309446</v>
      </c>
    </row>
    <row r="99" customFormat="false" ht="15" hidden="false" customHeight="false" outlineLevel="0" collapsed="false">
      <c r="A99" s="3" t="s">
        <v>534</v>
      </c>
      <c r="B99" s="3" t="s">
        <v>535</v>
      </c>
      <c r="C99" s="3" t="s">
        <v>214</v>
      </c>
      <c r="D99" s="13" t="n">
        <f aca="false">SUMIF(MANUALES!$B$16:$B$69,$A99,MANUALES!W$16:W$69)</f>
        <v>0</v>
      </c>
      <c r="E99" s="13" t="n">
        <f aca="false">SUMIF(RODANTES!$B$16:$B$68,$A99,RODANTES!W$16:W$68)</f>
        <v>0</v>
      </c>
      <c r="F99" s="13" t="n">
        <f aca="false">SUMIF(RECARGAS!$B$16:$B$37,$A99,RECARGAS!AG$16:AG$37)</f>
        <v>129.892396568768</v>
      </c>
      <c r="G99" s="13" t="n">
        <f aca="false">SUMIF(REVENDIDOS!$B$16:$B$25,$A99,REVENDIDOS!X$16:X$25)</f>
        <v>0</v>
      </c>
      <c r="H99" s="13" t="n">
        <f aca="false">SUMIF(MANUALES!$B$16:$B$69,$A99,MANUALES!N$16:N$69)+SUMIF(RODANTES!$B$16:$B$68,$A99,RODANTES!N$16:N$68)+SUMIF(RECARGAS!$B$16:$B$37,$A99,RECARGAS!X$16:X$37)+SUMIF(REVENDIDOS!$B$16:$B$25,$A99,REVENDIDOS!O$16:O$25)</f>
        <v>23.5984856954447</v>
      </c>
      <c r="I99" s="13" t="n">
        <f aca="false">SUMIF(MANUALES!$B$16:$B$69,$A99,MANUALES!O$16:O$69)+SUMIF(RODANTES!$B$16:$B$68,$A99,RODANTES!O$16:O$68)+SUMIF(RECARGAS!$B$16:$B$37,$A99,RECARGAS!Y$16:Y$37)+SUMIF(REVENDIDOS!$B$16:$B$25,$A99,REVENDIDOS!P$16:P$25)</f>
        <v>73.9563111566799</v>
      </c>
      <c r="J99" s="13" t="n">
        <f aca="false">SUMIF(MANUALES!$B$16:$B$69,$A99,MANUALES!P$16:P$69)+SUMIF(RODANTES!$B$16:$B$68,$A99,RODANTES!P$16:P$68)+SUMIF(RECARGAS!$B$16:$B$37,$A99,RECARGAS!Z$16:Z$37)+SUMIF(REVENDIDOS!$B$16:$B$25,$A99,REVENDIDOS!Q$16:Q$25)</f>
        <v>100.528589784151</v>
      </c>
      <c r="K99" s="13" t="n">
        <f aca="false">SUMIF(MANUALES!$B$16:$B$69,$A99,MANUALES!Q$16:Q$69)+SUMIF(RODANTES!$B$16:$B$68,$A99,RODANTES!Q$16:Q$68)+SUMIF(RECARGAS!$B$16:$B$37,$A99,RECARGAS!AA$16:AA$37)+SUMIF(REVENDIDOS!$B$16:$B$25,$A99,REVENDIDOS!R$16:R$25)</f>
        <v>172.508767576254</v>
      </c>
      <c r="L99" s="13" t="n">
        <f aca="false">SUMIF(MANUALES!$B$16:$B$69,$A99,MANUALES!R$16:R$69)+SUMIF(RODANTES!$B$16:$B$68,$A99,RODANTES!R$16:R$68)+SUMIF(RECARGAS!$B$16:$B$37,$A99,RECARGAS!AB$16:AB$37)+SUMIF(REVENDIDOS!$B$16:$B$25,$A99,REVENDIDOS!S$16:S$25)</f>
        <v>184.739690040356</v>
      </c>
      <c r="M99" s="13" t="n">
        <f aca="false">SUMIF(MANUALES!$B$16:$B$69,$A99,MANUALES!S$16:S$69)+SUMIF(RODANTES!$B$16:$B$68,$A99,RODANTES!S$16:S$68)+SUMIF(RECARGAS!$B$16:$B$37,$A99,RECARGAS!AC$16:AC$37)+SUMIF(REVENDIDOS!$B$16:$B$25,$A99,REVENDIDOS!T$16:T$25)</f>
        <v>213.609463505413</v>
      </c>
      <c r="N99" s="13" t="n">
        <f aca="false">SUMIF(MANUALES!$B$16:$B$69,$A99,MANUALES!T$16:T$69)+SUMIF(RODANTES!$B$16:$B$68,$A99,RODANTES!T$16:T$68)+SUMIF(RECARGAS!$B$16:$B$37,$A99,RECARGAS!AD$16:AD$37)+SUMIF(REVENDIDOS!$B$16:$B$25,$A99,REVENDIDOS!U$16:U$25)</f>
        <v>205.503479588238</v>
      </c>
      <c r="O99" s="13" t="n">
        <f aca="false">SUMIF(MANUALES!$B$16:$B$69,$A99,MANUALES!U$16:U$69)+SUMIF(RODANTES!$B$16:$B$68,$A99,RODANTES!U$16:U$68)+SUMIF(RECARGAS!$B$16:$B$37,$A99,RECARGAS!AE$16:AE$37)+SUMIF(REVENDIDOS!$B$16:$B$25,$A99,REVENDIDOS!V$16:V$25)</f>
        <v>163.462681402593</v>
      </c>
      <c r="P99" s="13" t="n">
        <f aca="false">SUMIF(MANUALES!$B$16:$B$69,$A99,MANUALES!V$16:V$69)+SUMIF(RODANTES!$B$16:$B$68,$A99,RODANTES!V$16:V$68)+SUMIF(RECARGAS!$B$16:$B$37,$A99,RECARGAS!AF$16:AF$37)+SUMIF(REVENDIDOS!$B$16:$B$25,$A99,REVENDIDOS!W$16:W$25)</f>
        <v>125.03839909499</v>
      </c>
      <c r="Q99" s="13" t="n">
        <f aca="false">SUMIF(MANUALES!$B$16:$B$69,$A99,MANUALES!W$16:W$69)+SUMIF(RODANTES!$B$16:$B$68,$A99,RODANTES!W$16:W$68)+SUMIF(RECARGAS!$B$16:$B$37,$A99,RECARGAS!AG$16:AG$37)+SUMIF(REVENDIDOS!$B$16:$B$25,$A99,REVENDIDOS!X$16:X$25)</f>
        <v>129.892396568768</v>
      </c>
      <c r="R99" s="13" t="n">
        <f aca="false">SUMIF(MANUALES!$B$16:$B$69,$A99,MANUALES!X$16:X$69)+SUMIF(RODANTES!$B$16:$B$68,$A99,RODANTES!X$16:X$68)+SUMIF(RECARGAS!$B$16:$B$37,$A99,RECARGAS!AH$16:AH$37)+SUMIF(REVENDIDOS!$B$16:$B$25,$A99,REVENDIDOS!Y$16:Y$25)</f>
        <v>10.8243663807307</v>
      </c>
    </row>
    <row r="100" customFormat="false" ht="15" hidden="false" customHeight="false" outlineLevel="0" collapsed="false">
      <c r="A100" s="3" t="s">
        <v>537</v>
      </c>
      <c r="B100" s="3" t="s">
        <v>538</v>
      </c>
      <c r="C100" s="3" t="s">
        <v>214</v>
      </c>
      <c r="D100" s="13" t="n">
        <f aca="false">SUMIF(MANUALES!$B$16:$B$69,$A100,MANUALES!W$16:W$69)</f>
        <v>0</v>
      </c>
      <c r="E100" s="13" t="n">
        <f aca="false">SUMIF(RODANTES!$B$16:$B$68,$A100,RODANTES!W$16:W$68)</f>
        <v>0</v>
      </c>
      <c r="F100" s="13" t="n">
        <f aca="false">SUMIF(RECARGAS!$B$16:$B$37,$A100,RECARGAS!AG$16:AG$37)</f>
        <v>102.93602399468</v>
      </c>
      <c r="G100" s="13" t="n">
        <f aca="false">SUMIF(REVENDIDOS!$B$16:$B$25,$A100,REVENDIDOS!X$16:X$25)</f>
        <v>0</v>
      </c>
      <c r="H100" s="13" t="n">
        <f aca="false">SUMIF(MANUALES!$B$16:$B$69,$A100,MANUALES!N$16:N$69)+SUMIF(RODANTES!$B$16:$B$68,$A100,RODANTES!N$16:N$68)+SUMIF(RECARGAS!$B$16:$B$37,$A100,RECARGAS!X$16:X$37)+SUMIF(REVENDIDOS!$B$16:$B$25,$A100,REVENDIDOS!O$16:O$25)</f>
        <v>18.6063462621749</v>
      </c>
      <c r="I100" s="13" t="n">
        <f aca="false">SUMIF(MANUALES!$B$16:$B$69,$A100,MANUALES!O$16:O$69)+SUMIF(RODANTES!$B$16:$B$68,$A100,RODANTES!O$16:O$68)+SUMIF(RECARGAS!$B$16:$B$37,$A100,RECARGAS!Y$16:Y$37)+SUMIF(REVENDIDOS!$B$16:$B$25,$A100,REVENDIDOS!P$16:P$25)</f>
        <v>58.3656583736045</v>
      </c>
      <c r="J100" s="13" t="n">
        <f aca="false">SUMIF(MANUALES!$B$16:$B$69,$A100,MANUALES!P$16:P$69)+SUMIF(RODANTES!$B$16:$B$68,$A100,RODANTES!P$16:P$68)+SUMIF(RECARGAS!$B$16:$B$37,$A100,RECARGAS!Z$16:Z$37)+SUMIF(REVENDIDOS!$B$16:$B$25,$A100,REVENDIDOS!Q$16:Q$25)</f>
        <v>79.4051685857002</v>
      </c>
      <c r="K100" s="13" t="n">
        <f aca="false">SUMIF(MANUALES!$B$16:$B$69,$A100,MANUALES!Q$16:Q$69)+SUMIF(RODANTES!$B$16:$B$68,$A100,RODANTES!Q$16:Q$68)+SUMIF(RECARGAS!$B$16:$B$37,$A100,RECARGAS!AA$16:AA$37)+SUMIF(REVENDIDOS!$B$16:$B$25,$A100,REVENDIDOS!R$16:R$25)</f>
        <v>136.369260759901</v>
      </c>
      <c r="L100" s="13" t="n">
        <f aca="false">SUMIF(MANUALES!$B$16:$B$69,$A100,MANUALES!R$16:R$69)+SUMIF(RODANTES!$B$16:$B$68,$A100,RODANTES!R$16:R$68)+SUMIF(RECARGAS!$B$16:$B$37,$A100,RECARGAS!AB$16:AB$37)+SUMIF(REVENDIDOS!$B$16:$B$25,$A100,REVENDIDOS!S$16:S$25)</f>
        <v>146.141710499634</v>
      </c>
      <c r="M100" s="13" t="n">
        <f aca="false">SUMIF(MANUALES!$B$16:$B$69,$A100,MANUALES!S$16:S$69)+SUMIF(RODANTES!$B$16:$B$68,$A100,RODANTES!S$16:S$68)+SUMIF(RECARGAS!$B$16:$B$37,$A100,RECARGAS!AC$16:AC$37)+SUMIF(REVENDIDOS!$B$16:$B$25,$A100,REVENDIDOS!T$16:T$25)</f>
        <v>169.083853181016</v>
      </c>
      <c r="N100" s="13" t="n">
        <f aca="false">SUMIF(MANUALES!$B$16:$B$69,$A100,MANUALES!T$16:T$69)+SUMIF(RODANTES!$B$16:$B$68,$A100,RODANTES!T$16:T$68)+SUMIF(RECARGAS!$B$16:$B$37,$A100,RECARGAS!AD$16:AD$37)+SUMIF(REVENDIDOS!$B$16:$B$25,$A100,REVENDIDOS!U$16:U$25)</f>
        <v>162.749419460195</v>
      </c>
      <c r="O100" s="13" t="n">
        <f aca="false">SUMIF(MANUALES!$B$16:$B$69,$A100,MANUALES!U$16:U$69)+SUMIF(RODANTES!$B$16:$B$68,$A100,RODANTES!U$16:U$68)+SUMIF(RECARGAS!$B$16:$B$37,$A100,RECARGAS!AE$16:AE$37)+SUMIF(REVENDIDOS!$B$16:$B$25,$A100,REVENDIDOS!V$16:V$25)</f>
        <v>129.503610164872</v>
      </c>
      <c r="P100" s="13" t="n">
        <f aca="false">SUMIF(MANUALES!$B$16:$B$69,$A100,MANUALES!V$16:V$69)+SUMIF(RODANTES!$B$16:$B$68,$A100,RODANTES!V$16:V$68)+SUMIF(RECARGAS!$B$16:$B$37,$A100,RECARGAS!AF$16:AF$37)+SUMIF(REVENDIDOS!$B$16:$B$25,$A100,REVENDIDOS!W$16:W$25)</f>
        <v>99.0842610561795</v>
      </c>
      <c r="Q100" s="13" t="n">
        <f aca="false">SUMIF(MANUALES!$B$16:$B$69,$A100,MANUALES!W$16:W$69)+SUMIF(RODANTES!$B$16:$B$68,$A100,RODANTES!W$16:W$68)+SUMIF(RECARGAS!$B$16:$B$37,$A100,RECARGAS!AG$16:AG$37)+SUMIF(REVENDIDOS!$B$16:$B$25,$A100,REVENDIDOS!X$16:X$25)</f>
        <v>102.93602399468</v>
      </c>
      <c r="R100" s="13" t="n">
        <f aca="false">SUMIF(MANUALES!$B$16:$B$69,$A100,MANUALES!X$16:X$69)+SUMIF(RODANTES!$B$16:$B$68,$A100,RODANTES!X$16:X$68)+SUMIF(RECARGAS!$B$16:$B$37,$A100,RECARGAS!AH$16:AH$37)+SUMIF(REVENDIDOS!$B$16:$B$25,$A100,REVENDIDOS!Y$16:Y$25)</f>
        <v>8.57800199955665</v>
      </c>
    </row>
    <row r="101" customFormat="false" ht="15" hidden="false" customHeight="false" outlineLevel="0" collapsed="false">
      <c r="A101" s="3" t="s">
        <v>540</v>
      </c>
      <c r="B101" s="3" t="s">
        <v>541</v>
      </c>
      <c r="C101" s="3" t="s">
        <v>214</v>
      </c>
      <c r="D101" s="13" t="n">
        <f aca="false">SUMIF(MANUALES!$B$16:$B$69,$A101,MANUALES!W$16:W$69)</f>
        <v>0</v>
      </c>
      <c r="E101" s="13" t="n">
        <f aca="false">SUMIF(RODANTES!$B$16:$B$68,$A101,RODANTES!W$16:W$68)</f>
        <v>0</v>
      </c>
      <c r="F101" s="13" t="n">
        <f aca="false">SUMIF(RECARGAS!$B$16:$B$37,$A101,RECARGAS!AG$16:AG$37)</f>
        <v>26.9563725740881</v>
      </c>
      <c r="G101" s="13" t="n">
        <f aca="false">SUMIF(REVENDIDOS!$B$16:$B$25,$A101,REVENDIDOS!X$16:X$25)</f>
        <v>0</v>
      </c>
      <c r="H101" s="13" t="n">
        <f aca="false">SUMIF(MANUALES!$B$16:$B$69,$A101,MANUALES!N$16:N$69)+SUMIF(RODANTES!$B$16:$B$68,$A101,RODANTES!N$16:N$68)+SUMIF(RECARGAS!$B$16:$B$37,$A101,RECARGAS!X$16:X$37)+SUMIF(REVENDIDOS!$B$16:$B$25,$A101,REVENDIDOS!O$16:O$25)</f>
        <v>4.99213943326984</v>
      </c>
      <c r="I101" s="13" t="n">
        <f aca="false">SUMIF(MANUALES!$B$16:$B$69,$A101,MANUALES!O$16:O$69)+SUMIF(RODANTES!$B$16:$B$68,$A101,RODANTES!O$16:O$68)+SUMIF(RECARGAS!$B$16:$B$37,$A101,RECARGAS!Y$16:Y$37)+SUMIF(REVENDIDOS!$B$16:$B$25,$A101,REVENDIDOS!P$16:P$25)</f>
        <v>15.5906527830754</v>
      </c>
      <c r="J101" s="13" t="n">
        <f aca="false">SUMIF(MANUALES!$B$16:$B$69,$A101,MANUALES!P$16:P$69)+SUMIF(RODANTES!$B$16:$B$68,$A101,RODANTES!P$16:P$68)+SUMIF(RECARGAS!$B$16:$B$37,$A101,RECARGAS!Z$16:Z$37)+SUMIF(REVENDIDOS!$B$16:$B$25,$A101,REVENDIDOS!Q$16:Q$25)</f>
        <v>21.1234211984507</v>
      </c>
      <c r="K101" s="13" t="n">
        <f aca="false">SUMIF(MANUALES!$B$16:$B$69,$A101,MANUALES!Q$16:Q$69)+SUMIF(RODANTES!$B$16:$B$68,$A101,RODANTES!Q$16:Q$68)+SUMIF(RECARGAS!$B$16:$B$37,$A101,RECARGAS!AA$16:AA$37)+SUMIF(REVENDIDOS!$B$16:$B$25,$A101,REVENDIDOS!R$16:R$25)</f>
        <v>36.1395068163521</v>
      </c>
      <c r="L101" s="13" t="n">
        <f aca="false">SUMIF(MANUALES!$B$16:$B$69,$A101,MANUALES!R$16:R$69)+SUMIF(RODANTES!$B$16:$B$68,$A101,RODANTES!R$16:R$68)+SUMIF(RECARGAS!$B$16:$B$37,$A101,RECARGAS!AB$16:AB$37)+SUMIF(REVENDIDOS!$B$16:$B$25,$A101,REVENDIDOS!S$16:S$25)</f>
        <v>38.597979540722</v>
      </c>
      <c r="M101" s="13" t="n">
        <f aca="false">SUMIF(MANUALES!$B$16:$B$69,$A101,MANUALES!S$16:S$69)+SUMIF(RODANTES!$B$16:$B$68,$A101,RODANTES!S$16:S$68)+SUMIF(RECARGAS!$B$16:$B$37,$A101,RECARGAS!AC$16:AC$37)+SUMIF(REVENDIDOS!$B$16:$B$25,$A101,REVENDIDOS!T$16:T$25)</f>
        <v>44.5256103243962</v>
      </c>
      <c r="N101" s="13" t="n">
        <f aca="false">SUMIF(MANUALES!$B$16:$B$69,$A101,MANUALES!T$16:T$69)+SUMIF(RODANTES!$B$16:$B$68,$A101,RODANTES!T$16:T$68)+SUMIF(RECARGAS!$B$16:$B$37,$A101,RECARGAS!AD$16:AD$37)+SUMIF(REVENDIDOS!$B$16:$B$25,$A101,REVENDIDOS!U$16:U$25)</f>
        <v>42.7540601280434</v>
      </c>
      <c r="O101" s="13" t="n">
        <f aca="false">SUMIF(MANUALES!$B$16:$B$69,$A101,MANUALES!U$16:U$69)+SUMIF(RODANTES!$B$16:$B$68,$A101,RODANTES!U$16:U$68)+SUMIF(RECARGAS!$B$16:$B$37,$A101,RECARGAS!AE$16:AE$37)+SUMIF(REVENDIDOS!$B$16:$B$25,$A101,REVENDIDOS!V$16:V$25)</f>
        <v>33.959071237721</v>
      </c>
      <c r="P101" s="13" t="n">
        <f aca="false">SUMIF(MANUALES!$B$16:$B$69,$A101,MANUALES!V$16:V$69)+SUMIF(RODANTES!$B$16:$B$68,$A101,RODANTES!V$16:V$68)+SUMIF(RECARGAS!$B$16:$B$37,$A101,RECARGAS!AF$16:AF$37)+SUMIF(REVENDIDOS!$B$16:$B$25,$A101,REVENDIDOS!W$16:W$25)</f>
        <v>25.9541380388106</v>
      </c>
      <c r="Q101" s="13" t="n">
        <f aca="false">SUMIF(MANUALES!$B$16:$B$69,$A101,MANUALES!W$16:W$69)+SUMIF(RODANTES!$B$16:$B$68,$A101,RODANTES!W$16:W$68)+SUMIF(RECARGAS!$B$16:$B$37,$A101,RECARGAS!AG$16:AG$37)+SUMIF(REVENDIDOS!$B$16:$B$25,$A101,REVENDIDOS!X$16:X$25)</f>
        <v>26.9563725740881</v>
      </c>
      <c r="R101" s="13" t="n">
        <f aca="false">SUMIF(MANUALES!$B$16:$B$69,$A101,MANUALES!X$16:X$69)+SUMIF(RODANTES!$B$16:$B$68,$A101,RODANTES!X$16:X$68)+SUMIF(RECARGAS!$B$16:$B$37,$A101,RECARGAS!AH$16:AH$37)+SUMIF(REVENDIDOS!$B$16:$B$25,$A101,REVENDIDOS!Y$16:Y$25)</f>
        <v>2.24636438117401</v>
      </c>
    </row>
    <row r="102" customFormat="false" ht="15" hidden="false" customHeight="false" outlineLevel="0" collapsed="false">
      <c r="A102" s="3" t="s">
        <v>531</v>
      </c>
      <c r="B102" s="3" t="s">
        <v>532</v>
      </c>
      <c r="C102" s="3" t="s">
        <v>503</v>
      </c>
      <c r="D102" s="13" t="n">
        <f aca="false">SUMIF(MANUALES!$B$16:$B$69,$A102,MANUALES!W$16:W$69)</f>
        <v>0</v>
      </c>
      <c r="E102" s="13" t="n">
        <f aca="false">SUMIF(RODANTES!$B$16:$B$68,$A102,RODANTES!W$16:W$68)</f>
        <v>0</v>
      </c>
      <c r="F102" s="13" t="n">
        <f aca="false">SUMIF(RECARGAS!$B$16:$B$37,$A102,RECARGAS!AG$16:AG$37)</f>
        <v>279.348843561067</v>
      </c>
      <c r="G102" s="13" t="n">
        <f aca="false">SUMIF(REVENDIDOS!$B$16:$B$25,$A102,REVENDIDOS!X$16:X$25)</f>
        <v>0</v>
      </c>
      <c r="H102" s="13" t="n">
        <f aca="false">SUMIF(MANUALES!$B$16:$B$69,$A102,MANUALES!N$16:N$69)+SUMIF(RODANTES!$B$16:$B$68,$A102,RODANTES!N$16:N$68)+SUMIF(RECARGAS!$B$16:$B$37,$A102,RECARGAS!X$16:X$37)+SUMIF(REVENDIDOS!$B$16:$B$25,$A102,REVENDIDOS!O$16:O$25)</f>
        <v>5.17598699676593</v>
      </c>
      <c r="I102" s="13" t="n">
        <f aca="false">SUMIF(MANUALES!$B$16:$B$69,$A102,MANUALES!O$16:O$69)+SUMIF(RODANTES!$B$16:$B$68,$A102,RODANTES!O$16:O$68)+SUMIF(RECARGAS!$B$16:$B$37,$A102,RECARGAS!Y$16:Y$37)+SUMIF(REVENDIDOS!$B$16:$B$25,$A102,REVENDIDOS!P$16:P$25)</f>
        <v>22.6138746036402</v>
      </c>
      <c r="J102" s="13" t="n">
        <f aca="false">SUMIF(MANUALES!$B$16:$B$69,$A102,MANUALES!P$16:P$69)+SUMIF(RODANTES!$B$16:$B$68,$A102,RODANTES!P$16:P$68)+SUMIF(RECARGAS!$B$16:$B$37,$A102,RECARGAS!Z$16:Z$37)+SUMIF(REVENDIDOS!$B$16:$B$25,$A102,REVENDIDOS!Q$16:Q$25)</f>
        <v>47.7803224258779</v>
      </c>
      <c r="K102" s="13" t="n">
        <f aca="false">SUMIF(MANUALES!$B$16:$B$69,$A102,MANUALES!Q$16:Q$69)+SUMIF(RODANTES!$B$16:$B$68,$A102,RODANTES!Q$16:Q$68)+SUMIF(RECARGAS!$B$16:$B$37,$A102,RECARGAS!AA$16:AA$37)+SUMIF(REVENDIDOS!$B$16:$B$25,$A102,REVENDIDOS!R$16:R$25)</f>
        <v>88.7021002793217</v>
      </c>
      <c r="L102" s="13" t="n">
        <f aca="false">SUMIF(MANUALES!$B$16:$B$69,$A102,MANUALES!R$16:R$69)+SUMIF(RODANTES!$B$16:$B$68,$A102,RODANTES!R$16:R$68)+SUMIF(RECARGAS!$B$16:$B$37,$A102,RECARGAS!AB$16:AB$37)+SUMIF(REVENDIDOS!$B$16:$B$25,$A102,REVENDIDOS!S$16:S$25)</f>
        <v>129.144616556441</v>
      </c>
      <c r="M102" s="13" t="n">
        <f aca="false">SUMIF(MANUALES!$B$16:$B$69,$A102,MANUALES!S$16:S$69)+SUMIF(RODANTES!$B$16:$B$68,$A102,RODANTES!S$16:S$68)+SUMIF(RECARGAS!$B$16:$B$37,$A102,RECARGAS!AC$16:AC$37)+SUMIF(REVENDIDOS!$B$16:$B$25,$A102,REVENDIDOS!T$16:T$25)</f>
        <v>173.663966306653</v>
      </c>
      <c r="N102" s="13" t="n">
        <f aca="false">SUMIF(MANUALES!$B$16:$B$69,$A102,MANUALES!T$16:T$69)+SUMIF(RODANTES!$B$16:$B$68,$A102,RODANTES!T$16:T$68)+SUMIF(RECARGAS!$B$16:$B$37,$A102,RECARGAS!AD$16:AD$37)+SUMIF(REVENDIDOS!$B$16:$B$25,$A102,REVENDIDOS!U$16:U$25)</f>
        <v>214.400598483594</v>
      </c>
      <c r="O102" s="13" t="n">
        <f aca="false">SUMIF(MANUALES!$B$16:$B$69,$A102,MANUALES!U$16:U$69)+SUMIF(RODANTES!$B$16:$B$68,$A102,RODANTES!U$16:U$68)+SUMIF(RECARGAS!$B$16:$B$37,$A102,RECARGAS!AE$16:AE$37)+SUMIF(REVENDIDOS!$B$16:$B$25,$A102,REVENDIDOS!V$16:V$25)</f>
        <v>241.251861852126</v>
      </c>
      <c r="P102" s="13" t="n">
        <f aca="false">SUMIF(MANUALES!$B$16:$B$69,$A102,MANUALES!V$16:V$69)+SUMIF(RODANTES!$B$16:$B$68,$A102,RODANTES!V$16:V$68)+SUMIF(RECARGAS!$B$16:$B$37,$A102,RECARGAS!AF$16:AF$37)+SUMIF(REVENDIDOS!$B$16:$B$25,$A102,REVENDIDOS!W$16:W$25)</f>
        <v>260.130212458213</v>
      </c>
      <c r="Q102" s="13" t="n">
        <f aca="false">SUMIF(MANUALES!$B$16:$B$69,$A102,MANUALES!W$16:W$69)+SUMIF(RODANTES!$B$16:$B$68,$A102,RODANTES!W$16:W$68)+SUMIF(RECARGAS!$B$16:$B$37,$A102,RECARGAS!AG$16:AG$37)+SUMIF(REVENDIDOS!$B$16:$B$25,$A102,REVENDIDOS!X$16:X$25)</f>
        <v>279.348843561067</v>
      </c>
      <c r="R102" s="13" t="n">
        <f aca="false">SUMIF(MANUALES!$B$16:$B$69,$A102,MANUALES!X$16:X$69)+SUMIF(RODANTES!$B$16:$B$68,$A102,RODANTES!X$16:X$68)+SUMIF(RECARGAS!$B$16:$B$37,$A102,RECARGAS!AH$16:AH$37)+SUMIF(REVENDIDOS!$B$16:$B$25,$A102,REVENDIDOS!Y$16:Y$25)</f>
        <v>23.2790702967556</v>
      </c>
    </row>
    <row r="103" customFormat="false" ht="15" hidden="false" customHeight="false" outlineLevel="0" collapsed="false">
      <c r="A103" s="3" t="s">
        <v>324</v>
      </c>
      <c r="B103" s="3" t="s">
        <v>325</v>
      </c>
      <c r="C103" s="3" t="s">
        <v>214</v>
      </c>
      <c r="D103" s="13" t="n">
        <f aca="false">SUMIF(MANUALES!$B$16:$B$69,$A103,MANUALES!W$16:W$69)</f>
        <v>202620.63913</v>
      </c>
      <c r="E103" s="13" t="n">
        <f aca="false">SUMIF(RODANTES!$B$16:$B$68,$A103,RODANTES!W$16:W$68)</f>
        <v>0</v>
      </c>
      <c r="F103" s="13" t="n">
        <f aca="false">SUMIF(RECARGAS!$B$16:$B$37,$A103,RECARGAS!AG$16:AG$37)</f>
        <v>0</v>
      </c>
      <c r="G103" s="13" t="n">
        <f aca="false">SUMIF(REVENDIDOS!$B$16:$B$25,$A103,REVENDIDOS!X$16:X$25)</f>
        <v>0</v>
      </c>
      <c r="H103" s="13" t="n">
        <f aca="false">SUMIF(MANUALES!$B$16:$B$69,$A103,MANUALES!N$16:N$69)+SUMIF(RODANTES!$B$16:$B$68,$A103,RODANTES!N$16:N$68)+SUMIF(RECARGAS!$B$16:$B$37,$A103,RECARGAS!X$16:X$37)+SUMIF(REVENDIDOS!$B$16:$B$25,$A103,REVENDIDOS!O$16:O$25)</f>
        <v>4178.736543</v>
      </c>
      <c r="I103" s="13" t="n">
        <f aca="false">SUMIF(MANUALES!$B$16:$B$69,$A103,MANUALES!O$16:O$69)+SUMIF(RODANTES!$B$16:$B$68,$A103,RODANTES!O$16:O$68)+SUMIF(RECARGAS!$B$16:$B$37,$A103,RECARGAS!Y$16:Y$37)+SUMIF(REVENDIDOS!$B$16:$B$25,$A103,REVENDIDOS!P$16:P$25)</f>
        <v>5997.303977</v>
      </c>
      <c r="J103" s="13" t="n">
        <f aca="false">SUMIF(MANUALES!$B$16:$B$69,$A103,MANUALES!P$16:P$69)+SUMIF(RODANTES!$B$16:$B$68,$A103,RODANTES!P$16:P$68)+SUMIF(RECARGAS!$B$16:$B$37,$A103,RECARGAS!Z$16:Z$37)+SUMIF(REVENDIDOS!$B$16:$B$25,$A103,REVENDIDOS!Q$16:Q$25)</f>
        <v>14514.147758</v>
      </c>
      <c r="K103" s="13" t="n">
        <f aca="false">SUMIF(MANUALES!$B$16:$B$69,$A103,MANUALES!Q$16:Q$69)+SUMIF(RODANTES!$B$16:$B$68,$A103,RODANTES!Q$16:Q$68)+SUMIF(RECARGAS!$B$16:$B$37,$A103,RECARGAS!AA$16:AA$37)+SUMIF(REVENDIDOS!$B$16:$B$25,$A103,REVENDIDOS!R$16:R$25)</f>
        <v>35161.935549</v>
      </c>
      <c r="L103" s="13" t="n">
        <f aca="false">SUMIF(MANUALES!$B$16:$B$69,$A103,MANUALES!R$16:R$69)+SUMIF(RODANTES!$B$16:$B$68,$A103,RODANTES!R$16:R$68)+SUMIF(RECARGAS!$B$16:$B$37,$A103,RECARGAS!AB$16:AB$37)+SUMIF(REVENDIDOS!$B$16:$B$25,$A103,REVENDIDOS!S$16:S$25)</f>
        <v>62115.43271</v>
      </c>
      <c r="M103" s="13" t="n">
        <f aca="false">SUMIF(MANUALES!$B$16:$B$69,$A103,MANUALES!S$16:S$69)+SUMIF(RODANTES!$B$16:$B$68,$A103,RODANTES!S$16:S$68)+SUMIF(RECARGAS!$B$16:$B$37,$A103,RECARGAS!AC$16:AC$37)+SUMIF(REVENDIDOS!$B$16:$B$25,$A103,REVENDIDOS!T$16:T$25)</f>
        <v>87300.45307</v>
      </c>
      <c r="N103" s="13" t="n">
        <f aca="false">SUMIF(MANUALES!$B$16:$B$69,$A103,MANUALES!T$16:T$69)+SUMIF(RODANTES!$B$16:$B$68,$A103,RODANTES!T$16:T$68)+SUMIF(RECARGAS!$B$16:$B$37,$A103,RECARGAS!AD$16:AD$37)+SUMIF(REVENDIDOS!$B$16:$B$25,$A103,REVENDIDOS!U$16:U$25)</f>
        <v>121673.15326</v>
      </c>
      <c r="O103" s="13" t="n">
        <f aca="false">SUMIF(MANUALES!$B$16:$B$69,$A103,MANUALES!U$16:U$69)+SUMIF(RODANTES!$B$16:$B$68,$A103,RODANTES!U$16:U$68)+SUMIF(RECARGAS!$B$16:$B$37,$A103,RECARGAS!AE$16:AE$37)+SUMIF(REVENDIDOS!$B$16:$B$25,$A103,REVENDIDOS!V$16:V$25)</f>
        <v>156133.07848</v>
      </c>
      <c r="P103" s="13" t="n">
        <f aca="false">SUMIF(MANUALES!$B$16:$B$69,$A103,MANUALES!V$16:V$69)+SUMIF(RODANTES!$B$16:$B$68,$A103,RODANTES!V$16:V$68)+SUMIF(RECARGAS!$B$16:$B$37,$A103,RECARGAS!AF$16:AF$37)+SUMIF(REVENDIDOS!$B$16:$B$25,$A103,REVENDIDOS!W$16:W$25)</f>
        <v>175393.13614</v>
      </c>
      <c r="Q103" s="13" t="n">
        <f aca="false">SUMIF(MANUALES!$B$16:$B$69,$A103,MANUALES!W$16:W$69)+SUMIF(RODANTES!$B$16:$B$68,$A103,RODANTES!W$16:W$68)+SUMIF(RECARGAS!$B$16:$B$37,$A103,RECARGAS!AG$16:AG$37)+SUMIF(REVENDIDOS!$B$16:$B$25,$A103,REVENDIDOS!X$16:X$25)</f>
        <v>202620.63913</v>
      </c>
      <c r="R103" s="13" t="n">
        <f aca="false">SUMIF(MANUALES!$B$16:$B$69,$A103,MANUALES!X$16:X$69)+SUMIF(RODANTES!$B$16:$B$68,$A103,RODANTES!X$16:X$68)+SUMIF(RECARGAS!$B$16:$B$37,$A103,RECARGAS!AH$16:AH$37)+SUMIF(REVENDIDOS!$B$16:$B$25,$A103,REVENDIDOS!Y$16:Y$25)</f>
        <v>24314.4766956</v>
      </c>
    </row>
    <row r="104" customFormat="false" ht="15" hidden="false" customHeight="false" outlineLevel="0" collapsed="false">
      <c r="A104" s="3" t="s">
        <v>327</v>
      </c>
      <c r="B104" s="3" t="s">
        <v>328</v>
      </c>
      <c r="C104" s="3" t="s">
        <v>214</v>
      </c>
      <c r="D104" s="13" t="n">
        <f aca="false">SUMIF(MANUALES!$B$16:$B$69,$A104,MANUALES!W$16:W$69)</f>
        <v>14093.858444</v>
      </c>
      <c r="E104" s="13" t="n">
        <f aca="false">SUMIF(RODANTES!$B$16:$B$68,$A104,RODANTES!W$16:W$68)</f>
        <v>0</v>
      </c>
      <c r="F104" s="13" t="n">
        <f aca="false">SUMIF(RECARGAS!$B$16:$B$37,$A104,RECARGAS!AG$16:AG$37)</f>
        <v>0</v>
      </c>
      <c r="G104" s="13" t="n">
        <f aca="false">SUMIF(REVENDIDOS!$B$16:$B$25,$A104,REVENDIDOS!X$16:X$25)</f>
        <v>0</v>
      </c>
      <c r="H104" s="13" t="n">
        <f aca="false">SUMIF(MANUALES!$B$16:$B$69,$A104,MANUALES!N$16:N$69)+SUMIF(RODANTES!$B$16:$B$68,$A104,RODANTES!N$16:N$68)+SUMIF(RECARGAS!$B$16:$B$37,$A104,RECARGAS!X$16:X$37)+SUMIF(REVENDIDOS!$B$16:$B$25,$A104,REVENDIDOS!O$16:O$25)</f>
        <v>295.0303572</v>
      </c>
      <c r="I104" s="13" t="n">
        <f aca="false">SUMIF(MANUALES!$B$16:$B$69,$A104,MANUALES!O$16:O$69)+SUMIF(RODANTES!$B$16:$B$68,$A104,RODANTES!O$16:O$68)+SUMIF(RECARGAS!$B$16:$B$37,$A104,RECARGAS!Y$16:Y$37)+SUMIF(REVENDIDOS!$B$16:$B$25,$A104,REVENDIDOS!P$16:P$25)</f>
        <v>709.7274503</v>
      </c>
      <c r="J104" s="13" t="n">
        <f aca="false">SUMIF(MANUALES!$B$16:$B$69,$A104,MANUALES!P$16:P$69)+SUMIF(RODANTES!$B$16:$B$68,$A104,RODANTES!P$16:P$68)+SUMIF(RECARGAS!$B$16:$B$37,$A104,RECARGAS!Z$16:Z$37)+SUMIF(REVENDIDOS!$B$16:$B$25,$A104,REVENDIDOS!Q$16:Q$25)</f>
        <v>1286.4680576</v>
      </c>
      <c r="K104" s="13" t="n">
        <f aca="false">SUMIF(MANUALES!$B$16:$B$69,$A104,MANUALES!Q$16:Q$69)+SUMIF(RODANTES!$B$16:$B$68,$A104,RODANTES!Q$16:Q$68)+SUMIF(RECARGAS!$B$16:$B$37,$A104,RECARGAS!AA$16:AA$37)+SUMIF(REVENDIDOS!$B$16:$B$25,$A104,REVENDIDOS!R$16:R$25)</f>
        <v>2544.438174</v>
      </c>
      <c r="L104" s="13" t="n">
        <f aca="false">SUMIF(MANUALES!$B$16:$B$69,$A104,MANUALES!R$16:R$69)+SUMIF(RODANTES!$B$16:$B$68,$A104,RODANTES!R$16:R$68)+SUMIF(RECARGAS!$B$16:$B$37,$A104,RECARGAS!AB$16:AB$37)+SUMIF(REVENDIDOS!$B$16:$B$25,$A104,REVENDIDOS!S$16:S$25)</f>
        <v>4245.627726</v>
      </c>
      <c r="M104" s="13" t="n">
        <f aca="false">SUMIF(MANUALES!$B$16:$B$69,$A104,MANUALES!S$16:S$69)+SUMIF(RODANTES!$B$16:$B$68,$A104,RODANTES!S$16:S$68)+SUMIF(RECARGAS!$B$16:$B$37,$A104,RECARGAS!AC$16:AC$37)+SUMIF(REVENDIDOS!$B$16:$B$25,$A104,REVENDIDOS!T$16:T$25)</f>
        <v>6055.869887</v>
      </c>
      <c r="N104" s="13" t="n">
        <f aca="false">SUMIF(MANUALES!$B$16:$B$69,$A104,MANUALES!T$16:T$69)+SUMIF(RODANTES!$B$16:$B$68,$A104,RODANTES!T$16:T$68)+SUMIF(RECARGAS!$B$16:$B$37,$A104,RECARGAS!AD$16:AD$37)+SUMIF(REVENDIDOS!$B$16:$B$25,$A104,REVENDIDOS!U$16:U$25)</f>
        <v>8065.315524</v>
      </c>
      <c r="O104" s="13" t="n">
        <f aca="false">SUMIF(MANUALES!$B$16:$B$69,$A104,MANUALES!U$16:U$69)+SUMIF(RODANTES!$B$16:$B$68,$A104,RODANTES!U$16:U$68)+SUMIF(RECARGAS!$B$16:$B$37,$A104,RECARGAS!AE$16:AE$37)+SUMIF(REVENDIDOS!$B$16:$B$25,$A104,REVENDIDOS!V$16:V$25)</f>
        <v>10227.306587</v>
      </c>
      <c r="P104" s="13" t="n">
        <f aca="false">SUMIF(MANUALES!$B$16:$B$69,$A104,MANUALES!V$16:V$69)+SUMIF(RODANTES!$B$16:$B$68,$A104,RODANTES!V$16:V$68)+SUMIF(RECARGAS!$B$16:$B$37,$A104,RECARGAS!AF$16:AF$37)+SUMIF(REVENDIDOS!$B$16:$B$25,$A104,REVENDIDOS!W$16:W$25)</f>
        <v>11936.586243</v>
      </c>
      <c r="Q104" s="13" t="n">
        <f aca="false">SUMIF(MANUALES!$B$16:$B$69,$A104,MANUALES!W$16:W$69)+SUMIF(RODANTES!$B$16:$B$68,$A104,RODANTES!W$16:W$68)+SUMIF(RECARGAS!$B$16:$B$37,$A104,RECARGAS!AG$16:AG$37)+SUMIF(REVENDIDOS!$B$16:$B$25,$A104,REVENDIDOS!X$16:X$25)</f>
        <v>14093.858444</v>
      </c>
      <c r="R104" s="13" t="n">
        <f aca="false">SUMIF(MANUALES!$B$16:$B$69,$A104,MANUALES!X$16:X$69)+SUMIF(RODANTES!$B$16:$B$68,$A104,RODANTES!X$16:X$68)+SUMIF(RECARGAS!$B$16:$B$37,$A104,RECARGAS!AH$16:AH$37)+SUMIF(REVENDIDOS!$B$16:$B$25,$A104,REVENDIDOS!Y$16:Y$25)</f>
        <v>1550.32442884</v>
      </c>
    </row>
    <row r="105" customFormat="false" ht="15" hidden="false" customHeight="false" outlineLevel="0" collapsed="false">
      <c r="A105" s="3" t="s">
        <v>330</v>
      </c>
      <c r="B105" s="3" t="s">
        <v>331</v>
      </c>
      <c r="C105" s="3" t="s">
        <v>214</v>
      </c>
      <c r="D105" s="13" t="n">
        <f aca="false">SUMIF(MANUALES!$B$16:$B$69,$A105,MANUALES!W$16:W$69)</f>
        <v>65343.7706862536</v>
      </c>
      <c r="E105" s="13" t="n">
        <f aca="false">SUMIF(RODANTES!$B$16:$B$68,$A105,RODANTES!W$16:W$68)</f>
        <v>0</v>
      </c>
      <c r="F105" s="13" t="n">
        <f aca="false">SUMIF(RECARGAS!$B$16:$B$37,$A105,RECARGAS!AG$16:AG$37)</f>
        <v>0</v>
      </c>
      <c r="G105" s="13" t="n">
        <f aca="false">SUMIF(REVENDIDOS!$B$16:$B$25,$A105,REVENDIDOS!X$16:X$25)</f>
        <v>0</v>
      </c>
      <c r="H105" s="13" t="n">
        <f aca="false">SUMIF(MANUALES!$B$16:$B$69,$A105,MANUALES!N$16:N$69)+SUMIF(RODANTES!$B$16:$B$68,$A105,RODANTES!N$16:N$68)+SUMIF(RECARGAS!$B$16:$B$37,$A105,RECARGAS!X$16:X$37)+SUMIF(REVENDIDOS!$B$16:$B$25,$A105,REVENDIDOS!O$16:O$25)</f>
        <v>2727.90356888796</v>
      </c>
      <c r="I105" s="13" t="n">
        <f aca="false">SUMIF(MANUALES!$B$16:$B$69,$A105,MANUALES!O$16:O$69)+SUMIF(RODANTES!$B$16:$B$68,$A105,RODANTES!O$16:O$68)+SUMIF(RECARGAS!$B$16:$B$37,$A105,RECARGAS!Y$16:Y$37)+SUMIF(REVENDIDOS!$B$16:$B$25,$A105,REVENDIDOS!P$16:P$25)</f>
        <v>5488.91063218589</v>
      </c>
      <c r="J105" s="13" t="n">
        <f aca="false">SUMIF(MANUALES!$B$16:$B$69,$A105,MANUALES!P$16:P$69)+SUMIF(RODANTES!$B$16:$B$68,$A105,RODANTES!P$16:P$68)+SUMIF(RECARGAS!$B$16:$B$37,$A105,RECARGAS!Z$16:Z$37)+SUMIF(REVENDIDOS!$B$16:$B$25,$A105,REVENDIDOS!Q$16:Q$25)</f>
        <v>8685.38549675331</v>
      </c>
      <c r="K105" s="13" t="n">
        <f aca="false">SUMIF(MANUALES!$B$16:$B$69,$A105,MANUALES!Q$16:Q$69)+SUMIF(RODANTES!$B$16:$B$68,$A105,RODANTES!Q$16:Q$68)+SUMIF(RECARGAS!$B$16:$B$37,$A105,RECARGAS!AA$16:AA$37)+SUMIF(REVENDIDOS!$B$16:$B$25,$A105,REVENDIDOS!R$16:R$25)</f>
        <v>15572.9077932162</v>
      </c>
      <c r="L105" s="13" t="n">
        <f aca="false">SUMIF(MANUALES!$B$16:$B$69,$A105,MANUALES!R$16:R$69)+SUMIF(RODANTES!$B$16:$B$68,$A105,RODANTES!R$16:R$68)+SUMIF(RECARGAS!$B$16:$B$37,$A105,RECARGAS!AB$16:AB$37)+SUMIF(REVENDIDOS!$B$16:$B$25,$A105,REVENDIDOS!S$16:S$25)</f>
        <v>24035.8713349105</v>
      </c>
      <c r="M105" s="13" t="n">
        <f aca="false">SUMIF(MANUALES!$B$16:$B$69,$A105,MANUALES!S$16:S$69)+SUMIF(RODANTES!$B$16:$B$68,$A105,RODANTES!S$16:S$68)+SUMIF(RECARGAS!$B$16:$B$37,$A105,RECARGAS!AC$16:AC$37)+SUMIF(REVENDIDOS!$B$16:$B$25,$A105,REVENDIDOS!T$16:T$25)</f>
        <v>32571.2609615097</v>
      </c>
      <c r="N105" s="13" t="n">
        <f aca="false">SUMIF(MANUALES!$B$16:$B$69,$A105,MANUALES!T$16:T$69)+SUMIF(RODANTES!$B$16:$B$68,$A105,RODANTES!T$16:T$68)+SUMIF(RECARGAS!$B$16:$B$37,$A105,RECARGAS!AD$16:AD$37)+SUMIF(REVENDIDOS!$B$16:$B$25,$A105,REVENDIDOS!U$16:U$25)</f>
        <v>42193.0822225078</v>
      </c>
      <c r="O105" s="13" t="n">
        <f aca="false">SUMIF(MANUALES!$B$16:$B$69,$A105,MANUALES!U$16:U$69)+SUMIF(RODANTES!$B$16:$B$68,$A105,RODANTES!U$16:U$68)+SUMIF(RECARGAS!$B$16:$B$37,$A105,RECARGAS!AE$16:AE$37)+SUMIF(REVENDIDOS!$B$16:$B$25,$A105,REVENDIDOS!V$16:V$25)</f>
        <v>51285.338467674</v>
      </c>
      <c r="P105" s="13" t="n">
        <f aca="false">SUMIF(MANUALES!$B$16:$B$69,$A105,MANUALES!V$16:V$69)+SUMIF(RODANTES!$B$16:$B$68,$A105,RODANTES!V$16:V$68)+SUMIF(RECARGAS!$B$16:$B$37,$A105,RECARGAS!AF$16:AF$37)+SUMIF(REVENDIDOS!$B$16:$B$25,$A105,REVENDIDOS!W$16:W$25)</f>
        <v>56949.1997200899</v>
      </c>
      <c r="Q105" s="13" t="n">
        <f aca="false">SUMIF(MANUALES!$B$16:$B$69,$A105,MANUALES!W$16:W$69)+SUMIF(RODANTES!$B$16:$B$68,$A105,RODANTES!W$16:W$68)+SUMIF(RECARGAS!$B$16:$B$37,$A105,RECARGAS!AG$16:AG$37)+SUMIF(REVENDIDOS!$B$16:$B$25,$A105,REVENDIDOS!X$16:X$25)</f>
        <v>65343.7706862536</v>
      </c>
      <c r="R105" s="13" t="n">
        <f aca="false">SUMIF(MANUALES!$B$16:$B$69,$A105,MANUALES!X$16:X$69)+SUMIF(RODANTES!$B$16:$B$68,$A105,RODANTES!X$16:X$68)+SUMIF(RECARGAS!$B$16:$B$37,$A105,RECARGAS!AH$16:AH$37)+SUMIF(REVENDIDOS!$B$16:$B$25,$A105,REVENDIDOS!Y$16:Y$25)</f>
        <v>7187.8147754879</v>
      </c>
    </row>
    <row r="106" customFormat="false" ht="15" hidden="false" customHeight="false" outlineLevel="0" collapsed="false">
      <c r="A106" s="3" t="s">
        <v>333</v>
      </c>
      <c r="B106" s="3" t="s">
        <v>334</v>
      </c>
      <c r="C106" s="3" t="s">
        <v>214</v>
      </c>
      <c r="D106" s="13" t="n">
        <f aca="false">SUMIF(MANUALES!$B$16:$B$69,$A106,MANUALES!W$16:W$69)</f>
        <v>3853.87697319699</v>
      </c>
      <c r="E106" s="13" t="n">
        <f aca="false">SUMIF(RODANTES!$B$16:$B$68,$A106,RODANTES!W$16:W$68)</f>
        <v>0</v>
      </c>
      <c r="F106" s="13" t="n">
        <f aca="false">SUMIF(RECARGAS!$B$16:$B$37,$A106,RECARGAS!AG$16:AG$37)</f>
        <v>0</v>
      </c>
      <c r="G106" s="13" t="n">
        <f aca="false">SUMIF(REVENDIDOS!$B$16:$B$25,$A106,REVENDIDOS!X$16:X$25)</f>
        <v>0</v>
      </c>
      <c r="H106" s="13" t="n">
        <f aca="false">SUMIF(MANUALES!$B$16:$B$69,$A106,MANUALES!N$16:N$69)+SUMIF(RODANTES!$B$16:$B$68,$A106,RODANTES!N$16:N$68)+SUMIF(RECARGAS!$B$16:$B$37,$A106,RECARGAS!X$16:X$37)+SUMIF(REVENDIDOS!$B$16:$B$25,$A106,REVENDIDOS!O$16:O$25)</f>
        <v>92.4087543518401</v>
      </c>
      <c r="I106" s="13" t="n">
        <f aca="false">SUMIF(MANUALES!$B$16:$B$69,$A106,MANUALES!O$16:O$69)+SUMIF(RODANTES!$B$16:$B$68,$A106,RODANTES!O$16:O$68)+SUMIF(RECARGAS!$B$16:$B$37,$A106,RECARGAS!Y$16:Y$37)+SUMIF(REVENDIDOS!$B$16:$B$25,$A106,REVENDIDOS!P$16:P$25)</f>
        <v>178.139434573852</v>
      </c>
      <c r="J106" s="13" t="n">
        <f aca="false">SUMIF(MANUALES!$B$16:$B$69,$A106,MANUALES!P$16:P$69)+SUMIF(RODANTES!$B$16:$B$68,$A106,RODANTES!P$16:P$68)+SUMIF(RECARGAS!$B$16:$B$37,$A106,RECARGAS!Z$16:Z$37)+SUMIF(REVENDIDOS!$B$16:$B$25,$A106,REVENDIDOS!Q$16:Q$25)</f>
        <v>345.46523127917</v>
      </c>
      <c r="K106" s="13" t="n">
        <f aca="false">SUMIF(MANUALES!$B$16:$B$69,$A106,MANUALES!Q$16:Q$69)+SUMIF(RODANTES!$B$16:$B$68,$A106,RODANTES!Q$16:Q$68)+SUMIF(RECARGAS!$B$16:$B$37,$A106,RECARGAS!AA$16:AA$37)+SUMIF(REVENDIDOS!$B$16:$B$25,$A106,REVENDIDOS!R$16:R$25)</f>
        <v>676.071030055753</v>
      </c>
      <c r="L106" s="13" t="n">
        <f aca="false">SUMIF(MANUALES!$B$16:$B$69,$A106,MANUALES!R$16:R$69)+SUMIF(RODANTES!$B$16:$B$68,$A106,RODANTES!R$16:R$68)+SUMIF(RECARGAS!$B$16:$B$37,$A106,RECARGAS!AB$16:AB$37)+SUMIF(REVENDIDOS!$B$16:$B$25,$A106,REVENDIDOS!S$16:S$25)</f>
        <v>1189.02479465029</v>
      </c>
      <c r="M106" s="13" t="n">
        <f aca="false">SUMIF(MANUALES!$B$16:$B$69,$A106,MANUALES!S$16:S$69)+SUMIF(RODANTES!$B$16:$B$68,$A106,RODANTES!S$16:S$68)+SUMIF(RECARGAS!$B$16:$B$37,$A106,RECARGAS!AC$16:AC$37)+SUMIF(REVENDIDOS!$B$16:$B$25,$A106,REVENDIDOS!T$16:T$25)</f>
        <v>1722.01675145705</v>
      </c>
      <c r="N106" s="13" t="n">
        <f aca="false">SUMIF(MANUALES!$B$16:$B$69,$A106,MANUALES!T$16:T$69)+SUMIF(RODANTES!$B$16:$B$68,$A106,RODANTES!T$16:T$68)+SUMIF(RECARGAS!$B$16:$B$37,$A106,RECARGAS!AD$16:AD$37)+SUMIF(REVENDIDOS!$B$16:$B$25,$A106,REVENDIDOS!U$16:U$25)</f>
        <v>2325.75497416121</v>
      </c>
      <c r="O106" s="13" t="n">
        <f aca="false">SUMIF(MANUALES!$B$16:$B$69,$A106,MANUALES!U$16:U$69)+SUMIF(RODANTES!$B$16:$B$68,$A106,RODANTES!U$16:U$68)+SUMIF(RECARGAS!$B$16:$B$37,$A106,RECARGAS!AE$16:AE$37)+SUMIF(REVENDIDOS!$B$16:$B$25,$A106,REVENDIDOS!V$16:V$25)</f>
        <v>2942.61759940245</v>
      </c>
      <c r="P106" s="13" t="n">
        <f aca="false">SUMIF(MANUALES!$B$16:$B$69,$A106,MANUALES!V$16:V$69)+SUMIF(RODANTES!$B$16:$B$68,$A106,RODANTES!V$16:V$68)+SUMIF(RECARGAS!$B$16:$B$37,$A106,RECARGAS!AF$16:AF$37)+SUMIF(REVENDIDOS!$B$16:$B$25,$A106,REVENDIDOS!W$16:W$25)</f>
        <v>3345.99478800518</v>
      </c>
      <c r="Q106" s="13" t="n">
        <f aca="false">SUMIF(MANUALES!$B$16:$B$69,$A106,MANUALES!W$16:W$69)+SUMIF(RODANTES!$B$16:$B$68,$A106,RODANTES!W$16:W$68)+SUMIF(RECARGAS!$B$16:$B$37,$A106,RECARGAS!AG$16:AG$37)+SUMIF(REVENDIDOS!$B$16:$B$25,$A106,REVENDIDOS!X$16:X$25)</f>
        <v>3853.87697319699</v>
      </c>
      <c r="R106" s="13" t="n">
        <f aca="false">SUMIF(MANUALES!$B$16:$B$69,$A106,MANUALES!X$16:X$69)+SUMIF(RODANTES!$B$16:$B$68,$A106,RODANTES!X$16:X$68)+SUMIF(RECARGAS!$B$16:$B$37,$A106,RECARGAS!AH$16:AH$37)+SUMIF(REVENDIDOS!$B$16:$B$25,$A106,REVENDIDOS!Y$16:Y$25)</f>
        <v>423.926467051669</v>
      </c>
    </row>
    <row r="107" customFormat="false" ht="15" hidden="false" customHeight="false" outlineLevel="0" collapsed="false">
      <c r="A107" s="3" t="s">
        <v>336</v>
      </c>
      <c r="B107" s="3" t="s">
        <v>337</v>
      </c>
      <c r="C107" s="3" t="s">
        <v>214</v>
      </c>
      <c r="D107" s="13" t="n">
        <f aca="false">SUMIF(MANUALES!$B$16:$B$69,$A107,MANUALES!W$16:W$69)</f>
        <v>285912.145233451</v>
      </c>
      <c r="E107" s="13" t="n">
        <f aca="false">SUMIF(RODANTES!$B$16:$B$68,$A107,RODANTES!W$16:W$68)</f>
        <v>0</v>
      </c>
      <c r="F107" s="13" t="n">
        <f aca="false">SUMIF(RECARGAS!$B$16:$B$37,$A107,RECARGAS!AG$16:AG$37)</f>
        <v>0</v>
      </c>
      <c r="G107" s="13" t="n">
        <f aca="false">SUMIF(REVENDIDOS!$B$16:$B$25,$A107,REVENDIDOS!X$16:X$25)</f>
        <v>0</v>
      </c>
      <c r="H107" s="13" t="n">
        <f aca="false">SUMIF(MANUALES!$B$16:$B$69,$A107,MANUALES!N$16:N$69)+SUMIF(RODANTES!$B$16:$B$68,$A107,RODANTES!N$16:N$68)+SUMIF(RECARGAS!$B$16:$B$37,$A107,RECARGAS!X$16:X$37)+SUMIF(REVENDIDOS!$B$16:$B$25,$A107,REVENDIDOS!O$16:O$25)</f>
        <v>7294.0792234398</v>
      </c>
      <c r="I107" s="13" t="n">
        <f aca="false">SUMIF(MANUALES!$B$16:$B$69,$A107,MANUALES!O$16:O$69)+SUMIF(RODANTES!$B$16:$B$68,$A107,RODANTES!O$16:O$68)+SUMIF(RECARGAS!$B$16:$B$37,$A107,RECARGAS!Y$16:Y$37)+SUMIF(REVENDIDOS!$B$16:$B$25,$A107,REVENDIDOS!P$16:P$25)</f>
        <v>12374.0814940597</v>
      </c>
      <c r="J107" s="13" t="n">
        <f aca="false">SUMIF(MANUALES!$B$16:$B$69,$A107,MANUALES!P$16:P$69)+SUMIF(RODANTES!$B$16:$B$68,$A107,RODANTES!P$16:P$68)+SUMIF(RECARGAS!$B$16:$B$37,$A107,RECARGAS!Z$16:Z$37)+SUMIF(REVENDIDOS!$B$16:$B$25,$A107,REVENDIDOS!Q$16:Q$25)</f>
        <v>24831.4665436325</v>
      </c>
      <c r="K107" s="13" t="n">
        <f aca="false">SUMIF(MANUALES!$B$16:$B$69,$A107,MANUALES!Q$16:Q$69)+SUMIF(RODANTES!$B$16:$B$68,$A107,RODANTES!Q$16:Q$68)+SUMIF(RECARGAS!$B$16:$B$37,$A107,RECARGAS!AA$16:AA$37)+SUMIF(REVENDIDOS!$B$16:$B$25,$A107,REVENDIDOS!R$16:R$25)</f>
        <v>53955.352546272</v>
      </c>
      <c r="L107" s="13" t="n">
        <f aca="false">SUMIF(MANUALES!$B$16:$B$69,$A107,MANUALES!R$16:R$69)+SUMIF(RODANTES!$B$16:$B$68,$A107,RODANTES!R$16:R$68)+SUMIF(RECARGAS!$B$16:$B$37,$A107,RECARGAS!AB$16:AB$37)+SUMIF(REVENDIDOS!$B$16:$B$25,$A107,REVENDIDOS!S$16:S$25)</f>
        <v>91585.9565655608</v>
      </c>
      <c r="M107" s="13" t="n">
        <f aca="false">SUMIF(MANUALES!$B$16:$B$69,$A107,MANUALES!S$16:S$69)+SUMIF(RODANTES!$B$16:$B$68,$A107,RODANTES!S$16:S$68)+SUMIF(RECARGAS!$B$16:$B$37,$A107,RECARGAS!AC$16:AC$37)+SUMIF(REVENDIDOS!$B$16:$B$25,$A107,REVENDIDOS!T$16:T$25)</f>
        <v>127649.600669967</v>
      </c>
      <c r="N107" s="13" t="n">
        <f aca="false">SUMIF(MANUALES!$B$16:$B$69,$A107,MANUALES!T$16:T$69)+SUMIF(RODANTES!$B$16:$B$68,$A107,RODANTES!T$16:T$68)+SUMIF(RECARGAS!$B$16:$B$37,$A107,RECARGAS!AD$16:AD$37)+SUMIF(REVENDIDOS!$B$16:$B$25,$A107,REVENDIDOS!U$16:U$25)</f>
        <v>174257.305980669</v>
      </c>
      <c r="O107" s="13" t="n">
        <f aca="false">SUMIF(MANUALES!$B$16:$B$69,$A107,MANUALES!U$16:U$69)+SUMIF(RODANTES!$B$16:$B$68,$A107,RODANTES!U$16:U$68)+SUMIF(RECARGAS!$B$16:$B$37,$A107,RECARGAS!AE$16:AE$37)+SUMIF(REVENDIDOS!$B$16:$B$25,$A107,REVENDIDOS!V$16:V$25)</f>
        <v>220588.341134076</v>
      </c>
      <c r="P107" s="13" t="n">
        <f aca="false">SUMIF(MANUALES!$B$16:$B$69,$A107,MANUALES!V$16:V$69)+SUMIF(RODANTES!$B$16:$B$68,$A107,RODANTES!V$16:V$68)+SUMIF(RECARGAS!$B$16:$B$37,$A107,RECARGAS!AF$16:AF$37)+SUMIF(REVENDIDOS!$B$16:$B$25,$A107,REVENDIDOS!W$16:W$25)</f>
        <v>247624.916891095</v>
      </c>
      <c r="Q107" s="13" t="n">
        <f aca="false">SUMIF(MANUALES!$B$16:$B$69,$A107,MANUALES!W$16:W$69)+SUMIF(RODANTES!$B$16:$B$68,$A107,RODANTES!W$16:W$68)+SUMIF(RECARGAS!$B$16:$B$37,$A107,RECARGAS!AG$16:AG$37)+SUMIF(REVENDIDOS!$B$16:$B$25,$A107,REVENDIDOS!X$16:X$25)</f>
        <v>285912.145233451</v>
      </c>
      <c r="R107" s="13" t="n">
        <f aca="false">SUMIF(MANUALES!$B$16:$B$69,$A107,MANUALES!X$16:X$69)+SUMIF(RODANTES!$B$16:$B$68,$A107,RODANTES!X$16:X$68)+SUMIF(RECARGAS!$B$16:$B$37,$A107,RECARGAS!AH$16:AH$37)+SUMIF(REVENDIDOS!$B$16:$B$25,$A107,REVENDIDOS!Y$16:Y$25)</f>
        <v>33476.5423669796</v>
      </c>
    </row>
    <row r="108" customFormat="false" ht="15" hidden="false" customHeight="false" outlineLevel="0" collapsed="false">
      <c r="A108" s="3" t="s">
        <v>339</v>
      </c>
      <c r="B108" s="3" t="s">
        <v>340</v>
      </c>
      <c r="C108" s="3" t="s">
        <v>214</v>
      </c>
      <c r="D108" s="13" t="n">
        <f aca="false">SUMIF(MANUALES!$B$16:$B$69,$A108,MANUALES!W$16:W$69)</f>
        <v>1413.33478060897</v>
      </c>
      <c r="E108" s="13" t="n">
        <f aca="false">SUMIF(RODANTES!$B$16:$B$68,$A108,RODANTES!W$16:W$68)</f>
        <v>134.916666666667</v>
      </c>
      <c r="F108" s="13" t="n">
        <f aca="false">SUMIF(RECARGAS!$B$16:$B$37,$A108,RECARGAS!AG$16:AG$37)</f>
        <v>0</v>
      </c>
      <c r="G108" s="13" t="n">
        <f aca="false">SUMIF(REVENDIDOS!$B$16:$B$25,$A108,REVENDIDOS!X$16:X$25)</f>
        <v>0</v>
      </c>
      <c r="H108" s="13" t="n">
        <f aca="false">SUMIF(MANUALES!$B$16:$B$69,$A108,MANUALES!N$16:N$69)+SUMIF(RODANTES!$B$16:$B$68,$A108,RODANTES!N$16:N$68)+SUMIF(RECARGAS!$B$16:$B$37,$A108,RECARGAS!X$16:X$37)+SUMIF(REVENDIDOS!$B$16:$B$25,$A108,REVENDIDOS!O$16:O$25)</f>
        <v>44.8337487161157</v>
      </c>
      <c r="I108" s="13" t="n">
        <f aca="false">SUMIF(MANUALES!$B$16:$B$69,$A108,MANUALES!O$16:O$69)+SUMIF(RODANTES!$B$16:$B$68,$A108,RODANTES!O$16:O$68)+SUMIF(RECARGAS!$B$16:$B$37,$A108,RECARGAS!Y$16:Y$37)+SUMIF(REVENDIDOS!$B$16:$B$25,$A108,REVENDIDOS!P$16:P$25)</f>
        <v>84.6845066918792</v>
      </c>
      <c r="J108" s="13" t="n">
        <f aca="false">SUMIF(MANUALES!$B$16:$B$69,$A108,MANUALES!P$16:P$69)+SUMIF(RODANTES!$B$16:$B$68,$A108,RODANTES!P$16:P$68)+SUMIF(RECARGAS!$B$16:$B$37,$A108,RECARGAS!Z$16:Z$37)+SUMIF(REVENDIDOS!$B$16:$B$25,$A108,REVENDIDOS!Q$16:Q$25)</f>
        <v>155.19635168342</v>
      </c>
      <c r="K108" s="13" t="n">
        <f aca="false">SUMIF(MANUALES!$B$16:$B$69,$A108,MANUALES!Q$16:Q$69)+SUMIF(RODANTES!$B$16:$B$68,$A108,RODANTES!Q$16:Q$68)+SUMIF(RECARGAS!$B$16:$B$37,$A108,RECARGAS!AA$16:AA$37)+SUMIF(REVENDIDOS!$B$16:$B$25,$A108,REVENDIDOS!R$16:R$25)</f>
        <v>314.211191279057</v>
      </c>
      <c r="L108" s="13" t="n">
        <f aca="false">SUMIF(MANUALES!$B$16:$B$69,$A108,MANUALES!R$16:R$69)+SUMIF(RODANTES!$B$16:$B$68,$A108,RODANTES!R$16:R$68)+SUMIF(RECARGAS!$B$16:$B$37,$A108,RECARGAS!AB$16:AB$37)+SUMIF(REVENDIDOS!$B$16:$B$25,$A108,REVENDIDOS!S$16:S$25)</f>
        <v>516.644025877455</v>
      </c>
      <c r="M108" s="13" t="n">
        <f aca="false">SUMIF(MANUALES!$B$16:$B$69,$A108,MANUALES!S$16:S$69)+SUMIF(RODANTES!$B$16:$B$68,$A108,RODANTES!S$16:S$68)+SUMIF(RECARGAS!$B$16:$B$37,$A108,RECARGAS!AC$16:AC$37)+SUMIF(REVENDIDOS!$B$16:$B$25,$A108,REVENDIDOS!T$16:T$25)</f>
        <v>716.192144967888</v>
      </c>
      <c r="N108" s="13" t="n">
        <f aca="false">SUMIF(MANUALES!$B$16:$B$69,$A108,MANUALES!T$16:T$69)+SUMIF(RODANTES!$B$16:$B$68,$A108,RODANTES!T$16:T$68)+SUMIF(RECARGAS!$B$16:$B$37,$A108,RECARGAS!AD$16:AD$37)+SUMIF(REVENDIDOS!$B$16:$B$25,$A108,REVENDIDOS!U$16:U$25)</f>
        <v>959.581306959706</v>
      </c>
      <c r="O108" s="13" t="n">
        <f aca="false">SUMIF(MANUALES!$B$16:$B$69,$A108,MANUALES!U$16:U$69)+SUMIF(RODANTES!$B$16:$B$68,$A108,RODANTES!U$16:U$68)+SUMIF(RECARGAS!$B$16:$B$37,$A108,RECARGAS!AE$16:AE$37)+SUMIF(REVENDIDOS!$B$16:$B$25,$A108,REVENDIDOS!V$16:V$25)</f>
        <v>1198.54603152316</v>
      </c>
      <c r="P108" s="13" t="n">
        <f aca="false">SUMIF(MANUALES!$B$16:$B$69,$A108,MANUALES!V$16:V$69)+SUMIF(RODANTES!$B$16:$B$68,$A108,RODANTES!V$16:V$68)+SUMIF(RECARGAS!$B$16:$B$37,$A108,RECARGAS!AF$16:AF$37)+SUMIF(REVENDIDOS!$B$16:$B$25,$A108,REVENDIDOS!W$16:W$25)</f>
        <v>1342.48649349158</v>
      </c>
      <c r="Q108" s="13" t="n">
        <f aca="false">SUMIF(MANUALES!$B$16:$B$69,$A108,MANUALES!W$16:W$69)+SUMIF(RODANTES!$B$16:$B$68,$A108,RODANTES!W$16:W$68)+SUMIF(RECARGAS!$B$16:$B$37,$A108,RECARGAS!AG$16:AG$37)+SUMIF(REVENDIDOS!$B$16:$B$25,$A108,REVENDIDOS!X$16:X$25)</f>
        <v>1548.25144727564</v>
      </c>
      <c r="R108" s="13" t="n">
        <f aca="false">SUMIF(MANUALES!$B$16:$B$69,$A108,MANUALES!X$16:X$69)+SUMIF(RODANTES!$B$16:$B$68,$A108,RODANTES!X$16:X$68)+SUMIF(RECARGAS!$B$16:$B$37,$A108,RECARGAS!AH$16:AH$37)+SUMIF(REVENDIDOS!$B$16:$B$25,$A108,REVENDIDOS!Y$16:Y$25)</f>
        <v>172.674841845237</v>
      </c>
    </row>
    <row r="109" customFormat="false" ht="15" hidden="false" customHeight="false" outlineLevel="0" collapsed="false">
      <c r="A109" s="3" t="s">
        <v>342</v>
      </c>
      <c r="B109" s="3" t="s">
        <v>343</v>
      </c>
      <c r="C109" s="3" t="s">
        <v>214</v>
      </c>
      <c r="D109" s="13" t="n">
        <f aca="false">SUMIF(MANUALES!$B$16:$B$69,$A109,MANUALES!W$16:W$69)</f>
        <v>1413.33478060897</v>
      </c>
      <c r="E109" s="13" t="n">
        <f aca="false">SUMIF(RODANTES!$B$16:$B$68,$A109,RODANTES!W$16:W$68)</f>
        <v>134.916666666667</v>
      </c>
      <c r="F109" s="13" t="n">
        <f aca="false">SUMIF(RECARGAS!$B$16:$B$37,$A109,RECARGAS!AG$16:AG$37)</f>
        <v>0</v>
      </c>
      <c r="G109" s="13" t="n">
        <f aca="false">SUMIF(REVENDIDOS!$B$16:$B$25,$A109,REVENDIDOS!X$16:X$25)</f>
        <v>0</v>
      </c>
      <c r="H109" s="13" t="n">
        <f aca="false">SUMIF(MANUALES!$B$16:$B$69,$A109,MANUALES!N$16:N$69)+SUMIF(RODANTES!$B$16:$B$68,$A109,RODANTES!N$16:N$68)+SUMIF(RECARGAS!$B$16:$B$37,$A109,RECARGAS!X$16:X$37)+SUMIF(REVENDIDOS!$B$16:$B$25,$A109,REVENDIDOS!O$16:O$25)</f>
        <v>44.8337487161157</v>
      </c>
      <c r="I109" s="13" t="n">
        <f aca="false">SUMIF(MANUALES!$B$16:$B$69,$A109,MANUALES!O$16:O$69)+SUMIF(RODANTES!$B$16:$B$68,$A109,RODANTES!O$16:O$68)+SUMIF(RECARGAS!$B$16:$B$37,$A109,RECARGAS!Y$16:Y$37)+SUMIF(REVENDIDOS!$B$16:$B$25,$A109,REVENDIDOS!P$16:P$25)</f>
        <v>84.6845066918792</v>
      </c>
      <c r="J109" s="13" t="n">
        <f aca="false">SUMIF(MANUALES!$B$16:$B$69,$A109,MANUALES!P$16:P$69)+SUMIF(RODANTES!$B$16:$B$68,$A109,RODANTES!P$16:P$68)+SUMIF(RECARGAS!$B$16:$B$37,$A109,RECARGAS!Z$16:Z$37)+SUMIF(REVENDIDOS!$B$16:$B$25,$A109,REVENDIDOS!Q$16:Q$25)</f>
        <v>155.19635168342</v>
      </c>
      <c r="K109" s="13" t="n">
        <f aca="false">SUMIF(MANUALES!$B$16:$B$69,$A109,MANUALES!Q$16:Q$69)+SUMIF(RODANTES!$B$16:$B$68,$A109,RODANTES!Q$16:Q$68)+SUMIF(RECARGAS!$B$16:$B$37,$A109,RECARGAS!AA$16:AA$37)+SUMIF(REVENDIDOS!$B$16:$B$25,$A109,REVENDIDOS!R$16:R$25)</f>
        <v>314.211191279057</v>
      </c>
      <c r="L109" s="13" t="n">
        <f aca="false">SUMIF(MANUALES!$B$16:$B$69,$A109,MANUALES!R$16:R$69)+SUMIF(RODANTES!$B$16:$B$68,$A109,RODANTES!R$16:R$68)+SUMIF(RECARGAS!$B$16:$B$37,$A109,RECARGAS!AB$16:AB$37)+SUMIF(REVENDIDOS!$B$16:$B$25,$A109,REVENDIDOS!S$16:S$25)</f>
        <v>516.644025877455</v>
      </c>
      <c r="M109" s="13" t="n">
        <f aca="false">SUMIF(MANUALES!$B$16:$B$69,$A109,MANUALES!S$16:S$69)+SUMIF(RODANTES!$B$16:$B$68,$A109,RODANTES!S$16:S$68)+SUMIF(RECARGAS!$B$16:$B$37,$A109,RECARGAS!AC$16:AC$37)+SUMIF(REVENDIDOS!$B$16:$B$25,$A109,REVENDIDOS!T$16:T$25)</f>
        <v>716.192144967888</v>
      </c>
      <c r="N109" s="13" t="n">
        <f aca="false">SUMIF(MANUALES!$B$16:$B$69,$A109,MANUALES!T$16:T$69)+SUMIF(RODANTES!$B$16:$B$68,$A109,RODANTES!T$16:T$68)+SUMIF(RECARGAS!$B$16:$B$37,$A109,RECARGAS!AD$16:AD$37)+SUMIF(REVENDIDOS!$B$16:$B$25,$A109,REVENDIDOS!U$16:U$25)</f>
        <v>959.581306959706</v>
      </c>
      <c r="O109" s="13" t="n">
        <f aca="false">SUMIF(MANUALES!$B$16:$B$69,$A109,MANUALES!U$16:U$69)+SUMIF(RODANTES!$B$16:$B$68,$A109,RODANTES!U$16:U$68)+SUMIF(RECARGAS!$B$16:$B$37,$A109,RECARGAS!AE$16:AE$37)+SUMIF(REVENDIDOS!$B$16:$B$25,$A109,REVENDIDOS!V$16:V$25)</f>
        <v>1198.54603152316</v>
      </c>
      <c r="P109" s="13" t="n">
        <f aca="false">SUMIF(MANUALES!$B$16:$B$69,$A109,MANUALES!V$16:V$69)+SUMIF(RODANTES!$B$16:$B$68,$A109,RODANTES!V$16:V$68)+SUMIF(RECARGAS!$B$16:$B$37,$A109,RECARGAS!AF$16:AF$37)+SUMIF(REVENDIDOS!$B$16:$B$25,$A109,REVENDIDOS!W$16:W$25)</f>
        <v>1342.48649349158</v>
      </c>
      <c r="Q109" s="13" t="n">
        <f aca="false">SUMIF(MANUALES!$B$16:$B$69,$A109,MANUALES!W$16:W$69)+SUMIF(RODANTES!$B$16:$B$68,$A109,RODANTES!W$16:W$68)+SUMIF(RECARGAS!$B$16:$B$37,$A109,RECARGAS!AG$16:AG$37)+SUMIF(REVENDIDOS!$B$16:$B$25,$A109,REVENDIDOS!X$16:X$25)</f>
        <v>1548.25144727564</v>
      </c>
      <c r="R109" s="13" t="n">
        <f aca="false">SUMIF(MANUALES!$B$16:$B$69,$A109,MANUALES!X$16:X$69)+SUMIF(RODANTES!$B$16:$B$68,$A109,RODANTES!X$16:X$68)+SUMIF(RECARGAS!$B$16:$B$37,$A109,RECARGAS!AH$16:AH$37)+SUMIF(REVENDIDOS!$B$16:$B$25,$A109,REVENDIDOS!Y$16:Y$25)</f>
        <v>172.674841845237</v>
      </c>
    </row>
    <row r="110" customFormat="false" ht="15" hidden="false" customHeight="false" outlineLevel="0" collapsed="false">
      <c r="A110" s="3" t="s">
        <v>406</v>
      </c>
      <c r="B110" s="3" t="s">
        <v>407</v>
      </c>
      <c r="C110" s="3" t="s">
        <v>214</v>
      </c>
      <c r="D110" s="13" t="n">
        <f aca="false">SUMIF(MANUALES!$B$16:$B$69,$A110,MANUALES!W$16:W$69)</f>
        <v>0</v>
      </c>
      <c r="E110" s="13" t="n">
        <f aca="false">SUMIF(RODANTES!$B$16:$B$68,$A110,RODANTES!W$16:W$68)</f>
        <v>775.2705332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SUMIF(MANUALES!$B$16:$B$69,$A110,MANUALES!N$16:N$69)+SUMIF(RODANTES!$B$16:$B$68,$A110,RODANTES!N$16:N$68)+SUMIF(RECARGAS!$B$16:$B$37,$A110,RECARGAS!X$16:X$37)+SUMIF(REVENDIDOS!$B$16:$B$25,$A110,REVENDIDOS!O$16:O$25)</f>
        <v>34.05179136</v>
      </c>
      <c r="I110" s="13" t="n">
        <f aca="false">SUMIF(MANUALES!$B$16:$B$69,$A110,MANUALES!O$16:O$69)+SUMIF(RODANTES!$B$16:$B$68,$A110,RODANTES!O$16:O$68)+SUMIF(RECARGAS!$B$16:$B$37,$A110,RECARGAS!Y$16:Y$37)+SUMIF(REVENDIDOS!$B$16:$B$25,$A110,REVENDIDOS!P$16:P$25)</f>
        <v>58.46214745</v>
      </c>
      <c r="J110" s="13" t="n">
        <f aca="false">SUMIF(MANUALES!$B$16:$B$69,$A110,MANUALES!P$16:P$69)+SUMIF(RODANTES!$B$16:$B$68,$A110,RODANTES!P$16:P$68)+SUMIF(RECARGAS!$B$16:$B$37,$A110,RECARGAS!Z$16:Z$37)+SUMIF(REVENDIDOS!$B$16:$B$25,$A110,REVENDIDOS!Q$16:Q$25)</f>
        <v>89.60853998</v>
      </c>
      <c r="K110" s="13" t="n">
        <f aca="false">SUMIF(MANUALES!$B$16:$B$69,$A110,MANUALES!Q$16:Q$69)+SUMIF(RODANTES!$B$16:$B$68,$A110,RODANTES!Q$16:Q$68)+SUMIF(RECARGAS!$B$16:$B$37,$A110,RECARGAS!AA$16:AA$37)+SUMIF(REVENDIDOS!$B$16:$B$25,$A110,REVENDIDOS!R$16:R$25)</f>
        <v>150.7298529</v>
      </c>
      <c r="L110" s="13" t="n">
        <f aca="false">SUMIF(MANUALES!$B$16:$B$69,$A110,MANUALES!R$16:R$69)+SUMIF(RODANTES!$B$16:$B$68,$A110,RODANTES!R$16:R$68)+SUMIF(RECARGAS!$B$16:$B$37,$A110,RECARGAS!AB$16:AB$37)+SUMIF(REVENDIDOS!$B$16:$B$25,$A110,REVENDIDOS!S$16:S$25)</f>
        <v>248.8760035</v>
      </c>
      <c r="M110" s="13" t="n">
        <f aca="false">SUMIF(MANUALES!$B$16:$B$69,$A110,MANUALES!S$16:S$69)+SUMIF(RODANTES!$B$16:$B$68,$A110,RODANTES!S$16:S$68)+SUMIF(RECARGAS!$B$16:$B$37,$A110,RECARGAS!AC$16:AC$37)+SUMIF(REVENDIDOS!$B$16:$B$25,$A110,REVENDIDOS!T$16:T$25)</f>
        <v>346.9344827</v>
      </c>
      <c r="N110" s="13" t="n">
        <f aca="false">SUMIF(MANUALES!$B$16:$B$69,$A110,MANUALES!T$16:T$69)+SUMIF(RODANTES!$B$16:$B$68,$A110,RODANTES!T$16:T$68)+SUMIF(RECARGAS!$B$16:$B$37,$A110,RECARGAS!AD$16:AD$37)+SUMIF(REVENDIDOS!$B$16:$B$25,$A110,REVENDIDOS!U$16:U$25)</f>
        <v>463.6682332</v>
      </c>
      <c r="O110" s="13" t="n">
        <f aca="false">SUMIF(MANUALES!$B$16:$B$69,$A110,MANUALES!U$16:U$69)+SUMIF(RODANTES!$B$16:$B$68,$A110,RODANTES!U$16:U$68)+SUMIF(RECARGAS!$B$16:$B$37,$A110,RECARGAS!AE$16:AE$37)+SUMIF(REVENDIDOS!$B$16:$B$25,$A110,REVENDIDOS!V$16:V$25)</f>
        <v>584.8486707</v>
      </c>
      <c r="P110" s="13" t="n">
        <f aca="false">SUMIF(MANUALES!$B$16:$B$69,$A110,MANUALES!V$16:V$69)+SUMIF(RODANTES!$B$16:$B$68,$A110,RODANTES!V$16:V$68)+SUMIF(RECARGAS!$B$16:$B$37,$A110,RECARGAS!AF$16:AF$37)+SUMIF(REVENDIDOS!$B$16:$B$25,$A110,REVENDIDOS!W$16:W$25)</f>
        <v>670.6274156</v>
      </c>
      <c r="Q110" s="13" t="n">
        <f aca="false">SUMIF(MANUALES!$B$16:$B$69,$A110,MANUALES!W$16:W$69)+SUMIF(RODANTES!$B$16:$B$68,$A110,RODANTES!W$16:W$68)+SUMIF(RECARGAS!$B$16:$B$37,$A110,RECARGAS!AG$16:AG$37)+SUMIF(REVENDIDOS!$B$16:$B$25,$A110,REVENDIDOS!X$16:X$25)</f>
        <v>775.2705332</v>
      </c>
      <c r="R110" s="13" t="n">
        <f aca="false">SUMIF(MANUALES!$B$16:$B$69,$A110,MANUALES!X$16:X$69)+SUMIF(RODANTES!$B$16:$B$68,$A110,RODANTES!X$16:X$68)+SUMIF(RECARGAS!$B$16:$B$37,$A110,RECARGAS!AH$16:AH$37)+SUMIF(REVENDIDOS!$B$16:$B$25,$A110,REVENDIDOS!Y$16:Y$25)</f>
        <v>69.774347988</v>
      </c>
    </row>
    <row r="111" customFormat="false" ht="15" hidden="false" customHeight="false" outlineLevel="0" collapsed="false">
      <c r="A111" s="3" t="s">
        <v>409</v>
      </c>
      <c r="B111" s="3" t="s">
        <v>410</v>
      </c>
      <c r="C111" s="3" t="s">
        <v>214</v>
      </c>
      <c r="D111" s="13" t="n">
        <f aca="false">SUMIF(MANUALES!$B$16:$B$69,$A111,MANUALES!W$16:W$69)</f>
        <v>0</v>
      </c>
      <c r="E111" s="13" t="n">
        <f aca="false">SUMIF(RODANTES!$B$16:$B$68,$A111,RODANTES!W$16:W$68)</f>
        <v>1706.2599828204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SUMIF(MANUALES!$B$16:$B$69,$A111,MANUALES!N$16:N$69)+SUMIF(RODANTES!$B$16:$B$68,$A111,RODANTES!N$16:N$68)+SUMIF(RECARGAS!$B$16:$B$37,$A111,RECARGAS!X$16:X$37)+SUMIF(REVENDIDOS!$B$16:$B$25,$A111,REVENDIDOS!O$16:O$25)</f>
        <v>75.2017274109201</v>
      </c>
      <c r="I111" s="13" t="n">
        <f aca="false">SUMIF(MANUALES!$B$16:$B$69,$A111,MANUALES!O$16:O$69)+SUMIF(RODANTES!$B$16:$B$68,$A111,RODANTES!O$16:O$68)+SUMIF(RECARGAS!$B$16:$B$37,$A111,RECARGAS!Y$16:Y$37)+SUMIF(REVENDIDOS!$B$16:$B$25,$A111,REVENDIDOS!P$16:P$25)</f>
        <v>129.206686542386</v>
      </c>
      <c r="J111" s="13" t="n">
        <f aca="false">SUMIF(MANUALES!$B$16:$B$69,$A111,MANUALES!P$16:P$69)+SUMIF(RODANTES!$B$16:$B$68,$A111,RODANTES!P$16:P$68)+SUMIF(RECARGAS!$B$16:$B$37,$A111,RECARGAS!Z$16:Z$37)+SUMIF(REVENDIDOS!$B$16:$B$25,$A111,REVENDIDOS!Q$16:Q$25)</f>
        <v>198.453101605318</v>
      </c>
      <c r="K111" s="13" t="n">
        <f aca="false">SUMIF(MANUALES!$B$16:$B$69,$A111,MANUALES!Q$16:Q$69)+SUMIF(RODANTES!$B$16:$B$68,$A111,RODANTES!Q$16:Q$68)+SUMIF(RECARGAS!$B$16:$B$37,$A111,RECARGAS!AA$16:AA$37)+SUMIF(REVENDIDOS!$B$16:$B$25,$A111,REVENDIDOS!R$16:R$25)</f>
        <v>333.505333798422</v>
      </c>
      <c r="L111" s="13" t="n">
        <f aca="false">SUMIF(MANUALES!$B$16:$B$69,$A111,MANUALES!R$16:R$69)+SUMIF(RODANTES!$B$16:$B$68,$A111,RODANTES!R$16:R$68)+SUMIF(RECARGAS!$B$16:$B$37,$A111,RECARGAS!AB$16:AB$37)+SUMIF(REVENDIDOS!$B$16:$B$25,$A111,REVENDIDOS!S$16:S$25)</f>
        <v>549.738811601152</v>
      </c>
      <c r="M111" s="13" t="n">
        <f aca="false">SUMIF(MANUALES!$B$16:$B$69,$A111,MANUALES!S$16:S$69)+SUMIF(RODANTES!$B$16:$B$68,$A111,RODANTES!S$16:S$68)+SUMIF(RECARGAS!$B$16:$B$37,$A111,RECARGAS!AC$16:AC$37)+SUMIF(REVENDIDOS!$B$16:$B$25,$A111,REVENDIDOS!T$16:T$25)</f>
        <v>765.827198914803</v>
      </c>
      <c r="N111" s="13" t="n">
        <f aca="false">SUMIF(MANUALES!$B$16:$B$69,$A111,MANUALES!T$16:T$69)+SUMIF(RODANTES!$B$16:$B$68,$A111,RODANTES!T$16:T$68)+SUMIF(RECARGAS!$B$16:$B$37,$A111,RECARGAS!AD$16:AD$37)+SUMIF(REVENDIDOS!$B$16:$B$25,$A111,REVENDIDOS!U$16:U$25)</f>
        <v>1022.43999932716</v>
      </c>
      <c r="O111" s="13" t="n">
        <f aca="false">SUMIF(MANUALES!$B$16:$B$69,$A111,MANUALES!U$16:U$69)+SUMIF(RODANTES!$B$16:$B$68,$A111,RODANTES!U$16:U$68)+SUMIF(RECARGAS!$B$16:$B$37,$A111,RECARGAS!AE$16:AE$37)+SUMIF(REVENDIDOS!$B$16:$B$25,$A111,REVENDIDOS!V$16:V$25)</f>
        <v>1288.53333580805</v>
      </c>
      <c r="P111" s="13" t="n">
        <f aca="false">SUMIF(MANUALES!$B$16:$B$69,$A111,MANUALES!V$16:V$69)+SUMIF(RODANTES!$B$16:$B$68,$A111,RODANTES!V$16:V$68)+SUMIF(RECARGAS!$B$16:$B$37,$A111,RECARGAS!AF$16:AF$37)+SUMIF(REVENDIDOS!$B$16:$B$25,$A111,REVENDIDOS!W$16:W$25)</f>
        <v>1476.88974246969</v>
      </c>
      <c r="Q111" s="13" t="n">
        <f aca="false">SUMIF(MANUALES!$B$16:$B$69,$A111,MANUALES!W$16:W$69)+SUMIF(RODANTES!$B$16:$B$68,$A111,RODANTES!W$16:W$68)+SUMIF(RECARGAS!$B$16:$B$37,$A111,RECARGAS!AG$16:AG$37)+SUMIF(REVENDIDOS!$B$16:$B$25,$A111,REVENDIDOS!X$16:X$25)</f>
        <v>1706.2599828204</v>
      </c>
      <c r="R111" s="13" t="n">
        <f aca="false">SUMIF(MANUALES!$B$16:$B$69,$A111,MANUALES!X$16:X$69)+SUMIF(RODANTES!$B$16:$B$68,$A111,RODANTES!X$16:X$68)+SUMIF(RECARGAS!$B$16:$B$37,$A111,RECARGAS!AH$16:AH$37)+SUMIF(REVENDIDOS!$B$16:$B$25,$A111,REVENDIDOS!Y$16:Y$25)</f>
        <v>153.563398453836</v>
      </c>
    </row>
    <row r="112" customFormat="false" ht="15" hidden="false" customHeight="false" outlineLevel="0" collapsed="false">
      <c r="A112" s="3" t="s">
        <v>412</v>
      </c>
      <c r="B112" s="3" t="s">
        <v>413</v>
      </c>
      <c r="C112" s="3" t="s">
        <v>214</v>
      </c>
      <c r="D112" s="13" t="n">
        <f aca="false">SUMIF(MANUALES!$B$16:$B$69,$A112,MANUALES!W$16:W$69)</f>
        <v>0</v>
      </c>
      <c r="E112" s="13" t="n">
        <f aca="false">SUMIF(RODANTES!$B$16:$B$68,$A112,RODANTES!W$16:W$68)</f>
        <v>372.569856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SUMIF(MANUALES!$B$16:$B$69,$A112,MANUALES!N$16:N$69)+SUMIF(RODANTES!$B$16:$B$68,$A112,RODANTES!N$16:N$68)+SUMIF(RECARGAS!$B$16:$B$37,$A112,RECARGAS!X$16:X$37)+SUMIF(REVENDIDOS!$B$16:$B$25,$A112,REVENDIDOS!O$16:O$25)</f>
        <v>16.34485985</v>
      </c>
      <c r="I112" s="13" t="n">
        <f aca="false">SUMIF(MANUALES!$B$16:$B$69,$A112,MANUALES!O$16:O$69)+SUMIF(RODANTES!$B$16:$B$68,$A112,RODANTES!O$16:O$68)+SUMIF(RECARGAS!$B$16:$B$37,$A112,RECARGAS!Y$16:Y$37)+SUMIF(REVENDIDOS!$B$16:$B$25,$A112,REVENDIDOS!P$16:P$25)</f>
        <v>28.06183078</v>
      </c>
      <c r="J112" s="13" t="n">
        <f aca="false">SUMIF(MANUALES!$B$16:$B$69,$A112,MANUALES!P$16:P$69)+SUMIF(RODANTES!$B$16:$B$68,$A112,RODANTES!P$16:P$68)+SUMIF(RECARGAS!$B$16:$B$37,$A112,RECARGAS!Z$16:Z$37)+SUMIF(REVENDIDOS!$B$16:$B$25,$A112,REVENDIDOS!Q$16:Q$25)</f>
        <v>43.10009919</v>
      </c>
      <c r="K112" s="13" t="n">
        <f aca="false">SUMIF(MANUALES!$B$16:$B$69,$A112,MANUALES!Q$16:Q$69)+SUMIF(RODANTES!$B$16:$B$68,$A112,RODANTES!Q$16:Q$68)+SUMIF(RECARGAS!$B$16:$B$37,$A112,RECARGAS!AA$16:AA$37)+SUMIF(REVENDIDOS!$B$16:$B$25,$A112,REVENDIDOS!R$16:R$25)</f>
        <v>72.65432941</v>
      </c>
      <c r="L112" s="13" t="n">
        <f aca="false">SUMIF(MANUALES!$B$16:$B$69,$A112,MANUALES!R$16:R$69)+SUMIF(RODANTES!$B$16:$B$68,$A112,RODANTES!R$16:R$68)+SUMIF(RECARGAS!$B$16:$B$37,$A112,RECARGAS!AB$16:AB$37)+SUMIF(REVENDIDOS!$B$16:$B$25,$A112,REVENDIDOS!S$16:S$25)</f>
        <v>120.02048167</v>
      </c>
      <c r="M112" s="13" t="n">
        <f aca="false">SUMIF(MANUALES!$B$16:$B$69,$A112,MANUALES!S$16:S$69)+SUMIF(RODANTES!$B$16:$B$68,$A112,RODANTES!S$16:S$68)+SUMIF(RECARGAS!$B$16:$B$37,$A112,RECARGAS!AC$16:AC$37)+SUMIF(REVENDIDOS!$B$16:$B$25,$A112,REVENDIDOS!T$16:T$25)</f>
        <v>167.1285517</v>
      </c>
      <c r="N112" s="13" t="n">
        <f aca="false">SUMIF(MANUALES!$B$16:$B$69,$A112,MANUALES!T$16:T$69)+SUMIF(RODANTES!$B$16:$B$68,$A112,RODANTES!T$16:T$68)+SUMIF(RECARGAS!$B$16:$B$37,$A112,RECARGAS!AD$16:AD$37)+SUMIF(REVENDIDOS!$B$16:$B$25,$A112,REVENDIDOS!U$16:U$25)</f>
        <v>223.0807519</v>
      </c>
      <c r="O112" s="13" t="n">
        <f aca="false">SUMIF(MANUALES!$B$16:$B$69,$A112,MANUALES!U$16:U$69)+SUMIF(RODANTES!$B$16:$B$68,$A112,RODANTES!U$16:U$68)+SUMIF(RECARGAS!$B$16:$B$37,$A112,RECARGAS!AE$16:AE$37)+SUMIF(REVENDIDOS!$B$16:$B$25,$A112,REVENDIDOS!V$16:V$25)</f>
        <v>281.1673619</v>
      </c>
      <c r="P112" s="13" t="n">
        <f aca="false">SUMIF(MANUALES!$B$16:$B$69,$A112,MANUALES!V$16:V$69)+SUMIF(RODANTES!$B$16:$B$68,$A112,RODANTES!V$16:V$68)+SUMIF(RECARGAS!$B$16:$B$37,$A112,RECARGAS!AF$16:AF$37)+SUMIF(REVENDIDOS!$B$16:$B$25,$A112,REVENDIDOS!W$16:W$25)</f>
        <v>322.3411595</v>
      </c>
      <c r="Q112" s="13" t="n">
        <f aca="false">SUMIF(MANUALES!$B$16:$B$69,$A112,MANUALES!W$16:W$69)+SUMIF(RODANTES!$B$16:$B$68,$A112,RODANTES!W$16:W$68)+SUMIF(RECARGAS!$B$16:$B$37,$A112,RECARGAS!AG$16:AG$37)+SUMIF(REVENDIDOS!$B$16:$B$25,$A112,REVENDIDOS!X$16:X$25)</f>
        <v>372.569856</v>
      </c>
      <c r="R112" s="13" t="n">
        <f aca="false">SUMIF(MANUALES!$B$16:$B$69,$A112,MANUALES!X$16:X$69)+SUMIF(RODANTES!$B$16:$B$68,$A112,RODANTES!X$16:X$68)+SUMIF(RECARGAS!$B$16:$B$37,$A112,RECARGAS!AH$16:AH$37)+SUMIF(REVENDIDOS!$B$16:$B$25,$A112,REVENDIDOS!Y$16:Y$25)</f>
        <v>33.53128704</v>
      </c>
    </row>
    <row r="113" customFormat="false" ht="15" hidden="false" customHeight="false" outlineLevel="0" collapsed="false">
      <c r="A113" s="3" t="s">
        <v>415</v>
      </c>
      <c r="B113" s="3" t="s">
        <v>416</v>
      </c>
      <c r="C113" s="3" t="s">
        <v>214</v>
      </c>
      <c r="D113" s="13" t="n">
        <f aca="false">SUMIF(MANUALES!$B$16:$B$69,$A113,MANUALES!W$16:W$69)</f>
        <v>0</v>
      </c>
      <c r="E113" s="13" t="n">
        <f aca="false">SUMIF(RODANTES!$B$16:$B$68,$A113,RODANTES!W$16:W$68)</f>
        <v>247.176074484914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SUMIF(MANUALES!$B$16:$B$69,$A113,MANUALES!N$16:N$69)+SUMIF(RODANTES!$B$16:$B$68,$A113,RODANTES!N$16:N$68)+SUMIF(RECARGAS!$B$16:$B$37,$A113,RECARGAS!X$16:X$37)+SUMIF(REVENDIDOS!$B$16:$B$25,$A113,REVENDIDOS!O$16:O$25)</f>
        <v>11.1843596509201</v>
      </c>
      <c r="I113" s="13" t="n">
        <f aca="false">SUMIF(MANUALES!$B$16:$B$69,$A113,MANUALES!O$16:O$69)+SUMIF(RODANTES!$B$16:$B$68,$A113,RODANTES!O$16:O$68)+SUMIF(RECARGAS!$B$16:$B$37,$A113,RECARGAS!Y$16:Y$37)+SUMIF(REVENDIDOS!$B$16:$B$25,$A113,REVENDIDOS!P$16:P$25)</f>
        <v>18.722276510546</v>
      </c>
      <c r="J113" s="13" t="n">
        <f aca="false">SUMIF(MANUALES!$B$16:$B$69,$A113,MANUALES!P$16:P$69)+SUMIF(RODANTES!$B$16:$B$68,$A113,RODANTES!P$16:P$68)+SUMIF(RECARGAS!$B$16:$B$37,$A113,RECARGAS!Z$16:Z$37)+SUMIF(REVENDIDOS!$B$16:$B$25,$A113,REVENDIDOS!Q$16:Q$25)</f>
        <v>28.9689085214661</v>
      </c>
      <c r="K113" s="13" t="n">
        <f aca="false">SUMIF(MANUALES!$B$16:$B$69,$A113,MANUALES!Q$16:Q$69)+SUMIF(RODANTES!$B$16:$B$68,$A113,RODANTES!Q$16:Q$68)+SUMIF(RECARGAS!$B$16:$B$37,$A113,RECARGAS!AA$16:AA$37)+SUMIF(REVENDIDOS!$B$16:$B$25,$A113,REVENDIDOS!R$16:R$25)</f>
        <v>48.4861179920121</v>
      </c>
      <c r="L113" s="13" t="n">
        <f aca="false">SUMIF(MANUALES!$B$16:$B$69,$A113,MANUALES!R$16:R$69)+SUMIF(RODANTES!$B$16:$B$68,$A113,RODANTES!R$16:R$68)+SUMIF(RECARGAS!$B$16:$B$37,$A113,RECARGAS!AB$16:AB$37)+SUMIF(REVENDIDOS!$B$16:$B$25,$A113,REVENDIDOS!S$16:S$25)</f>
        <v>80.0990619034781</v>
      </c>
      <c r="M113" s="13" t="n">
        <f aca="false">SUMIF(MANUALES!$B$16:$B$69,$A113,MANUALES!S$16:S$69)+SUMIF(RODANTES!$B$16:$B$68,$A113,RODANTES!S$16:S$68)+SUMIF(RECARGAS!$B$16:$B$37,$A113,RECARGAS!AC$16:AC$37)+SUMIF(REVENDIDOS!$B$16:$B$25,$A113,REVENDIDOS!T$16:T$25)</f>
        <v>110.97876748365</v>
      </c>
      <c r="N113" s="13" t="n">
        <f aca="false">SUMIF(MANUALES!$B$16:$B$69,$A113,MANUALES!T$16:T$69)+SUMIF(RODANTES!$B$16:$B$68,$A113,RODANTES!T$16:T$68)+SUMIF(RECARGAS!$B$16:$B$37,$A113,RECARGAS!AD$16:AD$37)+SUMIF(REVENDIDOS!$B$16:$B$25,$A113,REVENDIDOS!U$16:U$25)</f>
        <v>148.027956944196</v>
      </c>
      <c r="O113" s="13" t="n">
        <f aca="false">SUMIF(MANUALES!$B$16:$B$69,$A113,MANUALES!U$16:U$69)+SUMIF(RODANTES!$B$16:$B$68,$A113,RODANTES!U$16:U$68)+SUMIF(RECARGAS!$B$16:$B$37,$A113,RECARGAS!AE$16:AE$37)+SUMIF(REVENDIDOS!$B$16:$B$25,$A113,REVENDIDOS!V$16:V$25)</f>
        <v>186.500086254742</v>
      </c>
      <c r="P113" s="13" t="n">
        <f aca="false">SUMIF(MANUALES!$B$16:$B$69,$A113,MANUALES!V$16:V$69)+SUMIF(RODANTES!$B$16:$B$68,$A113,RODANTES!V$16:V$68)+SUMIF(RECARGAS!$B$16:$B$37,$A113,RECARGAS!AF$16:AF$37)+SUMIF(REVENDIDOS!$B$16:$B$25,$A113,REVENDIDOS!W$16:W$25)</f>
        <v>213.963673975288</v>
      </c>
      <c r="Q113" s="13" t="n">
        <f aca="false">SUMIF(MANUALES!$B$16:$B$69,$A113,MANUALES!W$16:W$69)+SUMIF(RODANTES!$B$16:$B$68,$A113,RODANTES!W$16:W$68)+SUMIF(RECARGAS!$B$16:$B$37,$A113,RECARGAS!AG$16:AG$37)+SUMIF(REVENDIDOS!$B$16:$B$25,$A113,REVENDIDOS!X$16:X$25)</f>
        <v>247.176074484914</v>
      </c>
      <c r="R113" s="13" t="n">
        <f aca="false">SUMIF(MANUALES!$B$16:$B$69,$A113,MANUALES!X$16:X$69)+SUMIF(RODANTES!$B$16:$B$68,$A113,RODANTES!X$16:X$68)+SUMIF(RECARGAS!$B$16:$B$37,$A113,RECARGAS!AH$16:AH$37)+SUMIF(REVENDIDOS!$B$16:$B$25,$A113,REVENDIDOS!Y$16:Y$25)</f>
        <v>22.2458467036423</v>
      </c>
    </row>
    <row r="114" customFormat="false" ht="15" hidden="false" customHeight="false" outlineLevel="0" collapsed="false">
      <c r="A114" s="3" t="s">
        <v>554</v>
      </c>
      <c r="B114" s="3" t="s">
        <v>555</v>
      </c>
      <c r="C114" s="3" t="s">
        <v>214</v>
      </c>
      <c r="D114" s="13" t="n">
        <f aca="false">SUMIF(MANUALES!$B$16:$B$69,$A114,MANUALES!W$16:W$69)</f>
        <v>0</v>
      </c>
      <c r="E114" s="13" t="n">
        <f aca="false">SUMIF(RODANTES!$B$16:$B$68,$A114,RODANTES!W$16:W$68)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2908.13500312285</v>
      </c>
      <c r="H114" s="13" t="n">
        <f aca="false">SUMIF(MANUALES!$B$16:$B$69,$A114,MANUALES!N$16:N$69)+SUMIF(RODANTES!$B$16:$B$68,$A114,RODANTES!N$16:N$68)+SUMIF(RECARGAS!$B$16:$B$37,$A114,RECARGAS!X$16:X$37)+SUMIF(REVENDIDOS!$B$16:$B$25,$A114,REVENDIDOS!O$16:O$25)</f>
        <v>176.18353212184</v>
      </c>
      <c r="I114" s="13" t="n">
        <f aca="false">SUMIF(MANUALES!$B$16:$B$69,$A114,MANUALES!O$16:O$69)+SUMIF(RODANTES!$B$16:$B$68,$A114,RODANTES!O$16:O$68)+SUMIF(RECARGAS!$B$16:$B$37,$A114,RECARGAS!Y$16:Y$37)+SUMIF(REVENDIDOS!$B$16:$B$25,$A114,REVENDIDOS!P$16:P$25)</f>
        <v>321.858322195692</v>
      </c>
      <c r="J114" s="13" t="n">
        <f aca="false">SUMIF(MANUALES!$B$16:$B$69,$A114,MANUALES!P$16:P$69)+SUMIF(RODANTES!$B$16:$B$68,$A114,RODANTES!P$16:P$68)+SUMIF(RECARGAS!$B$16:$B$37,$A114,RECARGAS!Z$16:Z$37)+SUMIF(REVENDIDOS!$B$16:$B$25,$A114,REVENDIDOS!Q$16:Q$25)</f>
        <v>439.279583642103</v>
      </c>
      <c r="K114" s="13" t="n">
        <f aca="false">SUMIF(MANUALES!$B$16:$B$69,$A114,MANUALES!Q$16:Q$69)+SUMIF(RODANTES!$B$16:$B$68,$A114,RODANTES!Q$16:Q$68)+SUMIF(RECARGAS!$B$16:$B$37,$A114,RECARGAS!AA$16:AA$37)+SUMIF(REVENDIDOS!$B$16:$B$25,$A114,REVENDIDOS!R$16:R$25)</f>
        <v>606.545814581617</v>
      </c>
      <c r="L114" s="13" t="n">
        <f aca="false">SUMIF(MANUALES!$B$16:$B$69,$A114,MANUALES!R$16:R$69)+SUMIF(RODANTES!$B$16:$B$68,$A114,RODANTES!R$16:R$68)+SUMIF(RECARGAS!$B$16:$B$37,$A114,RECARGAS!AB$16:AB$37)+SUMIF(REVENDIDOS!$B$16:$B$25,$A114,REVENDIDOS!S$16:S$25)</f>
        <v>979.220064769261</v>
      </c>
      <c r="M114" s="13" t="n">
        <f aca="false">SUMIF(MANUALES!$B$16:$B$69,$A114,MANUALES!S$16:S$69)+SUMIF(RODANTES!$B$16:$B$68,$A114,RODANTES!S$16:S$68)+SUMIF(RECARGAS!$B$16:$B$37,$A114,RECARGAS!AC$16:AC$37)+SUMIF(REVENDIDOS!$B$16:$B$25,$A114,REVENDIDOS!T$16:T$25)</f>
        <v>1374.74346785691</v>
      </c>
      <c r="N114" s="13" t="n">
        <f aca="false">SUMIF(MANUALES!$B$16:$B$69,$A114,MANUALES!T$16:T$69)+SUMIF(RODANTES!$B$16:$B$68,$A114,RODANTES!T$16:T$68)+SUMIF(RECARGAS!$B$16:$B$37,$A114,RECARGAS!AD$16:AD$37)+SUMIF(REVENDIDOS!$B$16:$B$25,$A114,REVENDIDOS!U$16:U$25)</f>
        <v>1771.75917393363</v>
      </c>
      <c r="O114" s="13" t="n">
        <f aca="false">SUMIF(MANUALES!$B$16:$B$69,$A114,MANUALES!U$16:U$69)+SUMIF(RODANTES!$B$16:$B$68,$A114,RODANTES!U$16:U$68)+SUMIF(RECARGAS!$B$16:$B$37,$A114,RECARGAS!AE$16:AE$37)+SUMIF(REVENDIDOS!$B$16:$B$25,$A114,REVENDIDOS!V$16:V$25)</f>
        <v>2191.79065104613</v>
      </c>
      <c r="P114" s="13" t="n">
        <f aca="false">SUMIF(MANUALES!$B$16:$B$69,$A114,MANUALES!V$16:V$69)+SUMIF(RODANTES!$B$16:$B$68,$A114,RODANTES!V$16:V$68)+SUMIF(RECARGAS!$B$16:$B$37,$A114,RECARGAS!AF$16:AF$37)+SUMIF(REVENDIDOS!$B$16:$B$25,$A114,REVENDIDOS!W$16:W$25)</f>
        <v>2539.20672878865</v>
      </c>
      <c r="Q114" s="13" t="n">
        <f aca="false">SUMIF(MANUALES!$B$16:$B$69,$A114,MANUALES!W$16:W$69)+SUMIF(RODANTES!$B$16:$B$68,$A114,RODANTES!W$16:W$68)+SUMIF(RECARGAS!$B$16:$B$37,$A114,RECARGAS!AG$16:AG$37)+SUMIF(REVENDIDOS!$B$16:$B$25,$A114,REVENDIDOS!X$16:X$25)</f>
        <v>2908.13500312285</v>
      </c>
      <c r="R114" s="13" t="n">
        <f aca="false">SUMIF(MANUALES!$B$16:$B$69,$A114,MANUALES!X$16:X$69)+SUMIF(RODANTES!$B$16:$B$68,$A114,RODANTES!X$16:X$68)+SUMIF(RECARGAS!$B$16:$B$37,$A114,RECARGAS!AH$16:AH$37)+SUMIF(REVENDIDOS!$B$16:$B$25,$A114,REVENDIDOS!Y$16:Y$25)</f>
        <v>319.894850343514</v>
      </c>
    </row>
    <row r="115" customFormat="false" ht="15" hidden="false" customHeight="false" outlineLevel="0" collapsed="false">
      <c r="A115" s="3" t="s">
        <v>557</v>
      </c>
      <c r="B115" s="3" t="s">
        <v>558</v>
      </c>
      <c r="C115" s="3" t="s">
        <v>214</v>
      </c>
      <c r="D115" s="13" t="n">
        <f aca="false">SUMIF(MANUALES!$B$16:$B$69,$A115,MANUALES!W$16:W$69)</f>
        <v>0</v>
      </c>
      <c r="E115" s="13" t="n">
        <f aca="false">SUMIF(RODANTES!$B$16:$B$68,$A115,RODANTES!W$16:W$68)</f>
        <v>0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971.509933050576</v>
      </c>
      <c r="H115" s="13" t="n">
        <f aca="false">SUMIF(MANUALES!$B$16:$B$69,$A115,MANUALES!N$16:N$69)+SUMIF(RODANTES!$B$16:$B$68,$A115,RODANTES!N$16:N$68)+SUMIF(RECARGAS!$B$16:$B$37,$A115,RECARGAS!X$16:X$37)+SUMIF(REVENDIDOS!$B$16:$B$25,$A115,REVENDIDOS!O$16:O$25)</f>
        <v>99.7895717409201</v>
      </c>
      <c r="I115" s="13" t="n">
        <f aca="false">SUMIF(MANUALES!$B$16:$B$69,$A115,MANUALES!O$16:O$69)+SUMIF(RODANTES!$B$16:$B$68,$A115,RODANTES!O$16:O$68)+SUMIF(RECARGAS!$B$16:$B$37,$A115,RECARGAS!Y$16:Y$37)+SUMIF(REVENDIDOS!$B$16:$B$25,$A115,REVENDIDOS!P$16:P$25)</f>
        <v>160.189018131466</v>
      </c>
      <c r="J115" s="13" t="n">
        <f aca="false">SUMIF(MANUALES!$B$16:$B$69,$A115,MANUALES!P$16:P$69)+SUMIF(RODANTES!$B$16:$B$68,$A115,RODANTES!P$16:P$68)+SUMIF(RECARGAS!$B$16:$B$37,$A115,RECARGAS!Z$16:Z$37)+SUMIF(REVENDIDOS!$B$16:$B$25,$A115,REVENDIDOS!Q$16:Q$25)</f>
        <v>194.019501262932</v>
      </c>
      <c r="K115" s="13" t="n">
        <f aca="false">SUMIF(MANUALES!$B$16:$B$69,$A115,MANUALES!Q$16:Q$69)+SUMIF(RODANTES!$B$16:$B$68,$A115,RODANTES!Q$16:Q$68)+SUMIF(RECARGAS!$B$16:$B$37,$A115,RECARGAS!AA$16:AA$37)+SUMIF(REVENDIDOS!$B$16:$B$25,$A115,REVENDIDOS!R$16:R$25)</f>
        <v>248.515363004024</v>
      </c>
      <c r="L115" s="13" t="n">
        <f aca="false">SUMIF(MANUALES!$B$16:$B$69,$A115,MANUALES!R$16:R$69)+SUMIF(RODANTES!$B$16:$B$68,$A115,RODANTES!R$16:R$68)+SUMIF(RECARGAS!$B$16:$B$37,$A115,RECARGAS!AB$16:AB$37)+SUMIF(REVENDIDOS!$B$16:$B$25,$A115,REVENDIDOS!S$16:S$25)</f>
        <v>361.217338356036</v>
      </c>
      <c r="M115" s="13" t="n">
        <f aca="false">SUMIF(MANUALES!$B$16:$B$69,$A115,MANUALES!S$16:S$69)+SUMIF(RODANTES!$B$16:$B$68,$A115,RODANTES!S$16:S$68)+SUMIF(RECARGAS!$B$16:$B$37,$A115,RECARGAS!AC$16:AC$37)+SUMIF(REVENDIDOS!$B$16:$B$25,$A115,REVENDIDOS!T$16:T$25)</f>
        <v>448.574690006754</v>
      </c>
      <c r="N115" s="13" t="n">
        <f aca="false">SUMIF(MANUALES!$B$16:$B$69,$A115,MANUALES!T$16:T$69)+SUMIF(RODANTES!$B$16:$B$68,$A115,RODANTES!T$16:T$68)+SUMIF(RECARGAS!$B$16:$B$37,$A115,RECARGAS!AD$16:AD$37)+SUMIF(REVENDIDOS!$B$16:$B$25,$A115,REVENDIDOS!U$16:U$25)</f>
        <v>574.679834647846</v>
      </c>
      <c r="O115" s="13" t="n">
        <f aca="false">SUMIF(MANUALES!$B$16:$B$69,$A115,MANUALES!U$16:U$69)+SUMIF(RODANTES!$B$16:$B$68,$A115,RODANTES!U$16:U$68)+SUMIF(RECARGAS!$B$16:$B$37,$A115,RECARGAS!AE$16:AE$37)+SUMIF(REVENDIDOS!$B$16:$B$25,$A115,REVENDIDOS!V$16:V$25)</f>
        <v>712.493978988938</v>
      </c>
      <c r="P115" s="13" t="n">
        <f aca="false">SUMIF(MANUALES!$B$16:$B$69,$A115,MANUALES!V$16:V$69)+SUMIF(RODANTES!$B$16:$B$68,$A115,RODANTES!V$16:V$68)+SUMIF(RECARGAS!$B$16:$B$37,$A115,RECARGAS!AF$16:AF$37)+SUMIF(REVENDIDOS!$B$16:$B$25,$A115,REVENDIDOS!W$16:W$25)</f>
        <v>836.54818721911</v>
      </c>
      <c r="Q115" s="13" t="n">
        <f aca="false">SUMIF(MANUALES!$B$16:$B$69,$A115,MANUALES!W$16:W$69)+SUMIF(RODANTES!$B$16:$B$68,$A115,RODANTES!W$16:W$68)+SUMIF(RECARGAS!$B$16:$B$37,$A115,RECARGAS!AG$16:AG$37)+SUMIF(REVENDIDOS!$B$16:$B$25,$A115,REVENDIDOS!X$16:X$25)</f>
        <v>971.509933050576</v>
      </c>
      <c r="R115" s="13" t="n">
        <f aca="false">SUMIF(MANUALES!$B$16:$B$69,$A115,MANUALES!X$16:X$69)+SUMIF(RODANTES!$B$16:$B$68,$A115,RODANTES!X$16:X$68)+SUMIF(RECARGAS!$B$16:$B$37,$A115,RECARGAS!AH$16:AH$37)+SUMIF(REVENDIDOS!$B$16:$B$25,$A115,REVENDIDOS!Y$16:Y$25)</f>
        <v>106.866092635563</v>
      </c>
    </row>
    <row r="116" customFormat="false" ht="15" hidden="false" customHeight="false" outlineLevel="0" collapsed="false">
      <c r="A116" s="3" t="s">
        <v>560</v>
      </c>
      <c r="B116" s="3" t="s">
        <v>561</v>
      </c>
      <c r="C116" s="3" t="s">
        <v>214</v>
      </c>
      <c r="D116" s="13" t="n">
        <f aca="false">SUMIF(MANUALES!$B$16:$B$69,$A116,MANUALES!W$16:W$69)</f>
        <v>0</v>
      </c>
      <c r="E116" s="13" t="n">
        <f aca="false">SUMIF(RODANTES!$B$16:$B$68,$A116,RODANTES!W$16:W$68)</f>
        <v>0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416.433346495834</v>
      </c>
      <c r="H116" s="13" t="n">
        <f aca="false">SUMIF(MANUALES!$B$16:$B$69,$A116,MANUALES!N$16:N$69)+SUMIF(RODANTES!$B$16:$B$68,$A116,RODANTES!N$16:N$68)+SUMIF(RECARGAS!$B$16:$B$37,$A116,RECARGAS!X$16:X$37)+SUMIF(REVENDIDOS!$B$16:$B$25,$A116,REVENDIDOS!O$16:O$25)</f>
        <v>42.9314087009201</v>
      </c>
      <c r="I116" s="13" t="n">
        <f aca="false">SUMIF(MANUALES!$B$16:$B$69,$A116,MANUALES!O$16:O$69)+SUMIF(RODANTES!$B$16:$B$68,$A116,RODANTES!O$16:O$68)+SUMIF(RECARGAS!$B$16:$B$37,$A116,RECARGAS!Y$16:Y$37)+SUMIF(REVENDIDOS!$B$16:$B$25,$A116,REVENDIDOS!P$16:P$25)</f>
        <v>68.537321790546</v>
      </c>
      <c r="J116" s="13" t="n">
        <f aca="false">SUMIF(MANUALES!$B$16:$B$69,$A116,MANUALES!P$16:P$69)+SUMIF(RODANTES!$B$16:$B$68,$A116,RODANTES!P$16:P$68)+SUMIF(RECARGAS!$B$16:$B$37,$A116,RECARGAS!Z$16:Z$37)+SUMIF(REVENDIDOS!$B$16:$B$25,$A116,REVENDIDOS!Q$16:Q$25)</f>
        <v>83.1943828014661</v>
      </c>
      <c r="K116" s="13" t="n">
        <f aca="false">SUMIF(MANUALES!$B$16:$B$69,$A116,MANUALES!Q$16:Q$69)+SUMIF(RODANTES!$B$16:$B$68,$A116,RODANTES!Q$16:Q$68)+SUMIF(RECARGAS!$B$16:$B$37,$A116,RECARGAS!AA$16:AA$37)+SUMIF(REVENDIDOS!$B$16:$B$25,$A116,REVENDIDOS!R$16:R$25)</f>
        <v>106.839594162932</v>
      </c>
      <c r="L116" s="13" t="n">
        <f aca="false">SUMIF(MANUALES!$B$16:$B$69,$A116,MANUALES!R$16:R$69)+SUMIF(RODANTES!$B$16:$B$68,$A116,RODANTES!R$16:R$68)+SUMIF(RECARGAS!$B$16:$B$37,$A116,RECARGAS!AB$16:AB$37)+SUMIF(REVENDIDOS!$B$16:$B$25,$A116,REVENDIDOS!S$16:S$25)</f>
        <v>154.745762193104</v>
      </c>
      <c r="M116" s="13" t="n">
        <f aca="false">SUMIF(MANUALES!$B$16:$B$69,$A116,MANUALES!S$16:S$69)+SUMIF(RODANTES!$B$16:$B$68,$A116,RODANTES!S$16:S$68)+SUMIF(RECARGAS!$B$16:$B$37,$A116,RECARGAS!AC$16:AC$37)+SUMIF(REVENDIDOS!$B$16:$B$25,$A116,REVENDIDOS!T$16:T$25)</f>
        <v>192.30385301365</v>
      </c>
      <c r="N116" s="13" t="n">
        <f aca="false">SUMIF(MANUALES!$B$16:$B$69,$A116,MANUALES!T$16:T$69)+SUMIF(RODANTES!$B$16:$B$68,$A116,RODANTES!T$16:T$68)+SUMIF(RECARGAS!$B$16:$B$37,$A116,RECARGAS!AD$16:AD$37)+SUMIF(REVENDIDOS!$B$16:$B$25,$A116,REVENDIDOS!U$16:U$25)</f>
        <v>246.350970634196</v>
      </c>
      <c r="O116" s="13" t="n">
        <f aca="false">SUMIF(MANUALES!$B$16:$B$69,$A116,MANUALES!U$16:U$69)+SUMIF(RODANTES!$B$16:$B$68,$A116,RODANTES!U$16:U$68)+SUMIF(RECARGAS!$B$16:$B$37,$A116,RECARGAS!AE$16:AE$37)+SUMIF(REVENDIDOS!$B$16:$B$25,$A116,REVENDIDOS!V$16:V$25)</f>
        <v>305.416230954742</v>
      </c>
      <c r="P116" s="13" t="n">
        <f aca="false">SUMIF(MANUALES!$B$16:$B$69,$A116,MANUALES!V$16:V$69)+SUMIF(RODANTES!$B$16:$B$68,$A116,RODANTES!V$16:V$68)+SUMIF(RECARGAS!$B$16:$B$37,$A116,RECARGAS!AF$16:AF$37)+SUMIF(REVENDIDOS!$B$16:$B$25,$A116,REVENDIDOS!W$16:W$25)</f>
        <v>358.707712875288</v>
      </c>
      <c r="Q116" s="13" t="n">
        <f aca="false">SUMIF(MANUALES!$B$16:$B$69,$A116,MANUALES!W$16:W$69)+SUMIF(RODANTES!$B$16:$B$68,$A116,RODANTES!W$16:W$68)+SUMIF(RECARGAS!$B$16:$B$37,$A116,RECARGAS!AG$16:AG$37)+SUMIF(REVENDIDOS!$B$16:$B$25,$A116,REVENDIDOS!X$16:X$25)</f>
        <v>416.433346495834</v>
      </c>
      <c r="R116" s="13" t="n">
        <f aca="false">SUMIF(MANUALES!$B$16:$B$69,$A116,MANUALES!X$16:X$69)+SUMIF(RODANTES!$B$16:$B$68,$A116,RODANTES!X$16:X$68)+SUMIF(RECARGAS!$B$16:$B$37,$A116,RECARGAS!AH$16:AH$37)+SUMIF(REVENDIDOS!$B$16:$B$25,$A116,REVENDIDOS!Y$16:Y$25)</f>
        <v>33.3146677196667</v>
      </c>
    </row>
    <row r="117" customFormat="false" ht="15" hidden="false" customHeight="false" outlineLevel="0" collapsed="false">
      <c r="A117" s="3" t="s">
        <v>563</v>
      </c>
      <c r="B117" s="3" t="s">
        <v>564</v>
      </c>
      <c r="C117" s="3" t="s">
        <v>214</v>
      </c>
      <c r="D117" s="13" t="n">
        <f aca="false">SUMIF(MANUALES!$B$16:$B$69,$A117,MANUALES!W$16:W$69)</f>
        <v>0</v>
      </c>
      <c r="E117" s="13" t="n">
        <f aca="false">SUMIF(RODANTES!$B$16:$B$68,$A117,RODANTES!W$16:W$68)</f>
        <v>0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277.70377041365</v>
      </c>
      <c r="H117" s="13" t="n">
        <f aca="false">SUMIF(MANUALES!$B$16:$B$69,$A117,MANUALES!N$16:N$69)+SUMIF(RODANTES!$B$16:$B$68,$A117,RODANTES!N$16:N$68)+SUMIF(RECARGAS!$B$16:$B$37,$A117,RECARGAS!X$16:X$37)+SUMIF(REVENDIDOS!$B$16:$B$25,$A117,REVENDIDOS!O$16:O$25)</f>
        <v>28.7168679309201</v>
      </c>
      <c r="I117" s="13" t="n">
        <f aca="false">SUMIF(MANUALES!$B$16:$B$69,$A117,MANUALES!O$16:O$69)+SUMIF(RODANTES!$B$16:$B$68,$A117,RODANTES!O$16:O$68)+SUMIF(RECARGAS!$B$16:$B$37,$A117,RECARGAS!Y$16:Y$37)+SUMIF(REVENDIDOS!$B$16:$B$25,$A117,REVENDIDOS!P$16:P$25)</f>
        <v>45.696344300546</v>
      </c>
      <c r="J117" s="13" t="n">
        <f aca="false">SUMIF(MANUALES!$B$16:$B$69,$A117,MANUALES!P$16:P$69)+SUMIF(RODANTES!$B$16:$B$68,$A117,RODANTES!P$16:P$68)+SUMIF(RECARGAS!$B$16:$B$37,$A117,RECARGAS!Z$16:Z$37)+SUMIF(REVENDIDOS!$B$16:$B$25,$A117,REVENDIDOS!Q$16:Q$25)</f>
        <v>55.275860700546</v>
      </c>
      <c r="K117" s="13" t="n">
        <f aca="false">SUMIF(MANUALES!$B$16:$B$69,$A117,MANUALES!Q$16:Q$69)+SUMIF(RODANTES!$B$16:$B$68,$A117,RODANTES!Q$16:Q$68)+SUMIF(RECARGAS!$B$16:$B$37,$A117,RECARGAS!AA$16:AA$37)+SUMIF(REVENDIDOS!$B$16:$B$25,$A117,REVENDIDOS!R$16:R$25)</f>
        <v>71.1256708514661</v>
      </c>
      <c r="L117" s="13" t="n">
        <f aca="false">SUMIF(MANUALES!$B$16:$B$69,$A117,MANUALES!R$16:R$69)+SUMIF(RODANTES!$B$16:$B$68,$A117,RODANTES!R$16:R$68)+SUMIF(RECARGAS!$B$16:$B$37,$A117,RECARGAS!AB$16:AB$37)+SUMIF(REVENDIDOS!$B$16:$B$25,$A117,REVENDIDOS!S$16:S$25)</f>
        <v>103.250177352012</v>
      </c>
      <c r="M117" s="13" t="n">
        <f aca="false">SUMIF(MANUALES!$B$16:$B$69,$A117,MANUALES!S$16:S$69)+SUMIF(RODANTES!$B$16:$B$68,$A117,RODANTES!S$16:S$68)+SUMIF(RECARGAS!$B$16:$B$37,$A117,RECARGAS!AC$16:AC$37)+SUMIF(REVENDIDOS!$B$16:$B$25,$A117,REVENDIDOS!T$16:T$25)</f>
        <v>128.293701072558</v>
      </c>
      <c r="N117" s="13" t="n">
        <f aca="false">SUMIF(MANUALES!$B$16:$B$69,$A117,MANUALES!T$16:T$69)+SUMIF(RODANTES!$B$16:$B$68,$A117,RODANTES!T$16:T$68)+SUMIF(RECARGAS!$B$16:$B$37,$A117,RECARGAS!AD$16:AD$37)+SUMIF(REVENDIDOS!$B$16:$B$25,$A117,REVENDIDOS!U$16:U$25)</f>
        <v>164.042122782184</v>
      </c>
      <c r="O117" s="13" t="n">
        <f aca="false">SUMIF(MANUALES!$B$16:$B$69,$A117,MANUALES!U$16:U$69)+SUMIF(RODANTES!$B$16:$B$68,$A117,RODANTES!U$16:U$68)+SUMIF(RECARGAS!$B$16:$B$37,$A117,RECARGAS!AE$16:AE$37)+SUMIF(REVENDIDOS!$B$16:$B$25,$A117,REVENDIDOS!V$16:V$25)</f>
        <v>203.697156593104</v>
      </c>
      <c r="P117" s="13" t="n">
        <f aca="false">SUMIF(MANUALES!$B$16:$B$69,$A117,MANUALES!V$16:V$69)+SUMIF(RODANTES!$B$16:$B$68,$A117,RODANTES!V$16:V$68)+SUMIF(RECARGAS!$B$16:$B$37,$A117,RECARGAS!AF$16:AF$37)+SUMIF(REVENDIDOS!$B$16:$B$25,$A117,REVENDIDOS!W$16:W$25)</f>
        <v>238.94182120273</v>
      </c>
      <c r="Q117" s="13" t="n">
        <f aca="false">SUMIF(MANUALES!$B$16:$B$69,$A117,MANUALES!W$16:W$69)+SUMIF(RODANTES!$B$16:$B$68,$A117,RODANTES!W$16:W$68)+SUMIF(RECARGAS!$B$16:$B$37,$A117,RECARGAS!AG$16:AG$37)+SUMIF(REVENDIDOS!$B$16:$B$25,$A117,REVENDIDOS!X$16:X$25)</f>
        <v>277.70377041365</v>
      </c>
      <c r="R117" s="13" t="n">
        <f aca="false">SUMIF(MANUALES!$B$16:$B$69,$A117,MANUALES!X$16:X$69)+SUMIF(RODANTES!$B$16:$B$68,$A117,RODANTES!X$16:X$68)+SUMIF(RECARGAS!$B$16:$B$37,$A117,RECARGAS!AH$16:AH$37)+SUMIF(REVENDIDOS!$B$16:$B$25,$A117,REVENDIDOS!Y$16:Y$25)</f>
        <v>30.5474147455015</v>
      </c>
    </row>
    <row r="118" customFormat="false" ht="15" hidden="false" customHeight="false" outlineLevel="0" collapsed="false">
      <c r="A118" s="3" t="s">
        <v>566</v>
      </c>
      <c r="B118" s="3" t="s">
        <v>567</v>
      </c>
      <c r="C118" s="3" t="s">
        <v>214</v>
      </c>
      <c r="D118" s="13" t="n">
        <f aca="false">SUMIF(MANUALES!$B$16:$B$69,$A118,MANUALES!W$16:W$69)</f>
        <v>0</v>
      </c>
      <c r="E118" s="13" t="n">
        <f aca="false">SUMIF(RODANTES!$B$16:$B$68,$A118,RODANTES!W$16:W$68)</f>
        <v>0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1650.60330969569</v>
      </c>
      <c r="H118" s="13" t="n">
        <f aca="false">SUMIF(MANUALES!$B$16:$B$69,$A118,MANUALES!N$16:N$69)+SUMIF(RODANTES!$B$16:$B$68,$A118,RODANTES!N$16:N$68)+SUMIF(RECARGAS!$B$16:$B$37,$A118,RECARGAS!X$16:X$37)+SUMIF(REVENDIDOS!$B$16:$B$25,$A118,REVENDIDOS!O$16:O$25)</f>
        <v>100.89892011092</v>
      </c>
      <c r="I118" s="13" t="n">
        <f aca="false">SUMIF(MANUALES!$B$16:$B$69,$A118,MANUALES!O$16:O$69)+SUMIF(RODANTES!$B$16:$B$68,$A118,RODANTES!O$16:O$68)+SUMIF(RECARGAS!$B$16:$B$37,$A118,RECARGAS!Y$16:Y$37)+SUMIF(REVENDIDOS!$B$16:$B$25,$A118,REVENDIDOS!P$16:P$25)</f>
        <v>189.774975653306</v>
      </c>
      <c r="J118" s="13" t="n">
        <f aca="false">SUMIF(MANUALES!$B$16:$B$69,$A118,MANUALES!P$16:P$69)+SUMIF(RODANTES!$B$16:$B$68,$A118,RODANTES!P$16:P$68)+SUMIF(RECARGAS!$B$16:$B$37,$A118,RECARGAS!Z$16:Z$37)+SUMIF(REVENDIDOS!$B$16:$B$25,$A118,REVENDIDOS!Q$16:Q$25)</f>
        <v>250.485672536784</v>
      </c>
      <c r="K118" s="13" t="n">
        <f aca="false">SUMIF(MANUALES!$B$16:$B$69,$A118,MANUALES!Q$16:Q$69)+SUMIF(RODANTES!$B$16:$B$68,$A118,RODANTES!Q$16:Q$68)+SUMIF(RECARGAS!$B$16:$B$37,$A118,RECARGAS!AA$16:AA$37)+SUMIF(REVENDIDOS!$B$16:$B$25,$A118,REVENDIDOS!R$16:R$25)</f>
        <v>350.269968350434</v>
      </c>
      <c r="L118" s="13" t="n">
        <f aca="false">SUMIF(MANUALES!$B$16:$B$69,$A118,MANUALES!R$16:R$69)+SUMIF(RODANTES!$B$16:$B$68,$A118,RODANTES!R$16:R$68)+SUMIF(RECARGAS!$B$16:$B$37,$A118,RECARGAS!AB$16:AB$37)+SUMIF(REVENDIDOS!$B$16:$B$25,$A118,REVENDIDOS!S$16:S$25)</f>
        <v>548.407028784631</v>
      </c>
      <c r="M118" s="13" t="n">
        <f aca="false">SUMIF(MANUALES!$B$16:$B$69,$A118,MANUALES!S$16:S$69)+SUMIF(RODANTES!$B$16:$B$68,$A118,RODANTES!S$16:S$68)+SUMIF(RECARGAS!$B$16:$B$37,$A118,RECARGAS!AC$16:AC$37)+SUMIF(REVENDIDOS!$B$16:$B$25,$A118,REVENDIDOS!T$16:T$25)</f>
        <v>754.189149828453</v>
      </c>
      <c r="N118" s="13" t="n">
        <f aca="false">SUMIF(MANUALES!$B$16:$B$69,$A118,MANUALES!T$16:T$69)+SUMIF(RODANTES!$B$16:$B$68,$A118,RODANTES!T$16:T$68)+SUMIF(RECARGAS!$B$16:$B$37,$A118,RECARGAS!AD$16:AD$37)+SUMIF(REVENDIDOS!$B$16:$B$25,$A118,REVENDIDOS!U$16:U$25)</f>
        <v>962.191134061354</v>
      </c>
      <c r="O118" s="13" t="n">
        <f aca="false">SUMIF(MANUALES!$B$16:$B$69,$A118,MANUALES!U$16:U$69)+SUMIF(RODANTES!$B$16:$B$68,$A118,RODANTES!U$16:U$68)+SUMIF(RECARGAS!$B$16:$B$37,$A118,RECARGAS!AE$16:AE$37)+SUMIF(REVENDIDOS!$B$16:$B$25,$A118,REVENDIDOS!V$16:V$25)</f>
        <v>1193.07387486279</v>
      </c>
      <c r="P118" s="13" t="n">
        <f aca="false">SUMIF(MANUALES!$B$16:$B$69,$A118,MANUALES!V$16:V$69)+SUMIF(RODANTES!$B$16:$B$68,$A118,RODANTES!V$16:V$68)+SUMIF(RECARGAS!$B$16:$B$37,$A118,RECARGAS!AF$16:AF$37)+SUMIF(REVENDIDOS!$B$16:$B$25,$A118,REVENDIDOS!W$16:W$25)</f>
        <v>1411.35491673405</v>
      </c>
      <c r="Q118" s="13" t="n">
        <f aca="false">SUMIF(MANUALES!$B$16:$B$69,$A118,MANUALES!W$16:W$69)+SUMIF(RODANTES!$B$16:$B$68,$A118,RODANTES!W$16:W$68)+SUMIF(RECARGAS!$B$16:$B$37,$A118,RECARGAS!AG$16:AG$37)+SUMIF(REVENDIDOS!$B$16:$B$25,$A118,REVENDIDOS!X$16:X$25)</f>
        <v>1650.60330969569</v>
      </c>
      <c r="R118" s="13" t="n">
        <f aca="false">SUMIF(MANUALES!$B$16:$B$69,$A118,MANUALES!X$16:X$69)+SUMIF(RODANTES!$B$16:$B$68,$A118,RODANTES!X$16:X$68)+SUMIF(RECARGAS!$B$16:$B$37,$A118,RECARGAS!AH$16:AH$37)+SUMIF(REVENDIDOS!$B$16:$B$25,$A118,REVENDIDOS!Y$16:Y$25)</f>
        <v>181.566364066526</v>
      </c>
    </row>
    <row r="119" customFormat="false" ht="15" hidden="false" customHeight="false" outlineLevel="0" collapsed="false">
      <c r="A119" s="3" t="s">
        <v>569</v>
      </c>
      <c r="B119" s="3" t="s">
        <v>570</v>
      </c>
      <c r="C119" s="3" t="s">
        <v>214</v>
      </c>
      <c r="D119" s="13" t="n">
        <f aca="false">SUMIF(MANUALES!$B$16:$B$69,$A119,MANUALES!W$16:W$69)</f>
        <v>0</v>
      </c>
      <c r="E119" s="13" t="n">
        <f aca="false">SUMIF(RODANTES!$B$16:$B$68,$A119,RODANTES!W$16:W$68)</f>
        <v>0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7005.27737</v>
      </c>
      <c r="H119" s="13" t="n">
        <f aca="false">SUMIF(MANUALES!$B$16:$B$69,$A119,MANUALES!N$16:N$69)+SUMIF(RODANTES!$B$16:$B$68,$A119,RODANTES!N$16:N$68)+SUMIF(RECARGAS!$B$16:$B$37,$A119,RECARGAS!X$16:X$37)+SUMIF(REVENDIDOS!$B$16:$B$25,$A119,REVENDIDOS!O$16:O$25)</f>
        <v>421.9843726</v>
      </c>
      <c r="I119" s="13" t="n">
        <f aca="false">SUMIF(MANUALES!$B$16:$B$69,$A119,MANUALES!O$16:O$69)+SUMIF(RODANTES!$B$16:$B$68,$A119,RODANTES!O$16:O$68)+SUMIF(RECARGAS!$B$16:$B$37,$A119,RECARGAS!Y$16:Y$37)+SUMIF(REVENDIDOS!$B$16:$B$25,$A119,REVENDIDOS!P$16:P$25)</f>
        <v>772.3206222</v>
      </c>
      <c r="J119" s="13" t="n">
        <f aca="false">SUMIF(MANUALES!$B$16:$B$69,$A119,MANUALES!P$16:P$69)+SUMIF(RODANTES!$B$16:$B$68,$A119,RODANTES!P$16:P$68)+SUMIF(RECARGAS!$B$16:$B$37,$A119,RECARGAS!Z$16:Z$37)+SUMIF(REVENDIDOS!$B$16:$B$25,$A119,REVENDIDOS!Q$16:Q$25)</f>
        <v>1066.363722</v>
      </c>
      <c r="K119" s="13" t="n">
        <f aca="false">SUMIF(MANUALES!$B$16:$B$69,$A119,MANUALES!Q$16:Q$69)+SUMIF(RODANTES!$B$16:$B$68,$A119,RODANTES!Q$16:Q$68)+SUMIF(RECARGAS!$B$16:$B$37,$A119,RECARGAS!AA$16:AA$37)+SUMIF(REVENDIDOS!$B$16:$B$25,$A119,REVENDIDOS!R$16:R$25)</f>
        <v>1474.963344</v>
      </c>
      <c r="L119" s="13" t="n">
        <f aca="false">SUMIF(MANUALES!$B$16:$B$69,$A119,MANUALES!R$16:R$69)+SUMIF(RODANTES!$B$16:$B$68,$A119,RODANTES!R$16:R$68)+SUMIF(RECARGAS!$B$16:$B$37,$A119,RECARGAS!AB$16:AB$37)+SUMIF(REVENDIDOS!$B$16:$B$25,$A119,REVENDIDOS!S$16:S$25)</f>
        <v>2394.644883</v>
      </c>
      <c r="M119" s="13" t="n">
        <f aca="false">SUMIF(MANUALES!$B$16:$B$69,$A119,MANUALES!S$16:S$69)+SUMIF(RODANTES!$B$16:$B$68,$A119,RODANTES!S$16:S$68)+SUMIF(RECARGAS!$B$16:$B$37,$A119,RECARGAS!AC$16:AC$37)+SUMIF(REVENDIDOS!$B$16:$B$25,$A119,REVENDIDOS!T$16:T$25)</f>
        <v>3311.547454</v>
      </c>
      <c r="N119" s="13" t="n">
        <f aca="false">SUMIF(MANUALES!$B$16:$B$69,$A119,MANUALES!T$16:T$69)+SUMIF(RODANTES!$B$16:$B$68,$A119,RODANTES!T$16:T$68)+SUMIF(RECARGAS!$B$16:$B$37,$A119,RECARGAS!AD$16:AD$37)+SUMIF(REVENDIDOS!$B$16:$B$25,$A119,REVENDIDOS!U$16:U$25)</f>
        <v>4274.187843</v>
      </c>
      <c r="O119" s="13" t="n">
        <f aca="false">SUMIF(MANUALES!$B$16:$B$69,$A119,MANUALES!U$16:U$69)+SUMIF(RODANTES!$B$16:$B$68,$A119,RODANTES!U$16:U$68)+SUMIF(RECARGAS!$B$16:$B$37,$A119,RECARGAS!AE$16:AE$37)+SUMIF(REVENDIDOS!$B$16:$B$25,$A119,REVENDIDOS!V$16:V$25)</f>
        <v>5292.394724</v>
      </c>
      <c r="P119" s="13" t="n">
        <f aca="false">SUMIF(MANUALES!$B$16:$B$69,$A119,MANUALES!V$16:V$69)+SUMIF(RODANTES!$B$16:$B$68,$A119,RODANTES!V$16:V$68)+SUMIF(RECARGAS!$B$16:$B$37,$A119,RECARGAS!AF$16:AF$37)+SUMIF(REVENDIDOS!$B$16:$B$25,$A119,REVENDIDOS!W$16:W$25)</f>
        <v>6125.204809</v>
      </c>
      <c r="Q119" s="13" t="n">
        <f aca="false">SUMIF(MANUALES!$B$16:$B$69,$A119,MANUALES!W$16:W$69)+SUMIF(RODANTES!$B$16:$B$68,$A119,RODANTES!W$16:W$68)+SUMIF(RECARGAS!$B$16:$B$37,$A119,RECARGAS!AG$16:AG$37)+SUMIF(REVENDIDOS!$B$16:$B$25,$A119,REVENDIDOS!X$16:X$25)</f>
        <v>7005.27737</v>
      </c>
      <c r="R119" s="13" t="n">
        <f aca="false">SUMIF(MANUALES!$B$16:$B$69,$A119,MANUALES!X$16:X$69)+SUMIF(RODANTES!$B$16:$B$68,$A119,RODANTES!X$16:X$68)+SUMIF(RECARGAS!$B$16:$B$37,$A119,RECARGAS!AH$16:AH$37)+SUMIF(REVENDIDOS!$B$16:$B$25,$A119,REVENDIDOS!Y$16:Y$25)</f>
        <v>770.5805107</v>
      </c>
    </row>
    <row r="120" customFormat="false" ht="15" hidden="false" customHeight="false" outlineLevel="0" collapsed="false">
      <c r="A120" s="3" t="s">
        <v>572</v>
      </c>
      <c r="B120" s="3" t="s">
        <v>573</v>
      </c>
      <c r="C120" s="3" t="s">
        <v>214</v>
      </c>
      <c r="D120" s="13" t="n">
        <f aca="false">SUMIF(MANUALES!$B$16:$B$69,$A120,MANUALES!W$16:W$69)</f>
        <v>0</v>
      </c>
      <c r="E120" s="13" t="n">
        <f aca="false">SUMIF(RODANTES!$B$16:$B$68,$A120,RODANTES!W$16:W$68)</f>
        <v>0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3776.01776725347</v>
      </c>
      <c r="H120" s="13" t="n">
        <f aca="false">SUMIF(MANUALES!$B$16:$B$69,$A120,MANUALES!N$16:N$69)+SUMIF(RODANTES!$B$16:$B$68,$A120,RODANTES!N$16:N$68)+SUMIF(RECARGAS!$B$16:$B$37,$A120,RECARGAS!X$16:X$37)+SUMIF(REVENDIDOS!$B$16:$B$25,$A120,REVENDIDOS!O$16:O$25)</f>
        <v>286.05400997644</v>
      </c>
      <c r="I120" s="13" t="n">
        <f aca="false">SUMIF(MANUALES!$B$16:$B$69,$A120,MANUALES!O$16:O$69)+SUMIF(RODANTES!$B$16:$B$68,$A120,RODANTES!O$16:O$68)+SUMIF(RECARGAS!$B$16:$B$37,$A120,RECARGAS!Y$16:Y$37)+SUMIF(REVENDIDOS!$B$16:$B$25,$A120,REVENDIDOS!P$16:P$25)</f>
        <v>494.98806526907</v>
      </c>
      <c r="J120" s="13" t="n">
        <f aca="false">SUMIF(MANUALES!$B$16:$B$69,$A120,MANUALES!P$16:P$69)+SUMIF(RODANTES!$B$16:$B$68,$A120,RODANTES!P$16:P$68)+SUMIF(RECARGAS!$B$16:$B$37,$A120,RECARGAS!Z$16:Z$37)+SUMIF(REVENDIDOS!$B$16:$B$25,$A120,REVENDIDOS!Q$16:Q$25)</f>
        <v>634.889191439865</v>
      </c>
      <c r="K120" s="13" t="n">
        <f aca="false">SUMIF(MANUALES!$B$16:$B$69,$A120,MANUALES!Q$16:Q$69)+SUMIF(RODANTES!$B$16:$B$68,$A120,RODANTES!Q$16:Q$68)+SUMIF(RECARGAS!$B$16:$B$37,$A120,RECARGAS!AA$16:AA$37)+SUMIF(REVENDIDOS!$B$16:$B$25,$A120,REVENDIDOS!R$16:R$25)</f>
        <v>852.185361517076</v>
      </c>
      <c r="L120" s="13" t="n">
        <f aca="false">SUMIF(MANUALES!$B$16:$B$69,$A120,MANUALES!R$16:R$69)+SUMIF(RODANTES!$B$16:$B$68,$A120,RODANTES!R$16:R$68)+SUMIF(RECARGAS!$B$16:$B$37,$A120,RECARGAS!AB$16:AB$37)+SUMIF(REVENDIDOS!$B$16:$B$25,$A120,REVENDIDOS!S$16:S$25)</f>
        <v>1303.71490027196</v>
      </c>
      <c r="M120" s="13" t="n">
        <f aca="false">SUMIF(MANUALES!$B$16:$B$69,$A120,MANUALES!S$16:S$69)+SUMIF(RODANTES!$B$16:$B$68,$A120,RODANTES!S$16:S$68)+SUMIF(RECARGAS!$B$16:$B$37,$A120,RECARGAS!AC$16:AC$37)+SUMIF(REVENDIDOS!$B$16:$B$25,$A120,REVENDIDOS!T$16:T$25)</f>
        <v>1768.19709770463</v>
      </c>
      <c r="N120" s="13" t="n">
        <f aca="false">SUMIF(MANUALES!$B$16:$B$69,$A120,MANUALES!T$16:T$69)+SUMIF(RODANTES!$B$16:$B$68,$A120,RODANTES!T$16:T$68)+SUMIF(RECARGAS!$B$16:$B$37,$A120,RECARGAS!AD$16:AD$37)+SUMIF(REVENDIDOS!$B$16:$B$25,$A120,REVENDIDOS!U$16:U$25)</f>
        <v>2265.768348428</v>
      </c>
      <c r="O120" s="13" t="n">
        <f aca="false">SUMIF(MANUALES!$B$16:$B$69,$A120,MANUALES!U$16:U$69)+SUMIF(RODANTES!$B$16:$B$68,$A120,RODANTES!U$16:U$68)+SUMIF(RECARGAS!$B$16:$B$37,$A120,RECARGAS!AE$16:AE$37)+SUMIF(REVENDIDOS!$B$16:$B$25,$A120,REVENDIDOS!V$16:V$25)</f>
        <v>2799.56359799858</v>
      </c>
      <c r="P120" s="13" t="n">
        <f aca="false">SUMIF(MANUALES!$B$16:$B$69,$A120,MANUALES!V$16:V$69)+SUMIF(RODANTES!$B$16:$B$68,$A120,RODANTES!V$16:V$68)+SUMIF(RECARGAS!$B$16:$B$37,$A120,RECARGAS!AF$16:AF$37)+SUMIF(REVENDIDOS!$B$16:$B$25,$A120,REVENDIDOS!W$16:W$25)</f>
        <v>3269.30867659321</v>
      </c>
      <c r="Q120" s="13" t="n">
        <f aca="false">SUMIF(MANUALES!$B$16:$B$69,$A120,MANUALES!W$16:W$69)+SUMIF(RODANTES!$B$16:$B$68,$A120,RODANTES!W$16:W$68)+SUMIF(RECARGAS!$B$16:$B$37,$A120,RECARGAS!AG$16:AG$37)+SUMIF(REVENDIDOS!$B$16:$B$25,$A120,REVENDIDOS!X$16:X$25)</f>
        <v>3776.01776725347</v>
      </c>
      <c r="R120" s="13" t="n">
        <f aca="false">SUMIF(MANUALES!$B$16:$B$69,$A120,MANUALES!X$16:X$69)+SUMIF(RODANTES!$B$16:$B$68,$A120,RODANTES!X$16:X$68)+SUMIF(RECARGAS!$B$16:$B$37,$A120,RECARGAS!AH$16:AH$37)+SUMIF(REVENDIDOS!$B$16:$B$25,$A120,REVENDIDOS!Y$16:Y$25)</f>
        <v>415.361954397881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SUMIF(MANUALES!$B$16:$B$69,$A121,MANUALES!W$16:W$69)</f>
        <v>0</v>
      </c>
      <c r="E121" s="13" t="n">
        <f aca="false">SUMIF(RODANTES!$B$16:$B$68,$A121,RODANTES!W$16:W$68)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744.120454978018</v>
      </c>
      <c r="H121" s="13" t="n">
        <f aca="false">SUMIF(MANUALES!$B$16:$B$69,$A121,MANUALES!N$16:N$69)+SUMIF(RODANTES!$B$16:$B$68,$A121,RODANTES!N$16:N$68)+SUMIF(RECARGAS!$B$16:$B$37,$A121,RECARGAS!X$16:X$37)+SUMIF(REVENDIDOS!$B$16:$B$25,$A121,REVENDIDOS!O$16:O$25)</f>
        <v>59.1473904809201</v>
      </c>
      <c r="I121" s="13" t="n">
        <f aca="false">SUMIF(MANUALES!$B$16:$B$69,$A121,MANUALES!O$16:O$69)+SUMIF(RODANTES!$B$16:$B$68,$A121,RODANTES!O$16:O$68)+SUMIF(RECARGAS!$B$16:$B$37,$A121,RECARGAS!Y$16:Y$37)+SUMIF(REVENDIDOS!$B$16:$B$25,$A121,REVENDIDOS!P$16:P$25)</f>
        <v>100.564071531466</v>
      </c>
      <c r="J121" s="13" t="n">
        <f aca="false">SUMIF(MANUALES!$B$16:$B$69,$A121,MANUALES!P$16:P$69)+SUMIF(RODANTES!$B$16:$B$68,$A121,RODANTES!P$16:P$68)+SUMIF(RECARGAS!$B$16:$B$37,$A121,RECARGAS!Z$16:Z$37)+SUMIF(REVENDIDOS!$B$16:$B$25,$A121,REVENDIDOS!Q$16:Q$25)</f>
        <v>126.846226852012</v>
      </c>
      <c r="K121" s="13" t="n">
        <f aca="false">SUMIF(MANUALES!$B$16:$B$69,$A121,MANUALES!Q$16:Q$69)+SUMIF(RODANTES!$B$16:$B$68,$A121,RODANTES!Q$16:Q$68)+SUMIF(RECARGAS!$B$16:$B$37,$A121,RECARGAS!AA$16:AA$37)+SUMIF(REVENDIDOS!$B$16:$B$25,$A121,REVENDIDOS!R$16:R$25)</f>
        <v>168.436733083478</v>
      </c>
      <c r="L121" s="13" t="n">
        <f aca="false">SUMIF(MANUALES!$B$16:$B$69,$A121,MANUALES!R$16:R$69)+SUMIF(RODANTES!$B$16:$B$68,$A121,RODANTES!R$16:R$68)+SUMIF(RECARGAS!$B$16:$B$37,$A121,RECARGAS!AB$16:AB$37)+SUMIF(REVENDIDOS!$B$16:$B$25,$A121,REVENDIDOS!S$16:S$25)</f>
        <v>257.23765972457</v>
      </c>
      <c r="M121" s="13" t="n">
        <f aca="false">SUMIF(MANUALES!$B$16:$B$69,$A121,MANUALES!S$16:S$69)+SUMIF(RODANTES!$B$16:$B$68,$A121,RODANTES!S$16:S$68)+SUMIF(RECARGAS!$B$16:$B$37,$A121,RECARGAS!AC$16:AC$37)+SUMIF(REVENDIDOS!$B$16:$B$25,$A121,REVENDIDOS!T$16:T$25)</f>
        <v>346.790874665662</v>
      </c>
      <c r="N121" s="13" t="n">
        <f aca="false">SUMIF(MANUALES!$B$16:$B$69,$A121,MANUALES!T$16:T$69)+SUMIF(RODANTES!$B$16:$B$68,$A121,RODANTES!T$16:T$68)+SUMIF(RECARGAS!$B$16:$B$37,$A121,RECARGAS!AD$16:AD$37)+SUMIF(REVENDIDOS!$B$16:$B$25,$A121,REVENDIDOS!U$16:U$25)</f>
        <v>445.403985406754</v>
      </c>
      <c r="O121" s="13" t="n">
        <f aca="false">SUMIF(MANUALES!$B$16:$B$69,$A121,MANUALES!U$16:U$69)+SUMIF(RODANTES!$B$16:$B$68,$A121,RODANTES!U$16:U$68)+SUMIF(RECARGAS!$B$16:$B$37,$A121,RECARGAS!AE$16:AE$37)+SUMIF(REVENDIDOS!$B$16:$B$25,$A121,REVENDIDOS!V$16:V$25)</f>
        <v>551.603913436926</v>
      </c>
      <c r="P121" s="13" t="n">
        <f aca="false">SUMIF(MANUALES!$B$16:$B$69,$A121,MANUALES!V$16:V$69)+SUMIF(RODANTES!$B$16:$B$68,$A121,RODANTES!V$16:V$68)+SUMIF(RECARGAS!$B$16:$B$37,$A121,RECARGAS!AF$16:AF$37)+SUMIF(REVENDIDOS!$B$16:$B$25,$A121,REVENDIDOS!W$16:W$25)</f>
        <v>644.417874757472</v>
      </c>
      <c r="Q121" s="13" t="n">
        <f aca="false">SUMIF(MANUALES!$B$16:$B$69,$A121,MANUALES!W$16:W$69)+SUMIF(RODANTES!$B$16:$B$68,$A121,RODANTES!W$16:W$68)+SUMIF(RECARGAS!$B$16:$B$37,$A121,RECARGAS!AG$16:AG$37)+SUMIF(REVENDIDOS!$B$16:$B$25,$A121,REVENDIDOS!X$16:X$25)</f>
        <v>744.120454978018</v>
      </c>
      <c r="R121" s="13" t="n">
        <f aca="false">SUMIF(MANUALES!$B$16:$B$69,$A121,MANUALES!X$16:X$69)+SUMIF(RODANTES!$B$16:$B$68,$A121,RODANTES!X$16:X$68)+SUMIF(RECARGAS!$B$16:$B$37,$A121,RECARGAS!AH$16:AH$37)+SUMIF(REVENDIDOS!$B$16:$B$25,$A121,REVENDIDOS!Y$16:Y$25)</f>
        <v>81.853250047582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SUMIF(MANUALES!$B$16:$B$69,$A122,MANUALES!W$16:W$69)</f>
        <v>0</v>
      </c>
      <c r="E122" s="13" t="n">
        <f aca="false">SUMIF(RODANTES!$B$16:$B$68,$A122,RODANTES!W$16:W$68)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277.41598400273</v>
      </c>
      <c r="H122" s="13" t="n">
        <f aca="false">SUMIF(MANUALES!$B$16:$B$69,$A122,MANUALES!N$16:N$69)+SUMIF(RODANTES!$B$16:$B$68,$A122,RODANTES!N$16:N$68)+SUMIF(RECARGAS!$B$16:$B$37,$A122,RECARGAS!X$16:X$37)+SUMIF(REVENDIDOS!$B$16:$B$25,$A122,REVENDIDOS!O$16:O$25)</f>
        <v>28.7168679309201</v>
      </c>
      <c r="I122" s="13" t="n">
        <f aca="false">SUMIF(MANUALES!$B$16:$B$69,$A122,MANUALES!O$16:O$69)+SUMIF(RODANTES!$B$16:$B$68,$A122,RODANTES!O$16:O$68)+SUMIF(RECARGAS!$B$16:$B$37,$A122,RECARGAS!Y$16:Y$37)+SUMIF(REVENDIDOS!$B$16:$B$25,$A122,REVENDIDOS!P$16:P$25)</f>
        <v>45.696344300546</v>
      </c>
      <c r="J122" s="13" t="n">
        <f aca="false">SUMIF(MANUALES!$B$16:$B$69,$A122,MANUALES!P$16:P$69)+SUMIF(RODANTES!$B$16:$B$68,$A122,RODANTES!P$16:P$68)+SUMIF(RECARGAS!$B$16:$B$37,$A122,RECARGAS!Z$16:Z$37)+SUMIF(REVENDIDOS!$B$16:$B$25,$A122,REVENDIDOS!Q$16:Q$25)</f>
        <v>55.275860700546</v>
      </c>
      <c r="K122" s="13" t="n">
        <f aca="false">SUMIF(MANUALES!$B$16:$B$69,$A122,MANUALES!Q$16:Q$69)+SUMIF(RODANTES!$B$16:$B$68,$A122,RODANTES!Q$16:Q$68)+SUMIF(RECARGAS!$B$16:$B$37,$A122,RECARGAS!AA$16:AA$37)+SUMIF(REVENDIDOS!$B$16:$B$25,$A122,REVENDIDOS!R$16:R$25)</f>
        <v>71.1256708514661</v>
      </c>
      <c r="L122" s="13" t="n">
        <f aca="false">SUMIF(MANUALES!$B$16:$B$69,$A122,MANUALES!R$16:R$69)+SUMIF(RODANTES!$B$16:$B$68,$A122,RODANTES!R$16:R$68)+SUMIF(RECARGAS!$B$16:$B$37,$A122,RECARGAS!AB$16:AB$37)+SUMIF(REVENDIDOS!$B$16:$B$25,$A122,REVENDIDOS!S$16:S$25)</f>
        <v>103.250177352012</v>
      </c>
      <c r="M122" s="13" t="n">
        <f aca="false">SUMIF(MANUALES!$B$16:$B$69,$A122,MANUALES!S$16:S$69)+SUMIF(RODANTES!$B$16:$B$68,$A122,RODANTES!S$16:S$68)+SUMIF(RECARGAS!$B$16:$B$37,$A122,RECARGAS!AC$16:AC$37)+SUMIF(REVENDIDOS!$B$16:$B$25,$A122,REVENDIDOS!T$16:T$25)</f>
        <v>128.005914661638</v>
      </c>
      <c r="N122" s="13" t="n">
        <f aca="false">SUMIF(MANUALES!$B$16:$B$69,$A122,MANUALES!T$16:T$69)+SUMIF(RODANTES!$B$16:$B$68,$A122,RODANTES!T$16:T$68)+SUMIF(RECARGAS!$B$16:$B$37,$A122,RECARGAS!AD$16:AD$37)+SUMIF(REVENDIDOS!$B$16:$B$25,$A122,REVENDIDOS!U$16:U$25)</f>
        <v>164.315519872558</v>
      </c>
      <c r="O122" s="13" t="n">
        <f aca="false">SUMIF(MANUALES!$B$16:$B$69,$A122,MANUALES!U$16:U$69)+SUMIF(RODANTES!$B$16:$B$68,$A122,RODANTES!U$16:U$68)+SUMIF(RECARGAS!$B$16:$B$37,$A122,RECARGAS!AE$16:AE$37)+SUMIF(REVENDIDOS!$B$16:$B$25,$A122,REVENDIDOS!V$16:V$25)</f>
        <v>203.409370182184</v>
      </c>
      <c r="P122" s="13" t="n">
        <f aca="false">SUMIF(MANUALES!$B$16:$B$69,$A122,MANUALES!V$16:V$69)+SUMIF(RODANTES!$B$16:$B$68,$A122,RODANTES!V$16:V$68)+SUMIF(RECARGAS!$B$16:$B$37,$A122,RECARGAS!AF$16:AF$37)+SUMIF(REVENDIDOS!$B$16:$B$25,$A122,REVENDIDOS!W$16:W$25)</f>
        <v>239.215218293104</v>
      </c>
      <c r="Q122" s="13" t="n">
        <f aca="false">SUMIF(MANUALES!$B$16:$B$69,$A122,MANUALES!W$16:W$69)+SUMIF(RODANTES!$B$16:$B$68,$A122,RODANTES!W$16:W$68)+SUMIF(RECARGAS!$B$16:$B$37,$A122,RECARGAS!AG$16:AG$37)+SUMIF(REVENDIDOS!$B$16:$B$25,$A122,REVENDIDOS!X$16:X$25)</f>
        <v>277.41598400273</v>
      </c>
      <c r="R122" s="13" t="n">
        <f aca="false">SUMIF(MANUALES!$B$16:$B$69,$A122,MANUALES!X$16:X$69)+SUMIF(RODANTES!$B$16:$B$68,$A122,RODANTES!X$16:X$68)+SUMIF(RECARGAS!$B$16:$B$37,$A122,RECARGAS!AH$16:AH$37)+SUMIF(REVENDIDOS!$B$16:$B$25,$A122,REVENDIDOS!Y$16:Y$25)</f>
        <v>30.5157582403003</v>
      </c>
    </row>
  </sheetData>
  <autoFilter ref="A3:R1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586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587</v>
      </c>
      <c r="G3" s="14"/>
      <c r="H3" s="14"/>
      <c r="I3" s="14" t="s">
        <v>588</v>
      </c>
      <c r="J3" s="14"/>
      <c r="K3" s="14"/>
      <c r="L3" s="14" t="s">
        <v>589</v>
      </c>
      <c r="M3" s="14"/>
      <c r="N3" s="14"/>
      <c r="O3" s="14" t="s">
        <v>590</v>
      </c>
      <c r="P3" s="14"/>
      <c r="Q3" s="14"/>
      <c r="R3" s="14"/>
      <c r="S3" s="14"/>
      <c r="T3" s="14"/>
      <c r="U3" s="14" t="s">
        <v>591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592</v>
      </c>
      <c r="F4" s="2" t="s">
        <v>593</v>
      </c>
      <c r="G4" s="2" t="s">
        <v>594</v>
      </c>
      <c r="H4" s="2" t="s">
        <v>595</v>
      </c>
      <c r="I4" s="2" t="s">
        <v>596</v>
      </c>
      <c r="J4" s="2" t="s">
        <v>597</v>
      </c>
      <c r="K4" s="2" t="s">
        <v>598</v>
      </c>
      <c r="L4" s="2" t="s">
        <v>599</v>
      </c>
      <c r="M4" s="2" t="s">
        <v>600</v>
      </c>
      <c r="N4" s="2" t="s">
        <v>601</v>
      </c>
      <c r="O4" s="2" t="s">
        <v>602</v>
      </c>
      <c r="P4" s="2" t="s">
        <v>603</v>
      </c>
      <c r="Q4" s="2" t="s">
        <v>604</v>
      </c>
      <c r="R4" s="2" t="s">
        <v>605</v>
      </c>
      <c r="S4" s="2" t="s">
        <v>606</v>
      </c>
      <c r="T4" s="2" t="s">
        <v>607</v>
      </c>
      <c r="U4" s="2" t="s">
        <v>608</v>
      </c>
      <c r="V4" s="2" t="s">
        <v>609</v>
      </c>
      <c r="W4" s="2" t="s">
        <v>610</v>
      </c>
    </row>
    <row r="5" customFormat="false" ht="15" hidden="false" customHeight="false" outlineLevel="0" collapsed="false">
      <c r="A5" s="3" t="s">
        <v>611</v>
      </c>
      <c r="B5" s="3" t="s">
        <v>176</v>
      </c>
      <c r="C5" s="3" t="s">
        <v>177</v>
      </c>
      <c r="D5" s="3" t="s">
        <v>178</v>
      </c>
      <c r="E5" s="3" t="s">
        <v>612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1</v>
      </c>
      <c r="J5" s="3" t="n">
        <v>1</v>
      </c>
      <c r="K5" s="3" t="s">
        <v>613</v>
      </c>
      <c r="L5" s="13" t="n">
        <f aca="false">G5*(I5+J5)/2</f>
        <v>36.7066375235507</v>
      </c>
      <c r="M5" s="13" t="n">
        <f aca="false">H5*J5-L5</f>
        <v>16.1509205103623</v>
      </c>
      <c r="N5" s="13" t="n">
        <f aca="false">L5+M5</f>
        <v>52.857558033913</v>
      </c>
      <c r="O5" s="3" t="s">
        <v>614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288.150920510362</v>
      </c>
      <c r="U5" s="3" t="s">
        <v>615</v>
      </c>
      <c r="V5" s="16" t="n">
        <v>61</v>
      </c>
      <c r="W5" s="17" t="n">
        <f aca="false">T5/V5</f>
        <v>4.72378558213709</v>
      </c>
    </row>
    <row r="6" customFormat="false" ht="15" hidden="false" customHeight="false" outlineLevel="0" collapsed="false">
      <c r="A6" s="3" t="s">
        <v>616</v>
      </c>
      <c r="B6" s="3" t="s">
        <v>180</v>
      </c>
      <c r="C6" s="3" t="s">
        <v>181</v>
      </c>
      <c r="D6" s="3" t="s">
        <v>182</v>
      </c>
      <c r="E6" s="3" t="s">
        <v>617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618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619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620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621</v>
      </c>
      <c r="B7" s="3" t="s">
        <v>184</v>
      </c>
      <c r="C7" s="3" t="s">
        <v>185</v>
      </c>
      <c r="D7" s="3" t="s">
        <v>182</v>
      </c>
      <c r="E7" s="3" t="s">
        <v>617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618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622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620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623</v>
      </c>
      <c r="B8" s="3" t="s">
        <v>187</v>
      </c>
      <c r="C8" s="3" t="s">
        <v>188</v>
      </c>
      <c r="D8" s="3" t="s">
        <v>182</v>
      </c>
      <c r="E8" s="3" t="s">
        <v>617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618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624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620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625</v>
      </c>
      <c r="B9" s="3" t="s">
        <v>190</v>
      </c>
      <c r="C9" s="3" t="s">
        <v>191</v>
      </c>
      <c r="D9" s="3" t="s">
        <v>192</v>
      </c>
      <c r="E9" s="3" t="s">
        <v>617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626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627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620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628</v>
      </c>
      <c r="B10" s="3" t="s">
        <v>194</v>
      </c>
      <c r="C10" s="3" t="s">
        <v>195</v>
      </c>
      <c r="D10" s="3" t="s">
        <v>192</v>
      </c>
      <c r="E10" s="3" t="s">
        <v>617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626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627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620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629</v>
      </c>
      <c r="B11" s="3" t="s">
        <v>197</v>
      </c>
      <c r="C11" s="3" t="s">
        <v>198</v>
      </c>
      <c r="D11" s="3" t="s">
        <v>192</v>
      </c>
      <c r="E11" s="3" t="s">
        <v>630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631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632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620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633</v>
      </c>
      <c r="B12" s="3" t="s">
        <v>200</v>
      </c>
      <c r="C12" s="3" t="s">
        <v>201</v>
      </c>
      <c r="D12" s="3" t="s">
        <v>192</v>
      </c>
      <c r="E12" s="3" t="s">
        <v>630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631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634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620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635</v>
      </c>
      <c r="B13" s="3" t="s">
        <v>203</v>
      </c>
      <c r="C13" s="3" t="s">
        <v>204</v>
      </c>
      <c r="D13" s="3" t="s">
        <v>192</v>
      </c>
      <c r="E13" s="3" t="s">
        <v>630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631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632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620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636</v>
      </c>
      <c r="B14" s="3" t="s">
        <v>206</v>
      </c>
      <c r="C14" s="3" t="s">
        <v>207</v>
      </c>
      <c r="D14" s="3" t="s">
        <v>192</v>
      </c>
      <c r="E14" s="3" t="s">
        <v>630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631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637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620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638</v>
      </c>
      <c r="B15" s="3" t="s">
        <v>209</v>
      </c>
      <c r="C15" s="3" t="s">
        <v>210</v>
      </c>
      <c r="D15" s="3" t="s">
        <v>192</v>
      </c>
      <c r="E15" s="3" t="s">
        <v>630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631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639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620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640</v>
      </c>
      <c r="B16" s="3" t="s">
        <v>354</v>
      </c>
      <c r="C16" s="3" t="s">
        <v>355</v>
      </c>
      <c r="D16" s="3" t="s">
        <v>182</v>
      </c>
      <c r="E16" s="3" t="s">
        <v>617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618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624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641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642</v>
      </c>
      <c r="B17" s="3" t="s">
        <v>357</v>
      </c>
      <c r="C17" s="3" t="s">
        <v>358</v>
      </c>
      <c r="D17" s="3" t="s">
        <v>182</v>
      </c>
      <c r="E17" s="3" t="s">
        <v>617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618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643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641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644</v>
      </c>
      <c r="B18" s="3" t="s">
        <v>360</v>
      </c>
      <c r="C18" s="3" t="s">
        <v>361</v>
      </c>
      <c r="D18" s="3" t="s">
        <v>214</v>
      </c>
      <c r="E18" s="3" t="s">
        <v>645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646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647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648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649</v>
      </c>
      <c r="B19" s="3" t="s">
        <v>363</v>
      </c>
      <c r="C19" s="3" t="s">
        <v>364</v>
      </c>
      <c r="D19" s="3" t="s">
        <v>214</v>
      </c>
      <c r="E19" s="3" t="s">
        <v>645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646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650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648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651</v>
      </c>
      <c r="B20" s="3" t="s">
        <v>366</v>
      </c>
      <c r="C20" s="3" t="s">
        <v>367</v>
      </c>
      <c r="D20" s="3" t="s">
        <v>214</v>
      </c>
      <c r="E20" s="3" t="s">
        <v>645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646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652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648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653</v>
      </c>
      <c r="B21" s="3" t="s">
        <v>212</v>
      </c>
      <c r="C21" s="3" t="s">
        <v>213</v>
      </c>
      <c r="D21" s="3" t="s">
        <v>214</v>
      </c>
      <c r="E21" s="3" t="s">
        <v>654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655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656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657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658</v>
      </c>
      <c r="B22" s="3" t="s">
        <v>216</v>
      </c>
      <c r="C22" s="3" t="s">
        <v>217</v>
      </c>
      <c r="D22" s="3" t="s">
        <v>214</v>
      </c>
      <c r="E22" s="3" t="s">
        <v>654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655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656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657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659</v>
      </c>
      <c r="B23" s="3" t="s">
        <v>369</v>
      </c>
      <c r="C23" s="3" t="s">
        <v>370</v>
      </c>
      <c r="D23" s="3" t="s">
        <v>214</v>
      </c>
      <c r="E23" s="3" t="s">
        <v>654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655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660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648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661</v>
      </c>
      <c r="B24" s="3" t="s">
        <v>372</v>
      </c>
      <c r="C24" s="3" t="s">
        <v>373</v>
      </c>
      <c r="D24" s="3" t="s">
        <v>214</v>
      </c>
      <c r="E24" s="3" t="s">
        <v>654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655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662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648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663</v>
      </c>
      <c r="B25" s="3" t="s">
        <v>375</v>
      </c>
      <c r="C25" s="3" t="s">
        <v>376</v>
      </c>
      <c r="D25" s="3" t="s">
        <v>178</v>
      </c>
      <c r="E25" s="3" t="s">
        <v>664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10</v>
      </c>
      <c r="J25" s="3" t="n">
        <v>10</v>
      </c>
      <c r="K25" s="3" t="s">
        <v>665</v>
      </c>
      <c r="L25" s="13" t="n">
        <f aca="false">G25*(I25+J25)/2</f>
        <v>21.252109209933</v>
      </c>
      <c r="M25" s="13" t="n">
        <f aca="false">H25*J25-L25</f>
        <v>1.70016873679464</v>
      </c>
      <c r="N25" s="13" t="n">
        <f aca="false">L25+M25</f>
        <v>22.9522779467276</v>
      </c>
      <c r="O25" s="3" t="s">
        <v>666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139.700168736795</v>
      </c>
      <c r="U25" s="3" t="s">
        <v>615</v>
      </c>
      <c r="V25" s="16" t="n">
        <v>60</v>
      </c>
      <c r="W25" s="17" t="n">
        <f aca="false">T25/V25</f>
        <v>2.32833614561324</v>
      </c>
    </row>
    <row r="26" customFormat="false" ht="15" hidden="false" customHeight="false" outlineLevel="0" collapsed="false">
      <c r="A26" s="3" t="s">
        <v>667</v>
      </c>
      <c r="B26" s="3" t="s">
        <v>378</v>
      </c>
      <c r="C26" s="3" t="s">
        <v>379</v>
      </c>
      <c r="D26" s="3" t="s">
        <v>178</v>
      </c>
      <c r="E26" s="3" t="s">
        <v>664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10</v>
      </c>
      <c r="J26" s="3" t="n">
        <v>10</v>
      </c>
      <c r="K26" s="3" t="s">
        <v>665</v>
      </c>
      <c r="L26" s="13" t="n">
        <f aca="false">G26*(I26+J26)/2</f>
        <v>3.73403338997716</v>
      </c>
      <c r="M26" s="13" t="n">
        <f aca="false">H26*J26-L26</f>
        <v>0.298722671198173</v>
      </c>
      <c r="N26" s="13" t="n">
        <f aca="false">L26+M26</f>
        <v>4.03275606117534</v>
      </c>
      <c r="O26" s="3" t="s">
        <v>666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25.2987226711982</v>
      </c>
      <c r="U26" s="3" t="s">
        <v>615</v>
      </c>
      <c r="V26" s="16" t="n">
        <v>60</v>
      </c>
      <c r="W26" s="17" t="n">
        <f aca="false">T26/V26</f>
        <v>0.421645377853303</v>
      </c>
    </row>
    <row r="27" customFormat="false" ht="15" hidden="false" customHeight="false" outlineLevel="0" collapsed="false">
      <c r="A27" s="3" t="s">
        <v>668</v>
      </c>
      <c r="B27" s="3" t="s">
        <v>381</v>
      </c>
      <c r="C27" s="3" t="s">
        <v>382</v>
      </c>
      <c r="D27" s="3" t="s">
        <v>178</v>
      </c>
      <c r="E27" s="3" t="s">
        <v>669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670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671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615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672</v>
      </c>
      <c r="B28" s="3" t="s">
        <v>384</v>
      </c>
      <c r="C28" s="3" t="s">
        <v>385</v>
      </c>
      <c r="D28" s="3" t="s">
        <v>178</v>
      </c>
      <c r="E28" s="3" t="s">
        <v>669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670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666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615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673</v>
      </c>
      <c r="B29" s="3" t="s">
        <v>422</v>
      </c>
      <c r="C29" s="3" t="s">
        <v>423</v>
      </c>
      <c r="D29" s="3" t="s">
        <v>214</v>
      </c>
      <c r="E29" s="3" t="s">
        <v>674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10</v>
      </c>
      <c r="J29" s="3" t="n">
        <v>10</v>
      </c>
      <c r="K29" s="3" t="s">
        <v>665</v>
      </c>
      <c r="L29" s="13" t="n">
        <f aca="false">G29*(I29+J29)/2</f>
        <v>302.379407750886</v>
      </c>
      <c r="M29" s="13" t="n">
        <f aca="false">H29*J29-L29</f>
        <v>24.1903526200709</v>
      </c>
      <c r="N29" s="13" t="n">
        <f aca="false">L29+M29</f>
        <v>326.569760370957</v>
      </c>
      <c r="O29" s="3" t="s">
        <v>675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1024.19035262007</v>
      </c>
      <c r="U29" s="3" t="s">
        <v>676</v>
      </c>
      <c r="V29" s="16" t="n">
        <v>20000</v>
      </c>
      <c r="W29" s="17" t="n">
        <f aca="false">T29/V29</f>
        <v>0.0512095176310035</v>
      </c>
    </row>
    <row r="30" customFormat="false" ht="15" hidden="false" customHeight="false" outlineLevel="0" collapsed="false">
      <c r="A30" s="3" t="s">
        <v>677</v>
      </c>
      <c r="B30" s="3" t="s">
        <v>425</v>
      </c>
      <c r="C30" s="3" t="s">
        <v>426</v>
      </c>
      <c r="D30" s="3" t="s">
        <v>214</v>
      </c>
      <c r="E30" s="3" t="s">
        <v>674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10</v>
      </c>
      <c r="J30" s="3" t="n">
        <v>10</v>
      </c>
      <c r="K30" s="3" t="s">
        <v>665</v>
      </c>
      <c r="L30" s="13" t="n">
        <f aca="false">G30*(I30+J30)/2</f>
        <v>151.189703875443</v>
      </c>
      <c r="M30" s="13" t="n">
        <f aca="false">H30*J30-L30</f>
        <v>12.0951763100354</v>
      </c>
      <c r="N30" s="13" t="n">
        <f aca="false">L30+M30</f>
        <v>163.284880185479</v>
      </c>
      <c r="O30" s="3" t="s">
        <v>675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1012.09517631004</v>
      </c>
      <c r="U30" s="3" t="s">
        <v>676</v>
      </c>
      <c r="V30" s="16" t="n">
        <v>20000</v>
      </c>
      <c r="W30" s="17" t="n">
        <f aca="false">T30/V30</f>
        <v>0.0506047588155018</v>
      </c>
    </row>
    <row r="31" customFormat="false" ht="15" hidden="false" customHeight="false" outlineLevel="0" collapsed="false">
      <c r="A31" s="3" t="s">
        <v>678</v>
      </c>
      <c r="B31" s="3" t="s">
        <v>428</v>
      </c>
      <c r="C31" s="3" t="s">
        <v>429</v>
      </c>
      <c r="D31" s="3" t="s">
        <v>214</v>
      </c>
      <c r="E31" s="3" t="s">
        <v>679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15</v>
      </c>
      <c r="J31" s="3" t="n">
        <v>15</v>
      </c>
      <c r="K31" s="3" t="s">
        <v>680</v>
      </c>
      <c r="L31" s="13" t="n">
        <f aca="false">G31*(I31+J31)/2</f>
        <v>56.65881665</v>
      </c>
      <c r="M31" s="13" t="n">
        <f aca="false">H31*J31-L31</f>
        <v>4.53270533199999</v>
      </c>
      <c r="N31" s="13" t="n">
        <f aca="false">L31+M31</f>
        <v>61.191521982</v>
      </c>
      <c r="O31" s="3" t="s">
        <v>681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148.532705332</v>
      </c>
      <c r="U31" s="3" t="s">
        <v>676</v>
      </c>
      <c r="V31" s="16" t="n">
        <v>144</v>
      </c>
      <c r="W31" s="17" t="n">
        <f aca="false">T31/V31</f>
        <v>1.03147712036111</v>
      </c>
    </row>
    <row r="32" customFormat="false" ht="15" hidden="false" customHeight="false" outlineLevel="0" collapsed="false">
      <c r="A32" s="3" t="s">
        <v>682</v>
      </c>
      <c r="B32" s="3" t="s">
        <v>431</v>
      </c>
      <c r="C32" s="3" t="s">
        <v>432</v>
      </c>
      <c r="D32" s="3" t="s">
        <v>214</v>
      </c>
      <c r="E32" s="3" t="s">
        <v>679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15</v>
      </c>
      <c r="J32" s="3" t="n">
        <v>15</v>
      </c>
      <c r="K32" s="3" t="s">
        <v>680</v>
      </c>
      <c r="L32" s="13" t="n">
        <f aca="false">G32*(I32+J32)/2</f>
        <v>124.782497852551</v>
      </c>
      <c r="M32" s="13" t="n">
        <f aca="false">H32*J32-L32</f>
        <v>9.98259982820406</v>
      </c>
      <c r="N32" s="13" t="n">
        <f aca="false">L32+M32</f>
        <v>134.765097680755</v>
      </c>
      <c r="O32" s="3" t="s">
        <v>681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225.982599828204</v>
      </c>
      <c r="U32" s="3" t="s">
        <v>676</v>
      </c>
      <c r="V32" s="16" t="n">
        <v>144</v>
      </c>
      <c r="W32" s="17" t="n">
        <f aca="false">T32/V32</f>
        <v>1.56932360991808</v>
      </c>
    </row>
    <row r="33" customFormat="false" ht="15" hidden="false" customHeight="false" outlineLevel="0" collapsed="false">
      <c r="A33" s="3" t="s">
        <v>683</v>
      </c>
      <c r="B33" s="3" t="s">
        <v>434</v>
      </c>
      <c r="C33" s="3" t="s">
        <v>435</v>
      </c>
      <c r="D33" s="3" t="s">
        <v>214</v>
      </c>
      <c r="E33" s="3" t="s">
        <v>684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15</v>
      </c>
      <c r="J33" s="3" t="n">
        <v>15</v>
      </c>
      <c r="K33" s="3" t="s">
        <v>680</v>
      </c>
      <c r="L33" s="13" t="n">
        <f aca="false">G33*(I33+J33)/2</f>
        <v>45.3432413106142</v>
      </c>
      <c r="M33" s="13" t="n">
        <f aca="false">H33*J33-L33</f>
        <v>3.62745930484914</v>
      </c>
      <c r="N33" s="13" t="n">
        <f aca="false">L33+M33</f>
        <v>48.9707006154634</v>
      </c>
      <c r="O33" s="3" t="s">
        <v>681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75.6274593048491</v>
      </c>
      <c r="U33" s="3" t="s">
        <v>676</v>
      </c>
      <c r="V33" s="16" t="n">
        <v>144</v>
      </c>
      <c r="W33" s="17" t="n">
        <f aca="false">T33/V33</f>
        <v>0.525190689617008</v>
      </c>
    </row>
    <row r="34" customFormat="false" ht="15" hidden="false" customHeight="false" outlineLevel="0" collapsed="false">
      <c r="A34" s="3" t="s">
        <v>685</v>
      </c>
      <c r="B34" s="3" t="s">
        <v>219</v>
      </c>
      <c r="C34" s="3" t="s">
        <v>220</v>
      </c>
      <c r="D34" s="3" t="s">
        <v>192</v>
      </c>
      <c r="E34" s="3" t="s">
        <v>686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5</v>
      </c>
      <c r="J34" s="3" t="n">
        <v>5</v>
      </c>
      <c r="K34" s="3" t="s">
        <v>665</v>
      </c>
      <c r="L34" s="13" t="n">
        <f aca="false">G34*(I34+J34)/2</f>
        <v>125.904898364581</v>
      </c>
      <c r="M34" s="13" t="n">
        <f aca="false">H34*J34-L34</f>
        <v>47.8827759280626</v>
      </c>
      <c r="N34" s="13" t="n">
        <f aca="false">L34+M34</f>
        <v>173.787674292644</v>
      </c>
      <c r="O34" s="3" t="s">
        <v>687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947.882775928063</v>
      </c>
      <c r="U34" s="3" t="s">
        <v>688</v>
      </c>
      <c r="V34" s="16" t="n">
        <v>900</v>
      </c>
      <c r="W34" s="17" t="n">
        <f aca="false">T34/V34</f>
        <v>1.05320308436451</v>
      </c>
    </row>
    <row r="35" customFormat="false" ht="15" hidden="false" customHeight="false" outlineLevel="0" collapsed="false">
      <c r="A35" s="3" t="s">
        <v>689</v>
      </c>
      <c r="B35" s="3" t="s">
        <v>387</v>
      </c>
      <c r="C35" s="3" t="s">
        <v>388</v>
      </c>
      <c r="D35" s="3" t="s">
        <v>192</v>
      </c>
      <c r="E35" s="3" t="s">
        <v>686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5</v>
      </c>
      <c r="J35" s="3" t="n">
        <v>5</v>
      </c>
      <c r="K35" s="3" t="s">
        <v>680</v>
      </c>
      <c r="L35" s="13" t="n">
        <f aca="false">G35*(I35+J35)/2</f>
        <v>28.9207352836678</v>
      </c>
      <c r="M35" s="13" t="n">
        <f aca="false">H35*J35-L35</f>
        <v>2.31365882269342</v>
      </c>
      <c r="N35" s="13" t="n">
        <f aca="false">L35+M35</f>
        <v>31.2343941063612</v>
      </c>
      <c r="O35" s="3" t="s">
        <v>687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902.313658822694</v>
      </c>
      <c r="U35" s="3" t="s">
        <v>676</v>
      </c>
      <c r="V35" s="16" t="n">
        <v>900</v>
      </c>
      <c r="W35" s="17" t="n">
        <f aca="false">T35/V35</f>
        <v>1.00257073202522</v>
      </c>
    </row>
    <row r="36" customFormat="false" ht="15" hidden="false" customHeight="false" outlineLevel="0" collapsed="false">
      <c r="A36" s="3" t="s">
        <v>690</v>
      </c>
      <c r="B36" s="3" t="s">
        <v>222</v>
      </c>
      <c r="C36" s="3" t="s">
        <v>223</v>
      </c>
      <c r="D36" s="3" t="s">
        <v>224</v>
      </c>
      <c r="E36" s="3" t="s">
        <v>691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692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693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694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695</v>
      </c>
      <c r="B37" s="3" t="s">
        <v>391</v>
      </c>
      <c r="C37" s="3" t="s">
        <v>392</v>
      </c>
      <c r="D37" s="3" t="s">
        <v>214</v>
      </c>
      <c r="E37" s="3" t="s">
        <v>696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5</v>
      </c>
      <c r="J37" s="3" t="n">
        <v>5</v>
      </c>
      <c r="K37" s="3" t="s">
        <v>665</v>
      </c>
      <c r="L37" s="13" t="n">
        <f aca="false">G37*(I37+J37)/2</f>
        <v>0.566961389532912</v>
      </c>
      <c r="M37" s="13" t="n">
        <f aca="false">H37*J37-L37</f>
        <v>0.0453569111626331</v>
      </c>
      <c r="N37" s="13" t="n">
        <f aca="false">L37+M37</f>
        <v>0.612318300695545</v>
      </c>
      <c r="O37" s="3" t="s">
        <v>697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25.0453569111626</v>
      </c>
      <c r="U37" s="3" t="s">
        <v>688</v>
      </c>
      <c r="V37" s="16" t="n">
        <v>250</v>
      </c>
      <c r="W37" s="17" t="n">
        <f aca="false">T37/V37</f>
        <v>0.100181427644651</v>
      </c>
    </row>
    <row r="38" customFormat="false" ht="15" hidden="false" customHeight="false" outlineLevel="0" collapsed="false">
      <c r="A38" s="3" t="s">
        <v>698</v>
      </c>
      <c r="B38" s="3" t="s">
        <v>394</v>
      </c>
      <c r="C38" s="3" t="s">
        <v>395</v>
      </c>
      <c r="D38" s="3" t="s">
        <v>214</v>
      </c>
      <c r="E38" s="3" t="s">
        <v>699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700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697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688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701</v>
      </c>
      <c r="B39" s="3" t="s">
        <v>397</v>
      </c>
      <c r="C39" s="3" t="s">
        <v>398</v>
      </c>
      <c r="D39" s="3" t="s">
        <v>214</v>
      </c>
      <c r="E39" s="3" t="s">
        <v>696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5</v>
      </c>
      <c r="J39" s="3" t="n">
        <v>5</v>
      </c>
      <c r="K39" s="3" t="s">
        <v>665</v>
      </c>
      <c r="L39" s="13" t="n">
        <f aca="false">G39*(I39+J39)/2</f>
        <v>0.471423426289252</v>
      </c>
      <c r="M39" s="13" t="n">
        <f aca="false">H39*J39-L39</f>
        <v>0.0377138741031402</v>
      </c>
      <c r="N39" s="13" t="n">
        <f aca="false">L39+M39</f>
        <v>0.509137300392392</v>
      </c>
      <c r="O39" s="3" t="s">
        <v>697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25.0377138741031</v>
      </c>
      <c r="U39" s="3" t="s">
        <v>688</v>
      </c>
      <c r="V39" s="16" t="n">
        <v>250</v>
      </c>
      <c r="W39" s="17" t="n">
        <f aca="false">T39/V39</f>
        <v>0.100150855496413</v>
      </c>
    </row>
    <row r="40" customFormat="false" ht="15" hidden="false" customHeight="false" outlineLevel="0" collapsed="false">
      <c r="A40" s="3" t="s">
        <v>702</v>
      </c>
      <c r="B40" s="3" t="s">
        <v>400</v>
      </c>
      <c r="C40" s="3" t="s">
        <v>401</v>
      </c>
      <c r="D40" s="3" t="s">
        <v>214</v>
      </c>
      <c r="E40" s="3" t="s">
        <v>699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700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697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688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703</v>
      </c>
      <c r="B41" s="3" t="s">
        <v>403</v>
      </c>
      <c r="C41" s="3" t="s">
        <v>404</v>
      </c>
      <c r="D41" s="3" t="s">
        <v>214</v>
      </c>
      <c r="E41" s="3" t="s">
        <v>704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5</v>
      </c>
      <c r="J41" s="3" t="n">
        <v>5</v>
      </c>
      <c r="K41" s="3" t="s">
        <v>665</v>
      </c>
      <c r="L41" s="13" t="n">
        <f aca="false">G41*(I41+J41)/2</f>
        <v>0.161524814922152</v>
      </c>
      <c r="M41" s="13" t="n">
        <f aca="false">H41*J41-L41</f>
        <v>0.0129219851937722</v>
      </c>
      <c r="N41" s="13" t="n">
        <f aca="false">L41+M41</f>
        <v>0.174446800115924</v>
      </c>
      <c r="O41" s="3" t="s">
        <v>697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25.0129219851938</v>
      </c>
      <c r="U41" s="3" t="s">
        <v>688</v>
      </c>
      <c r="V41" s="16" t="n">
        <v>250</v>
      </c>
      <c r="W41" s="17" t="n">
        <f aca="false">T41/V41</f>
        <v>0.100051687940775</v>
      </c>
    </row>
    <row r="42" customFormat="false" ht="15" hidden="false" customHeight="false" outlineLevel="0" collapsed="false">
      <c r="A42" s="3" t="s">
        <v>705</v>
      </c>
      <c r="B42" s="3" t="s">
        <v>226</v>
      </c>
      <c r="C42" s="3" t="s">
        <v>227</v>
      </c>
      <c r="D42" s="3" t="s">
        <v>192</v>
      </c>
      <c r="E42" s="3" t="s">
        <v>706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7</v>
      </c>
      <c r="J42" s="3" t="n">
        <v>7</v>
      </c>
      <c r="K42" s="3" t="s">
        <v>665</v>
      </c>
      <c r="L42" s="13" t="n">
        <f aca="false">G42*(I42+J42)/2</f>
        <v>667.128338878051</v>
      </c>
      <c r="M42" s="13" t="n">
        <f aca="false">H42*J42-L42</f>
        <v>270.214847397376</v>
      </c>
      <c r="N42" s="13" t="n">
        <f aca="false">L42+M42</f>
        <v>937.343186275428</v>
      </c>
      <c r="O42" s="3" t="s">
        <v>707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9270.21484739738</v>
      </c>
      <c r="U42" s="3" t="s">
        <v>688</v>
      </c>
      <c r="V42" s="16" t="n">
        <v>1000</v>
      </c>
      <c r="W42" s="17" t="n">
        <f aca="false">T42/V42</f>
        <v>9.27021484739738</v>
      </c>
    </row>
    <row r="43" customFormat="false" ht="15" hidden="false" customHeight="false" outlineLevel="0" collapsed="false">
      <c r="A43" s="3" t="s">
        <v>708</v>
      </c>
      <c r="B43" s="3" t="s">
        <v>229</v>
      </c>
      <c r="C43" s="3" t="s">
        <v>230</v>
      </c>
      <c r="D43" s="3" t="s">
        <v>192</v>
      </c>
      <c r="E43" s="3" t="s">
        <v>709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10</v>
      </c>
      <c r="J43" s="3" t="n">
        <v>10</v>
      </c>
      <c r="K43" s="3" t="s">
        <v>665</v>
      </c>
      <c r="L43" s="13" t="n">
        <f aca="false">G43*(I43+J43)/2</f>
        <v>150.375614933004</v>
      </c>
      <c r="M43" s="13" t="n">
        <f aca="false">H43*J43-L43</f>
        <v>56.7327576050507</v>
      </c>
      <c r="N43" s="13" t="n">
        <f aca="false">L43+M43</f>
        <v>207.108372538055</v>
      </c>
      <c r="O43" s="3" t="s">
        <v>710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656.732757605051</v>
      </c>
      <c r="U43" s="3" t="s">
        <v>711</v>
      </c>
      <c r="V43" s="16" t="n">
        <v>600</v>
      </c>
      <c r="W43" s="17" t="n">
        <f aca="false">T43/V43</f>
        <v>1.09455459600842</v>
      </c>
    </row>
    <row r="44" customFormat="false" ht="15" hidden="false" customHeight="false" outlineLevel="0" collapsed="false">
      <c r="A44" s="3" t="s">
        <v>712</v>
      </c>
      <c r="B44" s="3" t="s">
        <v>232</v>
      </c>
      <c r="C44" s="3" t="s">
        <v>233</v>
      </c>
      <c r="D44" s="3" t="s">
        <v>192</v>
      </c>
      <c r="E44" s="3" t="s">
        <v>713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7</v>
      </c>
      <c r="J44" s="3" t="n">
        <v>7</v>
      </c>
      <c r="K44" s="3" t="s">
        <v>680</v>
      </c>
      <c r="L44" s="13" t="n">
        <f aca="false">G44*(I44+J44)/2</f>
        <v>8196.69674162613</v>
      </c>
      <c r="M44" s="13" t="n">
        <f aca="false">H44*J44-L44</f>
        <v>2342.21523282407</v>
      </c>
      <c r="N44" s="13" t="n">
        <f aca="false">L44+M44</f>
        <v>10538.9119744502</v>
      </c>
      <c r="O44" s="3" t="s">
        <v>714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10342.2152328241</v>
      </c>
      <c r="U44" s="3" t="s">
        <v>711</v>
      </c>
      <c r="V44" s="16" t="n">
        <v>2000</v>
      </c>
      <c r="W44" s="17" t="n">
        <f aca="false">T44/V44</f>
        <v>5.17110761641204</v>
      </c>
    </row>
    <row r="45" customFormat="false" ht="15" hidden="false" customHeight="false" outlineLevel="0" collapsed="false">
      <c r="A45" s="3" t="s">
        <v>715</v>
      </c>
      <c r="B45" s="3" t="s">
        <v>418</v>
      </c>
      <c r="C45" s="3" t="s">
        <v>419</v>
      </c>
      <c r="D45" s="3" t="s">
        <v>192</v>
      </c>
      <c r="E45" s="3" t="s">
        <v>713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7</v>
      </c>
      <c r="J45" s="3" t="n">
        <v>7</v>
      </c>
      <c r="K45" s="3" t="s">
        <v>680</v>
      </c>
      <c r="L45" s="13" t="n">
        <f aca="false">G45*(I45+J45)/2</f>
        <v>2988.27662288059</v>
      </c>
      <c r="M45" s="13" t="n">
        <f aca="false">H45*J45-L45</f>
        <v>214.438425688449</v>
      </c>
      <c r="N45" s="13" t="n">
        <f aca="false">L45+M45</f>
        <v>3202.71504856904</v>
      </c>
      <c r="O45" s="3" t="s">
        <v>714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3214.43842568845</v>
      </c>
      <c r="U45" s="3" t="s">
        <v>711</v>
      </c>
      <c r="V45" s="16" t="n">
        <v>2000</v>
      </c>
      <c r="W45" s="17" t="n">
        <f aca="false">T45/V45</f>
        <v>1.60721921284422</v>
      </c>
    </row>
    <row r="46" customFormat="false" ht="15" hidden="false" customHeight="false" outlineLevel="0" collapsed="false">
      <c r="A46" s="3" t="s">
        <v>716</v>
      </c>
      <c r="B46" s="3" t="s">
        <v>235</v>
      </c>
      <c r="C46" s="3" t="s">
        <v>236</v>
      </c>
      <c r="D46" s="3" t="s">
        <v>224</v>
      </c>
      <c r="E46" s="3" t="s">
        <v>691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692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717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694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718</v>
      </c>
      <c r="B47" s="3" t="s">
        <v>489</v>
      </c>
      <c r="C47" s="3" t="s">
        <v>490</v>
      </c>
      <c r="D47" s="3" t="s">
        <v>192</v>
      </c>
      <c r="E47" s="3" t="s">
        <v>719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7</v>
      </c>
      <c r="J47" s="3" t="n">
        <v>7</v>
      </c>
      <c r="K47" s="3" t="s">
        <v>665</v>
      </c>
      <c r="L47" s="13" t="n">
        <f aca="false">G47*(I47+J47)/2</f>
        <v>21.1591664464672</v>
      </c>
      <c r="M47" s="13" t="n">
        <f aca="false">H47*J47-L47</f>
        <v>0</v>
      </c>
      <c r="N47" s="13" t="n">
        <f aca="false">L47+M47</f>
        <v>21.1591664464672</v>
      </c>
      <c r="O47" s="3" t="s">
        <v>720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200</v>
      </c>
      <c r="U47" s="3" t="s">
        <v>711</v>
      </c>
      <c r="V47" s="16" t="n">
        <v>1000</v>
      </c>
      <c r="W47" s="17" t="n">
        <f aca="false">T47/V47</f>
        <v>0.2</v>
      </c>
    </row>
    <row r="48" customFormat="false" ht="15" hidden="false" customHeight="false" outlineLevel="0" collapsed="false">
      <c r="A48" s="3" t="s">
        <v>721</v>
      </c>
      <c r="B48" s="3" t="s">
        <v>492</v>
      </c>
      <c r="C48" s="3" t="s">
        <v>493</v>
      </c>
      <c r="D48" s="3" t="s">
        <v>192</v>
      </c>
      <c r="E48" s="3" t="s">
        <v>713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15</v>
      </c>
      <c r="J48" s="3" t="n">
        <v>15</v>
      </c>
      <c r="K48" s="3" t="s">
        <v>665</v>
      </c>
      <c r="L48" s="13" t="n">
        <f aca="false">G48*(I48+J48)/2</f>
        <v>72.6918626584284</v>
      </c>
      <c r="M48" s="13" t="n">
        <f aca="false">H48*J48-L48</f>
        <v>0</v>
      </c>
      <c r="N48" s="13" t="n">
        <f aca="false">L48+M48</f>
        <v>72.6918626584284</v>
      </c>
      <c r="O48" s="3" t="s">
        <v>720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600</v>
      </c>
      <c r="U48" s="3" t="s">
        <v>711</v>
      </c>
      <c r="V48" s="16" t="n">
        <v>1000</v>
      </c>
      <c r="W48" s="17" t="n">
        <f aca="false">T48/V48</f>
        <v>0.6</v>
      </c>
    </row>
    <row r="49" customFormat="false" ht="15" hidden="false" customHeight="false" outlineLevel="0" collapsed="false">
      <c r="A49" s="3" t="s">
        <v>722</v>
      </c>
      <c r="B49" s="3" t="s">
        <v>495</v>
      </c>
      <c r="C49" s="3" t="s">
        <v>496</v>
      </c>
      <c r="D49" s="3" t="s">
        <v>192</v>
      </c>
      <c r="E49" s="3" t="s">
        <v>691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692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723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694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724</v>
      </c>
      <c r="B50" s="3" t="s">
        <v>498</v>
      </c>
      <c r="C50" s="3" t="s">
        <v>499</v>
      </c>
      <c r="D50" s="3" t="s">
        <v>192</v>
      </c>
      <c r="E50" s="3" t="s">
        <v>725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30</v>
      </c>
      <c r="J50" s="3" t="n">
        <v>30</v>
      </c>
      <c r="K50" s="3" t="s">
        <v>665</v>
      </c>
      <c r="L50" s="13" t="n">
        <f aca="false">G50*(I50+J50)/2</f>
        <v>23.1297733459878</v>
      </c>
      <c r="M50" s="13" t="n">
        <f aca="false">H50*J50-L50</f>
        <v>0</v>
      </c>
      <c r="N50" s="13" t="n">
        <f aca="false">L50+M50</f>
        <v>23.1297733459878</v>
      </c>
      <c r="O50" s="3" t="s">
        <v>726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50</v>
      </c>
      <c r="U50" s="3" t="s">
        <v>727</v>
      </c>
      <c r="V50" s="16" t="n">
        <v>50</v>
      </c>
      <c r="W50" s="17" t="n">
        <f aca="false">T50/V50</f>
        <v>1</v>
      </c>
    </row>
    <row r="51" customFormat="false" ht="15" hidden="false" customHeight="false" outlineLevel="0" collapsed="false">
      <c r="A51" s="3" t="s">
        <v>728</v>
      </c>
      <c r="B51" s="3" t="s">
        <v>501</v>
      </c>
      <c r="C51" s="3" t="s">
        <v>502</v>
      </c>
      <c r="D51" s="3" t="s">
        <v>503</v>
      </c>
      <c r="E51" s="3" t="s">
        <v>719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7</v>
      </c>
      <c r="J51" s="3" t="n">
        <v>7</v>
      </c>
      <c r="K51" s="3" t="s">
        <v>665</v>
      </c>
      <c r="L51" s="13" t="n">
        <f aca="false">G51*(I51+J51)/2</f>
        <v>14.7416315957799</v>
      </c>
      <c r="M51" s="13" t="n">
        <f aca="false">H51*J51-L51</f>
        <v>0</v>
      </c>
      <c r="N51" s="13" t="n">
        <f aca="false">L51+M51</f>
        <v>14.7416315957799</v>
      </c>
      <c r="O51" s="3" t="s">
        <v>729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727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730</v>
      </c>
      <c r="B52" s="3" t="s">
        <v>505</v>
      </c>
      <c r="C52" s="3" t="s">
        <v>506</v>
      </c>
      <c r="D52" s="3" t="s">
        <v>503</v>
      </c>
      <c r="E52" s="3" t="s">
        <v>719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7</v>
      </c>
      <c r="J52" s="3" t="n">
        <v>7</v>
      </c>
      <c r="K52" s="3" t="s">
        <v>665</v>
      </c>
      <c r="L52" s="13" t="n">
        <f aca="false">G52*(I52+J52)/2</f>
        <v>215.337880733179</v>
      </c>
      <c r="M52" s="13" t="n">
        <f aca="false">H52*J52-L52</f>
        <v>0</v>
      </c>
      <c r="N52" s="13" t="n">
        <f aca="false">L52+M52</f>
        <v>215.337880733179</v>
      </c>
      <c r="O52" s="3" t="s">
        <v>729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620</v>
      </c>
      <c r="U52" s="3" t="s">
        <v>727</v>
      </c>
      <c r="V52" s="16" t="n">
        <v>480</v>
      </c>
      <c r="W52" s="17" t="n">
        <f aca="false">T52/V52</f>
        <v>1.29166666666667</v>
      </c>
    </row>
    <row r="53" customFormat="false" ht="15" hidden="false" customHeight="false" outlineLevel="0" collapsed="false">
      <c r="A53" s="3" t="s">
        <v>731</v>
      </c>
      <c r="B53" s="3" t="s">
        <v>238</v>
      </c>
      <c r="C53" s="3" t="s">
        <v>239</v>
      </c>
      <c r="D53" s="3" t="s">
        <v>214</v>
      </c>
      <c r="E53" s="3" t="s">
        <v>732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20</v>
      </c>
      <c r="J53" s="3" t="n">
        <v>20</v>
      </c>
      <c r="K53" s="3" t="s">
        <v>665</v>
      </c>
      <c r="L53" s="13" t="n">
        <f aca="false">G53*(I53+J53)/2</f>
        <v>2672.7199275</v>
      </c>
      <c r="M53" s="13" t="n">
        <f aca="false">H53*J53-L53</f>
        <v>1175.9967681</v>
      </c>
      <c r="N53" s="13" t="n">
        <f aca="false">L53+M53</f>
        <v>3848.7166956</v>
      </c>
      <c r="O53" s="3" t="s">
        <v>733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7175.9967681</v>
      </c>
      <c r="U53" s="3" t="s">
        <v>657</v>
      </c>
      <c r="V53" s="16" t="n">
        <v>3000</v>
      </c>
      <c r="W53" s="17" t="n">
        <f aca="false">T53/V53</f>
        <v>2.3919989227</v>
      </c>
    </row>
    <row r="54" customFormat="false" ht="15" hidden="false" customHeight="false" outlineLevel="0" collapsed="false">
      <c r="A54" s="3" t="s">
        <v>734</v>
      </c>
      <c r="B54" s="3" t="s">
        <v>241</v>
      </c>
      <c r="C54" s="3" t="s">
        <v>242</v>
      </c>
      <c r="D54" s="3" t="s">
        <v>214</v>
      </c>
      <c r="E54" s="3" t="s">
        <v>732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20</v>
      </c>
      <c r="J54" s="3" t="n">
        <v>20</v>
      </c>
      <c r="K54" s="3" t="s">
        <v>665</v>
      </c>
      <c r="L54" s="13" t="n">
        <f aca="false">G54*(I54+J54)/2</f>
        <v>3474.70884195422</v>
      </c>
      <c r="M54" s="13" t="n">
        <f aca="false">H54*J54-L54</f>
        <v>1111.90682942535</v>
      </c>
      <c r="N54" s="13" t="n">
        <f aca="false">L54+M54</f>
        <v>4586.61567137957</v>
      </c>
      <c r="O54" s="3" t="s">
        <v>735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7111.90682942535</v>
      </c>
      <c r="U54" s="3" t="s">
        <v>657</v>
      </c>
      <c r="V54" s="16" t="n">
        <v>1500</v>
      </c>
      <c r="W54" s="17" t="n">
        <f aca="false">T54/V54</f>
        <v>4.7412712196169</v>
      </c>
    </row>
    <row r="55" customFormat="false" ht="15" hidden="false" customHeight="false" outlineLevel="0" collapsed="false">
      <c r="A55" s="3" t="s">
        <v>736</v>
      </c>
      <c r="B55" s="3" t="s">
        <v>437</v>
      </c>
      <c r="C55" s="3" t="s">
        <v>438</v>
      </c>
      <c r="D55" s="3" t="s">
        <v>214</v>
      </c>
      <c r="E55" s="3" t="s">
        <v>732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20</v>
      </c>
      <c r="J55" s="3" t="n">
        <v>20</v>
      </c>
      <c r="K55" s="3" t="s">
        <v>680</v>
      </c>
      <c r="L55" s="13" t="n">
        <f aca="false">G55*(I55+J55)/2</f>
        <v>37.7725444333333</v>
      </c>
      <c r="M55" s="13" t="n">
        <f aca="false">H55*J55-L55</f>
        <v>3.02180355466667</v>
      </c>
      <c r="N55" s="13" t="n">
        <f aca="false">L55+M55</f>
        <v>40.794347988</v>
      </c>
      <c r="O55" s="3" t="s">
        <v>737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53.0218035546667</v>
      </c>
      <c r="U55" s="3" t="s">
        <v>676</v>
      </c>
      <c r="V55" s="16" t="n">
        <v>200</v>
      </c>
      <c r="W55" s="17" t="n">
        <f aca="false">T55/V55</f>
        <v>0.265109017773333</v>
      </c>
    </row>
    <row r="56" customFormat="false" ht="15" hidden="false" customHeight="false" outlineLevel="0" collapsed="false">
      <c r="A56" s="3" t="s">
        <v>738</v>
      </c>
      <c r="B56" s="3" t="s">
        <v>440</v>
      </c>
      <c r="C56" s="3" t="s">
        <v>441</v>
      </c>
      <c r="D56" s="3" t="s">
        <v>214</v>
      </c>
      <c r="E56" s="3" t="s">
        <v>732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20</v>
      </c>
      <c r="J56" s="3" t="n">
        <v>20</v>
      </c>
      <c r="K56" s="3" t="s">
        <v>680</v>
      </c>
      <c r="L56" s="13" t="n">
        <f aca="false">G56*(I56+J56)/2</f>
        <v>113.41715944211</v>
      </c>
      <c r="M56" s="13" t="n">
        <f aca="false">H56*J56-L56</f>
        <v>9.07337275536878</v>
      </c>
      <c r="N56" s="13" t="n">
        <f aca="false">L56+M56</f>
        <v>122.490532197479</v>
      </c>
      <c r="O56" s="3" t="s">
        <v>737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139.073372755369</v>
      </c>
      <c r="U56" s="3" t="s">
        <v>676</v>
      </c>
      <c r="V56" s="16" t="n">
        <v>200</v>
      </c>
      <c r="W56" s="17" t="n">
        <f aca="false">T56/V56</f>
        <v>0.695366863776844</v>
      </c>
    </row>
    <row r="57" customFormat="false" ht="15" hidden="false" customHeight="false" outlineLevel="0" collapsed="false">
      <c r="A57" s="3" t="s">
        <v>739</v>
      </c>
      <c r="B57" s="3" t="s">
        <v>244</v>
      </c>
      <c r="C57" s="3" t="s">
        <v>245</v>
      </c>
      <c r="D57" s="3" t="s">
        <v>214</v>
      </c>
      <c r="E57" s="3" t="s">
        <v>740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20</v>
      </c>
      <c r="J57" s="3" t="n">
        <v>20</v>
      </c>
      <c r="K57" s="3" t="s">
        <v>680</v>
      </c>
      <c r="L57" s="13" t="n">
        <f aca="false">G57*(I57+J57)/2</f>
        <v>6298.61847332966</v>
      </c>
      <c r="M57" s="13" t="n">
        <f aca="false">H57*J57-L57</f>
        <v>2299.99877383539</v>
      </c>
      <c r="N57" s="13" t="n">
        <f aca="false">L57+M57</f>
        <v>8598.61724716505</v>
      </c>
      <c r="O57" s="3" t="s">
        <v>660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10899.9987738354</v>
      </c>
      <c r="U57" s="3" t="s">
        <v>657</v>
      </c>
      <c r="V57" s="16" t="n">
        <v>3000</v>
      </c>
      <c r="W57" s="17" t="n">
        <f aca="false">T57/V57</f>
        <v>3.6333329246118</v>
      </c>
    </row>
    <row r="58" customFormat="false" ht="15" hidden="false" customHeight="false" outlineLevel="0" collapsed="false">
      <c r="A58" s="3" t="s">
        <v>741</v>
      </c>
      <c r="B58" s="3" t="s">
        <v>247</v>
      </c>
      <c r="C58" s="3" t="s">
        <v>248</v>
      </c>
      <c r="D58" s="3" t="s">
        <v>214</v>
      </c>
      <c r="E58" s="3" t="s">
        <v>740</v>
      </c>
      <c r="F58" s="13" t="n">
        <f aca="false">CONSOLIDADO!Q57</f>
        <v>32072.63913</v>
      </c>
      <c r="G58" s="15" t="n">
        <f aca="false">F58/240</f>
        <v>133.635996375</v>
      </c>
      <c r="H58" s="15" t="n">
        <f aca="false">CONSOLIDADO!R57/20</f>
        <v>192.43583478</v>
      </c>
      <c r="I58" s="3" t="n">
        <v>15</v>
      </c>
      <c r="J58" s="3" t="n">
        <v>15</v>
      </c>
      <c r="K58" s="3" t="s">
        <v>665</v>
      </c>
      <c r="L58" s="13" t="n">
        <f aca="false">G58*(I58+J58)/2</f>
        <v>2004.539945625</v>
      </c>
      <c r="M58" s="13" t="n">
        <f aca="false">H58*J58-L58</f>
        <v>881.997576075</v>
      </c>
      <c r="N58" s="13" t="n">
        <f aca="false">L58+M58</f>
        <v>2886.5375217</v>
      </c>
      <c r="O58" s="3" t="s">
        <v>742</v>
      </c>
      <c r="P58" s="16" t="n">
        <v>50</v>
      </c>
      <c r="Q58" s="3" t="n">
        <v>20</v>
      </c>
      <c r="R58" s="3" t="n">
        <f aca="false">MAX(1,CEILING(H58*Q58/P58,1))</f>
        <v>77</v>
      </c>
      <c r="S58" s="17" t="n">
        <f aca="false">F58/(R58*P58)</f>
        <v>8.33055561818182</v>
      </c>
      <c r="T58" s="13" t="n">
        <f aca="false">M58+R58*P58</f>
        <v>4731.997576075</v>
      </c>
      <c r="U58" s="3" t="s">
        <v>657</v>
      </c>
      <c r="V58" s="16" t="n">
        <v>1500</v>
      </c>
      <c r="W58" s="17" t="n">
        <f aca="false">T58/V58</f>
        <v>3.15466505071667</v>
      </c>
    </row>
    <row r="59" customFormat="false" ht="15" hidden="false" customHeight="false" outlineLevel="0" collapsed="false">
      <c r="A59" s="3" t="s">
        <v>743</v>
      </c>
      <c r="B59" s="3" t="s">
        <v>250</v>
      </c>
      <c r="C59" s="3" t="s">
        <v>251</v>
      </c>
      <c r="D59" s="3" t="s">
        <v>214</v>
      </c>
      <c r="E59" s="3" t="s">
        <v>740</v>
      </c>
      <c r="F59" s="13" t="n">
        <f aca="false">CONSOLIDADO!Q58</f>
        <v>7424.858444</v>
      </c>
      <c r="G59" s="15" t="n">
        <f aca="false">F59/240</f>
        <v>30.9369101833333</v>
      </c>
      <c r="H59" s="15" t="n">
        <f aca="false">CONSOLIDADO!R58/20</f>
        <v>40.836721442</v>
      </c>
      <c r="I59" s="3" t="n">
        <v>15</v>
      </c>
      <c r="J59" s="3" t="n">
        <v>15</v>
      </c>
      <c r="K59" s="3" t="s">
        <v>665</v>
      </c>
      <c r="L59" s="13" t="n">
        <f aca="false">G59*(I59+J59)/2</f>
        <v>464.05365275</v>
      </c>
      <c r="M59" s="13" t="n">
        <f aca="false">H59*J59-L59</f>
        <v>148.49716888</v>
      </c>
      <c r="N59" s="13" t="n">
        <f aca="false">L59+M59</f>
        <v>612.55082163</v>
      </c>
      <c r="O59" s="3" t="s">
        <v>742</v>
      </c>
      <c r="P59" s="16" t="n">
        <v>50</v>
      </c>
      <c r="Q59" s="3" t="n">
        <v>20</v>
      </c>
      <c r="R59" s="3" t="n">
        <f aca="false">MAX(1,CEILING(H59*Q59/P59,1))</f>
        <v>17</v>
      </c>
      <c r="S59" s="17" t="n">
        <f aca="false">F59/(R59*P59)</f>
        <v>8.73512758117647</v>
      </c>
      <c r="T59" s="13" t="n">
        <f aca="false">M59+R59*P59</f>
        <v>998.49716888</v>
      </c>
      <c r="U59" s="3" t="s">
        <v>657</v>
      </c>
      <c r="V59" s="16" t="n">
        <v>1500</v>
      </c>
      <c r="W59" s="17" t="n">
        <f aca="false">T59/V59</f>
        <v>0.665664779253333</v>
      </c>
    </row>
    <row r="60" customFormat="false" ht="15" hidden="false" customHeight="false" outlineLevel="0" collapsed="false">
      <c r="A60" s="3" t="s">
        <v>744</v>
      </c>
      <c r="B60" s="3" t="s">
        <v>253</v>
      </c>
      <c r="C60" s="3" t="s">
        <v>254</v>
      </c>
      <c r="D60" s="3" t="s">
        <v>214</v>
      </c>
      <c r="E60" s="3" t="s">
        <v>740</v>
      </c>
      <c r="F60" s="13" t="n">
        <f aca="false">CONSOLIDADO!Q59</f>
        <v>32428.7706862536</v>
      </c>
      <c r="G60" s="15" t="n">
        <f aca="false">F60/240</f>
        <v>135.11987785939</v>
      </c>
      <c r="H60" s="15" t="n">
        <f aca="false">CONSOLIDADO!R59/20</f>
        <v>178.358238774395</v>
      </c>
      <c r="I60" s="3" t="n">
        <v>15</v>
      </c>
      <c r="J60" s="3" t="n">
        <v>15</v>
      </c>
      <c r="K60" s="3" t="s">
        <v>665</v>
      </c>
      <c r="L60" s="13" t="n">
        <f aca="false">G60*(I60+J60)/2</f>
        <v>2026.79816789085</v>
      </c>
      <c r="M60" s="13" t="n">
        <f aca="false">H60*J60-L60</f>
        <v>648.575413725073</v>
      </c>
      <c r="N60" s="13" t="n">
        <f aca="false">L60+M60</f>
        <v>2675.37358161593</v>
      </c>
      <c r="O60" s="3" t="s">
        <v>742</v>
      </c>
      <c r="P60" s="16" t="n">
        <v>50</v>
      </c>
      <c r="Q60" s="3" t="n">
        <v>20</v>
      </c>
      <c r="R60" s="3" t="n">
        <f aca="false">MAX(1,CEILING(H60*Q60/P60,1))</f>
        <v>72</v>
      </c>
      <c r="S60" s="17" t="n">
        <f aca="false">F60/(R60*P60)</f>
        <v>9.00799185729268</v>
      </c>
      <c r="T60" s="13" t="n">
        <f aca="false">M60+R60*P60</f>
        <v>4248.57541372507</v>
      </c>
      <c r="U60" s="3" t="s">
        <v>657</v>
      </c>
      <c r="V60" s="16" t="n">
        <v>1500</v>
      </c>
      <c r="W60" s="17" t="n">
        <f aca="false">T60/V60</f>
        <v>2.83238360915005</v>
      </c>
    </row>
    <row r="61" customFormat="false" ht="15" hidden="false" customHeight="false" outlineLevel="0" collapsed="false">
      <c r="A61" s="3" t="s">
        <v>745</v>
      </c>
      <c r="B61" s="3" t="s">
        <v>256</v>
      </c>
      <c r="C61" s="3" t="s">
        <v>257</v>
      </c>
      <c r="D61" s="3" t="s">
        <v>214</v>
      </c>
      <c r="E61" s="3" t="s">
        <v>740</v>
      </c>
      <c r="F61" s="13" t="n">
        <f aca="false">CONSOLIDADO!Q60</f>
        <v>1842.87697319699</v>
      </c>
      <c r="G61" s="15" t="n">
        <f aca="false">F61/240</f>
        <v>7.67865405498744</v>
      </c>
      <c r="H61" s="15" t="n">
        <f aca="false">CONSOLIDADO!R60/20</f>
        <v>10.1358233525834</v>
      </c>
      <c r="I61" s="3" t="n">
        <v>15</v>
      </c>
      <c r="J61" s="3" t="n">
        <v>15</v>
      </c>
      <c r="K61" s="3" t="s">
        <v>665</v>
      </c>
      <c r="L61" s="13" t="n">
        <f aca="false">G61*(I61+J61)/2</f>
        <v>115.179810824812</v>
      </c>
      <c r="M61" s="13" t="n">
        <f aca="false">H61*J61-L61</f>
        <v>36.8575394639397</v>
      </c>
      <c r="N61" s="13" t="n">
        <f aca="false">L61+M61</f>
        <v>152.037350288751</v>
      </c>
      <c r="O61" s="3" t="s">
        <v>742</v>
      </c>
      <c r="P61" s="16" t="n">
        <v>50</v>
      </c>
      <c r="Q61" s="3" t="n">
        <v>20</v>
      </c>
      <c r="R61" s="3" t="n">
        <f aca="false">MAX(1,CEILING(H61*Q61/P61,1))</f>
        <v>5</v>
      </c>
      <c r="S61" s="17" t="n">
        <f aca="false">F61/(R61*P61)</f>
        <v>7.37150789278795</v>
      </c>
      <c r="T61" s="13" t="n">
        <f aca="false">M61+R61*P61</f>
        <v>286.85753946394</v>
      </c>
      <c r="U61" s="3" t="s">
        <v>657</v>
      </c>
      <c r="V61" s="16" t="n">
        <v>1500</v>
      </c>
      <c r="W61" s="17" t="n">
        <f aca="false">T61/V61</f>
        <v>0.191238359642626</v>
      </c>
    </row>
    <row r="62" customFormat="false" ht="15" hidden="false" customHeight="false" outlineLevel="0" collapsed="false">
      <c r="A62" s="3" t="s">
        <v>746</v>
      </c>
      <c r="B62" s="3" t="s">
        <v>444</v>
      </c>
      <c r="C62" s="3" t="s">
        <v>445</v>
      </c>
      <c r="D62" s="3" t="s">
        <v>214</v>
      </c>
      <c r="E62" s="3" t="s">
        <v>740</v>
      </c>
      <c r="F62" s="13" t="n">
        <f aca="false">CONSOLIDADO!Q61</f>
        <v>453.2705332</v>
      </c>
      <c r="G62" s="15" t="n">
        <f aca="false">F62/240</f>
        <v>1.88862722166667</v>
      </c>
      <c r="H62" s="15" t="n">
        <f aca="false">CONSOLIDADO!R61/20</f>
        <v>2.0397173994</v>
      </c>
      <c r="I62" s="3" t="n">
        <v>15</v>
      </c>
      <c r="J62" s="3" t="n">
        <v>15</v>
      </c>
      <c r="K62" s="3" t="s">
        <v>680</v>
      </c>
      <c r="L62" s="13" t="n">
        <f aca="false">G62*(I62+J62)/2</f>
        <v>28.329408325</v>
      </c>
      <c r="M62" s="13" t="n">
        <f aca="false">H62*J62-L62</f>
        <v>2.266352666</v>
      </c>
      <c r="N62" s="13" t="n">
        <f aca="false">L62+M62</f>
        <v>30.595760991</v>
      </c>
      <c r="O62" s="3" t="s">
        <v>737</v>
      </c>
      <c r="P62" s="16" t="n">
        <v>10</v>
      </c>
      <c r="Q62" s="3" t="n">
        <v>20</v>
      </c>
      <c r="R62" s="3" t="n">
        <f aca="false">MAX(1,CEILING(H62*Q62/P62,1))</f>
        <v>5</v>
      </c>
      <c r="S62" s="17" t="n">
        <f aca="false">F62/(R62*P62)</f>
        <v>9.065410664</v>
      </c>
      <c r="T62" s="13" t="n">
        <f aca="false">M62+R62*P62</f>
        <v>52.266352666</v>
      </c>
      <c r="U62" s="3" t="s">
        <v>676</v>
      </c>
      <c r="V62" s="16" t="n">
        <v>120</v>
      </c>
      <c r="W62" s="17" t="n">
        <f aca="false">T62/V62</f>
        <v>0.435552938883333</v>
      </c>
    </row>
    <row r="63" customFormat="false" ht="15" hidden="false" customHeight="false" outlineLevel="0" collapsed="false">
      <c r="A63" s="3" t="s">
        <v>747</v>
      </c>
      <c r="B63" s="3" t="s">
        <v>447</v>
      </c>
      <c r="C63" s="3" t="s">
        <v>448</v>
      </c>
      <c r="D63" s="3" t="s">
        <v>214</v>
      </c>
      <c r="E63" s="3" t="s">
        <v>740</v>
      </c>
      <c r="F63" s="13" t="n">
        <f aca="false">CONSOLIDADO!Q62</f>
        <v>998.259982820404</v>
      </c>
      <c r="G63" s="15" t="n">
        <f aca="false">F63/240</f>
        <v>4.15941659508502</v>
      </c>
      <c r="H63" s="15" t="n">
        <f aca="false">CONSOLIDADO!R62/20</f>
        <v>4.49216992269182</v>
      </c>
      <c r="I63" s="3" t="n">
        <v>15</v>
      </c>
      <c r="J63" s="3" t="n">
        <v>15</v>
      </c>
      <c r="K63" s="3" t="s">
        <v>680</v>
      </c>
      <c r="L63" s="13" t="n">
        <f aca="false">G63*(I63+J63)/2</f>
        <v>62.3912489262753</v>
      </c>
      <c r="M63" s="13" t="n">
        <f aca="false">H63*J63-L63</f>
        <v>4.99129991410203</v>
      </c>
      <c r="N63" s="13" t="n">
        <f aca="false">L63+M63</f>
        <v>67.3825488403773</v>
      </c>
      <c r="O63" s="3" t="s">
        <v>737</v>
      </c>
      <c r="P63" s="16" t="n">
        <v>10</v>
      </c>
      <c r="Q63" s="3" t="n">
        <v>20</v>
      </c>
      <c r="R63" s="3" t="n">
        <f aca="false">MAX(1,CEILING(H63*Q63/P63,1))</f>
        <v>9</v>
      </c>
      <c r="S63" s="17" t="n">
        <f aca="false">F63/(R63*P63)</f>
        <v>11.0917775868934</v>
      </c>
      <c r="T63" s="13" t="n">
        <f aca="false">M63+R63*P63</f>
        <v>94.991299914102</v>
      </c>
      <c r="U63" s="3" t="s">
        <v>676</v>
      </c>
      <c r="V63" s="16" t="n">
        <v>120</v>
      </c>
      <c r="W63" s="17" t="n">
        <f aca="false">T63/V63</f>
        <v>0.79159416595085</v>
      </c>
    </row>
    <row r="64" customFormat="false" ht="15" hidden="false" customHeight="false" outlineLevel="0" collapsed="false">
      <c r="A64" s="3" t="s">
        <v>748</v>
      </c>
      <c r="B64" s="3" t="s">
        <v>450</v>
      </c>
      <c r="C64" s="3" t="s">
        <v>451</v>
      </c>
      <c r="D64" s="3" t="s">
        <v>214</v>
      </c>
      <c r="E64" s="3" t="s">
        <v>740</v>
      </c>
      <c r="F64" s="13" t="n">
        <f aca="false">CONSOLIDADO!Q63</f>
        <v>217.569856</v>
      </c>
      <c r="G64" s="15" t="n">
        <f aca="false">F64/240</f>
        <v>0.906541066666667</v>
      </c>
      <c r="H64" s="15" t="n">
        <f aca="false">CONSOLIDADO!R63/20</f>
        <v>0.979064352</v>
      </c>
      <c r="I64" s="3" t="n">
        <v>15</v>
      </c>
      <c r="J64" s="3" t="n">
        <v>15</v>
      </c>
      <c r="K64" s="3" t="s">
        <v>680</v>
      </c>
      <c r="L64" s="13" t="n">
        <f aca="false">G64*(I64+J64)/2</f>
        <v>13.598116</v>
      </c>
      <c r="M64" s="13" t="n">
        <f aca="false">H64*J64-L64</f>
        <v>1.08784928</v>
      </c>
      <c r="N64" s="13" t="n">
        <f aca="false">L64+M64</f>
        <v>14.68596528</v>
      </c>
      <c r="O64" s="3" t="s">
        <v>737</v>
      </c>
      <c r="P64" s="16" t="n">
        <v>10</v>
      </c>
      <c r="Q64" s="3" t="n">
        <v>20</v>
      </c>
      <c r="R64" s="3" t="n">
        <f aca="false">MAX(1,CEILING(H64*Q64/P64,1))</f>
        <v>2</v>
      </c>
      <c r="S64" s="17" t="n">
        <f aca="false">F64/(R64*P64)</f>
        <v>10.8784928</v>
      </c>
      <c r="T64" s="13" t="n">
        <f aca="false">M64+R64*P64</f>
        <v>21.08784928</v>
      </c>
      <c r="U64" s="3" t="s">
        <v>676</v>
      </c>
      <c r="V64" s="16" t="n">
        <v>120</v>
      </c>
      <c r="W64" s="17" t="n">
        <f aca="false">T64/V64</f>
        <v>0.175732077333333</v>
      </c>
    </row>
    <row r="65" customFormat="false" ht="15" hidden="false" customHeight="false" outlineLevel="0" collapsed="false">
      <c r="A65" s="3" t="s">
        <v>749</v>
      </c>
      <c r="B65" s="3" t="s">
        <v>453</v>
      </c>
      <c r="C65" s="3" t="s">
        <v>454</v>
      </c>
      <c r="D65" s="3" t="s">
        <v>214</v>
      </c>
      <c r="E65" s="3" t="s">
        <v>740</v>
      </c>
      <c r="F65" s="13" t="n">
        <f aca="false">CONSOLIDADO!Q64</f>
        <v>145.176074484914</v>
      </c>
      <c r="G65" s="15" t="n">
        <f aca="false">F65/240</f>
        <v>0.604900310353808</v>
      </c>
      <c r="H65" s="15" t="n">
        <f aca="false">CONSOLIDADO!R64/20</f>
        <v>0.653292335182113</v>
      </c>
      <c r="I65" s="3" t="n">
        <v>15</v>
      </c>
      <c r="J65" s="3" t="n">
        <v>15</v>
      </c>
      <c r="K65" s="3" t="s">
        <v>680</v>
      </c>
      <c r="L65" s="13" t="n">
        <f aca="false">G65*(I65+J65)/2</f>
        <v>9.07350465530713</v>
      </c>
      <c r="M65" s="13" t="n">
        <f aca="false">H65*J65-L65</f>
        <v>0.725880372424568</v>
      </c>
      <c r="N65" s="13" t="n">
        <f aca="false">L65+M65</f>
        <v>9.79938502773169</v>
      </c>
      <c r="O65" s="3" t="s">
        <v>737</v>
      </c>
      <c r="P65" s="16" t="n">
        <v>10</v>
      </c>
      <c r="Q65" s="3" t="n">
        <v>20</v>
      </c>
      <c r="R65" s="3" t="n">
        <f aca="false">MAX(1,CEILING(H65*Q65/P65,1))</f>
        <v>2</v>
      </c>
      <c r="S65" s="17" t="n">
        <f aca="false">F65/(R65*P65)</f>
        <v>7.2588037242457</v>
      </c>
      <c r="T65" s="13" t="n">
        <f aca="false">M65+R65*P65</f>
        <v>20.7258803724246</v>
      </c>
      <c r="U65" s="3" t="s">
        <v>676</v>
      </c>
      <c r="V65" s="16" t="n">
        <v>120</v>
      </c>
      <c r="W65" s="17" t="n">
        <f aca="false">T65/V65</f>
        <v>0.172715669770205</v>
      </c>
    </row>
    <row r="66" customFormat="false" ht="15" hidden="false" customHeight="false" outlineLevel="0" collapsed="false">
      <c r="A66" s="3" t="s">
        <v>750</v>
      </c>
      <c r="B66" s="3" t="s">
        <v>259</v>
      </c>
      <c r="C66" s="3" t="s">
        <v>260</v>
      </c>
      <c r="D66" s="3" t="s">
        <v>214</v>
      </c>
      <c r="E66" s="3" t="s">
        <v>751</v>
      </c>
      <c r="F66" s="13" t="n">
        <f aca="false">CONSOLIDADO!Q65</f>
        <v>32072.63913</v>
      </c>
      <c r="G66" s="15" t="n">
        <f aca="false">F66/240</f>
        <v>133.635996375</v>
      </c>
      <c r="H66" s="15" t="n">
        <f aca="false">CONSOLIDADO!R65/20</f>
        <v>192.43583478</v>
      </c>
      <c r="I66" s="3" t="n">
        <v>10</v>
      </c>
      <c r="J66" s="3" t="n">
        <v>10</v>
      </c>
      <c r="K66" s="3" t="s">
        <v>665</v>
      </c>
      <c r="L66" s="13" t="n">
        <f aca="false">G66*(I66+J66)/2</f>
        <v>1336.35996375</v>
      </c>
      <c r="M66" s="13" t="n">
        <f aca="false">H66*J66-L66</f>
        <v>587.99838405</v>
      </c>
      <c r="N66" s="13" t="n">
        <f aca="false">L66+M66</f>
        <v>1924.3583478</v>
      </c>
      <c r="O66" s="3" t="s">
        <v>675</v>
      </c>
      <c r="P66" s="16" t="n">
        <v>1000</v>
      </c>
      <c r="Q66" s="3" t="n">
        <v>20</v>
      </c>
      <c r="R66" s="3" t="n">
        <f aca="false">MAX(1,CEILING(H66*Q66/P66,1))</f>
        <v>4</v>
      </c>
      <c r="S66" s="17" t="n">
        <f aca="false">F66/(R66*P66)</f>
        <v>8.0181597825</v>
      </c>
      <c r="T66" s="13" t="n">
        <f aca="false">M66+R66*P66</f>
        <v>4587.99838405</v>
      </c>
      <c r="U66" s="3" t="s">
        <v>657</v>
      </c>
      <c r="V66" s="16" t="n">
        <v>20000</v>
      </c>
      <c r="W66" s="17" t="n">
        <f aca="false">T66/V66</f>
        <v>0.2293999192025</v>
      </c>
    </row>
    <row r="67" customFormat="false" ht="15" hidden="false" customHeight="false" outlineLevel="0" collapsed="false">
      <c r="A67" s="3" t="s">
        <v>752</v>
      </c>
      <c r="B67" s="3" t="s">
        <v>262</v>
      </c>
      <c r="C67" s="3" t="s">
        <v>263</v>
      </c>
      <c r="D67" s="3" t="s">
        <v>214</v>
      </c>
      <c r="E67" s="3" t="s">
        <v>751</v>
      </c>
      <c r="F67" s="13" t="n">
        <f aca="false">CONSOLIDADO!Q66</f>
        <v>43148.036619471</v>
      </c>
      <c r="G67" s="15" t="n">
        <f aca="false">F67/240</f>
        <v>179.783485914463</v>
      </c>
      <c r="H67" s="15" t="n">
        <f aca="false">CONSOLIDADO!R66/20</f>
        <v>235.86267089107</v>
      </c>
      <c r="I67" s="3" t="n">
        <v>10</v>
      </c>
      <c r="J67" s="3" t="n">
        <v>10</v>
      </c>
      <c r="K67" s="3" t="s">
        <v>665</v>
      </c>
      <c r="L67" s="13" t="n">
        <f aca="false">G67*(I67+J67)/2</f>
        <v>1797.83485914463</v>
      </c>
      <c r="M67" s="13" t="n">
        <f aca="false">H67*J67-L67</f>
        <v>560.791849766077</v>
      </c>
      <c r="N67" s="13" t="n">
        <f aca="false">L67+M67</f>
        <v>2358.6267089107</v>
      </c>
      <c r="O67" s="3" t="s">
        <v>675</v>
      </c>
      <c r="P67" s="16" t="n">
        <v>1000</v>
      </c>
      <c r="Q67" s="3" t="n">
        <v>20</v>
      </c>
      <c r="R67" s="3" t="n">
        <f aca="false">MAX(1,CEILING(H67*Q67/P67,1))</f>
        <v>5</v>
      </c>
      <c r="S67" s="17" t="n">
        <f aca="false">F67/(R67*P67)</f>
        <v>8.62960732389421</v>
      </c>
      <c r="T67" s="13" t="n">
        <f aca="false">M67+R67*P67</f>
        <v>5560.79184976608</v>
      </c>
      <c r="U67" s="3" t="s">
        <v>657</v>
      </c>
      <c r="V67" s="16" t="n">
        <v>20000</v>
      </c>
      <c r="W67" s="17" t="n">
        <f aca="false">T67/V67</f>
        <v>0.278039592488304</v>
      </c>
    </row>
    <row r="68" customFormat="false" ht="15" hidden="false" customHeight="false" outlineLevel="0" collapsed="false">
      <c r="A68" s="3" t="s">
        <v>753</v>
      </c>
      <c r="B68" s="3" t="s">
        <v>457</v>
      </c>
      <c r="C68" s="3" t="s">
        <v>458</v>
      </c>
      <c r="D68" s="3" t="s">
        <v>214</v>
      </c>
      <c r="E68" s="3" t="s">
        <v>751</v>
      </c>
      <c r="F68" s="13" t="n">
        <f aca="false">CONSOLIDADO!Q67</f>
        <v>362.745930484914</v>
      </c>
      <c r="G68" s="15" t="n">
        <f aca="false">F68/240</f>
        <v>1.51144137702047</v>
      </c>
      <c r="H68" s="15" t="n">
        <f aca="false">CONSOLIDADO!R67/20</f>
        <v>1.63235668718211</v>
      </c>
      <c r="I68" s="3" t="n">
        <v>10</v>
      </c>
      <c r="J68" s="3" t="n">
        <v>10</v>
      </c>
      <c r="K68" s="3" t="s">
        <v>665</v>
      </c>
      <c r="L68" s="13" t="n">
        <f aca="false">G68*(I68+J68)/2</f>
        <v>15.1144137702047</v>
      </c>
      <c r="M68" s="13" t="n">
        <f aca="false">H68*J68-L68</f>
        <v>1.20915310161638</v>
      </c>
      <c r="N68" s="13" t="n">
        <f aca="false">L68+M68</f>
        <v>16.3235668718211</v>
      </c>
      <c r="O68" s="3" t="s">
        <v>675</v>
      </c>
      <c r="P68" s="16" t="n">
        <v>1000</v>
      </c>
      <c r="Q68" s="3" t="n">
        <v>20</v>
      </c>
      <c r="R68" s="3" t="n">
        <f aca="false">MAX(1,CEILING(H68*Q68/P68,1))</f>
        <v>1</v>
      </c>
      <c r="S68" s="17" t="n">
        <f aca="false">F68/(R68*P68)</f>
        <v>0.362745930484914</v>
      </c>
      <c r="T68" s="13" t="n">
        <f aca="false">M68+R68*P68</f>
        <v>1001.20915310162</v>
      </c>
      <c r="U68" s="3" t="s">
        <v>676</v>
      </c>
      <c r="V68" s="16" t="n">
        <v>20000</v>
      </c>
      <c r="W68" s="17" t="n">
        <f aca="false">T68/V68</f>
        <v>0.0500604576550808</v>
      </c>
    </row>
    <row r="69" customFormat="false" ht="15" hidden="false" customHeight="false" outlineLevel="0" collapsed="false">
      <c r="A69" s="3" t="s">
        <v>754</v>
      </c>
      <c r="B69" s="3" t="s">
        <v>509</v>
      </c>
      <c r="C69" s="3" t="s">
        <v>510</v>
      </c>
      <c r="D69" s="3" t="s">
        <v>214</v>
      </c>
      <c r="E69" s="3" t="s">
        <v>755</v>
      </c>
      <c r="F69" s="13" t="n">
        <f aca="false">CONSOLIDADO!Q68</f>
        <v>102177.896561299</v>
      </c>
      <c r="G69" s="15" t="n">
        <f aca="false">F69/240</f>
        <v>425.741235672078</v>
      </c>
      <c r="H69" s="15" t="n">
        <f aca="false">CONSOLIDADO!R68/20</f>
        <v>425.741235672078</v>
      </c>
      <c r="I69" s="3" t="n">
        <v>10</v>
      </c>
      <c r="J69" s="3" t="n">
        <v>10</v>
      </c>
      <c r="K69" s="3" t="s">
        <v>665</v>
      </c>
      <c r="L69" s="13" t="n">
        <f aca="false">G69*(I69+J69)/2</f>
        <v>4257.41235672078</v>
      </c>
      <c r="M69" s="13" t="n">
        <f aca="false">H69*J69-L69</f>
        <v>0</v>
      </c>
      <c r="N69" s="13" t="n">
        <f aca="false">L69+M69</f>
        <v>4257.41235672078</v>
      </c>
      <c r="O69" s="3" t="s">
        <v>675</v>
      </c>
      <c r="P69" s="16" t="n">
        <v>1000</v>
      </c>
      <c r="Q69" s="3" t="n">
        <v>20</v>
      </c>
      <c r="R69" s="3" t="n">
        <f aca="false">MAX(1,CEILING(H69*Q69/P69,1))</f>
        <v>9</v>
      </c>
      <c r="S69" s="17" t="n">
        <f aca="false">F69/(R69*P69)</f>
        <v>11.3530996179221</v>
      </c>
      <c r="T69" s="13" t="n">
        <f aca="false">M69+R69*P69</f>
        <v>9000</v>
      </c>
      <c r="U69" s="3" t="s">
        <v>727</v>
      </c>
      <c r="V69" s="16" t="n">
        <v>20000</v>
      </c>
      <c r="W69" s="17" t="n">
        <f aca="false">T69/V69</f>
        <v>0.45</v>
      </c>
    </row>
    <row r="70" customFormat="false" ht="15" hidden="false" customHeight="false" outlineLevel="0" collapsed="false">
      <c r="A70" s="3" t="s">
        <v>756</v>
      </c>
      <c r="B70" s="3" t="s">
        <v>265</v>
      </c>
      <c r="C70" s="3" t="s">
        <v>266</v>
      </c>
      <c r="D70" s="3" t="s">
        <v>214</v>
      </c>
      <c r="E70" s="3" t="s">
        <v>757</v>
      </c>
      <c r="F70" s="13" t="n">
        <f aca="false">CONSOLIDADO!Q69</f>
        <v>7424.858444</v>
      </c>
      <c r="G70" s="15" t="n">
        <f aca="false">F70/240</f>
        <v>30.9369101833333</v>
      </c>
      <c r="H70" s="15" t="n">
        <f aca="false">CONSOLIDADO!R69/20</f>
        <v>40.836721442</v>
      </c>
      <c r="I70" s="3" t="n">
        <v>15</v>
      </c>
      <c r="J70" s="3" t="n">
        <v>15</v>
      </c>
      <c r="K70" s="3" t="s">
        <v>665</v>
      </c>
      <c r="L70" s="13" t="n">
        <f aca="false">G70*(I70+J70)/2</f>
        <v>464.05365275</v>
      </c>
      <c r="M70" s="13" t="n">
        <f aca="false">H70*J70-L70</f>
        <v>148.49716888</v>
      </c>
      <c r="N70" s="13" t="n">
        <f aca="false">L70+M70</f>
        <v>612.55082163</v>
      </c>
      <c r="O70" s="3" t="s">
        <v>660</v>
      </c>
      <c r="P70" s="16" t="n">
        <v>100</v>
      </c>
      <c r="Q70" s="3" t="n">
        <v>20</v>
      </c>
      <c r="R70" s="3" t="n">
        <f aca="false">MAX(1,CEILING(H70*Q70/P70,1))</f>
        <v>9</v>
      </c>
      <c r="S70" s="17" t="n">
        <f aca="false">F70/(R70*P70)</f>
        <v>8.24984271555556</v>
      </c>
      <c r="T70" s="13" t="n">
        <f aca="false">M70+R70*P70</f>
        <v>1048.49716888</v>
      </c>
      <c r="U70" s="3" t="s">
        <v>657</v>
      </c>
      <c r="V70" s="16" t="n">
        <v>3000</v>
      </c>
      <c r="W70" s="17" t="n">
        <f aca="false">T70/V70</f>
        <v>0.349499056293333</v>
      </c>
    </row>
    <row r="71" customFormat="false" ht="15" hidden="false" customHeight="false" outlineLevel="0" collapsed="false">
      <c r="A71" s="3" t="s">
        <v>758</v>
      </c>
      <c r="B71" s="3" t="s">
        <v>268</v>
      </c>
      <c r="C71" s="3" t="s">
        <v>269</v>
      </c>
      <c r="D71" s="3" t="s">
        <v>214</v>
      </c>
      <c r="E71" s="3" t="s">
        <v>757</v>
      </c>
      <c r="F71" s="13" t="n">
        <f aca="false">CONSOLIDADO!Q70</f>
        <v>32428.7706862536</v>
      </c>
      <c r="G71" s="15" t="n">
        <f aca="false">F71/240</f>
        <v>135.11987785939</v>
      </c>
      <c r="H71" s="15" t="n">
        <f aca="false">CONSOLIDADO!R70/20</f>
        <v>178.358238774395</v>
      </c>
      <c r="I71" s="3" t="n">
        <v>15</v>
      </c>
      <c r="J71" s="3" t="n">
        <v>15</v>
      </c>
      <c r="K71" s="3" t="s">
        <v>665</v>
      </c>
      <c r="L71" s="13" t="n">
        <f aca="false">G71*(I71+J71)/2</f>
        <v>2026.79816789085</v>
      </c>
      <c r="M71" s="13" t="n">
        <f aca="false">H71*J71-L71</f>
        <v>648.575413725073</v>
      </c>
      <c r="N71" s="13" t="n">
        <f aca="false">L71+M71</f>
        <v>2675.37358161593</v>
      </c>
      <c r="O71" s="3" t="s">
        <v>660</v>
      </c>
      <c r="P71" s="16" t="n">
        <v>100</v>
      </c>
      <c r="Q71" s="3" t="n">
        <v>20</v>
      </c>
      <c r="R71" s="3" t="n">
        <f aca="false">MAX(1,CEILING(H71*Q71/P71,1))</f>
        <v>36</v>
      </c>
      <c r="S71" s="17" t="n">
        <f aca="false">F71/(R71*P71)</f>
        <v>9.00799185729268</v>
      </c>
      <c r="T71" s="13" t="n">
        <f aca="false">M71+R71*P71</f>
        <v>4248.57541372507</v>
      </c>
      <c r="U71" s="3" t="s">
        <v>657</v>
      </c>
      <c r="V71" s="16" t="n">
        <v>3000</v>
      </c>
      <c r="W71" s="17" t="n">
        <f aca="false">T71/V71</f>
        <v>1.41619180457502</v>
      </c>
    </row>
    <row r="72" customFormat="false" ht="15" hidden="false" customHeight="false" outlineLevel="0" collapsed="false">
      <c r="A72" s="3" t="s">
        <v>759</v>
      </c>
      <c r="B72" s="3" t="s">
        <v>271</v>
      </c>
      <c r="C72" s="3" t="s">
        <v>272</v>
      </c>
      <c r="D72" s="3" t="s">
        <v>214</v>
      </c>
      <c r="E72" s="3" t="s">
        <v>757</v>
      </c>
      <c r="F72" s="13" t="n">
        <f aca="false">CONSOLIDADO!Q71</f>
        <v>1842.87697319699</v>
      </c>
      <c r="G72" s="15" t="n">
        <f aca="false">F72/240</f>
        <v>7.67865405498744</v>
      </c>
      <c r="H72" s="15" t="n">
        <f aca="false">CONSOLIDADO!R71/20</f>
        <v>10.1358233525834</v>
      </c>
      <c r="I72" s="3" t="n">
        <v>15</v>
      </c>
      <c r="J72" s="3" t="n">
        <v>15</v>
      </c>
      <c r="K72" s="3" t="s">
        <v>665</v>
      </c>
      <c r="L72" s="13" t="n">
        <f aca="false">G72*(I72+J72)/2</f>
        <v>115.179810824812</v>
      </c>
      <c r="M72" s="13" t="n">
        <f aca="false">H72*J72-L72</f>
        <v>36.8575394639397</v>
      </c>
      <c r="N72" s="13" t="n">
        <f aca="false">L72+M72</f>
        <v>152.037350288751</v>
      </c>
      <c r="O72" s="3" t="s">
        <v>660</v>
      </c>
      <c r="P72" s="16" t="n">
        <v>100</v>
      </c>
      <c r="Q72" s="3" t="n">
        <v>20</v>
      </c>
      <c r="R72" s="3" t="n">
        <f aca="false">MAX(1,CEILING(H72*Q72/P72,1))</f>
        <v>3</v>
      </c>
      <c r="S72" s="17" t="n">
        <f aca="false">F72/(R72*P72)</f>
        <v>6.14292324398996</v>
      </c>
      <c r="T72" s="13" t="n">
        <f aca="false">M72+R72*P72</f>
        <v>336.85753946394</v>
      </c>
      <c r="U72" s="3" t="s">
        <v>657</v>
      </c>
      <c r="V72" s="16" t="n">
        <v>3000</v>
      </c>
      <c r="W72" s="17" t="n">
        <f aca="false">T72/V72</f>
        <v>0.11228584648798</v>
      </c>
    </row>
    <row r="73" customFormat="false" ht="15" hidden="false" customHeight="false" outlineLevel="0" collapsed="false">
      <c r="A73" s="3" t="s">
        <v>760</v>
      </c>
      <c r="B73" s="3" t="s">
        <v>274</v>
      </c>
      <c r="C73" s="3" t="s">
        <v>275</v>
      </c>
      <c r="D73" s="3" t="s">
        <v>214</v>
      </c>
      <c r="E73" s="3" t="s">
        <v>757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15</v>
      </c>
      <c r="J73" s="3" t="n">
        <v>15</v>
      </c>
      <c r="K73" s="3" t="s">
        <v>665</v>
      </c>
      <c r="L73" s="13" t="n">
        <f aca="false">G73*(I73+J73)/2</f>
        <v>2004.539945625</v>
      </c>
      <c r="M73" s="13" t="n">
        <f aca="false">H73*J73-L73</f>
        <v>881.997576075</v>
      </c>
      <c r="N73" s="13" t="n">
        <f aca="false">L73+M73</f>
        <v>2886.5375217</v>
      </c>
      <c r="O73" s="3" t="s">
        <v>660</v>
      </c>
      <c r="P73" s="16" t="n">
        <v>100</v>
      </c>
      <c r="Q73" s="3" t="n">
        <v>20</v>
      </c>
      <c r="R73" s="3" t="n">
        <f aca="false">MAX(1,CEILING(H73*Q73/P73,1))</f>
        <v>39</v>
      </c>
      <c r="S73" s="17" t="n">
        <f aca="false">F73/(R73*P73)</f>
        <v>8.22375362307692</v>
      </c>
      <c r="T73" s="13" t="n">
        <f aca="false">M73+R73*P73</f>
        <v>4781.997576075</v>
      </c>
      <c r="U73" s="3" t="s">
        <v>657</v>
      </c>
      <c r="V73" s="16" t="n">
        <v>3000</v>
      </c>
      <c r="W73" s="17" t="n">
        <f aca="false">T73/V73</f>
        <v>1.593999192025</v>
      </c>
    </row>
    <row r="74" customFormat="false" ht="15" hidden="false" customHeight="false" outlineLevel="0" collapsed="false">
      <c r="A74" s="3" t="s">
        <v>761</v>
      </c>
      <c r="B74" s="3" t="s">
        <v>277</v>
      </c>
      <c r="C74" s="3" t="s">
        <v>278</v>
      </c>
      <c r="D74" s="3" t="s">
        <v>214</v>
      </c>
      <c r="E74" s="3" t="s">
        <v>704</v>
      </c>
      <c r="F74" s="13" t="n">
        <f aca="false">CONSOLIDADO!Q73</f>
        <v>83393.0122069013</v>
      </c>
      <c r="G74" s="15" t="n">
        <f aca="false">F74/240</f>
        <v>347.470884195422</v>
      </c>
      <c r="H74" s="15" t="n">
        <f aca="false">CONSOLIDADO!R73/20</f>
        <v>458.661567137957</v>
      </c>
      <c r="I74" s="3" t="n">
        <v>10</v>
      </c>
      <c r="J74" s="3" t="n">
        <v>10</v>
      </c>
      <c r="K74" s="3" t="s">
        <v>665</v>
      </c>
      <c r="L74" s="13" t="n">
        <f aca="false">G74*(I74+J74)/2</f>
        <v>3474.70884195422</v>
      </c>
      <c r="M74" s="13" t="n">
        <f aca="false">H74*J74-L74</f>
        <v>1111.90682942535</v>
      </c>
      <c r="N74" s="13" t="n">
        <f aca="false">L74+M74</f>
        <v>4586.61567137957</v>
      </c>
      <c r="O74" s="3" t="s">
        <v>675</v>
      </c>
      <c r="P74" s="16" t="n">
        <v>1000</v>
      </c>
      <c r="Q74" s="3" t="n">
        <v>20</v>
      </c>
      <c r="R74" s="3" t="n">
        <f aca="false">MAX(1,CEILING(H74*Q74/P74,1))</f>
        <v>10</v>
      </c>
      <c r="S74" s="17" t="n">
        <f aca="false">F74/(R74*P74)</f>
        <v>8.33930122069013</v>
      </c>
      <c r="T74" s="13" t="n">
        <f aca="false">M74+R74*P74</f>
        <v>11111.9068294254</v>
      </c>
      <c r="U74" s="3" t="s">
        <v>657</v>
      </c>
      <c r="V74" s="16" t="n">
        <v>20000</v>
      </c>
      <c r="W74" s="17" t="n">
        <f aca="false">T74/V74</f>
        <v>0.555595341471268</v>
      </c>
    </row>
    <row r="75" customFormat="false" ht="15" hidden="false" customHeight="false" outlineLevel="0" collapsed="false">
      <c r="A75" s="3" t="s">
        <v>762</v>
      </c>
      <c r="B75" s="3" t="s">
        <v>512</v>
      </c>
      <c r="C75" s="3" t="s">
        <v>513</v>
      </c>
      <c r="D75" s="3" t="s">
        <v>214</v>
      </c>
      <c r="E75" s="3" t="s">
        <v>763</v>
      </c>
      <c r="F75" s="13" t="n">
        <f aca="false">CONSOLIDADO!Q74</f>
        <v>3105.77010888421</v>
      </c>
      <c r="G75" s="15" t="n">
        <f aca="false">F75/240</f>
        <v>12.9407087870176</v>
      </c>
      <c r="H75" s="15" t="n">
        <f aca="false">CONSOLIDADO!R74/20</f>
        <v>12.9407087870176</v>
      </c>
      <c r="I75" s="3" t="n">
        <v>15</v>
      </c>
      <c r="J75" s="3" t="n">
        <v>15</v>
      </c>
      <c r="K75" s="3" t="s">
        <v>665</v>
      </c>
      <c r="L75" s="13" t="n">
        <f aca="false">G75*(I75+J75)/2</f>
        <v>194.110631805263</v>
      </c>
      <c r="M75" s="13" t="n">
        <f aca="false">H75*J75-L75</f>
        <v>0</v>
      </c>
      <c r="N75" s="13" t="n">
        <f aca="false">L75+M75</f>
        <v>194.110631805263</v>
      </c>
      <c r="O75" s="3" t="s">
        <v>764</v>
      </c>
      <c r="P75" s="16" t="n">
        <v>100</v>
      </c>
      <c r="Q75" s="3" t="n">
        <v>60</v>
      </c>
      <c r="R75" s="3" t="n">
        <f aca="false">MAX(1,CEILING(H75*Q75/P75,1))</f>
        <v>8</v>
      </c>
      <c r="S75" s="17" t="n">
        <f aca="false">F75/(R75*P75)</f>
        <v>3.88221263610527</v>
      </c>
      <c r="T75" s="13" t="n">
        <f aca="false">M75+R75*P75</f>
        <v>800</v>
      </c>
      <c r="U75" s="3" t="s">
        <v>727</v>
      </c>
      <c r="V75" s="16" t="n">
        <v>2000</v>
      </c>
      <c r="W75" s="17" t="n">
        <f aca="false">T75/V75</f>
        <v>0.4</v>
      </c>
    </row>
    <row r="76" customFormat="false" ht="15" hidden="false" customHeight="false" outlineLevel="0" collapsed="false">
      <c r="A76" s="3" t="s">
        <v>765</v>
      </c>
      <c r="B76" s="3" t="s">
        <v>280</v>
      </c>
      <c r="C76" s="3" t="s">
        <v>281</v>
      </c>
      <c r="D76" s="3" t="s">
        <v>214</v>
      </c>
      <c r="E76" s="3" t="s">
        <v>766</v>
      </c>
      <c r="F76" s="13" t="n">
        <f aca="false">CONSOLIDADO!Q75</f>
        <v>32072.63913</v>
      </c>
      <c r="G76" s="15" t="n">
        <f aca="false">F76/240</f>
        <v>133.635996375</v>
      </c>
      <c r="H76" s="15" t="n">
        <f aca="false">CONSOLIDADO!R75/20</f>
        <v>192.43583478</v>
      </c>
      <c r="I76" s="3" t="n">
        <v>3</v>
      </c>
      <c r="J76" s="3" t="n">
        <v>7</v>
      </c>
      <c r="K76" s="3" t="s">
        <v>767</v>
      </c>
      <c r="L76" s="13" t="n">
        <f aca="false">G76*(I76+J76)/2</f>
        <v>668.179981875</v>
      </c>
      <c r="M76" s="13" t="n">
        <f aca="false">H76*J76-L76</f>
        <v>678.870861585</v>
      </c>
      <c r="N76" s="13" t="n">
        <f aca="false">L76+M76</f>
        <v>1347.05084346</v>
      </c>
      <c r="O76" s="3" t="s">
        <v>768</v>
      </c>
      <c r="P76" s="16" t="n">
        <v>1000</v>
      </c>
      <c r="Q76" s="3" t="n">
        <v>20</v>
      </c>
      <c r="R76" s="3" t="n">
        <f aca="false">MAX(1,CEILING(H76*Q76/P76,1))</f>
        <v>4</v>
      </c>
      <c r="S76" s="17" t="n">
        <f aca="false">F76/(R76*P76)</f>
        <v>8.0181597825</v>
      </c>
      <c r="T76" s="13" t="n">
        <f aca="false">M76+R76*P76</f>
        <v>4678.870861585</v>
      </c>
      <c r="U76" s="3" t="s">
        <v>769</v>
      </c>
      <c r="V76" s="16" t="n">
        <v>20000</v>
      </c>
      <c r="W76" s="17" t="n">
        <f aca="false">T76/V76</f>
        <v>0.23394354307925</v>
      </c>
    </row>
    <row r="77" customFormat="false" ht="15" hidden="false" customHeight="false" outlineLevel="0" collapsed="false">
      <c r="A77" s="3" t="s">
        <v>770</v>
      </c>
      <c r="B77" s="3" t="s">
        <v>283</v>
      </c>
      <c r="C77" s="3" t="s">
        <v>284</v>
      </c>
      <c r="D77" s="3" t="s">
        <v>214</v>
      </c>
      <c r="E77" s="3" t="s">
        <v>766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767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768</v>
      </c>
      <c r="P77" s="16" t="n">
        <v>1000</v>
      </c>
      <c r="Q77" s="3" t="n">
        <v>20</v>
      </c>
      <c r="R77" s="3" t="n">
        <f aca="false">MAX(1,CEILING(H77*Q77/P77,1))</f>
        <v>1</v>
      </c>
      <c r="S77" s="17" t="n">
        <f aca="false">F77/(R77*P77)</f>
        <v>7.424858444</v>
      </c>
      <c r="T77" s="13" t="n">
        <f aca="false">M77+R77*P77</f>
        <v>1131.17249917733</v>
      </c>
      <c r="U77" s="3" t="s">
        <v>769</v>
      </c>
      <c r="V77" s="16" t="n">
        <v>20000</v>
      </c>
      <c r="W77" s="17" t="n">
        <f aca="false">T77/V77</f>
        <v>0.0565586249588667</v>
      </c>
    </row>
    <row r="78" customFormat="false" ht="15" hidden="false" customHeight="false" outlineLevel="0" collapsed="false">
      <c r="A78" s="3" t="s">
        <v>771</v>
      </c>
      <c r="B78" s="3" t="s">
        <v>286</v>
      </c>
      <c r="C78" s="3" t="s">
        <v>287</v>
      </c>
      <c r="D78" s="3" t="s">
        <v>214</v>
      </c>
      <c r="E78" s="3" t="s">
        <v>766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767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768</v>
      </c>
      <c r="P78" s="16" t="n">
        <v>1000</v>
      </c>
      <c r="Q78" s="3" t="n">
        <v>20</v>
      </c>
      <c r="R78" s="3" t="n">
        <f aca="false">MAX(1,CEILING(H78*Q78/P78,1))</f>
        <v>4</v>
      </c>
      <c r="S78" s="17" t="n">
        <f aca="false">F78/(R78*P78)</f>
        <v>8.10719267156341</v>
      </c>
      <c r="T78" s="13" t="n">
        <f aca="false">M78+R78*P78</f>
        <v>4572.90828212381</v>
      </c>
      <c r="U78" s="3" t="s">
        <v>769</v>
      </c>
      <c r="V78" s="16" t="n">
        <v>20000</v>
      </c>
      <c r="W78" s="17" t="n">
        <f aca="false">T78/V78</f>
        <v>0.228645414106191</v>
      </c>
    </row>
    <row r="79" customFormat="false" ht="15" hidden="false" customHeight="false" outlineLevel="0" collapsed="false">
      <c r="A79" s="3" t="s">
        <v>772</v>
      </c>
      <c r="B79" s="3" t="s">
        <v>289</v>
      </c>
      <c r="C79" s="3" t="s">
        <v>290</v>
      </c>
      <c r="D79" s="3" t="s">
        <v>214</v>
      </c>
      <c r="E79" s="3" t="s">
        <v>766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767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768</v>
      </c>
      <c r="P79" s="16" t="n">
        <v>1000</v>
      </c>
      <c r="Q79" s="3" t="n">
        <v>20</v>
      </c>
      <c r="R79" s="3" t="n">
        <f aca="false">MAX(1,CEILING(H79*Q79/P79,1))</f>
        <v>1</v>
      </c>
      <c r="S79" s="17" t="n">
        <f aca="false">F79/(R79*P79)</f>
        <v>1.84287697319699</v>
      </c>
      <c r="T79" s="13" t="n">
        <f aca="false">M79+R79*P79</f>
        <v>1032.55749319315</v>
      </c>
      <c r="U79" s="3" t="s">
        <v>769</v>
      </c>
      <c r="V79" s="16" t="n">
        <v>20000</v>
      </c>
      <c r="W79" s="17" t="n">
        <f aca="false">T79/V79</f>
        <v>0.0516278746596573</v>
      </c>
    </row>
    <row r="80" customFormat="false" ht="15" hidden="false" customHeight="false" outlineLevel="0" collapsed="false">
      <c r="A80" s="3" t="s">
        <v>773</v>
      </c>
      <c r="B80" s="3" t="s">
        <v>460</v>
      </c>
      <c r="C80" s="3" t="s">
        <v>461</v>
      </c>
      <c r="D80" s="3" t="s">
        <v>214</v>
      </c>
      <c r="E80" s="3" t="s">
        <v>766</v>
      </c>
      <c r="F80" s="13" t="n">
        <f aca="false">CONSOLIDADO!Q79</f>
        <v>453.2705332</v>
      </c>
      <c r="G80" s="15" t="n">
        <f aca="false">F80/240</f>
        <v>1.88862722166667</v>
      </c>
      <c r="H80" s="15" t="n">
        <f aca="false">CONSOLIDADO!R79/20</f>
        <v>2.0397173994</v>
      </c>
      <c r="I80" s="3" t="n">
        <v>3</v>
      </c>
      <c r="J80" s="3" t="n">
        <v>7</v>
      </c>
      <c r="K80" s="3" t="s">
        <v>767</v>
      </c>
      <c r="L80" s="13" t="n">
        <f aca="false">G80*(I80+J80)/2</f>
        <v>9.44313610833333</v>
      </c>
      <c r="M80" s="13" t="n">
        <f aca="false">H80*J80-L80</f>
        <v>4.83488568746667</v>
      </c>
      <c r="N80" s="13" t="n">
        <f aca="false">L80+M80</f>
        <v>14.2780217958</v>
      </c>
      <c r="O80" s="3" t="s">
        <v>768</v>
      </c>
      <c r="P80" s="16" t="n">
        <v>1000</v>
      </c>
      <c r="Q80" s="3" t="n">
        <v>20</v>
      </c>
      <c r="R80" s="3" t="n">
        <f aca="false">MAX(1,CEILING(H80*Q80/P80,1))</f>
        <v>1</v>
      </c>
      <c r="S80" s="17" t="n">
        <f aca="false">F80/(R80*P80)</f>
        <v>0.4532705332</v>
      </c>
      <c r="T80" s="13" t="n">
        <f aca="false">M80+R80*P80</f>
        <v>1004.83488568747</v>
      </c>
      <c r="U80" s="3" t="s">
        <v>769</v>
      </c>
      <c r="V80" s="16" t="n">
        <v>20000</v>
      </c>
      <c r="W80" s="17" t="n">
        <f aca="false">T80/V80</f>
        <v>0.0502417442843733</v>
      </c>
    </row>
    <row r="81" customFormat="false" ht="15" hidden="false" customHeight="false" outlineLevel="0" collapsed="false">
      <c r="A81" s="3" t="s">
        <v>774</v>
      </c>
      <c r="B81" s="3" t="s">
        <v>463</v>
      </c>
      <c r="C81" s="3" t="s">
        <v>464</v>
      </c>
      <c r="D81" s="3" t="s">
        <v>214</v>
      </c>
      <c r="E81" s="3" t="s">
        <v>766</v>
      </c>
      <c r="F81" s="13" t="n">
        <f aca="false">CONSOLIDADO!Q80</f>
        <v>998.259982820404</v>
      </c>
      <c r="G81" s="15" t="n">
        <f aca="false">F81/240</f>
        <v>4.15941659508502</v>
      </c>
      <c r="H81" s="15" t="n">
        <f aca="false">CONSOLIDADO!R80/20</f>
        <v>4.49216992269182</v>
      </c>
      <c r="I81" s="3" t="n">
        <v>3</v>
      </c>
      <c r="J81" s="3" t="n">
        <v>7</v>
      </c>
      <c r="K81" s="3" t="s">
        <v>767</v>
      </c>
      <c r="L81" s="13" t="n">
        <f aca="false">G81*(I81+J81)/2</f>
        <v>20.7970829754251</v>
      </c>
      <c r="M81" s="13" t="n">
        <f aca="false">H81*J81-L81</f>
        <v>10.6481064834176</v>
      </c>
      <c r="N81" s="13" t="n">
        <f aca="false">L81+M81</f>
        <v>31.4451894588427</v>
      </c>
      <c r="O81" s="3" t="s">
        <v>768</v>
      </c>
      <c r="P81" s="16" t="n">
        <v>1000</v>
      </c>
      <c r="Q81" s="3" t="n">
        <v>20</v>
      </c>
      <c r="R81" s="3" t="n">
        <f aca="false">MAX(1,CEILING(H81*Q81/P81,1))</f>
        <v>1</v>
      </c>
      <c r="S81" s="17" t="n">
        <f aca="false">F81/(R81*P81)</f>
        <v>0.998259982820404</v>
      </c>
      <c r="T81" s="13" t="n">
        <f aca="false">M81+R81*P81</f>
        <v>1010.64810648342</v>
      </c>
      <c r="U81" s="3" t="s">
        <v>769</v>
      </c>
      <c r="V81" s="16" t="n">
        <v>20000</v>
      </c>
      <c r="W81" s="17" t="n">
        <f aca="false">T81/V81</f>
        <v>0.0505324053241709</v>
      </c>
    </row>
    <row r="82" customFormat="false" ht="15" hidden="false" customHeight="false" outlineLevel="0" collapsed="false">
      <c r="A82" s="3" t="s">
        <v>775</v>
      </c>
      <c r="B82" s="3" t="s">
        <v>466</v>
      </c>
      <c r="C82" s="3" t="s">
        <v>467</v>
      </c>
      <c r="D82" s="3" t="s">
        <v>214</v>
      </c>
      <c r="E82" s="3" t="s">
        <v>766</v>
      </c>
      <c r="F82" s="13" t="n">
        <f aca="false">CONSOLIDADO!Q81</f>
        <v>217.569856</v>
      </c>
      <c r="G82" s="15" t="n">
        <f aca="false">F82/240</f>
        <v>0.906541066666667</v>
      </c>
      <c r="H82" s="15" t="n">
        <f aca="false">CONSOLIDADO!R81/20</f>
        <v>0.979064352</v>
      </c>
      <c r="I82" s="3" t="n">
        <v>3</v>
      </c>
      <c r="J82" s="3" t="n">
        <v>7</v>
      </c>
      <c r="K82" s="3" t="s">
        <v>767</v>
      </c>
      <c r="L82" s="13" t="n">
        <f aca="false">G82*(I82+J82)/2</f>
        <v>4.53270533333333</v>
      </c>
      <c r="M82" s="13" t="n">
        <f aca="false">H82*J82-L82</f>
        <v>2.32074513066667</v>
      </c>
      <c r="N82" s="13" t="n">
        <f aca="false">L82+M82</f>
        <v>6.853450464</v>
      </c>
      <c r="O82" s="3" t="s">
        <v>768</v>
      </c>
      <c r="P82" s="16" t="n">
        <v>1000</v>
      </c>
      <c r="Q82" s="3" t="n">
        <v>20</v>
      </c>
      <c r="R82" s="3" t="n">
        <f aca="false">MAX(1,CEILING(H82*Q82/P82,1))</f>
        <v>1</v>
      </c>
      <c r="S82" s="17" t="n">
        <f aca="false">F82/(R82*P82)</f>
        <v>0.217569856</v>
      </c>
      <c r="T82" s="13" t="n">
        <f aca="false">M82+R82*P82</f>
        <v>1002.32074513067</v>
      </c>
      <c r="U82" s="3" t="s">
        <v>769</v>
      </c>
      <c r="V82" s="16" t="n">
        <v>20000</v>
      </c>
      <c r="W82" s="17" t="n">
        <f aca="false">T82/V82</f>
        <v>0.0501160372565333</v>
      </c>
    </row>
    <row r="83" customFormat="false" ht="15" hidden="false" customHeight="false" outlineLevel="0" collapsed="false">
      <c r="A83" s="3" t="s">
        <v>776</v>
      </c>
      <c r="B83" s="3" t="s">
        <v>469</v>
      </c>
      <c r="C83" s="3" t="s">
        <v>470</v>
      </c>
      <c r="D83" s="3" t="s">
        <v>214</v>
      </c>
      <c r="E83" s="3" t="s">
        <v>766</v>
      </c>
      <c r="F83" s="13" t="n">
        <f aca="false">CONSOLIDADO!Q82</f>
        <v>145.176074484914</v>
      </c>
      <c r="G83" s="15" t="n">
        <f aca="false">F83/240</f>
        <v>0.604900310353808</v>
      </c>
      <c r="H83" s="15" t="n">
        <f aca="false">CONSOLIDADO!R82/20</f>
        <v>0.653292335182113</v>
      </c>
      <c r="I83" s="3" t="n">
        <v>3</v>
      </c>
      <c r="J83" s="3" t="n">
        <v>7</v>
      </c>
      <c r="K83" s="3" t="s">
        <v>767</v>
      </c>
      <c r="L83" s="13" t="n">
        <f aca="false">G83*(I83+J83)/2</f>
        <v>3.02450155176904</v>
      </c>
      <c r="M83" s="13" t="n">
        <f aca="false">H83*J83-L83</f>
        <v>1.54854479450575</v>
      </c>
      <c r="N83" s="13" t="n">
        <f aca="false">L83+M83</f>
        <v>4.57304634627479</v>
      </c>
      <c r="O83" s="3" t="s">
        <v>768</v>
      </c>
      <c r="P83" s="16" t="n">
        <v>1000</v>
      </c>
      <c r="Q83" s="3" t="n">
        <v>20</v>
      </c>
      <c r="R83" s="3" t="n">
        <f aca="false">MAX(1,CEILING(H83*Q83/P83,1))</f>
        <v>1</v>
      </c>
      <c r="S83" s="17" t="n">
        <f aca="false">F83/(R83*P83)</f>
        <v>0.145176074484914</v>
      </c>
      <c r="T83" s="13" t="n">
        <f aca="false">M83+R83*P83</f>
        <v>1001.54854479451</v>
      </c>
      <c r="U83" s="3" t="s">
        <v>769</v>
      </c>
      <c r="V83" s="16" t="n">
        <v>20000</v>
      </c>
      <c r="W83" s="17" t="n">
        <f aca="false">T83/V83</f>
        <v>0.0500774272397253</v>
      </c>
    </row>
    <row r="84" customFormat="false" ht="15" hidden="false" customHeight="false" outlineLevel="0" collapsed="false">
      <c r="A84" s="3" t="s">
        <v>777</v>
      </c>
      <c r="B84" s="3" t="s">
        <v>292</v>
      </c>
      <c r="C84" s="3" t="s">
        <v>293</v>
      </c>
      <c r="D84" s="3" t="s">
        <v>214</v>
      </c>
      <c r="E84" s="3" t="s">
        <v>778</v>
      </c>
      <c r="F84" s="13" t="n">
        <f aca="false">CONSOLIDADO!Q83</f>
        <v>57729.4710949858</v>
      </c>
      <c r="G84" s="15" t="n">
        <f aca="false">F84/240</f>
        <v>240.539462895774</v>
      </c>
      <c r="H84" s="15" t="n">
        <f aca="false">CONSOLIDADO!R83/20</f>
        <v>328.374671848642</v>
      </c>
      <c r="I84" s="3" t="n">
        <v>10</v>
      </c>
      <c r="J84" s="3" t="n">
        <v>10</v>
      </c>
      <c r="K84" s="3" t="s">
        <v>665</v>
      </c>
      <c r="L84" s="13" t="n">
        <f aca="false">G84*(I84+J84)/2</f>
        <v>2405.39462895774</v>
      </c>
      <c r="M84" s="13" t="n">
        <f aca="false">H84*J84-L84</f>
        <v>878.352089528677</v>
      </c>
      <c r="N84" s="13" t="n">
        <f aca="false">L84+M84</f>
        <v>3283.74671848642</v>
      </c>
      <c r="O84" s="3" t="s">
        <v>779</v>
      </c>
      <c r="P84" s="16" t="n">
        <v>500</v>
      </c>
      <c r="Q84" s="3" t="n">
        <v>20</v>
      </c>
      <c r="R84" s="3" t="n">
        <f aca="false">MAX(1,CEILING(H84*Q84/P84,1))</f>
        <v>14</v>
      </c>
      <c r="S84" s="17" t="n">
        <f aca="false">F84/(R84*P84)</f>
        <v>8.24706729928369</v>
      </c>
      <c r="T84" s="13" t="n">
        <f aca="false">M84+R84*P84</f>
        <v>7878.35208952868</v>
      </c>
      <c r="U84" s="3" t="s">
        <v>769</v>
      </c>
      <c r="V84" s="16" t="n">
        <v>10000</v>
      </c>
      <c r="W84" s="17" t="n">
        <f aca="false">T84/V84</f>
        <v>0.787835208952868</v>
      </c>
    </row>
    <row r="85" customFormat="false" ht="15" hidden="false" customHeight="false" outlineLevel="0" collapsed="false">
      <c r="A85" s="3" t="s">
        <v>780</v>
      </c>
      <c r="B85" s="3" t="s">
        <v>296</v>
      </c>
      <c r="C85" s="3" t="s">
        <v>297</v>
      </c>
      <c r="D85" s="3" t="s">
        <v>214</v>
      </c>
      <c r="E85" s="3" t="s">
        <v>781</v>
      </c>
      <c r="F85" s="13" t="n">
        <f aca="false">CONSOLIDADO!Q84</f>
        <v>75583.421679956</v>
      </c>
      <c r="G85" s="15" t="n">
        <f aca="false">F85/240</f>
        <v>314.930923666483</v>
      </c>
      <c r="H85" s="15" t="n">
        <f aca="false">CONSOLIDADO!R84/20</f>
        <v>429.930862358252</v>
      </c>
      <c r="I85" s="3" t="n">
        <v>10</v>
      </c>
      <c r="J85" s="3" t="n">
        <v>10</v>
      </c>
      <c r="K85" s="3" t="s">
        <v>665</v>
      </c>
      <c r="L85" s="13" t="n">
        <f aca="false">G85*(I85+J85)/2</f>
        <v>3149.30923666483</v>
      </c>
      <c r="M85" s="13" t="n">
        <f aca="false">H85*J85-L85</f>
        <v>1149.99938691769</v>
      </c>
      <c r="N85" s="13" t="n">
        <f aca="false">L85+M85</f>
        <v>4299.30862358252</v>
      </c>
      <c r="O85" s="3" t="s">
        <v>779</v>
      </c>
      <c r="P85" s="16" t="n">
        <v>500</v>
      </c>
      <c r="Q85" s="3" t="n">
        <v>20</v>
      </c>
      <c r="R85" s="3" t="n">
        <f aca="false">MAX(1,CEILING(H85*Q85/P85,1))</f>
        <v>18</v>
      </c>
      <c r="S85" s="17" t="n">
        <f aca="false">F85/(R85*P85)</f>
        <v>8.39815796443955</v>
      </c>
      <c r="T85" s="13" t="n">
        <f aca="false">M85+R85*P85</f>
        <v>10149.9993869177</v>
      </c>
      <c r="U85" s="3" t="s">
        <v>769</v>
      </c>
      <c r="V85" s="16" t="n">
        <v>10000</v>
      </c>
      <c r="W85" s="17" t="n">
        <f aca="false">T85/V85</f>
        <v>1.01499993869177</v>
      </c>
    </row>
    <row r="86" customFormat="false" ht="15" hidden="false" customHeight="false" outlineLevel="0" collapsed="false">
      <c r="A86" s="3" t="s">
        <v>782</v>
      </c>
      <c r="B86" s="3" t="s">
        <v>299</v>
      </c>
      <c r="C86" s="3" t="s">
        <v>300</v>
      </c>
      <c r="D86" s="3" t="s">
        <v>214</v>
      </c>
      <c r="E86" s="3" t="s">
        <v>783</v>
      </c>
      <c r="F86" s="13" t="n">
        <f aca="false">CONSOLIDADO!Q85</f>
        <v>36987.9490552122</v>
      </c>
      <c r="G86" s="15" t="n">
        <f aca="false">F86/240</f>
        <v>154.116454396717</v>
      </c>
      <c r="H86" s="15" t="n">
        <f aca="false">CONSOLIDADO!R85/20</f>
        <v>172.921954753331</v>
      </c>
      <c r="I86" s="3" t="n">
        <v>10</v>
      </c>
      <c r="J86" s="3" t="n">
        <v>10</v>
      </c>
      <c r="K86" s="3" t="s">
        <v>665</v>
      </c>
      <c r="L86" s="13" t="n">
        <f aca="false">G86*(I86+J86)/2</f>
        <v>1541.16454396717</v>
      </c>
      <c r="M86" s="13" t="n">
        <f aca="false">H86*J86-L86</f>
        <v>188.055003566137</v>
      </c>
      <c r="N86" s="13" t="n">
        <f aca="false">L86+M86</f>
        <v>1729.21954753331</v>
      </c>
      <c r="O86" s="3" t="s">
        <v>779</v>
      </c>
      <c r="P86" s="16" t="n">
        <v>500</v>
      </c>
      <c r="Q86" s="3" t="n">
        <v>20</v>
      </c>
      <c r="R86" s="3" t="n">
        <f aca="false">MAX(1,CEILING(H86*Q86/P86,1))</f>
        <v>7</v>
      </c>
      <c r="S86" s="17" t="n">
        <f aca="false">F86/(R86*P86)</f>
        <v>10.5679854443463</v>
      </c>
      <c r="T86" s="13" t="n">
        <f aca="false">M86+R86*P86</f>
        <v>3688.05500356614</v>
      </c>
      <c r="U86" s="3" t="s">
        <v>769</v>
      </c>
      <c r="V86" s="16" t="n">
        <v>10000</v>
      </c>
      <c r="W86" s="17" t="n">
        <f aca="false">T86/V86</f>
        <v>0.368805500356614</v>
      </c>
    </row>
    <row r="87" customFormat="false" ht="15" hidden="false" customHeight="false" outlineLevel="0" collapsed="false">
      <c r="A87" s="3" t="s">
        <v>784</v>
      </c>
      <c r="B87" s="3" t="s">
        <v>303</v>
      </c>
      <c r="C87" s="3" t="s">
        <v>304</v>
      </c>
      <c r="D87" s="3" t="s">
        <v>214</v>
      </c>
      <c r="E87" s="3" t="s">
        <v>766</v>
      </c>
      <c r="F87" s="13" t="n">
        <f aca="false">CONSOLIDADO!Q86</f>
        <v>75583.421679956</v>
      </c>
      <c r="G87" s="15" t="n">
        <f aca="false">F87/240</f>
        <v>314.930923666483</v>
      </c>
      <c r="H87" s="15" t="n">
        <f aca="false">CONSOLIDADO!R86/20</f>
        <v>429.930862358252</v>
      </c>
      <c r="I87" s="3" t="n">
        <v>3</v>
      </c>
      <c r="J87" s="3" t="n">
        <v>7</v>
      </c>
      <c r="K87" s="3" t="s">
        <v>767</v>
      </c>
      <c r="L87" s="13" t="n">
        <f aca="false">G87*(I87+J87)/2</f>
        <v>1574.65461833242</v>
      </c>
      <c r="M87" s="13" t="n">
        <f aca="false">H87*J87-L87</f>
        <v>1434.86141817535</v>
      </c>
      <c r="N87" s="13" t="n">
        <f aca="false">L87+M87</f>
        <v>3009.51603650777</v>
      </c>
      <c r="O87" s="3" t="s">
        <v>768</v>
      </c>
      <c r="P87" s="16" t="n">
        <v>1000</v>
      </c>
      <c r="Q87" s="3" t="n">
        <v>20</v>
      </c>
      <c r="R87" s="3" t="n">
        <f aca="false">MAX(1,CEILING(H87*Q87/P87,1))</f>
        <v>9</v>
      </c>
      <c r="S87" s="17" t="n">
        <f aca="false">F87/(R87*P87)</f>
        <v>8.39815796443955</v>
      </c>
      <c r="T87" s="13" t="n">
        <f aca="false">M87+R87*P87</f>
        <v>10434.8614181754</v>
      </c>
      <c r="U87" s="3" t="s">
        <v>769</v>
      </c>
      <c r="V87" s="16" t="n">
        <v>20000</v>
      </c>
      <c r="W87" s="17" t="n">
        <f aca="false">T87/V87</f>
        <v>0.521743070908768</v>
      </c>
    </row>
    <row r="88" customFormat="false" ht="15" hidden="false" customHeight="false" outlineLevel="0" collapsed="false">
      <c r="A88" s="3" t="s">
        <v>785</v>
      </c>
      <c r="B88" s="3" t="s">
        <v>306</v>
      </c>
      <c r="C88" s="3" t="s">
        <v>307</v>
      </c>
      <c r="D88" s="3" t="s">
        <v>214</v>
      </c>
      <c r="E88" s="3" t="s">
        <v>766</v>
      </c>
      <c r="F88" s="13" t="n">
        <f aca="false">CONSOLIDADO!Q87</f>
        <v>75583.421679956</v>
      </c>
      <c r="G88" s="15" t="n">
        <f aca="false">F88/240</f>
        <v>314.930923666483</v>
      </c>
      <c r="H88" s="15" t="n">
        <f aca="false">CONSOLIDADO!R87/20</f>
        <v>429.930862358252</v>
      </c>
      <c r="I88" s="3" t="n">
        <v>3</v>
      </c>
      <c r="J88" s="3" t="n">
        <v>7</v>
      </c>
      <c r="K88" s="3" t="s">
        <v>767</v>
      </c>
      <c r="L88" s="13" t="n">
        <f aca="false">G88*(I88+J88)/2</f>
        <v>1574.65461833242</v>
      </c>
      <c r="M88" s="13" t="n">
        <f aca="false">H88*J88-L88</f>
        <v>1434.86141817535</v>
      </c>
      <c r="N88" s="13" t="n">
        <f aca="false">L88+M88</f>
        <v>3009.51603650777</v>
      </c>
      <c r="O88" s="3" t="s">
        <v>768</v>
      </c>
      <c r="P88" s="16" t="n">
        <v>1000</v>
      </c>
      <c r="Q88" s="3" t="n">
        <v>20</v>
      </c>
      <c r="R88" s="3" t="n">
        <f aca="false">MAX(1,CEILING(H88*Q88/P88,1))</f>
        <v>9</v>
      </c>
      <c r="S88" s="17" t="n">
        <f aca="false">F88/(R88*P88)</f>
        <v>8.39815796443955</v>
      </c>
      <c r="T88" s="13" t="n">
        <f aca="false">M88+R88*P88</f>
        <v>10434.8614181754</v>
      </c>
      <c r="U88" s="3" t="s">
        <v>769</v>
      </c>
      <c r="V88" s="16" t="n">
        <v>20000</v>
      </c>
      <c r="W88" s="17" t="n">
        <f aca="false">T88/V88</f>
        <v>0.521743070908768</v>
      </c>
    </row>
    <row r="89" customFormat="false" ht="15" hidden="false" customHeight="false" outlineLevel="0" collapsed="false">
      <c r="A89" s="3" t="s">
        <v>786</v>
      </c>
      <c r="B89" s="3" t="s">
        <v>309</v>
      </c>
      <c r="C89" s="3" t="s">
        <v>310</v>
      </c>
      <c r="D89" s="3" t="s">
        <v>214</v>
      </c>
      <c r="E89" s="3" t="s">
        <v>787</v>
      </c>
      <c r="F89" s="13" t="n">
        <f aca="false">CONSOLIDADO!Q88</f>
        <v>75583.421679956</v>
      </c>
      <c r="G89" s="15" t="n">
        <f aca="false">F89/240</f>
        <v>314.930923666483</v>
      </c>
      <c r="H89" s="15" t="n">
        <f aca="false">CONSOLIDADO!R88/20</f>
        <v>429.930862358252</v>
      </c>
      <c r="I89" s="3" t="n">
        <v>3</v>
      </c>
      <c r="J89" s="3" t="n">
        <v>5</v>
      </c>
      <c r="K89" s="3" t="s">
        <v>788</v>
      </c>
      <c r="L89" s="13" t="n">
        <f aca="false">G89*(I89+J89)/2</f>
        <v>1259.72369466593</v>
      </c>
      <c r="M89" s="13" t="n">
        <f aca="false">H89*J89-L89</f>
        <v>889.93061712533</v>
      </c>
      <c r="N89" s="13" t="n">
        <f aca="false">L89+M89</f>
        <v>2149.65431179126</v>
      </c>
      <c r="O89" s="3" t="s">
        <v>675</v>
      </c>
      <c r="P89" s="16" t="n">
        <v>1000</v>
      </c>
      <c r="Q89" s="3" t="n">
        <v>20</v>
      </c>
      <c r="R89" s="3" t="n">
        <f aca="false">MAX(1,CEILING(H89*Q89/P89,1))</f>
        <v>9</v>
      </c>
      <c r="S89" s="17" t="n">
        <f aca="false">F89/(R89*P89)</f>
        <v>8.39815796443955</v>
      </c>
      <c r="T89" s="13" t="n">
        <f aca="false">M89+R89*P89</f>
        <v>9889.93061712533</v>
      </c>
      <c r="U89" s="3" t="s">
        <v>769</v>
      </c>
      <c r="V89" s="16" t="n">
        <v>20000</v>
      </c>
      <c r="W89" s="17" t="n">
        <f aca="false">T89/V89</f>
        <v>0.494496530856267</v>
      </c>
    </row>
    <row r="90" customFormat="false" ht="15" hidden="false" customHeight="false" outlineLevel="0" collapsed="false">
      <c r="A90" s="3" t="s">
        <v>789</v>
      </c>
      <c r="B90" s="3" t="s">
        <v>312</v>
      </c>
      <c r="C90" s="3" t="s">
        <v>313</v>
      </c>
      <c r="D90" s="3" t="s">
        <v>214</v>
      </c>
      <c r="E90" s="3" t="s">
        <v>766</v>
      </c>
      <c r="F90" s="13" t="n">
        <f aca="false">CONSOLIDADO!Q89</f>
        <v>213430</v>
      </c>
      <c r="G90" s="15" t="n">
        <f aca="false">F90/240</f>
        <v>889.291666666667</v>
      </c>
      <c r="H90" s="15" t="n">
        <f aca="false">CONSOLIDADO!R89/20</f>
        <v>1257.852</v>
      </c>
      <c r="I90" s="3" t="n">
        <v>3</v>
      </c>
      <c r="J90" s="3" t="n">
        <v>7</v>
      </c>
      <c r="K90" s="3" t="s">
        <v>767</v>
      </c>
      <c r="L90" s="13" t="n">
        <f aca="false">G90*(I90+J90)/2</f>
        <v>4446.45833333333</v>
      </c>
      <c r="M90" s="13" t="n">
        <f aca="false">H90*J90-L90</f>
        <v>4358.50566666667</v>
      </c>
      <c r="N90" s="13" t="n">
        <f aca="false">L90+M90</f>
        <v>8804.964</v>
      </c>
      <c r="O90" s="3" t="s">
        <v>768</v>
      </c>
      <c r="P90" s="16" t="n">
        <v>1000</v>
      </c>
      <c r="Q90" s="3" t="n">
        <v>20</v>
      </c>
      <c r="R90" s="3" t="n">
        <f aca="false">MAX(1,CEILING(H90*Q90/P90,1))</f>
        <v>26</v>
      </c>
      <c r="S90" s="17" t="n">
        <f aca="false">F90/(R90*P90)</f>
        <v>8.20884615384615</v>
      </c>
      <c r="T90" s="13" t="n">
        <f aca="false">M90+R90*P90</f>
        <v>30358.5056666667</v>
      </c>
      <c r="U90" s="3" t="s">
        <v>769</v>
      </c>
      <c r="V90" s="16" t="n">
        <v>20000</v>
      </c>
      <c r="W90" s="17" t="n">
        <f aca="false">T90/V90</f>
        <v>1.51792528333333</v>
      </c>
    </row>
    <row r="91" customFormat="false" ht="15" hidden="false" customHeight="false" outlineLevel="0" collapsed="false">
      <c r="A91" s="3" t="s">
        <v>790</v>
      </c>
      <c r="B91" s="3" t="s">
        <v>315</v>
      </c>
      <c r="C91" s="3" t="s">
        <v>316</v>
      </c>
      <c r="D91" s="3" t="s">
        <v>214</v>
      </c>
      <c r="E91" s="3" t="s">
        <v>791</v>
      </c>
      <c r="F91" s="13" t="n">
        <f aca="false">CONSOLIDADO!Q90</f>
        <v>170548</v>
      </c>
      <c r="G91" s="15" t="n">
        <f aca="false">F91/240</f>
        <v>710.616666666667</v>
      </c>
      <c r="H91" s="15" t="n">
        <f aca="false">CONSOLIDADO!R90/20</f>
        <v>1023.288</v>
      </c>
      <c r="I91" s="3" t="n">
        <v>10</v>
      </c>
      <c r="J91" s="3" t="n">
        <v>10</v>
      </c>
      <c r="K91" s="3" t="s">
        <v>665</v>
      </c>
      <c r="L91" s="13" t="n">
        <f aca="false">G91*(I91+J91)/2</f>
        <v>7106.16666666667</v>
      </c>
      <c r="M91" s="13" t="n">
        <f aca="false">H91*J91-L91</f>
        <v>3126.71333333333</v>
      </c>
      <c r="N91" s="13" t="n">
        <f aca="false">L91+M91</f>
        <v>10232.88</v>
      </c>
      <c r="O91" s="3" t="s">
        <v>792</v>
      </c>
      <c r="P91" s="16" t="n">
        <v>5000</v>
      </c>
      <c r="Q91" s="3" t="n">
        <v>20</v>
      </c>
      <c r="R91" s="3" t="n">
        <f aca="false">MAX(1,CEILING(H91*Q91/P91,1))</f>
        <v>5</v>
      </c>
      <c r="S91" s="17" t="n">
        <f aca="false">F91/(R91*P91)</f>
        <v>6.82192</v>
      </c>
      <c r="T91" s="13" t="n">
        <f aca="false">M91+R91*P91</f>
        <v>28126.7133333333</v>
      </c>
      <c r="U91" s="3" t="s">
        <v>793</v>
      </c>
      <c r="V91" s="16" t="n">
        <v>40000</v>
      </c>
      <c r="W91" s="17" t="n">
        <f aca="false">T91/V91</f>
        <v>0.703167833333333</v>
      </c>
    </row>
    <row r="92" customFormat="false" ht="15" hidden="false" customHeight="false" outlineLevel="0" collapsed="false">
      <c r="A92" s="3" t="s">
        <v>794</v>
      </c>
      <c r="B92" s="3" t="s">
        <v>318</v>
      </c>
      <c r="C92" s="3" t="s">
        <v>319</v>
      </c>
      <c r="D92" s="3" t="s">
        <v>214</v>
      </c>
      <c r="E92" s="3" t="s">
        <v>791</v>
      </c>
      <c r="F92" s="13" t="n">
        <f aca="false">CONSOLIDADO!Q91</f>
        <v>42625</v>
      </c>
      <c r="G92" s="15" t="n">
        <f aca="false">F92/240</f>
        <v>177.604166666667</v>
      </c>
      <c r="H92" s="15" t="n">
        <f aca="false">CONSOLIDADO!R91/20</f>
        <v>233.4075</v>
      </c>
      <c r="I92" s="3" t="n">
        <v>10</v>
      </c>
      <c r="J92" s="3" t="n">
        <v>10</v>
      </c>
      <c r="K92" s="3" t="s">
        <v>665</v>
      </c>
      <c r="L92" s="13" t="n">
        <f aca="false">G92*(I92+J92)/2</f>
        <v>1776.04166666667</v>
      </c>
      <c r="M92" s="13" t="n">
        <f aca="false">H92*J92-L92</f>
        <v>558.033333333333</v>
      </c>
      <c r="N92" s="13" t="n">
        <f aca="false">L92+M92</f>
        <v>2334.075</v>
      </c>
      <c r="O92" s="3" t="s">
        <v>792</v>
      </c>
      <c r="P92" s="16" t="n">
        <v>5000</v>
      </c>
      <c r="Q92" s="3" t="n">
        <v>20</v>
      </c>
      <c r="R92" s="3" t="n">
        <f aca="false">MAX(1,CEILING(H92*Q92/P92,1))</f>
        <v>1</v>
      </c>
      <c r="S92" s="17" t="n">
        <f aca="false">F92/(R92*P92)</f>
        <v>8.525</v>
      </c>
      <c r="T92" s="13" t="n">
        <f aca="false">M92+R92*P92</f>
        <v>5558.03333333333</v>
      </c>
      <c r="U92" s="3" t="s">
        <v>793</v>
      </c>
      <c r="V92" s="16" t="n">
        <v>40000</v>
      </c>
      <c r="W92" s="17" t="n">
        <f aca="false">T92/V92</f>
        <v>0.138950833333333</v>
      </c>
    </row>
    <row r="93" customFormat="false" ht="15" hidden="false" customHeight="false" outlineLevel="0" collapsed="false">
      <c r="A93" s="3" t="s">
        <v>795</v>
      </c>
      <c r="B93" s="3" t="s">
        <v>480</v>
      </c>
      <c r="C93" s="3" t="s">
        <v>481</v>
      </c>
      <c r="D93" s="3" t="s">
        <v>214</v>
      </c>
      <c r="E93" s="3" t="s">
        <v>791</v>
      </c>
      <c r="F93" s="13" t="n">
        <f aca="false">CONSOLIDADO!Q92</f>
        <v>257</v>
      </c>
      <c r="G93" s="15" t="n">
        <f aca="false">F93/240</f>
        <v>1.07083333333333</v>
      </c>
      <c r="H93" s="15" t="n">
        <f aca="false">CONSOLIDADO!R92/20</f>
        <v>1.1565</v>
      </c>
      <c r="I93" s="3" t="n">
        <v>10</v>
      </c>
      <c r="J93" s="3" t="n">
        <v>10</v>
      </c>
      <c r="K93" s="3" t="s">
        <v>665</v>
      </c>
      <c r="L93" s="13" t="n">
        <f aca="false">G93*(I93+J93)/2</f>
        <v>10.7083333333333</v>
      </c>
      <c r="M93" s="13" t="n">
        <f aca="false">H93*J93-L93</f>
        <v>0.856666666666666</v>
      </c>
      <c r="N93" s="13" t="n">
        <f aca="false">L93+M93</f>
        <v>11.565</v>
      </c>
      <c r="O93" s="3" t="s">
        <v>792</v>
      </c>
      <c r="P93" s="16" t="n">
        <v>5000</v>
      </c>
      <c r="Q93" s="3" t="n">
        <v>20</v>
      </c>
      <c r="R93" s="3" t="n">
        <f aca="false">MAX(1,CEILING(H93*Q93/P93,1))</f>
        <v>1</v>
      </c>
      <c r="S93" s="17" t="n">
        <f aca="false">F93/(R93*P93)</f>
        <v>0.0514</v>
      </c>
      <c r="T93" s="13" t="n">
        <f aca="false">M93+R93*P93</f>
        <v>5000.85666666667</v>
      </c>
      <c r="U93" s="3" t="s">
        <v>793</v>
      </c>
      <c r="V93" s="16" t="n">
        <v>40000</v>
      </c>
      <c r="W93" s="17" t="n">
        <f aca="false">T93/V93</f>
        <v>0.125021416666667</v>
      </c>
    </row>
    <row r="94" customFormat="false" ht="15" hidden="false" customHeight="false" outlineLevel="0" collapsed="false">
      <c r="A94" s="3" t="s">
        <v>796</v>
      </c>
      <c r="B94" s="3" t="s">
        <v>321</v>
      </c>
      <c r="C94" s="3" t="s">
        <v>322</v>
      </c>
      <c r="D94" s="3" t="s">
        <v>214</v>
      </c>
      <c r="E94" s="3" t="s">
        <v>766</v>
      </c>
      <c r="F94" s="13" t="n">
        <f aca="false">CONSOLIDADO!Q93</f>
        <v>212272.892396569</v>
      </c>
      <c r="G94" s="15" t="n">
        <f aca="false">F94/240</f>
        <v>884.470384985703</v>
      </c>
      <c r="H94" s="15" t="n">
        <f aca="false">CONSOLIDADO!R93/20</f>
        <v>1252.60171831904</v>
      </c>
      <c r="I94" s="3" t="n">
        <v>10</v>
      </c>
      <c r="J94" s="3" t="n">
        <v>10</v>
      </c>
      <c r="K94" s="3" t="s">
        <v>665</v>
      </c>
      <c r="L94" s="13" t="n">
        <f aca="false">G94*(I94+J94)/2</f>
        <v>8844.70384985703</v>
      </c>
      <c r="M94" s="13" t="n">
        <f aca="false">H94*J94-L94</f>
        <v>3681.31333333333</v>
      </c>
      <c r="N94" s="13" t="n">
        <f aca="false">L94+M94</f>
        <v>12526.0171831904</v>
      </c>
      <c r="O94" s="3" t="s">
        <v>779</v>
      </c>
      <c r="P94" s="16" t="n">
        <v>500</v>
      </c>
      <c r="Q94" s="3" t="n">
        <v>20</v>
      </c>
      <c r="R94" s="3" t="n">
        <f aca="false">MAX(1,CEILING(H94*Q94/P94,1))</f>
        <v>51</v>
      </c>
      <c r="S94" s="17" t="n">
        <f aca="false">F94/(R94*P94)</f>
        <v>8.32442715280662</v>
      </c>
      <c r="T94" s="13" t="n">
        <f aca="false">M94+R94*P94</f>
        <v>29181.3133333333</v>
      </c>
      <c r="U94" s="3" t="s">
        <v>769</v>
      </c>
      <c r="V94" s="16" t="n">
        <v>10000</v>
      </c>
      <c r="W94" s="17" t="n">
        <f aca="false">T94/V94</f>
        <v>2.91813133333333</v>
      </c>
    </row>
    <row r="95" customFormat="false" ht="15" hidden="false" customHeight="false" outlineLevel="0" collapsed="false">
      <c r="A95" s="3" t="s">
        <v>797</v>
      </c>
      <c r="B95" s="3" t="s">
        <v>515</v>
      </c>
      <c r="C95" s="3" t="s">
        <v>516</v>
      </c>
      <c r="D95" s="3" t="s">
        <v>214</v>
      </c>
      <c r="E95" s="3" t="s">
        <v>766</v>
      </c>
      <c r="F95" s="13" t="n">
        <f aca="false">CONSOLIDADO!Q94</f>
        <v>108186.304977739</v>
      </c>
      <c r="G95" s="15" t="n">
        <f aca="false">F95/240</f>
        <v>450.77627074058</v>
      </c>
      <c r="H95" s="15" t="n">
        <f aca="false">CONSOLIDADO!R94/20</f>
        <v>450.77627074058</v>
      </c>
      <c r="I95" s="3" t="n">
        <v>3</v>
      </c>
      <c r="J95" s="3" t="n">
        <v>7</v>
      </c>
      <c r="K95" s="3" t="s">
        <v>767</v>
      </c>
      <c r="L95" s="13" t="n">
        <f aca="false">G95*(I95+J95)/2</f>
        <v>2253.8813537029</v>
      </c>
      <c r="M95" s="13" t="n">
        <f aca="false">H95*J95-L95</f>
        <v>901.55254148116</v>
      </c>
      <c r="N95" s="13" t="n">
        <f aca="false">L95+M95</f>
        <v>3155.43389518406</v>
      </c>
      <c r="O95" s="3" t="s">
        <v>798</v>
      </c>
      <c r="P95" s="16" t="n">
        <v>1000</v>
      </c>
      <c r="Q95" s="3" t="n">
        <v>20</v>
      </c>
      <c r="R95" s="3" t="n">
        <f aca="false">MAX(1,CEILING(H95*Q95/P95,1))</f>
        <v>10</v>
      </c>
      <c r="S95" s="17" t="n">
        <f aca="false">F95/(R95*P95)</f>
        <v>10.8186304977739</v>
      </c>
      <c r="T95" s="13" t="n">
        <f aca="false">M95+R95*P95</f>
        <v>10901.5525414812</v>
      </c>
      <c r="U95" s="3" t="s">
        <v>727</v>
      </c>
      <c r="V95" s="16" t="n">
        <v>20000</v>
      </c>
      <c r="W95" s="17" t="n">
        <f aca="false">T95/V95</f>
        <v>0.545077627074058</v>
      </c>
    </row>
    <row r="96" customFormat="false" ht="15" hidden="false" customHeight="false" outlineLevel="0" collapsed="false">
      <c r="A96" s="3" t="s">
        <v>799</v>
      </c>
      <c r="B96" s="3" t="s">
        <v>518</v>
      </c>
      <c r="C96" s="3" t="s">
        <v>519</v>
      </c>
      <c r="D96" s="3" t="s">
        <v>214</v>
      </c>
      <c r="E96" s="3" t="s">
        <v>787</v>
      </c>
      <c r="F96" s="13" t="n">
        <f aca="false">CONSOLIDADO!Q95</f>
        <v>108186.304977739</v>
      </c>
      <c r="G96" s="15" t="n">
        <f aca="false">F96/240</f>
        <v>450.77627074058</v>
      </c>
      <c r="H96" s="15" t="n">
        <f aca="false">CONSOLIDADO!R95/20</f>
        <v>450.77627074058</v>
      </c>
      <c r="I96" s="3" t="n">
        <v>3</v>
      </c>
      <c r="J96" s="3" t="n">
        <v>5</v>
      </c>
      <c r="K96" s="3" t="s">
        <v>788</v>
      </c>
      <c r="L96" s="13" t="n">
        <f aca="false">G96*(I96+J96)/2</f>
        <v>1803.10508296232</v>
      </c>
      <c r="M96" s="13" t="n">
        <f aca="false">H96*J96-L96</f>
        <v>450.77627074058</v>
      </c>
      <c r="N96" s="13" t="n">
        <f aca="false">L96+M96</f>
        <v>2253.8813537029</v>
      </c>
      <c r="O96" s="3" t="s">
        <v>675</v>
      </c>
      <c r="P96" s="16" t="n">
        <v>1000</v>
      </c>
      <c r="Q96" s="3" t="n">
        <v>20</v>
      </c>
      <c r="R96" s="3" t="n">
        <f aca="false">MAX(1,CEILING(H96*Q96/P96,1))</f>
        <v>10</v>
      </c>
      <c r="S96" s="17" t="n">
        <f aca="false">F96/(R96*P96)</f>
        <v>10.8186304977739</v>
      </c>
      <c r="T96" s="13" t="n">
        <f aca="false">M96+R96*P96</f>
        <v>10450.7762707406</v>
      </c>
      <c r="U96" s="3" t="s">
        <v>727</v>
      </c>
      <c r="V96" s="16" t="n">
        <v>20000</v>
      </c>
      <c r="W96" s="17" t="n">
        <f aca="false">T96/V96</f>
        <v>0.522538813537029</v>
      </c>
    </row>
    <row r="97" customFormat="false" ht="15" hidden="false" customHeight="false" outlineLevel="0" collapsed="false">
      <c r="A97" s="3" t="s">
        <v>800</v>
      </c>
      <c r="B97" s="3" t="s">
        <v>521</v>
      </c>
      <c r="C97" s="3" t="s">
        <v>522</v>
      </c>
      <c r="D97" s="3" t="s">
        <v>214</v>
      </c>
      <c r="E97" s="3" t="s">
        <v>766</v>
      </c>
      <c r="F97" s="13" t="n">
        <f aca="false">CONSOLIDADO!Q96</f>
        <v>108186.304977739</v>
      </c>
      <c r="G97" s="15" t="n">
        <f aca="false">F97/240</f>
        <v>450.77627074058</v>
      </c>
      <c r="H97" s="15" t="n">
        <f aca="false">CONSOLIDADO!R96/20</f>
        <v>450.77627074058</v>
      </c>
      <c r="I97" s="3" t="n">
        <v>3</v>
      </c>
      <c r="J97" s="3" t="n">
        <v>7</v>
      </c>
      <c r="K97" s="3" t="s">
        <v>767</v>
      </c>
      <c r="L97" s="13" t="n">
        <f aca="false">G97*(I97+J97)/2</f>
        <v>2253.8813537029</v>
      </c>
      <c r="M97" s="13" t="n">
        <f aca="false">H97*J97-L97</f>
        <v>901.55254148116</v>
      </c>
      <c r="N97" s="13" t="n">
        <f aca="false">L97+M97</f>
        <v>3155.43389518406</v>
      </c>
      <c r="O97" s="3" t="s">
        <v>768</v>
      </c>
      <c r="P97" s="16" t="n">
        <v>1000</v>
      </c>
      <c r="Q97" s="3" t="n">
        <v>20</v>
      </c>
      <c r="R97" s="3" t="n">
        <f aca="false">MAX(1,CEILING(H97*Q97/P97,1))</f>
        <v>10</v>
      </c>
      <c r="S97" s="17" t="n">
        <f aca="false">F97/(R97*P97)</f>
        <v>10.8186304977739</v>
      </c>
      <c r="T97" s="13" t="n">
        <f aca="false">M97+R97*P97</f>
        <v>10901.5525414812</v>
      </c>
      <c r="U97" s="3" t="s">
        <v>727</v>
      </c>
      <c r="V97" s="16" t="n">
        <v>20000</v>
      </c>
      <c r="W97" s="17" t="n">
        <f aca="false">T97/V97</f>
        <v>0.545077627074058</v>
      </c>
    </row>
    <row r="98" customFormat="false" ht="15" hidden="false" customHeight="false" outlineLevel="0" collapsed="false">
      <c r="A98" s="3" t="s">
        <v>801</v>
      </c>
      <c r="B98" s="3" t="s">
        <v>524</v>
      </c>
      <c r="C98" s="3" t="s">
        <v>525</v>
      </c>
      <c r="D98" s="3" t="s">
        <v>214</v>
      </c>
      <c r="E98" s="3" t="s">
        <v>778</v>
      </c>
      <c r="F98" s="13" t="n">
        <f aca="false">CONSOLIDADO!Q97</f>
        <v>85734.5647571335</v>
      </c>
      <c r="G98" s="15" t="n">
        <f aca="false">F98/240</f>
        <v>357.227353154723</v>
      </c>
      <c r="H98" s="15" t="n">
        <f aca="false">CONSOLIDADO!R97/20</f>
        <v>357.227353154723</v>
      </c>
      <c r="I98" s="3" t="n">
        <v>10</v>
      </c>
      <c r="J98" s="3" t="n">
        <v>10</v>
      </c>
      <c r="K98" s="3" t="s">
        <v>665</v>
      </c>
      <c r="L98" s="13" t="n">
        <f aca="false">G98*(I98+J98)/2</f>
        <v>3572.27353154723</v>
      </c>
      <c r="M98" s="13" t="n">
        <f aca="false">H98*J98-L98</f>
        <v>0</v>
      </c>
      <c r="N98" s="13" t="n">
        <f aca="false">L98+M98</f>
        <v>3572.27353154723</v>
      </c>
      <c r="O98" s="3" t="s">
        <v>779</v>
      </c>
      <c r="P98" s="16" t="n">
        <v>500</v>
      </c>
      <c r="Q98" s="3" t="n">
        <v>20</v>
      </c>
      <c r="R98" s="3" t="n">
        <f aca="false">MAX(1,CEILING(H98*Q98/P98,1))</f>
        <v>15</v>
      </c>
      <c r="S98" s="17" t="n">
        <f aca="false">F98/(R98*P98)</f>
        <v>11.4312753009511</v>
      </c>
      <c r="T98" s="13" t="n">
        <f aca="false">M98+R98*P98</f>
        <v>7500</v>
      </c>
      <c r="U98" s="3" t="s">
        <v>727</v>
      </c>
      <c r="V98" s="16" t="n">
        <v>10000</v>
      </c>
      <c r="W98" s="17" t="n">
        <f aca="false">T98/V98</f>
        <v>0.75</v>
      </c>
    </row>
    <row r="99" customFormat="false" ht="15" hidden="false" customHeight="false" outlineLevel="0" collapsed="false">
      <c r="A99" s="3" t="s">
        <v>802</v>
      </c>
      <c r="B99" s="3" t="s">
        <v>527</v>
      </c>
      <c r="C99" s="3" t="s">
        <v>528</v>
      </c>
      <c r="D99" s="3" t="s">
        <v>214</v>
      </c>
      <c r="E99" s="3" t="s">
        <v>778</v>
      </c>
      <c r="F99" s="13" t="n">
        <f aca="false">CONSOLIDADO!Q98</f>
        <v>85734.5647571335</v>
      </c>
      <c r="G99" s="15" t="n">
        <f aca="false">F99/240</f>
        <v>357.227353154723</v>
      </c>
      <c r="H99" s="15" t="n">
        <f aca="false">CONSOLIDADO!R98/20</f>
        <v>357.227353154723</v>
      </c>
      <c r="I99" s="3" t="n">
        <v>10</v>
      </c>
      <c r="J99" s="3" t="n">
        <v>10</v>
      </c>
      <c r="K99" s="3" t="s">
        <v>665</v>
      </c>
      <c r="L99" s="13" t="n">
        <f aca="false">G99*(I99+J99)/2</f>
        <v>3572.27353154723</v>
      </c>
      <c r="M99" s="13" t="n">
        <f aca="false">H99*J99-L99</f>
        <v>0</v>
      </c>
      <c r="N99" s="13" t="n">
        <f aca="false">L99+M99</f>
        <v>3572.27353154723</v>
      </c>
      <c r="O99" s="3" t="s">
        <v>779</v>
      </c>
      <c r="P99" s="16" t="n">
        <v>500</v>
      </c>
      <c r="Q99" s="3" t="n">
        <v>20</v>
      </c>
      <c r="R99" s="3" t="n">
        <f aca="false">MAX(1,CEILING(H99*Q99/P99,1))</f>
        <v>15</v>
      </c>
      <c r="S99" s="17" t="n">
        <f aca="false">F99/(R99*P99)</f>
        <v>11.4312753009511</v>
      </c>
      <c r="T99" s="13" t="n">
        <f aca="false">M99+R99*P99</f>
        <v>7500</v>
      </c>
      <c r="U99" s="3" t="s">
        <v>727</v>
      </c>
      <c r="V99" s="16" t="n">
        <v>10000</v>
      </c>
      <c r="W99" s="17" t="n">
        <f aca="false">T99/V99</f>
        <v>0.75</v>
      </c>
    </row>
    <row r="100" customFormat="false" ht="15" hidden="false" customHeight="false" outlineLevel="0" collapsed="false">
      <c r="A100" s="3" t="s">
        <v>803</v>
      </c>
      <c r="B100" s="3" t="s">
        <v>534</v>
      </c>
      <c r="C100" s="3" t="s">
        <v>535</v>
      </c>
      <c r="D100" s="3" t="s">
        <v>214</v>
      </c>
      <c r="E100" s="3" t="s">
        <v>766</v>
      </c>
      <c r="F100" s="13" t="n">
        <f aca="false">CONSOLIDADO!Q99</f>
        <v>129.892396568768</v>
      </c>
      <c r="G100" s="15" t="n">
        <f aca="false">F100/240</f>
        <v>0.541218319036533</v>
      </c>
      <c r="H100" s="15" t="n">
        <f aca="false">CONSOLIDADO!R99/20</f>
        <v>0.541218319036533</v>
      </c>
      <c r="I100" s="3" t="n">
        <v>3</v>
      </c>
      <c r="J100" s="3" t="n">
        <v>7</v>
      </c>
      <c r="K100" s="3" t="s">
        <v>767</v>
      </c>
      <c r="L100" s="13" t="n">
        <f aca="false">G100*(I100+J100)/2</f>
        <v>2.70609159518266</v>
      </c>
      <c r="M100" s="13" t="n">
        <f aca="false">H100*J100-L100</f>
        <v>1.08243663807307</v>
      </c>
      <c r="N100" s="13" t="n">
        <f aca="false">L100+M100</f>
        <v>3.78852823325573</v>
      </c>
      <c r="O100" s="3" t="s">
        <v>768</v>
      </c>
      <c r="P100" s="16" t="n">
        <v>1000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0.129892396568768</v>
      </c>
      <c r="T100" s="13" t="n">
        <f aca="false">M100+R100*P100</f>
        <v>1001.08243663807</v>
      </c>
      <c r="U100" s="3" t="s">
        <v>727</v>
      </c>
      <c r="V100" s="16" t="n">
        <v>20000</v>
      </c>
      <c r="W100" s="17" t="n">
        <f aca="false">T100/V100</f>
        <v>0.0500541218319037</v>
      </c>
    </row>
    <row r="101" customFormat="false" ht="15" hidden="false" customHeight="false" outlineLevel="0" collapsed="false">
      <c r="A101" s="3" t="s">
        <v>804</v>
      </c>
      <c r="B101" s="3" t="s">
        <v>537</v>
      </c>
      <c r="C101" s="3" t="s">
        <v>538</v>
      </c>
      <c r="D101" s="3" t="s">
        <v>214</v>
      </c>
      <c r="E101" s="3" t="s">
        <v>778</v>
      </c>
      <c r="F101" s="13" t="n">
        <f aca="false">CONSOLIDADO!Q100</f>
        <v>102.93602399468</v>
      </c>
      <c r="G101" s="15" t="n">
        <f aca="false">F101/240</f>
        <v>0.428900099977832</v>
      </c>
      <c r="H101" s="15" t="n">
        <f aca="false">CONSOLIDADO!R100/20</f>
        <v>0.428900099977832</v>
      </c>
      <c r="I101" s="3" t="n">
        <v>10</v>
      </c>
      <c r="J101" s="3" t="n">
        <v>10</v>
      </c>
      <c r="K101" s="3" t="s">
        <v>665</v>
      </c>
      <c r="L101" s="13" t="n">
        <f aca="false">G101*(I101+J101)/2</f>
        <v>4.28900099977832</v>
      </c>
      <c r="M101" s="13" t="n">
        <f aca="false">H101*J101-L101</f>
        <v>0</v>
      </c>
      <c r="N101" s="13" t="n">
        <f aca="false">L101+M101</f>
        <v>4.28900099977832</v>
      </c>
      <c r="O101" s="3" t="s">
        <v>779</v>
      </c>
      <c r="P101" s="16" t="n">
        <v>500</v>
      </c>
      <c r="Q101" s="3" t="n">
        <v>20</v>
      </c>
      <c r="R101" s="3" t="n">
        <f aca="false">MAX(1,CEILING(H101*Q101/P101,1))</f>
        <v>1</v>
      </c>
      <c r="S101" s="17" t="n">
        <f aca="false">F101/(R101*P101)</f>
        <v>0.20587204798936</v>
      </c>
      <c r="T101" s="13" t="n">
        <f aca="false">M101+R101*P101</f>
        <v>500</v>
      </c>
      <c r="U101" s="3" t="s">
        <v>727</v>
      </c>
      <c r="V101" s="16" t="n">
        <v>10000</v>
      </c>
      <c r="W101" s="17" t="n">
        <f aca="false">T101/V101</f>
        <v>0.05</v>
      </c>
    </row>
    <row r="102" customFormat="false" ht="15" hidden="false" customHeight="false" outlineLevel="0" collapsed="false">
      <c r="A102" s="3" t="s">
        <v>805</v>
      </c>
      <c r="B102" s="3" t="s">
        <v>540</v>
      </c>
      <c r="C102" s="3" t="s">
        <v>541</v>
      </c>
      <c r="D102" s="3" t="s">
        <v>214</v>
      </c>
      <c r="E102" s="3" t="s">
        <v>783</v>
      </c>
      <c r="F102" s="13" t="n">
        <f aca="false">CONSOLIDADO!Q101</f>
        <v>26.9563725740881</v>
      </c>
      <c r="G102" s="15" t="n">
        <f aca="false">F102/240</f>
        <v>0.112318219058701</v>
      </c>
      <c r="H102" s="15" t="n">
        <f aca="false">CONSOLIDADO!R101/20</f>
        <v>0.112318219058701</v>
      </c>
      <c r="I102" s="3" t="n">
        <v>10</v>
      </c>
      <c r="J102" s="3" t="n">
        <v>10</v>
      </c>
      <c r="K102" s="3" t="s">
        <v>665</v>
      </c>
      <c r="L102" s="13" t="n">
        <f aca="false">G102*(I102+J102)/2</f>
        <v>1.12318219058701</v>
      </c>
      <c r="M102" s="13" t="n">
        <f aca="false">H102*J102-L102</f>
        <v>0</v>
      </c>
      <c r="N102" s="13" t="n">
        <f aca="false">L102+M102</f>
        <v>1.12318219058701</v>
      </c>
      <c r="O102" s="3" t="s">
        <v>779</v>
      </c>
      <c r="P102" s="16" t="n">
        <v>500</v>
      </c>
      <c r="Q102" s="3" t="n">
        <v>20</v>
      </c>
      <c r="R102" s="3" t="n">
        <f aca="false">MAX(1,CEILING(H102*Q102/P102,1))</f>
        <v>1</v>
      </c>
      <c r="S102" s="17" t="n">
        <f aca="false">F102/(R102*P102)</f>
        <v>0.0539127451481763</v>
      </c>
      <c r="T102" s="13" t="n">
        <f aca="false">M102+R102*P102</f>
        <v>500</v>
      </c>
      <c r="U102" s="3" t="s">
        <v>727</v>
      </c>
      <c r="V102" s="16" t="n">
        <v>10000</v>
      </c>
      <c r="W102" s="17" t="n">
        <f aca="false">T102/V102</f>
        <v>0.05</v>
      </c>
    </row>
    <row r="103" customFormat="false" ht="15" hidden="false" customHeight="false" outlineLevel="0" collapsed="false">
      <c r="A103" s="3" t="s">
        <v>806</v>
      </c>
      <c r="B103" s="3" t="s">
        <v>531</v>
      </c>
      <c r="C103" s="3" t="s">
        <v>532</v>
      </c>
      <c r="D103" s="3" t="s">
        <v>503</v>
      </c>
      <c r="E103" s="3" t="s">
        <v>709</v>
      </c>
      <c r="F103" s="13" t="n">
        <f aca="false">CONSOLIDADO!Q102</f>
        <v>279.348843561067</v>
      </c>
      <c r="G103" s="15" t="n">
        <f aca="false">F103/240</f>
        <v>1.16395351483778</v>
      </c>
      <c r="H103" s="15" t="n">
        <f aca="false">CONSOLIDADO!R102/20</f>
        <v>1.16395351483778</v>
      </c>
      <c r="I103" s="3" t="n">
        <v>5</v>
      </c>
      <c r="J103" s="3" t="n">
        <v>5</v>
      </c>
      <c r="K103" s="3" t="s">
        <v>665</v>
      </c>
      <c r="L103" s="13" t="n">
        <f aca="false">G103*(I103+J103)/2</f>
        <v>5.81976757418889</v>
      </c>
      <c r="M103" s="13" t="n">
        <f aca="false">H103*J103-L103</f>
        <v>0</v>
      </c>
      <c r="N103" s="13" t="n">
        <f aca="false">L103+M103</f>
        <v>5.81976757418889</v>
      </c>
      <c r="O103" s="3" t="s">
        <v>807</v>
      </c>
      <c r="P103" s="16" t="n">
        <v>4</v>
      </c>
      <c r="Q103" s="3" t="n">
        <v>20</v>
      </c>
      <c r="R103" s="3" t="n">
        <f aca="false">MAX(1,CEILING(H103*Q103/P103,1))</f>
        <v>6</v>
      </c>
      <c r="S103" s="17" t="n">
        <f aca="false">F103/(R103*P103)</f>
        <v>11.6395351483778</v>
      </c>
      <c r="T103" s="13" t="n">
        <f aca="false">M103+R103*P103</f>
        <v>24</v>
      </c>
      <c r="U103" s="3" t="s">
        <v>727</v>
      </c>
      <c r="V103" s="16" t="n">
        <v>200</v>
      </c>
      <c r="W103" s="17" t="n">
        <f aca="false">T103/V103</f>
        <v>0.12</v>
      </c>
    </row>
    <row r="104" customFormat="false" ht="15" hidden="false" customHeight="false" outlineLevel="0" collapsed="false">
      <c r="A104" s="3" t="s">
        <v>808</v>
      </c>
      <c r="B104" s="3" t="s">
        <v>324</v>
      </c>
      <c r="C104" s="3" t="s">
        <v>325</v>
      </c>
      <c r="D104" s="3" t="s">
        <v>214</v>
      </c>
      <c r="E104" s="3" t="s">
        <v>809</v>
      </c>
      <c r="F104" s="13" t="n">
        <f aca="false">CONSOLIDADO!Q103</f>
        <v>202620.63913</v>
      </c>
      <c r="G104" s="15" t="n">
        <f aca="false">F104/240</f>
        <v>844.252663041667</v>
      </c>
      <c r="H104" s="15" t="n">
        <f aca="false">CONSOLIDADO!R103/20</f>
        <v>1215.72383478</v>
      </c>
      <c r="I104" s="3" t="n">
        <v>5</v>
      </c>
      <c r="J104" s="3" t="n">
        <v>10</v>
      </c>
      <c r="K104" s="3" t="s">
        <v>810</v>
      </c>
      <c r="L104" s="13" t="n">
        <f aca="false">G104*(I104+J104)/2</f>
        <v>6331.8949728125</v>
      </c>
      <c r="M104" s="13" t="n">
        <f aca="false">H104*J104-L104</f>
        <v>5825.3433749875</v>
      </c>
      <c r="N104" s="13" t="n">
        <f aca="false">L104+M104</f>
        <v>12157.2383478</v>
      </c>
      <c r="O104" s="3" t="s">
        <v>811</v>
      </c>
      <c r="P104" s="16" t="n">
        <v>600</v>
      </c>
      <c r="Q104" s="3" t="n">
        <v>10</v>
      </c>
      <c r="R104" s="3" t="n">
        <f aca="false">MAX(1,CEILING(H104*Q104/P104,1))</f>
        <v>21</v>
      </c>
      <c r="S104" s="17" t="n">
        <f aca="false">F104/(R104*P104)</f>
        <v>16.0810031055556</v>
      </c>
      <c r="T104" s="13" t="n">
        <f aca="false">M104+R104*P104</f>
        <v>18425.3433749875</v>
      </c>
      <c r="U104" s="3" t="s">
        <v>793</v>
      </c>
      <c r="V104" s="16" t="n">
        <v>600</v>
      </c>
      <c r="W104" s="17" t="n">
        <f aca="false">T104/V104</f>
        <v>30.7089056249792</v>
      </c>
    </row>
    <row r="105" customFormat="false" ht="15" hidden="false" customHeight="false" outlineLevel="0" collapsed="false">
      <c r="A105" s="3" t="s">
        <v>812</v>
      </c>
      <c r="B105" s="3" t="s">
        <v>327</v>
      </c>
      <c r="C105" s="3" t="s">
        <v>328</v>
      </c>
      <c r="D105" s="3" t="s">
        <v>214</v>
      </c>
      <c r="E105" s="3" t="s">
        <v>809</v>
      </c>
      <c r="F105" s="13" t="n">
        <f aca="false">CONSOLIDADO!Q104</f>
        <v>14093.858444</v>
      </c>
      <c r="G105" s="15" t="n">
        <f aca="false">F105/240</f>
        <v>58.7244101833333</v>
      </c>
      <c r="H105" s="15" t="n">
        <f aca="false">CONSOLIDADO!R104/20</f>
        <v>77.516221442</v>
      </c>
      <c r="I105" s="3" t="n">
        <v>5</v>
      </c>
      <c r="J105" s="3" t="n">
        <v>10</v>
      </c>
      <c r="K105" s="3" t="s">
        <v>810</v>
      </c>
      <c r="L105" s="13" t="n">
        <f aca="false">G105*(I105+J105)/2</f>
        <v>440.433076375</v>
      </c>
      <c r="M105" s="13" t="n">
        <f aca="false">H105*J105-L105</f>
        <v>334.729138045</v>
      </c>
      <c r="N105" s="13" t="n">
        <f aca="false">L105+M105</f>
        <v>775.16221442</v>
      </c>
      <c r="O105" s="3" t="s">
        <v>811</v>
      </c>
      <c r="P105" s="16" t="n">
        <v>600</v>
      </c>
      <c r="Q105" s="3" t="n">
        <v>10</v>
      </c>
      <c r="R105" s="3" t="n">
        <f aca="false">MAX(1,CEILING(H105*Q105/P105,1))</f>
        <v>2</v>
      </c>
      <c r="S105" s="17" t="n">
        <f aca="false">F105/(R105*P105)</f>
        <v>11.7448820366667</v>
      </c>
      <c r="T105" s="13" t="n">
        <f aca="false">M105+R105*P105</f>
        <v>1534.729138045</v>
      </c>
      <c r="U105" s="3" t="s">
        <v>793</v>
      </c>
      <c r="V105" s="16" t="n">
        <v>600</v>
      </c>
      <c r="W105" s="17" t="n">
        <f aca="false">T105/V105</f>
        <v>2.55788189674167</v>
      </c>
    </row>
    <row r="106" customFormat="false" ht="15" hidden="false" customHeight="false" outlineLevel="0" collapsed="false">
      <c r="A106" s="3" t="s">
        <v>813</v>
      </c>
      <c r="B106" s="3" t="s">
        <v>330</v>
      </c>
      <c r="C106" s="3" t="s">
        <v>331</v>
      </c>
      <c r="D106" s="3" t="s">
        <v>214</v>
      </c>
      <c r="E106" s="3" t="s">
        <v>809</v>
      </c>
      <c r="F106" s="13" t="n">
        <f aca="false">CONSOLIDADO!Q105</f>
        <v>65343.7706862536</v>
      </c>
      <c r="G106" s="15" t="n">
        <f aca="false">F106/240</f>
        <v>272.265711192724</v>
      </c>
      <c r="H106" s="15" t="n">
        <f aca="false">CONSOLIDADO!R105/20</f>
        <v>359.390738774395</v>
      </c>
      <c r="I106" s="3" t="n">
        <v>5</v>
      </c>
      <c r="J106" s="3" t="n">
        <v>10</v>
      </c>
      <c r="K106" s="3" t="s">
        <v>810</v>
      </c>
      <c r="L106" s="13" t="n">
        <f aca="false">G106*(I106+J106)/2</f>
        <v>2041.99283394543</v>
      </c>
      <c r="M106" s="13" t="n">
        <f aca="false">H106*J106-L106</f>
        <v>1551.91455379852</v>
      </c>
      <c r="N106" s="13" t="n">
        <f aca="false">L106+M106</f>
        <v>3593.90738774395</v>
      </c>
      <c r="O106" s="3" t="s">
        <v>811</v>
      </c>
      <c r="P106" s="16" t="n">
        <v>600</v>
      </c>
      <c r="Q106" s="3" t="n">
        <v>10</v>
      </c>
      <c r="R106" s="3" t="n">
        <f aca="false">MAX(1,CEILING(H106*Q106/P106,1))</f>
        <v>6</v>
      </c>
      <c r="S106" s="17" t="n">
        <f aca="false">F106/(R106*P106)</f>
        <v>18.1510474128482</v>
      </c>
      <c r="T106" s="13" t="n">
        <f aca="false">M106+R106*P106</f>
        <v>5151.91455379852</v>
      </c>
      <c r="U106" s="3" t="s">
        <v>793</v>
      </c>
      <c r="V106" s="16" t="n">
        <v>600</v>
      </c>
      <c r="W106" s="17" t="n">
        <f aca="false">T106/V106</f>
        <v>8.58652425633087</v>
      </c>
    </row>
    <row r="107" customFormat="false" ht="15" hidden="false" customHeight="false" outlineLevel="0" collapsed="false">
      <c r="A107" s="3" t="s">
        <v>814</v>
      </c>
      <c r="B107" s="3" t="s">
        <v>333</v>
      </c>
      <c r="C107" s="3" t="s">
        <v>334</v>
      </c>
      <c r="D107" s="3" t="s">
        <v>214</v>
      </c>
      <c r="E107" s="3" t="s">
        <v>809</v>
      </c>
      <c r="F107" s="13" t="n">
        <f aca="false">CONSOLIDADO!Q106</f>
        <v>3853.87697319699</v>
      </c>
      <c r="G107" s="15" t="n">
        <f aca="false">F107/240</f>
        <v>16.0578207216541</v>
      </c>
      <c r="H107" s="15" t="n">
        <f aca="false">CONSOLIDADO!R106/20</f>
        <v>21.1963233525834</v>
      </c>
      <c r="I107" s="3" t="n">
        <v>5</v>
      </c>
      <c r="J107" s="3" t="n">
        <v>10</v>
      </c>
      <c r="K107" s="3" t="s">
        <v>810</v>
      </c>
      <c r="L107" s="13" t="n">
        <f aca="false">G107*(I107+J107)/2</f>
        <v>120.433655412406</v>
      </c>
      <c r="M107" s="13" t="n">
        <f aca="false">H107*J107-L107</f>
        <v>91.5295781134284</v>
      </c>
      <c r="N107" s="13" t="n">
        <f aca="false">L107+M107</f>
        <v>211.963233525834</v>
      </c>
      <c r="O107" s="3" t="s">
        <v>811</v>
      </c>
      <c r="P107" s="16" t="n">
        <v>600</v>
      </c>
      <c r="Q107" s="3" t="n">
        <v>10</v>
      </c>
      <c r="R107" s="3" t="n">
        <f aca="false">MAX(1,CEILING(H107*Q107/P107,1))</f>
        <v>1</v>
      </c>
      <c r="S107" s="17" t="n">
        <f aca="false">F107/(R107*P107)</f>
        <v>6.42312828866164</v>
      </c>
      <c r="T107" s="13" t="n">
        <f aca="false">M107+R107*P107</f>
        <v>691.529578113428</v>
      </c>
      <c r="U107" s="3" t="s">
        <v>793</v>
      </c>
      <c r="V107" s="16" t="n">
        <v>600</v>
      </c>
      <c r="W107" s="17" t="n">
        <f aca="false">T107/V107</f>
        <v>1.15254929685571</v>
      </c>
    </row>
    <row r="108" customFormat="false" ht="15" hidden="false" customHeight="false" outlineLevel="0" collapsed="false">
      <c r="A108" s="3" t="s">
        <v>815</v>
      </c>
      <c r="B108" s="3" t="s">
        <v>336</v>
      </c>
      <c r="C108" s="3" t="s">
        <v>337</v>
      </c>
      <c r="D108" s="3" t="s">
        <v>214</v>
      </c>
      <c r="E108" s="3" t="s">
        <v>766</v>
      </c>
      <c r="F108" s="13" t="n">
        <f aca="false">CONSOLIDADO!Q107</f>
        <v>285912.145233451</v>
      </c>
      <c r="G108" s="15" t="n">
        <f aca="false">F108/240</f>
        <v>1191.30060513938</v>
      </c>
      <c r="H108" s="15" t="n">
        <f aca="false">CONSOLIDADO!R107/20</f>
        <v>1673.82711834898</v>
      </c>
      <c r="I108" s="3" t="n">
        <v>3</v>
      </c>
      <c r="J108" s="3" t="n">
        <v>7</v>
      </c>
      <c r="K108" s="3" t="s">
        <v>767</v>
      </c>
      <c r="L108" s="13" t="n">
        <f aca="false">G108*(I108+J108)/2</f>
        <v>5956.50302569689</v>
      </c>
      <c r="M108" s="13" t="n">
        <f aca="false">H108*J108-L108</f>
        <v>5760.28680274596</v>
      </c>
      <c r="N108" s="13" t="n">
        <f aca="false">L108+M108</f>
        <v>11716.7898284429</v>
      </c>
      <c r="O108" s="3" t="s">
        <v>768</v>
      </c>
      <c r="P108" s="16" t="n">
        <v>1000</v>
      </c>
      <c r="Q108" s="3" t="n">
        <v>20</v>
      </c>
      <c r="R108" s="3" t="n">
        <f aca="false">MAX(1,CEILING(H108*Q108/P108,1))</f>
        <v>34</v>
      </c>
      <c r="S108" s="17" t="n">
        <f aca="false">F108/(R108*P108)</f>
        <v>8.40918074216031</v>
      </c>
      <c r="T108" s="13" t="n">
        <f aca="false">M108+R108*P108</f>
        <v>39760.286802746</v>
      </c>
      <c r="U108" s="3" t="s">
        <v>793</v>
      </c>
      <c r="V108" s="16" t="n">
        <v>20000</v>
      </c>
      <c r="W108" s="17" t="n">
        <f aca="false">T108/V108</f>
        <v>1.9880143401373</v>
      </c>
    </row>
    <row r="109" customFormat="false" ht="15" hidden="false" customHeight="false" outlineLevel="0" collapsed="false">
      <c r="A109" s="3" t="s">
        <v>816</v>
      </c>
      <c r="B109" s="3" t="s">
        <v>339</v>
      </c>
      <c r="C109" s="3" t="s">
        <v>340</v>
      </c>
      <c r="D109" s="3" t="s">
        <v>214</v>
      </c>
      <c r="E109" s="3" t="s">
        <v>817</v>
      </c>
      <c r="F109" s="13" t="n">
        <f aca="false">CONSOLIDADO!Q108</f>
        <v>1548.25144727564</v>
      </c>
      <c r="G109" s="15" t="n">
        <f aca="false">F109/240</f>
        <v>6.45104769698184</v>
      </c>
      <c r="H109" s="15" t="n">
        <f aca="false">CONSOLIDADO!R108/20</f>
        <v>8.63374209226186</v>
      </c>
      <c r="I109" s="3" t="n">
        <v>1</v>
      </c>
      <c r="J109" s="3" t="n">
        <v>3</v>
      </c>
      <c r="K109" s="3" t="s">
        <v>818</v>
      </c>
      <c r="L109" s="13" t="n">
        <f aca="false">G109*(I109+J109)/2</f>
        <v>12.9020953939637</v>
      </c>
      <c r="M109" s="13" t="n">
        <f aca="false">H109*J109-L109</f>
        <v>12.9991308828219</v>
      </c>
      <c r="N109" s="13" t="n">
        <f aca="false">L109+M109</f>
        <v>25.9012262767856</v>
      </c>
      <c r="O109" s="3" t="s">
        <v>819</v>
      </c>
      <c r="P109" s="16" t="n">
        <v>15</v>
      </c>
      <c r="Q109" s="3" t="n">
        <v>10</v>
      </c>
      <c r="R109" s="3" t="n">
        <f aca="false">MAX(1,CEILING(H109*Q109/P109,1))</f>
        <v>6</v>
      </c>
      <c r="S109" s="17" t="n">
        <f aca="false">F109/(R109*P109)</f>
        <v>17.2027938586182</v>
      </c>
      <c r="T109" s="13" t="n">
        <f aca="false">M109+R109*P109</f>
        <v>102.999130882822</v>
      </c>
      <c r="U109" s="3" t="s">
        <v>793</v>
      </c>
      <c r="V109" s="16" t="n">
        <v>15</v>
      </c>
      <c r="W109" s="17" t="n">
        <f aca="false">T109/V109</f>
        <v>6.86660872552146</v>
      </c>
    </row>
    <row r="110" customFormat="false" ht="15" hidden="false" customHeight="false" outlineLevel="0" collapsed="false">
      <c r="A110" s="3" t="s">
        <v>820</v>
      </c>
      <c r="B110" s="3" t="s">
        <v>342</v>
      </c>
      <c r="C110" s="3" t="s">
        <v>343</v>
      </c>
      <c r="D110" s="3" t="s">
        <v>214</v>
      </c>
      <c r="E110" s="3" t="s">
        <v>766</v>
      </c>
      <c r="F110" s="13" t="n">
        <f aca="false">CONSOLIDADO!Q109</f>
        <v>1548.25144727564</v>
      </c>
      <c r="G110" s="15" t="n">
        <f aca="false">F110/240</f>
        <v>6.45104769698184</v>
      </c>
      <c r="H110" s="15" t="n">
        <f aca="false">CONSOLIDADO!R109/20</f>
        <v>8.63374209226186</v>
      </c>
      <c r="I110" s="3" t="n">
        <v>3</v>
      </c>
      <c r="J110" s="3" t="n">
        <v>7</v>
      </c>
      <c r="K110" s="3" t="s">
        <v>767</v>
      </c>
      <c r="L110" s="13" t="n">
        <f aca="false">G110*(I110+J110)/2</f>
        <v>32.2552384849092</v>
      </c>
      <c r="M110" s="13" t="n">
        <f aca="false">H110*J110-L110</f>
        <v>28.1809561609238</v>
      </c>
      <c r="N110" s="13" t="n">
        <f aca="false">L110+M110</f>
        <v>60.436194645833</v>
      </c>
      <c r="O110" s="3" t="s">
        <v>768</v>
      </c>
      <c r="P110" s="16" t="n">
        <v>1000</v>
      </c>
      <c r="Q110" s="3" t="n">
        <v>20</v>
      </c>
      <c r="R110" s="3" t="n">
        <f aca="false">MAX(1,CEILING(H110*Q110/P110,1))</f>
        <v>1</v>
      </c>
      <c r="S110" s="17" t="n">
        <f aca="false">F110/(R110*P110)</f>
        <v>1.54825144727564</v>
      </c>
      <c r="T110" s="13" t="n">
        <f aca="false">M110+R110*P110</f>
        <v>1028.18095616092</v>
      </c>
      <c r="U110" s="3" t="s">
        <v>793</v>
      </c>
      <c r="V110" s="16" t="n">
        <v>20000</v>
      </c>
      <c r="W110" s="17" t="n">
        <f aca="false">T110/V110</f>
        <v>0.0514090478080462</v>
      </c>
    </row>
    <row r="111" customFormat="false" ht="15" hidden="false" customHeight="false" outlineLevel="0" collapsed="false">
      <c r="A111" s="3" t="s">
        <v>821</v>
      </c>
      <c r="B111" s="3" t="s">
        <v>554</v>
      </c>
      <c r="C111" s="3" t="s">
        <v>555</v>
      </c>
      <c r="D111" s="3" t="s">
        <v>214</v>
      </c>
      <c r="E111" s="3" t="s">
        <v>822</v>
      </c>
      <c r="F111" s="13" t="n">
        <f aca="false">CONSOLIDADO!Q114</f>
        <v>2908.13500312285</v>
      </c>
      <c r="G111" s="15" t="n">
        <f aca="false">F111/240</f>
        <v>12.1172291796785</v>
      </c>
      <c r="H111" s="15" t="n">
        <f aca="false">CONSOLIDADO!R114/20</f>
        <v>15.9947425171757</v>
      </c>
      <c r="I111" s="3" t="n">
        <v>20</v>
      </c>
      <c r="J111" s="3" t="n">
        <v>20</v>
      </c>
      <c r="K111" s="3" t="s">
        <v>665</v>
      </c>
      <c r="L111" s="13" t="n">
        <f aca="false">G111*(I111+J111)/2</f>
        <v>242.344583593571</v>
      </c>
      <c r="M111" s="13" t="n">
        <f aca="false">H111*J111-L111</f>
        <v>77.5502667499427</v>
      </c>
      <c r="N111" s="13" t="n">
        <f aca="false">L111+M111</f>
        <v>319.894850343514</v>
      </c>
      <c r="O111" s="3" t="s">
        <v>823</v>
      </c>
      <c r="P111" s="16" t="n">
        <v>1</v>
      </c>
      <c r="Q111" s="3" t="n">
        <v>20</v>
      </c>
      <c r="R111" s="3" t="n">
        <f aca="false">MAX(1,CEILING(H111*Q111/P111,1))</f>
        <v>320</v>
      </c>
      <c r="S111" s="17" t="n">
        <f aca="false">F111/(R111*P111)</f>
        <v>9.08792188475891</v>
      </c>
      <c r="T111" s="13" t="n">
        <f aca="false">M111+R111*P111</f>
        <v>397.550266749943</v>
      </c>
      <c r="U111" s="3" t="s">
        <v>824</v>
      </c>
      <c r="V111" s="16" t="n">
        <v>180</v>
      </c>
      <c r="W111" s="17" t="n">
        <f aca="false">T111/V111</f>
        <v>2.20861259305524</v>
      </c>
    </row>
    <row r="112" customFormat="false" ht="15" hidden="false" customHeight="false" outlineLevel="0" collapsed="false">
      <c r="A112" s="3" t="s">
        <v>825</v>
      </c>
      <c r="B112" s="3" t="s">
        <v>557</v>
      </c>
      <c r="C112" s="3" t="s">
        <v>558</v>
      </c>
      <c r="D112" s="3" t="s">
        <v>214</v>
      </c>
      <c r="E112" s="3" t="s">
        <v>822</v>
      </c>
      <c r="F112" s="13" t="n">
        <f aca="false">CONSOLIDADO!Q115</f>
        <v>971.509933050576</v>
      </c>
      <c r="G112" s="15" t="n">
        <f aca="false">F112/240</f>
        <v>4.0479580543774</v>
      </c>
      <c r="H112" s="15" t="n">
        <f aca="false">CONSOLIDADO!R115/20</f>
        <v>5.34330463177817</v>
      </c>
      <c r="I112" s="3" t="n">
        <v>20</v>
      </c>
      <c r="J112" s="3" t="n">
        <v>20</v>
      </c>
      <c r="K112" s="3" t="s">
        <v>665</v>
      </c>
      <c r="L112" s="13" t="n">
        <f aca="false">G112*(I112+J112)/2</f>
        <v>80.959161087548</v>
      </c>
      <c r="M112" s="13" t="n">
        <f aca="false">H112*J112-L112</f>
        <v>25.9069315480154</v>
      </c>
      <c r="N112" s="13" t="n">
        <f aca="false">L112+M112</f>
        <v>106.866092635563</v>
      </c>
      <c r="O112" s="3" t="s">
        <v>823</v>
      </c>
      <c r="P112" s="16" t="n">
        <v>1</v>
      </c>
      <c r="Q112" s="3" t="n">
        <v>20</v>
      </c>
      <c r="R112" s="3" t="n">
        <f aca="false">MAX(1,CEILING(H112*Q112/P112,1))</f>
        <v>107</v>
      </c>
      <c r="S112" s="17" t="n">
        <f aca="false">F112/(R112*P112)</f>
        <v>9.07953208458483</v>
      </c>
      <c r="T112" s="13" t="n">
        <f aca="false">M112+R112*P112</f>
        <v>132.906931548015</v>
      </c>
      <c r="U112" s="3" t="s">
        <v>824</v>
      </c>
      <c r="V112" s="16" t="n">
        <v>180</v>
      </c>
      <c r="W112" s="17" t="n">
        <f aca="false">T112/V112</f>
        <v>0.738371841933419</v>
      </c>
    </row>
    <row r="113" customFormat="false" ht="15" hidden="false" customHeight="false" outlineLevel="0" collapsed="false">
      <c r="A113" s="3" t="s">
        <v>826</v>
      </c>
      <c r="B113" s="3" t="s">
        <v>560</v>
      </c>
      <c r="C113" s="3" t="s">
        <v>561</v>
      </c>
      <c r="D113" s="3" t="s">
        <v>214</v>
      </c>
      <c r="E113" s="3" t="s">
        <v>822</v>
      </c>
      <c r="F113" s="13" t="n">
        <f aca="false">CONSOLIDADO!Q116</f>
        <v>416.433346495834</v>
      </c>
      <c r="G113" s="15" t="n">
        <f aca="false">F113/240</f>
        <v>1.73513894373264</v>
      </c>
      <c r="H113" s="15" t="n">
        <f aca="false">CONSOLIDADO!R116/20</f>
        <v>1.66573338598334</v>
      </c>
      <c r="I113" s="3" t="n">
        <v>20</v>
      </c>
      <c r="J113" s="3" t="n">
        <v>20</v>
      </c>
      <c r="K113" s="3" t="s">
        <v>665</v>
      </c>
      <c r="L113" s="13" t="n">
        <f aca="false">G113*(I113+J113)/2</f>
        <v>34.7027788746528</v>
      </c>
      <c r="M113" s="13" t="n">
        <f aca="false">H113*J113-L113</f>
        <v>-1.38811115498611</v>
      </c>
      <c r="N113" s="13" t="n">
        <f aca="false">L113+M113</f>
        <v>33.3146677196667</v>
      </c>
      <c r="O113" s="3" t="s">
        <v>823</v>
      </c>
      <c r="P113" s="16" t="n">
        <v>1</v>
      </c>
      <c r="Q113" s="3" t="n">
        <v>20</v>
      </c>
      <c r="R113" s="3" t="n">
        <f aca="false">MAX(1,CEILING(H113*Q113/P113,1))</f>
        <v>34</v>
      </c>
      <c r="S113" s="17" t="n">
        <f aca="false">F113/(R113*P113)</f>
        <v>12.2480396028187</v>
      </c>
      <c r="T113" s="13" t="n">
        <f aca="false">M113+R113*P113</f>
        <v>32.6118888450139</v>
      </c>
      <c r="U113" s="3" t="s">
        <v>824</v>
      </c>
      <c r="V113" s="16" t="n">
        <v>60</v>
      </c>
      <c r="W113" s="17" t="n">
        <f aca="false">T113/V113</f>
        <v>0.543531480750232</v>
      </c>
    </row>
    <row r="114" customFormat="false" ht="15" hidden="false" customHeight="false" outlineLevel="0" collapsed="false">
      <c r="A114" s="3" t="s">
        <v>827</v>
      </c>
      <c r="B114" s="3" t="s">
        <v>563</v>
      </c>
      <c r="C114" s="3" t="s">
        <v>564</v>
      </c>
      <c r="D114" s="3" t="s">
        <v>214</v>
      </c>
      <c r="E114" s="3" t="s">
        <v>822</v>
      </c>
      <c r="F114" s="13" t="n">
        <f aca="false">CONSOLIDADO!Q117</f>
        <v>277.70377041365</v>
      </c>
      <c r="G114" s="15" t="n">
        <f aca="false">F114/240</f>
        <v>1.15709904339021</v>
      </c>
      <c r="H114" s="15" t="n">
        <f aca="false">CONSOLIDADO!R117/20</f>
        <v>1.52737073727508</v>
      </c>
      <c r="I114" s="3" t="n">
        <v>20</v>
      </c>
      <c r="J114" s="3" t="n">
        <v>20</v>
      </c>
      <c r="K114" s="3" t="s">
        <v>665</v>
      </c>
      <c r="L114" s="13" t="n">
        <f aca="false">G114*(I114+J114)/2</f>
        <v>23.1419808678042</v>
      </c>
      <c r="M114" s="13" t="n">
        <f aca="false">H114*J114-L114</f>
        <v>7.40543387769734</v>
      </c>
      <c r="N114" s="13" t="n">
        <f aca="false">L114+M114</f>
        <v>30.5474147455015</v>
      </c>
      <c r="O114" s="3" t="s">
        <v>823</v>
      </c>
      <c r="P114" s="16" t="n">
        <v>1</v>
      </c>
      <c r="Q114" s="3" t="n">
        <v>20</v>
      </c>
      <c r="R114" s="3" t="n">
        <f aca="false">MAX(1,CEILING(H114*Q114/P114,1))</f>
        <v>31</v>
      </c>
      <c r="S114" s="17" t="n">
        <f aca="false">F114/(R114*P114)</f>
        <v>8.95818614237581</v>
      </c>
      <c r="T114" s="13" t="n">
        <f aca="false">M114+R114*P114</f>
        <v>38.4054338776973</v>
      </c>
      <c r="U114" s="3" t="s">
        <v>824</v>
      </c>
      <c r="V114" s="16" t="n">
        <v>180</v>
      </c>
      <c r="W114" s="17" t="n">
        <f aca="false">T114/V114</f>
        <v>0.213363521542763</v>
      </c>
    </row>
    <row r="115" customFormat="false" ht="15" hidden="false" customHeight="false" outlineLevel="0" collapsed="false">
      <c r="A115" s="3" t="s">
        <v>828</v>
      </c>
      <c r="B115" s="3" t="s">
        <v>566</v>
      </c>
      <c r="C115" s="3" t="s">
        <v>567</v>
      </c>
      <c r="D115" s="3" t="s">
        <v>214</v>
      </c>
      <c r="E115" s="3" t="s">
        <v>822</v>
      </c>
      <c r="F115" s="13" t="n">
        <f aca="false">CONSOLIDADO!Q118</f>
        <v>1650.60330969569</v>
      </c>
      <c r="G115" s="15" t="n">
        <f aca="false">F115/240</f>
        <v>6.87751379039872</v>
      </c>
      <c r="H115" s="15" t="n">
        <f aca="false">CONSOLIDADO!R118/20</f>
        <v>9.07831820332631</v>
      </c>
      <c r="I115" s="3" t="n">
        <v>20</v>
      </c>
      <c r="J115" s="3" t="n">
        <v>20</v>
      </c>
      <c r="K115" s="3" t="s">
        <v>665</v>
      </c>
      <c r="L115" s="13" t="n">
        <f aca="false">G115*(I115+J115)/2</f>
        <v>137.550275807974</v>
      </c>
      <c r="M115" s="13" t="n">
        <f aca="false">H115*J115-L115</f>
        <v>44.0160882585518</v>
      </c>
      <c r="N115" s="13" t="n">
        <f aca="false">L115+M115</f>
        <v>181.566364066526</v>
      </c>
      <c r="O115" s="3" t="s">
        <v>823</v>
      </c>
      <c r="P115" s="16" t="n">
        <v>1</v>
      </c>
      <c r="Q115" s="3" t="n">
        <v>20</v>
      </c>
      <c r="R115" s="3" t="n">
        <f aca="false">MAX(1,CEILING(H115*Q115/P115,1))</f>
        <v>182</v>
      </c>
      <c r="S115" s="17" t="n">
        <f aca="false">F115/(R115*P115)</f>
        <v>9.06924895437194</v>
      </c>
      <c r="T115" s="13" t="n">
        <f aca="false">M115+R115*P115</f>
        <v>226.016088258552</v>
      </c>
      <c r="U115" s="3" t="s">
        <v>824</v>
      </c>
      <c r="V115" s="16" t="n">
        <v>180</v>
      </c>
      <c r="W115" s="17" t="n">
        <f aca="false">T115/V115</f>
        <v>1.25564493476973</v>
      </c>
    </row>
    <row r="116" customFormat="false" ht="15" hidden="false" customHeight="false" outlineLevel="0" collapsed="false">
      <c r="A116" s="3" t="s">
        <v>829</v>
      </c>
      <c r="B116" s="3" t="s">
        <v>569</v>
      </c>
      <c r="C116" s="3" t="s">
        <v>570</v>
      </c>
      <c r="D116" s="3" t="s">
        <v>214</v>
      </c>
      <c r="E116" s="3" t="s">
        <v>822</v>
      </c>
      <c r="F116" s="13" t="n">
        <f aca="false">CONSOLIDADO!Q119</f>
        <v>7005.27737</v>
      </c>
      <c r="G116" s="15" t="n">
        <f aca="false">F116/240</f>
        <v>29.1886557083333</v>
      </c>
      <c r="H116" s="15" t="n">
        <f aca="false">CONSOLIDADO!R119/20</f>
        <v>38.529025535</v>
      </c>
      <c r="I116" s="3" t="n">
        <v>20</v>
      </c>
      <c r="J116" s="3" t="n">
        <v>20</v>
      </c>
      <c r="K116" s="3" t="s">
        <v>665</v>
      </c>
      <c r="L116" s="13" t="n">
        <f aca="false">G116*(I116+J116)/2</f>
        <v>583.773114166667</v>
      </c>
      <c r="M116" s="13" t="n">
        <f aca="false">H116*J116-L116</f>
        <v>186.807396533333</v>
      </c>
      <c r="N116" s="13" t="n">
        <f aca="false">L116+M116</f>
        <v>770.5805107</v>
      </c>
      <c r="O116" s="3" t="s">
        <v>823</v>
      </c>
      <c r="P116" s="16" t="n">
        <v>1</v>
      </c>
      <c r="Q116" s="3" t="n">
        <v>20</v>
      </c>
      <c r="R116" s="3" t="n">
        <f aca="false">MAX(1,CEILING(H116*Q116/P116,1))</f>
        <v>771</v>
      </c>
      <c r="S116" s="17" t="n">
        <f aca="false">F116/(R116*P116)</f>
        <v>9.08596286640726</v>
      </c>
      <c r="T116" s="13" t="n">
        <f aca="false">M116+R116*P116</f>
        <v>957.807396533333</v>
      </c>
      <c r="U116" s="3" t="s">
        <v>824</v>
      </c>
      <c r="V116" s="16" t="n">
        <v>180</v>
      </c>
      <c r="W116" s="17" t="n">
        <f aca="false">T116/V116</f>
        <v>5.32115220296296</v>
      </c>
    </row>
    <row r="117" customFormat="false" ht="15" hidden="false" customHeight="false" outlineLevel="0" collapsed="false">
      <c r="A117" s="3" t="s">
        <v>830</v>
      </c>
      <c r="B117" s="3" t="s">
        <v>572</v>
      </c>
      <c r="C117" s="3" t="s">
        <v>573</v>
      </c>
      <c r="D117" s="3" t="s">
        <v>214</v>
      </c>
      <c r="E117" s="3" t="s">
        <v>822</v>
      </c>
      <c r="F117" s="13" t="n">
        <f aca="false">CONSOLIDADO!Q120</f>
        <v>3776.01776725347</v>
      </c>
      <c r="G117" s="15" t="n">
        <f aca="false">F117/240</f>
        <v>15.7334073635561</v>
      </c>
      <c r="H117" s="15" t="n">
        <f aca="false">CONSOLIDADO!R120/20</f>
        <v>20.7680977198941</v>
      </c>
      <c r="I117" s="3" t="n">
        <v>20</v>
      </c>
      <c r="J117" s="3" t="n">
        <v>20</v>
      </c>
      <c r="K117" s="3" t="s">
        <v>665</v>
      </c>
      <c r="L117" s="13" t="n">
        <f aca="false">G117*(I117+J117)/2</f>
        <v>314.668147271122</v>
      </c>
      <c r="M117" s="13" t="n">
        <f aca="false">H117*J117-L117</f>
        <v>100.693807126759</v>
      </c>
      <c r="N117" s="13" t="n">
        <f aca="false">L117+M117</f>
        <v>415.361954397881</v>
      </c>
      <c r="O117" s="3" t="s">
        <v>823</v>
      </c>
      <c r="P117" s="16" t="n">
        <v>1</v>
      </c>
      <c r="Q117" s="3" t="n">
        <v>20</v>
      </c>
      <c r="R117" s="3" t="n">
        <f aca="false">MAX(1,CEILING(H117*Q117/P117,1))</f>
        <v>416</v>
      </c>
      <c r="S117" s="17" t="n">
        <f aca="false">F117/(R117*P117)</f>
        <v>9.07696578666699</v>
      </c>
      <c r="T117" s="13" t="n">
        <f aca="false">M117+R117*P117</f>
        <v>516.693807126759</v>
      </c>
      <c r="U117" s="3" t="s">
        <v>824</v>
      </c>
      <c r="V117" s="16" t="n">
        <v>180</v>
      </c>
      <c r="W117" s="17" t="n">
        <f aca="false">T117/V117</f>
        <v>2.87052115070422</v>
      </c>
    </row>
    <row r="118" customFormat="false" ht="15" hidden="false" customHeight="false" outlineLevel="0" collapsed="false">
      <c r="A118" s="3" t="s">
        <v>831</v>
      </c>
      <c r="B118" s="3" t="s">
        <v>575</v>
      </c>
      <c r="C118" s="3" t="s">
        <v>576</v>
      </c>
      <c r="D118" s="3" t="s">
        <v>214</v>
      </c>
      <c r="E118" s="3" t="s">
        <v>822</v>
      </c>
      <c r="F118" s="13" t="n">
        <f aca="false">CONSOLIDADO!Q121</f>
        <v>744.120454978018</v>
      </c>
      <c r="G118" s="15" t="n">
        <f aca="false">F118/240</f>
        <v>3.10050189574174</v>
      </c>
      <c r="H118" s="15" t="n">
        <f aca="false">CONSOLIDADO!R121/20</f>
        <v>4.0926625023791</v>
      </c>
      <c r="I118" s="3" t="n">
        <v>20</v>
      </c>
      <c r="J118" s="3" t="n">
        <v>20</v>
      </c>
      <c r="K118" s="3" t="s">
        <v>665</v>
      </c>
      <c r="L118" s="13" t="n">
        <f aca="false">G118*(I118+J118)/2</f>
        <v>62.0100379148348</v>
      </c>
      <c r="M118" s="13" t="n">
        <f aca="false">H118*J118-L118</f>
        <v>19.8432121327472</v>
      </c>
      <c r="N118" s="13" t="n">
        <f aca="false">L118+M118</f>
        <v>81.853250047582</v>
      </c>
      <c r="O118" s="3" t="s">
        <v>823</v>
      </c>
      <c r="P118" s="16" t="n">
        <v>1</v>
      </c>
      <c r="Q118" s="3" t="n">
        <v>20</v>
      </c>
      <c r="R118" s="3" t="n">
        <f aca="false">MAX(1,CEILING(H118*Q118/P118,1))</f>
        <v>82</v>
      </c>
      <c r="S118" s="17" t="n">
        <f aca="false">F118/(R118*P118)</f>
        <v>9.07463969485388</v>
      </c>
      <c r="T118" s="13" t="n">
        <f aca="false">M118+R118*P118</f>
        <v>101.843212132747</v>
      </c>
      <c r="U118" s="3" t="s">
        <v>824</v>
      </c>
      <c r="V118" s="16" t="n">
        <v>180</v>
      </c>
      <c r="W118" s="17" t="n">
        <f aca="false">T118/V118</f>
        <v>0.565795622959706</v>
      </c>
    </row>
    <row r="119" customFormat="false" ht="15" hidden="false" customHeight="false" outlineLevel="0" collapsed="false">
      <c r="A119" s="3" t="s">
        <v>832</v>
      </c>
      <c r="B119" s="3" t="s">
        <v>578</v>
      </c>
      <c r="C119" s="3" t="s">
        <v>579</v>
      </c>
      <c r="D119" s="3" t="s">
        <v>214</v>
      </c>
      <c r="E119" s="3" t="s">
        <v>822</v>
      </c>
      <c r="F119" s="13" t="n">
        <f aca="false">CONSOLIDADO!Q122</f>
        <v>277.41598400273</v>
      </c>
      <c r="G119" s="15" t="n">
        <f aca="false">F119/240</f>
        <v>1.15589993334471</v>
      </c>
      <c r="H119" s="15" t="n">
        <f aca="false">CONSOLIDADO!R122/20</f>
        <v>1.52578791201502</v>
      </c>
      <c r="I119" s="3" t="n">
        <v>20</v>
      </c>
      <c r="J119" s="3" t="n">
        <v>20</v>
      </c>
      <c r="K119" s="3" t="s">
        <v>665</v>
      </c>
      <c r="L119" s="13" t="n">
        <f aca="false">G119*(I119+J119)/2</f>
        <v>23.1179986668942</v>
      </c>
      <c r="M119" s="13" t="n">
        <f aca="false">H119*J119-L119</f>
        <v>7.39775957340613</v>
      </c>
      <c r="N119" s="13" t="n">
        <f aca="false">L119+M119</f>
        <v>30.5157582403003</v>
      </c>
      <c r="O119" s="3" t="s">
        <v>823</v>
      </c>
      <c r="P119" s="16" t="n">
        <v>1</v>
      </c>
      <c r="Q119" s="3" t="n">
        <v>20</v>
      </c>
      <c r="R119" s="3" t="n">
        <f aca="false">MAX(1,CEILING(H119*Q119/P119,1))</f>
        <v>31</v>
      </c>
      <c r="S119" s="17" t="n">
        <f aca="false">F119/(R119*P119)</f>
        <v>8.94890270976548</v>
      </c>
      <c r="T119" s="13" t="n">
        <f aca="false">M119+R119*P119</f>
        <v>38.3977595734061</v>
      </c>
      <c r="U119" s="3" t="s">
        <v>824</v>
      </c>
      <c r="V119" s="16" t="n">
        <v>180</v>
      </c>
      <c r="W119" s="17" t="n">
        <f aca="false">T119/V119</f>
        <v>0.213320886518923</v>
      </c>
    </row>
    <row r="122" customFormat="false" ht="30" hidden="false" customHeight="true" outlineLevel="0" collapsed="false">
      <c r="A122" s="2"/>
      <c r="B122" s="2" t="s">
        <v>608</v>
      </c>
      <c r="C122" s="2"/>
      <c r="D122" s="2"/>
      <c r="E122" s="2"/>
      <c r="F122" s="2" t="s">
        <v>610</v>
      </c>
      <c r="G122" s="2" t="s">
        <v>833</v>
      </c>
      <c r="H122" s="2" t="s">
        <v>834</v>
      </c>
    </row>
    <row r="123" customFormat="false" ht="15" hidden="false" customHeight="false" outlineLevel="0" collapsed="false">
      <c r="A123" s="3"/>
      <c r="B123" s="3" t="s">
        <v>824</v>
      </c>
      <c r="C123" s="3"/>
      <c r="D123" s="3"/>
      <c r="E123" s="3"/>
      <c r="F123" s="3" t="n">
        <f aca="false">ROUNDUP(SUMIF($U$5:$U$119,B123,$W$5:$W$119),0)</f>
        <v>14</v>
      </c>
      <c r="G123" s="3"/>
      <c r="H123" s="3"/>
    </row>
    <row r="124" customFormat="false" ht="15" hidden="false" customHeight="false" outlineLevel="0" collapsed="false">
      <c r="A124" s="3"/>
      <c r="B124" s="3" t="s">
        <v>641</v>
      </c>
      <c r="C124" s="3"/>
      <c r="D124" s="3"/>
      <c r="E124" s="3"/>
      <c r="F124" s="3" t="n">
        <f aca="false">ROUNDUP(SUMIF($U$5:$U$119,B124,$W$5:$W$119),0)</f>
        <v>2</v>
      </c>
      <c r="G124" s="3" t="n">
        <v>3</v>
      </c>
      <c r="H124" s="3" t="str">
        <f aca="false">IF(F124&lt;=G124,"Alcanza","No alcanza")</f>
        <v>Alcanza</v>
      </c>
    </row>
    <row r="125" customFormat="false" ht="15" hidden="false" customHeight="false" outlineLevel="0" collapsed="false">
      <c r="A125" s="3"/>
      <c r="B125" s="3" t="s">
        <v>615</v>
      </c>
      <c r="C125" s="3"/>
      <c r="D125" s="3"/>
      <c r="E125" s="3"/>
      <c r="F125" s="3" t="n">
        <f aca="false">ROUNDUP(SUMIF($U$5:$U$119,B125,$W$5:$W$119),0)</f>
        <v>9</v>
      </c>
      <c r="G125" s="3"/>
      <c r="H125" s="3"/>
    </row>
    <row r="126" customFormat="false" ht="15" hidden="false" customHeight="false" outlineLevel="0" collapsed="false">
      <c r="A126" s="3"/>
      <c r="B126" s="3" t="s">
        <v>620</v>
      </c>
      <c r="C126" s="3"/>
      <c r="D126" s="3"/>
      <c r="E126" s="3"/>
      <c r="F126" s="3" t="n">
        <f aca="false">ROUNDUP(SUMIF($U$5:$U$119,B126,$W$5:$W$119),0)</f>
        <v>24</v>
      </c>
      <c r="G126" s="3"/>
      <c r="H126" s="3"/>
    </row>
    <row r="127" customFormat="false" ht="15" hidden="false" customHeight="false" outlineLevel="0" collapsed="false">
      <c r="A127" s="3"/>
      <c r="B127" s="3" t="s">
        <v>711</v>
      </c>
      <c r="C127" s="3"/>
      <c r="D127" s="3"/>
      <c r="E127" s="3"/>
      <c r="F127" s="3" t="n">
        <f aca="false">ROUNDUP(SUMIF($U$5:$U$119,B127,$W$5:$W$119),0)</f>
        <v>9</v>
      </c>
      <c r="G127" s="3"/>
      <c r="H127" s="3"/>
    </row>
    <row r="128" customFormat="false" ht="15" hidden="false" customHeight="false" outlineLevel="0" collapsed="false">
      <c r="A128" s="3"/>
      <c r="B128" s="3" t="s">
        <v>793</v>
      </c>
      <c r="C128" s="3"/>
      <c r="D128" s="3"/>
      <c r="E128" s="3"/>
      <c r="F128" s="3" t="n">
        <f aca="false">ROUNDUP(SUMIF($U$5:$U$119,B128,$W$5:$W$119),0)</f>
        <v>53</v>
      </c>
      <c r="G128" s="3"/>
      <c r="H128" s="3"/>
    </row>
    <row r="129" customFormat="false" ht="15" hidden="false" customHeight="false" outlineLevel="0" collapsed="false">
      <c r="A129" s="3"/>
      <c r="B129" s="3" t="s">
        <v>769</v>
      </c>
      <c r="C129" s="3"/>
      <c r="D129" s="3"/>
      <c r="E129" s="3"/>
      <c r="F129" s="3" t="n">
        <f aca="false">ROUNDUP(SUMIF($U$5:$U$119,B129,$W$5:$W$119),0)</f>
        <v>9</v>
      </c>
      <c r="G129" s="3"/>
      <c r="H129" s="3"/>
    </row>
    <row r="130" customFormat="false" ht="15" hidden="false" customHeight="false" outlineLevel="0" collapsed="false">
      <c r="A130" s="3"/>
      <c r="B130" s="3" t="s">
        <v>657</v>
      </c>
      <c r="C130" s="3"/>
      <c r="D130" s="3"/>
      <c r="E130" s="3"/>
      <c r="F130" s="3" t="n">
        <f aca="false">ROUNDUP(SUMIF($U$5:$U$119,B130,$W$5:$W$119),0)</f>
        <v>28</v>
      </c>
      <c r="G130" s="3"/>
      <c r="H130" s="3"/>
    </row>
    <row r="131" customFormat="false" ht="15" hidden="false" customHeight="false" outlineLevel="0" collapsed="false">
      <c r="A131" s="3"/>
      <c r="B131" s="3" t="s">
        <v>727</v>
      </c>
      <c r="C131" s="3"/>
      <c r="D131" s="3"/>
      <c r="E131" s="3"/>
      <c r="F131" s="3" t="n">
        <f aca="false">ROUNDUP(SUMIF($U$5:$U$119,B131,$W$5:$W$119),0)</f>
        <v>7</v>
      </c>
      <c r="G131" s="3"/>
      <c r="H131" s="3"/>
    </row>
    <row r="132" customFormat="false" ht="15" hidden="false" customHeight="false" outlineLevel="0" collapsed="false">
      <c r="A132" s="3"/>
      <c r="B132" s="3" t="s">
        <v>688</v>
      </c>
      <c r="C132" s="3"/>
      <c r="D132" s="3"/>
      <c r="E132" s="3"/>
      <c r="F132" s="3" t="n">
        <f aca="false">ROUNDUP(SUMIF($U$5:$U$119,B132,$W$5:$W$119),0)</f>
        <v>11</v>
      </c>
      <c r="G132" s="3"/>
      <c r="H132" s="3"/>
    </row>
    <row r="133" customFormat="false" ht="15" hidden="false" customHeight="false" outlineLevel="0" collapsed="false">
      <c r="A133" s="3"/>
      <c r="B133" s="3" t="s">
        <v>694</v>
      </c>
      <c r="C133" s="3"/>
      <c r="D133" s="3"/>
      <c r="E133" s="3"/>
      <c r="F133" s="3" t="n">
        <f aca="false">ROUNDUP(SUMIF($U$5:$U$119,B133,$W$5:$W$119),0)</f>
        <v>10</v>
      </c>
      <c r="G133" s="3"/>
      <c r="H133" s="3"/>
    </row>
    <row r="134" customFormat="false" ht="15" hidden="false" customHeight="false" outlineLevel="0" collapsed="false">
      <c r="A134" s="3"/>
      <c r="B134" s="3" t="s">
        <v>648</v>
      </c>
      <c r="C134" s="3"/>
      <c r="D134" s="3"/>
      <c r="E134" s="3"/>
      <c r="F134" s="3" t="n">
        <f aca="false">ROUNDUP(SUMIF($U$5:$U$119,B134,$W$5:$W$119),0)</f>
        <v>9</v>
      </c>
      <c r="G134" s="3" t="n">
        <v>12</v>
      </c>
      <c r="H134" s="3" t="str">
        <f aca="false">IF(F134&lt;=G134,"Alcanza","No alcanza")</f>
        <v>Alcanza</v>
      </c>
    </row>
    <row r="135" customFormat="false" ht="15" hidden="false" customHeight="false" outlineLevel="0" collapsed="false">
      <c r="A135" s="3"/>
      <c r="B135" s="3" t="s">
        <v>676</v>
      </c>
      <c r="C135" s="3"/>
      <c r="D135" s="3"/>
      <c r="E135" s="3"/>
      <c r="F135" s="3" t="n">
        <f aca="false">ROUNDUP(SUMIF($U$5:$U$119,B135,$W$5:$W$119),0)</f>
        <v>7</v>
      </c>
      <c r="G135" s="3" t="n">
        <v>8</v>
      </c>
      <c r="H135" s="3" t="str">
        <f aca="false">IF(F135&lt;=G135,"Alcanza","No alcanza")</f>
        <v>Alcanza</v>
      </c>
    </row>
  </sheetData>
  <autoFilter ref="A4:W119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835</v>
      </c>
    </row>
    <row r="2" customFormat="false" ht="15" hidden="false" customHeight="false" outlineLevel="0" collapsed="false">
      <c r="A2" s="18" t="s">
        <v>836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837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838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839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840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841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842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843</v>
      </c>
    </row>
    <row r="14" customFormat="false" ht="15" hidden="false" customHeight="false" outlineLevel="0" collapsed="false">
      <c r="A14" s="18" t="s">
        <v>836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837</v>
      </c>
    </row>
    <row r="15" customFormat="false" ht="15" hidden="false" customHeight="false" outlineLevel="0" collapsed="false">
      <c r="A15" s="19" t="s">
        <v>844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845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846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847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848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849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850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851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852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836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837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544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545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853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547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854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549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550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855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552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838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839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840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841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856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857</v>
      </c>
    </row>
    <row r="47" customFormat="false" ht="15" hidden="false" customHeight="false" outlineLevel="0" collapsed="false">
      <c r="A47" s="18" t="s">
        <v>836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837</v>
      </c>
    </row>
    <row r="48" customFormat="false" ht="15" hidden="false" customHeight="false" outlineLevel="0" collapsed="false">
      <c r="A48" s="19" t="s">
        <v>544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545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853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547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854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549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550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855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552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858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859</v>
      </c>
    </row>
    <row r="60" customFormat="false" ht="15" hidden="false" customHeight="false" outlineLevel="0" collapsed="false">
      <c r="A60" s="18" t="s">
        <v>860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861</v>
      </c>
      <c r="M60" s="18" t="s">
        <v>862</v>
      </c>
      <c r="N60" s="18" t="s">
        <v>863</v>
      </c>
      <c r="O60" s="18" t="s">
        <v>864</v>
      </c>
      <c r="P60" s="18" t="s">
        <v>865</v>
      </c>
      <c r="Q60" s="18" t="s">
        <v>866</v>
      </c>
      <c r="R60" s="18" t="s">
        <v>867</v>
      </c>
      <c r="S60" s="18" t="s">
        <v>868</v>
      </c>
      <c r="T60" s="18" t="s">
        <v>869</v>
      </c>
      <c r="U60" s="18" t="s">
        <v>870</v>
      </c>
      <c r="V60" s="18" t="s">
        <v>871</v>
      </c>
    </row>
    <row r="61" customFormat="false" ht="15" hidden="false" customHeight="false" outlineLevel="0" collapsed="false">
      <c r="A61" s="20" t="s">
        <v>872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873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874</v>
      </c>
    </row>
    <row r="63" customFormat="false" ht="15" hidden="false" customHeight="false" outlineLevel="0" collapsed="false">
      <c r="A63" s="20" t="s">
        <v>875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876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877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878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879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880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881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882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883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884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885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886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887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888</v>
      </c>
    </row>
    <row r="78" customFormat="false" ht="15" hidden="false" customHeight="false" outlineLevel="0" collapsed="false">
      <c r="A78" s="18" t="s">
        <v>860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861</v>
      </c>
      <c r="M78" s="18" t="s">
        <v>862</v>
      </c>
      <c r="N78" s="18" t="s">
        <v>863</v>
      </c>
      <c r="O78" s="18" t="s">
        <v>864</v>
      </c>
      <c r="P78" s="18" t="s">
        <v>865</v>
      </c>
      <c r="Q78" s="18" t="s">
        <v>866</v>
      </c>
      <c r="R78" s="18" t="s">
        <v>867</v>
      </c>
      <c r="S78" s="18" t="s">
        <v>868</v>
      </c>
      <c r="T78" s="18" t="s">
        <v>869</v>
      </c>
      <c r="U78" s="18" t="s">
        <v>870</v>
      </c>
      <c r="V78" s="18" t="s">
        <v>871</v>
      </c>
    </row>
    <row r="79" customFormat="false" ht="15" hidden="false" customHeight="false" outlineLevel="0" collapsed="false">
      <c r="A79" s="20" t="s">
        <v>872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873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874</v>
      </c>
    </row>
    <row r="81" customFormat="false" ht="15" hidden="false" customHeight="false" outlineLevel="0" collapsed="false">
      <c r="A81" s="20" t="s">
        <v>875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876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877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878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879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880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881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882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883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884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885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886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887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889</v>
      </c>
    </row>
    <row r="2" customFormat="false" ht="15" hidden="false" customHeight="false" outlineLevel="0" collapsed="false">
      <c r="A2" s="19" t="s">
        <v>890</v>
      </c>
    </row>
    <row r="3" customFormat="false" ht="15" hidden="false" customHeight="false" outlineLevel="0" collapsed="false">
      <c r="A3" s="19" t="s">
        <v>891</v>
      </c>
    </row>
    <row r="5" customFormat="false" ht="15" hidden="false" customHeight="false" outlineLevel="0" collapsed="false">
      <c r="A5" s="18" t="s">
        <v>892</v>
      </c>
    </row>
    <row r="6" customFormat="false" ht="15" hidden="false" customHeight="false" outlineLevel="0" collapsed="false">
      <c r="A6" s="19" t="s">
        <v>893</v>
      </c>
      <c r="B6" s="20" t="n">
        <v>260</v>
      </c>
      <c r="E6" s="19" t="s">
        <v>894</v>
      </c>
      <c r="L6" s="19" t="s">
        <v>895</v>
      </c>
    </row>
    <row r="7" customFormat="false" ht="15" hidden="false" customHeight="false" outlineLevel="0" collapsed="false">
      <c r="A7" s="19" t="s">
        <v>896</v>
      </c>
      <c r="B7" s="20" t="n">
        <v>3</v>
      </c>
      <c r="L7" s="19" t="s">
        <v>897</v>
      </c>
    </row>
    <row r="8" customFormat="false" ht="15" hidden="false" customHeight="false" outlineLevel="0" collapsed="false">
      <c r="A8" s="19" t="s">
        <v>898</v>
      </c>
      <c r="B8" s="21" t="n">
        <v>0.1</v>
      </c>
      <c r="L8" s="19" t="s">
        <v>899</v>
      </c>
    </row>
    <row r="9" customFormat="false" ht="15" hidden="false" customHeight="false" outlineLevel="0" collapsed="false">
      <c r="A9" s="19" t="s">
        <v>900</v>
      </c>
      <c r="B9" s="26" t="n">
        <v>20</v>
      </c>
      <c r="L9" s="19" t="s">
        <v>901</v>
      </c>
    </row>
    <row r="10" customFormat="false" ht="15" hidden="false" customHeight="false" outlineLevel="0" collapsed="false">
      <c r="A10" s="19" t="s">
        <v>902</v>
      </c>
      <c r="B10" s="26" t="n">
        <v>30</v>
      </c>
      <c r="L10" s="19" t="s">
        <v>901</v>
      </c>
    </row>
    <row r="12" customFormat="false" ht="15" hidden="false" customHeight="false" outlineLevel="0" collapsed="false">
      <c r="A12" s="18" t="s">
        <v>903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904</v>
      </c>
    </row>
    <row r="15" customFormat="false" ht="15" hidden="false" customHeight="false" outlineLevel="0" collapsed="false">
      <c r="A15" s="19" t="s">
        <v>905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906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907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908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909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910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911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912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913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914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915</v>
      </c>
    </row>
    <row r="26" customFormat="false" ht="15" hidden="false" customHeight="false" outlineLevel="0" collapsed="false">
      <c r="A26" s="18" t="s">
        <v>916</v>
      </c>
    </row>
    <row r="27" customFormat="false" ht="15" hidden="false" customHeight="false" outlineLevel="0" collapsed="false">
      <c r="A27" s="19" t="s">
        <v>917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918</v>
      </c>
    </row>
    <row r="28" customFormat="false" ht="15" hidden="false" customHeight="false" outlineLevel="0" collapsed="false">
      <c r="A28" s="19" t="s">
        <v>919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920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921</v>
      </c>
    </row>
    <row r="30" customFormat="false" ht="15" hidden="false" customHeight="false" outlineLevel="0" collapsed="false">
      <c r="A30" s="18" t="s">
        <v>922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923</v>
      </c>
    </row>
    <row r="33" customFormat="false" ht="15" hidden="false" customHeight="false" outlineLevel="0" collapsed="false">
      <c r="A33" s="19" t="s">
        <v>924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925</v>
      </c>
    </row>
    <row r="34" customFormat="false" ht="15" hidden="false" customHeight="false" outlineLevel="0" collapsed="false">
      <c r="A34" s="18" t="s">
        <v>926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544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545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853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547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854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549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550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855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552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838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839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840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841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927</v>
      </c>
    </row>
    <row r="54" customFormat="false" ht="15" hidden="false" customHeight="false" outlineLevel="0" collapsed="false">
      <c r="A54" s="19" t="s">
        <v>928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544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545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853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547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854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929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855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552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930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931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932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933</v>
      </c>
    </row>
    <row r="69" customFormat="false" ht="15" hidden="false" customHeight="false" outlineLevel="0" collapsed="false">
      <c r="A69" s="19" t="s">
        <v>928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544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545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853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547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854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929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855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552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930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931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934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935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936</v>
      </c>
      <c r="E1" s="18" t="s">
        <v>937</v>
      </c>
      <c r="I1" s="18" t="s">
        <v>938</v>
      </c>
      <c r="M1" s="18" t="s">
        <v>939</v>
      </c>
    </row>
    <row r="2" customFormat="false" ht="15" hidden="false" customHeight="false" outlineLevel="0" collapsed="false">
      <c r="A2" s="18" t="s">
        <v>903</v>
      </c>
      <c r="B2" s="18" t="s">
        <v>940</v>
      </c>
      <c r="C2" s="18" t="s">
        <v>941</v>
      </c>
      <c r="E2" s="18" t="s">
        <v>903</v>
      </c>
      <c r="F2" s="18" t="s">
        <v>940</v>
      </c>
      <c r="G2" s="18" t="s">
        <v>941</v>
      </c>
      <c r="I2" s="18" t="s">
        <v>903</v>
      </c>
      <c r="J2" s="18" t="s">
        <v>940</v>
      </c>
      <c r="K2" s="18" t="s">
        <v>941</v>
      </c>
      <c r="M2" s="18" t="s">
        <v>903</v>
      </c>
      <c r="N2" s="18" t="s">
        <v>940</v>
      </c>
      <c r="O2" s="18" t="s">
        <v>941</v>
      </c>
    </row>
    <row r="3" customFormat="false" ht="15" hidden="false" customHeight="false" outlineLevel="0" collapsed="false">
      <c r="A3" s="0" t="n">
        <v>2025</v>
      </c>
      <c r="B3" s="0" t="s">
        <v>942</v>
      </c>
      <c r="C3" s="0" t="s">
        <v>942</v>
      </c>
      <c r="E3" s="0" t="n">
        <v>2025</v>
      </c>
      <c r="F3" s="0" t="s">
        <v>942</v>
      </c>
      <c r="G3" s="0" t="s">
        <v>942</v>
      </c>
      <c r="I3" s="0" t="n">
        <v>2025</v>
      </c>
      <c r="J3" s="0" t="s">
        <v>942</v>
      </c>
      <c r="K3" s="0" t="s">
        <v>942</v>
      </c>
      <c r="M3" s="0" t="n">
        <v>2025</v>
      </c>
      <c r="N3" s="0" t="s">
        <v>942</v>
      </c>
      <c r="O3" s="0" t="s">
        <v>942</v>
      </c>
    </row>
    <row r="4" customFormat="false" ht="15" hidden="false" customHeight="false" outlineLevel="0" collapsed="false">
      <c r="A4" s="0" t="n">
        <v>2025</v>
      </c>
      <c r="B4" s="0" t="s">
        <v>942</v>
      </c>
      <c r="C4" s="0" t="s">
        <v>942</v>
      </c>
      <c r="E4" s="0" t="n">
        <v>2025</v>
      </c>
      <c r="F4" s="0" t="s">
        <v>942</v>
      </c>
      <c r="G4" s="0" t="s">
        <v>942</v>
      </c>
      <c r="I4" s="0" t="n">
        <v>2025</v>
      </c>
      <c r="J4" s="0" t="s">
        <v>942</v>
      </c>
      <c r="K4" s="0" t="s">
        <v>942</v>
      </c>
      <c r="M4" s="0" t="n">
        <v>2025</v>
      </c>
      <c r="N4" s="0" t="s">
        <v>942</v>
      </c>
      <c r="O4" s="0" t="s">
        <v>942</v>
      </c>
    </row>
    <row r="5" customFormat="false" ht="15" hidden="false" customHeight="false" outlineLevel="0" collapsed="false">
      <c r="A5" s="0" t="n">
        <v>2025</v>
      </c>
      <c r="B5" s="0" t="s">
        <v>942</v>
      </c>
      <c r="C5" s="0" t="s">
        <v>942</v>
      </c>
      <c r="E5" s="0" t="n">
        <v>2025</v>
      </c>
      <c r="F5" s="0" t="s">
        <v>942</v>
      </c>
      <c r="G5" s="0" t="s">
        <v>942</v>
      </c>
      <c r="I5" s="0" t="n">
        <v>2025</v>
      </c>
      <c r="J5" s="0" t="s">
        <v>942</v>
      </c>
      <c r="K5" s="0" t="s">
        <v>942</v>
      </c>
      <c r="M5" s="0" t="n">
        <v>2025</v>
      </c>
      <c r="N5" s="0" t="s">
        <v>942</v>
      </c>
      <c r="O5" s="0" t="s">
        <v>942</v>
      </c>
    </row>
    <row r="6" customFormat="false" ht="15" hidden="false" customHeight="false" outlineLevel="0" collapsed="false">
      <c r="A6" s="0" t="n">
        <v>2025</v>
      </c>
      <c r="B6" s="0" t="s">
        <v>942</v>
      </c>
      <c r="C6" s="0" t="s">
        <v>942</v>
      </c>
      <c r="E6" s="0" t="n">
        <v>2025</v>
      </c>
      <c r="F6" s="0" t="s">
        <v>942</v>
      </c>
      <c r="G6" s="0" t="s">
        <v>942</v>
      </c>
      <c r="I6" s="0" t="n">
        <v>2025</v>
      </c>
      <c r="J6" s="0" t="s">
        <v>942</v>
      </c>
      <c r="K6" s="0" t="s">
        <v>942</v>
      </c>
      <c r="M6" s="0" t="n">
        <v>2025</v>
      </c>
      <c r="N6" s="0" t="s">
        <v>942</v>
      </c>
      <c r="O6" s="0" t="s">
        <v>942</v>
      </c>
    </row>
    <row r="7" customFormat="false" ht="15" hidden="false" customHeight="false" outlineLevel="0" collapsed="false">
      <c r="A7" s="0" t="n">
        <v>2025</v>
      </c>
      <c r="B7" s="0" t="s">
        <v>942</v>
      </c>
      <c r="C7" s="0" t="s">
        <v>942</v>
      </c>
      <c r="E7" s="0" t="n">
        <v>2025</v>
      </c>
      <c r="F7" s="0" t="s">
        <v>942</v>
      </c>
      <c r="G7" s="0" t="s">
        <v>942</v>
      </c>
      <c r="I7" s="0" t="n">
        <v>2025</v>
      </c>
      <c r="J7" s="0" t="s">
        <v>942</v>
      </c>
      <c r="K7" s="0" t="s">
        <v>942</v>
      </c>
      <c r="M7" s="0" t="n">
        <v>2025</v>
      </c>
      <c r="N7" s="0" t="s">
        <v>942</v>
      </c>
      <c r="O7" s="0" t="s">
        <v>942</v>
      </c>
    </row>
    <row r="8" customFormat="false" ht="15" hidden="false" customHeight="false" outlineLevel="0" collapsed="false">
      <c r="A8" s="0" t="n">
        <v>2025</v>
      </c>
      <c r="B8" s="0" t="s">
        <v>942</v>
      </c>
      <c r="C8" s="0" t="s">
        <v>942</v>
      </c>
      <c r="E8" s="0" t="n">
        <v>2025</v>
      </c>
      <c r="F8" s="0" t="s">
        <v>942</v>
      </c>
      <c r="G8" s="0" t="s">
        <v>942</v>
      </c>
      <c r="I8" s="0" t="n">
        <v>2025</v>
      </c>
      <c r="J8" s="0" t="s">
        <v>942</v>
      </c>
      <c r="K8" s="0" t="s">
        <v>942</v>
      </c>
      <c r="M8" s="0" t="n">
        <v>2025</v>
      </c>
      <c r="N8" s="0" t="s">
        <v>942</v>
      </c>
      <c r="O8" s="0" t="s">
        <v>942</v>
      </c>
    </row>
    <row r="9" customFormat="false" ht="15" hidden="false" customHeight="false" outlineLevel="0" collapsed="false">
      <c r="A9" s="0" t="n">
        <v>2025</v>
      </c>
      <c r="B9" s="0" t="s">
        <v>942</v>
      </c>
      <c r="C9" s="0" t="s">
        <v>942</v>
      </c>
      <c r="E9" s="0" t="n">
        <v>2025</v>
      </c>
      <c r="F9" s="0" t="s">
        <v>942</v>
      </c>
      <c r="G9" s="0" t="s">
        <v>942</v>
      </c>
      <c r="I9" s="0" t="n">
        <v>2025</v>
      </c>
      <c r="J9" s="0" t="s">
        <v>942</v>
      </c>
      <c r="K9" s="0" t="s">
        <v>942</v>
      </c>
      <c r="M9" s="0" t="n">
        <v>2025</v>
      </c>
      <c r="N9" s="0" t="s">
        <v>942</v>
      </c>
      <c r="O9" s="0" t="s">
        <v>942</v>
      </c>
    </row>
    <row r="10" customFormat="false" ht="15" hidden="false" customHeight="false" outlineLevel="0" collapsed="false">
      <c r="A10" s="0" t="n">
        <v>2025</v>
      </c>
      <c r="B10" s="0" t="s">
        <v>942</v>
      </c>
      <c r="C10" s="0" t="s">
        <v>942</v>
      </c>
      <c r="E10" s="0" t="n">
        <v>2025</v>
      </c>
      <c r="F10" s="0" t="s">
        <v>942</v>
      </c>
      <c r="G10" s="0" t="s">
        <v>942</v>
      </c>
      <c r="I10" s="0" t="n">
        <v>2025</v>
      </c>
      <c r="J10" s="0" t="s">
        <v>942</v>
      </c>
      <c r="K10" s="0" t="s">
        <v>942</v>
      </c>
      <c r="M10" s="0" t="n">
        <v>2025</v>
      </c>
      <c r="N10" s="0" t="s">
        <v>942</v>
      </c>
      <c r="O10" s="0" t="s">
        <v>942</v>
      </c>
    </row>
    <row r="11" customFormat="false" ht="15" hidden="false" customHeight="false" outlineLevel="0" collapsed="false">
      <c r="A11" s="0" t="n">
        <v>2025</v>
      </c>
      <c r="B11" s="0" t="s">
        <v>942</v>
      </c>
      <c r="C11" s="0" t="s">
        <v>942</v>
      </c>
      <c r="E11" s="0" t="n">
        <v>2025</v>
      </c>
      <c r="F11" s="0" t="s">
        <v>942</v>
      </c>
      <c r="G11" s="0" t="s">
        <v>942</v>
      </c>
      <c r="I11" s="0" t="n">
        <v>2025</v>
      </c>
      <c r="J11" s="0" t="s">
        <v>942</v>
      </c>
      <c r="K11" s="0" t="s">
        <v>942</v>
      </c>
      <c r="M11" s="0" t="n">
        <v>2025</v>
      </c>
      <c r="N11" s="0" t="s">
        <v>942</v>
      </c>
      <c r="O11" s="0" t="s">
        <v>942</v>
      </c>
    </row>
    <row r="12" customFormat="false" ht="15" hidden="false" customHeight="false" outlineLevel="0" collapsed="false">
      <c r="A12" s="0" t="n">
        <v>2025</v>
      </c>
      <c r="B12" s="0" t="s">
        <v>942</v>
      </c>
      <c r="C12" s="0" t="s">
        <v>942</v>
      </c>
      <c r="E12" s="0" t="n">
        <v>2025</v>
      </c>
      <c r="F12" s="0" t="s">
        <v>942</v>
      </c>
      <c r="G12" s="0" t="s">
        <v>942</v>
      </c>
      <c r="I12" s="0" t="n">
        <v>2025</v>
      </c>
      <c r="J12" s="0" t="s">
        <v>942</v>
      </c>
      <c r="K12" s="0" t="s">
        <v>942</v>
      </c>
      <c r="M12" s="0" t="n">
        <v>2025</v>
      </c>
      <c r="N12" s="0" t="s">
        <v>942</v>
      </c>
      <c r="O12" s="0" t="s">
        <v>942</v>
      </c>
    </row>
    <row r="13" customFormat="false" ht="15" hidden="false" customHeight="false" outlineLevel="0" collapsed="false">
      <c r="A13" s="0" t="n">
        <v>2025</v>
      </c>
      <c r="B13" s="0" t="s">
        <v>942</v>
      </c>
      <c r="C13" s="0" t="s">
        <v>942</v>
      </c>
      <c r="E13" s="0" t="n">
        <v>2025</v>
      </c>
      <c r="F13" s="0" t="s">
        <v>942</v>
      </c>
      <c r="G13" s="0" t="s">
        <v>942</v>
      </c>
      <c r="I13" s="0" t="n">
        <v>2025</v>
      </c>
      <c r="J13" s="0" t="s">
        <v>942</v>
      </c>
      <c r="K13" s="0" t="s">
        <v>942</v>
      </c>
      <c r="M13" s="0" t="n">
        <v>2025</v>
      </c>
      <c r="N13" s="0" t="s">
        <v>942</v>
      </c>
      <c r="O13" s="0" t="s">
        <v>942</v>
      </c>
    </row>
    <row r="14" customFormat="false" ht="15" hidden="false" customHeight="false" outlineLevel="0" collapsed="false">
      <c r="A14" s="0" t="n">
        <v>2025</v>
      </c>
      <c r="B14" s="0" t="s">
        <v>942</v>
      </c>
      <c r="C14" s="0" t="s">
        <v>942</v>
      </c>
      <c r="E14" s="0" t="n">
        <v>2025</v>
      </c>
      <c r="F14" s="0" t="s">
        <v>942</v>
      </c>
      <c r="G14" s="0" t="s">
        <v>942</v>
      </c>
      <c r="I14" s="0" t="n">
        <v>2025</v>
      </c>
      <c r="J14" s="0" t="s">
        <v>942</v>
      </c>
      <c r="K14" s="0" t="s">
        <v>942</v>
      </c>
      <c r="M14" s="0" t="n">
        <v>2025</v>
      </c>
      <c r="N14" s="0" t="s">
        <v>942</v>
      </c>
      <c r="O14" s="0" t="s">
        <v>942</v>
      </c>
    </row>
    <row r="15" customFormat="false" ht="15" hidden="false" customHeight="false" outlineLevel="0" collapsed="false">
      <c r="A15" s="0" t="n">
        <v>2025</v>
      </c>
      <c r="B15" s="0" t="s">
        <v>942</v>
      </c>
      <c r="C15" s="0" t="s">
        <v>942</v>
      </c>
      <c r="E15" s="0" t="n">
        <v>2025</v>
      </c>
      <c r="F15" s="0" t="s">
        <v>942</v>
      </c>
      <c r="G15" s="0" t="s">
        <v>942</v>
      </c>
      <c r="I15" s="0" t="n">
        <v>2025</v>
      </c>
      <c r="J15" s="0" t="s">
        <v>942</v>
      </c>
      <c r="K15" s="0" t="s">
        <v>942</v>
      </c>
      <c r="M15" s="0" t="n">
        <v>2025</v>
      </c>
      <c r="N15" s="0" t="s">
        <v>942</v>
      </c>
      <c r="O15" s="0" t="s">
        <v>942</v>
      </c>
    </row>
    <row r="16" customFormat="false" ht="15" hidden="false" customHeight="false" outlineLevel="0" collapsed="false">
      <c r="A16" s="0" t="n">
        <v>2025</v>
      </c>
      <c r="B16" s="0" t="s">
        <v>942</v>
      </c>
      <c r="C16" s="0" t="s">
        <v>942</v>
      </c>
      <c r="E16" s="0" t="n">
        <v>2025</v>
      </c>
      <c r="F16" s="0" t="s">
        <v>942</v>
      </c>
      <c r="G16" s="0" t="s">
        <v>942</v>
      </c>
      <c r="I16" s="0" t="n">
        <v>2025</v>
      </c>
      <c r="J16" s="0" t="s">
        <v>942</v>
      </c>
      <c r="K16" s="0" t="s">
        <v>942</v>
      </c>
      <c r="M16" s="0" t="n">
        <v>2025</v>
      </c>
      <c r="N16" s="0" t="s">
        <v>942</v>
      </c>
      <c r="O16" s="0" t="s">
        <v>942</v>
      </c>
    </row>
    <row r="17" customFormat="false" ht="15" hidden="false" customHeight="false" outlineLevel="0" collapsed="false">
      <c r="A17" s="0" t="n">
        <v>2025</v>
      </c>
      <c r="B17" s="0" t="s">
        <v>942</v>
      </c>
      <c r="C17" s="0" t="s">
        <v>942</v>
      </c>
      <c r="E17" s="0" t="n">
        <v>2025</v>
      </c>
      <c r="F17" s="0" t="s">
        <v>942</v>
      </c>
      <c r="G17" s="0" t="s">
        <v>942</v>
      </c>
      <c r="I17" s="0" t="n">
        <v>2025</v>
      </c>
      <c r="J17" s="0" t="s">
        <v>942</v>
      </c>
      <c r="K17" s="0" t="s">
        <v>942</v>
      </c>
      <c r="M17" s="0" t="n">
        <v>2025</v>
      </c>
      <c r="N17" s="0" t="s">
        <v>942</v>
      </c>
      <c r="O17" s="0" t="s">
        <v>942</v>
      </c>
    </row>
    <row r="18" customFormat="false" ht="15" hidden="false" customHeight="false" outlineLevel="0" collapsed="false">
      <c r="A18" s="0" t="n">
        <v>2025</v>
      </c>
      <c r="B18" s="0" t="s">
        <v>942</v>
      </c>
      <c r="C18" s="0" t="s">
        <v>942</v>
      </c>
      <c r="E18" s="0" t="n">
        <v>2025</v>
      </c>
      <c r="F18" s="0" t="s">
        <v>942</v>
      </c>
      <c r="G18" s="0" t="s">
        <v>942</v>
      </c>
      <c r="I18" s="0" t="n">
        <v>2025</v>
      </c>
      <c r="J18" s="0" t="s">
        <v>942</v>
      </c>
      <c r="K18" s="0" t="s">
        <v>942</v>
      </c>
      <c r="M18" s="0" t="n">
        <v>2025</v>
      </c>
      <c r="N18" s="0" t="s">
        <v>942</v>
      </c>
      <c r="O18" s="0" t="s">
        <v>942</v>
      </c>
    </row>
    <row r="19" customFormat="false" ht="15" hidden="false" customHeight="false" outlineLevel="0" collapsed="false">
      <c r="A19" s="0" t="n">
        <v>2025</v>
      </c>
      <c r="B19" s="0" t="s">
        <v>942</v>
      </c>
      <c r="C19" s="0" t="s">
        <v>942</v>
      </c>
      <c r="E19" s="0" t="n">
        <v>2025</v>
      </c>
      <c r="F19" s="0" t="s">
        <v>942</v>
      </c>
      <c r="G19" s="0" t="s">
        <v>942</v>
      </c>
      <c r="I19" s="0" t="n">
        <v>2025</v>
      </c>
      <c r="J19" s="0" t="s">
        <v>942</v>
      </c>
      <c r="K19" s="0" t="s">
        <v>942</v>
      </c>
      <c r="M19" s="0" t="n">
        <v>2025</v>
      </c>
      <c r="N19" s="0" t="s">
        <v>942</v>
      </c>
      <c r="O19" s="0" t="s">
        <v>942</v>
      </c>
    </row>
    <row r="20" customFormat="false" ht="15" hidden="false" customHeight="false" outlineLevel="0" collapsed="false">
      <c r="A20" s="0" t="n">
        <v>2025</v>
      </c>
      <c r="B20" s="0" t="s">
        <v>942</v>
      </c>
      <c r="C20" s="0" t="s">
        <v>942</v>
      </c>
      <c r="E20" s="0" t="n">
        <v>2025</v>
      </c>
      <c r="F20" s="0" t="s">
        <v>942</v>
      </c>
      <c r="G20" s="0" t="s">
        <v>942</v>
      </c>
      <c r="I20" s="0" t="n">
        <v>2025</v>
      </c>
      <c r="J20" s="0" t="s">
        <v>942</v>
      </c>
      <c r="K20" s="0" t="s">
        <v>942</v>
      </c>
      <c r="M20" s="0" t="n">
        <v>2025</v>
      </c>
      <c r="N20" s="0" t="s">
        <v>942</v>
      </c>
      <c r="O20" s="0" t="s">
        <v>942</v>
      </c>
    </row>
    <row r="21" customFormat="false" ht="15" hidden="false" customHeight="false" outlineLevel="0" collapsed="false">
      <c r="A21" s="0" t="n">
        <v>2025</v>
      </c>
      <c r="B21" s="0" t="s">
        <v>942</v>
      </c>
      <c r="C21" s="0" t="s">
        <v>942</v>
      </c>
      <c r="E21" s="0" t="n">
        <v>2025</v>
      </c>
      <c r="F21" s="0" t="s">
        <v>942</v>
      </c>
      <c r="G21" s="0" t="s">
        <v>942</v>
      </c>
      <c r="I21" s="0" t="n">
        <v>2025</v>
      </c>
      <c r="J21" s="0" t="s">
        <v>942</v>
      </c>
      <c r="K21" s="0" t="s">
        <v>942</v>
      </c>
      <c r="M21" s="0" t="n">
        <v>2025</v>
      </c>
      <c r="N21" s="0" t="s">
        <v>942</v>
      </c>
      <c r="O21" s="0" t="s">
        <v>942</v>
      </c>
    </row>
    <row r="22" customFormat="false" ht="15" hidden="false" customHeight="false" outlineLevel="0" collapsed="false">
      <c r="A22" s="0" t="n">
        <v>2025</v>
      </c>
      <c r="B22" s="0" t="s">
        <v>942</v>
      </c>
      <c r="C22" s="0" t="s">
        <v>942</v>
      </c>
      <c r="E22" s="0" t="n">
        <v>2025</v>
      </c>
      <c r="F22" s="0" t="s">
        <v>942</v>
      </c>
      <c r="G22" s="0" t="s">
        <v>942</v>
      </c>
      <c r="I22" s="0" t="n">
        <v>2025</v>
      </c>
      <c r="J22" s="0" t="s">
        <v>942</v>
      </c>
      <c r="K22" s="0" t="s">
        <v>942</v>
      </c>
      <c r="M22" s="0" t="n">
        <v>2025</v>
      </c>
      <c r="N22" s="0" t="s">
        <v>942</v>
      </c>
      <c r="O22" s="0" t="s">
        <v>942</v>
      </c>
    </row>
    <row r="23" customFormat="false" ht="15" hidden="false" customHeight="false" outlineLevel="0" collapsed="false">
      <c r="A23" s="0" t="n">
        <v>2025</v>
      </c>
      <c r="B23" s="0" t="s">
        <v>942</v>
      </c>
      <c r="C23" s="0" t="s">
        <v>942</v>
      </c>
      <c r="E23" s="0" t="n">
        <v>2025</v>
      </c>
      <c r="F23" s="0" t="s">
        <v>942</v>
      </c>
      <c r="G23" s="0" t="s">
        <v>942</v>
      </c>
      <c r="I23" s="0" t="n">
        <v>2025</v>
      </c>
      <c r="J23" s="0" t="s">
        <v>942</v>
      </c>
      <c r="K23" s="0" t="s">
        <v>942</v>
      </c>
      <c r="M23" s="0" t="n">
        <v>2025</v>
      </c>
      <c r="N23" s="0" t="s">
        <v>942</v>
      </c>
      <c r="O23" s="0" t="s">
        <v>942</v>
      </c>
    </row>
    <row r="24" customFormat="false" ht="15" hidden="false" customHeight="false" outlineLevel="0" collapsed="false">
      <c r="A24" s="0" t="n">
        <v>2025</v>
      </c>
      <c r="B24" s="0" t="s">
        <v>942</v>
      </c>
      <c r="C24" s="0" t="s">
        <v>942</v>
      </c>
      <c r="E24" s="0" t="n">
        <v>2025</v>
      </c>
      <c r="F24" s="0" t="s">
        <v>942</v>
      </c>
      <c r="G24" s="0" t="s">
        <v>942</v>
      </c>
      <c r="I24" s="0" t="n">
        <v>2025</v>
      </c>
      <c r="J24" s="0" t="s">
        <v>942</v>
      </c>
      <c r="K24" s="0" t="s">
        <v>942</v>
      </c>
      <c r="M24" s="0" t="n">
        <v>2025</v>
      </c>
      <c r="N24" s="0" t="s">
        <v>942</v>
      </c>
      <c r="O24" s="0" t="s">
        <v>942</v>
      </c>
    </row>
    <row r="25" customFormat="false" ht="15" hidden="false" customHeight="false" outlineLevel="0" collapsed="false">
      <c r="A25" s="0" t="n">
        <v>2025</v>
      </c>
      <c r="B25" s="0" t="s">
        <v>942</v>
      </c>
      <c r="C25" s="0" t="s">
        <v>942</v>
      </c>
      <c r="E25" s="0" t="n">
        <v>2025</v>
      </c>
      <c r="F25" s="0" t="s">
        <v>942</v>
      </c>
      <c r="G25" s="0" t="s">
        <v>942</v>
      </c>
      <c r="I25" s="0" t="n">
        <v>2025</v>
      </c>
      <c r="J25" s="0" t="s">
        <v>942</v>
      </c>
      <c r="K25" s="0" t="s">
        <v>942</v>
      </c>
      <c r="M25" s="0" t="n">
        <v>2025</v>
      </c>
      <c r="N25" s="0" t="s">
        <v>942</v>
      </c>
      <c r="O25" s="0" t="s">
        <v>942</v>
      </c>
    </row>
    <row r="26" customFormat="false" ht="15" hidden="false" customHeight="false" outlineLevel="0" collapsed="false">
      <c r="A26" s="0" t="n">
        <v>2025</v>
      </c>
      <c r="B26" s="0" t="s">
        <v>942</v>
      </c>
      <c r="C26" s="0" t="s">
        <v>942</v>
      </c>
      <c r="E26" s="0" t="n">
        <v>2025</v>
      </c>
      <c r="F26" s="0" t="s">
        <v>942</v>
      </c>
      <c r="G26" s="0" t="s">
        <v>942</v>
      </c>
      <c r="I26" s="0" t="n">
        <v>2025</v>
      </c>
      <c r="J26" s="0" t="s">
        <v>942</v>
      </c>
      <c r="K26" s="0" t="s">
        <v>942</v>
      </c>
      <c r="M26" s="0" t="n">
        <v>2025</v>
      </c>
      <c r="N26" s="0" t="s">
        <v>942</v>
      </c>
      <c r="O26" s="0" t="s">
        <v>942</v>
      </c>
    </row>
    <row r="27" customFormat="false" ht="15" hidden="false" customHeight="false" outlineLevel="0" collapsed="false">
      <c r="A27" s="0" t="n">
        <v>2025</v>
      </c>
      <c r="B27" s="0" t="s">
        <v>942</v>
      </c>
      <c r="C27" s="0" t="s">
        <v>942</v>
      </c>
      <c r="E27" s="0" t="n">
        <v>2025</v>
      </c>
      <c r="F27" s="0" t="s">
        <v>942</v>
      </c>
      <c r="G27" s="0" t="s">
        <v>942</v>
      </c>
      <c r="I27" s="0" t="n">
        <v>2025</v>
      </c>
      <c r="J27" s="0" t="s">
        <v>942</v>
      </c>
      <c r="K27" s="0" t="s">
        <v>942</v>
      </c>
      <c r="M27" s="0" t="n">
        <v>2025</v>
      </c>
      <c r="N27" s="0" t="s">
        <v>942</v>
      </c>
      <c r="O27" s="0" t="s">
        <v>942</v>
      </c>
    </row>
    <row r="28" customFormat="false" ht="15" hidden="false" customHeight="false" outlineLevel="0" collapsed="false">
      <c r="A28" s="0" t="n">
        <v>2025</v>
      </c>
      <c r="B28" s="0" t="s">
        <v>942</v>
      </c>
      <c r="C28" s="0" t="s">
        <v>942</v>
      </c>
      <c r="E28" s="0" t="n">
        <v>2025</v>
      </c>
      <c r="F28" s="0" t="s">
        <v>942</v>
      </c>
      <c r="G28" s="0" t="s">
        <v>942</v>
      </c>
      <c r="I28" s="0" t="n">
        <v>2025</v>
      </c>
      <c r="J28" s="0" t="s">
        <v>942</v>
      </c>
      <c r="K28" s="0" t="s">
        <v>942</v>
      </c>
      <c r="M28" s="0" t="n">
        <v>2025</v>
      </c>
      <c r="N28" s="0" t="s">
        <v>942</v>
      </c>
      <c r="O28" s="0" t="s">
        <v>942</v>
      </c>
    </row>
    <row r="29" customFormat="false" ht="15" hidden="false" customHeight="false" outlineLevel="0" collapsed="false">
      <c r="A29" s="0" t="n">
        <v>2025</v>
      </c>
      <c r="B29" s="0" t="s">
        <v>942</v>
      </c>
      <c r="C29" s="0" t="s">
        <v>942</v>
      </c>
      <c r="E29" s="0" t="n">
        <v>2025</v>
      </c>
      <c r="F29" s="0" t="s">
        <v>942</v>
      </c>
      <c r="G29" s="0" t="s">
        <v>942</v>
      </c>
      <c r="I29" s="0" t="n">
        <v>2025</v>
      </c>
      <c r="J29" s="0" t="s">
        <v>942</v>
      </c>
      <c r="K29" s="0" t="s">
        <v>942</v>
      </c>
      <c r="M29" s="0" t="n">
        <v>2025</v>
      </c>
      <c r="N29" s="0" t="s">
        <v>942</v>
      </c>
      <c r="O29" s="0" t="s">
        <v>942</v>
      </c>
    </row>
    <row r="30" customFormat="false" ht="15" hidden="false" customHeight="false" outlineLevel="0" collapsed="false">
      <c r="A30" s="0" t="n">
        <v>2025</v>
      </c>
      <c r="B30" s="0" t="s">
        <v>942</v>
      </c>
      <c r="C30" s="0" t="s">
        <v>942</v>
      </c>
      <c r="E30" s="0" t="n">
        <v>2025</v>
      </c>
      <c r="F30" s="0" t="s">
        <v>942</v>
      </c>
      <c r="G30" s="0" t="s">
        <v>942</v>
      </c>
      <c r="I30" s="0" t="n">
        <v>2025</v>
      </c>
      <c r="J30" s="0" t="s">
        <v>942</v>
      </c>
      <c r="K30" s="0" t="s">
        <v>942</v>
      </c>
      <c r="M30" s="0" t="n">
        <v>2025</v>
      </c>
      <c r="N30" s="0" t="s">
        <v>942</v>
      </c>
      <c r="O30" s="0" t="s">
        <v>942</v>
      </c>
    </row>
    <row r="31" customFormat="false" ht="15" hidden="false" customHeight="false" outlineLevel="0" collapsed="false">
      <c r="A31" s="0" t="n">
        <v>2025</v>
      </c>
      <c r="B31" s="0" t="s">
        <v>942</v>
      </c>
      <c r="C31" s="0" t="s">
        <v>942</v>
      </c>
      <c r="E31" s="0" t="n">
        <v>2025</v>
      </c>
      <c r="F31" s="0" t="s">
        <v>942</v>
      </c>
      <c r="G31" s="0" t="s">
        <v>942</v>
      </c>
      <c r="I31" s="0" t="n">
        <v>2025</v>
      </c>
      <c r="J31" s="0" t="s">
        <v>942</v>
      </c>
      <c r="K31" s="0" t="s">
        <v>942</v>
      </c>
      <c r="M31" s="0" t="n">
        <v>2025</v>
      </c>
      <c r="N31" s="0" t="s">
        <v>942</v>
      </c>
      <c r="O31" s="0" t="s">
        <v>942</v>
      </c>
    </row>
    <row r="32" customFormat="false" ht="15" hidden="false" customHeight="false" outlineLevel="0" collapsed="false">
      <c r="A32" s="0" t="n">
        <v>2025</v>
      </c>
      <c r="B32" s="0" t="s">
        <v>942</v>
      </c>
      <c r="C32" s="0" t="s">
        <v>942</v>
      </c>
      <c r="E32" s="0" t="n">
        <v>2025</v>
      </c>
      <c r="F32" s="0" t="s">
        <v>942</v>
      </c>
      <c r="G32" s="0" t="s">
        <v>942</v>
      </c>
      <c r="I32" s="0" t="n">
        <v>2025</v>
      </c>
      <c r="J32" s="0" t="s">
        <v>942</v>
      </c>
      <c r="K32" s="0" t="s">
        <v>942</v>
      </c>
      <c r="M32" s="0" t="n">
        <v>2025</v>
      </c>
      <c r="N32" s="0" t="s">
        <v>942</v>
      </c>
      <c r="O32" s="0" t="s">
        <v>942</v>
      </c>
    </row>
    <row r="33" customFormat="false" ht="15" hidden="false" customHeight="false" outlineLevel="0" collapsed="false">
      <c r="A33" s="0" t="n">
        <v>2025</v>
      </c>
      <c r="B33" s="0" t="s">
        <v>942</v>
      </c>
      <c r="C33" s="0" t="s">
        <v>942</v>
      </c>
      <c r="E33" s="0" t="n">
        <v>2025</v>
      </c>
      <c r="F33" s="0" t="s">
        <v>942</v>
      </c>
      <c r="G33" s="0" t="s">
        <v>942</v>
      </c>
      <c r="I33" s="0" t="n">
        <v>2025</v>
      </c>
      <c r="J33" s="0" t="s">
        <v>942</v>
      </c>
      <c r="K33" s="0" t="s">
        <v>942</v>
      </c>
      <c r="M33" s="0" t="n">
        <v>2025</v>
      </c>
      <c r="N33" s="0" t="s">
        <v>942</v>
      </c>
      <c r="O33" s="0" t="s">
        <v>942</v>
      </c>
    </row>
    <row r="34" customFormat="false" ht="15" hidden="false" customHeight="false" outlineLevel="0" collapsed="false">
      <c r="A34" s="0" t="n">
        <v>2025</v>
      </c>
      <c r="B34" s="0" t="s">
        <v>942</v>
      </c>
      <c r="C34" s="0" t="s">
        <v>942</v>
      </c>
      <c r="E34" s="0" t="n">
        <v>2025</v>
      </c>
      <c r="F34" s="0" t="s">
        <v>942</v>
      </c>
      <c r="G34" s="0" t="s">
        <v>942</v>
      </c>
      <c r="I34" s="0" t="n">
        <v>2025</v>
      </c>
      <c r="J34" s="0" t="s">
        <v>942</v>
      </c>
      <c r="K34" s="0" t="s">
        <v>942</v>
      </c>
      <c r="M34" s="0" t="n">
        <v>2025</v>
      </c>
      <c r="N34" s="0" t="s">
        <v>942</v>
      </c>
      <c r="O34" s="0" t="s">
        <v>942</v>
      </c>
    </row>
    <row r="35" customFormat="false" ht="15" hidden="false" customHeight="false" outlineLevel="0" collapsed="false">
      <c r="A35" s="0" t="n">
        <v>2025</v>
      </c>
      <c r="B35" s="0" t="s">
        <v>942</v>
      </c>
      <c r="C35" s="0" t="s">
        <v>942</v>
      </c>
      <c r="E35" s="0" t="n">
        <v>2025</v>
      </c>
      <c r="F35" s="0" t="s">
        <v>942</v>
      </c>
      <c r="G35" s="0" t="s">
        <v>942</v>
      </c>
      <c r="I35" s="0" t="n">
        <v>2025</v>
      </c>
      <c r="J35" s="0" t="s">
        <v>942</v>
      </c>
      <c r="K35" s="0" t="s">
        <v>942</v>
      </c>
      <c r="M35" s="0" t="n">
        <v>2025</v>
      </c>
      <c r="N35" s="0" t="s">
        <v>942</v>
      </c>
      <c r="O35" s="0" t="s">
        <v>942</v>
      </c>
    </row>
    <row r="36" customFormat="false" ht="15" hidden="false" customHeight="false" outlineLevel="0" collapsed="false">
      <c r="A36" s="0" t="n">
        <v>2025</v>
      </c>
      <c r="B36" s="0" t="s">
        <v>942</v>
      </c>
      <c r="C36" s="0" t="s">
        <v>942</v>
      </c>
      <c r="E36" s="0" t="n">
        <v>2025</v>
      </c>
      <c r="F36" s="0" t="s">
        <v>942</v>
      </c>
      <c r="G36" s="0" t="s">
        <v>942</v>
      </c>
      <c r="I36" s="0" t="n">
        <v>2025</v>
      </c>
      <c r="J36" s="0" t="s">
        <v>942</v>
      </c>
      <c r="K36" s="0" t="s">
        <v>942</v>
      </c>
      <c r="M36" s="0" t="n">
        <v>2025</v>
      </c>
      <c r="N36" s="0" t="s">
        <v>942</v>
      </c>
      <c r="O36" s="0" t="s">
        <v>942</v>
      </c>
    </row>
    <row r="37" customFormat="false" ht="15" hidden="false" customHeight="false" outlineLevel="0" collapsed="false">
      <c r="A37" s="0" t="n">
        <v>2025</v>
      </c>
      <c r="B37" s="0" t="s">
        <v>942</v>
      </c>
      <c r="C37" s="0" t="s">
        <v>942</v>
      </c>
      <c r="E37" s="0" t="n">
        <v>2025</v>
      </c>
      <c r="F37" s="0" t="s">
        <v>942</v>
      </c>
      <c r="G37" s="0" t="s">
        <v>942</v>
      </c>
      <c r="I37" s="0" t="n">
        <v>2025</v>
      </c>
      <c r="J37" s="0" t="s">
        <v>942</v>
      </c>
      <c r="K37" s="0" t="s">
        <v>942</v>
      </c>
      <c r="M37" s="0" t="n">
        <v>2025</v>
      </c>
      <c r="N37" s="0" t="s">
        <v>942</v>
      </c>
      <c r="O37" s="0" t="s">
        <v>942</v>
      </c>
    </row>
    <row r="38" customFormat="false" ht="15" hidden="false" customHeight="false" outlineLevel="0" collapsed="false">
      <c r="A38" s="0" t="n">
        <v>2025</v>
      </c>
      <c r="B38" s="0" t="s">
        <v>942</v>
      </c>
      <c r="C38" s="0" t="s">
        <v>942</v>
      </c>
      <c r="E38" s="0" t="n">
        <v>2025</v>
      </c>
      <c r="F38" s="0" t="s">
        <v>942</v>
      </c>
      <c r="G38" s="0" t="s">
        <v>942</v>
      </c>
      <c r="I38" s="0" t="n">
        <v>2025</v>
      </c>
      <c r="J38" s="0" t="s">
        <v>942</v>
      </c>
      <c r="K38" s="0" t="s">
        <v>942</v>
      </c>
      <c r="M38" s="0" t="n">
        <v>2025</v>
      </c>
      <c r="N38" s="0" t="s">
        <v>942</v>
      </c>
      <c r="O38" s="0" t="s">
        <v>942</v>
      </c>
    </row>
    <row r="39" customFormat="false" ht="15" hidden="false" customHeight="false" outlineLevel="0" collapsed="false">
      <c r="A39" s="0" t="n">
        <v>2025</v>
      </c>
      <c r="B39" s="0" t="s">
        <v>942</v>
      </c>
      <c r="C39" s="0" t="s">
        <v>942</v>
      </c>
      <c r="E39" s="0" t="n">
        <v>2025</v>
      </c>
      <c r="F39" s="0" t="s">
        <v>942</v>
      </c>
      <c r="G39" s="0" t="s">
        <v>942</v>
      </c>
      <c r="I39" s="0" t="n">
        <v>2025</v>
      </c>
      <c r="J39" s="0" t="s">
        <v>942</v>
      </c>
      <c r="K39" s="0" t="s">
        <v>942</v>
      </c>
      <c r="M39" s="0" t="n">
        <v>2025</v>
      </c>
      <c r="N39" s="0" t="s">
        <v>942</v>
      </c>
      <c r="O39" s="0" t="s">
        <v>942</v>
      </c>
    </row>
    <row r="40" customFormat="false" ht="15" hidden="false" customHeight="false" outlineLevel="0" collapsed="false">
      <c r="A40" s="0" t="n">
        <v>2025</v>
      </c>
      <c r="B40" s="0" t="s">
        <v>942</v>
      </c>
      <c r="C40" s="0" t="s">
        <v>942</v>
      </c>
      <c r="E40" s="0" t="n">
        <v>2025</v>
      </c>
      <c r="F40" s="0" t="s">
        <v>942</v>
      </c>
      <c r="G40" s="0" t="s">
        <v>942</v>
      </c>
      <c r="I40" s="0" t="n">
        <v>2025</v>
      </c>
      <c r="J40" s="0" t="s">
        <v>942</v>
      </c>
      <c r="K40" s="0" t="s">
        <v>942</v>
      </c>
      <c r="M40" s="0" t="n">
        <v>2025</v>
      </c>
      <c r="N40" s="0" t="s">
        <v>942</v>
      </c>
      <c r="O40" s="0" t="s">
        <v>942</v>
      </c>
    </row>
    <row r="41" customFormat="false" ht="15" hidden="false" customHeight="false" outlineLevel="0" collapsed="false">
      <c r="A41" s="0" t="n">
        <v>2025</v>
      </c>
      <c r="B41" s="0" t="s">
        <v>942</v>
      </c>
      <c r="C41" s="0" t="s">
        <v>942</v>
      </c>
      <c r="E41" s="0" t="n">
        <v>2025</v>
      </c>
      <c r="F41" s="0" t="s">
        <v>942</v>
      </c>
      <c r="G41" s="0" t="s">
        <v>942</v>
      </c>
      <c r="I41" s="0" t="n">
        <v>2025</v>
      </c>
      <c r="J41" s="0" t="s">
        <v>942</v>
      </c>
      <c r="K41" s="0" t="s">
        <v>942</v>
      </c>
      <c r="M41" s="0" t="n">
        <v>2025</v>
      </c>
      <c r="N41" s="0" t="s">
        <v>942</v>
      </c>
      <c r="O41" s="0" t="s">
        <v>942</v>
      </c>
    </row>
    <row r="42" customFormat="false" ht="15" hidden="false" customHeight="false" outlineLevel="0" collapsed="false">
      <c r="A42" s="0" t="n">
        <v>2025</v>
      </c>
      <c r="B42" s="0" t="s">
        <v>942</v>
      </c>
      <c r="C42" s="0" t="s">
        <v>942</v>
      </c>
      <c r="E42" s="0" t="n">
        <v>2025</v>
      </c>
      <c r="F42" s="0" t="s">
        <v>942</v>
      </c>
      <c r="G42" s="0" t="s">
        <v>942</v>
      </c>
      <c r="I42" s="0" t="n">
        <v>2025</v>
      </c>
      <c r="J42" s="0" t="s">
        <v>942</v>
      </c>
      <c r="K42" s="0" t="s">
        <v>942</v>
      </c>
      <c r="M42" s="0" t="n">
        <v>2025</v>
      </c>
      <c r="N42" s="0" t="s">
        <v>942</v>
      </c>
      <c r="O42" s="0" t="s">
        <v>942</v>
      </c>
    </row>
    <row r="43" customFormat="false" ht="15" hidden="false" customHeight="false" outlineLevel="0" collapsed="false">
      <c r="A43" s="0" t="n">
        <v>2025</v>
      </c>
      <c r="B43" s="0" t="s">
        <v>942</v>
      </c>
      <c r="C43" s="0" t="s">
        <v>942</v>
      </c>
      <c r="E43" s="0" t="n">
        <v>2025</v>
      </c>
      <c r="F43" s="0" t="s">
        <v>942</v>
      </c>
      <c r="G43" s="0" t="s">
        <v>942</v>
      </c>
      <c r="I43" s="0" t="n">
        <v>2025</v>
      </c>
      <c r="J43" s="0" t="s">
        <v>942</v>
      </c>
      <c r="K43" s="0" t="s">
        <v>942</v>
      </c>
      <c r="M43" s="0" t="n">
        <v>2025</v>
      </c>
      <c r="N43" s="0" t="s">
        <v>942</v>
      </c>
      <c r="O43" s="0" t="s">
        <v>942</v>
      </c>
    </row>
    <row r="44" customFormat="false" ht="15" hidden="false" customHeight="false" outlineLevel="0" collapsed="false">
      <c r="A44" s="0" t="n">
        <v>2025</v>
      </c>
      <c r="B44" s="0" t="s">
        <v>942</v>
      </c>
      <c r="C44" s="0" t="s">
        <v>942</v>
      </c>
      <c r="E44" s="0" t="n">
        <v>2025</v>
      </c>
      <c r="F44" s="0" t="s">
        <v>942</v>
      </c>
      <c r="G44" s="0" t="s">
        <v>942</v>
      </c>
      <c r="I44" s="0" t="n">
        <v>2025</v>
      </c>
      <c r="J44" s="0" t="s">
        <v>942</v>
      </c>
      <c r="K44" s="0" t="s">
        <v>942</v>
      </c>
      <c r="M44" s="0" t="n">
        <v>2025</v>
      </c>
      <c r="N44" s="0" t="s">
        <v>942</v>
      </c>
      <c r="O44" s="0" t="s">
        <v>942</v>
      </c>
    </row>
    <row r="45" customFormat="false" ht="15" hidden="false" customHeight="false" outlineLevel="0" collapsed="false">
      <c r="A45" s="0" t="n">
        <v>2025</v>
      </c>
      <c r="B45" s="0" t="s">
        <v>942</v>
      </c>
      <c r="C45" s="0" t="s">
        <v>942</v>
      </c>
      <c r="E45" s="0" t="n">
        <v>2025</v>
      </c>
      <c r="F45" s="0" t="s">
        <v>942</v>
      </c>
      <c r="G45" s="0" t="s">
        <v>942</v>
      </c>
      <c r="I45" s="0" t="n">
        <v>2025</v>
      </c>
      <c r="J45" s="0" t="s">
        <v>942</v>
      </c>
      <c r="K45" s="0" t="s">
        <v>942</v>
      </c>
      <c r="M45" s="0" t="n">
        <v>2025</v>
      </c>
      <c r="N45" s="0" t="s">
        <v>942</v>
      </c>
      <c r="O45" s="0" t="s">
        <v>942</v>
      </c>
    </row>
    <row r="46" customFormat="false" ht="15" hidden="false" customHeight="false" outlineLevel="0" collapsed="false">
      <c r="A46" s="0" t="n">
        <v>2025</v>
      </c>
      <c r="B46" s="0" t="s">
        <v>942</v>
      </c>
      <c r="C46" s="0" t="s">
        <v>942</v>
      </c>
      <c r="E46" s="0" t="n">
        <v>2025</v>
      </c>
      <c r="F46" s="0" t="s">
        <v>942</v>
      </c>
      <c r="G46" s="0" t="s">
        <v>942</v>
      </c>
      <c r="I46" s="0" t="n">
        <v>2025</v>
      </c>
      <c r="J46" s="0" t="s">
        <v>942</v>
      </c>
      <c r="K46" s="0" t="s">
        <v>942</v>
      </c>
      <c r="M46" s="0" t="n">
        <v>2025</v>
      </c>
      <c r="N46" s="0" t="s">
        <v>942</v>
      </c>
      <c r="O46" s="0" t="s">
        <v>942</v>
      </c>
    </row>
    <row r="47" customFormat="false" ht="15" hidden="false" customHeight="false" outlineLevel="0" collapsed="false">
      <c r="A47" s="0" t="n">
        <v>2025</v>
      </c>
      <c r="B47" s="0" t="s">
        <v>942</v>
      </c>
      <c r="C47" s="0" t="s">
        <v>942</v>
      </c>
      <c r="E47" s="0" t="n">
        <v>2025</v>
      </c>
      <c r="F47" s="0" t="s">
        <v>942</v>
      </c>
      <c r="G47" s="0" t="s">
        <v>942</v>
      </c>
      <c r="I47" s="0" t="n">
        <v>2025</v>
      </c>
      <c r="J47" s="0" t="s">
        <v>942</v>
      </c>
      <c r="K47" s="0" t="s">
        <v>942</v>
      </c>
      <c r="M47" s="0" t="n">
        <v>2025</v>
      </c>
      <c r="N47" s="0" t="s">
        <v>942</v>
      </c>
      <c r="O47" s="0" t="s">
        <v>942</v>
      </c>
    </row>
    <row r="48" customFormat="false" ht="15" hidden="false" customHeight="false" outlineLevel="0" collapsed="false">
      <c r="A48" s="0" t="n">
        <v>2025</v>
      </c>
      <c r="B48" s="0" t="s">
        <v>942</v>
      </c>
      <c r="C48" s="0" t="s">
        <v>942</v>
      </c>
      <c r="E48" s="0" t="n">
        <v>2025</v>
      </c>
      <c r="F48" s="0" t="s">
        <v>942</v>
      </c>
      <c r="G48" s="0" t="s">
        <v>942</v>
      </c>
      <c r="I48" s="0" t="n">
        <v>2025</v>
      </c>
      <c r="J48" s="0" t="s">
        <v>942</v>
      </c>
      <c r="K48" s="0" t="s">
        <v>942</v>
      </c>
      <c r="M48" s="0" t="n">
        <v>2025</v>
      </c>
      <c r="N48" s="0" t="s">
        <v>942</v>
      </c>
      <c r="O48" s="0" t="s">
        <v>942</v>
      </c>
    </row>
    <row r="49" customFormat="false" ht="15" hidden="false" customHeight="false" outlineLevel="0" collapsed="false">
      <c r="A49" s="0" t="n">
        <v>2025</v>
      </c>
      <c r="B49" s="0" t="s">
        <v>942</v>
      </c>
      <c r="C49" s="0" t="s">
        <v>942</v>
      </c>
      <c r="E49" s="0" t="n">
        <v>2025</v>
      </c>
      <c r="F49" s="0" t="s">
        <v>942</v>
      </c>
      <c r="G49" s="0" t="s">
        <v>942</v>
      </c>
      <c r="I49" s="0" t="n">
        <v>2025</v>
      </c>
      <c r="J49" s="0" t="s">
        <v>942</v>
      </c>
      <c r="K49" s="0" t="s">
        <v>942</v>
      </c>
      <c r="M49" s="0" t="n">
        <v>2025</v>
      </c>
      <c r="N49" s="0" t="s">
        <v>942</v>
      </c>
      <c r="O49" s="0" t="s">
        <v>942</v>
      </c>
    </row>
    <row r="50" customFormat="false" ht="15" hidden="false" customHeight="false" outlineLevel="0" collapsed="false">
      <c r="A50" s="0" t="n">
        <v>2025</v>
      </c>
      <c r="B50" s="0" t="s">
        <v>942</v>
      </c>
      <c r="C50" s="0" t="s">
        <v>942</v>
      </c>
      <c r="E50" s="0" t="n">
        <v>2025</v>
      </c>
      <c r="F50" s="0" t="s">
        <v>942</v>
      </c>
      <c r="G50" s="0" t="s">
        <v>942</v>
      </c>
      <c r="I50" s="0" t="n">
        <v>2025</v>
      </c>
      <c r="J50" s="0" t="s">
        <v>942</v>
      </c>
      <c r="K50" s="0" t="s">
        <v>942</v>
      </c>
      <c r="M50" s="0" t="n">
        <v>2025</v>
      </c>
      <c r="N50" s="0" t="s">
        <v>942</v>
      </c>
      <c r="O50" s="0" t="s">
        <v>942</v>
      </c>
    </row>
    <row r="51" customFormat="false" ht="15" hidden="false" customHeight="false" outlineLevel="0" collapsed="false">
      <c r="A51" s="0" t="n">
        <v>2025</v>
      </c>
      <c r="B51" s="0" t="s">
        <v>942</v>
      </c>
      <c r="C51" s="0" t="s">
        <v>942</v>
      </c>
      <c r="E51" s="0" t="n">
        <v>2025</v>
      </c>
      <c r="F51" s="0" t="s">
        <v>942</v>
      </c>
      <c r="G51" s="0" t="s">
        <v>942</v>
      </c>
      <c r="I51" s="0" t="n">
        <v>2025</v>
      </c>
      <c r="J51" s="0" t="s">
        <v>942</v>
      </c>
      <c r="K51" s="0" t="s">
        <v>942</v>
      </c>
      <c r="M51" s="0" t="n">
        <v>2025</v>
      </c>
      <c r="N51" s="0" t="s">
        <v>942</v>
      </c>
      <c r="O51" s="0" t="s">
        <v>942</v>
      </c>
    </row>
    <row r="52" customFormat="false" ht="15" hidden="false" customHeight="false" outlineLevel="0" collapsed="false">
      <c r="A52" s="0" t="n">
        <v>2025</v>
      </c>
      <c r="B52" s="0" t="s">
        <v>942</v>
      </c>
      <c r="C52" s="0" t="s">
        <v>942</v>
      </c>
      <c r="E52" s="0" t="n">
        <v>2025</v>
      </c>
      <c r="F52" s="0" t="s">
        <v>942</v>
      </c>
      <c r="G52" s="0" t="s">
        <v>942</v>
      </c>
      <c r="I52" s="0" t="n">
        <v>2025</v>
      </c>
      <c r="J52" s="0" t="s">
        <v>942</v>
      </c>
      <c r="K52" s="0" t="s">
        <v>942</v>
      </c>
      <c r="M52" s="0" t="n">
        <v>2025</v>
      </c>
      <c r="N52" s="0" t="s">
        <v>942</v>
      </c>
      <c r="O52" s="0" t="s">
        <v>942</v>
      </c>
    </row>
    <row r="53" customFormat="false" ht="15" hidden="false" customHeight="false" outlineLevel="0" collapsed="false">
      <c r="A53" s="0" t="n">
        <v>2025</v>
      </c>
      <c r="B53" s="0" t="s">
        <v>942</v>
      </c>
      <c r="C53" s="0" t="s">
        <v>942</v>
      </c>
      <c r="E53" s="0" t="n">
        <v>2025</v>
      </c>
      <c r="F53" s="0" t="s">
        <v>942</v>
      </c>
      <c r="G53" s="0" t="s">
        <v>942</v>
      </c>
      <c r="I53" s="0" t="n">
        <v>2025</v>
      </c>
      <c r="J53" s="0" t="s">
        <v>942</v>
      </c>
      <c r="K53" s="0" t="s">
        <v>942</v>
      </c>
      <c r="M53" s="0" t="n">
        <v>2025</v>
      </c>
      <c r="N53" s="0" t="s">
        <v>942</v>
      </c>
      <c r="O53" s="0" t="s">
        <v>942</v>
      </c>
    </row>
    <row r="54" customFormat="false" ht="15" hidden="false" customHeight="false" outlineLevel="0" collapsed="false">
      <c r="A54" s="0" t="n">
        <v>2025</v>
      </c>
      <c r="B54" s="0" t="s">
        <v>942</v>
      </c>
      <c r="C54" s="0" t="s">
        <v>942</v>
      </c>
      <c r="E54" s="0" t="n">
        <v>2025</v>
      </c>
      <c r="F54" s="0" t="s">
        <v>942</v>
      </c>
      <c r="G54" s="0" t="s">
        <v>942</v>
      </c>
      <c r="I54" s="0" t="n">
        <v>2025</v>
      </c>
      <c r="J54" s="0" t="s">
        <v>942</v>
      </c>
      <c r="K54" s="0" t="s">
        <v>942</v>
      </c>
      <c r="M54" s="0" t="n">
        <v>2025</v>
      </c>
      <c r="N54" s="0" t="s">
        <v>942</v>
      </c>
      <c r="O54" s="0" t="s">
        <v>942</v>
      </c>
    </row>
    <row r="55" customFormat="false" ht="15" hidden="false" customHeight="false" outlineLevel="0" collapsed="false">
      <c r="A55" s="0" t="n">
        <v>2025</v>
      </c>
      <c r="B55" s="0" t="s">
        <v>942</v>
      </c>
      <c r="C55" s="0" t="s">
        <v>942</v>
      </c>
      <c r="E55" s="0" t="n">
        <v>2025</v>
      </c>
      <c r="F55" s="0" t="s">
        <v>942</v>
      </c>
      <c r="G55" s="0" t="s">
        <v>942</v>
      </c>
      <c r="I55" s="0" t="n">
        <v>2025</v>
      </c>
      <c r="J55" s="0" t="s">
        <v>942</v>
      </c>
      <c r="K55" s="0" t="s">
        <v>942</v>
      </c>
      <c r="M55" s="0" t="n">
        <v>2025</v>
      </c>
      <c r="N55" s="0" t="s">
        <v>942</v>
      </c>
      <c r="O55" s="0" t="s">
        <v>942</v>
      </c>
    </row>
    <row r="56" customFormat="false" ht="15" hidden="false" customHeight="false" outlineLevel="0" collapsed="false">
      <c r="A56" s="0" t="n">
        <v>2025</v>
      </c>
      <c r="B56" s="0" t="s">
        <v>942</v>
      </c>
      <c r="C56" s="0" t="s">
        <v>942</v>
      </c>
      <c r="E56" s="0" t="n">
        <v>2025</v>
      </c>
      <c r="F56" s="0" t="s">
        <v>942</v>
      </c>
      <c r="G56" s="0" t="s">
        <v>942</v>
      </c>
      <c r="I56" s="0" t="n">
        <v>2025</v>
      </c>
      <c r="J56" s="0" t="s">
        <v>942</v>
      </c>
      <c r="K56" s="0" t="s">
        <v>942</v>
      </c>
      <c r="M56" s="0" t="n">
        <v>2025</v>
      </c>
      <c r="N56" s="0" t="s">
        <v>942</v>
      </c>
      <c r="O56" s="0" t="s">
        <v>942</v>
      </c>
    </row>
    <row r="57" customFormat="false" ht="15" hidden="false" customHeight="false" outlineLevel="0" collapsed="false">
      <c r="A57" s="0" t="n">
        <v>2025</v>
      </c>
      <c r="B57" s="0" t="s">
        <v>942</v>
      </c>
      <c r="C57" s="0" t="s">
        <v>942</v>
      </c>
      <c r="E57" s="0" t="n">
        <v>2025</v>
      </c>
      <c r="F57" s="0" t="s">
        <v>942</v>
      </c>
      <c r="G57" s="0" t="s">
        <v>942</v>
      </c>
      <c r="I57" s="0" t="n">
        <v>2025</v>
      </c>
      <c r="J57" s="0" t="s">
        <v>942</v>
      </c>
      <c r="K57" s="0" t="s">
        <v>942</v>
      </c>
      <c r="M57" s="0" t="n">
        <v>2025</v>
      </c>
      <c r="N57" s="0" t="s">
        <v>942</v>
      </c>
      <c r="O57" s="0" t="s">
        <v>942</v>
      </c>
    </row>
    <row r="58" customFormat="false" ht="15" hidden="false" customHeight="false" outlineLevel="0" collapsed="false">
      <c r="A58" s="0" t="n">
        <v>2025</v>
      </c>
      <c r="B58" s="0" t="s">
        <v>942</v>
      </c>
      <c r="C58" s="0" t="s">
        <v>942</v>
      </c>
      <c r="E58" s="0" t="n">
        <v>2025</v>
      </c>
      <c r="F58" s="0" t="s">
        <v>942</v>
      </c>
      <c r="G58" s="0" t="s">
        <v>942</v>
      </c>
      <c r="I58" s="0" t="n">
        <v>2025</v>
      </c>
      <c r="J58" s="0" t="s">
        <v>942</v>
      </c>
      <c r="K58" s="0" t="s">
        <v>942</v>
      </c>
      <c r="M58" s="0" t="n">
        <v>2025</v>
      </c>
      <c r="N58" s="0" t="s">
        <v>942</v>
      </c>
      <c r="O58" s="0" t="s">
        <v>942</v>
      </c>
    </row>
    <row r="59" customFormat="false" ht="15" hidden="false" customHeight="false" outlineLevel="0" collapsed="false">
      <c r="A59" s="0" t="n">
        <v>2025</v>
      </c>
      <c r="B59" s="0" t="s">
        <v>942</v>
      </c>
      <c r="C59" s="0" t="s">
        <v>942</v>
      </c>
      <c r="E59" s="0" t="n">
        <v>2025</v>
      </c>
      <c r="F59" s="0" t="s">
        <v>942</v>
      </c>
      <c r="G59" s="0" t="s">
        <v>942</v>
      </c>
      <c r="I59" s="0" t="n">
        <v>2025</v>
      </c>
      <c r="J59" s="0" t="s">
        <v>942</v>
      </c>
      <c r="K59" s="0" t="s">
        <v>942</v>
      </c>
      <c r="M59" s="0" t="n">
        <v>2025</v>
      </c>
      <c r="N59" s="0" t="s">
        <v>942</v>
      </c>
      <c r="O59" s="0" t="s">
        <v>942</v>
      </c>
    </row>
    <row r="60" customFormat="false" ht="15" hidden="false" customHeight="false" outlineLevel="0" collapsed="false">
      <c r="A60" s="0" t="n">
        <v>2025</v>
      </c>
      <c r="B60" s="0" t="s">
        <v>942</v>
      </c>
      <c r="C60" s="0" t="s">
        <v>942</v>
      </c>
      <c r="E60" s="0" t="n">
        <v>2025</v>
      </c>
      <c r="F60" s="0" t="s">
        <v>942</v>
      </c>
      <c r="G60" s="0" t="s">
        <v>942</v>
      </c>
      <c r="I60" s="0" t="n">
        <v>2025</v>
      </c>
      <c r="J60" s="0" t="s">
        <v>942</v>
      </c>
      <c r="K60" s="0" t="s">
        <v>942</v>
      </c>
      <c r="M60" s="0" t="n">
        <v>2025</v>
      </c>
      <c r="N60" s="0" t="s">
        <v>942</v>
      </c>
      <c r="O60" s="0" t="s">
        <v>942</v>
      </c>
    </row>
    <row r="61" customFormat="false" ht="15" hidden="false" customHeight="false" outlineLevel="0" collapsed="false">
      <c r="A61" s="0" t="n">
        <v>2025</v>
      </c>
      <c r="B61" s="0" t="s">
        <v>942</v>
      </c>
      <c r="C61" s="0" t="s">
        <v>942</v>
      </c>
      <c r="E61" s="0" t="n">
        <v>2025</v>
      </c>
      <c r="F61" s="0" t="s">
        <v>942</v>
      </c>
      <c r="G61" s="0" t="s">
        <v>942</v>
      </c>
      <c r="I61" s="0" t="n">
        <v>2025</v>
      </c>
      <c r="J61" s="0" t="s">
        <v>942</v>
      </c>
      <c r="K61" s="0" t="s">
        <v>942</v>
      </c>
      <c r="M61" s="0" t="n">
        <v>2025</v>
      </c>
      <c r="N61" s="0" t="s">
        <v>942</v>
      </c>
      <c r="O61" s="0" t="s">
        <v>942</v>
      </c>
    </row>
    <row r="62" customFormat="false" ht="15" hidden="false" customHeight="false" outlineLevel="0" collapsed="false">
      <c r="A62" s="0" t="n">
        <v>2025</v>
      </c>
      <c r="B62" s="0" t="s">
        <v>942</v>
      </c>
      <c r="C62" s="0" t="s">
        <v>942</v>
      </c>
      <c r="E62" s="0" t="n">
        <v>2025</v>
      </c>
      <c r="F62" s="0" t="s">
        <v>942</v>
      </c>
      <c r="G62" s="0" t="s">
        <v>942</v>
      </c>
      <c r="I62" s="0" t="n">
        <v>2025</v>
      </c>
      <c r="J62" s="0" t="s">
        <v>942</v>
      </c>
      <c r="K62" s="0" t="s">
        <v>942</v>
      </c>
      <c r="M62" s="0" t="n">
        <v>2025</v>
      </c>
      <c r="N62" s="0" t="s">
        <v>942</v>
      </c>
      <c r="O62" s="0" t="s">
        <v>942</v>
      </c>
    </row>
    <row r="63" customFormat="false" ht="15" hidden="false" customHeight="false" outlineLevel="0" collapsed="false">
      <c r="A63" s="0" t="n">
        <v>2025</v>
      </c>
      <c r="B63" s="0" t="s">
        <v>942</v>
      </c>
      <c r="C63" s="0" t="s">
        <v>942</v>
      </c>
      <c r="E63" s="0" t="n">
        <v>2025</v>
      </c>
      <c r="F63" s="0" t="s">
        <v>942</v>
      </c>
      <c r="G63" s="0" t="s">
        <v>942</v>
      </c>
      <c r="I63" s="0" t="n">
        <v>2025</v>
      </c>
      <c r="J63" s="0" t="s">
        <v>942</v>
      </c>
      <c r="K63" s="0" t="s">
        <v>942</v>
      </c>
      <c r="M63" s="0" t="n">
        <v>2025</v>
      </c>
      <c r="N63" s="0" t="s">
        <v>942</v>
      </c>
      <c r="O63" s="0" t="s">
        <v>942</v>
      </c>
    </row>
    <row r="64" customFormat="false" ht="15" hidden="false" customHeight="false" outlineLevel="0" collapsed="false">
      <c r="A64" s="0" t="n">
        <v>2025</v>
      </c>
      <c r="B64" s="0" t="s">
        <v>942</v>
      </c>
      <c r="C64" s="0" t="s">
        <v>942</v>
      </c>
      <c r="E64" s="0" t="n">
        <v>2025</v>
      </c>
      <c r="F64" s="0" t="s">
        <v>942</v>
      </c>
      <c r="G64" s="0" t="s">
        <v>942</v>
      </c>
      <c r="I64" s="0" t="n">
        <v>2025</v>
      </c>
      <c r="J64" s="0" t="s">
        <v>942</v>
      </c>
      <c r="K64" s="0" t="s">
        <v>942</v>
      </c>
      <c r="M64" s="0" t="n">
        <v>2025</v>
      </c>
      <c r="N64" s="0" t="s">
        <v>942</v>
      </c>
      <c r="O64" s="0" t="s">
        <v>942</v>
      </c>
    </row>
    <row r="65" customFormat="false" ht="15" hidden="false" customHeight="false" outlineLevel="0" collapsed="false">
      <c r="A65" s="0" t="n">
        <v>2025</v>
      </c>
      <c r="B65" s="0" t="s">
        <v>942</v>
      </c>
      <c r="C65" s="0" t="s">
        <v>942</v>
      </c>
      <c r="E65" s="0" t="n">
        <v>2025</v>
      </c>
      <c r="F65" s="0" t="s">
        <v>942</v>
      </c>
      <c r="G65" s="0" t="s">
        <v>942</v>
      </c>
      <c r="I65" s="0" t="n">
        <v>2025</v>
      </c>
      <c r="J65" s="0" t="s">
        <v>942</v>
      </c>
      <c r="K65" s="0" t="s">
        <v>942</v>
      </c>
      <c r="M65" s="0" t="n">
        <v>2025</v>
      </c>
      <c r="N65" s="0" t="s">
        <v>942</v>
      </c>
      <c r="O65" s="0" t="s">
        <v>942</v>
      </c>
    </row>
    <row r="66" customFormat="false" ht="15" hidden="false" customHeight="false" outlineLevel="0" collapsed="false">
      <c r="A66" s="0" t="n">
        <v>2025</v>
      </c>
      <c r="B66" s="0" t="s">
        <v>942</v>
      </c>
      <c r="C66" s="0" t="s">
        <v>942</v>
      </c>
      <c r="E66" s="0" t="n">
        <v>2025</v>
      </c>
      <c r="F66" s="0" t="s">
        <v>942</v>
      </c>
      <c r="G66" s="0" t="s">
        <v>942</v>
      </c>
      <c r="I66" s="0" t="n">
        <v>2025</v>
      </c>
      <c r="J66" s="0" t="s">
        <v>942</v>
      </c>
      <c r="K66" s="0" t="s">
        <v>942</v>
      </c>
      <c r="M66" s="0" t="n">
        <v>2025</v>
      </c>
      <c r="N66" s="0" t="s">
        <v>942</v>
      </c>
      <c r="O66" s="0" t="s">
        <v>942</v>
      </c>
    </row>
    <row r="67" customFormat="false" ht="15" hidden="false" customHeight="false" outlineLevel="0" collapsed="false">
      <c r="A67" s="0" t="n">
        <v>2025</v>
      </c>
      <c r="B67" s="0" t="s">
        <v>942</v>
      </c>
      <c r="C67" s="0" t="s">
        <v>942</v>
      </c>
      <c r="E67" s="0" t="n">
        <v>2025</v>
      </c>
      <c r="F67" s="0" t="s">
        <v>942</v>
      </c>
      <c r="G67" s="0" t="s">
        <v>942</v>
      </c>
      <c r="I67" s="0" t="n">
        <v>2025</v>
      </c>
      <c r="J67" s="0" t="s">
        <v>942</v>
      </c>
      <c r="K67" s="0" t="s">
        <v>942</v>
      </c>
      <c r="M67" s="0" t="n">
        <v>2025</v>
      </c>
      <c r="N67" s="0" t="s">
        <v>942</v>
      </c>
      <c r="O67" s="0" t="s">
        <v>942</v>
      </c>
    </row>
    <row r="68" customFormat="false" ht="15" hidden="false" customHeight="false" outlineLevel="0" collapsed="false">
      <c r="A68" s="0" t="n">
        <v>2025</v>
      </c>
      <c r="B68" s="0" t="s">
        <v>942</v>
      </c>
      <c r="C68" s="0" t="s">
        <v>942</v>
      </c>
      <c r="E68" s="0" t="n">
        <v>2025</v>
      </c>
      <c r="F68" s="0" t="s">
        <v>942</v>
      </c>
      <c r="G68" s="0" t="s">
        <v>942</v>
      </c>
      <c r="I68" s="0" t="n">
        <v>2025</v>
      </c>
      <c r="J68" s="0" t="s">
        <v>942</v>
      </c>
      <c r="K68" s="0" t="s">
        <v>942</v>
      </c>
      <c r="M68" s="0" t="n">
        <v>2025</v>
      </c>
      <c r="N68" s="0" t="s">
        <v>942</v>
      </c>
      <c r="O68" s="0" t="s">
        <v>942</v>
      </c>
    </row>
    <row r="69" customFormat="false" ht="15" hidden="false" customHeight="false" outlineLevel="0" collapsed="false">
      <c r="A69" s="0" t="n">
        <v>2025</v>
      </c>
      <c r="B69" s="0" t="s">
        <v>942</v>
      </c>
      <c r="C69" s="0" t="s">
        <v>942</v>
      </c>
      <c r="E69" s="0" t="n">
        <v>2025</v>
      </c>
      <c r="F69" s="0" t="s">
        <v>942</v>
      </c>
      <c r="G69" s="0" t="s">
        <v>942</v>
      </c>
      <c r="I69" s="0" t="n">
        <v>2025</v>
      </c>
      <c r="J69" s="0" t="s">
        <v>942</v>
      </c>
      <c r="K69" s="0" t="s">
        <v>942</v>
      </c>
      <c r="M69" s="0" t="n">
        <v>2025</v>
      </c>
      <c r="N69" s="0" t="s">
        <v>942</v>
      </c>
      <c r="O69" s="0" t="s">
        <v>942</v>
      </c>
    </row>
    <row r="70" customFormat="false" ht="15" hidden="false" customHeight="false" outlineLevel="0" collapsed="false">
      <c r="A70" s="0" t="n">
        <v>2025</v>
      </c>
      <c r="B70" s="0" t="s">
        <v>942</v>
      </c>
      <c r="C70" s="0" t="s">
        <v>942</v>
      </c>
      <c r="E70" s="0" t="n">
        <v>2025</v>
      </c>
      <c r="F70" s="0" t="s">
        <v>942</v>
      </c>
      <c r="G70" s="0" t="s">
        <v>942</v>
      </c>
      <c r="I70" s="0" t="n">
        <v>2025</v>
      </c>
      <c r="J70" s="0" t="s">
        <v>942</v>
      </c>
      <c r="K70" s="0" t="s">
        <v>942</v>
      </c>
      <c r="M70" s="0" t="n">
        <v>2025</v>
      </c>
      <c r="N70" s="0" t="s">
        <v>942</v>
      </c>
      <c r="O70" s="0" t="s">
        <v>942</v>
      </c>
    </row>
    <row r="71" customFormat="false" ht="15" hidden="false" customHeight="false" outlineLevel="0" collapsed="false">
      <c r="A71" s="0" t="n">
        <v>2025</v>
      </c>
      <c r="B71" s="0" t="s">
        <v>942</v>
      </c>
      <c r="C71" s="0" t="s">
        <v>942</v>
      </c>
      <c r="E71" s="0" t="n">
        <v>2025</v>
      </c>
      <c r="F71" s="0" t="s">
        <v>942</v>
      </c>
      <c r="G71" s="0" t="s">
        <v>942</v>
      </c>
      <c r="I71" s="0" t="n">
        <v>2025</v>
      </c>
      <c r="J71" s="0" t="s">
        <v>942</v>
      </c>
      <c r="K71" s="0" t="s">
        <v>942</v>
      </c>
      <c r="M71" s="0" t="n">
        <v>2025</v>
      </c>
      <c r="N71" s="0" t="s">
        <v>942</v>
      </c>
      <c r="O71" s="0" t="s">
        <v>942</v>
      </c>
    </row>
    <row r="72" customFormat="false" ht="15" hidden="false" customHeight="false" outlineLevel="0" collapsed="false">
      <c r="A72" s="0" t="n">
        <v>2025</v>
      </c>
      <c r="B72" s="0" t="s">
        <v>942</v>
      </c>
      <c r="C72" s="0" t="s">
        <v>942</v>
      </c>
      <c r="E72" s="0" t="n">
        <v>2025</v>
      </c>
      <c r="F72" s="0" t="s">
        <v>942</v>
      </c>
      <c r="G72" s="0" t="s">
        <v>942</v>
      </c>
      <c r="I72" s="0" t="n">
        <v>2025</v>
      </c>
      <c r="J72" s="0" t="s">
        <v>942</v>
      </c>
      <c r="K72" s="0" t="s">
        <v>942</v>
      </c>
      <c r="M72" s="0" t="n">
        <v>2025</v>
      </c>
      <c r="N72" s="0" t="s">
        <v>942</v>
      </c>
      <c r="O72" s="0" t="s">
        <v>942</v>
      </c>
    </row>
    <row r="73" customFormat="false" ht="15" hidden="false" customHeight="false" outlineLevel="0" collapsed="false">
      <c r="A73" s="0" t="n">
        <v>2025</v>
      </c>
      <c r="B73" s="0" t="s">
        <v>942</v>
      </c>
      <c r="C73" s="0" t="s">
        <v>942</v>
      </c>
      <c r="E73" s="0" t="n">
        <v>2025</v>
      </c>
      <c r="F73" s="0" t="s">
        <v>942</v>
      </c>
      <c r="G73" s="0" t="s">
        <v>942</v>
      </c>
      <c r="I73" s="0" t="n">
        <v>2025</v>
      </c>
      <c r="J73" s="0" t="s">
        <v>942</v>
      </c>
      <c r="K73" s="0" t="s">
        <v>942</v>
      </c>
      <c r="M73" s="0" t="n">
        <v>2025</v>
      </c>
      <c r="N73" s="0" t="s">
        <v>942</v>
      </c>
      <c r="O73" s="0" t="s">
        <v>942</v>
      </c>
    </row>
    <row r="74" customFormat="false" ht="15" hidden="false" customHeight="false" outlineLevel="0" collapsed="false">
      <c r="A74" s="0" t="n">
        <v>2025</v>
      </c>
      <c r="B74" s="0" t="s">
        <v>942</v>
      </c>
      <c r="C74" s="0" t="s">
        <v>942</v>
      </c>
      <c r="E74" s="0" t="n">
        <v>2025</v>
      </c>
      <c r="F74" s="0" t="s">
        <v>942</v>
      </c>
      <c r="G74" s="0" t="s">
        <v>942</v>
      </c>
      <c r="I74" s="0" t="n">
        <v>2025</v>
      </c>
      <c r="J74" s="0" t="s">
        <v>942</v>
      </c>
      <c r="K74" s="0" t="s">
        <v>942</v>
      </c>
      <c r="M74" s="0" t="n">
        <v>2025</v>
      </c>
      <c r="N74" s="0" t="s">
        <v>942</v>
      </c>
      <c r="O74" s="0" t="s">
        <v>942</v>
      </c>
    </row>
    <row r="75" customFormat="false" ht="15" hidden="false" customHeight="false" outlineLevel="0" collapsed="false">
      <c r="A75" s="0" t="n">
        <v>2025</v>
      </c>
      <c r="B75" s="0" t="s">
        <v>942</v>
      </c>
      <c r="C75" s="0" t="s">
        <v>942</v>
      </c>
      <c r="E75" s="0" t="n">
        <v>2025</v>
      </c>
      <c r="F75" s="0" t="s">
        <v>942</v>
      </c>
      <c r="G75" s="0" t="s">
        <v>942</v>
      </c>
      <c r="I75" s="0" t="n">
        <v>2025</v>
      </c>
      <c r="J75" s="0" t="s">
        <v>942</v>
      </c>
      <c r="K75" s="0" t="s">
        <v>942</v>
      </c>
      <c r="M75" s="0" t="n">
        <v>2025</v>
      </c>
      <c r="N75" s="0" t="s">
        <v>942</v>
      </c>
      <c r="O75" s="0" t="s">
        <v>942</v>
      </c>
    </row>
    <row r="76" customFormat="false" ht="15" hidden="false" customHeight="false" outlineLevel="0" collapsed="false">
      <c r="A76" s="0" t="n">
        <v>2025</v>
      </c>
      <c r="B76" s="0" t="s">
        <v>942</v>
      </c>
      <c r="C76" s="0" t="s">
        <v>942</v>
      </c>
      <c r="E76" s="0" t="n">
        <v>2025</v>
      </c>
      <c r="F76" s="0" t="s">
        <v>942</v>
      </c>
      <c r="G76" s="0" t="s">
        <v>942</v>
      </c>
      <c r="I76" s="0" t="n">
        <v>2025</v>
      </c>
      <c r="J76" s="0" t="s">
        <v>942</v>
      </c>
      <c r="K76" s="0" t="s">
        <v>942</v>
      </c>
      <c r="M76" s="0" t="n">
        <v>2025</v>
      </c>
      <c r="N76" s="0" t="s">
        <v>942</v>
      </c>
      <c r="O76" s="0" t="s">
        <v>942</v>
      </c>
    </row>
    <row r="77" customFormat="false" ht="15" hidden="false" customHeight="false" outlineLevel="0" collapsed="false">
      <c r="A77" s="0" t="n">
        <v>2025</v>
      </c>
      <c r="B77" s="0" t="s">
        <v>942</v>
      </c>
      <c r="C77" s="0" t="s">
        <v>942</v>
      </c>
      <c r="E77" s="0" t="n">
        <v>2025</v>
      </c>
      <c r="F77" s="0" t="s">
        <v>942</v>
      </c>
      <c r="G77" s="0" t="s">
        <v>942</v>
      </c>
      <c r="I77" s="0" t="n">
        <v>2025</v>
      </c>
      <c r="J77" s="0" t="s">
        <v>942</v>
      </c>
      <c r="K77" s="0" t="s">
        <v>942</v>
      </c>
      <c r="M77" s="0" t="n">
        <v>2025</v>
      </c>
      <c r="N77" s="0" t="s">
        <v>942</v>
      </c>
      <c r="O77" s="0" t="s">
        <v>942</v>
      </c>
    </row>
    <row r="78" customFormat="false" ht="15" hidden="false" customHeight="false" outlineLevel="0" collapsed="false">
      <c r="A78" s="0" t="n">
        <v>2025</v>
      </c>
      <c r="B78" s="0" t="s">
        <v>942</v>
      </c>
      <c r="C78" s="0" t="s">
        <v>942</v>
      </c>
      <c r="E78" s="0" t="n">
        <v>2025</v>
      </c>
      <c r="F78" s="0" t="s">
        <v>942</v>
      </c>
      <c r="G78" s="0" t="s">
        <v>942</v>
      </c>
      <c r="I78" s="0" t="n">
        <v>2025</v>
      </c>
      <c r="J78" s="0" t="s">
        <v>942</v>
      </c>
      <c r="K78" s="0" t="s">
        <v>942</v>
      </c>
      <c r="M78" s="0" t="n">
        <v>2025</v>
      </c>
      <c r="N78" s="0" t="s">
        <v>942</v>
      </c>
      <c r="O78" s="0" t="s">
        <v>942</v>
      </c>
    </row>
    <row r="79" customFormat="false" ht="15" hidden="false" customHeight="false" outlineLevel="0" collapsed="false">
      <c r="A79" s="0" t="n">
        <v>2025</v>
      </c>
      <c r="B79" s="0" t="s">
        <v>942</v>
      </c>
      <c r="C79" s="0" t="s">
        <v>942</v>
      </c>
      <c r="E79" s="0" t="n">
        <v>2025</v>
      </c>
      <c r="F79" s="0" t="s">
        <v>942</v>
      </c>
      <c r="G79" s="0" t="s">
        <v>942</v>
      </c>
      <c r="I79" s="0" t="n">
        <v>2025</v>
      </c>
      <c r="J79" s="0" t="s">
        <v>942</v>
      </c>
      <c r="K79" s="0" t="s">
        <v>942</v>
      </c>
      <c r="M79" s="0" t="n">
        <v>2025</v>
      </c>
      <c r="N79" s="0" t="s">
        <v>942</v>
      </c>
      <c r="O79" s="0" t="s">
        <v>942</v>
      </c>
    </row>
    <row r="80" customFormat="false" ht="15" hidden="false" customHeight="false" outlineLevel="0" collapsed="false">
      <c r="A80" s="0" t="n">
        <v>2025</v>
      </c>
      <c r="B80" s="0" t="s">
        <v>942</v>
      </c>
      <c r="C80" s="0" t="s">
        <v>942</v>
      </c>
      <c r="E80" s="0" t="n">
        <v>2025</v>
      </c>
      <c r="F80" s="0" t="s">
        <v>942</v>
      </c>
      <c r="G80" s="0" t="s">
        <v>942</v>
      </c>
      <c r="I80" s="0" t="n">
        <v>2025</v>
      </c>
      <c r="J80" s="0" t="s">
        <v>942</v>
      </c>
      <c r="K80" s="0" t="s">
        <v>942</v>
      </c>
      <c r="M80" s="0" t="n">
        <v>2025</v>
      </c>
      <c r="N80" s="0" t="s">
        <v>942</v>
      </c>
      <c r="O80" s="0" t="s">
        <v>942</v>
      </c>
    </row>
    <row r="81" customFormat="false" ht="15" hidden="false" customHeight="false" outlineLevel="0" collapsed="false">
      <c r="A81" s="0" t="n">
        <v>2025</v>
      </c>
      <c r="B81" s="0" t="s">
        <v>942</v>
      </c>
      <c r="C81" s="0" t="s">
        <v>942</v>
      </c>
      <c r="E81" s="0" t="n">
        <v>2025</v>
      </c>
      <c r="F81" s="0" t="s">
        <v>942</v>
      </c>
      <c r="G81" s="0" t="s">
        <v>942</v>
      </c>
      <c r="I81" s="0" t="n">
        <v>2025</v>
      </c>
      <c r="J81" s="0" t="s">
        <v>942</v>
      </c>
      <c r="K81" s="0" t="s">
        <v>942</v>
      </c>
      <c r="M81" s="0" t="n">
        <v>2025</v>
      </c>
      <c r="N81" s="0" t="s">
        <v>942</v>
      </c>
      <c r="O81" s="0" t="s">
        <v>942</v>
      </c>
    </row>
    <row r="82" customFormat="false" ht="15" hidden="false" customHeight="false" outlineLevel="0" collapsed="false">
      <c r="A82" s="0" t="n">
        <v>2025</v>
      </c>
      <c r="B82" s="0" t="s">
        <v>942</v>
      </c>
      <c r="C82" s="0" t="s">
        <v>942</v>
      </c>
      <c r="E82" s="0" t="n">
        <v>2025</v>
      </c>
      <c r="F82" s="0" t="s">
        <v>942</v>
      </c>
      <c r="G82" s="0" t="s">
        <v>942</v>
      </c>
      <c r="I82" s="0" t="n">
        <v>2025</v>
      </c>
      <c r="J82" s="0" t="s">
        <v>942</v>
      </c>
      <c r="K82" s="0" t="s">
        <v>942</v>
      </c>
      <c r="M82" s="0" t="n">
        <v>2025</v>
      </c>
      <c r="N82" s="0" t="s">
        <v>942</v>
      </c>
      <c r="O82" s="0" t="s">
        <v>942</v>
      </c>
    </row>
    <row r="83" customFormat="false" ht="15" hidden="false" customHeight="false" outlineLevel="0" collapsed="false">
      <c r="A83" s="0" t="n">
        <v>2025</v>
      </c>
      <c r="B83" s="0" t="s">
        <v>942</v>
      </c>
      <c r="C83" s="0" t="s">
        <v>942</v>
      </c>
      <c r="E83" s="0" t="n">
        <v>2025</v>
      </c>
      <c r="F83" s="0" t="s">
        <v>942</v>
      </c>
      <c r="G83" s="0" t="s">
        <v>942</v>
      </c>
      <c r="I83" s="0" t="n">
        <v>2025</v>
      </c>
      <c r="J83" s="0" t="s">
        <v>942</v>
      </c>
      <c r="K83" s="0" t="s">
        <v>942</v>
      </c>
      <c r="M83" s="0" t="n">
        <v>2025</v>
      </c>
      <c r="N83" s="0" t="s">
        <v>942</v>
      </c>
      <c r="O83" s="0" t="s">
        <v>942</v>
      </c>
    </row>
    <row r="84" customFormat="false" ht="15" hidden="false" customHeight="false" outlineLevel="0" collapsed="false">
      <c r="A84" s="0" t="n">
        <v>2025</v>
      </c>
      <c r="B84" s="0" t="s">
        <v>942</v>
      </c>
      <c r="C84" s="0" t="s">
        <v>942</v>
      </c>
      <c r="E84" s="0" t="n">
        <v>2025</v>
      </c>
      <c r="F84" s="0" t="s">
        <v>942</v>
      </c>
      <c r="G84" s="0" t="s">
        <v>942</v>
      </c>
      <c r="I84" s="0" t="n">
        <v>2025</v>
      </c>
      <c r="J84" s="0" t="s">
        <v>942</v>
      </c>
      <c r="K84" s="0" t="s">
        <v>942</v>
      </c>
      <c r="M84" s="0" t="n">
        <v>2025</v>
      </c>
      <c r="N84" s="0" t="s">
        <v>942</v>
      </c>
      <c r="O84" s="0" t="s">
        <v>942</v>
      </c>
    </row>
    <row r="85" customFormat="false" ht="15" hidden="false" customHeight="false" outlineLevel="0" collapsed="false">
      <c r="A85" s="0" t="n">
        <v>2025</v>
      </c>
      <c r="B85" s="0" t="s">
        <v>942</v>
      </c>
      <c r="C85" s="0" t="s">
        <v>942</v>
      </c>
      <c r="E85" s="0" t="n">
        <v>2025</v>
      </c>
      <c r="F85" s="0" t="s">
        <v>942</v>
      </c>
      <c r="G85" s="0" t="s">
        <v>942</v>
      </c>
      <c r="I85" s="0" t="n">
        <v>2025</v>
      </c>
      <c r="J85" s="0" t="s">
        <v>942</v>
      </c>
      <c r="K85" s="0" t="s">
        <v>942</v>
      </c>
      <c r="M85" s="0" t="n">
        <v>2025</v>
      </c>
      <c r="N85" s="0" t="s">
        <v>942</v>
      </c>
      <c r="O85" s="0" t="s">
        <v>942</v>
      </c>
    </row>
    <row r="86" customFormat="false" ht="15" hidden="false" customHeight="false" outlineLevel="0" collapsed="false">
      <c r="A86" s="0" t="n">
        <v>2025</v>
      </c>
      <c r="B86" s="0" t="s">
        <v>942</v>
      </c>
      <c r="C86" s="0" t="s">
        <v>942</v>
      </c>
      <c r="E86" s="0" t="n">
        <v>2025</v>
      </c>
      <c r="F86" s="0" t="s">
        <v>942</v>
      </c>
      <c r="G86" s="0" t="s">
        <v>942</v>
      </c>
      <c r="I86" s="0" t="n">
        <v>2025</v>
      </c>
      <c r="J86" s="0" t="s">
        <v>942</v>
      </c>
      <c r="K86" s="0" t="s">
        <v>942</v>
      </c>
      <c r="M86" s="0" t="n">
        <v>2025</v>
      </c>
      <c r="N86" s="0" t="s">
        <v>942</v>
      </c>
      <c r="O86" s="0" t="s">
        <v>942</v>
      </c>
    </row>
    <row r="87" customFormat="false" ht="15" hidden="false" customHeight="false" outlineLevel="0" collapsed="false">
      <c r="A87" s="0" t="n">
        <v>2025</v>
      </c>
      <c r="B87" s="0" t="s">
        <v>942</v>
      </c>
      <c r="C87" s="0" t="s">
        <v>942</v>
      </c>
      <c r="E87" s="0" t="n">
        <v>2025</v>
      </c>
      <c r="F87" s="0" t="s">
        <v>942</v>
      </c>
      <c r="G87" s="0" t="s">
        <v>942</v>
      </c>
      <c r="I87" s="0" t="n">
        <v>2025</v>
      </c>
      <c r="J87" s="0" t="s">
        <v>942</v>
      </c>
      <c r="K87" s="0" t="s">
        <v>942</v>
      </c>
      <c r="M87" s="0" t="n">
        <v>2025</v>
      </c>
      <c r="N87" s="0" t="s">
        <v>942</v>
      </c>
      <c r="O87" s="0" t="s">
        <v>942</v>
      </c>
    </row>
    <row r="88" customFormat="false" ht="15" hidden="false" customHeight="false" outlineLevel="0" collapsed="false">
      <c r="A88" s="0" t="n">
        <v>2025</v>
      </c>
      <c r="B88" s="0" t="s">
        <v>942</v>
      </c>
      <c r="C88" s="0" t="s">
        <v>942</v>
      </c>
      <c r="E88" s="0" t="n">
        <v>2025</v>
      </c>
      <c r="F88" s="0" t="s">
        <v>942</v>
      </c>
      <c r="G88" s="0" t="s">
        <v>942</v>
      </c>
      <c r="I88" s="0" t="n">
        <v>2025</v>
      </c>
      <c r="J88" s="0" t="s">
        <v>942</v>
      </c>
      <c r="K88" s="0" t="s">
        <v>942</v>
      </c>
      <c r="M88" s="0" t="n">
        <v>2025</v>
      </c>
      <c r="N88" s="0" t="s">
        <v>942</v>
      </c>
      <c r="O88" s="0" t="s">
        <v>942</v>
      </c>
    </row>
    <row r="89" customFormat="false" ht="15" hidden="false" customHeight="false" outlineLevel="0" collapsed="false">
      <c r="A89" s="0" t="n">
        <v>2025</v>
      </c>
      <c r="B89" s="0" t="s">
        <v>942</v>
      </c>
      <c r="C89" s="0" t="s">
        <v>942</v>
      </c>
      <c r="E89" s="0" t="n">
        <v>2025</v>
      </c>
      <c r="F89" s="0" t="s">
        <v>942</v>
      </c>
      <c r="G89" s="0" t="s">
        <v>942</v>
      </c>
      <c r="I89" s="0" t="n">
        <v>2025</v>
      </c>
      <c r="J89" s="0" t="s">
        <v>942</v>
      </c>
      <c r="K89" s="0" t="s">
        <v>942</v>
      </c>
      <c r="M89" s="0" t="n">
        <v>2025</v>
      </c>
      <c r="N89" s="0" t="s">
        <v>942</v>
      </c>
      <c r="O89" s="0" t="s">
        <v>942</v>
      </c>
    </row>
    <row r="90" customFormat="false" ht="15" hidden="false" customHeight="false" outlineLevel="0" collapsed="false">
      <c r="A90" s="0" t="n">
        <v>2025</v>
      </c>
      <c r="B90" s="0" t="s">
        <v>942</v>
      </c>
      <c r="C90" s="0" t="s">
        <v>942</v>
      </c>
      <c r="E90" s="0" t="n">
        <v>2025</v>
      </c>
      <c r="F90" s="0" t="s">
        <v>942</v>
      </c>
      <c r="G90" s="0" t="s">
        <v>942</v>
      </c>
      <c r="I90" s="0" t="n">
        <v>2025</v>
      </c>
      <c r="J90" s="0" t="s">
        <v>942</v>
      </c>
      <c r="K90" s="0" t="s">
        <v>942</v>
      </c>
      <c r="M90" s="0" t="n">
        <v>2025</v>
      </c>
      <c r="N90" s="0" t="s">
        <v>942</v>
      </c>
      <c r="O90" s="0" t="s">
        <v>942</v>
      </c>
    </row>
    <row r="91" customFormat="false" ht="15" hidden="false" customHeight="false" outlineLevel="0" collapsed="false">
      <c r="A91" s="0" t="n">
        <v>2025</v>
      </c>
      <c r="B91" s="0" t="s">
        <v>942</v>
      </c>
      <c r="C91" s="0" t="s">
        <v>942</v>
      </c>
      <c r="E91" s="0" t="n">
        <v>2025</v>
      </c>
      <c r="F91" s="0" t="s">
        <v>942</v>
      </c>
      <c r="G91" s="0" t="s">
        <v>942</v>
      </c>
      <c r="I91" s="0" t="n">
        <v>2025</v>
      </c>
      <c r="J91" s="0" t="s">
        <v>942</v>
      </c>
      <c r="K91" s="0" t="s">
        <v>942</v>
      </c>
      <c r="M91" s="0" t="n">
        <v>2025</v>
      </c>
      <c r="N91" s="0" t="s">
        <v>942</v>
      </c>
      <c r="O91" s="0" t="s">
        <v>942</v>
      </c>
    </row>
    <row r="92" customFormat="false" ht="15" hidden="false" customHeight="false" outlineLevel="0" collapsed="false">
      <c r="A92" s="0" t="n">
        <v>2025</v>
      </c>
      <c r="B92" s="0" t="s">
        <v>942</v>
      </c>
      <c r="C92" s="0" t="s">
        <v>942</v>
      </c>
      <c r="E92" s="0" t="n">
        <v>2025</v>
      </c>
      <c r="F92" s="0" t="s">
        <v>942</v>
      </c>
      <c r="G92" s="0" t="s">
        <v>942</v>
      </c>
      <c r="I92" s="0" t="n">
        <v>2025</v>
      </c>
      <c r="J92" s="0" t="s">
        <v>942</v>
      </c>
      <c r="K92" s="0" t="s">
        <v>942</v>
      </c>
      <c r="M92" s="0" t="n">
        <v>2025</v>
      </c>
      <c r="N92" s="0" t="s">
        <v>942</v>
      </c>
      <c r="O92" s="0" t="s">
        <v>942</v>
      </c>
    </row>
    <row r="93" customFormat="false" ht="15" hidden="false" customHeight="false" outlineLevel="0" collapsed="false">
      <c r="A93" s="0" t="n">
        <v>2025</v>
      </c>
      <c r="B93" s="0" t="s">
        <v>942</v>
      </c>
      <c r="C93" s="0" t="s">
        <v>942</v>
      </c>
      <c r="E93" s="0" t="n">
        <v>2025</v>
      </c>
      <c r="F93" s="0" t="s">
        <v>942</v>
      </c>
      <c r="G93" s="0" t="s">
        <v>942</v>
      </c>
      <c r="I93" s="0" t="n">
        <v>2025</v>
      </c>
      <c r="J93" s="0" t="s">
        <v>942</v>
      </c>
      <c r="K93" s="0" t="s">
        <v>942</v>
      </c>
      <c r="M93" s="0" t="n">
        <v>2025</v>
      </c>
      <c r="N93" s="0" t="s">
        <v>942</v>
      </c>
      <c r="O93" s="0" t="s">
        <v>942</v>
      </c>
    </row>
    <row r="94" customFormat="false" ht="15" hidden="false" customHeight="false" outlineLevel="0" collapsed="false">
      <c r="A94" s="0" t="n">
        <v>2025</v>
      </c>
      <c r="B94" s="0" t="s">
        <v>942</v>
      </c>
      <c r="C94" s="0" t="s">
        <v>942</v>
      </c>
      <c r="E94" s="0" t="n">
        <v>2025</v>
      </c>
      <c r="F94" s="0" t="s">
        <v>942</v>
      </c>
      <c r="G94" s="0" t="s">
        <v>942</v>
      </c>
      <c r="I94" s="0" t="n">
        <v>2025</v>
      </c>
      <c r="J94" s="0" t="s">
        <v>942</v>
      </c>
      <c r="K94" s="0" t="s">
        <v>942</v>
      </c>
      <c r="M94" s="0" t="n">
        <v>2025</v>
      </c>
      <c r="N94" s="0" t="s">
        <v>942</v>
      </c>
      <c r="O94" s="0" t="s">
        <v>942</v>
      </c>
    </row>
    <row r="95" customFormat="false" ht="15" hidden="false" customHeight="false" outlineLevel="0" collapsed="false">
      <c r="A95" s="0" t="n">
        <v>2025</v>
      </c>
      <c r="B95" s="0" t="s">
        <v>942</v>
      </c>
      <c r="C95" s="0" t="s">
        <v>942</v>
      </c>
      <c r="E95" s="0" t="n">
        <v>2025</v>
      </c>
      <c r="F95" s="0" t="s">
        <v>942</v>
      </c>
      <c r="G95" s="0" t="s">
        <v>942</v>
      </c>
      <c r="I95" s="0" t="n">
        <v>2025</v>
      </c>
      <c r="J95" s="0" t="s">
        <v>942</v>
      </c>
      <c r="K95" s="0" t="s">
        <v>942</v>
      </c>
      <c r="M95" s="0" t="n">
        <v>2025</v>
      </c>
      <c r="N95" s="0" t="s">
        <v>942</v>
      </c>
      <c r="O95" s="0" t="s">
        <v>942</v>
      </c>
    </row>
    <row r="96" customFormat="false" ht="15" hidden="false" customHeight="false" outlineLevel="0" collapsed="false">
      <c r="A96" s="0" t="n">
        <v>2025</v>
      </c>
      <c r="B96" s="0" t="s">
        <v>942</v>
      </c>
      <c r="C96" s="0" t="s">
        <v>942</v>
      </c>
      <c r="E96" s="0" t="n">
        <v>2025</v>
      </c>
      <c r="F96" s="0" t="s">
        <v>942</v>
      </c>
      <c r="G96" s="0" t="s">
        <v>942</v>
      </c>
      <c r="I96" s="0" t="n">
        <v>2025</v>
      </c>
      <c r="J96" s="0" t="s">
        <v>942</v>
      </c>
      <c r="K96" s="0" t="s">
        <v>942</v>
      </c>
      <c r="M96" s="0" t="n">
        <v>2025</v>
      </c>
      <c r="N96" s="0" t="s">
        <v>942</v>
      </c>
      <c r="O96" s="0" t="s">
        <v>942</v>
      </c>
    </row>
    <row r="97" customFormat="false" ht="15" hidden="false" customHeight="false" outlineLevel="0" collapsed="false">
      <c r="A97" s="0" t="n">
        <v>2025</v>
      </c>
      <c r="B97" s="0" t="s">
        <v>942</v>
      </c>
      <c r="C97" s="0" t="s">
        <v>942</v>
      </c>
      <c r="E97" s="0" t="n">
        <v>2025</v>
      </c>
      <c r="F97" s="0" t="s">
        <v>942</v>
      </c>
      <c r="G97" s="0" t="s">
        <v>942</v>
      </c>
      <c r="I97" s="0" t="n">
        <v>2025</v>
      </c>
      <c r="J97" s="0" t="s">
        <v>942</v>
      </c>
      <c r="K97" s="0" t="s">
        <v>942</v>
      </c>
      <c r="M97" s="0" t="n">
        <v>2025</v>
      </c>
      <c r="N97" s="0" t="s">
        <v>942</v>
      </c>
      <c r="O97" s="0" t="s">
        <v>942</v>
      </c>
    </row>
    <row r="98" customFormat="false" ht="15" hidden="false" customHeight="false" outlineLevel="0" collapsed="false">
      <c r="A98" s="0" t="n">
        <v>2025</v>
      </c>
      <c r="B98" s="0" t="s">
        <v>942</v>
      </c>
      <c r="C98" s="0" t="s">
        <v>942</v>
      </c>
      <c r="E98" s="0" t="n">
        <v>2025</v>
      </c>
      <c r="F98" s="0" t="s">
        <v>942</v>
      </c>
      <c r="G98" s="0" t="s">
        <v>942</v>
      </c>
      <c r="I98" s="0" t="n">
        <v>2025</v>
      </c>
      <c r="J98" s="0" t="s">
        <v>942</v>
      </c>
      <c r="K98" s="0" t="s">
        <v>942</v>
      </c>
      <c r="M98" s="0" t="n">
        <v>2025</v>
      </c>
      <c r="N98" s="0" t="s">
        <v>942</v>
      </c>
      <c r="O98" s="0" t="s">
        <v>942</v>
      </c>
    </row>
    <row r="99" customFormat="false" ht="15" hidden="false" customHeight="false" outlineLevel="0" collapsed="false">
      <c r="A99" s="0" t="n">
        <v>2025</v>
      </c>
      <c r="B99" s="0" t="s">
        <v>942</v>
      </c>
      <c r="C99" s="0" t="s">
        <v>942</v>
      </c>
      <c r="E99" s="0" t="n">
        <v>2025</v>
      </c>
      <c r="F99" s="0" t="s">
        <v>942</v>
      </c>
      <c r="G99" s="0" t="s">
        <v>942</v>
      </c>
      <c r="I99" s="0" t="n">
        <v>2025</v>
      </c>
      <c r="J99" s="0" t="s">
        <v>942</v>
      </c>
      <c r="K99" s="0" t="s">
        <v>942</v>
      </c>
      <c r="M99" s="0" t="n">
        <v>2025</v>
      </c>
      <c r="N99" s="0" t="s">
        <v>942</v>
      </c>
      <c r="O99" s="0" t="s">
        <v>942</v>
      </c>
    </row>
    <row r="100" customFormat="false" ht="15" hidden="false" customHeight="false" outlineLevel="0" collapsed="false">
      <c r="A100" s="0" t="n">
        <v>2025</v>
      </c>
      <c r="B100" s="0" t="s">
        <v>942</v>
      </c>
      <c r="C100" s="0" t="s">
        <v>942</v>
      </c>
      <c r="E100" s="0" t="n">
        <v>2025</v>
      </c>
      <c r="F100" s="0" t="s">
        <v>942</v>
      </c>
      <c r="G100" s="0" t="s">
        <v>942</v>
      </c>
      <c r="I100" s="0" t="n">
        <v>2025</v>
      </c>
      <c r="J100" s="0" t="s">
        <v>942</v>
      </c>
      <c r="K100" s="0" t="s">
        <v>942</v>
      </c>
      <c r="M100" s="0" t="n">
        <v>2025</v>
      </c>
      <c r="N100" s="0" t="s">
        <v>942</v>
      </c>
      <c r="O100" s="0" t="s">
        <v>942</v>
      </c>
    </row>
    <row r="101" customFormat="false" ht="15" hidden="false" customHeight="false" outlineLevel="0" collapsed="false">
      <c r="A101" s="0" t="n">
        <v>2025</v>
      </c>
      <c r="B101" s="0" t="s">
        <v>942</v>
      </c>
      <c r="C101" s="0" t="s">
        <v>942</v>
      </c>
      <c r="E101" s="0" t="n">
        <v>2025</v>
      </c>
      <c r="F101" s="0" t="s">
        <v>942</v>
      </c>
      <c r="G101" s="0" t="s">
        <v>942</v>
      </c>
      <c r="I101" s="0" t="n">
        <v>2025</v>
      </c>
      <c r="J101" s="0" t="s">
        <v>942</v>
      </c>
      <c r="K101" s="0" t="s">
        <v>942</v>
      </c>
      <c r="M101" s="0" t="n">
        <v>2025</v>
      </c>
      <c r="N101" s="0" t="s">
        <v>942</v>
      </c>
      <c r="O101" s="0" t="s">
        <v>942</v>
      </c>
    </row>
    <row r="102" customFormat="false" ht="15" hidden="false" customHeight="false" outlineLevel="0" collapsed="false">
      <c r="A102" s="0" t="n">
        <v>2025</v>
      </c>
      <c r="B102" s="0" t="s">
        <v>942</v>
      </c>
      <c r="C102" s="0" t="s">
        <v>942</v>
      </c>
      <c r="E102" s="0" t="n">
        <v>2025</v>
      </c>
      <c r="F102" s="0" t="s">
        <v>942</v>
      </c>
      <c r="G102" s="0" t="s">
        <v>942</v>
      </c>
      <c r="I102" s="0" t="n">
        <v>2025</v>
      </c>
      <c r="J102" s="0" t="s">
        <v>942</v>
      </c>
      <c r="K102" s="0" t="s">
        <v>942</v>
      </c>
      <c r="M102" s="0" t="n">
        <v>2025</v>
      </c>
      <c r="N102" s="0" t="s">
        <v>942</v>
      </c>
      <c r="O102" s="0" t="s">
        <v>942</v>
      </c>
    </row>
    <row r="103" customFormat="false" ht="15" hidden="false" customHeight="false" outlineLevel="0" collapsed="false">
      <c r="A103" s="0" t="n">
        <v>2025</v>
      </c>
      <c r="B103" s="0" t="s">
        <v>942</v>
      </c>
      <c r="C103" s="0" t="s">
        <v>942</v>
      </c>
      <c r="E103" s="0" t="n">
        <v>2025</v>
      </c>
      <c r="F103" s="0" t="s">
        <v>942</v>
      </c>
      <c r="G103" s="0" t="s">
        <v>942</v>
      </c>
      <c r="I103" s="0" t="n">
        <v>2025</v>
      </c>
      <c r="J103" s="0" t="s">
        <v>942</v>
      </c>
      <c r="K103" s="0" t="s">
        <v>942</v>
      </c>
      <c r="M103" s="0" t="n">
        <v>2025</v>
      </c>
      <c r="N103" s="0" t="s">
        <v>942</v>
      </c>
      <c r="O103" s="0" t="s">
        <v>942</v>
      </c>
    </row>
    <row r="104" customFormat="false" ht="15" hidden="false" customHeight="false" outlineLevel="0" collapsed="false">
      <c r="A104" s="0" t="n">
        <v>2025</v>
      </c>
      <c r="B104" s="0" t="s">
        <v>942</v>
      </c>
      <c r="C104" s="0" t="s">
        <v>942</v>
      </c>
      <c r="E104" s="0" t="n">
        <v>2025</v>
      </c>
      <c r="F104" s="0" t="s">
        <v>942</v>
      </c>
      <c r="G104" s="0" t="s">
        <v>942</v>
      </c>
      <c r="I104" s="0" t="n">
        <v>2025</v>
      </c>
      <c r="J104" s="0" t="s">
        <v>942</v>
      </c>
      <c r="K104" s="0" t="s">
        <v>942</v>
      </c>
      <c r="M104" s="0" t="n">
        <v>2025</v>
      </c>
      <c r="N104" s="0" t="s">
        <v>942</v>
      </c>
      <c r="O104" s="0" t="s">
        <v>942</v>
      </c>
    </row>
    <row r="105" customFormat="false" ht="15" hidden="false" customHeight="false" outlineLevel="0" collapsed="false">
      <c r="A105" s="0" t="n">
        <v>2025</v>
      </c>
      <c r="B105" s="0" t="s">
        <v>942</v>
      </c>
      <c r="C105" s="0" t="s">
        <v>942</v>
      </c>
      <c r="E105" s="0" t="n">
        <v>2025</v>
      </c>
      <c r="F105" s="0" t="s">
        <v>942</v>
      </c>
      <c r="G105" s="0" t="s">
        <v>942</v>
      </c>
      <c r="I105" s="0" t="n">
        <v>2025</v>
      </c>
      <c r="J105" s="0" t="s">
        <v>942</v>
      </c>
      <c r="K105" s="0" t="s">
        <v>942</v>
      </c>
      <c r="M105" s="0" t="n">
        <v>2025</v>
      </c>
      <c r="N105" s="0" t="s">
        <v>942</v>
      </c>
      <c r="O105" s="0" t="s">
        <v>942</v>
      </c>
    </row>
    <row r="106" customFormat="false" ht="15" hidden="false" customHeight="false" outlineLevel="0" collapsed="false">
      <c r="A106" s="0" t="n">
        <v>2025</v>
      </c>
      <c r="B106" s="0" t="s">
        <v>942</v>
      </c>
      <c r="C106" s="0" t="s">
        <v>942</v>
      </c>
      <c r="E106" s="0" t="n">
        <v>2025</v>
      </c>
      <c r="F106" s="0" t="s">
        <v>942</v>
      </c>
      <c r="G106" s="0" t="s">
        <v>942</v>
      </c>
      <c r="I106" s="0" t="n">
        <v>2025</v>
      </c>
      <c r="J106" s="0" t="s">
        <v>942</v>
      </c>
      <c r="K106" s="0" t="s">
        <v>942</v>
      </c>
      <c r="M106" s="0" t="n">
        <v>2025</v>
      </c>
      <c r="N106" s="0" t="s">
        <v>942</v>
      </c>
      <c r="O106" s="0" t="s">
        <v>942</v>
      </c>
    </row>
    <row r="107" customFormat="false" ht="15" hidden="false" customHeight="false" outlineLevel="0" collapsed="false">
      <c r="A107" s="0" t="n">
        <v>2025</v>
      </c>
      <c r="B107" s="0" t="s">
        <v>942</v>
      </c>
      <c r="C107" s="0" t="s">
        <v>942</v>
      </c>
      <c r="E107" s="0" t="n">
        <v>2025</v>
      </c>
      <c r="F107" s="0" t="s">
        <v>942</v>
      </c>
      <c r="G107" s="0" t="s">
        <v>942</v>
      </c>
      <c r="I107" s="0" t="n">
        <v>2025</v>
      </c>
      <c r="J107" s="0" t="s">
        <v>942</v>
      </c>
      <c r="K107" s="0" t="s">
        <v>942</v>
      </c>
      <c r="M107" s="0" t="n">
        <v>2025</v>
      </c>
      <c r="N107" s="0" t="s">
        <v>942</v>
      </c>
      <c r="O107" s="0" t="s">
        <v>942</v>
      </c>
    </row>
    <row r="108" customFormat="false" ht="15" hidden="false" customHeight="false" outlineLevel="0" collapsed="false">
      <c r="A108" s="0" t="n">
        <v>2025</v>
      </c>
      <c r="B108" s="0" t="s">
        <v>942</v>
      </c>
      <c r="C108" s="0" t="s">
        <v>942</v>
      </c>
      <c r="E108" s="0" t="n">
        <v>2025</v>
      </c>
      <c r="F108" s="0" t="s">
        <v>942</v>
      </c>
      <c r="G108" s="0" t="s">
        <v>942</v>
      </c>
      <c r="I108" s="0" t="n">
        <v>2025</v>
      </c>
      <c r="J108" s="0" t="s">
        <v>942</v>
      </c>
      <c r="K108" s="0" t="s">
        <v>942</v>
      </c>
      <c r="M108" s="0" t="n">
        <v>2025</v>
      </c>
      <c r="N108" s="0" t="s">
        <v>942</v>
      </c>
      <c r="O108" s="0" t="s">
        <v>942</v>
      </c>
    </row>
    <row r="109" customFormat="false" ht="15" hidden="false" customHeight="false" outlineLevel="0" collapsed="false">
      <c r="A109" s="0" t="n">
        <v>2025</v>
      </c>
      <c r="B109" s="0" t="s">
        <v>942</v>
      </c>
      <c r="C109" s="0" t="s">
        <v>942</v>
      </c>
      <c r="E109" s="0" t="n">
        <v>2025</v>
      </c>
      <c r="F109" s="0" t="s">
        <v>942</v>
      </c>
      <c r="G109" s="0" t="s">
        <v>942</v>
      </c>
      <c r="I109" s="0" t="n">
        <v>2025</v>
      </c>
      <c r="J109" s="0" t="s">
        <v>942</v>
      </c>
      <c r="K109" s="0" t="s">
        <v>942</v>
      </c>
      <c r="M109" s="0" t="n">
        <v>2025</v>
      </c>
      <c r="N109" s="0" t="s">
        <v>942</v>
      </c>
      <c r="O109" s="0" t="s">
        <v>942</v>
      </c>
    </row>
    <row r="110" customFormat="false" ht="15" hidden="false" customHeight="false" outlineLevel="0" collapsed="false">
      <c r="A110" s="0" t="n">
        <v>2025</v>
      </c>
      <c r="B110" s="0" t="s">
        <v>942</v>
      </c>
      <c r="C110" s="0" t="s">
        <v>942</v>
      </c>
      <c r="E110" s="0" t="n">
        <v>2025</v>
      </c>
      <c r="F110" s="0" t="s">
        <v>942</v>
      </c>
      <c r="G110" s="0" t="s">
        <v>942</v>
      </c>
      <c r="I110" s="0" t="n">
        <v>2025</v>
      </c>
      <c r="J110" s="0" t="s">
        <v>942</v>
      </c>
      <c r="K110" s="0" t="s">
        <v>942</v>
      </c>
      <c r="M110" s="0" t="n">
        <v>2025</v>
      </c>
      <c r="N110" s="0" t="s">
        <v>942</v>
      </c>
      <c r="O110" s="0" t="s">
        <v>942</v>
      </c>
    </row>
    <row r="111" customFormat="false" ht="15" hidden="false" customHeight="false" outlineLevel="0" collapsed="false">
      <c r="A111" s="0" t="n">
        <v>2025</v>
      </c>
      <c r="B111" s="0" t="s">
        <v>942</v>
      </c>
      <c r="C111" s="0" t="s">
        <v>942</v>
      </c>
      <c r="E111" s="0" t="n">
        <v>2025</v>
      </c>
      <c r="F111" s="0" t="s">
        <v>942</v>
      </c>
      <c r="G111" s="0" t="s">
        <v>942</v>
      </c>
      <c r="I111" s="0" t="n">
        <v>2025</v>
      </c>
      <c r="J111" s="0" t="s">
        <v>942</v>
      </c>
      <c r="K111" s="0" t="s">
        <v>942</v>
      </c>
      <c r="M111" s="0" t="n">
        <v>2025</v>
      </c>
      <c r="N111" s="0" t="s">
        <v>942</v>
      </c>
      <c r="O111" s="0" t="s">
        <v>942</v>
      </c>
    </row>
    <row r="112" customFormat="false" ht="15" hidden="false" customHeight="false" outlineLevel="0" collapsed="false">
      <c r="A112" s="0" t="n">
        <v>2025</v>
      </c>
      <c r="B112" s="0" t="s">
        <v>942</v>
      </c>
      <c r="C112" s="0" t="s">
        <v>942</v>
      </c>
      <c r="E112" s="0" t="n">
        <v>2025</v>
      </c>
      <c r="F112" s="0" t="s">
        <v>942</v>
      </c>
      <c r="G112" s="0" t="s">
        <v>942</v>
      </c>
      <c r="I112" s="0" t="n">
        <v>2025</v>
      </c>
      <c r="J112" s="0" t="s">
        <v>942</v>
      </c>
      <c r="K112" s="0" t="s">
        <v>942</v>
      </c>
      <c r="M112" s="0" t="n">
        <v>2025</v>
      </c>
      <c r="N112" s="0" t="s">
        <v>942</v>
      </c>
      <c r="O112" s="0" t="s">
        <v>942</v>
      </c>
    </row>
    <row r="113" customFormat="false" ht="15" hidden="false" customHeight="false" outlineLevel="0" collapsed="false">
      <c r="A113" s="0" t="n">
        <v>2025</v>
      </c>
      <c r="B113" s="0" t="s">
        <v>942</v>
      </c>
      <c r="C113" s="0" t="s">
        <v>942</v>
      </c>
      <c r="E113" s="0" t="n">
        <v>2025</v>
      </c>
      <c r="F113" s="0" t="s">
        <v>942</v>
      </c>
      <c r="G113" s="0" t="s">
        <v>942</v>
      </c>
      <c r="I113" s="0" t="n">
        <v>2025</v>
      </c>
      <c r="J113" s="0" t="s">
        <v>942</v>
      </c>
      <c r="K113" s="0" t="s">
        <v>942</v>
      </c>
      <c r="M113" s="0" t="n">
        <v>2025</v>
      </c>
      <c r="N113" s="0" t="s">
        <v>942</v>
      </c>
      <c r="O113" s="0" t="s">
        <v>942</v>
      </c>
    </row>
    <row r="114" customFormat="false" ht="15" hidden="false" customHeight="false" outlineLevel="0" collapsed="false">
      <c r="A114" s="0" t="n">
        <v>2025</v>
      </c>
      <c r="B114" s="0" t="s">
        <v>942</v>
      </c>
      <c r="C114" s="0" t="s">
        <v>942</v>
      </c>
      <c r="E114" s="0" t="n">
        <v>2025</v>
      </c>
      <c r="F114" s="0" t="s">
        <v>942</v>
      </c>
      <c r="G114" s="0" t="s">
        <v>942</v>
      </c>
      <c r="I114" s="0" t="n">
        <v>2025</v>
      </c>
      <c r="J114" s="0" t="s">
        <v>942</v>
      </c>
      <c r="K114" s="0" t="s">
        <v>942</v>
      </c>
      <c r="M114" s="0" t="n">
        <v>2025</v>
      </c>
      <c r="N114" s="0" t="s">
        <v>942</v>
      </c>
      <c r="O114" s="0" t="s">
        <v>942</v>
      </c>
    </row>
    <row r="115" customFormat="false" ht="15" hidden="false" customHeight="false" outlineLevel="0" collapsed="false">
      <c r="A115" s="0" t="n">
        <v>2025</v>
      </c>
      <c r="B115" s="0" t="s">
        <v>942</v>
      </c>
      <c r="C115" s="0" t="s">
        <v>942</v>
      </c>
      <c r="E115" s="0" t="n">
        <v>2025</v>
      </c>
      <c r="F115" s="0" t="s">
        <v>942</v>
      </c>
      <c r="G115" s="0" t="s">
        <v>942</v>
      </c>
      <c r="I115" s="0" t="n">
        <v>2025</v>
      </c>
      <c r="J115" s="0" t="s">
        <v>942</v>
      </c>
      <c r="K115" s="0" t="s">
        <v>942</v>
      </c>
      <c r="M115" s="0" t="n">
        <v>2025</v>
      </c>
      <c r="N115" s="0" t="s">
        <v>942</v>
      </c>
      <c r="O115" s="0" t="s">
        <v>942</v>
      </c>
    </row>
    <row r="116" customFormat="false" ht="15" hidden="false" customHeight="false" outlineLevel="0" collapsed="false">
      <c r="A116" s="0" t="n">
        <v>2025</v>
      </c>
      <c r="B116" s="0" t="s">
        <v>942</v>
      </c>
      <c r="C116" s="0" t="s">
        <v>942</v>
      </c>
      <c r="E116" s="0" t="n">
        <v>2025</v>
      </c>
      <c r="F116" s="0" t="s">
        <v>942</v>
      </c>
      <c r="G116" s="0" t="s">
        <v>942</v>
      </c>
      <c r="I116" s="0" t="n">
        <v>2025</v>
      </c>
      <c r="J116" s="0" t="s">
        <v>942</v>
      </c>
      <c r="K116" s="0" t="s">
        <v>942</v>
      </c>
      <c r="M116" s="0" t="n">
        <v>2025</v>
      </c>
      <c r="N116" s="0" t="s">
        <v>942</v>
      </c>
      <c r="O116" s="0" t="s">
        <v>942</v>
      </c>
    </row>
    <row r="117" customFormat="false" ht="15" hidden="false" customHeight="false" outlineLevel="0" collapsed="false">
      <c r="A117" s="0" t="n">
        <v>2025</v>
      </c>
      <c r="B117" s="0" t="s">
        <v>942</v>
      </c>
      <c r="C117" s="0" t="s">
        <v>942</v>
      </c>
      <c r="E117" s="0" t="n">
        <v>2025</v>
      </c>
      <c r="F117" s="0" t="s">
        <v>942</v>
      </c>
      <c r="G117" s="0" t="s">
        <v>942</v>
      </c>
      <c r="I117" s="0" t="n">
        <v>2025</v>
      </c>
      <c r="J117" s="0" t="s">
        <v>942</v>
      </c>
      <c r="K117" s="0" t="s">
        <v>942</v>
      </c>
      <c r="M117" s="0" t="n">
        <v>2025</v>
      </c>
      <c r="N117" s="0" t="s">
        <v>942</v>
      </c>
      <c r="O117" s="0" t="s">
        <v>942</v>
      </c>
    </row>
    <row r="118" customFormat="false" ht="15" hidden="false" customHeight="false" outlineLevel="0" collapsed="false">
      <c r="A118" s="0" t="n">
        <v>2025</v>
      </c>
      <c r="B118" s="0" t="s">
        <v>942</v>
      </c>
      <c r="C118" s="0" t="s">
        <v>942</v>
      </c>
      <c r="E118" s="0" t="n">
        <v>2025</v>
      </c>
      <c r="F118" s="0" t="s">
        <v>942</v>
      </c>
      <c r="G118" s="0" t="s">
        <v>942</v>
      </c>
      <c r="I118" s="0" t="n">
        <v>2025</v>
      </c>
      <c r="J118" s="0" t="s">
        <v>942</v>
      </c>
      <c r="K118" s="0" t="s">
        <v>942</v>
      </c>
      <c r="M118" s="0" t="n">
        <v>2025</v>
      </c>
      <c r="N118" s="0" t="s">
        <v>942</v>
      </c>
      <c r="O118" s="0" t="s">
        <v>942</v>
      </c>
    </row>
    <row r="119" customFormat="false" ht="15" hidden="false" customHeight="false" outlineLevel="0" collapsed="false">
      <c r="A119" s="0" t="n">
        <v>2025</v>
      </c>
      <c r="B119" s="0" t="s">
        <v>942</v>
      </c>
      <c r="C119" s="0" t="s">
        <v>942</v>
      </c>
      <c r="E119" s="0" t="n">
        <v>2025</v>
      </c>
      <c r="F119" s="0" t="s">
        <v>942</v>
      </c>
      <c r="G119" s="0" t="s">
        <v>942</v>
      </c>
      <c r="I119" s="0" t="n">
        <v>2025</v>
      </c>
      <c r="J119" s="0" t="s">
        <v>942</v>
      </c>
      <c r="K119" s="0" t="s">
        <v>942</v>
      </c>
      <c r="M119" s="0" t="n">
        <v>2025</v>
      </c>
      <c r="N119" s="0" t="s">
        <v>942</v>
      </c>
      <c r="O119" s="0" t="s">
        <v>942</v>
      </c>
    </row>
    <row r="120" customFormat="false" ht="15" hidden="false" customHeight="false" outlineLevel="0" collapsed="false">
      <c r="A120" s="0" t="n">
        <v>2025</v>
      </c>
      <c r="B120" s="0" t="s">
        <v>942</v>
      </c>
      <c r="C120" s="0" t="s">
        <v>942</v>
      </c>
      <c r="E120" s="0" t="n">
        <v>2025</v>
      </c>
      <c r="F120" s="0" t="s">
        <v>942</v>
      </c>
      <c r="G120" s="0" t="s">
        <v>942</v>
      </c>
      <c r="I120" s="0" t="n">
        <v>2025</v>
      </c>
      <c r="J120" s="0" t="s">
        <v>942</v>
      </c>
      <c r="K120" s="0" t="s">
        <v>942</v>
      </c>
      <c r="M120" s="0" t="n">
        <v>2025</v>
      </c>
      <c r="N120" s="0" t="s">
        <v>942</v>
      </c>
      <c r="O120" s="0" t="s">
        <v>942</v>
      </c>
    </row>
    <row r="121" customFormat="false" ht="15" hidden="false" customHeight="false" outlineLevel="0" collapsed="false">
      <c r="A121" s="0" t="n">
        <v>2025</v>
      </c>
      <c r="B121" s="0" t="s">
        <v>942</v>
      </c>
      <c r="C121" s="0" t="s">
        <v>942</v>
      </c>
      <c r="E121" s="0" t="n">
        <v>2025</v>
      </c>
      <c r="F121" s="0" t="s">
        <v>942</v>
      </c>
      <c r="G121" s="0" t="s">
        <v>942</v>
      </c>
      <c r="I121" s="0" t="n">
        <v>2025</v>
      </c>
      <c r="J121" s="0" t="s">
        <v>942</v>
      </c>
      <c r="K121" s="0" t="s">
        <v>942</v>
      </c>
      <c r="M121" s="0" t="n">
        <v>2025</v>
      </c>
      <c r="N121" s="0" t="s">
        <v>942</v>
      </c>
      <c r="O121" s="0" t="s">
        <v>942</v>
      </c>
    </row>
    <row r="122" customFormat="false" ht="15" hidden="false" customHeight="false" outlineLevel="0" collapsed="false">
      <c r="A122" s="0" t="n">
        <v>2025</v>
      </c>
      <c r="B122" s="0" t="s">
        <v>942</v>
      </c>
      <c r="C122" s="0" t="s">
        <v>942</v>
      </c>
      <c r="E122" s="0" t="n">
        <v>2025</v>
      </c>
      <c r="F122" s="0" t="s">
        <v>942</v>
      </c>
      <c r="G122" s="0" t="s">
        <v>942</v>
      </c>
      <c r="I122" s="0" t="n">
        <v>2025</v>
      </c>
      <c r="J122" s="0" t="s">
        <v>942</v>
      </c>
      <c r="K122" s="0" t="s">
        <v>942</v>
      </c>
      <c r="M122" s="0" t="n">
        <v>2025</v>
      </c>
      <c r="N122" s="0" t="s">
        <v>942</v>
      </c>
      <c r="O122" s="0" t="s">
        <v>942</v>
      </c>
    </row>
    <row r="123" customFormat="false" ht="15" hidden="false" customHeight="false" outlineLevel="0" collapsed="false">
      <c r="A123" s="0" t="n">
        <v>2025</v>
      </c>
      <c r="B123" s="0" t="s">
        <v>942</v>
      </c>
      <c r="C123" s="0" t="s">
        <v>942</v>
      </c>
      <c r="E123" s="0" t="n">
        <v>2025</v>
      </c>
      <c r="F123" s="0" t="s">
        <v>942</v>
      </c>
      <c r="G123" s="0" t="s">
        <v>942</v>
      </c>
      <c r="I123" s="0" t="n">
        <v>2025</v>
      </c>
      <c r="J123" s="0" t="s">
        <v>942</v>
      </c>
      <c r="K123" s="0" t="s">
        <v>942</v>
      </c>
      <c r="M123" s="0" t="n">
        <v>2025</v>
      </c>
      <c r="N123" s="0" t="s">
        <v>942</v>
      </c>
      <c r="O123" s="0" t="s">
        <v>942</v>
      </c>
    </row>
    <row r="124" customFormat="false" ht="15" hidden="false" customHeight="false" outlineLevel="0" collapsed="false">
      <c r="A124" s="0" t="n">
        <v>2025</v>
      </c>
      <c r="B124" s="0" t="s">
        <v>942</v>
      </c>
      <c r="C124" s="0" t="s">
        <v>942</v>
      </c>
      <c r="E124" s="0" t="n">
        <v>2025</v>
      </c>
      <c r="F124" s="0" t="s">
        <v>942</v>
      </c>
      <c r="G124" s="0" t="s">
        <v>942</v>
      </c>
      <c r="I124" s="0" t="n">
        <v>2025</v>
      </c>
      <c r="J124" s="0" t="s">
        <v>942</v>
      </c>
      <c r="K124" s="0" t="s">
        <v>942</v>
      </c>
      <c r="M124" s="0" t="n">
        <v>2025</v>
      </c>
      <c r="N124" s="0" t="s">
        <v>942</v>
      </c>
      <c r="O124" s="0" t="s">
        <v>942</v>
      </c>
    </row>
    <row r="125" customFormat="false" ht="15" hidden="false" customHeight="false" outlineLevel="0" collapsed="false">
      <c r="A125" s="0" t="n">
        <v>2025</v>
      </c>
      <c r="B125" s="0" t="s">
        <v>942</v>
      </c>
      <c r="C125" s="0" t="s">
        <v>942</v>
      </c>
      <c r="E125" s="0" t="n">
        <v>2025</v>
      </c>
      <c r="F125" s="0" t="s">
        <v>942</v>
      </c>
      <c r="G125" s="0" t="s">
        <v>942</v>
      </c>
      <c r="I125" s="0" t="n">
        <v>2025</v>
      </c>
      <c r="J125" s="0" t="s">
        <v>942</v>
      </c>
      <c r="K125" s="0" t="s">
        <v>942</v>
      </c>
      <c r="M125" s="0" t="n">
        <v>2025</v>
      </c>
      <c r="N125" s="0" t="s">
        <v>942</v>
      </c>
      <c r="O125" s="0" t="s">
        <v>942</v>
      </c>
    </row>
    <row r="126" customFormat="false" ht="15" hidden="false" customHeight="false" outlineLevel="0" collapsed="false">
      <c r="A126" s="0" t="n">
        <v>2025</v>
      </c>
      <c r="B126" s="0" t="s">
        <v>942</v>
      </c>
      <c r="C126" s="0" t="s">
        <v>942</v>
      </c>
      <c r="E126" s="0" t="n">
        <v>2025</v>
      </c>
      <c r="F126" s="0" t="s">
        <v>942</v>
      </c>
      <c r="G126" s="0" t="s">
        <v>942</v>
      </c>
      <c r="I126" s="0" t="n">
        <v>2025</v>
      </c>
      <c r="J126" s="0" t="s">
        <v>942</v>
      </c>
      <c r="K126" s="0" t="s">
        <v>942</v>
      </c>
      <c r="M126" s="0" t="n">
        <v>2025</v>
      </c>
      <c r="N126" s="0" t="s">
        <v>942</v>
      </c>
      <c r="O126" s="0" t="s">
        <v>942</v>
      </c>
    </row>
    <row r="127" customFormat="false" ht="15" hidden="false" customHeight="false" outlineLevel="0" collapsed="false">
      <c r="A127" s="0" t="n">
        <v>2025</v>
      </c>
      <c r="B127" s="0" t="s">
        <v>942</v>
      </c>
      <c r="C127" s="0" t="s">
        <v>942</v>
      </c>
      <c r="E127" s="0" t="n">
        <v>2025</v>
      </c>
      <c r="F127" s="0" t="s">
        <v>942</v>
      </c>
      <c r="G127" s="0" t="s">
        <v>942</v>
      </c>
      <c r="I127" s="0" t="n">
        <v>2025</v>
      </c>
      <c r="J127" s="0" t="s">
        <v>942</v>
      </c>
      <c r="K127" s="0" t="s">
        <v>942</v>
      </c>
      <c r="M127" s="0" t="n">
        <v>2025</v>
      </c>
      <c r="N127" s="0" t="s">
        <v>942</v>
      </c>
      <c r="O127" s="0" t="s">
        <v>942</v>
      </c>
    </row>
    <row r="128" customFormat="false" ht="15" hidden="false" customHeight="false" outlineLevel="0" collapsed="false">
      <c r="A128" s="0" t="n">
        <v>2025</v>
      </c>
      <c r="B128" s="0" t="s">
        <v>942</v>
      </c>
      <c r="C128" s="0" t="s">
        <v>942</v>
      </c>
      <c r="E128" s="0" t="n">
        <v>2025</v>
      </c>
      <c r="F128" s="0" t="s">
        <v>942</v>
      </c>
      <c r="G128" s="0" t="s">
        <v>942</v>
      </c>
      <c r="I128" s="0" t="n">
        <v>2025</v>
      </c>
      <c r="J128" s="0" t="s">
        <v>942</v>
      </c>
      <c r="K128" s="0" t="s">
        <v>942</v>
      </c>
      <c r="M128" s="0" t="n">
        <v>2025</v>
      </c>
      <c r="N128" s="0" t="s">
        <v>942</v>
      </c>
      <c r="O128" s="0" t="s">
        <v>942</v>
      </c>
    </row>
    <row r="129" customFormat="false" ht="15" hidden="false" customHeight="false" outlineLevel="0" collapsed="false">
      <c r="A129" s="0" t="n">
        <v>2025</v>
      </c>
      <c r="B129" s="0" t="s">
        <v>942</v>
      </c>
      <c r="C129" s="0" t="s">
        <v>942</v>
      </c>
      <c r="E129" s="0" t="n">
        <v>2025</v>
      </c>
      <c r="F129" s="0" t="s">
        <v>942</v>
      </c>
      <c r="G129" s="0" t="s">
        <v>942</v>
      </c>
      <c r="I129" s="0" t="n">
        <v>2025</v>
      </c>
      <c r="J129" s="0" t="s">
        <v>942</v>
      </c>
      <c r="K129" s="0" t="s">
        <v>942</v>
      </c>
      <c r="M129" s="0" t="n">
        <v>2025</v>
      </c>
      <c r="N129" s="0" t="s">
        <v>942</v>
      </c>
      <c r="O129" s="0" t="s">
        <v>942</v>
      </c>
    </row>
    <row r="130" customFormat="false" ht="15" hidden="false" customHeight="false" outlineLevel="0" collapsed="false">
      <c r="A130" s="0" t="n">
        <v>2025</v>
      </c>
      <c r="B130" s="0" t="s">
        <v>942</v>
      </c>
      <c r="C130" s="0" t="s">
        <v>942</v>
      </c>
      <c r="E130" s="0" t="n">
        <v>2025</v>
      </c>
      <c r="F130" s="0" t="s">
        <v>942</v>
      </c>
      <c r="G130" s="0" t="s">
        <v>942</v>
      </c>
      <c r="I130" s="0" t="n">
        <v>2025</v>
      </c>
      <c r="J130" s="0" t="s">
        <v>942</v>
      </c>
      <c r="K130" s="0" t="s">
        <v>942</v>
      </c>
      <c r="M130" s="0" t="n">
        <v>2025</v>
      </c>
      <c r="N130" s="0" t="s">
        <v>942</v>
      </c>
      <c r="O130" s="0" t="s">
        <v>942</v>
      </c>
    </row>
    <row r="131" customFormat="false" ht="15" hidden="false" customHeight="false" outlineLevel="0" collapsed="false">
      <c r="A131" s="0" t="n">
        <v>2025</v>
      </c>
      <c r="B131" s="0" t="s">
        <v>942</v>
      </c>
      <c r="C131" s="0" t="s">
        <v>942</v>
      </c>
      <c r="E131" s="0" t="n">
        <v>2025</v>
      </c>
      <c r="F131" s="0" t="s">
        <v>942</v>
      </c>
      <c r="G131" s="0" t="s">
        <v>942</v>
      </c>
      <c r="I131" s="0" t="n">
        <v>2025</v>
      </c>
      <c r="J131" s="0" t="s">
        <v>942</v>
      </c>
      <c r="K131" s="0" t="s">
        <v>942</v>
      </c>
      <c r="M131" s="0" t="n">
        <v>2025</v>
      </c>
      <c r="N131" s="0" t="s">
        <v>942</v>
      </c>
      <c r="O131" s="0" t="s">
        <v>942</v>
      </c>
    </row>
    <row r="132" customFormat="false" ht="15" hidden="false" customHeight="false" outlineLevel="0" collapsed="false">
      <c r="A132" s="0" t="n">
        <v>2025</v>
      </c>
      <c r="B132" s="0" t="s">
        <v>942</v>
      </c>
      <c r="C132" s="0" t="s">
        <v>942</v>
      </c>
      <c r="E132" s="0" t="n">
        <v>2025</v>
      </c>
      <c r="F132" s="0" t="s">
        <v>942</v>
      </c>
      <c r="G132" s="0" t="s">
        <v>942</v>
      </c>
      <c r="I132" s="0" t="n">
        <v>2025</v>
      </c>
      <c r="J132" s="0" t="s">
        <v>942</v>
      </c>
      <c r="K132" s="0" t="s">
        <v>942</v>
      </c>
      <c r="M132" s="0" t="n">
        <v>2025</v>
      </c>
      <c r="N132" s="0" t="s">
        <v>942</v>
      </c>
      <c r="O132" s="0" t="s">
        <v>942</v>
      </c>
    </row>
    <row r="133" customFormat="false" ht="15" hidden="false" customHeight="false" outlineLevel="0" collapsed="false">
      <c r="A133" s="0" t="n">
        <v>2025</v>
      </c>
      <c r="B133" s="0" t="s">
        <v>942</v>
      </c>
      <c r="C133" s="0" t="s">
        <v>942</v>
      </c>
      <c r="E133" s="0" t="n">
        <v>2025</v>
      </c>
      <c r="F133" s="0" t="s">
        <v>942</v>
      </c>
      <c r="G133" s="0" t="s">
        <v>942</v>
      </c>
      <c r="I133" s="0" t="n">
        <v>2025</v>
      </c>
      <c r="J133" s="0" t="s">
        <v>942</v>
      </c>
      <c r="K133" s="0" t="s">
        <v>942</v>
      </c>
      <c r="M133" s="0" t="n">
        <v>2025</v>
      </c>
      <c r="N133" s="0" t="s">
        <v>942</v>
      </c>
      <c r="O133" s="0" t="s">
        <v>942</v>
      </c>
    </row>
    <row r="134" customFormat="false" ht="15" hidden="false" customHeight="false" outlineLevel="0" collapsed="false">
      <c r="A134" s="0" t="n">
        <v>2025</v>
      </c>
      <c r="B134" s="0" t="s">
        <v>942</v>
      </c>
      <c r="C134" s="0" t="s">
        <v>942</v>
      </c>
      <c r="E134" s="0" t="n">
        <v>2025</v>
      </c>
      <c r="F134" s="0" t="s">
        <v>942</v>
      </c>
      <c r="G134" s="0" t="s">
        <v>942</v>
      </c>
      <c r="I134" s="0" t="n">
        <v>2025</v>
      </c>
      <c r="J134" s="0" t="s">
        <v>942</v>
      </c>
      <c r="K134" s="0" t="s">
        <v>942</v>
      </c>
      <c r="M134" s="0" t="n">
        <v>2025</v>
      </c>
      <c r="N134" s="0" t="s">
        <v>942</v>
      </c>
      <c r="O134" s="0" t="s">
        <v>942</v>
      </c>
    </row>
    <row r="135" customFormat="false" ht="15" hidden="false" customHeight="false" outlineLevel="0" collapsed="false">
      <c r="A135" s="0" t="n">
        <v>2025</v>
      </c>
      <c r="B135" s="0" t="s">
        <v>942</v>
      </c>
      <c r="C135" s="0" t="s">
        <v>942</v>
      </c>
      <c r="E135" s="0" t="n">
        <v>2025</v>
      </c>
      <c r="F135" s="0" t="s">
        <v>942</v>
      </c>
      <c r="G135" s="0" t="s">
        <v>942</v>
      </c>
      <c r="I135" s="0" t="n">
        <v>2025</v>
      </c>
      <c r="J135" s="0" t="s">
        <v>942</v>
      </c>
      <c r="K135" s="0" t="s">
        <v>942</v>
      </c>
      <c r="M135" s="0" t="n">
        <v>2025</v>
      </c>
      <c r="N135" s="0" t="s">
        <v>942</v>
      </c>
      <c r="O135" s="0" t="s">
        <v>942</v>
      </c>
    </row>
    <row r="136" customFormat="false" ht="15" hidden="false" customHeight="false" outlineLevel="0" collapsed="false">
      <c r="A136" s="0" t="n">
        <v>2025</v>
      </c>
      <c r="B136" s="0" t="s">
        <v>942</v>
      </c>
      <c r="C136" s="0" t="s">
        <v>942</v>
      </c>
      <c r="E136" s="0" t="n">
        <v>2025</v>
      </c>
      <c r="F136" s="0" t="s">
        <v>942</v>
      </c>
      <c r="G136" s="0" t="s">
        <v>942</v>
      </c>
      <c r="I136" s="0" t="n">
        <v>2025</v>
      </c>
      <c r="J136" s="0" t="s">
        <v>942</v>
      </c>
      <c r="K136" s="0" t="s">
        <v>942</v>
      </c>
      <c r="M136" s="0" t="n">
        <v>2025</v>
      </c>
      <c r="N136" s="0" t="s">
        <v>942</v>
      </c>
      <c r="O136" s="0" t="s">
        <v>942</v>
      </c>
    </row>
    <row r="137" customFormat="false" ht="15" hidden="false" customHeight="false" outlineLevel="0" collapsed="false">
      <c r="A137" s="0" t="n">
        <v>2025</v>
      </c>
      <c r="B137" s="0" t="s">
        <v>942</v>
      </c>
      <c r="C137" s="0" t="s">
        <v>942</v>
      </c>
      <c r="E137" s="0" t="n">
        <v>2025</v>
      </c>
      <c r="F137" s="0" t="s">
        <v>942</v>
      </c>
      <c r="G137" s="0" t="s">
        <v>942</v>
      </c>
      <c r="I137" s="0" t="n">
        <v>2025</v>
      </c>
      <c r="J137" s="0" t="s">
        <v>942</v>
      </c>
      <c r="K137" s="0" t="s">
        <v>942</v>
      </c>
      <c r="M137" s="0" t="n">
        <v>2025</v>
      </c>
      <c r="N137" s="0" t="s">
        <v>942</v>
      </c>
      <c r="O137" s="0" t="s">
        <v>942</v>
      </c>
    </row>
    <row r="138" customFormat="false" ht="15" hidden="false" customHeight="false" outlineLevel="0" collapsed="false">
      <c r="A138" s="0" t="n">
        <v>2025</v>
      </c>
      <c r="B138" s="0" t="s">
        <v>942</v>
      </c>
      <c r="C138" s="0" t="s">
        <v>942</v>
      </c>
      <c r="E138" s="0" t="n">
        <v>2025</v>
      </c>
      <c r="F138" s="0" t="s">
        <v>942</v>
      </c>
      <c r="G138" s="0" t="s">
        <v>942</v>
      </c>
      <c r="I138" s="0" t="n">
        <v>2025</v>
      </c>
      <c r="J138" s="0" t="s">
        <v>942</v>
      </c>
      <c r="K138" s="0" t="s">
        <v>942</v>
      </c>
      <c r="M138" s="0" t="n">
        <v>2025</v>
      </c>
      <c r="N138" s="0" t="s">
        <v>942</v>
      </c>
      <c r="O138" s="0" t="s">
        <v>942</v>
      </c>
    </row>
    <row r="139" customFormat="false" ht="15" hidden="false" customHeight="false" outlineLevel="0" collapsed="false">
      <c r="A139" s="0" t="n">
        <v>2025</v>
      </c>
      <c r="B139" s="0" t="s">
        <v>942</v>
      </c>
      <c r="C139" s="0" t="s">
        <v>942</v>
      </c>
      <c r="E139" s="0" t="n">
        <v>2025</v>
      </c>
      <c r="F139" s="0" t="s">
        <v>942</v>
      </c>
      <c r="G139" s="0" t="s">
        <v>942</v>
      </c>
      <c r="I139" s="0" t="n">
        <v>2025</v>
      </c>
      <c r="J139" s="0" t="s">
        <v>942</v>
      </c>
      <c r="K139" s="0" t="s">
        <v>942</v>
      </c>
      <c r="M139" s="0" t="n">
        <v>2025</v>
      </c>
      <c r="N139" s="0" t="s">
        <v>942</v>
      </c>
      <c r="O139" s="0" t="s">
        <v>942</v>
      </c>
    </row>
    <row r="140" customFormat="false" ht="15" hidden="false" customHeight="false" outlineLevel="0" collapsed="false">
      <c r="A140" s="0" t="n">
        <v>2025</v>
      </c>
      <c r="B140" s="0" t="s">
        <v>942</v>
      </c>
      <c r="C140" s="0" t="s">
        <v>942</v>
      </c>
      <c r="E140" s="0" t="n">
        <v>2025</v>
      </c>
      <c r="F140" s="0" t="s">
        <v>942</v>
      </c>
      <c r="G140" s="0" t="s">
        <v>942</v>
      </c>
      <c r="I140" s="0" t="n">
        <v>2025</v>
      </c>
      <c r="J140" s="0" t="s">
        <v>942</v>
      </c>
      <c r="K140" s="0" t="s">
        <v>942</v>
      </c>
      <c r="M140" s="0" t="n">
        <v>2025</v>
      </c>
      <c r="N140" s="0" t="s">
        <v>942</v>
      </c>
      <c r="O140" s="0" t="s">
        <v>942</v>
      </c>
    </row>
    <row r="141" customFormat="false" ht="15" hidden="false" customHeight="false" outlineLevel="0" collapsed="false">
      <c r="A141" s="0" t="n">
        <v>2025</v>
      </c>
      <c r="B141" s="0" t="s">
        <v>942</v>
      </c>
      <c r="C141" s="0" t="s">
        <v>942</v>
      </c>
      <c r="E141" s="0" t="n">
        <v>2025</v>
      </c>
      <c r="F141" s="0" t="s">
        <v>942</v>
      </c>
      <c r="G141" s="0" t="s">
        <v>942</v>
      </c>
      <c r="I141" s="0" t="n">
        <v>2025</v>
      </c>
      <c r="J141" s="0" t="s">
        <v>942</v>
      </c>
      <c r="K141" s="0" t="s">
        <v>942</v>
      </c>
      <c r="M141" s="0" t="n">
        <v>2025</v>
      </c>
      <c r="N141" s="0" t="s">
        <v>942</v>
      </c>
      <c r="O141" s="0" t="s">
        <v>942</v>
      </c>
    </row>
    <row r="142" customFormat="false" ht="15" hidden="false" customHeight="false" outlineLevel="0" collapsed="false">
      <c r="A142" s="0" t="n">
        <v>2025</v>
      </c>
      <c r="B142" s="0" t="s">
        <v>942</v>
      </c>
      <c r="C142" s="0" t="s">
        <v>942</v>
      </c>
      <c r="E142" s="0" t="n">
        <v>2025</v>
      </c>
      <c r="F142" s="0" t="s">
        <v>942</v>
      </c>
      <c r="G142" s="0" t="s">
        <v>942</v>
      </c>
      <c r="I142" s="0" t="n">
        <v>2025</v>
      </c>
      <c r="J142" s="0" t="s">
        <v>942</v>
      </c>
      <c r="K142" s="0" t="s">
        <v>942</v>
      </c>
      <c r="M142" s="0" t="n">
        <v>2025</v>
      </c>
      <c r="N142" s="0" t="s">
        <v>942</v>
      </c>
      <c r="O142" s="0" t="s">
        <v>942</v>
      </c>
    </row>
    <row r="143" customFormat="false" ht="15" hidden="false" customHeight="false" outlineLevel="0" collapsed="false">
      <c r="A143" s="0" t="n">
        <v>2025</v>
      </c>
      <c r="B143" s="0" t="s">
        <v>942</v>
      </c>
      <c r="C143" s="0" t="s">
        <v>942</v>
      </c>
      <c r="E143" s="0" t="n">
        <v>2025</v>
      </c>
      <c r="F143" s="0" t="s">
        <v>942</v>
      </c>
      <c r="G143" s="0" t="s">
        <v>942</v>
      </c>
      <c r="I143" s="0" t="n">
        <v>2025</v>
      </c>
      <c r="J143" s="0" t="s">
        <v>942</v>
      </c>
      <c r="K143" s="0" t="s">
        <v>942</v>
      </c>
      <c r="M143" s="0" t="n">
        <v>2025</v>
      </c>
      <c r="N143" s="0" t="s">
        <v>942</v>
      </c>
      <c r="O143" s="0" t="s">
        <v>942</v>
      </c>
    </row>
    <row r="144" customFormat="false" ht="15" hidden="false" customHeight="false" outlineLevel="0" collapsed="false">
      <c r="A144" s="0" t="n">
        <v>2025</v>
      </c>
      <c r="B144" s="0" t="s">
        <v>942</v>
      </c>
      <c r="C144" s="0" t="s">
        <v>942</v>
      </c>
      <c r="E144" s="0" t="n">
        <v>2025</v>
      </c>
      <c r="F144" s="0" t="s">
        <v>942</v>
      </c>
      <c r="G144" s="0" t="s">
        <v>942</v>
      </c>
      <c r="I144" s="0" t="n">
        <v>2025</v>
      </c>
      <c r="J144" s="0" t="s">
        <v>942</v>
      </c>
      <c r="K144" s="0" t="s">
        <v>942</v>
      </c>
      <c r="M144" s="0" t="n">
        <v>2025</v>
      </c>
      <c r="N144" s="0" t="s">
        <v>942</v>
      </c>
      <c r="O144" s="0" t="s">
        <v>942</v>
      </c>
    </row>
    <row r="145" customFormat="false" ht="15" hidden="false" customHeight="false" outlineLevel="0" collapsed="false">
      <c r="A145" s="0" t="n">
        <v>2025</v>
      </c>
      <c r="B145" s="0" t="s">
        <v>942</v>
      </c>
      <c r="C145" s="0" t="s">
        <v>942</v>
      </c>
      <c r="E145" s="0" t="n">
        <v>2025</v>
      </c>
      <c r="F145" s="0" t="s">
        <v>942</v>
      </c>
      <c r="G145" s="0" t="s">
        <v>942</v>
      </c>
      <c r="I145" s="0" t="n">
        <v>2025</v>
      </c>
      <c r="J145" s="0" t="s">
        <v>942</v>
      </c>
      <c r="K145" s="0" t="s">
        <v>942</v>
      </c>
      <c r="M145" s="0" t="n">
        <v>2025</v>
      </c>
      <c r="N145" s="0" t="s">
        <v>942</v>
      </c>
      <c r="O145" s="0" t="s">
        <v>942</v>
      </c>
    </row>
    <row r="146" customFormat="false" ht="15" hidden="false" customHeight="false" outlineLevel="0" collapsed="false">
      <c r="A146" s="0" t="n">
        <v>2025</v>
      </c>
      <c r="B146" s="0" t="s">
        <v>942</v>
      </c>
      <c r="C146" s="0" t="s">
        <v>942</v>
      </c>
      <c r="E146" s="0" t="n">
        <v>2025</v>
      </c>
      <c r="F146" s="0" t="s">
        <v>942</v>
      </c>
      <c r="G146" s="0" t="s">
        <v>942</v>
      </c>
      <c r="I146" s="0" t="n">
        <v>2025</v>
      </c>
      <c r="J146" s="0" t="s">
        <v>942</v>
      </c>
      <c r="K146" s="0" t="s">
        <v>942</v>
      </c>
      <c r="M146" s="0" t="n">
        <v>2025</v>
      </c>
      <c r="N146" s="0" t="s">
        <v>942</v>
      </c>
      <c r="O146" s="0" t="s">
        <v>942</v>
      </c>
    </row>
    <row r="147" customFormat="false" ht="15" hidden="false" customHeight="false" outlineLevel="0" collapsed="false">
      <c r="A147" s="0" t="n">
        <v>2025</v>
      </c>
      <c r="B147" s="0" t="s">
        <v>942</v>
      </c>
      <c r="C147" s="0" t="s">
        <v>942</v>
      </c>
      <c r="E147" s="0" t="n">
        <v>2025</v>
      </c>
      <c r="F147" s="0" t="s">
        <v>942</v>
      </c>
      <c r="G147" s="0" t="s">
        <v>942</v>
      </c>
      <c r="I147" s="0" t="n">
        <v>2025</v>
      </c>
      <c r="J147" s="0" t="s">
        <v>942</v>
      </c>
      <c r="K147" s="0" t="s">
        <v>942</v>
      </c>
      <c r="M147" s="0" t="n">
        <v>2025</v>
      </c>
      <c r="N147" s="0" t="s">
        <v>942</v>
      </c>
      <c r="O147" s="0" t="s">
        <v>942</v>
      </c>
    </row>
    <row r="148" customFormat="false" ht="15" hidden="false" customHeight="false" outlineLevel="0" collapsed="false">
      <c r="A148" s="0" t="n">
        <v>2025</v>
      </c>
      <c r="B148" s="0" t="s">
        <v>942</v>
      </c>
      <c r="C148" s="0" t="s">
        <v>942</v>
      </c>
      <c r="E148" s="0" t="n">
        <v>2025</v>
      </c>
      <c r="F148" s="0" t="s">
        <v>942</v>
      </c>
      <c r="G148" s="0" t="s">
        <v>942</v>
      </c>
      <c r="I148" s="0" t="n">
        <v>2025</v>
      </c>
      <c r="J148" s="0" t="s">
        <v>942</v>
      </c>
      <c r="K148" s="0" t="s">
        <v>942</v>
      </c>
      <c r="M148" s="0" t="n">
        <v>2025</v>
      </c>
      <c r="N148" s="0" t="s">
        <v>942</v>
      </c>
      <c r="O148" s="0" t="s">
        <v>942</v>
      </c>
    </row>
    <row r="149" customFormat="false" ht="15" hidden="false" customHeight="false" outlineLevel="0" collapsed="false">
      <c r="A149" s="0" t="n">
        <v>2025</v>
      </c>
      <c r="B149" s="0" t="s">
        <v>942</v>
      </c>
      <c r="C149" s="0" t="s">
        <v>942</v>
      </c>
      <c r="E149" s="0" t="n">
        <v>2025</v>
      </c>
      <c r="F149" s="0" t="s">
        <v>942</v>
      </c>
      <c r="G149" s="0" t="s">
        <v>942</v>
      </c>
      <c r="I149" s="0" t="n">
        <v>2025</v>
      </c>
      <c r="J149" s="0" t="s">
        <v>942</v>
      </c>
      <c r="K149" s="0" t="s">
        <v>942</v>
      </c>
      <c r="M149" s="0" t="n">
        <v>2025</v>
      </c>
      <c r="N149" s="0" t="s">
        <v>942</v>
      </c>
      <c r="O149" s="0" t="s">
        <v>942</v>
      </c>
    </row>
    <row r="150" customFormat="false" ht="15" hidden="false" customHeight="false" outlineLevel="0" collapsed="false">
      <c r="A150" s="0" t="n">
        <v>2025</v>
      </c>
      <c r="B150" s="0" t="s">
        <v>942</v>
      </c>
      <c r="C150" s="0" t="s">
        <v>942</v>
      </c>
      <c r="E150" s="0" t="n">
        <v>2025</v>
      </c>
      <c r="F150" s="0" t="s">
        <v>942</v>
      </c>
      <c r="G150" s="0" t="s">
        <v>942</v>
      </c>
      <c r="I150" s="0" t="n">
        <v>2025</v>
      </c>
      <c r="J150" s="0" t="s">
        <v>942</v>
      </c>
      <c r="K150" s="0" t="s">
        <v>942</v>
      </c>
      <c r="M150" s="0" t="n">
        <v>2025</v>
      </c>
      <c r="N150" s="0" t="s">
        <v>942</v>
      </c>
      <c r="O150" s="0" t="s">
        <v>942</v>
      </c>
    </row>
    <row r="151" customFormat="false" ht="15" hidden="false" customHeight="false" outlineLevel="0" collapsed="false">
      <c r="A151" s="0" t="n">
        <v>2025</v>
      </c>
      <c r="B151" s="0" t="s">
        <v>942</v>
      </c>
      <c r="C151" s="0" t="s">
        <v>942</v>
      </c>
      <c r="E151" s="0" t="n">
        <v>2025</v>
      </c>
      <c r="F151" s="0" t="s">
        <v>942</v>
      </c>
      <c r="G151" s="0" t="s">
        <v>942</v>
      </c>
      <c r="I151" s="0" t="n">
        <v>2025</v>
      </c>
      <c r="J151" s="0" t="s">
        <v>942</v>
      </c>
      <c r="K151" s="0" t="s">
        <v>942</v>
      </c>
      <c r="M151" s="0" t="n">
        <v>2025</v>
      </c>
      <c r="N151" s="0" t="s">
        <v>942</v>
      </c>
      <c r="O151" s="0" t="s">
        <v>942</v>
      </c>
    </row>
    <row r="152" customFormat="false" ht="15" hidden="false" customHeight="false" outlineLevel="0" collapsed="false">
      <c r="A152" s="0" t="n">
        <v>2025</v>
      </c>
      <c r="B152" s="0" t="s">
        <v>942</v>
      </c>
      <c r="C152" s="0" t="s">
        <v>942</v>
      </c>
      <c r="E152" s="0" t="n">
        <v>2025</v>
      </c>
      <c r="F152" s="0" t="s">
        <v>942</v>
      </c>
      <c r="G152" s="0" t="s">
        <v>942</v>
      </c>
      <c r="I152" s="0" t="n">
        <v>2025</v>
      </c>
      <c r="J152" s="0" t="s">
        <v>942</v>
      </c>
      <c r="K152" s="0" t="s">
        <v>942</v>
      </c>
      <c r="M152" s="0" t="n">
        <v>2025</v>
      </c>
      <c r="N152" s="0" t="s">
        <v>942</v>
      </c>
      <c r="O152" s="0" t="s">
        <v>942</v>
      </c>
    </row>
    <row r="153" customFormat="false" ht="15" hidden="false" customHeight="false" outlineLevel="0" collapsed="false">
      <c r="A153" s="0" t="n">
        <v>2025</v>
      </c>
      <c r="B153" s="0" t="s">
        <v>942</v>
      </c>
      <c r="C153" s="0" t="s">
        <v>942</v>
      </c>
      <c r="E153" s="0" t="n">
        <v>2025</v>
      </c>
      <c r="F153" s="0" t="s">
        <v>942</v>
      </c>
      <c r="G153" s="0" t="s">
        <v>942</v>
      </c>
      <c r="I153" s="0" t="n">
        <v>2025</v>
      </c>
      <c r="J153" s="0" t="s">
        <v>942</v>
      </c>
      <c r="K153" s="0" t="s">
        <v>942</v>
      </c>
      <c r="M153" s="0" t="n">
        <v>2025</v>
      </c>
      <c r="N153" s="0" t="s">
        <v>942</v>
      </c>
      <c r="O153" s="0" t="s">
        <v>942</v>
      </c>
    </row>
    <row r="154" customFormat="false" ht="15" hidden="false" customHeight="false" outlineLevel="0" collapsed="false">
      <c r="A154" s="0" t="n">
        <v>2025</v>
      </c>
      <c r="B154" s="0" t="s">
        <v>942</v>
      </c>
      <c r="C154" s="0" t="s">
        <v>942</v>
      </c>
      <c r="E154" s="0" t="n">
        <v>2025</v>
      </c>
      <c r="F154" s="0" t="s">
        <v>942</v>
      </c>
      <c r="G154" s="0" t="s">
        <v>942</v>
      </c>
      <c r="I154" s="0" t="n">
        <v>2025</v>
      </c>
      <c r="J154" s="0" t="s">
        <v>942</v>
      </c>
      <c r="K154" s="0" t="s">
        <v>942</v>
      </c>
      <c r="M154" s="0" t="n">
        <v>2025</v>
      </c>
      <c r="N154" s="0" t="s">
        <v>942</v>
      </c>
      <c r="O154" s="0" t="s">
        <v>942</v>
      </c>
    </row>
    <row r="155" customFormat="false" ht="15" hidden="false" customHeight="false" outlineLevel="0" collapsed="false">
      <c r="A155" s="0" t="n">
        <v>2025</v>
      </c>
      <c r="B155" s="0" t="s">
        <v>942</v>
      </c>
      <c r="C155" s="0" t="s">
        <v>942</v>
      </c>
      <c r="E155" s="0" t="n">
        <v>2025</v>
      </c>
      <c r="F155" s="0" t="s">
        <v>942</v>
      </c>
      <c r="G155" s="0" t="s">
        <v>942</v>
      </c>
      <c r="I155" s="0" t="n">
        <v>2025</v>
      </c>
      <c r="J155" s="0" t="s">
        <v>942</v>
      </c>
      <c r="K155" s="0" t="s">
        <v>942</v>
      </c>
      <c r="M155" s="0" t="n">
        <v>2025</v>
      </c>
      <c r="N155" s="0" t="s">
        <v>942</v>
      </c>
      <c r="O155" s="0" t="s">
        <v>942</v>
      </c>
    </row>
    <row r="156" customFormat="false" ht="15" hidden="false" customHeight="false" outlineLevel="0" collapsed="false">
      <c r="A156" s="0" t="n">
        <v>2025</v>
      </c>
      <c r="B156" s="0" t="s">
        <v>942</v>
      </c>
      <c r="C156" s="0" t="s">
        <v>942</v>
      </c>
      <c r="E156" s="0" t="n">
        <v>2025</v>
      </c>
      <c r="F156" s="0" t="s">
        <v>942</v>
      </c>
      <c r="G156" s="0" t="s">
        <v>942</v>
      </c>
      <c r="I156" s="0" t="n">
        <v>2025</v>
      </c>
      <c r="J156" s="0" t="s">
        <v>942</v>
      </c>
      <c r="K156" s="0" t="s">
        <v>942</v>
      </c>
      <c r="M156" s="0" t="n">
        <v>2025</v>
      </c>
      <c r="N156" s="0" t="s">
        <v>942</v>
      </c>
      <c r="O156" s="0" t="s">
        <v>942</v>
      </c>
    </row>
    <row r="157" customFormat="false" ht="15" hidden="false" customHeight="false" outlineLevel="0" collapsed="false">
      <c r="A157" s="0" t="n">
        <v>2025</v>
      </c>
      <c r="B157" s="0" t="s">
        <v>942</v>
      </c>
      <c r="C157" s="0" t="s">
        <v>942</v>
      </c>
      <c r="E157" s="0" t="n">
        <v>2025</v>
      </c>
      <c r="F157" s="0" t="s">
        <v>942</v>
      </c>
      <c r="G157" s="0" t="s">
        <v>942</v>
      </c>
      <c r="I157" s="0" t="n">
        <v>2025</v>
      </c>
      <c r="J157" s="0" t="s">
        <v>942</v>
      </c>
      <c r="K157" s="0" t="s">
        <v>942</v>
      </c>
      <c r="M157" s="0" t="n">
        <v>2025</v>
      </c>
      <c r="N157" s="0" t="s">
        <v>942</v>
      </c>
      <c r="O157" s="0" t="s">
        <v>942</v>
      </c>
    </row>
    <row r="158" customFormat="false" ht="15" hidden="false" customHeight="false" outlineLevel="0" collapsed="false">
      <c r="A158" s="0" t="n">
        <v>2025</v>
      </c>
      <c r="B158" s="0" t="s">
        <v>942</v>
      </c>
      <c r="C158" s="0" t="s">
        <v>942</v>
      </c>
      <c r="E158" s="0" t="n">
        <v>2025</v>
      </c>
      <c r="F158" s="0" t="s">
        <v>942</v>
      </c>
      <c r="G158" s="0" t="s">
        <v>942</v>
      </c>
      <c r="I158" s="0" t="n">
        <v>2025</v>
      </c>
      <c r="J158" s="0" t="s">
        <v>942</v>
      </c>
      <c r="K158" s="0" t="s">
        <v>942</v>
      </c>
      <c r="M158" s="0" t="n">
        <v>2025</v>
      </c>
      <c r="N158" s="0" t="s">
        <v>942</v>
      </c>
      <c r="O158" s="0" t="s">
        <v>942</v>
      </c>
    </row>
    <row r="159" customFormat="false" ht="15" hidden="false" customHeight="false" outlineLevel="0" collapsed="false">
      <c r="A159" s="0" t="n">
        <v>2025</v>
      </c>
      <c r="B159" s="0" t="s">
        <v>942</v>
      </c>
      <c r="C159" s="0" t="s">
        <v>942</v>
      </c>
      <c r="E159" s="0" t="n">
        <v>2025</v>
      </c>
      <c r="F159" s="0" t="s">
        <v>942</v>
      </c>
      <c r="G159" s="0" t="s">
        <v>942</v>
      </c>
      <c r="I159" s="0" t="n">
        <v>2025</v>
      </c>
      <c r="J159" s="0" t="s">
        <v>942</v>
      </c>
      <c r="K159" s="0" t="s">
        <v>942</v>
      </c>
      <c r="M159" s="0" t="n">
        <v>2025</v>
      </c>
      <c r="N159" s="0" t="s">
        <v>942</v>
      </c>
      <c r="O159" s="0" t="s">
        <v>942</v>
      </c>
    </row>
    <row r="160" customFormat="false" ht="15" hidden="false" customHeight="false" outlineLevel="0" collapsed="false">
      <c r="A160" s="0" t="n">
        <v>2025</v>
      </c>
      <c r="B160" s="0" t="s">
        <v>942</v>
      </c>
      <c r="C160" s="0" t="s">
        <v>942</v>
      </c>
      <c r="E160" s="0" t="n">
        <v>2025</v>
      </c>
      <c r="F160" s="0" t="s">
        <v>942</v>
      </c>
      <c r="G160" s="0" t="s">
        <v>942</v>
      </c>
      <c r="I160" s="0" t="n">
        <v>2025</v>
      </c>
      <c r="J160" s="0" t="s">
        <v>942</v>
      </c>
      <c r="K160" s="0" t="s">
        <v>942</v>
      </c>
      <c r="M160" s="0" t="n">
        <v>2025</v>
      </c>
      <c r="N160" s="0" t="s">
        <v>942</v>
      </c>
      <c r="O160" s="0" t="s">
        <v>942</v>
      </c>
    </row>
    <row r="161" customFormat="false" ht="15" hidden="false" customHeight="false" outlineLevel="0" collapsed="false">
      <c r="A161" s="0" t="n">
        <v>2025</v>
      </c>
      <c r="B161" s="0" t="s">
        <v>942</v>
      </c>
      <c r="C161" s="0" t="s">
        <v>942</v>
      </c>
      <c r="E161" s="0" t="n">
        <v>2025</v>
      </c>
      <c r="F161" s="0" t="s">
        <v>942</v>
      </c>
      <c r="G161" s="0" t="s">
        <v>942</v>
      </c>
      <c r="I161" s="0" t="n">
        <v>2025</v>
      </c>
      <c r="J161" s="0" t="s">
        <v>942</v>
      </c>
      <c r="K161" s="0" t="s">
        <v>942</v>
      </c>
      <c r="M161" s="0" t="n">
        <v>2025</v>
      </c>
      <c r="N161" s="0" t="s">
        <v>942</v>
      </c>
      <c r="O161" s="0" t="s">
        <v>942</v>
      </c>
    </row>
    <row r="162" customFormat="false" ht="15" hidden="false" customHeight="false" outlineLevel="0" collapsed="false">
      <c r="A162" s="0" t="n">
        <v>2025</v>
      </c>
      <c r="B162" s="0" t="s">
        <v>942</v>
      </c>
      <c r="C162" s="0" t="s">
        <v>942</v>
      </c>
      <c r="E162" s="0" t="n">
        <v>2025</v>
      </c>
      <c r="F162" s="0" t="s">
        <v>942</v>
      </c>
      <c r="G162" s="0" t="s">
        <v>942</v>
      </c>
      <c r="I162" s="0" t="n">
        <v>2025</v>
      </c>
      <c r="J162" s="0" t="s">
        <v>942</v>
      </c>
      <c r="K162" s="0" t="s">
        <v>942</v>
      </c>
      <c r="M162" s="0" t="n">
        <v>2025</v>
      </c>
      <c r="N162" s="0" t="s">
        <v>942</v>
      </c>
      <c r="O162" s="0" t="s">
        <v>942</v>
      </c>
    </row>
    <row r="163" customFormat="false" ht="15" hidden="false" customHeight="false" outlineLevel="0" collapsed="false">
      <c r="A163" s="0" t="n">
        <v>2025</v>
      </c>
      <c r="B163" s="0" t="s">
        <v>942</v>
      </c>
      <c r="C163" s="0" t="s">
        <v>942</v>
      </c>
      <c r="E163" s="0" t="n">
        <v>2025</v>
      </c>
      <c r="F163" s="0" t="s">
        <v>942</v>
      </c>
      <c r="G163" s="0" t="s">
        <v>942</v>
      </c>
      <c r="I163" s="0" t="n">
        <v>2025</v>
      </c>
      <c r="J163" s="0" t="s">
        <v>942</v>
      </c>
      <c r="K163" s="0" t="s">
        <v>942</v>
      </c>
      <c r="M163" s="0" t="n">
        <v>2025</v>
      </c>
      <c r="N163" s="0" t="s">
        <v>942</v>
      </c>
      <c r="O163" s="0" t="s">
        <v>942</v>
      </c>
    </row>
    <row r="164" customFormat="false" ht="15" hidden="false" customHeight="false" outlineLevel="0" collapsed="false">
      <c r="A164" s="0" t="n">
        <v>2025</v>
      </c>
      <c r="B164" s="0" t="s">
        <v>942</v>
      </c>
      <c r="C164" s="0" t="s">
        <v>942</v>
      </c>
      <c r="E164" s="0" t="n">
        <v>2025</v>
      </c>
      <c r="F164" s="0" t="s">
        <v>942</v>
      </c>
      <c r="G164" s="0" t="s">
        <v>942</v>
      </c>
      <c r="I164" s="0" t="n">
        <v>2025</v>
      </c>
      <c r="J164" s="0" t="s">
        <v>942</v>
      </c>
      <c r="K164" s="0" t="s">
        <v>942</v>
      </c>
      <c r="M164" s="0" t="n">
        <v>2025</v>
      </c>
      <c r="N164" s="0" t="s">
        <v>942</v>
      </c>
      <c r="O164" s="0" t="s">
        <v>942</v>
      </c>
    </row>
    <row r="165" customFormat="false" ht="15" hidden="false" customHeight="false" outlineLevel="0" collapsed="false">
      <c r="A165" s="0" t="n">
        <v>2025</v>
      </c>
      <c r="B165" s="0" t="s">
        <v>942</v>
      </c>
      <c r="C165" s="0" t="s">
        <v>942</v>
      </c>
      <c r="E165" s="0" t="n">
        <v>2025</v>
      </c>
      <c r="F165" s="0" t="s">
        <v>942</v>
      </c>
      <c r="G165" s="0" t="s">
        <v>942</v>
      </c>
      <c r="I165" s="0" t="n">
        <v>2025</v>
      </c>
      <c r="J165" s="0" t="s">
        <v>942</v>
      </c>
      <c r="K165" s="0" t="s">
        <v>942</v>
      </c>
      <c r="M165" s="0" t="n">
        <v>2025</v>
      </c>
      <c r="N165" s="0" t="s">
        <v>942</v>
      </c>
      <c r="O165" s="0" t="s">
        <v>942</v>
      </c>
    </row>
    <row r="166" customFormat="false" ht="15" hidden="false" customHeight="false" outlineLevel="0" collapsed="false">
      <c r="A166" s="0" t="n">
        <v>2025</v>
      </c>
      <c r="B166" s="0" t="s">
        <v>942</v>
      </c>
      <c r="C166" s="0" t="s">
        <v>942</v>
      </c>
      <c r="E166" s="0" t="n">
        <v>2025</v>
      </c>
      <c r="F166" s="0" t="s">
        <v>942</v>
      </c>
      <c r="G166" s="0" t="s">
        <v>942</v>
      </c>
      <c r="I166" s="0" t="n">
        <v>2025</v>
      </c>
      <c r="J166" s="0" t="s">
        <v>942</v>
      </c>
      <c r="K166" s="0" t="s">
        <v>942</v>
      </c>
      <c r="M166" s="0" t="n">
        <v>2025</v>
      </c>
      <c r="N166" s="0" t="s">
        <v>942</v>
      </c>
      <c r="O166" s="0" t="s">
        <v>942</v>
      </c>
    </row>
    <row r="167" customFormat="false" ht="15" hidden="false" customHeight="false" outlineLevel="0" collapsed="false">
      <c r="A167" s="0" t="n">
        <v>2025</v>
      </c>
      <c r="B167" s="0" t="s">
        <v>942</v>
      </c>
      <c r="C167" s="0" t="s">
        <v>942</v>
      </c>
      <c r="E167" s="0" t="n">
        <v>2025</v>
      </c>
      <c r="F167" s="0" t="s">
        <v>942</v>
      </c>
      <c r="G167" s="0" t="s">
        <v>942</v>
      </c>
      <c r="I167" s="0" t="n">
        <v>2025</v>
      </c>
      <c r="J167" s="0" t="s">
        <v>942</v>
      </c>
      <c r="K167" s="0" t="s">
        <v>942</v>
      </c>
      <c r="M167" s="0" t="n">
        <v>2025</v>
      </c>
      <c r="N167" s="0" t="s">
        <v>942</v>
      </c>
      <c r="O167" s="0" t="s">
        <v>942</v>
      </c>
    </row>
    <row r="168" customFormat="false" ht="15" hidden="false" customHeight="false" outlineLevel="0" collapsed="false">
      <c r="A168" s="0" t="n">
        <v>2025</v>
      </c>
      <c r="B168" s="0" t="s">
        <v>942</v>
      </c>
      <c r="C168" s="0" t="s">
        <v>942</v>
      </c>
      <c r="E168" s="0" t="n">
        <v>2025</v>
      </c>
      <c r="F168" s="0" t="s">
        <v>942</v>
      </c>
      <c r="G168" s="0" t="s">
        <v>942</v>
      </c>
      <c r="I168" s="0" t="n">
        <v>2025</v>
      </c>
      <c r="J168" s="0" t="s">
        <v>942</v>
      </c>
      <c r="K168" s="0" t="s">
        <v>942</v>
      </c>
      <c r="M168" s="0" t="n">
        <v>2025</v>
      </c>
      <c r="N168" s="0" t="s">
        <v>942</v>
      </c>
      <c r="O168" s="0" t="s">
        <v>942</v>
      </c>
    </row>
    <row r="169" customFormat="false" ht="15" hidden="false" customHeight="false" outlineLevel="0" collapsed="false">
      <c r="A169" s="0" t="n">
        <v>2025</v>
      </c>
      <c r="B169" s="0" t="s">
        <v>942</v>
      </c>
      <c r="C169" s="0" t="s">
        <v>942</v>
      </c>
      <c r="E169" s="0" t="n">
        <v>2025</v>
      </c>
      <c r="F169" s="0" t="s">
        <v>942</v>
      </c>
      <c r="G169" s="0" t="s">
        <v>942</v>
      </c>
      <c r="I169" s="0" t="n">
        <v>2025</v>
      </c>
      <c r="J169" s="0" t="s">
        <v>942</v>
      </c>
      <c r="K169" s="0" t="s">
        <v>942</v>
      </c>
      <c r="M169" s="0" t="n">
        <v>2025</v>
      </c>
      <c r="N169" s="0" t="s">
        <v>942</v>
      </c>
      <c r="O169" s="0" t="s">
        <v>942</v>
      </c>
    </row>
    <row r="170" customFormat="false" ht="15" hidden="false" customHeight="false" outlineLevel="0" collapsed="false">
      <c r="A170" s="0" t="n">
        <v>2025</v>
      </c>
      <c r="B170" s="0" t="s">
        <v>942</v>
      </c>
      <c r="C170" s="0" t="s">
        <v>942</v>
      </c>
      <c r="E170" s="0" t="n">
        <v>2025</v>
      </c>
      <c r="F170" s="0" t="s">
        <v>942</v>
      </c>
      <c r="G170" s="0" t="s">
        <v>942</v>
      </c>
      <c r="I170" s="0" t="n">
        <v>2025</v>
      </c>
      <c r="J170" s="0" t="s">
        <v>942</v>
      </c>
      <c r="K170" s="0" t="s">
        <v>942</v>
      </c>
      <c r="M170" s="0" t="n">
        <v>2025</v>
      </c>
      <c r="N170" s="0" t="s">
        <v>942</v>
      </c>
      <c r="O170" s="0" t="s">
        <v>942</v>
      </c>
    </row>
    <row r="171" customFormat="false" ht="15" hidden="false" customHeight="false" outlineLevel="0" collapsed="false">
      <c r="A171" s="0" t="n">
        <v>2025</v>
      </c>
      <c r="B171" s="0" t="s">
        <v>942</v>
      </c>
      <c r="C171" s="0" t="s">
        <v>942</v>
      </c>
      <c r="E171" s="0" t="n">
        <v>2025</v>
      </c>
      <c r="F171" s="0" t="s">
        <v>942</v>
      </c>
      <c r="G171" s="0" t="s">
        <v>942</v>
      </c>
      <c r="I171" s="0" t="n">
        <v>2025</v>
      </c>
      <c r="J171" s="0" t="s">
        <v>942</v>
      </c>
      <c r="K171" s="0" t="s">
        <v>942</v>
      </c>
      <c r="M171" s="0" t="n">
        <v>2025</v>
      </c>
      <c r="N171" s="0" t="s">
        <v>942</v>
      </c>
      <c r="O171" s="0" t="s">
        <v>942</v>
      </c>
    </row>
    <row r="172" customFormat="false" ht="15" hidden="false" customHeight="false" outlineLevel="0" collapsed="false">
      <c r="A172" s="0" t="n">
        <v>2025</v>
      </c>
      <c r="B172" s="0" t="s">
        <v>942</v>
      </c>
      <c r="C172" s="0" t="s">
        <v>942</v>
      </c>
      <c r="E172" s="0" t="n">
        <v>2025</v>
      </c>
      <c r="F172" s="0" t="s">
        <v>942</v>
      </c>
      <c r="G172" s="0" t="s">
        <v>942</v>
      </c>
      <c r="I172" s="0" t="n">
        <v>2025</v>
      </c>
      <c r="J172" s="0" t="s">
        <v>942</v>
      </c>
      <c r="K172" s="0" t="s">
        <v>942</v>
      </c>
      <c r="M172" s="0" t="n">
        <v>2025</v>
      </c>
      <c r="N172" s="0" t="s">
        <v>942</v>
      </c>
      <c r="O172" s="0" t="s">
        <v>942</v>
      </c>
    </row>
    <row r="173" customFormat="false" ht="15" hidden="false" customHeight="false" outlineLevel="0" collapsed="false">
      <c r="A173" s="0" t="n">
        <v>2025</v>
      </c>
      <c r="B173" s="0" t="s">
        <v>942</v>
      </c>
      <c r="C173" s="0" t="s">
        <v>942</v>
      </c>
      <c r="E173" s="0" t="n">
        <v>2025</v>
      </c>
      <c r="F173" s="0" t="s">
        <v>942</v>
      </c>
      <c r="G173" s="0" t="s">
        <v>942</v>
      </c>
      <c r="I173" s="0" t="n">
        <v>2025</v>
      </c>
      <c r="J173" s="0" t="s">
        <v>942</v>
      </c>
      <c r="K173" s="0" t="s">
        <v>942</v>
      </c>
      <c r="M173" s="0" t="n">
        <v>2025</v>
      </c>
      <c r="N173" s="0" t="s">
        <v>942</v>
      </c>
      <c r="O173" s="0" t="s">
        <v>942</v>
      </c>
    </row>
    <row r="174" customFormat="false" ht="15" hidden="false" customHeight="false" outlineLevel="0" collapsed="false">
      <c r="A174" s="0" t="n">
        <v>2025</v>
      </c>
      <c r="B174" s="0" t="s">
        <v>942</v>
      </c>
      <c r="C174" s="0" t="s">
        <v>942</v>
      </c>
      <c r="E174" s="0" t="n">
        <v>2025</v>
      </c>
      <c r="F174" s="0" t="s">
        <v>942</v>
      </c>
      <c r="G174" s="0" t="s">
        <v>942</v>
      </c>
      <c r="I174" s="0" t="n">
        <v>2025</v>
      </c>
      <c r="J174" s="0" t="s">
        <v>942</v>
      </c>
      <c r="K174" s="0" t="s">
        <v>942</v>
      </c>
      <c r="M174" s="0" t="n">
        <v>2025</v>
      </c>
      <c r="N174" s="0" t="s">
        <v>942</v>
      </c>
      <c r="O174" s="0" t="s">
        <v>942</v>
      </c>
    </row>
    <row r="175" customFormat="false" ht="15" hidden="false" customHeight="false" outlineLevel="0" collapsed="false">
      <c r="A175" s="0" t="n">
        <v>2025</v>
      </c>
      <c r="B175" s="0" t="s">
        <v>942</v>
      </c>
      <c r="C175" s="0" t="s">
        <v>942</v>
      </c>
      <c r="E175" s="0" t="n">
        <v>2025</v>
      </c>
      <c r="F175" s="0" t="s">
        <v>942</v>
      </c>
      <c r="G175" s="0" t="s">
        <v>942</v>
      </c>
      <c r="I175" s="0" t="n">
        <v>2025</v>
      </c>
      <c r="J175" s="0" t="s">
        <v>942</v>
      </c>
      <c r="K175" s="0" t="s">
        <v>942</v>
      </c>
      <c r="M175" s="0" t="n">
        <v>2025</v>
      </c>
      <c r="N175" s="0" t="s">
        <v>942</v>
      </c>
      <c r="O175" s="0" t="s">
        <v>942</v>
      </c>
    </row>
    <row r="176" customFormat="false" ht="15" hidden="false" customHeight="false" outlineLevel="0" collapsed="false">
      <c r="A176" s="0" t="n">
        <v>2025</v>
      </c>
      <c r="B176" s="0" t="s">
        <v>942</v>
      </c>
      <c r="C176" s="0" t="s">
        <v>942</v>
      </c>
      <c r="E176" s="0" t="n">
        <v>2025</v>
      </c>
      <c r="F176" s="0" t="s">
        <v>942</v>
      </c>
      <c r="G176" s="0" t="s">
        <v>942</v>
      </c>
      <c r="I176" s="0" t="n">
        <v>2025</v>
      </c>
      <c r="J176" s="0" t="s">
        <v>942</v>
      </c>
      <c r="K176" s="0" t="s">
        <v>942</v>
      </c>
      <c r="M176" s="0" t="n">
        <v>2025</v>
      </c>
      <c r="N176" s="0" t="s">
        <v>942</v>
      </c>
      <c r="O176" s="0" t="s">
        <v>942</v>
      </c>
    </row>
    <row r="177" customFormat="false" ht="15" hidden="false" customHeight="false" outlineLevel="0" collapsed="false">
      <c r="A177" s="0" t="n">
        <v>2025</v>
      </c>
      <c r="B177" s="0" t="s">
        <v>942</v>
      </c>
      <c r="C177" s="0" t="s">
        <v>942</v>
      </c>
      <c r="E177" s="0" t="n">
        <v>2025</v>
      </c>
      <c r="F177" s="0" t="s">
        <v>942</v>
      </c>
      <c r="G177" s="0" t="s">
        <v>942</v>
      </c>
      <c r="I177" s="0" t="n">
        <v>2025</v>
      </c>
      <c r="J177" s="0" t="s">
        <v>942</v>
      </c>
      <c r="K177" s="0" t="s">
        <v>942</v>
      </c>
      <c r="M177" s="0" t="n">
        <v>2025</v>
      </c>
      <c r="N177" s="0" t="s">
        <v>942</v>
      </c>
      <c r="O177" s="0" t="s">
        <v>942</v>
      </c>
    </row>
    <row r="178" customFormat="false" ht="15" hidden="false" customHeight="false" outlineLevel="0" collapsed="false">
      <c r="A178" s="0" t="n">
        <v>2025</v>
      </c>
      <c r="B178" s="0" t="s">
        <v>942</v>
      </c>
      <c r="C178" s="0" t="s">
        <v>942</v>
      </c>
      <c r="E178" s="0" t="n">
        <v>2025</v>
      </c>
      <c r="F178" s="0" t="s">
        <v>942</v>
      </c>
      <c r="G178" s="0" t="s">
        <v>942</v>
      </c>
      <c r="I178" s="0" t="n">
        <v>2025</v>
      </c>
      <c r="J178" s="0" t="s">
        <v>942</v>
      </c>
      <c r="K178" s="0" t="s">
        <v>942</v>
      </c>
      <c r="M178" s="0" t="n">
        <v>2025</v>
      </c>
      <c r="N178" s="0" t="s">
        <v>942</v>
      </c>
      <c r="O178" s="0" t="s">
        <v>942</v>
      </c>
    </row>
    <row r="179" customFormat="false" ht="15" hidden="false" customHeight="false" outlineLevel="0" collapsed="false">
      <c r="A179" s="0" t="n">
        <v>2025</v>
      </c>
      <c r="B179" s="0" t="s">
        <v>942</v>
      </c>
      <c r="C179" s="0" t="s">
        <v>942</v>
      </c>
      <c r="E179" s="0" t="n">
        <v>2025</v>
      </c>
      <c r="F179" s="0" t="s">
        <v>942</v>
      </c>
      <c r="G179" s="0" t="s">
        <v>942</v>
      </c>
      <c r="I179" s="0" t="n">
        <v>2025</v>
      </c>
      <c r="J179" s="0" t="s">
        <v>942</v>
      </c>
      <c r="K179" s="0" t="s">
        <v>942</v>
      </c>
      <c r="M179" s="0" t="n">
        <v>2025</v>
      </c>
      <c r="N179" s="0" t="s">
        <v>942</v>
      </c>
      <c r="O179" s="0" t="s">
        <v>942</v>
      </c>
    </row>
    <row r="180" customFormat="false" ht="15" hidden="false" customHeight="false" outlineLevel="0" collapsed="false">
      <c r="A180" s="0" t="n">
        <v>2025</v>
      </c>
      <c r="B180" s="0" t="s">
        <v>942</v>
      </c>
      <c r="C180" s="0" t="s">
        <v>942</v>
      </c>
      <c r="E180" s="0" t="n">
        <v>2025</v>
      </c>
      <c r="F180" s="0" t="s">
        <v>942</v>
      </c>
      <c r="G180" s="0" t="s">
        <v>942</v>
      </c>
      <c r="I180" s="0" t="n">
        <v>2025</v>
      </c>
      <c r="J180" s="0" t="s">
        <v>942</v>
      </c>
      <c r="K180" s="0" t="s">
        <v>942</v>
      </c>
      <c r="M180" s="0" t="n">
        <v>2025</v>
      </c>
      <c r="N180" s="0" t="s">
        <v>942</v>
      </c>
      <c r="O180" s="0" t="s">
        <v>942</v>
      </c>
    </row>
    <row r="181" customFormat="false" ht="15" hidden="false" customHeight="false" outlineLevel="0" collapsed="false">
      <c r="A181" s="0" t="n">
        <v>2025</v>
      </c>
      <c r="B181" s="0" t="s">
        <v>942</v>
      </c>
      <c r="C181" s="0" t="s">
        <v>942</v>
      </c>
      <c r="E181" s="0" t="n">
        <v>2025</v>
      </c>
      <c r="F181" s="0" t="s">
        <v>942</v>
      </c>
      <c r="G181" s="0" t="s">
        <v>942</v>
      </c>
      <c r="I181" s="0" t="n">
        <v>2025</v>
      </c>
      <c r="J181" s="0" t="s">
        <v>942</v>
      </c>
      <c r="K181" s="0" t="s">
        <v>942</v>
      </c>
      <c r="M181" s="0" t="n">
        <v>2025</v>
      </c>
      <c r="N181" s="0" t="s">
        <v>942</v>
      </c>
      <c r="O181" s="0" t="s">
        <v>942</v>
      </c>
    </row>
    <row r="182" customFormat="false" ht="15" hidden="false" customHeight="false" outlineLevel="0" collapsed="false">
      <c r="A182" s="0" t="n">
        <v>2025</v>
      </c>
      <c r="B182" s="0" t="s">
        <v>942</v>
      </c>
      <c r="C182" s="0" t="s">
        <v>942</v>
      </c>
      <c r="E182" s="0" t="n">
        <v>2025</v>
      </c>
      <c r="F182" s="0" t="s">
        <v>942</v>
      </c>
      <c r="G182" s="0" t="s">
        <v>942</v>
      </c>
      <c r="I182" s="0" t="n">
        <v>2025</v>
      </c>
      <c r="J182" s="0" t="s">
        <v>942</v>
      </c>
      <c r="K182" s="0" t="s">
        <v>942</v>
      </c>
      <c r="M182" s="0" t="n">
        <v>2025</v>
      </c>
      <c r="N182" s="0" t="s">
        <v>942</v>
      </c>
      <c r="O182" s="0" t="s">
        <v>942</v>
      </c>
    </row>
    <row r="183" customFormat="false" ht="15" hidden="false" customHeight="false" outlineLevel="0" collapsed="false">
      <c r="A183" s="0" t="n">
        <v>2025</v>
      </c>
      <c r="B183" s="0" t="s">
        <v>942</v>
      </c>
      <c r="C183" s="0" t="s">
        <v>942</v>
      </c>
      <c r="E183" s="0" t="n">
        <v>2025</v>
      </c>
      <c r="F183" s="0" t="s">
        <v>942</v>
      </c>
      <c r="G183" s="0" t="s">
        <v>942</v>
      </c>
      <c r="I183" s="0" t="n">
        <v>2025</v>
      </c>
      <c r="J183" s="0" t="s">
        <v>942</v>
      </c>
      <c r="K183" s="0" t="s">
        <v>942</v>
      </c>
      <c r="M183" s="0" t="n">
        <v>2025</v>
      </c>
      <c r="N183" s="0" t="s">
        <v>942</v>
      </c>
      <c r="O183" s="0" t="s">
        <v>942</v>
      </c>
    </row>
    <row r="184" customFormat="false" ht="15" hidden="false" customHeight="false" outlineLevel="0" collapsed="false">
      <c r="A184" s="0" t="n">
        <v>2025</v>
      </c>
      <c r="B184" s="0" t="s">
        <v>942</v>
      </c>
      <c r="C184" s="0" t="s">
        <v>942</v>
      </c>
      <c r="E184" s="0" t="n">
        <v>2025</v>
      </c>
      <c r="F184" s="0" t="s">
        <v>942</v>
      </c>
      <c r="G184" s="0" t="s">
        <v>942</v>
      </c>
      <c r="I184" s="0" t="n">
        <v>2025</v>
      </c>
      <c r="J184" s="0" t="s">
        <v>942</v>
      </c>
      <c r="K184" s="0" t="s">
        <v>942</v>
      </c>
      <c r="M184" s="0" t="n">
        <v>2025</v>
      </c>
      <c r="N184" s="0" t="s">
        <v>942</v>
      </c>
      <c r="O184" s="0" t="s">
        <v>942</v>
      </c>
    </row>
    <row r="185" customFormat="false" ht="15" hidden="false" customHeight="false" outlineLevel="0" collapsed="false">
      <c r="A185" s="0" t="n">
        <v>2025</v>
      </c>
      <c r="B185" s="0" t="s">
        <v>942</v>
      </c>
      <c r="C185" s="0" t="s">
        <v>942</v>
      </c>
      <c r="E185" s="0" t="n">
        <v>2025</v>
      </c>
      <c r="F185" s="0" t="s">
        <v>942</v>
      </c>
      <c r="G185" s="0" t="s">
        <v>942</v>
      </c>
      <c r="I185" s="0" t="n">
        <v>2025</v>
      </c>
      <c r="J185" s="0" t="s">
        <v>942</v>
      </c>
      <c r="K185" s="0" t="s">
        <v>942</v>
      </c>
      <c r="M185" s="0" t="n">
        <v>2025</v>
      </c>
      <c r="N185" s="0" t="s">
        <v>942</v>
      </c>
      <c r="O185" s="0" t="s">
        <v>942</v>
      </c>
    </row>
    <row r="186" customFormat="false" ht="15" hidden="false" customHeight="false" outlineLevel="0" collapsed="false">
      <c r="A186" s="0" t="n">
        <v>2025</v>
      </c>
      <c r="B186" s="0" t="s">
        <v>942</v>
      </c>
      <c r="C186" s="0" t="s">
        <v>942</v>
      </c>
      <c r="E186" s="0" t="n">
        <v>2025</v>
      </c>
      <c r="F186" s="0" t="s">
        <v>942</v>
      </c>
      <c r="G186" s="0" t="s">
        <v>942</v>
      </c>
      <c r="I186" s="0" t="n">
        <v>2025</v>
      </c>
      <c r="J186" s="0" t="s">
        <v>942</v>
      </c>
      <c r="K186" s="0" t="s">
        <v>942</v>
      </c>
      <c r="M186" s="0" t="n">
        <v>2025</v>
      </c>
      <c r="N186" s="0" t="s">
        <v>942</v>
      </c>
      <c r="O186" s="0" t="s">
        <v>942</v>
      </c>
    </row>
    <row r="187" customFormat="false" ht="15" hidden="false" customHeight="false" outlineLevel="0" collapsed="false">
      <c r="A187" s="0" t="n">
        <v>2025</v>
      </c>
      <c r="B187" s="0" t="s">
        <v>942</v>
      </c>
      <c r="C187" s="0" t="s">
        <v>942</v>
      </c>
      <c r="E187" s="0" t="n">
        <v>2025</v>
      </c>
      <c r="F187" s="0" t="s">
        <v>942</v>
      </c>
      <c r="G187" s="0" t="s">
        <v>942</v>
      </c>
      <c r="I187" s="0" t="n">
        <v>2025</v>
      </c>
      <c r="J187" s="0" t="s">
        <v>942</v>
      </c>
      <c r="K187" s="0" t="s">
        <v>942</v>
      </c>
      <c r="M187" s="0" t="n">
        <v>2025</v>
      </c>
      <c r="N187" s="0" t="s">
        <v>942</v>
      </c>
      <c r="O187" s="0" t="s">
        <v>942</v>
      </c>
    </row>
    <row r="188" customFormat="false" ht="15" hidden="false" customHeight="false" outlineLevel="0" collapsed="false">
      <c r="A188" s="0" t="n">
        <v>2025</v>
      </c>
      <c r="B188" s="0" t="s">
        <v>942</v>
      </c>
      <c r="C188" s="0" t="s">
        <v>942</v>
      </c>
      <c r="E188" s="0" t="n">
        <v>2025</v>
      </c>
      <c r="F188" s="0" t="s">
        <v>942</v>
      </c>
      <c r="G188" s="0" t="s">
        <v>942</v>
      </c>
      <c r="I188" s="0" t="n">
        <v>2025</v>
      </c>
      <c r="J188" s="0" t="s">
        <v>942</v>
      </c>
      <c r="K188" s="0" t="s">
        <v>942</v>
      </c>
      <c r="M188" s="0" t="n">
        <v>2025</v>
      </c>
      <c r="N188" s="0" t="s">
        <v>942</v>
      </c>
      <c r="O188" s="0" t="s">
        <v>942</v>
      </c>
    </row>
    <row r="189" customFormat="false" ht="15" hidden="false" customHeight="false" outlineLevel="0" collapsed="false">
      <c r="A189" s="0" t="n">
        <v>2025</v>
      </c>
      <c r="B189" s="0" t="s">
        <v>942</v>
      </c>
      <c r="C189" s="0" t="s">
        <v>942</v>
      </c>
      <c r="E189" s="0" t="n">
        <v>2025</v>
      </c>
      <c r="F189" s="0" t="s">
        <v>942</v>
      </c>
      <c r="G189" s="0" t="s">
        <v>942</v>
      </c>
      <c r="I189" s="0" t="n">
        <v>2025</v>
      </c>
      <c r="J189" s="0" t="s">
        <v>942</v>
      </c>
      <c r="K189" s="0" t="s">
        <v>942</v>
      </c>
      <c r="M189" s="0" t="n">
        <v>2025</v>
      </c>
      <c r="N189" s="0" t="s">
        <v>942</v>
      </c>
      <c r="O189" s="0" t="s">
        <v>942</v>
      </c>
    </row>
    <row r="190" customFormat="false" ht="15" hidden="false" customHeight="false" outlineLevel="0" collapsed="false">
      <c r="A190" s="0" t="n">
        <v>2025</v>
      </c>
      <c r="B190" s="0" t="s">
        <v>942</v>
      </c>
      <c r="C190" s="0" t="s">
        <v>942</v>
      </c>
      <c r="E190" s="0" t="n">
        <v>2025</v>
      </c>
      <c r="F190" s="0" t="s">
        <v>942</v>
      </c>
      <c r="G190" s="0" t="s">
        <v>942</v>
      </c>
      <c r="I190" s="0" t="n">
        <v>2025</v>
      </c>
      <c r="J190" s="0" t="s">
        <v>942</v>
      </c>
      <c r="K190" s="0" t="s">
        <v>942</v>
      </c>
      <c r="M190" s="0" t="n">
        <v>2025</v>
      </c>
      <c r="N190" s="0" t="s">
        <v>942</v>
      </c>
      <c r="O190" s="0" t="s">
        <v>942</v>
      </c>
    </row>
    <row r="191" customFormat="false" ht="15" hidden="false" customHeight="false" outlineLevel="0" collapsed="false">
      <c r="A191" s="0" t="n">
        <v>2025</v>
      </c>
      <c r="B191" s="0" t="s">
        <v>942</v>
      </c>
      <c r="C191" s="0" t="s">
        <v>942</v>
      </c>
      <c r="E191" s="0" t="n">
        <v>2025</v>
      </c>
      <c r="F191" s="0" t="s">
        <v>942</v>
      </c>
      <c r="G191" s="0" t="s">
        <v>942</v>
      </c>
      <c r="I191" s="0" t="n">
        <v>2025</v>
      </c>
      <c r="J191" s="0" t="s">
        <v>942</v>
      </c>
      <c r="K191" s="0" t="s">
        <v>942</v>
      </c>
      <c r="M191" s="0" t="n">
        <v>2025</v>
      </c>
      <c r="N191" s="0" t="s">
        <v>942</v>
      </c>
      <c r="O191" s="0" t="s">
        <v>942</v>
      </c>
    </row>
    <row r="192" customFormat="false" ht="15" hidden="false" customHeight="false" outlineLevel="0" collapsed="false">
      <c r="A192" s="0" t="n">
        <v>2025</v>
      </c>
      <c r="B192" s="0" t="s">
        <v>942</v>
      </c>
      <c r="C192" s="0" t="s">
        <v>942</v>
      </c>
      <c r="E192" s="0" t="n">
        <v>2025</v>
      </c>
      <c r="F192" s="0" t="s">
        <v>942</v>
      </c>
      <c r="G192" s="0" t="s">
        <v>942</v>
      </c>
      <c r="I192" s="0" t="n">
        <v>2025</v>
      </c>
      <c r="J192" s="0" t="s">
        <v>942</v>
      </c>
      <c r="K192" s="0" t="s">
        <v>942</v>
      </c>
      <c r="M192" s="0" t="n">
        <v>2025</v>
      </c>
      <c r="N192" s="0" t="s">
        <v>942</v>
      </c>
      <c r="O192" s="0" t="s">
        <v>942</v>
      </c>
    </row>
    <row r="193" customFormat="false" ht="15" hidden="false" customHeight="false" outlineLevel="0" collapsed="false">
      <c r="A193" s="0" t="n">
        <v>2025</v>
      </c>
      <c r="B193" s="0" t="s">
        <v>942</v>
      </c>
      <c r="C193" s="0" t="s">
        <v>942</v>
      </c>
      <c r="E193" s="0" t="n">
        <v>2025</v>
      </c>
      <c r="F193" s="0" t="s">
        <v>942</v>
      </c>
      <c r="G193" s="0" t="s">
        <v>942</v>
      </c>
      <c r="I193" s="0" t="n">
        <v>2025</v>
      </c>
      <c r="J193" s="0" t="s">
        <v>942</v>
      </c>
      <c r="K193" s="0" t="s">
        <v>942</v>
      </c>
      <c r="M193" s="0" t="n">
        <v>2025</v>
      </c>
      <c r="N193" s="0" t="s">
        <v>942</v>
      </c>
      <c r="O193" s="0" t="s">
        <v>942</v>
      </c>
    </row>
    <row r="194" customFormat="false" ht="15" hidden="false" customHeight="false" outlineLevel="0" collapsed="false">
      <c r="A194" s="0" t="n">
        <v>2025</v>
      </c>
      <c r="B194" s="0" t="s">
        <v>942</v>
      </c>
      <c r="C194" s="0" t="s">
        <v>942</v>
      </c>
      <c r="E194" s="0" t="n">
        <v>2025</v>
      </c>
      <c r="F194" s="0" t="s">
        <v>942</v>
      </c>
      <c r="G194" s="0" t="s">
        <v>942</v>
      </c>
      <c r="I194" s="0" t="n">
        <v>2025</v>
      </c>
      <c r="J194" s="0" t="s">
        <v>942</v>
      </c>
      <c r="K194" s="0" t="s">
        <v>942</v>
      </c>
      <c r="M194" s="0" t="n">
        <v>2025</v>
      </c>
      <c r="N194" s="0" t="s">
        <v>942</v>
      </c>
      <c r="O194" s="0" t="s">
        <v>942</v>
      </c>
    </row>
    <row r="195" customFormat="false" ht="15" hidden="false" customHeight="false" outlineLevel="0" collapsed="false">
      <c r="A195" s="0" t="n">
        <v>2025</v>
      </c>
      <c r="B195" s="0" t="s">
        <v>942</v>
      </c>
      <c r="C195" s="0" t="s">
        <v>942</v>
      </c>
      <c r="E195" s="0" t="n">
        <v>2025</v>
      </c>
      <c r="F195" s="0" t="s">
        <v>942</v>
      </c>
      <c r="G195" s="0" t="s">
        <v>942</v>
      </c>
      <c r="I195" s="0" t="n">
        <v>2025</v>
      </c>
      <c r="J195" s="0" t="s">
        <v>942</v>
      </c>
      <c r="K195" s="0" t="s">
        <v>942</v>
      </c>
      <c r="M195" s="0" t="n">
        <v>2025</v>
      </c>
      <c r="N195" s="0" t="s">
        <v>942</v>
      </c>
      <c r="O195" s="0" t="s">
        <v>942</v>
      </c>
    </row>
    <row r="196" customFormat="false" ht="15" hidden="false" customHeight="false" outlineLevel="0" collapsed="false">
      <c r="A196" s="0" t="n">
        <v>2025</v>
      </c>
      <c r="B196" s="0" t="s">
        <v>942</v>
      </c>
      <c r="C196" s="0" t="s">
        <v>942</v>
      </c>
      <c r="E196" s="0" t="n">
        <v>2025</v>
      </c>
      <c r="F196" s="0" t="s">
        <v>942</v>
      </c>
      <c r="G196" s="0" t="s">
        <v>942</v>
      </c>
      <c r="I196" s="0" t="n">
        <v>2025</v>
      </c>
      <c r="J196" s="0" t="s">
        <v>942</v>
      </c>
      <c r="K196" s="0" t="s">
        <v>942</v>
      </c>
      <c r="M196" s="0" t="n">
        <v>2025</v>
      </c>
      <c r="N196" s="0" t="s">
        <v>942</v>
      </c>
      <c r="O196" s="0" t="s">
        <v>942</v>
      </c>
    </row>
    <row r="197" customFormat="false" ht="15" hidden="false" customHeight="false" outlineLevel="0" collapsed="false">
      <c r="A197" s="0" t="n">
        <v>2025</v>
      </c>
      <c r="B197" s="0" t="s">
        <v>942</v>
      </c>
      <c r="C197" s="0" t="s">
        <v>942</v>
      </c>
      <c r="E197" s="0" t="n">
        <v>2025</v>
      </c>
      <c r="F197" s="0" t="s">
        <v>942</v>
      </c>
      <c r="G197" s="0" t="s">
        <v>942</v>
      </c>
      <c r="I197" s="0" t="n">
        <v>2025</v>
      </c>
      <c r="J197" s="0" t="s">
        <v>942</v>
      </c>
      <c r="K197" s="0" t="s">
        <v>942</v>
      </c>
      <c r="M197" s="0" t="n">
        <v>2025</v>
      </c>
      <c r="N197" s="0" t="s">
        <v>942</v>
      </c>
      <c r="O197" s="0" t="s">
        <v>942</v>
      </c>
    </row>
    <row r="198" customFormat="false" ht="15" hidden="false" customHeight="false" outlineLevel="0" collapsed="false">
      <c r="A198" s="0" t="n">
        <v>2025</v>
      </c>
      <c r="B198" s="0" t="s">
        <v>942</v>
      </c>
      <c r="C198" s="0" t="s">
        <v>942</v>
      </c>
      <c r="E198" s="0" t="n">
        <v>2025</v>
      </c>
      <c r="F198" s="0" t="s">
        <v>942</v>
      </c>
      <c r="G198" s="0" t="s">
        <v>942</v>
      </c>
      <c r="I198" s="0" t="n">
        <v>2025</v>
      </c>
      <c r="J198" s="0" t="s">
        <v>942</v>
      </c>
      <c r="K198" s="0" t="s">
        <v>942</v>
      </c>
      <c r="M198" s="0" t="n">
        <v>2025</v>
      </c>
      <c r="N198" s="0" t="s">
        <v>942</v>
      </c>
      <c r="O198" s="0" t="s">
        <v>942</v>
      </c>
    </row>
    <row r="199" customFormat="false" ht="15" hidden="false" customHeight="false" outlineLevel="0" collapsed="false">
      <c r="A199" s="0" t="n">
        <v>2025</v>
      </c>
      <c r="B199" s="0" t="s">
        <v>942</v>
      </c>
      <c r="C199" s="0" t="s">
        <v>942</v>
      </c>
      <c r="E199" s="0" t="n">
        <v>2025</v>
      </c>
      <c r="F199" s="0" t="s">
        <v>942</v>
      </c>
      <c r="G199" s="0" t="s">
        <v>942</v>
      </c>
      <c r="I199" s="0" t="n">
        <v>2025</v>
      </c>
      <c r="J199" s="0" t="s">
        <v>942</v>
      </c>
      <c r="K199" s="0" t="s">
        <v>942</v>
      </c>
      <c r="M199" s="0" t="n">
        <v>2025</v>
      </c>
      <c r="N199" s="0" t="s">
        <v>942</v>
      </c>
      <c r="O199" s="0" t="s">
        <v>942</v>
      </c>
    </row>
    <row r="200" customFormat="false" ht="15" hidden="false" customHeight="false" outlineLevel="0" collapsed="false">
      <c r="A200" s="0" t="n">
        <v>2025</v>
      </c>
      <c r="B200" s="0" t="s">
        <v>942</v>
      </c>
      <c r="C200" s="0" t="s">
        <v>942</v>
      </c>
      <c r="E200" s="0" t="n">
        <v>2025</v>
      </c>
      <c r="F200" s="0" t="s">
        <v>942</v>
      </c>
      <c r="G200" s="0" t="s">
        <v>942</v>
      </c>
      <c r="I200" s="0" t="n">
        <v>2025</v>
      </c>
      <c r="J200" s="0" t="s">
        <v>942</v>
      </c>
      <c r="K200" s="0" t="s">
        <v>942</v>
      </c>
      <c r="M200" s="0" t="n">
        <v>2025</v>
      </c>
      <c r="N200" s="0" t="s">
        <v>942</v>
      </c>
      <c r="O200" s="0" t="s">
        <v>942</v>
      </c>
    </row>
    <row r="201" customFormat="false" ht="15" hidden="false" customHeight="false" outlineLevel="0" collapsed="false">
      <c r="A201" s="0" t="n">
        <v>2025</v>
      </c>
      <c r="B201" s="0" t="s">
        <v>942</v>
      </c>
      <c r="C201" s="0" t="s">
        <v>942</v>
      </c>
      <c r="E201" s="0" t="n">
        <v>2025</v>
      </c>
      <c r="F201" s="0" t="s">
        <v>942</v>
      </c>
      <c r="G201" s="0" t="s">
        <v>942</v>
      </c>
      <c r="I201" s="0" t="n">
        <v>2025</v>
      </c>
      <c r="J201" s="0" t="s">
        <v>942</v>
      </c>
      <c r="K201" s="0" t="s">
        <v>942</v>
      </c>
      <c r="M201" s="0" t="n">
        <v>2025</v>
      </c>
      <c r="N201" s="0" t="s">
        <v>942</v>
      </c>
      <c r="O201" s="0" t="s">
        <v>942</v>
      </c>
    </row>
    <row r="202" customFormat="false" ht="15" hidden="false" customHeight="false" outlineLevel="0" collapsed="false">
      <c r="A202" s="0" t="n">
        <v>2025</v>
      </c>
      <c r="B202" s="0" t="s">
        <v>942</v>
      </c>
      <c r="C202" s="0" t="s">
        <v>942</v>
      </c>
      <c r="E202" s="0" t="n">
        <v>2025</v>
      </c>
      <c r="F202" s="0" t="s">
        <v>942</v>
      </c>
      <c r="G202" s="0" t="s">
        <v>942</v>
      </c>
      <c r="I202" s="0" t="n">
        <v>2025</v>
      </c>
      <c r="J202" s="0" t="s">
        <v>942</v>
      </c>
      <c r="K202" s="0" t="s">
        <v>942</v>
      </c>
      <c r="M202" s="0" t="n">
        <v>2025</v>
      </c>
      <c r="N202" s="0" t="s">
        <v>942</v>
      </c>
      <c r="O202" s="0" t="s">
        <v>942</v>
      </c>
    </row>
    <row r="203" customFormat="false" ht="15" hidden="false" customHeight="false" outlineLevel="0" collapsed="false">
      <c r="A203" s="0" t="n">
        <v>2025</v>
      </c>
      <c r="B203" s="0" t="s">
        <v>942</v>
      </c>
      <c r="C203" s="0" t="s">
        <v>942</v>
      </c>
      <c r="E203" s="0" t="n">
        <v>2025</v>
      </c>
      <c r="F203" s="0" t="s">
        <v>942</v>
      </c>
      <c r="G203" s="0" t="s">
        <v>942</v>
      </c>
      <c r="I203" s="0" t="n">
        <v>2025</v>
      </c>
      <c r="J203" s="0" t="s">
        <v>942</v>
      </c>
      <c r="K203" s="0" t="s">
        <v>942</v>
      </c>
      <c r="M203" s="0" t="n">
        <v>2025</v>
      </c>
      <c r="N203" s="0" t="s">
        <v>942</v>
      </c>
      <c r="O203" s="0" t="s">
        <v>942</v>
      </c>
    </row>
    <row r="204" customFormat="false" ht="15" hidden="false" customHeight="false" outlineLevel="0" collapsed="false">
      <c r="A204" s="0" t="n">
        <v>2025</v>
      </c>
      <c r="B204" s="0" t="s">
        <v>942</v>
      </c>
      <c r="C204" s="0" t="s">
        <v>942</v>
      </c>
      <c r="E204" s="0" t="n">
        <v>2025</v>
      </c>
      <c r="F204" s="0" t="s">
        <v>942</v>
      </c>
      <c r="G204" s="0" t="s">
        <v>942</v>
      </c>
      <c r="I204" s="0" t="n">
        <v>2025</v>
      </c>
      <c r="J204" s="0" t="s">
        <v>942</v>
      </c>
      <c r="K204" s="0" t="s">
        <v>942</v>
      </c>
      <c r="M204" s="0" t="n">
        <v>2025</v>
      </c>
      <c r="N204" s="0" t="s">
        <v>942</v>
      </c>
      <c r="O204" s="0" t="s">
        <v>942</v>
      </c>
    </row>
    <row r="205" customFormat="false" ht="15" hidden="false" customHeight="false" outlineLevel="0" collapsed="false">
      <c r="A205" s="0" t="n">
        <v>2025</v>
      </c>
      <c r="B205" s="0" t="s">
        <v>942</v>
      </c>
      <c r="C205" s="0" t="s">
        <v>942</v>
      </c>
      <c r="E205" s="0" t="n">
        <v>2025</v>
      </c>
      <c r="F205" s="0" t="s">
        <v>942</v>
      </c>
      <c r="G205" s="0" t="s">
        <v>942</v>
      </c>
      <c r="I205" s="0" t="n">
        <v>2025</v>
      </c>
      <c r="J205" s="0" t="s">
        <v>942</v>
      </c>
      <c r="K205" s="0" t="s">
        <v>942</v>
      </c>
      <c r="M205" s="0" t="n">
        <v>2025</v>
      </c>
      <c r="N205" s="0" t="s">
        <v>942</v>
      </c>
      <c r="O205" s="0" t="s">
        <v>942</v>
      </c>
    </row>
    <row r="206" customFormat="false" ht="15" hidden="false" customHeight="false" outlineLevel="0" collapsed="false">
      <c r="A206" s="0" t="n">
        <v>2025</v>
      </c>
      <c r="B206" s="0" t="s">
        <v>942</v>
      </c>
      <c r="C206" s="0" t="s">
        <v>942</v>
      </c>
      <c r="E206" s="0" t="n">
        <v>2025</v>
      </c>
      <c r="F206" s="0" t="s">
        <v>942</v>
      </c>
      <c r="G206" s="0" t="s">
        <v>942</v>
      </c>
      <c r="I206" s="0" t="n">
        <v>2025</v>
      </c>
      <c r="J206" s="0" t="s">
        <v>942</v>
      </c>
      <c r="K206" s="0" t="s">
        <v>942</v>
      </c>
      <c r="M206" s="0" t="n">
        <v>2025</v>
      </c>
      <c r="N206" s="0" t="s">
        <v>942</v>
      </c>
      <c r="O206" s="0" t="s">
        <v>942</v>
      </c>
    </row>
    <row r="207" customFormat="false" ht="15" hidden="false" customHeight="false" outlineLevel="0" collapsed="false">
      <c r="A207" s="0" t="n">
        <v>2025</v>
      </c>
      <c r="B207" s="0" t="s">
        <v>942</v>
      </c>
      <c r="C207" s="0" t="s">
        <v>942</v>
      </c>
      <c r="E207" s="0" t="n">
        <v>2025</v>
      </c>
      <c r="F207" s="0" t="s">
        <v>942</v>
      </c>
      <c r="G207" s="0" t="s">
        <v>942</v>
      </c>
      <c r="I207" s="0" t="n">
        <v>2025</v>
      </c>
      <c r="J207" s="0" t="s">
        <v>942</v>
      </c>
      <c r="K207" s="0" t="s">
        <v>942</v>
      </c>
      <c r="M207" s="0" t="n">
        <v>2025</v>
      </c>
      <c r="N207" s="0" t="s">
        <v>942</v>
      </c>
      <c r="O207" s="0" t="s">
        <v>942</v>
      </c>
    </row>
    <row r="208" customFormat="false" ht="15" hidden="false" customHeight="false" outlineLevel="0" collapsed="false">
      <c r="A208" s="0" t="n">
        <v>2025</v>
      </c>
      <c r="B208" s="0" t="s">
        <v>942</v>
      </c>
      <c r="C208" s="0" t="s">
        <v>942</v>
      </c>
      <c r="E208" s="0" t="n">
        <v>2025</v>
      </c>
      <c r="F208" s="0" t="s">
        <v>942</v>
      </c>
      <c r="G208" s="0" t="s">
        <v>942</v>
      </c>
      <c r="I208" s="0" t="n">
        <v>2025</v>
      </c>
      <c r="J208" s="0" t="s">
        <v>942</v>
      </c>
      <c r="K208" s="0" t="s">
        <v>942</v>
      </c>
      <c r="M208" s="0" t="n">
        <v>2025</v>
      </c>
      <c r="N208" s="0" t="s">
        <v>942</v>
      </c>
      <c r="O208" s="0" t="s">
        <v>942</v>
      </c>
    </row>
    <row r="209" customFormat="false" ht="15" hidden="false" customHeight="false" outlineLevel="0" collapsed="false">
      <c r="A209" s="0" t="n">
        <v>2025</v>
      </c>
      <c r="B209" s="0" t="s">
        <v>942</v>
      </c>
      <c r="C209" s="0" t="s">
        <v>942</v>
      </c>
      <c r="E209" s="0" t="n">
        <v>2025</v>
      </c>
      <c r="F209" s="0" t="s">
        <v>942</v>
      </c>
      <c r="G209" s="0" t="s">
        <v>942</v>
      </c>
      <c r="I209" s="0" t="n">
        <v>2025</v>
      </c>
      <c r="J209" s="0" t="s">
        <v>942</v>
      </c>
      <c r="K209" s="0" t="s">
        <v>942</v>
      </c>
      <c r="M209" s="0" t="n">
        <v>2025</v>
      </c>
      <c r="N209" s="0" t="s">
        <v>942</v>
      </c>
      <c r="O209" s="0" t="s">
        <v>942</v>
      </c>
    </row>
    <row r="210" customFormat="false" ht="15" hidden="false" customHeight="false" outlineLevel="0" collapsed="false">
      <c r="A210" s="0" t="n">
        <v>2025</v>
      </c>
      <c r="B210" s="0" t="s">
        <v>942</v>
      </c>
      <c r="C210" s="0" t="s">
        <v>942</v>
      </c>
      <c r="E210" s="0" t="n">
        <v>2025</v>
      </c>
      <c r="F210" s="0" t="s">
        <v>942</v>
      </c>
      <c r="G210" s="0" t="s">
        <v>942</v>
      </c>
      <c r="I210" s="0" t="n">
        <v>2025</v>
      </c>
      <c r="J210" s="0" t="s">
        <v>942</v>
      </c>
      <c r="K210" s="0" t="s">
        <v>942</v>
      </c>
      <c r="M210" s="0" t="n">
        <v>2025</v>
      </c>
      <c r="N210" s="0" t="s">
        <v>942</v>
      </c>
      <c r="O210" s="0" t="s">
        <v>942</v>
      </c>
    </row>
    <row r="211" customFormat="false" ht="15" hidden="false" customHeight="false" outlineLevel="0" collapsed="false">
      <c r="A211" s="0" t="n">
        <v>2025</v>
      </c>
      <c r="B211" s="0" t="s">
        <v>942</v>
      </c>
      <c r="C211" s="0" t="s">
        <v>942</v>
      </c>
      <c r="E211" s="0" t="n">
        <v>2025</v>
      </c>
      <c r="F211" s="0" t="s">
        <v>942</v>
      </c>
      <c r="G211" s="0" t="s">
        <v>942</v>
      </c>
      <c r="I211" s="0" t="n">
        <v>2025</v>
      </c>
      <c r="J211" s="0" t="s">
        <v>942</v>
      </c>
      <c r="K211" s="0" t="s">
        <v>942</v>
      </c>
      <c r="M211" s="0" t="n">
        <v>2025</v>
      </c>
      <c r="N211" s="0" t="s">
        <v>942</v>
      </c>
      <c r="O211" s="0" t="s">
        <v>942</v>
      </c>
    </row>
    <row r="212" customFormat="false" ht="15" hidden="false" customHeight="false" outlineLevel="0" collapsed="false">
      <c r="A212" s="0" t="n">
        <v>2025</v>
      </c>
      <c r="B212" s="0" t="s">
        <v>942</v>
      </c>
      <c r="C212" s="0" t="s">
        <v>942</v>
      </c>
      <c r="E212" s="0" t="n">
        <v>2025</v>
      </c>
      <c r="F212" s="0" t="s">
        <v>942</v>
      </c>
      <c r="G212" s="0" t="s">
        <v>942</v>
      </c>
      <c r="I212" s="0" t="n">
        <v>2025</v>
      </c>
      <c r="J212" s="0" t="s">
        <v>942</v>
      </c>
      <c r="K212" s="0" t="s">
        <v>942</v>
      </c>
      <c r="M212" s="0" t="n">
        <v>2025</v>
      </c>
      <c r="N212" s="0" t="s">
        <v>942</v>
      </c>
      <c r="O212" s="0" t="s">
        <v>942</v>
      </c>
    </row>
    <row r="213" customFormat="false" ht="15" hidden="false" customHeight="false" outlineLevel="0" collapsed="false">
      <c r="A213" s="0" t="n">
        <v>2025</v>
      </c>
      <c r="B213" s="0" t="s">
        <v>942</v>
      </c>
      <c r="C213" s="0" t="s">
        <v>942</v>
      </c>
      <c r="E213" s="0" t="n">
        <v>2025</v>
      </c>
      <c r="F213" s="0" t="s">
        <v>942</v>
      </c>
      <c r="G213" s="0" t="s">
        <v>942</v>
      </c>
      <c r="I213" s="0" t="n">
        <v>2025</v>
      </c>
      <c r="J213" s="0" t="s">
        <v>942</v>
      </c>
      <c r="K213" s="0" t="s">
        <v>942</v>
      </c>
      <c r="M213" s="0" t="n">
        <v>2025</v>
      </c>
      <c r="N213" s="0" t="s">
        <v>942</v>
      </c>
      <c r="O213" s="0" t="s">
        <v>942</v>
      </c>
    </row>
    <row r="214" customFormat="false" ht="15" hidden="false" customHeight="false" outlineLevel="0" collapsed="false">
      <c r="A214" s="0" t="n">
        <v>2025</v>
      </c>
      <c r="B214" s="0" t="s">
        <v>942</v>
      </c>
      <c r="C214" s="0" t="s">
        <v>942</v>
      </c>
      <c r="E214" s="0" t="n">
        <v>2025</v>
      </c>
      <c r="F214" s="0" t="s">
        <v>942</v>
      </c>
      <c r="G214" s="0" t="s">
        <v>942</v>
      </c>
      <c r="I214" s="0" t="n">
        <v>2025</v>
      </c>
      <c r="J214" s="0" t="s">
        <v>942</v>
      </c>
      <c r="K214" s="0" t="s">
        <v>942</v>
      </c>
      <c r="M214" s="0" t="n">
        <v>2025</v>
      </c>
      <c r="N214" s="0" t="s">
        <v>942</v>
      </c>
      <c r="O214" s="0" t="s">
        <v>942</v>
      </c>
    </row>
    <row r="215" customFormat="false" ht="15" hidden="false" customHeight="false" outlineLevel="0" collapsed="false">
      <c r="A215" s="0" t="n">
        <v>2025</v>
      </c>
      <c r="B215" s="0" t="s">
        <v>942</v>
      </c>
      <c r="C215" s="0" t="s">
        <v>942</v>
      </c>
      <c r="E215" s="0" t="n">
        <v>2025</v>
      </c>
      <c r="F215" s="0" t="s">
        <v>942</v>
      </c>
      <c r="G215" s="0" t="s">
        <v>942</v>
      </c>
      <c r="I215" s="0" t="n">
        <v>2025</v>
      </c>
      <c r="J215" s="0" t="s">
        <v>942</v>
      </c>
      <c r="K215" s="0" t="s">
        <v>942</v>
      </c>
      <c r="M215" s="0" t="n">
        <v>2025</v>
      </c>
      <c r="N215" s="0" t="s">
        <v>942</v>
      </c>
      <c r="O215" s="0" t="s">
        <v>942</v>
      </c>
    </row>
    <row r="216" customFormat="false" ht="15" hidden="false" customHeight="false" outlineLevel="0" collapsed="false">
      <c r="A216" s="0" t="n">
        <v>2025</v>
      </c>
      <c r="B216" s="0" t="s">
        <v>942</v>
      </c>
      <c r="C216" s="0" t="s">
        <v>942</v>
      </c>
      <c r="E216" s="0" t="n">
        <v>2025</v>
      </c>
      <c r="F216" s="0" t="s">
        <v>942</v>
      </c>
      <c r="G216" s="0" t="s">
        <v>942</v>
      </c>
      <c r="I216" s="0" t="n">
        <v>2025</v>
      </c>
      <c r="J216" s="0" t="s">
        <v>942</v>
      </c>
      <c r="K216" s="0" t="s">
        <v>942</v>
      </c>
      <c r="M216" s="0" t="n">
        <v>2025</v>
      </c>
      <c r="N216" s="0" t="s">
        <v>942</v>
      </c>
      <c r="O216" s="0" t="s">
        <v>942</v>
      </c>
    </row>
    <row r="217" customFormat="false" ht="15" hidden="false" customHeight="false" outlineLevel="0" collapsed="false">
      <c r="A217" s="0" t="n">
        <v>2025</v>
      </c>
      <c r="B217" s="0" t="s">
        <v>942</v>
      </c>
      <c r="C217" s="0" t="s">
        <v>942</v>
      </c>
      <c r="E217" s="0" t="n">
        <v>2025</v>
      </c>
      <c r="F217" s="0" t="s">
        <v>942</v>
      </c>
      <c r="G217" s="0" t="s">
        <v>942</v>
      </c>
      <c r="I217" s="0" t="n">
        <v>2025</v>
      </c>
      <c r="J217" s="0" t="s">
        <v>942</v>
      </c>
      <c r="K217" s="0" t="s">
        <v>942</v>
      </c>
      <c r="M217" s="0" t="n">
        <v>2025</v>
      </c>
      <c r="N217" s="0" t="s">
        <v>942</v>
      </c>
      <c r="O217" s="0" t="s">
        <v>942</v>
      </c>
    </row>
    <row r="218" customFormat="false" ht="15" hidden="false" customHeight="false" outlineLevel="0" collapsed="false">
      <c r="A218" s="0" t="n">
        <v>2025</v>
      </c>
      <c r="B218" s="0" t="s">
        <v>942</v>
      </c>
      <c r="C218" s="0" t="s">
        <v>942</v>
      </c>
      <c r="E218" s="0" t="n">
        <v>2025</v>
      </c>
      <c r="F218" s="0" t="s">
        <v>942</v>
      </c>
      <c r="G218" s="0" t="s">
        <v>942</v>
      </c>
      <c r="I218" s="0" t="n">
        <v>2025</v>
      </c>
      <c r="J218" s="0" t="s">
        <v>942</v>
      </c>
      <c r="K218" s="0" t="s">
        <v>942</v>
      </c>
      <c r="M218" s="0" t="n">
        <v>2025</v>
      </c>
      <c r="N218" s="0" t="s">
        <v>942</v>
      </c>
      <c r="O218" s="0" t="s">
        <v>942</v>
      </c>
    </row>
    <row r="219" customFormat="false" ht="15" hidden="false" customHeight="false" outlineLevel="0" collapsed="false">
      <c r="A219" s="0" t="n">
        <v>2025</v>
      </c>
      <c r="B219" s="0" t="s">
        <v>942</v>
      </c>
      <c r="C219" s="0" t="s">
        <v>942</v>
      </c>
      <c r="E219" s="0" t="n">
        <v>2025</v>
      </c>
      <c r="F219" s="0" t="s">
        <v>942</v>
      </c>
      <c r="G219" s="0" t="s">
        <v>942</v>
      </c>
      <c r="I219" s="0" t="n">
        <v>2025</v>
      </c>
      <c r="J219" s="0" t="s">
        <v>942</v>
      </c>
      <c r="K219" s="0" t="s">
        <v>942</v>
      </c>
      <c r="M219" s="0" t="n">
        <v>2025</v>
      </c>
      <c r="N219" s="0" t="s">
        <v>942</v>
      </c>
      <c r="O219" s="0" t="s">
        <v>942</v>
      </c>
    </row>
    <row r="220" customFormat="false" ht="15" hidden="false" customHeight="false" outlineLevel="0" collapsed="false">
      <c r="A220" s="0" t="n">
        <v>2025</v>
      </c>
      <c r="B220" s="0" t="s">
        <v>942</v>
      </c>
      <c r="C220" s="0" t="s">
        <v>942</v>
      </c>
      <c r="E220" s="0" t="n">
        <v>2025</v>
      </c>
      <c r="F220" s="0" t="s">
        <v>942</v>
      </c>
      <c r="G220" s="0" t="s">
        <v>942</v>
      </c>
      <c r="I220" s="0" t="n">
        <v>2025</v>
      </c>
      <c r="J220" s="0" t="s">
        <v>942</v>
      </c>
      <c r="K220" s="0" t="s">
        <v>942</v>
      </c>
      <c r="M220" s="0" t="n">
        <v>2025</v>
      </c>
      <c r="N220" s="0" t="s">
        <v>942</v>
      </c>
      <c r="O220" s="0" t="s">
        <v>942</v>
      </c>
    </row>
    <row r="221" customFormat="false" ht="15" hidden="false" customHeight="false" outlineLevel="0" collapsed="false">
      <c r="A221" s="0" t="n">
        <v>2025</v>
      </c>
      <c r="B221" s="0" t="s">
        <v>942</v>
      </c>
      <c r="C221" s="0" t="s">
        <v>942</v>
      </c>
      <c r="E221" s="0" t="n">
        <v>2025</v>
      </c>
      <c r="F221" s="0" t="s">
        <v>942</v>
      </c>
      <c r="G221" s="0" t="s">
        <v>942</v>
      </c>
      <c r="I221" s="0" t="n">
        <v>2025</v>
      </c>
      <c r="J221" s="0" t="s">
        <v>942</v>
      </c>
      <c r="K221" s="0" t="s">
        <v>942</v>
      </c>
      <c r="M221" s="0" t="n">
        <v>2025</v>
      </c>
      <c r="N221" s="0" t="s">
        <v>942</v>
      </c>
      <c r="O221" s="0" t="s">
        <v>942</v>
      </c>
    </row>
    <row r="222" customFormat="false" ht="15" hidden="false" customHeight="false" outlineLevel="0" collapsed="false">
      <c r="A222" s="0" t="n">
        <v>2025</v>
      </c>
      <c r="B222" s="0" t="s">
        <v>942</v>
      </c>
      <c r="C222" s="0" t="s">
        <v>942</v>
      </c>
      <c r="E222" s="0" t="n">
        <v>2025</v>
      </c>
      <c r="F222" s="0" t="s">
        <v>942</v>
      </c>
      <c r="G222" s="0" t="s">
        <v>942</v>
      </c>
      <c r="I222" s="0" t="n">
        <v>2025</v>
      </c>
      <c r="J222" s="0" t="s">
        <v>942</v>
      </c>
      <c r="K222" s="0" t="s">
        <v>942</v>
      </c>
      <c r="M222" s="0" t="n">
        <v>2025</v>
      </c>
      <c r="N222" s="0" t="s">
        <v>942</v>
      </c>
      <c r="O222" s="0" t="s">
        <v>942</v>
      </c>
    </row>
    <row r="223" customFormat="false" ht="15" hidden="false" customHeight="false" outlineLevel="0" collapsed="false">
      <c r="A223" s="0" t="n">
        <v>2025</v>
      </c>
      <c r="B223" s="0" t="s">
        <v>942</v>
      </c>
      <c r="C223" s="0" t="s">
        <v>942</v>
      </c>
      <c r="E223" s="0" t="n">
        <v>2025</v>
      </c>
      <c r="F223" s="0" t="s">
        <v>942</v>
      </c>
      <c r="G223" s="0" t="s">
        <v>942</v>
      </c>
      <c r="I223" s="0" t="n">
        <v>2025</v>
      </c>
      <c r="J223" s="0" t="s">
        <v>942</v>
      </c>
      <c r="K223" s="0" t="s">
        <v>942</v>
      </c>
      <c r="M223" s="0" t="n">
        <v>2025</v>
      </c>
      <c r="N223" s="0" t="s">
        <v>942</v>
      </c>
      <c r="O223" s="0" t="s">
        <v>942</v>
      </c>
    </row>
    <row r="224" customFormat="false" ht="15" hidden="false" customHeight="false" outlineLevel="0" collapsed="false">
      <c r="A224" s="0" t="n">
        <v>2025</v>
      </c>
      <c r="B224" s="0" t="s">
        <v>942</v>
      </c>
      <c r="C224" s="0" t="s">
        <v>942</v>
      </c>
      <c r="E224" s="0" t="n">
        <v>2025</v>
      </c>
      <c r="F224" s="0" t="s">
        <v>942</v>
      </c>
      <c r="G224" s="0" t="s">
        <v>942</v>
      </c>
      <c r="I224" s="0" t="n">
        <v>2025</v>
      </c>
      <c r="J224" s="0" t="s">
        <v>942</v>
      </c>
      <c r="K224" s="0" t="s">
        <v>942</v>
      </c>
      <c r="M224" s="0" t="n">
        <v>2025</v>
      </c>
      <c r="N224" s="0" t="s">
        <v>942</v>
      </c>
      <c r="O224" s="0" t="s">
        <v>942</v>
      </c>
    </row>
    <row r="225" customFormat="false" ht="15" hidden="false" customHeight="false" outlineLevel="0" collapsed="false">
      <c r="A225" s="0" t="n">
        <v>2025</v>
      </c>
      <c r="B225" s="0" t="s">
        <v>942</v>
      </c>
      <c r="C225" s="0" t="s">
        <v>942</v>
      </c>
      <c r="E225" s="0" t="n">
        <v>2025</v>
      </c>
      <c r="F225" s="0" t="s">
        <v>942</v>
      </c>
      <c r="G225" s="0" t="s">
        <v>942</v>
      </c>
      <c r="I225" s="0" t="n">
        <v>2025</v>
      </c>
      <c r="J225" s="0" t="s">
        <v>942</v>
      </c>
      <c r="K225" s="0" t="s">
        <v>942</v>
      </c>
      <c r="M225" s="0" t="n">
        <v>2025</v>
      </c>
      <c r="N225" s="0" t="s">
        <v>942</v>
      </c>
      <c r="O225" s="0" t="s">
        <v>942</v>
      </c>
    </row>
    <row r="226" customFormat="false" ht="15" hidden="false" customHeight="false" outlineLevel="0" collapsed="false">
      <c r="A226" s="0" t="n">
        <v>2025</v>
      </c>
      <c r="B226" s="0" t="s">
        <v>942</v>
      </c>
      <c r="C226" s="0" t="s">
        <v>942</v>
      </c>
      <c r="E226" s="0" t="n">
        <v>2025</v>
      </c>
      <c r="F226" s="0" t="s">
        <v>942</v>
      </c>
      <c r="G226" s="0" t="s">
        <v>942</v>
      </c>
      <c r="I226" s="0" t="n">
        <v>2025</v>
      </c>
      <c r="J226" s="0" t="s">
        <v>942</v>
      </c>
      <c r="K226" s="0" t="s">
        <v>942</v>
      </c>
      <c r="M226" s="0" t="n">
        <v>2025</v>
      </c>
      <c r="N226" s="0" t="s">
        <v>942</v>
      </c>
      <c r="O226" s="0" t="s">
        <v>942</v>
      </c>
    </row>
    <row r="227" customFormat="false" ht="15" hidden="false" customHeight="false" outlineLevel="0" collapsed="false">
      <c r="A227" s="0" t="n">
        <v>2025</v>
      </c>
      <c r="B227" s="0" t="s">
        <v>942</v>
      </c>
      <c r="C227" s="0" t="s">
        <v>942</v>
      </c>
      <c r="E227" s="0" t="n">
        <v>2025</v>
      </c>
      <c r="F227" s="0" t="s">
        <v>942</v>
      </c>
      <c r="G227" s="0" t="s">
        <v>942</v>
      </c>
      <c r="I227" s="0" t="n">
        <v>2025</v>
      </c>
      <c r="J227" s="0" t="s">
        <v>942</v>
      </c>
      <c r="K227" s="0" t="s">
        <v>942</v>
      </c>
      <c r="M227" s="0" t="n">
        <v>2025</v>
      </c>
      <c r="N227" s="0" t="s">
        <v>942</v>
      </c>
      <c r="O227" s="0" t="s">
        <v>942</v>
      </c>
    </row>
    <row r="228" customFormat="false" ht="15" hidden="false" customHeight="false" outlineLevel="0" collapsed="false">
      <c r="A228" s="0" t="n">
        <v>2025</v>
      </c>
      <c r="B228" s="0" t="s">
        <v>942</v>
      </c>
      <c r="C228" s="0" t="s">
        <v>942</v>
      </c>
      <c r="E228" s="0" t="n">
        <v>2025</v>
      </c>
      <c r="F228" s="0" t="s">
        <v>942</v>
      </c>
      <c r="G228" s="0" t="s">
        <v>942</v>
      </c>
      <c r="I228" s="0" t="n">
        <v>2025</v>
      </c>
      <c r="J228" s="0" t="s">
        <v>942</v>
      </c>
      <c r="K228" s="0" t="s">
        <v>942</v>
      </c>
      <c r="M228" s="0" t="n">
        <v>2025</v>
      </c>
      <c r="N228" s="0" t="s">
        <v>942</v>
      </c>
      <c r="O228" s="0" t="s">
        <v>942</v>
      </c>
    </row>
    <row r="229" customFormat="false" ht="15" hidden="false" customHeight="false" outlineLevel="0" collapsed="false">
      <c r="A229" s="0" t="n">
        <v>2025</v>
      </c>
      <c r="B229" s="0" t="s">
        <v>942</v>
      </c>
      <c r="C229" s="0" t="s">
        <v>942</v>
      </c>
      <c r="E229" s="0" t="n">
        <v>2025</v>
      </c>
      <c r="F229" s="0" t="s">
        <v>942</v>
      </c>
      <c r="G229" s="0" t="s">
        <v>942</v>
      </c>
      <c r="I229" s="0" t="n">
        <v>2025</v>
      </c>
      <c r="J229" s="0" t="s">
        <v>942</v>
      </c>
      <c r="K229" s="0" t="s">
        <v>942</v>
      </c>
      <c r="M229" s="0" t="n">
        <v>2025</v>
      </c>
      <c r="N229" s="0" t="s">
        <v>942</v>
      </c>
      <c r="O229" s="0" t="s">
        <v>942</v>
      </c>
    </row>
    <row r="230" customFormat="false" ht="15" hidden="false" customHeight="false" outlineLevel="0" collapsed="false">
      <c r="A230" s="0" t="n">
        <v>2025</v>
      </c>
      <c r="B230" s="0" t="s">
        <v>942</v>
      </c>
      <c r="C230" s="0" t="s">
        <v>942</v>
      </c>
      <c r="E230" s="0" t="n">
        <v>2025</v>
      </c>
      <c r="F230" s="0" t="s">
        <v>942</v>
      </c>
      <c r="G230" s="0" t="s">
        <v>942</v>
      </c>
      <c r="I230" s="0" t="n">
        <v>2025</v>
      </c>
      <c r="J230" s="0" t="s">
        <v>942</v>
      </c>
      <c r="K230" s="0" t="s">
        <v>942</v>
      </c>
      <c r="M230" s="0" t="n">
        <v>2025</v>
      </c>
      <c r="N230" s="0" t="s">
        <v>942</v>
      </c>
      <c r="O230" s="0" t="s">
        <v>942</v>
      </c>
    </row>
    <row r="231" customFormat="false" ht="15" hidden="false" customHeight="false" outlineLevel="0" collapsed="false">
      <c r="A231" s="0" t="n">
        <v>2025</v>
      </c>
      <c r="B231" s="0" t="s">
        <v>942</v>
      </c>
      <c r="C231" s="0" t="s">
        <v>942</v>
      </c>
      <c r="E231" s="0" t="n">
        <v>2025</v>
      </c>
      <c r="F231" s="0" t="s">
        <v>942</v>
      </c>
      <c r="G231" s="0" t="s">
        <v>942</v>
      </c>
      <c r="I231" s="0" t="n">
        <v>2025</v>
      </c>
      <c r="J231" s="0" t="s">
        <v>942</v>
      </c>
      <c r="K231" s="0" t="s">
        <v>942</v>
      </c>
      <c r="M231" s="0" t="n">
        <v>2025</v>
      </c>
      <c r="N231" s="0" t="s">
        <v>942</v>
      </c>
      <c r="O231" s="0" t="s">
        <v>942</v>
      </c>
    </row>
    <row r="232" customFormat="false" ht="15" hidden="false" customHeight="false" outlineLevel="0" collapsed="false">
      <c r="A232" s="0" t="n">
        <v>2025</v>
      </c>
      <c r="B232" s="0" t="s">
        <v>942</v>
      </c>
      <c r="C232" s="0" t="s">
        <v>942</v>
      </c>
      <c r="E232" s="0" t="n">
        <v>2025</v>
      </c>
      <c r="F232" s="0" t="s">
        <v>942</v>
      </c>
      <c r="G232" s="0" t="s">
        <v>942</v>
      </c>
      <c r="I232" s="0" t="n">
        <v>2025</v>
      </c>
      <c r="J232" s="0" t="s">
        <v>942</v>
      </c>
      <c r="K232" s="0" t="s">
        <v>942</v>
      </c>
      <c r="M232" s="0" t="n">
        <v>2025</v>
      </c>
      <c r="N232" s="0" t="s">
        <v>942</v>
      </c>
      <c r="O232" s="0" t="s">
        <v>942</v>
      </c>
    </row>
    <row r="233" customFormat="false" ht="15" hidden="false" customHeight="false" outlineLevel="0" collapsed="false">
      <c r="A233" s="0" t="n">
        <v>2025</v>
      </c>
      <c r="B233" s="0" t="s">
        <v>942</v>
      </c>
      <c r="C233" s="0" t="s">
        <v>942</v>
      </c>
      <c r="E233" s="0" t="n">
        <v>2025</v>
      </c>
      <c r="F233" s="0" t="s">
        <v>942</v>
      </c>
      <c r="G233" s="0" t="s">
        <v>942</v>
      </c>
      <c r="I233" s="0" t="n">
        <v>2025</v>
      </c>
      <c r="J233" s="0" t="s">
        <v>942</v>
      </c>
      <c r="K233" s="0" t="s">
        <v>942</v>
      </c>
      <c r="M233" s="0" t="n">
        <v>2025</v>
      </c>
      <c r="N233" s="0" t="s">
        <v>942</v>
      </c>
      <c r="O233" s="0" t="s">
        <v>942</v>
      </c>
    </row>
    <row r="234" customFormat="false" ht="15" hidden="false" customHeight="false" outlineLevel="0" collapsed="false">
      <c r="A234" s="0" t="n">
        <v>2025</v>
      </c>
      <c r="B234" s="0" t="s">
        <v>942</v>
      </c>
      <c r="C234" s="0" t="s">
        <v>942</v>
      </c>
      <c r="E234" s="0" t="n">
        <v>2025</v>
      </c>
      <c r="F234" s="0" t="s">
        <v>942</v>
      </c>
      <c r="G234" s="0" t="s">
        <v>942</v>
      </c>
      <c r="I234" s="0" t="n">
        <v>2025</v>
      </c>
      <c r="J234" s="0" t="s">
        <v>942</v>
      </c>
      <c r="K234" s="0" t="s">
        <v>942</v>
      </c>
      <c r="M234" s="0" t="n">
        <v>2025</v>
      </c>
      <c r="N234" s="0" t="s">
        <v>942</v>
      </c>
      <c r="O234" s="0" t="s">
        <v>942</v>
      </c>
    </row>
    <row r="235" customFormat="false" ht="15" hidden="false" customHeight="false" outlineLevel="0" collapsed="false">
      <c r="A235" s="0" t="n">
        <v>2025</v>
      </c>
      <c r="B235" s="0" t="s">
        <v>942</v>
      </c>
      <c r="C235" s="0" t="s">
        <v>942</v>
      </c>
      <c r="E235" s="0" t="n">
        <v>2025</v>
      </c>
      <c r="F235" s="0" t="s">
        <v>942</v>
      </c>
      <c r="G235" s="0" t="s">
        <v>942</v>
      </c>
      <c r="I235" s="0" t="n">
        <v>2025</v>
      </c>
      <c r="J235" s="0" t="s">
        <v>942</v>
      </c>
      <c r="K235" s="0" t="s">
        <v>942</v>
      </c>
      <c r="M235" s="0" t="n">
        <v>2025</v>
      </c>
      <c r="N235" s="0" t="s">
        <v>942</v>
      </c>
      <c r="O235" s="0" t="s">
        <v>942</v>
      </c>
    </row>
    <row r="236" customFormat="false" ht="15" hidden="false" customHeight="false" outlineLevel="0" collapsed="false">
      <c r="A236" s="0" t="n">
        <v>2025</v>
      </c>
      <c r="B236" s="0" t="s">
        <v>942</v>
      </c>
      <c r="C236" s="0" t="s">
        <v>942</v>
      </c>
      <c r="E236" s="0" t="n">
        <v>2025</v>
      </c>
      <c r="F236" s="0" t="s">
        <v>942</v>
      </c>
      <c r="G236" s="0" t="s">
        <v>942</v>
      </c>
      <c r="I236" s="0" t="n">
        <v>2025</v>
      </c>
      <c r="J236" s="0" t="s">
        <v>942</v>
      </c>
      <c r="K236" s="0" t="s">
        <v>942</v>
      </c>
      <c r="M236" s="0" t="n">
        <v>2025</v>
      </c>
      <c r="N236" s="0" t="s">
        <v>942</v>
      </c>
      <c r="O236" s="0" t="s">
        <v>942</v>
      </c>
    </row>
    <row r="237" customFormat="false" ht="15" hidden="false" customHeight="false" outlineLevel="0" collapsed="false">
      <c r="A237" s="0" t="n">
        <v>2025</v>
      </c>
      <c r="B237" s="0" t="s">
        <v>942</v>
      </c>
      <c r="C237" s="0" t="s">
        <v>942</v>
      </c>
      <c r="E237" s="0" t="n">
        <v>2025</v>
      </c>
      <c r="F237" s="0" t="s">
        <v>942</v>
      </c>
      <c r="G237" s="0" t="s">
        <v>942</v>
      </c>
      <c r="I237" s="0" t="n">
        <v>2025</v>
      </c>
      <c r="J237" s="0" t="s">
        <v>942</v>
      </c>
      <c r="K237" s="0" t="s">
        <v>942</v>
      </c>
      <c r="M237" s="0" t="n">
        <v>2025</v>
      </c>
      <c r="N237" s="0" t="s">
        <v>942</v>
      </c>
      <c r="O237" s="0" t="s">
        <v>942</v>
      </c>
    </row>
    <row r="238" customFormat="false" ht="15" hidden="false" customHeight="false" outlineLevel="0" collapsed="false">
      <c r="A238" s="0" t="n">
        <v>2025</v>
      </c>
      <c r="B238" s="0" t="s">
        <v>942</v>
      </c>
      <c r="C238" s="0" t="s">
        <v>942</v>
      </c>
      <c r="E238" s="0" t="n">
        <v>2025</v>
      </c>
      <c r="F238" s="0" t="s">
        <v>942</v>
      </c>
      <c r="G238" s="0" t="s">
        <v>942</v>
      </c>
      <c r="I238" s="0" t="n">
        <v>2025</v>
      </c>
      <c r="J238" s="0" t="s">
        <v>942</v>
      </c>
      <c r="K238" s="0" t="s">
        <v>942</v>
      </c>
      <c r="M238" s="0" t="n">
        <v>2025</v>
      </c>
      <c r="N238" s="0" t="s">
        <v>942</v>
      </c>
      <c r="O238" s="0" t="s">
        <v>942</v>
      </c>
    </row>
    <row r="239" customFormat="false" ht="15" hidden="false" customHeight="false" outlineLevel="0" collapsed="false">
      <c r="A239" s="0" t="n">
        <v>2025</v>
      </c>
      <c r="B239" s="0" t="s">
        <v>942</v>
      </c>
      <c r="C239" s="0" t="s">
        <v>942</v>
      </c>
      <c r="E239" s="0" t="n">
        <v>2025</v>
      </c>
      <c r="F239" s="0" t="s">
        <v>942</v>
      </c>
      <c r="G239" s="0" t="s">
        <v>942</v>
      </c>
      <c r="I239" s="0" t="n">
        <v>2025</v>
      </c>
      <c r="J239" s="0" t="s">
        <v>942</v>
      </c>
      <c r="K239" s="0" t="s">
        <v>942</v>
      </c>
      <c r="M239" s="0" t="n">
        <v>2025</v>
      </c>
      <c r="N239" s="0" t="s">
        <v>942</v>
      </c>
      <c r="O239" s="0" t="s">
        <v>942</v>
      </c>
    </row>
    <row r="240" customFormat="false" ht="15" hidden="false" customHeight="false" outlineLevel="0" collapsed="false">
      <c r="A240" s="0" t="n">
        <v>2025</v>
      </c>
      <c r="B240" s="0" t="s">
        <v>942</v>
      </c>
      <c r="C240" s="0" t="s">
        <v>942</v>
      </c>
      <c r="E240" s="0" t="n">
        <v>2025</v>
      </c>
      <c r="F240" s="0" t="s">
        <v>942</v>
      </c>
      <c r="G240" s="0" t="s">
        <v>942</v>
      </c>
      <c r="I240" s="0" t="n">
        <v>2025</v>
      </c>
      <c r="J240" s="0" t="s">
        <v>942</v>
      </c>
      <c r="K240" s="0" t="s">
        <v>942</v>
      </c>
      <c r="M240" s="0" t="n">
        <v>2025</v>
      </c>
      <c r="N240" s="0" t="s">
        <v>942</v>
      </c>
      <c r="O240" s="0" t="s">
        <v>942</v>
      </c>
    </row>
    <row r="241" customFormat="false" ht="15" hidden="false" customHeight="false" outlineLevel="0" collapsed="false">
      <c r="A241" s="0" t="n">
        <v>2025</v>
      </c>
      <c r="B241" s="0" t="s">
        <v>942</v>
      </c>
      <c r="C241" s="0" t="s">
        <v>942</v>
      </c>
      <c r="E241" s="0" t="n">
        <v>2025</v>
      </c>
      <c r="F241" s="0" t="s">
        <v>942</v>
      </c>
      <c r="G241" s="0" t="s">
        <v>942</v>
      </c>
      <c r="I241" s="0" t="n">
        <v>2025</v>
      </c>
      <c r="J241" s="0" t="s">
        <v>942</v>
      </c>
      <c r="K241" s="0" t="s">
        <v>942</v>
      </c>
      <c r="M241" s="0" t="n">
        <v>2025</v>
      </c>
      <c r="N241" s="0" t="s">
        <v>942</v>
      </c>
      <c r="O241" s="0" t="s">
        <v>942</v>
      </c>
    </row>
    <row r="242" customFormat="false" ht="15" hidden="false" customHeight="false" outlineLevel="0" collapsed="false">
      <c r="A242" s="0" t="n">
        <v>2025</v>
      </c>
      <c r="B242" s="0" t="s">
        <v>942</v>
      </c>
      <c r="C242" s="0" t="s">
        <v>942</v>
      </c>
      <c r="E242" s="0" t="n">
        <v>2025</v>
      </c>
      <c r="F242" s="0" t="s">
        <v>942</v>
      </c>
      <c r="G242" s="0" t="s">
        <v>942</v>
      </c>
      <c r="I242" s="0" t="n">
        <v>2025</v>
      </c>
      <c r="J242" s="0" t="s">
        <v>942</v>
      </c>
      <c r="K242" s="0" t="s">
        <v>942</v>
      </c>
      <c r="M242" s="0" t="n">
        <v>2025</v>
      </c>
      <c r="N242" s="0" t="s">
        <v>942</v>
      </c>
      <c r="O242" s="0" t="s">
        <v>942</v>
      </c>
    </row>
    <row r="243" customFormat="false" ht="15" hidden="false" customHeight="false" outlineLevel="0" collapsed="false">
      <c r="A243" s="0" t="n">
        <v>2025</v>
      </c>
      <c r="B243" s="0" t="s">
        <v>942</v>
      </c>
      <c r="C243" s="0" t="s">
        <v>942</v>
      </c>
      <c r="E243" s="0" t="n">
        <v>2025</v>
      </c>
      <c r="F243" s="0" t="s">
        <v>942</v>
      </c>
      <c r="G243" s="0" t="s">
        <v>942</v>
      </c>
      <c r="I243" s="0" t="n">
        <v>2025</v>
      </c>
      <c r="J243" s="0" t="s">
        <v>942</v>
      </c>
      <c r="K243" s="0" t="s">
        <v>942</v>
      </c>
      <c r="M243" s="0" t="n">
        <v>2025</v>
      </c>
      <c r="N243" s="0" t="s">
        <v>942</v>
      </c>
      <c r="O243" s="0" t="s">
        <v>942</v>
      </c>
    </row>
    <row r="244" customFormat="false" ht="15" hidden="false" customHeight="false" outlineLevel="0" collapsed="false">
      <c r="A244" s="0" t="n">
        <v>2025</v>
      </c>
      <c r="B244" s="0" t="s">
        <v>942</v>
      </c>
      <c r="C244" s="0" t="s">
        <v>942</v>
      </c>
      <c r="E244" s="0" t="n">
        <v>2025</v>
      </c>
      <c r="F244" s="0" t="s">
        <v>942</v>
      </c>
      <c r="G244" s="0" t="s">
        <v>942</v>
      </c>
      <c r="I244" s="0" t="n">
        <v>2025</v>
      </c>
      <c r="J244" s="0" t="s">
        <v>942</v>
      </c>
      <c r="K244" s="0" t="s">
        <v>942</v>
      </c>
      <c r="M244" s="0" t="n">
        <v>2025</v>
      </c>
      <c r="N244" s="0" t="s">
        <v>942</v>
      </c>
      <c r="O244" s="0" t="s">
        <v>942</v>
      </c>
    </row>
    <row r="245" customFormat="false" ht="15" hidden="false" customHeight="false" outlineLevel="0" collapsed="false">
      <c r="A245" s="0" t="n">
        <v>2025</v>
      </c>
      <c r="B245" s="0" t="s">
        <v>942</v>
      </c>
      <c r="C245" s="0" t="s">
        <v>942</v>
      </c>
      <c r="E245" s="0" t="n">
        <v>2025</v>
      </c>
      <c r="F245" s="0" t="s">
        <v>942</v>
      </c>
      <c r="G245" s="0" t="s">
        <v>942</v>
      </c>
      <c r="I245" s="0" t="n">
        <v>2025</v>
      </c>
      <c r="J245" s="0" t="s">
        <v>942</v>
      </c>
      <c r="K245" s="0" t="s">
        <v>942</v>
      </c>
      <c r="M245" s="0" t="n">
        <v>2025</v>
      </c>
      <c r="N245" s="0" t="s">
        <v>942</v>
      </c>
      <c r="O245" s="0" t="s">
        <v>942</v>
      </c>
    </row>
    <row r="246" customFormat="false" ht="15" hidden="false" customHeight="false" outlineLevel="0" collapsed="false">
      <c r="A246" s="0" t="n">
        <v>2025</v>
      </c>
      <c r="B246" s="0" t="s">
        <v>942</v>
      </c>
      <c r="C246" s="0" t="s">
        <v>942</v>
      </c>
      <c r="E246" s="0" t="n">
        <v>2025</v>
      </c>
      <c r="F246" s="0" t="s">
        <v>942</v>
      </c>
      <c r="G246" s="0" t="s">
        <v>942</v>
      </c>
      <c r="I246" s="0" t="n">
        <v>2025</v>
      </c>
      <c r="J246" s="0" t="s">
        <v>942</v>
      </c>
      <c r="K246" s="0" t="s">
        <v>942</v>
      </c>
      <c r="M246" s="0" t="n">
        <v>2025</v>
      </c>
      <c r="N246" s="0" t="s">
        <v>942</v>
      </c>
      <c r="O246" s="0" t="s">
        <v>942</v>
      </c>
    </row>
    <row r="247" customFormat="false" ht="15" hidden="false" customHeight="false" outlineLevel="0" collapsed="false">
      <c r="A247" s="0" t="n">
        <v>2025</v>
      </c>
      <c r="B247" s="0" t="s">
        <v>942</v>
      </c>
      <c r="C247" s="0" t="s">
        <v>942</v>
      </c>
      <c r="E247" s="0" t="n">
        <v>2025</v>
      </c>
      <c r="F247" s="0" t="s">
        <v>942</v>
      </c>
      <c r="G247" s="0" t="s">
        <v>942</v>
      </c>
      <c r="I247" s="0" t="n">
        <v>2025</v>
      </c>
      <c r="J247" s="0" t="s">
        <v>942</v>
      </c>
      <c r="K247" s="0" t="s">
        <v>942</v>
      </c>
      <c r="M247" s="0" t="n">
        <v>2025</v>
      </c>
      <c r="N247" s="0" t="s">
        <v>942</v>
      </c>
      <c r="O247" s="0" t="s">
        <v>942</v>
      </c>
    </row>
    <row r="248" customFormat="false" ht="15" hidden="false" customHeight="false" outlineLevel="0" collapsed="false">
      <c r="A248" s="0" t="n">
        <v>2025</v>
      </c>
      <c r="B248" s="0" t="s">
        <v>942</v>
      </c>
      <c r="C248" s="0" t="s">
        <v>942</v>
      </c>
      <c r="E248" s="0" t="n">
        <v>2025</v>
      </c>
      <c r="F248" s="0" t="s">
        <v>942</v>
      </c>
      <c r="G248" s="0" t="s">
        <v>942</v>
      </c>
      <c r="I248" s="0" t="n">
        <v>2025</v>
      </c>
      <c r="J248" s="0" t="s">
        <v>942</v>
      </c>
      <c r="K248" s="0" t="s">
        <v>942</v>
      </c>
      <c r="M248" s="0" t="n">
        <v>2025</v>
      </c>
      <c r="N248" s="0" t="s">
        <v>942</v>
      </c>
      <c r="O248" s="0" t="s">
        <v>942</v>
      </c>
    </row>
    <row r="249" customFormat="false" ht="15" hidden="false" customHeight="false" outlineLevel="0" collapsed="false">
      <c r="A249" s="0" t="n">
        <v>2025</v>
      </c>
      <c r="B249" s="0" t="s">
        <v>942</v>
      </c>
      <c r="C249" s="0" t="s">
        <v>942</v>
      </c>
      <c r="E249" s="0" t="n">
        <v>2025</v>
      </c>
      <c r="F249" s="0" t="s">
        <v>942</v>
      </c>
      <c r="G249" s="0" t="s">
        <v>942</v>
      </c>
      <c r="I249" s="0" t="n">
        <v>2025</v>
      </c>
      <c r="J249" s="0" t="s">
        <v>942</v>
      </c>
      <c r="K249" s="0" t="s">
        <v>942</v>
      </c>
      <c r="M249" s="0" t="n">
        <v>2025</v>
      </c>
      <c r="N249" s="0" t="s">
        <v>942</v>
      </c>
      <c r="O249" s="0" t="s">
        <v>942</v>
      </c>
    </row>
    <row r="250" customFormat="false" ht="15" hidden="false" customHeight="false" outlineLevel="0" collapsed="false">
      <c r="A250" s="0" t="n">
        <v>2025</v>
      </c>
      <c r="B250" s="0" t="s">
        <v>942</v>
      </c>
      <c r="C250" s="0" t="s">
        <v>942</v>
      </c>
      <c r="E250" s="0" t="n">
        <v>2025</v>
      </c>
      <c r="F250" s="0" t="s">
        <v>942</v>
      </c>
      <c r="G250" s="0" t="s">
        <v>942</v>
      </c>
      <c r="I250" s="0" t="n">
        <v>2025</v>
      </c>
      <c r="J250" s="0" t="s">
        <v>942</v>
      </c>
      <c r="K250" s="0" t="s">
        <v>942</v>
      </c>
      <c r="M250" s="0" t="n">
        <v>2025</v>
      </c>
      <c r="N250" s="0" t="s">
        <v>942</v>
      </c>
      <c r="O250" s="0" t="s">
        <v>942</v>
      </c>
    </row>
    <row r="251" customFormat="false" ht="15" hidden="false" customHeight="false" outlineLevel="0" collapsed="false">
      <c r="A251" s="0" t="n">
        <v>2025</v>
      </c>
      <c r="B251" s="0" t="s">
        <v>942</v>
      </c>
      <c r="C251" s="0" t="s">
        <v>942</v>
      </c>
      <c r="E251" s="0" t="n">
        <v>2025</v>
      </c>
      <c r="F251" s="0" t="s">
        <v>942</v>
      </c>
      <c r="G251" s="0" t="s">
        <v>942</v>
      </c>
      <c r="I251" s="0" t="n">
        <v>2025</v>
      </c>
      <c r="J251" s="0" t="s">
        <v>942</v>
      </c>
      <c r="K251" s="0" t="s">
        <v>942</v>
      </c>
      <c r="M251" s="0" t="n">
        <v>2025</v>
      </c>
      <c r="N251" s="0" t="s">
        <v>942</v>
      </c>
      <c r="O251" s="0" t="s">
        <v>942</v>
      </c>
    </row>
    <row r="252" customFormat="false" ht="15" hidden="false" customHeight="false" outlineLevel="0" collapsed="false">
      <c r="A252" s="0" t="n">
        <v>2025</v>
      </c>
      <c r="B252" s="0" t="s">
        <v>942</v>
      </c>
      <c r="C252" s="0" t="s">
        <v>942</v>
      </c>
      <c r="E252" s="0" t="n">
        <v>2025</v>
      </c>
      <c r="F252" s="0" t="s">
        <v>942</v>
      </c>
      <c r="G252" s="0" t="s">
        <v>942</v>
      </c>
      <c r="I252" s="0" t="n">
        <v>2025</v>
      </c>
      <c r="J252" s="0" t="s">
        <v>942</v>
      </c>
      <c r="K252" s="0" t="s">
        <v>942</v>
      </c>
      <c r="M252" s="0" t="n">
        <v>2025</v>
      </c>
      <c r="N252" s="0" t="s">
        <v>942</v>
      </c>
      <c r="O252" s="0" t="s">
        <v>942</v>
      </c>
    </row>
    <row r="253" customFormat="false" ht="15" hidden="false" customHeight="false" outlineLevel="0" collapsed="false">
      <c r="A253" s="0" t="n">
        <v>2025</v>
      </c>
      <c r="B253" s="0" t="s">
        <v>942</v>
      </c>
      <c r="C253" s="0" t="s">
        <v>942</v>
      </c>
      <c r="E253" s="0" t="n">
        <v>2025</v>
      </c>
      <c r="F253" s="0" t="s">
        <v>942</v>
      </c>
      <c r="G253" s="0" t="s">
        <v>942</v>
      </c>
      <c r="I253" s="0" t="n">
        <v>2025</v>
      </c>
      <c r="J253" s="0" t="s">
        <v>942</v>
      </c>
      <c r="K253" s="0" t="s">
        <v>942</v>
      </c>
      <c r="M253" s="0" t="n">
        <v>2025</v>
      </c>
      <c r="N253" s="0" t="s">
        <v>942</v>
      </c>
      <c r="O253" s="0" t="s">
        <v>942</v>
      </c>
    </row>
    <row r="254" customFormat="false" ht="15" hidden="false" customHeight="false" outlineLevel="0" collapsed="false">
      <c r="A254" s="0" t="n">
        <v>2025</v>
      </c>
      <c r="B254" s="0" t="s">
        <v>942</v>
      </c>
      <c r="C254" s="0" t="s">
        <v>942</v>
      </c>
      <c r="E254" s="0" t="n">
        <v>2025</v>
      </c>
      <c r="F254" s="0" t="s">
        <v>942</v>
      </c>
      <c r="G254" s="0" t="s">
        <v>942</v>
      </c>
      <c r="I254" s="0" t="n">
        <v>2025</v>
      </c>
      <c r="J254" s="0" t="s">
        <v>942</v>
      </c>
      <c r="K254" s="0" t="s">
        <v>942</v>
      </c>
      <c r="M254" s="0" t="n">
        <v>2025</v>
      </c>
      <c r="N254" s="0" t="s">
        <v>942</v>
      </c>
      <c r="O254" s="0" t="s">
        <v>942</v>
      </c>
    </row>
    <row r="255" customFormat="false" ht="15" hidden="false" customHeight="false" outlineLevel="0" collapsed="false">
      <c r="A255" s="0" t="n">
        <v>2025</v>
      </c>
      <c r="B255" s="0" t="s">
        <v>942</v>
      </c>
      <c r="C255" s="0" t="s">
        <v>942</v>
      </c>
      <c r="E255" s="0" t="n">
        <v>2025</v>
      </c>
      <c r="F255" s="0" t="s">
        <v>942</v>
      </c>
      <c r="G255" s="0" t="s">
        <v>942</v>
      </c>
      <c r="I255" s="0" t="n">
        <v>2025</v>
      </c>
      <c r="J255" s="0" t="s">
        <v>942</v>
      </c>
      <c r="K255" s="0" t="s">
        <v>942</v>
      </c>
      <c r="M255" s="0" t="n">
        <v>2025</v>
      </c>
      <c r="N255" s="0" t="s">
        <v>942</v>
      </c>
      <c r="O255" s="0" t="s">
        <v>942</v>
      </c>
    </row>
    <row r="256" customFormat="false" ht="15" hidden="false" customHeight="false" outlineLevel="0" collapsed="false">
      <c r="A256" s="0" t="n">
        <v>2025</v>
      </c>
      <c r="B256" s="0" t="s">
        <v>942</v>
      </c>
      <c r="C256" s="0" t="s">
        <v>942</v>
      </c>
      <c r="E256" s="0" t="n">
        <v>2025</v>
      </c>
      <c r="F256" s="0" t="s">
        <v>942</v>
      </c>
      <c r="G256" s="0" t="s">
        <v>942</v>
      </c>
      <c r="I256" s="0" t="n">
        <v>2025</v>
      </c>
      <c r="J256" s="0" t="s">
        <v>942</v>
      </c>
      <c r="K256" s="0" t="s">
        <v>942</v>
      </c>
      <c r="M256" s="0" t="n">
        <v>2025</v>
      </c>
      <c r="N256" s="0" t="s">
        <v>942</v>
      </c>
      <c r="O256" s="0" t="s">
        <v>942</v>
      </c>
    </row>
    <row r="257" customFormat="false" ht="15" hidden="false" customHeight="false" outlineLevel="0" collapsed="false">
      <c r="A257" s="0" t="n">
        <v>2025</v>
      </c>
      <c r="B257" s="0" t="s">
        <v>942</v>
      </c>
      <c r="C257" s="0" t="s">
        <v>942</v>
      </c>
      <c r="E257" s="0" t="n">
        <v>2025</v>
      </c>
      <c r="F257" s="0" t="s">
        <v>942</v>
      </c>
      <c r="G257" s="0" t="s">
        <v>942</v>
      </c>
      <c r="I257" s="0" t="n">
        <v>2025</v>
      </c>
      <c r="J257" s="0" t="s">
        <v>942</v>
      </c>
      <c r="K257" s="0" t="s">
        <v>942</v>
      </c>
      <c r="M257" s="0" t="n">
        <v>2025</v>
      </c>
      <c r="N257" s="0" t="s">
        <v>942</v>
      </c>
      <c r="O257" s="0" t="s">
        <v>942</v>
      </c>
    </row>
    <row r="258" customFormat="false" ht="15" hidden="false" customHeight="false" outlineLevel="0" collapsed="false">
      <c r="A258" s="0" t="n">
        <v>2025</v>
      </c>
      <c r="B258" s="0" t="s">
        <v>942</v>
      </c>
      <c r="C258" s="0" t="s">
        <v>942</v>
      </c>
      <c r="E258" s="0" t="n">
        <v>2025</v>
      </c>
      <c r="F258" s="0" t="s">
        <v>942</v>
      </c>
      <c r="G258" s="0" t="s">
        <v>942</v>
      </c>
      <c r="I258" s="0" t="n">
        <v>2025</v>
      </c>
      <c r="J258" s="0" t="s">
        <v>942</v>
      </c>
      <c r="K258" s="0" t="s">
        <v>942</v>
      </c>
      <c r="M258" s="0" t="n">
        <v>2025</v>
      </c>
      <c r="N258" s="0" t="s">
        <v>942</v>
      </c>
      <c r="O258" s="0" t="s">
        <v>942</v>
      </c>
    </row>
    <row r="259" customFormat="false" ht="15" hidden="false" customHeight="false" outlineLevel="0" collapsed="false">
      <c r="A259" s="0" t="n">
        <v>2025</v>
      </c>
      <c r="B259" s="0" t="s">
        <v>942</v>
      </c>
      <c r="C259" s="0" t="s">
        <v>942</v>
      </c>
      <c r="E259" s="0" t="n">
        <v>2025</v>
      </c>
      <c r="F259" s="0" t="s">
        <v>942</v>
      </c>
      <c r="G259" s="0" t="s">
        <v>942</v>
      </c>
      <c r="I259" s="0" t="n">
        <v>2025</v>
      </c>
      <c r="J259" s="0" t="s">
        <v>942</v>
      </c>
      <c r="K259" s="0" t="s">
        <v>942</v>
      </c>
      <c r="M259" s="0" t="n">
        <v>2025</v>
      </c>
      <c r="N259" s="0" t="s">
        <v>942</v>
      </c>
      <c r="O259" s="0" t="s">
        <v>942</v>
      </c>
    </row>
    <row r="260" customFormat="false" ht="15" hidden="false" customHeight="false" outlineLevel="0" collapsed="false">
      <c r="A260" s="0" t="n">
        <v>2025</v>
      </c>
      <c r="B260" s="0" t="s">
        <v>942</v>
      </c>
      <c r="C260" s="0" t="s">
        <v>942</v>
      </c>
      <c r="E260" s="0" t="n">
        <v>2025</v>
      </c>
      <c r="F260" s="0" t="s">
        <v>942</v>
      </c>
      <c r="G260" s="0" t="s">
        <v>942</v>
      </c>
      <c r="I260" s="0" t="n">
        <v>2025</v>
      </c>
      <c r="J260" s="0" t="s">
        <v>942</v>
      </c>
      <c r="K260" s="0" t="s">
        <v>942</v>
      </c>
      <c r="M260" s="0" t="n">
        <v>2025</v>
      </c>
      <c r="N260" s="0" t="s">
        <v>942</v>
      </c>
      <c r="O260" s="0" t="s">
        <v>942</v>
      </c>
    </row>
    <row r="261" customFormat="false" ht="15" hidden="false" customHeight="false" outlineLevel="0" collapsed="false">
      <c r="A261" s="0" t="n">
        <v>2025</v>
      </c>
      <c r="B261" s="0" t="s">
        <v>942</v>
      </c>
      <c r="C261" s="0" t="s">
        <v>942</v>
      </c>
      <c r="E261" s="0" t="n">
        <v>2025</v>
      </c>
      <c r="F261" s="0" t="s">
        <v>942</v>
      </c>
      <c r="G261" s="0" t="s">
        <v>942</v>
      </c>
      <c r="I261" s="0" t="n">
        <v>2025</v>
      </c>
      <c r="J261" s="0" t="s">
        <v>942</v>
      </c>
      <c r="K261" s="0" t="s">
        <v>942</v>
      </c>
      <c r="M261" s="0" t="n">
        <v>2025</v>
      </c>
      <c r="N261" s="0" t="s">
        <v>942</v>
      </c>
      <c r="O261" s="0" t="s">
        <v>942</v>
      </c>
    </row>
    <row r="262" customFormat="false" ht="15" hidden="false" customHeight="false" outlineLevel="0" collapsed="false">
      <c r="A262" s="0" t="n">
        <v>2025</v>
      </c>
      <c r="B262" s="0" t="s">
        <v>942</v>
      </c>
      <c r="C262" s="0" t="s">
        <v>942</v>
      </c>
      <c r="E262" s="0" t="n">
        <v>2025</v>
      </c>
      <c r="F262" s="0" t="s">
        <v>942</v>
      </c>
      <c r="G262" s="0" t="s">
        <v>942</v>
      </c>
      <c r="I262" s="0" t="n">
        <v>2025</v>
      </c>
      <c r="J262" s="0" t="s">
        <v>942</v>
      </c>
      <c r="K262" s="0" t="s">
        <v>942</v>
      </c>
      <c r="M262" s="0" t="n">
        <v>2025</v>
      </c>
      <c r="N262" s="0" t="s">
        <v>942</v>
      </c>
      <c r="O262" s="0" t="s">
        <v>942</v>
      </c>
    </row>
    <row r="263" customFormat="false" ht="15" hidden="false" customHeight="false" outlineLevel="0" collapsed="false">
      <c r="A263" s="0" t="n">
        <v>2025</v>
      </c>
      <c r="B263" s="0" t="s">
        <v>942</v>
      </c>
      <c r="C263" s="0" t="s">
        <v>942</v>
      </c>
      <c r="E263" s="0" t="n">
        <v>2025</v>
      </c>
      <c r="F263" s="0" t="s">
        <v>942</v>
      </c>
      <c r="G263" s="0" t="s">
        <v>942</v>
      </c>
      <c r="I263" s="0" t="n">
        <v>2025</v>
      </c>
      <c r="J263" s="0" t="s">
        <v>942</v>
      </c>
      <c r="K263" s="0" t="s">
        <v>942</v>
      </c>
      <c r="M263" s="0" t="n">
        <v>2025</v>
      </c>
      <c r="N263" s="0" t="s">
        <v>942</v>
      </c>
      <c r="O263" s="0" t="s">
        <v>942</v>
      </c>
    </row>
    <row r="264" customFormat="false" ht="15" hidden="false" customHeight="false" outlineLevel="0" collapsed="false">
      <c r="A264" s="0" t="n">
        <v>2025</v>
      </c>
      <c r="B264" s="0" t="s">
        <v>942</v>
      </c>
      <c r="C264" s="0" t="s">
        <v>942</v>
      </c>
      <c r="E264" s="0" t="n">
        <v>2025</v>
      </c>
      <c r="F264" s="0" t="s">
        <v>942</v>
      </c>
      <c r="G264" s="0" t="s">
        <v>942</v>
      </c>
      <c r="I264" s="0" t="n">
        <v>2025</v>
      </c>
      <c r="J264" s="0" t="s">
        <v>942</v>
      </c>
      <c r="K264" s="0" t="s">
        <v>942</v>
      </c>
      <c r="M264" s="0" t="n">
        <v>2025</v>
      </c>
      <c r="N264" s="0" t="s">
        <v>942</v>
      </c>
      <c r="O264" s="0" t="s">
        <v>942</v>
      </c>
    </row>
    <row r="265" customFormat="false" ht="15" hidden="false" customHeight="false" outlineLevel="0" collapsed="false">
      <c r="A265" s="0" t="n">
        <v>2025</v>
      </c>
      <c r="B265" s="0" t="s">
        <v>942</v>
      </c>
      <c r="C265" s="0" t="s">
        <v>942</v>
      </c>
      <c r="E265" s="0" t="n">
        <v>2025</v>
      </c>
      <c r="F265" s="0" t="s">
        <v>942</v>
      </c>
      <c r="G265" s="0" t="s">
        <v>942</v>
      </c>
      <c r="I265" s="0" t="n">
        <v>2025</v>
      </c>
      <c r="J265" s="0" t="s">
        <v>942</v>
      </c>
      <c r="K265" s="0" t="s">
        <v>942</v>
      </c>
      <c r="M265" s="0" t="n">
        <v>2025</v>
      </c>
      <c r="N265" s="0" t="s">
        <v>942</v>
      </c>
      <c r="O265" s="0" t="s">
        <v>942</v>
      </c>
    </row>
    <row r="266" customFormat="false" ht="15" hidden="false" customHeight="false" outlineLevel="0" collapsed="false">
      <c r="A266" s="0" t="n">
        <v>2025</v>
      </c>
      <c r="B266" s="0" t="s">
        <v>942</v>
      </c>
      <c r="C266" s="0" t="s">
        <v>942</v>
      </c>
      <c r="E266" s="0" t="n">
        <v>2025</v>
      </c>
      <c r="F266" s="0" t="s">
        <v>942</v>
      </c>
      <c r="G266" s="0" t="s">
        <v>942</v>
      </c>
      <c r="I266" s="0" t="n">
        <v>2025</v>
      </c>
      <c r="J266" s="0" t="s">
        <v>942</v>
      </c>
      <c r="K266" s="0" t="s">
        <v>942</v>
      </c>
      <c r="M266" s="0" t="n">
        <v>2025</v>
      </c>
      <c r="N266" s="0" t="s">
        <v>942</v>
      </c>
      <c r="O266" s="0" t="s">
        <v>942</v>
      </c>
    </row>
    <row r="267" customFormat="false" ht="15" hidden="false" customHeight="false" outlineLevel="0" collapsed="false">
      <c r="A267" s="0" t="n">
        <v>2025</v>
      </c>
      <c r="B267" s="0" t="s">
        <v>942</v>
      </c>
      <c r="C267" s="0" t="s">
        <v>942</v>
      </c>
      <c r="E267" s="0" t="n">
        <v>2025</v>
      </c>
      <c r="F267" s="0" t="s">
        <v>942</v>
      </c>
      <c r="G267" s="0" t="s">
        <v>942</v>
      </c>
      <c r="I267" s="0" t="n">
        <v>2025</v>
      </c>
      <c r="J267" s="0" t="s">
        <v>942</v>
      </c>
      <c r="K267" s="0" t="s">
        <v>942</v>
      </c>
      <c r="M267" s="0" t="n">
        <v>2025</v>
      </c>
      <c r="N267" s="0" t="s">
        <v>942</v>
      </c>
      <c r="O267" s="0" t="s">
        <v>942</v>
      </c>
    </row>
    <row r="268" customFormat="false" ht="15" hidden="false" customHeight="false" outlineLevel="0" collapsed="false">
      <c r="A268" s="0" t="n">
        <v>2025</v>
      </c>
      <c r="B268" s="0" t="s">
        <v>942</v>
      </c>
      <c r="C268" s="0" t="s">
        <v>942</v>
      </c>
      <c r="E268" s="0" t="n">
        <v>2025</v>
      </c>
      <c r="F268" s="0" t="s">
        <v>942</v>
      </c>
      <c r="G268" s="0" t="s">
        <v>942</v>
      </c>
      <c r="I268" s="0" t="n">
        <v>2025</v>
      </c>
      <c r="J268" s="0" t="s">
        <v>942</v>
      </c>
      <c r="K268" s="0" t="s">
        <v>942</v>
      </c>
      <c r="M268" s="0" t="n">
        <v>2025</v>
      </c>
      <c r="N268" s="0" t="s">
        <v>942</v>
      </c>
      <c r="O268" s="0" t="s">
        <v>942</v>
      </c>
    </row>
    <row r="269" customFormat="false" ht="15" hidden="false" customHeight="false" outlineLevel="0" collapsed="false">
      <c r="A269" s="0" t="n">
        <v>2025</v>
      </c>
      <c r="B269" s="0" t="s">
        <v>942</v>
      </c>
      <c r="C269" s="0" t="s">
        <v>942</v>
      </c>
      <c r="E269" s="0" t="n">
        <v>2025</v>
      </c>
      <c r="F269" s="0" t="s">
        <v>942</v>
      </c>
      <c r="G269" s="0" t="s">
        <v>942</v>
      </c>
      <c r="I269" s="0" t="n">
        <v>2025</v>
      </c>
      <c r="J269" s="0" t="s">
        <v>942</v>
      </c>
      <c r="K269" s="0" t="s">
        <v>942</v>
      </c>
      <c r="M269" s="0" t="n">
        <v>2025</v>
      </c>
      <c r="N269" s="0" t="s">
        <v>942</v>
      </c>
      <c r="O269" s="0" t="s">
        <v>942</v>
      </c>
    </row>
    <row r="270" customFormat="false" ht="15" hidden="false" customHeight="false" outlineLevel="0" collapsed="false">
      <c r="A270" s="0" t="n">
        <v>2025</v>
      </c>
      <c r="B270" s="0" t="s">
        <v>942</v>
      </c>
      <c r="C270" s="0" t="s">
        <v>942</v>
      </c>
      <c r="E270" s="0" t="n">
        <v>2025</v>
      </c>
      <c r="F270" s="0" t="s">
        <v>942</v>
      </c>
      <c r="G270" s="0" t="s">
        <v>942</v>
      </c>
      <c r="I270" s="0" t="n">
        <v>2025</v>
      </c>
      <c r="J270" s="0" t="s">
        <v>942</v>
      </c>
      <c r="K270" s="0" t="s">
        <v>942</v>
      </c>
      <c r="M270" s="0" t="n">
        <v>2025</v>
      </c>
      <c r="N270" s="0" t="s">
        <v>942</v>
      </c>
      <c r="O270" s="0" t="s">
        <v>942</v>
      </c>
    </row>
    <row r="271" customFormat="false" ht="15" hidden="false" customHeight="false" outlineLevel="0" collapsed="false">
      <c r="A271" s="0" t="n">
        <v>2025</v>
      </c>
      <c r="B271" s="0" t="s">
        <v>942</v>
      </c>
      <c r="C271" s="0" t="s">
        <v>942</v>
      </c>
      <c r="E271" s="0" t="n">
        <v>2025</v>
      </c>
      <c r="F271" s="0" t="s">
        <v>942</v>
      </c>
      <c r="G271" s="0" t="s">
        <v>942</v>
      </c>
      <c r="I271" s="0" t="n">
        <v>2025</v>
      </c>
      <c r="J271" s="0" t="s">
        <v>942</v>
      </c>
      <c r="K271" s="0" t="s">
        <v>942</v>
      </c>
      <c r="M271" s="0" t="n">
        <v>2025</v>
      </c>
      <c r="N271" s="0" t="s">
        <v>942</v>
      </c>
      <c r="O271" s="0" t="s">
        <v>942</v>
      </c>
    </row>
    <row r="272" customFormat="false" ht="15" hidden="false" customHeight="false" outlineLevel="0" collapsed="false">
      <c r="A272" s="0" t="n">
        <v>2025</v>
      </c>
      <c r="B272" s="0" t="s">
        <v>942</v>
      </c>
      <c r="C272" s="0" t="s">
        <v>942</v>
      </c>
      <c r="E272" s="0" t="n">
        <v>2025</v>
      </c>
      <c r="F272" s="0" t="s">
        <v>942</v>
      </c>
      <c r="G272" s="0" t="s">
        <v>942</v>
      </c>
      <c r="I272" s="0" t="n">
        <v>2025</v>
      </c>
      <c r="J272" s="0" t="s">
        <v>942</v>
      </c>
      <c r="K272" s="0" t="s">
        <v>942</v>
      </c>
      <c r="M272" s="0" t="n">
        <v>2025</v>
      </c>
      <c r="N272" s="0" t="s">
        <v>942</v>
      </c>
      <c r="O272" s="0" t="s">
        <v>942</v>
      </c>
    </row>
    <row r="273" customFormat="false" ht="15" hidden="false" customHeight="false" outlineLevel="0" collapsed="false">
      <c r="A273" s="0" t="n">
        <v>2025</v>
      </c>
      <c r="B273" s="0" t="s">
        <v>942</v>
      </c>
      <c r="C273" s="0" t="s">
        <v>942</v>
      </c>
      <c r="E273" s="0" t="n">
        <v>2025</v>
      </c>
      <c r="F273" s="0" t="s">
        <v>942</v>
      </c>
      <c r="G273" s="0" t="s">
        <v>942</v>
      </c>
      <c r="I273" s="0" t="n">
        <v>2025</v>
      </c>
      <c r="J273" s="0" t="s">
        <v>942</v>
      </c>
      <c r="K273" s="0" t="s">
        <v>942</v>
      </c>
      <c r="M273" s="0" t="n">
        <v>2025</v>
      </c>
      <c r="N273" s="0" t="s">
        <v>942</v>
      </c>
      <c r="O273" s="0" t="s">
        <v>942</v>
      </c>
    </row>
    <row r="274" customFormat="false" ht="15" hidden="false" customHeight="false" outlineLevel="0" collapsed="false">
      <c r="A274" s="0" t="n">
        <v>2025</v>
      </c>
      <c r="B274" s="0" t="s">
        <v>942</v>
      </c>
      <c r="C274" s="0" t="s">
        <v>942</v>
      </c>
      <c r="E274" s="0" t="n">
        <v>2025</v>
      </c>
      <c r="F274" s="0" t="s">
        <v>942</v>
      </c>
      <c r="G274" s="0" t="s">
        <v>942</v>
      </c>
      <c r="I274" s="0" t="n">
        <v>2025</v>
      </c>
      <c r="J274" s="0" t="s">
        <v>942</v>
      </c>
      <c r="K274" s="0" t="s">
        <v>942</v>
      </c>
      <c r="M274" s="0" t="n">
        <v>2025</v>
      </c>
      <c r="N274" s="0" t="s">
        <v>942</v>
      </c>
      <c r="O274" s="0" t="s">
        <v>942</v>
      </c>
    </row>
    <row r="275" customFormat="false" ht="15" hidden="false" customHeight="false" outlineLevel="0" collapsed="false">
      <c r="A275" s="0" t="n">
        <v>2025</v>
      </c>
      <c r="B275" s="0" t="s">
        <v>942</v>
      </c>
      <c r="C275" s="0" t="s">
        <v>942</v>
      </c>
      <c r="E275" s="0" t="n">
        <v>2025</v>
      </c>
      <c r="F275" s="0" t="s">
        <v>942</v>
      </c>
      <c r="G275" s="0" t="s">
        <v>942</v>
      </c>
      <c r="I275" s="0" t="n">
        <v>2025</v>
      </c>
      <c r="J275" s="0" t="s">
        <v>942</v>
      </c>
      <c r="K275" s="0" t="s">
        <v>942</v>
      </c>
      <c r="M275" s="0" t="n">
        <v>2025</v>
      </c>
      <c r="N275" s="0" t="s">
        <v>942</v>
      </c>
      <c r="O275" s="0" t="s">
        <v>942</v>
      </c>
    </row>
    <row r="276" customFormat="false" ht="15" hidden="false" customHeight="false" outlineLevel="0" collapsed="false">
      <c r="A276" s="0" t="n">
        <v>2025</v>
      </c>
      <c r="B276" s="0" t="s">
        <v>942</v>
      </c>
      <c r="C276" s="0" t="s">
        <v>942</v>
      </c>
      <c r="E276" s="0" t="n">
        <v>2025</v>
      </c>
      <c r="F276" s="0" t="s">
        <v>942</v>
      </c>
      <c r="G276" s="0" t="s">
        <v>942</v>
      </c>
      <c r="I276" s="0" t="n">
        <v>2025</v>
      </c>
      <c r="J276" s="0" t="s">
        <v>942</v>
      </c>
      <c r="K276" s="0" t="s">
        <v>942</v>
      </c>
      <c r="M276" s="0" t="n">
        <v>2025</v>
      </c>
      <c r="N276" s="0" t="s">
        <v>942</v>
      </c>
      <c r="O276" s="0" t="s">
        <v>942</v>
      </c>
    </row>
    <row r="277" customFormat="false" ht="15" hidden="false" customHeight="false" outlineLevel="0" collapsed="false">
      <c r="A277" s="0" t="n">
        <v>2025</v>
      </c>
      <c r="B277" s="0" t="s">
        <v>942</v>
      </c>
      <c r="C277" s="0" t="s">
        <v>942</v>
      </c>
      <c r="E277" s="0" t="n">
        <v>2025</v>
      </c>
      <c r="F277" s="0" t="s">
        <v>942</v>
      </c>
      <c r="G277" s="0" t="s">
        <v>942</v>
      </c>
      <c r="I277" s="0" t="n">
        <v>2025</v>
      </c>
      <c r="J277" s="0" t="s">
        <v>942</v>
      </c>
      <c r="K277" s="0" t="s">
        <v>942</v>
      </c>
      <c r="M277" s="0" t="n">
        <v>2025</v>
      </c>
      <c r="N277" s="0" t="s">
        <v>942</v>
      </c>
      <c r="O277" s="0" t="s">
        <v>942</v>
      </c>
    </row>
    <row r="278" customFormat="false" ht="15" hidden="false" customHeight="false" outlineLevel="0" collapsed="false">
      <c r="A278" s="0" t="n">
        <v>2025</v>
      </c>
      <c r="B278" s="0" t="s">
        <v>942</v>
      </c>
      <c r="C278" s="0" t="s">
        <v>942</v>
      </c>
      <c r="E278" s="0" t="n">
        <v>2025</v>
      </c>
      <c r="F278" s="0" t="s">
        <v>942</v>
      </c>
      <c r="G278" s="0" t="s">
        <v>942</v>
      </c>
      <c r="I278" s="0" t="n">
        <v>2025</v>
      </c>
      <c r="J278" s="0" t="s">
        <v>942</v>
      </c>
      <c r="K278" s="0" t="s">
        <v>942</v>
      </c>
      <c r="M278" s="0" t="n">
        <v>2025</v>
      </c>
      <c r="N278" s="0" t="s">
        <v>942</v>
      </c>
      <c r="O278" s="0" t="s">
        <v>942</v>
      </c>
    </row>
    <row r="279" customFormat="false" ht="15" hidden="false" customHeight="false" outlineLevel="0" collapsed="false">
      <c r="A279" s="0" t="n">
        <v>2025</v>
      </c>
      <c r="B279" s="0" t="s">
        <v>942</v>
      </c>
      <c r="C279" s="0" t="s">
        <v>942</v>
      </c>
      <c r="E279" s="0" t="n">
        <v>2025</v>
      </c>
      <c r="F279" s="0" t="s">
        <v>942</v>
      </c>
      <c r="G279" s="0" t="s">
        <v>942</v>
      </c>
      <c r="I279" s="0" t="n">
        <v>2025</v>
      </c>
      <c r="J279" s="0" t="s">
        <v>942</v>
      </c>
      <c r="K279" s="0" t="s">
        <v>942</v>
      </c>
      <c r="M279" s="0" t="n">
        <v>2025</v>
      </c>
      <c r="N279" s="0" t="s">
        <v>942</v>
      </c>
      <c r="O279" s="0" t="s">
        <v>942</v>
      </c>
    </row>
    <row r="280" customFormat="false" ht="15" hidden="false" customHeight="false" outlineLevel="0" collapsed="false">
      <c r="A280" s="0" t="n">
        <v>2025</v>
      </c>
      <c r="B280" s="0" t="s">
        <v>942</v>
      </c>
      <c r="C280" s="0" t="s">
        <v>942</v>
      </c>
      <c r="E280" s="0" t="n">
        <v>2025</v>
      </c>
      <c r="F280" s="0" t="s">
        <v>942</v>
      </c>
      <c r="G280" s="0" t="s">
        <v>942</v>
      </c>
      <c r="I280" s="0" t="n">
        <v>2025</v>
      </c>
      <c r="J280" s="0" t="s">
        <v>942</v>
      </c>
      <c r="K280" s="0" t="s">
        <v>942</v>
      </c>
      <c r="M280" s="0" t="n">
        <v>2025</v>
      </c>
      <c r="N280" s="0" t="s">
        <v>942</v>
      </c>
      <c r="O280" s="0" t="s">
        <v>942</v>
      </c>
    </row>
    <row r="281" customFormat="false" ht="15" hidden="false" customHeight="false" outlineLevel="0" collapsed="false">
      <c r="A281" s="0" t="n">
        <v>2025</v>
      </c>
      <c r="B281" s="0" t="s">
        <v>942</v>
      </c>
      <c r="C281" s="0" t="s">
        <v>942</v>
      </c>
      <c r="E281" s="0" t="n">
        <v>2025</v>
      </c>
      <c r="F281" s="0" t="s">
        <v>942</v>
      </c>
      <c r="G281" s="0" t="s">
        <v>942</v>
      </c>
      <c r="I281" s="0" t="n">
        <v>2025</v>
      </c>
      <c r="J281" s="0" t="s">
        <v>942</v>
      </c>
      <c r="K281" s="0" t="s">
        <v>942</v>
      </c>
      <c r="M281" s="0" t="n">
        <v>2025</v>
      </c>
      <c r="N281" s="0" t="s">
        <v>942</v>
      </c>
      <c r="O281" s="0" t="s">
        <v>942</v>
      </c>
    </row>
    <row r="282" customFormat="false" ht="15" hidden="false" customHeight="false" outlineLevel="0" collapsed="false">
      <c r="A282" s="0" t="n">
        <v>2025</v>
      </c>
      <c r="B282" s="0" t="s">
        <v>942</v>
      </c>
      <c r="C282" s="0" t="s">
        <v>942</v>
      </c>
      <c r="E282" s="0" t="n">
        <v>2025</v>
      </c>
      <c r="F282" s="0" t="s">
        <v>942</v>
      </c>
      <c r="G282" s="0" t="s">
        <v>942</v>
      </c>
      <c r="I282" s="0" t="n">
        <v>2025</v>
      </c>
      <c r="J282" s="0" t="s">
        <v>942</v>
      </c>
      <c r="K282" s="0" t="s">
        <v>942</v>
      </c>
      <c r="M282" s="0" t="n">
        <v>2025</v>
      </c>
      <c r="N282" s="0" t="s">
        <v>942</v>
      </c>
      <c r="O282" s="0" t="s">
        <v>942</v>
      </c>
    </row>
    <row r="283" customFormat="false" ht="15" hidden="false" customHeight="false" outlineLevel="0" collapsed="false">
      <c r="A283" s="0" t="n">
        <v>2025</v>
      </c>
      <c r="B283" s="0" t="s">
        <v>942</v>
      </c>
      <c r="C283" s="0" t="s">
        <v>942</v>
      </c>
      <c r="E283" s="0" t="n">
        <v>2025</v>
      </c>
      <c r="F283" s="0" t="s">
        <v>942</v>
      </c>
      <c r="G283" s="0" t="s">
        <v>942</v>
      </c>
      <c r="I283" s="0" t="n">
        <v>2025</v>
      </c>
      <c r="J283" s="0" t="s">
        <v>942</v>
      </c>
      <c r="K283" s="0" t="s">
        <v>942</v>
      </c>
      <c r="M283" s="0" t="n">
        <v>2025</v>
      </c>
      <c r="N283" s="0" t="s">
        <v>942</v>
      </c>
      <c r="O283" s="0" t="s">
        <v>942</v>
      </c>
    </row>
    <row r="284" customFormat="false" ht="15" hidden="false" customHeight="false" outlineLevel="0" collapsed="false">
      <c r="A284" s="0" t="n">
        <v>2025</v>
      </c>
      <c r="B284" s="0" t="s">
        <v>942</v>
      </c>
      <c r="C284" s="0" t="s">
        <v>942</v>
      </c>
      <c r="E284" s="0" t="n">
        <v>2025</v>
      </c>
      <c r="F284" s="0" t="s">
        <v>942</v>
      </c>
      <c r="G284" s="0" t="s">
        <v>942</v>
      </c>
      <c r="I284" s="0" t="n">
        <v>2025</v>
      </c>
      <c r="J284" s="0" t="s">
        <v>942</v>
      </c>
      <c r="K284" s="0" t="s">
        <v>942</v>
      </c>
      <c r="M284" s="0" t="n">
        <v>2025</v>
      </c>
      <c r="N284" s="0" t="s">
        <v>942</v>
      </c>
      <c r="O284" s="0" t="s">
        <v>942</v>
      </c>
    </row>
    <row r="285" customFormat="false" ht="15" hidden="false" customHeight="false" outlineLevel="0" collapsed="false">
      <c r="A285" s="0" t="n">
        <v>2025</v>
      </c>
      <c r="B285" s="0" t="s">
        <v>942</v>
      </c>
      <c r="C285" s="0" t="s">
        <v>942</v>
      </c>
      <c r="E285" s="0" t="n">
        <v>2025</v>
      </c>
      <c r="F285" s="0" t="s">
        <v>942</v>
      </c>
      <c r="G285" s="0" t="s">
        <v>942</v>
      </c>
      <c r="I285" s="0" t="n">
        <v>2025</v>
      </c>
      <c r="J285" s="0" t="s">
        <v>942</v>
      </c>
      <c r="K285" s="0" t="s">
        <v>942</v>
      </c>
      <c r="M285" s="0" t="n">
        <v>2025</v>
      </c>
      <c r="N285" s="0" t="s">
        <v>942</v>
      </c>
      <c r="O285" s="0" t="s">
        <v>942</v>
      </c>
    </row>
    <row r="286" customFormat="false" ht="15" hidden="false" customHeight="false" outlineLevel="0" collapsed="false">
      <c r="A286" s="0" t="n">
        <v>2025</v>
      </c>
      <c r="B286" s="0" t="s">
        <v>942</v>
      </c>
      <c r="C286" s="0" t="s">
        <v>942</v>
      </c>
      <c r="E286" s="0" t="n">
        <v>2025</v>
      </c>
      <c r="F286" s="0" t="s">
        <v>942</v>
      </c>
      <c r="G286" s="0" t="s">
        <v>942</v>
      </c>
      <c r="I286" s="0" t="n">
        <v>2025</v>
      </c>
      <c r="J286" s="0" t="s">
        <v>942</v>
      </c>
      <c r="K286" s="0" t="s">
        <v>942</v>
      </c>
      <c r="M286" s="0" t="n">
        <v>2025</v>
      </c>
      <c r="N286" s="0" t="s">
        <v>942</v>
      </c>
      <c r="O286" s="0" t="s">
        <v>942</v>
      </c>
    </row>
    <row r="287" customFormat="false" ht="15" hidden="false" customHeight="false" outlineLevel="0" collapsed="false">
      <c r="A287" s="0" t="n">
        <v>2025</v>
      </c>
      <c r="B287" s="0" t="s">
        <v>942</v>
      </c>
      <c r="C287" s="0" t="s">
        <v>942</v>
      </c>
      <c r="E287" s="0" t="n">
        <v>2025</v>
      </c>
      <c r="F287" s="0" t="s">
        <v>942</v>
      </c>
      <c r="G287" s="0" t="s">
        <v>942</v>
      </c>
      <c r="I287" s="0" t="n">
        <v>2025</v>
      </c>
      <c r="J287" s="0" t="s">
        <v>942</v>
      </c>
      <c r="K287" s="0" t="s">
        <v>942</v>
      </c>
      <c r="M287" s="0" t="n">
        <v>2025</v>
      </c>
      <c r="N287" s="0" t="s">
        <v>942</v>
      </c>
      <c r="O287" s="0" t="s">
        <v>942</v>
      </c>
    </row>
    <row r="288" customFormat="false" ht="15" hidden="false" customHeight="false" outlineLevel="0" collapsed="false">
      <c r="A288" s="0" t="n">
        <v>2025</v>
      </c>
      <c r="B288" s="0" t="s">
        <v>942</v>
      </c>
      <c r="C288" s="0" t="s">
        <v>942</v>
      </c>
      <c r="E288" s="0" t="n">
        <v>2025</v>
      </c>
      <c r="F288" s="0" t="s">
        <v>942</v>
      </c>
      <c r="G288" s="0" t="s">
        <v>942</v>
      </c>
      <c r="I288" s="0" t="n">
        <v>2025</v>
      </c>
      <c r="J288" s="0" t="s">
        <v>942</v>
      </c>
      <c r="K288" s="0" t="s">
        <v>942</v>
      </c>
      <c r="M288" s="0" t="n">
        <v>2025</v>
      </c>
      <c r="N288" s="0" t="s">
        <v>942</v>
      </c>
      <c r="O288" s="0" t="s">
        <v>942</v>
      </c>
    </row>
    <row r="289" customFormat="false" ht="15" hidden="false" customHeight="false" outlineLevel="0" collapsed="false">
      <c r="A289" s="0" t="n">
        <v>2025</v>
      </c>
      <c r="B289" s="0" t="s">
        <v>942</v>
      </c>
      <c r="C289" s="0" t="s">
        <v>942</v>
      </c>
      <c r="E289" s="0" t="n">
        <v>2025</v>
      </c>
      <c r="F289" s="0" t="s">
        <v>942</v>
      </c>
      <c r="G289" s="0" t="s">
        <v>942</v>
      </c>
      <c r="I289" s="0" t="n">
        <v>2025</v>
      </c>
      <c r="J289" s="0" t="s">
        <v>942</v>
      </c>
      <c r="K289" s="0" t="s">
        <v>942</v>
      </c>
      <c r="M289" s="0" t="n">
        <v>2025</v>
      </c>
      <c r="N289" s="0" t="s">
        <v>942</v>
      </c>
      <c r="O289" s="0" t="s">
        <v>942</v>
      </c>
    </row>
    <row r="290" customFormat="false" ht="15" hidden="false" customHeight="false" outlineLevel="0" collapsed="false">
      <c r="A290" s="0" t="n">
        <v>2025</v>
      </c>
      <c r="B290" s="0" t="s">
        <v>942</v>
      </c>
      <c r="C290" s="0" t="s">
        <v>942</v>
      </c>
      <c r="E290" s="0" t="n">
        <v>2025</v>
      </c>
      <c r="F290" s="0" t="s">
        <v>942</v>
      </c>
      <c r="G290" s="0" t="s">
        <v>942</v>
      </c>
      <c r="I290" s="0" t="n">
        <v>2025</v>
      </c>
      <c r="J290" s="0" t="s">
        <v>942</v>
      </c>
      <c r="K290" s="0" t="s">
        <v>942</v>
      </c>
      <c r="M290" s="0" t="n">
        <v>2025</v>
      </c>
      <c r="N290" s="0" t="s">
        <v>942</v>
      </c>
      <c r="O290" s="0" t="s">
        <v>942</v>
      </c>
    </row>
    <row r="291" customFormat="false" ht="15" hidden="false" customHeight="false" outlineLevel="0" collapsed="false">
      <c r="A291" s="0" t="n">
        <v>2025</v>
      </c>
      <c r="B291" s="0" t="s">
        <v>942</v>
      </c>
      <c r="C291" s="0" t="s">
        <v>942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942</v>
      </c>
      <c r="K291" s="0" t="s">
        <v>942</v>
      </c>
      <c r="M291" s="0" t="n">
        <v>2025</v>
      </c>
      <c r="N291" s="0" t="s">
        <v>942</v>
      </c>
      <c r="O291" s="0" t="s">
        <v>942</v>
      </c>
    </row>
    <row r="292" customFormat="false" ht="15" hidden="false" customHeight="false" outlineLevel="0" collapsed="false">
      <c r="A292" s="0" t="n">
        <v>2025</v>
      </c>
      <c r="B292" s="0" t="s">
        <v>942</v>
      </c>
      <c r="C292" s="0" t="s">
        <v>942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942</v>
      </c>
      <c r="K292" s="0" t="s">
        <v>942</v>
      </c>
      <c r="M292" s="0" t="n">
        <v>2025</v>
      </c>
      <c r="N292" s="0" t="s">
        <v>942</v>
      </c>
      <c r="O292" s="0" t="s">
        <v>942</v>
      </c>
    </row>
    <row r="293" customFormat="false" ht="15" hidden="false" customHeight="false" outlineLevel="0" collapsed="false">
      <c r="A293" s="0" t="n">
        <v>2025</v>
      </c>
      <c r="B293" s="0" t="s">
        <v>942</v>
      </c>
      <c r="C293" s="0" t="s">
        <v>942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942</v>
      </c>
      <c r="K293" s="0" t="s">
        <v>942</v>
      </c>
      <c r="M293" s="0" t="n">
        <v>2025</v>
      </c>
      <c r="N293" s="0" t="s">
        <v>942</v>
      </c>
      <c r="O293" s="0" t="s">
        <v>942</v>
      </c>
    </row>
    <row r="294" customFormat="false" ht="15" hidden="false" customHeight="false" outlineLevel="0" collapsed="false">
      <c r="A294" s="0" t="n">
        <v>2025</v>
      </c>
      <c r="B294" s="0" t="s">
        <v>942</v>
      </c>
      <c r="C294" s="0" t="s">
        <v>942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942</v>
      </c>
      <c r="K294" s="0" t="s">
        <v>942</v>
      </c>
      <c r="M294" s="0" t="n">
        <v>2025</v>
      </c>
      <c r="N294" s="0" t="s">
        <v>942</v>
      </c>
      <c r="O294" s="0" t="s">
        <v>942</v>
      </c>
    </row>
    <row r="295" customFormat="false" ht="15" hidden="false" customHeight="false" outlineLevel="0" collapsed="false">
      <c r="A295" s="0" t="n">
        <v>2025</v>
      </c>
      <c r="B295" s="0" t="s">
        <v>942</v>
      </c>
      <c r="C295" s="0" t="s">
        <v>942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942</v>
      </c>
      <c r="K295" s="0" t="s">
        <v>942</v>
      </c>
      <c r="M295" s="0" t="n">
        <v>2025</v>
      </c>
      <c r="N295" s="0" t="s">
        <v>942</v>
      </c>
      <c r="O295" s="0" t="s">
        <v>942</v>
      </c>
    </row>
    <row r="296" customFormat="false" ht="15" hidden="false" customHeight="false" outlineLevel="0" collapsed="false">
      <c r="A296" s="0" t="n">
        <v>2025</v>
      </c>
      <c r="B296" s="0" t="s">
        <v>942</v>
      </c>
      <c r="C296" s="0" t="s">
        <v>942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942</v>
      </c>
      <c r="K296" s="0" t="s">
        <v>942</v>
      </c>
      <c r="M296" s="0" t="n">
        <v>2025</v>
      </c>
      <c r="N296" s="0" t="s">
        <v>942</v>
      </c>
      <c r="O296" s="0" t="s">
        <v>942</v>
      </c>
    </row>
    <row r="297" customFormat="false" ht="15" hidden="false" customHeight="false" outlineLevel="0" collapsed="false">
      <c r="A297" s="0" t="n">
        <v>2025</v>
      </c>
      <c r="B297" s="0" t="s">
        <v>942</v>
      </c>
      <c r="C297" s="0" t="s">
        <v>942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942</v>
      </c>
      <c r="K297" s="0" t="s">
        <v>942</v>
      </c>
      <c r="M297" s="0" t="n">
        <v>2025</v>
      </c>
      <c r="N297" s="0" t="s">
        <v>942</v>
      </c>
      <c r="O297" s="0" t="s">
        <v>942</v>
      </c>
    </row>
    <row r="298" customFormat="false" ht="15" hidden="false" customHeight="false" outlineLevel="0" collapsed="false">
      <c r="A298" s="0" t="n">
        <v>2025</v>
      </c>
      <c r="B298" s="0" t="s">
        <v>942</v>
      </c>
      <c r="C298" s="0" t="s">
        <v>942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942</v>
      </c>
      <c r="K298" s="0" t="s">
        <v>942</v>
      </c>
      <c r="M298" s="0" t="n">
        <v>2025</v>
      </c>
      <c r="N298" s="0" t="s">
        <v>942</v>
      </c>
      <c r="O298" s="0" t="s">
        <v>942</v>
      </c>
    </row>
    <row r="299" customFormat="false" ht="15" hidden="false" customHeight="false" outlineLevel="0" collapsed="false">
      <c r="A299" s="0" t="n">
        <v>2025</v>
      </c>
      <c r="B299" s="0" t="s">
        <v>942</v>
      </c>
      <c r="C299" s="0" t="s">
        <v>942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942</v>
      </c>
      <c r="K299" s="0" t="s">
        <v>942</v>
      </c>
      <c r="M299" s="0" t="n">
        <v>2025</v>
      </c>
      <c r="N299" s="0" t="s">
        <v>942</v>
      </c>
      <c r="O299" s="0" t="s">
        <v>942</v>
      </c>
    </row>
    <row r="300" customFormat="false" ht="15" hidden="false" customHeight="false" outlineLevel="0" collapsed="false">
      <c r="A300" s="0" t="n">
        <v>2025</v>
      </c>
      <c r="B300" s="0" t="s">
        <v>942</v>
      </c>
      <c r="C300" s="0" t="s">
        <v>942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942</v>
      </c>
      <c r="K300" s="0" t="s">
        <v>942</v>
      </c>
      <c r="M300" s="0" t="n">
        <v>2025</v>
      </c>
      <c r="N300" s="0" t="s">
        <v>942</v>
      </c>
      <c r="O300" s="0" t="s">
        <v>942</v>
      </c>
    </row>
    <row r="301" customFormat="false" ht="15" hidden="false" customHeight="false" outlineLevel="0" collapsed="false">
      <c r="A301" s="0" t="n">
        <v>2025</v>
      </c>
      <c r="B301" s="0" t="s">
        <v>942</v>
      </c>
      <c r="C301" s="0" t="s">
        <v>942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942</v>
      </c>
      <c r="K301" s="0" t="s">
        <v>942</v>
      </c>
      <c r="M301" s="0" t="n">
        <v>2025</v>
      </c>
      <c r="N301" s="0" t="s">
        <v>942</v>
      </c>
      <c r="O301" s="0" t="s">
        <v>942</v>
      </c>
    </row>
    <row r="302" customFormat="false" ht="15" hidden="false" customHeight="false" outlineLevel="0" collapsed="false">
      <c r="A302" s="0" t="n">
        <v>2025</v>
      </c>
      <c r="B302" s="0" t="s">
        <v>942</v>
      </c>
      <c r="C302" s="0" t="s">
        <v>942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942</v>
      </c>
      <c r="K302" s="0" t="s">
        <v>942</v>
      </c>
      <c r="M302" s="0" t="n">
        <v>2025</v>
      </c>
      <c r="N302" s="0" t="s">
        <v>942</v>
      </c>
      <c r="O302" s="0" t="s">
        <v>942</v>
      </c>
    </row>
    <row r="303" customFormat="false" ht="15" hidden="false" customHeight="false" outlineLevel="0" collapsed="false">
      <c r="A303" s="0" t="n">
        <v>2025</v>
      </c>
      <c r="B303" s="0" t="s">
        <v>942</v>
      </c>
      <c r="C303" s="0" t="s">
        <v>942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942</v>
      </c>
      <c r="K303" s="0" t="s">
        <v>942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942</v>
      </c>
      <c r="C304" s="0" t="s">
        <v>942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942</v>
      </c>
      <c r="K304" s="0" t="s">
        <v>942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942</v>
      </c>
      <c r="C305" s="0" t="s">
        <v>942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942</v>
      </c>
      <c r="K305" s="0" t="s">
        <v>942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942</v>
      </c>
      <c r="C306" s="0" t="s">
        <v>942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942</v>
      </c>
      <c r="K306" s="0" t="s">
        <v>942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942</v>
      </c>
      <c r="C307" s="0" t="s">
        <v>942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942</v>
      </c>
      <c r="K307" s="0" t="s">
        <v>942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942</v>
      </c>
      <c r="C308" s="0" t="s">
        <v>942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942</v>
      </c>
      <c r="K308" s="0" t="s">
        <v>942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942</v>
      </c>
      <c r="C309" s="0" t="s">
        <v>942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942</v>
      </c>
      <c r="K309" s="0" t="s">
        <v>942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942</v>
      </c>
      <c r="C310" s="0" t="s">
        <v>942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942</v>
      </c>
      <c r="K310" s="0" t="s">
        <v>942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942</v>
      </c>
      <c r="C311" s="0" t="s">
        <v>942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942</v>
      </c>
      <c r="K311" s="0" t="s">
        <v>942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942</v>
      </c>
      <c r="C312" s="0" t="s">
        <v>942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942</v>
      </c>
      <c r="K312" s="0" t="s">
        <v>942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942</v>
      </c>
      <c r="C313" s="0" t="s">
        <v>942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942</v>
      </c>
      <c r="K313" s="0" t="s">
        <v>942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942</v>
      </c>
      <c r="C314" s="0" t="s">
        <v>942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942</v>
      </c>
      <c r="K314" s="0" t="s">
        <v>942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942</v>
      </c>
      <c r="C315" s="0" t="s">
        <v>942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942</v>
      </c>
      <c r="K315" s="0" t="s">
        <v>942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942</v>
      </c>
      <c r="C316" s="0" t="s">
        <v>942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942</v>
      </c>
      <c r="K316" s="0" t="s">
        <v>942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942</v>
      </c>
      <c r="C317" s="0" t="s">
        <v>942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942</v>
      </c>
      <c r="K317" s="0" t="s">
        <v>942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942</v>
      </c>
      <c r="C318" s="0" t="s">
        <v>942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942</v>
      </c>
      <c r="K318" s="0" t="s">
        <v>942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942</v>
      </c>
      <c r="C319" s="0" t="s">
        <v>942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942</v>
      </c>
      <c r="K319" s="0" t="s">
        <v>942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942</v>
      </c>
      <c r="C320" s="0" t="s">
        <v>942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942</v>
      </c>
      <c r="K320" s="0" t="s">
        <v>942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942</v>
      </c>
      <c r="C321" s="0" t="s">
        <v>942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942</v>
      </c>
      <c r="K321" s="0" t="s">
        <v>942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942</v>
      </c>
      <c r="C322" s="0" t="s">
        <v>942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942</v>
      </c>
      <c r="K322" s="0" t="s">
        <v>942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942</v>
      </c>
      <c r="C323" s="0" t="s">
        <v>942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942</v>
      </c>
      <c r="K323" s="0" t="s">
        <v>942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942</v>
      </c>
      <c r="C324" s="0" t="s">
        <v>942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942</v>
      </c>
      <c r="K324" s="0" t="s">
        <v>942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942</v>
      </c>
      <c r="C325" s="0" t="s">
        <v>942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942</v>
      </c>
      <c r="K325" s="0" t="s">
        <v>942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942</v>
      </c>
      <c r="C326" s="0" t="s">
        <v>942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942</v>
      </c>
      <c r="K326" s="0" t="s">
        <v>942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942</v>
      </c>
      <c r="K327" s="0" t="s">
        <v>942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942</v>
      </c>
      <c r="K328" s="0" t="s">
        <v>942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942</v>
      </c>
      <c r="K329" s="0" t="s">
        <v>942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942</v>
      </c>
      <c r="K330" s="0" t="s">
        <v>942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942</v>
      </c>
      <c r="K331" s="0" t="s">
        <v>942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942</v>
      </c>
      <c r="K332" s="0" t="s">
        <v>942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942</v>
      </c>
      <c r="K333" s="0" t="s">
        <v>942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942</v>
      </c>
      <c r="K334" s="0" t="s">
        <v>942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942</v>
      </c>
      <c r="K335" s="0" t="s">
        <v>942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942</v>
      </c>
      <c r="K336" s="0" t="s">
        <v>942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942</v>
      </c>
      <c r="K337" s="0" t="s">
        <v>942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942</v>
      </c>
      <c r="K338" s="0" t="s">
        <v>942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942</v>
      </c>
      <c r="K339" s="0" t="s">
        <v>942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942</v>
      </c>
      <c r="K340" s="0" t="s">
        <v>942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942</v>
      </c>
      <c r="K341" s="0" t="s">
        <v>942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942</v>
      </c>
      <c r="K342" s="0" t="s">
        <v>942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942</v>
      </c>
      <c r="K343" s="0" t="s">
        <v>942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942</v>
      </c>
      <c r="K344" s="0" t="s">
        <v>942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942</v>
      </c>
      <c r="K345" s="0" t="s">
        <v>942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942</v>
      </c>
      <c r="K346" s="0" t="s">
        <v>942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942</v>
      </c>
      <c r="K347" s="0" t="s">
        <v>942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942</v>
      </c>
      <c r="K348" s="0" t="s">
        <v>942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942</v>
      </c>
      <c r="K349" s="0" t="s">
        <v>942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942</v>
      </c>
      <c r="K350" s="0" t="s">
        <v>942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942</v>
      </c>
      <c r="K351" s="0" t="s">
        <v>942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942</v>
      </c>
      <c r="K352" s="0" t="s">
        <v>942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942</v>
      </c>
      <c r="K353" s="0" t="s">
        <v>942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942</v>
      </c>
      <c r="K354" s="0" t="s">
        <v>942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942</v>
      </c>
      <c r="K355" s="0" t="s">
        <v>942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942</v>
      </c>
      <c r="K356" s="0" t="s">
        <v>942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942</v>
      </c>
      <c r="K357" s="0" t="s">
        <v>942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942</v>
      </c>
      <c r="K358" s="0" t="s">
        <v>942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942</v>
      </c>
      <c r="K359" s="0" t="s">
        <v>942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942</v>
      </c>
      <c r="K360" s="0" t="s">
        <v>942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942</v>
      </c>
      <c r="K361" s="0" t="s">
        <v>942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942</v>
      </c>
      <c r="K362" s="0" t="s">
        <v>942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942</v>
      </c>
      <c r="K363" s="0" t="s">
        <v>942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942</v>
      </c>
      <c r="K364" s="0" t="s">
        <v>942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942</v>
      </c>
      <c r="K365" s="0" t="s">
        <v>942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942</v>
      </c>
      <c r="K366" s="0" t="s">
        <v>942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942</v>
      </c>
      <c r="K367" s="0" t="s">
        <v>942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942</v>
      </c>
      <c r="K368" s="0" t="s">
        <v>942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942</v>
      </c>
      <c r="K369" s="0" t="s">
        <v>942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942</v>
      </c>
      <c r="K370" s="0" t="s">
        <v>942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942</v>
      </c>
      <c r="K371" s="0" t="s">
        <v>942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942</v>
      </c>
      <c r="K372" s="0" t="s">
        <v>942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942</v>
      </c>
      <c r="K373" s="0" t="s">
        <v>942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942</v>
      </c>
      <c r="K374" s="0" t="s">
        <v>942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942</v>
      </c>
      <c r="K375" s="0" t="s">
        <v>942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942</v>
      </c>
      <c r="K376" s="0" t="s">
        <v>942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942</v>
      </c>
      <c r="K377" s="0" t="s">
        <v>942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942</v>
      </c>
      <c r="K378" s="0" t="s">
        <v>942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942</v>
      </c>
      <c r="K379" s="0" t="s">
        <v>942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942</v>
      </c>
      <c r="K380" s="0" t="s">
        <v>942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942</v>
      </c>
      <c r="K381" s="0" t="s">
        <v>942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942</v>
      </c>
      <c r="K382" s="0" t="s">
        <v>942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942</v>
      </c>
      <c r="K383" s="0" t="s">
        <v>942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942</v>
      </c>
      <c r="K384" s="0" t="s">
        <v>942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942</v>
      </c>
      <c r="K385" s="0" t="s">
        <v>942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942</v>
      </c>
      <c r="K386" s="0" t="s">
        <v>942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942</v>
      </c>
      <c r="K387" s="0" t="s">
        <v>942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942</v>
      </c>
      <c r="K388" s="0" t="s">
        <v>942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942</v>
      </c>
      <c r="K389" s="0" t="s">
        <v>942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942</v>
      </c>
      <c r="K390" s="0" t="s">
        <v>942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942</v>
      </c>
      <c r="K391" s="0" t="s">
        <v>942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942</v>
      </c>
      <c r="K392" s="0" t="s">
        <v>942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942</v>
      </c>
      <c r="K393" s="0" t="s">
        <v>942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942</v>
      </c>
      <c r="K394" s="0" t="s">
        <v>942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942</v>
      </c>
      <c r="K395" s="0" t="s">
        <v>942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942</v>
      </c>
      <c r="K396" s="0" t="s">
        <v>942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942</v>
      </c>
      <c r="K397" s="0" t="s">
        <v>942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942</v>
      </c>
      <c r="K398" s="0" t="s">
        <v>942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942</v>
      </c>
      <c r="K399" s="0" t="s">
        <v>942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942</v>
      </c>
      <c r="K400" s="0" t="s">
        <v>942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942</v>
      </c>
      <c r="K401" s="0" t="s">
        <v>942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942</v>
      </c>
      <c r="K402" s="0" t="s">
        <v>942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942</v>
      </c>
      <c r="K403" s="0" t="s">
        <v>942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942</v>
      </c>
      <c r="K404" s="0" t="s">
        <v>942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942</v>
      </c>
      <c r="K405" s="0" t="s">
        <v>942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942</v>
      </c>
      <c r="K406" s="0" t="s">
        <v>942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942</v>
      </c>
      <c r="K407" s="0" t="s">
        <v>942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942</v>
      </c>
      <c r="K408" s="0" t="s">
        <v>942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942</v>
      </c>
      <c r="K409" s="0" t="s">
        <v>942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942</v>
      </c>
      <c r="K410" s="0" t="s">
        <v>942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942</v>
      </c>
      <c r="K411" s="0" t="s">
        <v>942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942</v>
      </c>
      <c r="K412" s="0" t="s">
        <v>942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942</v>
      </c>
      <c r="K413" s="0" t="s">
        <v>942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942</v>
      </c>
      <c r="K414" s="0" t="s">
        <v>942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942</v>
      </c>
      <c r="K415" s="0" t="s">
        <v>942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942</v>
      </c>
      <c r="K416" s="0" t="s">
        <v>942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942</v>
      </c>
      <c r="K417" s="0" t="s">
        <v>942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942</v>
      </c>
      <c r="K418" s="0" t="s">
        <v>942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942</v>
      </c>
      <c r="K419" s="0" t="s">
        <v>942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942</v>
      </c>
      <c r="K420" s="0" t="s">
        <v>942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942</v>
      </c>
      <c r="K421" s="0" t="s">
        <v>942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942</v>
      </c>
      <c r="K422" s="0" t="s">
        <v>942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942</v>
      </c>
      <c r="K423" s="0" t="s">
        <v>942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942</v>
      </c>
      <c r="K424" s="0" t="s">
        <v>942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942</v>
      </c>
      <c r="K425" s="0" t="s">
        <v>942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942</v>
      </c>
      <c r="K426" s="0" t="s">
        <v>942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942</v>
      </c>
      <c r="K427" s="0" t="s">
        <v>942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942</v>
      </c>
      <c r="K428" s="0" t="s">
        <v>942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942</v>
      </c>
      <c r="K429" s="0" t="s">
        <v>942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942</v>
      </c>
      <c r="K430" s="0" t="s">
        <v>942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942</v>
      </c>
      <c r="K431" s="0" t="s">
        <v>942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942</v>
      </c>
      <c r="K432" s="0" t="s">
        <v>942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942</v>
      </c>
      <c r="K433" s="0" t="s">
        <v>942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942</v>
      </c>
      <c r="K434" s="0" t="s">
        <v>942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942</v>
      </c>
      <c r="K435" s="0" t="s">
        <v>942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942</v>
      </c>
      <c r="K436" s="0" t="s">
        <v>942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942</v>
      </c>
      <c r="K437" s="0" t="s">
        <v>942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942</v>
      </c>
      <c r="K438" s="0" t="s">
        <v>942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942</v>
      </c>
      <c r="K439" s="0" t="s">
        <v>942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942</v>
      </c>
      <c r="K440" s="0" t="s">
        <v>942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942</v>
      </c>
      <c r="K441" s="0" t="s">
        <v>942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942</v>
      </c>
      <c r="K442" s="0" t="s">
        <v>942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942</v>
      </c>
      <c r="K443" s="0" t="s">
        <v>942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942</v>
      </c>
      <c r="K444" s="0" t="s">
        <v>942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942</v>
      </c>
      <c r="K445" s="0" t="s">
        <v>942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942</v>
      </c>
      <c r="K446" s="0" t="s">
        <v>942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942</v>
      </c>
      <c r="K447" s="0" t="s">
        <v>942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942</v>
      </c>
      <c r="K448" s="0" t="s">
        <v>942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942</v>
      </c>
      <c r="K449" s="0" t="s">
        <v>942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942</v>
      </c>
      <c r="K450" s="0" t="s">
        <v>942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942</v>
      </c>
      <c r="K451" s="0" t="s">
        <v>942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942</v>
      </c>
      <c r="K452" s="0" t="s">
        <v>942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942</v>
      </c>
      <c r="K453" s="0" t="s">
        <v>942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942</v>
      </c>
      <c r="K454" s="0" t="s">
        <v>942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942</v>
      </c>
      <c r="K455" s="0" t="s">
        <v>942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942</v>
      </c>
      <c r="K456" s="0" t="s">
        <v>942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942</v>
      </c>
      <c r="K457" s="0" t="s">
        <v>942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942</v>
      </c>
      <c r="K458" s="0" t="s">
        <v>942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942</v>
      </c>
      <c r="K459" s="0" t="s">
        <v>942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942</v>
      </c>
      <c r="K460" s="0" t="s">
        <v>942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942</v>
      </c>
      <c r="K461" s="0" t="s">
        <v>942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942</v>
      </c>
      <c r="K462" s="0" t="s">
        <v>942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942</v>
      </c>
      <c r="K463" s="0" t="s">
        <v>942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942</v>
      </c>
      <c r="K464" s="0" t="s">
        <v>942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942</v>
      </c>
      <c r="K465" s="0" t="s">
        <v>942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942</v>
      </c>
      <c r="K466" s="0" t="s">
        <v>942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942</v>
      </c>
      <c r="K467" s="0" t="s">
        <v>942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942</v>
      </c>
      <c r="K468" s="0" t="s">
        <v>942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942</v>
      </c>
      <c r="K469" s="0" t="s">
        <v>942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942</v>
      </c>
      <c r="K470" s="0" t="s">
        <v>942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942</v>
      </c>
      <c r="K471" s="0" t="s">
        <v>942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942</v>
      </c>
      <c r="K472" s="0" t="s">
        <v>942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942</v>
      </c>
      <c r="K473" s="0" t="s">
        <v>942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942</v>
      </c>
      <c r="K474" s="0" t="s">
        <v>942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942</v>
      </c>
      <c r="K475" s="0" t="s">
        <v>942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942</v>
      </c>
      <c r="K476" s="0" t="s">
        <v>942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942</v>
      </c>
      <c r="K477" s="0" t="s">
        <v>942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942</v>
      </c>
      <c r="K478" s="0" t="s">
        <v>942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942</v>
      </c>
      <c r="K479" s="0" t="s">
        <v>942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942</v>
      </c>
      <c r="K480" s="0" t="s">
        <v>942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942</v>
      </c>
      <c r="K481" s="0" t="s">
        <v>942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942</v>
      </c>
      <c r="K482" s="0" t="s">
        <v>942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942</v>
      </c>
      <c r="K483" s="0" t="s">
        <v>942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942</v>
      </c>
      <c r="K484" s="0" t="s">
        <v>942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942</v>
      </c>
      <c r="K485" s="0" t="s">
        <v>942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942</v>
      </c>
      <c r="K486" s="0" t="s">
        <v>942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942</v>
      </c>
      <c r="K487" s="0" t="s">
        <v>942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942</v>
      </c>
      <c r="K488" s="0" t="s">
        <v>942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942</v>
      </c>
      <c r="K489" s="0" t="s">
        <v>942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942</v>
      </c>
      <c r="K490" s="0" t="s">
        <v>942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942</v>
      </c>
      <c r="K491" s="0" t="s">
        <v>942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942</v>
      </c>
      <c r="K492" s="0" t="s">
        <v>942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942</v>
      </c>
      <c r="K493" s="0" t="s">
        <v>942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942</v>
      </c>
      <c r="K494" s="0" t="s">
        <v>942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942</v>
      </c>
      <c r="K495" s="0" t="s">
        <v>942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942</v>
      </c>
      <c r="K496" s="0" t="s">
        <v>942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942</v>
      </c>
      <c r="K497" s="0" t="s">
        <v>942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942</v>
      </c>
      <c r="K498" s="0" t="s">
        <v>942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942</v>
      </c>
      <c r="K499" s="0" t="s">
        <v>942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942</v>
      </c>
      <c r="K500" s="0" t="s">
        <v>942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942</v>
      </c>
      <c r="K501" s="0" t="s">
        <v>942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942</v>
      </c>
      <c r="K502" s="0" t="s">
        <v>942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942</v>
      </c>
      <c r="K503" s="0" t="s">
        <v>942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942</v>
      </c>
      <c r="K504" s="0" t="s">
        <v>942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942</v>
      </c>
      <c r="K505" s="0" t="s">
        <v>942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942</v>
      </c>
      <c r="K506" s="0" t="s">
        <v>942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942</v>
      </c>
      <c r="K507" s="0" t="s">
        <v>942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942</v>
      </c>
      <c r="K508" s="0" t="s">
        <v>942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942</v>
      </c>
      <c r="K509" s="0" t="s">
        <v>942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942</v>
      </c>
      <c r="K510" s="0" t="s">
        <v>942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942</v>
      </c>
      <c r="K511" s="0" t="s">
        <v>942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942</v>
      </c>
      <c r="K512" s="0" t="s">
        <v>942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942</v>
      </c>
      <c r="K513" s="0" t="s">
        <v>942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942</v>
      </c>
      <c r="K514" s="0" t="s">
        <v>942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942</v>
      </c>
      <c r="K515" s="0" t="s">
        <v>942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942</v>
      </c>
      <c r="K516" s="0" t="s">
        <v>942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942</v>
      </c>
      <c r="K517" s="0" t="s">
        <v>942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942</v>
      </c>
      <c r="K518" s="0" t="s">
        <v>942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942</v>
      </c>
      <c r="K519" s="0" t="s">
        <v>942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942</v>
      </c>
      <c r="K520" s="0" t="s">
        <v>942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942</v>
      </c>
      <c r="K521" s="0" t="s">
        <v>942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942</v>
      </c>
      <c r="K522" s="0" t="s">
        <v>942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942</v>
      </c>
      <c r="K523" s="0" t="s">
        <v>942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942</v>
      </c>
      <c r="K524" s="0" t="s">
        <v>942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942</v>
      </c>
      <c r="K525" s="0" t="s">
        <v>942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942</v>
      </c>
      <c r="K526" s="0" t="s">
        <v>942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942</v>
      </c>
      <c r="K527" s="0" t="s">
        <v>942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942</v>
      </c>
      <c r="K528" s="0" t="s">
        <v>942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942</v>
      </c>
      <c r="K529" s="0" t="s">
        <v>942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942</v>
      </c>
      <c r="K530" s="0" t="s">
        <v>942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942</v>
      </c>
      <c r="K531" s="0" t="s">
        <v>942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942</v>
      </c>
      <c r="K532" s="0" t="s">
        <v>942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942</v>
      </c>
      <c r="K533" s="0" t="s">
        <v>942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942</v>
      </c>
      <c r="K534" s="0" t="s">
        <v>942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942</v>
      </c>
      <c r="K535" s="0" t="s">
        <v>942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942</v>
      </c>
      <c r="K536" s="0" t="s">
        <v>942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942</v>
      </c>
      <c r="K537" s="0" t="s">
        <v>942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942</v>
      </c>
      <c r="K538" s="0" t="s">
        <v>942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942</v>
      </c>
      <c r="K539" s="0" t="s">
        <v>942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942</v>
      </c>
      <c r="K540" s="0" t="s">
        <v>942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942</v>
      </c>
      <c r="K541" s="0" t="s">
        <v>942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942</v>
      </c>
      <c r="K542" s="0" t="s">
        <v>942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942</v>
      </c>
      <c r="K543" s="0" t="s">
        <v>942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942</v>
      </c>
      <c r="K544" s="0" t="s">
        <v>942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942</v>
      </c>
      <c r="K545" s="0" t="s">
        <v>942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942</v>
      </c>
      <c r="K546" s="0" t="s">
        <v>942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942</v>
      </c>
      <c r="K547" s="0" t="s">
        <v>942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942</v>
      </c>
      <c r="K548" s="0" t="s">
        <v>942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942</v>
      </c>
      <c r="K549" s="0" t="s">
        <v>942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942</v>
      </c>
      <c r="K550" s="0" t="s">
        <v>942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942</v>
      </c>
      <c r="K551" s="0" t="s">
        <v>942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942</v>
      </c>
      <c r="K552" s="0" t="s">
        <v>942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942</v>
      </c>
      <c r="K553" s="0" t="s">
        <v>942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942</v>
      </c>
      <c r="K554" s="0" t="s">
        <v>942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942</v>
      </c>
      <c r="K555" s="0" t="s">
        <v>942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942</v>
      </c>
      <c r="K556" s="0" t="s">
        <v>942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942</v>
      </c>
      <c r="K557" s="0" t="s">
        <v>942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942</v>
      </c>
      <c r="K558" s="0" t="s">
        <v>942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942</v>
      </c>
      <c r="K559" s="0" t="s">
        <v>942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942</v>
      </c>
      <c r="K560" s="0" t="s">
        <v>942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942</v>
      </c>
      <c r="K561" s="0" t="s">
        <v>942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942</v>
      </c>
      <c r="K562" s="0" t="s">
        <v>942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942</v>
      </c>
      <c r="K563" s="0" t="s">
        <v>942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942</v>
      </c>
      <c r="K564" s="0" t="s">
        <v>942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942</v>
      </c>
      <c r="K565" s="0" t="s">
        <v>942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942</v>
      </c>
      <c r="K566" s="0" t="s">
        <v>942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942</v>
      </c>
      <c r="K567" s="0" t="s">
        <v>942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942</v>
      </c>
      <c r="K568" s="0" t="s">
        <v>942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942</v>
      </c>
      <c r="K569" s="0" t="s">
        <v>942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942</v>
      </c>
      <c r="K570" s="0" t="s">
        <v>942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942</v>
      </c>
      <c r="K571" s="0" t="s">
        <v>942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942</v>
      </c>
      <c r="K572" s="0" t="s">
        <v>942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942</v>
      </c>
      <c r="K573" s="0" t="s">
        <v>942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942</v>
      </c>
      <c r="K574" s="0" t="s">
        <v>942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942</v>
      </c>
      <c r="K575" s="0" t="s">
        <v>942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942</v>
      </c>
      <c r="K576" s="0" t="s">
        <v>942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942</v>
      </c>
      <c r="K577" s="0" t="s">
        <v>942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942</v>
      </c>
      <c r="K578" s="0" t="s">
        <v>942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942</v>
      </c>
      <c r="K579" s="0" t="s">
        <v>942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942</v>
      </c>
      <c r="K580" s="0" t="s">
        <v>942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942</v>
      </c>
      <c r="K581" s="0" t="s">
        <v>942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942</v>
      </c>
      <c r="K582" s="0" t="s">
        <v>942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942</v>
      </c>
      <c r="K583" s="0" t="s">
        <v>942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942</v>
      </c>
      <c r="K584" s="0" t="s">
        <v>942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942</v>
      </c>
      <c r="K585" s="0" t="s">
        <v>942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942</v>
      </c>
      <c r="K586" s="0" t="s">
        <v>942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942</v>
      </c>
      <c r="K587" s="0" t="s">
        <v>942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942</v>
      </c>
      <c r="K588" s="0" t="s">
        <v>942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942</v>
      </c>
      <c r="K589" s="0" t="s">
        <v>942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942</v>
      </c>
      <c r="K590" s="0" t="s">
        <v>942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942</v>
      </c>
      <c r="K591" s="0" t="s">
        <v>942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942</v>
      </c>
      <c r="K592" s="0" t="s">
        <v>942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942</v>
      </c>
      <c r="K593" s="0" t="s">
        <v>942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942</v>
      </c>
      <c r="K594" s="0" t="s">
        <v>942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942</v>
      </c>
      <c r="K595" s="0" t="s">
        <v>942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942</v>
      </c>
      <c r="K596" s="0" t="s">
        <v>942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942</v>
      </c>
      <c r="K597" s="0" t="s">
        <v>942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942</v>
      </c>
      <c r="K598" s="0" t="s">
        <v>942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942</v>
      </c>
      <c r="K599" s="0" t="s">
        <v>942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942</v>
      </c>
      <c r="K600" s="0" t="s">
        <v>942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942</v>
      </c>
      <c r="K601" s="0" t="s">
        <v>942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942</v>
      </c>
      <c r="K602" s="0" t="s">
        <v>942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942</v>
      </c>
      <c r="K603" s="0" t="s">
        <v>942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942</v>
      </c>
      <c r="K604" s="0" t="s">
        <v>942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942</v>
      </c>
      <c r="K605" s="0" t="s">
        <v>942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942</v>
      </c>
      <c r="K606" s="0" t="s">
        <v>942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942</v>
      </c>
      <c r="K607" s="0" t="s">
        <v>942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942</v>
      </c>
      <c r="K608" s="0" t="s">
        <v>942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942</v>
      </c>
      <c r="K609" s="0" t="s">
        <v>942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942</v>
      </c>
      <c r="K610" s="0" t="s">
        <v>942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942</v>
      </c>
      <c r="K611" s="0" t="s">
        <v>942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942</v>
      </c>
      <c r="K612" s="0" t="s">
        <v>942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942</v>
      </c>
      <c r="K613" s="0" t="s">
        <v>942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942</v>
      </c>
      <c r="K614" s="0" t="s">
        <v>942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942</v>
      </c>
      <c r="K615" s="0" t="s">
        <v>942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942</v>
      </c>
      <c r="K616" s="0" t="s">
        <v>942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942</v>
      </c>
      <c r="K617" s="0" t="s">
        <v>942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942</v>
      </c>
      <c r="K618" s="0" t="s">
        <v>942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942</v>
      </c>
      <c r="K619" s="0" t="s">
        <v>942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942</v>
      </c>
      <c r="K620" s="0" t="s">
        <v>942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942</v>
      </c>
      <c r="K621" s="0" t="s">
        <v>942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942</v>
      </c>
      <c r="K622" s="0" t="s">
        <v>942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942</v>
      </c>
      <c r="K623" s="0" t="s">
        <v>942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942</v>
      </c>
      <c r="K624" s="0" t="s">
        <v>942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942</v>
      </c>
      <c r="K625" s="0" t="s">
        <v>942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942</v>
      </c>
      <c r="K626" s="0" t="s">
        <v>942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942</v>
      </c>
      <c r="K627" s="0" t="s">
        <v>942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942</v>
      </c>
      <c r="K628" s="0" t="s">
        <v>942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942</v>
      </c>
      <c r="K629" s="0" t="s">
        <v>942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942</v>
      </c>
      <c r="K630" s="0" t="s">
        <v>942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942</v>
      </c>
      <c r="K631" s="0" t="s">
        <v>942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942</v>
      </c>
      <c r="K632" s="0" t="s">
        <v>942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942</v>
      </c>
      <c r="K633" s="0" t="s">
        <v>942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942</v>
      </c>
      <c r="K634" s="0" t="s">
        <v>942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942</v>
      </c>
      <c r="K635" s="0" t="s">
        <v>942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942</v>
      </c>
      <c r="K636" s="0" t="s">
        <v>942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942</v>
      </c>
      <c r="K637" s="0" t="s">
        <v>942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942</v>
      </c>
      <c r="K638" s="0" t="s">
        <v>942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942</v>
      </c>
      <c r="K639" s="0" t="s">
        <v>942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942</v>
      </c>
      <c r="K640" s="0" t="s">
        <v>942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942</v>
      </c>
      <c r="K641" s="0" t="s">
        <v>942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942</v>
      </c>
      <c r="K642" s="0" t="s">
        <v>942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942</v>
      </c>
      <c r="K643" s="0" t="s">
        <v>942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942</v>
      </c>
      <c r="K644" s="0" t="s">
        <v>942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942</v>
      </c>
      <c r="K645" s="0" t="s">
        <v>942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942</v>
      </c>
      <c r="K646" s="0" t="s">
        <v>942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942</v>
      </c>
      <c r="K647" s="0" t="s">
        <v>942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942</v>
      </c>
      <c r="K648" s="0" t="s">
        <v>942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942</v>
      </c>
      <c r="K649" s="0" t="s">
        <v>942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942</v>
      </c>
      <c r="K650" s="0" t="s">
        <v>942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942</v>
      </c>
      <c r="K651" s="0" t="s">
        <v>942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942</v>
      </c>
      <c r="K652" s="0" t="s">
        <v>942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942</v>
      </c>
      <c r="K653" s="0" t="s">
        <v>942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942</v>
      </c>
      <c r="K654" s="0" t="s">
        <v>942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942</v>
      </c>
      <c r="K655" s="0" t="s">
        <v>942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942</v>
      </c>
      <c r="K656" s="0" t="s">
        <v>942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942</v>
      </c>
      <c r="K657" s="0" t="s">
        <v>942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942</v>
      </c>
      <c r="K658" s="0" t="s">
        <v>942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942</v>
      </c>
      <c r="K659" s="0" t="s">
        <v>942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942</v>
      </c>
      <c r="K660" s="0" t="s">
        <v>942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942</v>
      </c>
      <c r="K661" s="0" t="s">
        <v>942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942</v>
      </c>
      <c r="K662" s="0" t="s">
        <v>942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942</v>
      </c>
      <c r="K663" s="0" t="s">
        <v>942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942</v>
      </c>
      <c r="K664" s="0" t="s">
        <v>942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942</v>
      </c>
      <c r="K665" s="0" t="s">
        <v>942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942</v>
      </c>
      <c r="K666" s="0" t="s">
        <v>942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942</v>
      </c>
      <c r="K667" s="0" t="s">
        <v>942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942</v>
      </c>
      <c r="K668" s="0" t="s">
        <v>942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942</v>
      </c>
      <c r="K669" s="0" t="s">
        <v>942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942</v>
      </c>
      <c r="K670" s="0" t="s">
        <v>942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942</v>
      </c>
      <c r="K671" s="0" t="s">
        <v>942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942</v>
      </c>
      <c r="K672" s="0" t="s">
        <v>942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942</v>
      </c>
      <c r="K673" s="0" t="s">
        <v>942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942</v>
      </c>
      <c r="K674" s="0" t="s">
        <v>942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942</v>
      </c>
      <c r="K675" s="0" t="s">
        <v>942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942</v>
      </c>
      <c r="K676" s="0" t="s">
        <v>942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942</v>
      </c>
      <c r="K677" s="0" t="s">
        <v>942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942</v>
      </c>
      <c r="K678" s="0" t="s">
        <v>942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942</v>
      </c>
      <c r="K679" s="0" t="s">
        <v>942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942</v>
      </c>
      <c r="K680" s="0" t="s">
        <v>942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942</v>
      </c>
      <c r="K681" s="0" t="s">
        <v>942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942</v>
      </c>
      <c r="K682" s="0" t="s">
        <v>942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942</v>
      </c>
      <c r="K683" s="0" t="s">
        <v>942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942</v>
      </c>
      <c r="K684" s="0" t="s">
        <v>942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942</v>
      </c>
      <c r="K685" s="0" t="s">
        <v>942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942</v>
      </c>
      <c r="K686" s="0" t="s">
        <v>942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942</v>
      </c>
      <c r="K687" s="0" t="s">
        <v>942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942</v>
      </c>
      <c r="K688" s="0" t="s">
        <v>942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942</v>
      </c>
      <c r="K689" s="0" t="s">
        <v>942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942</v>
      </c>
      <c r="K690" s="0" t="s">
        <v>942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942</v>
      </c>
      <c r="K691" s="0" t="s">
        <v>942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942</v>
      </c>
      <c r="K692" s="0" t="s">
        <v>942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942</v>
      </c>
      <c r="K693" s="0" t="s">
        <v>942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942</v>
      </c>
      <c r="K694" s="0" t="s">
        <v>942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942</v>
      </c>
      <c r="K695" s="0" t="s">
        <v>942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942</v>
      </c>
      <c r="K696" s="0" t="s">
        <v>942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942</v>
      </c>
      <c r="K697" s="0" t="s">
        <v>942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942</v>
      </c>
      <c r="K698" s="0" t="s">
        <v>942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942</v>
      </c>
      <c r="K699" s="0" t="s">
        <v>942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942</v>
      </c>
      <c r="K700" s="0" t="s">
        <v>942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942</v>
      </c>
      <c r="K701" s="0" t="s">
        <v>942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942</v>
      </c>
      <c r="K702" s="0" t="s">
        <v>942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942</v>
      </c>
      <c r="K703" s="0" t="s">
        <v>942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942</v>
      </c>
      <c r="K704" s="0" t="s">
        <v>942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942</v>
      </c>
      <c r="K705" s="0" t="s">
        <v>942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942</v>
      </c>
      <c r="K706" s="0" t="s">
        <v>942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942</v>
      </c>
      <c r="K707" s="0" t="s">
        <v>942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942</v>
      </c>
      <c r="K708" s="0" t="s">
        <v>942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942</v>
      </c>
      <c r="K709" s="0" t="s">
        <v>942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942</v>
      </c>
      <c r="K710" s="0" t="s">
        <v>942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942</v>
      </c>
      <c r="K711" s="0" t="s">
        <v>942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942</v>
      </c>
      <c r="K712" s="0" t="s">
        <v>942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942</v>
      </c>
      <c r="K713" s="0" t="s">
        <v>942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942</v>
      </c>
      <c r="K714" s="0" t="s">
        <v>942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942</v>
      </c>
      <c r="K715" s="0" t="s">
        <v>942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942</v>
      </c>
      <c r="K716" s="0" t="s">
        <v>942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942</v>
      </c>
      <c r="K717" s="0" t="s">
        <v>942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942</v>
      </c>
      <c r="K718" s="0" t="s">
        <v>942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942</v>
      </c>
      <c r="K719" s="0" t="s">
        <v>942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942</v>
      </c>
      <c r="K720" s="0" t="s">
        <v>942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942</v>
      </c>
      <c r="K721" s="0" t="s">
        <v>942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942</v>
      </c>
      <c r="K722" s="0" t="s">
        <v>942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942</v>
      </c>
      <c r="K723" s="0" t="s">
        <v>942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942</v>
      </c>
      <c r="K724" s="0" t="s">
        <v>942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942</v>
      </c>
      <c r="K725" s="0" t="s">
        <v>942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942</v>
      </c>
      <c r="K726" s="0" t="s">
        <v>942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942</v>
      </c>
      <c r="K727" s="0" t="s">
        <v>942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942</v>
      </c>
      <c r="K728" s="0" t="s">
        <v>942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942</v>
      </c>
      <c r="K729" s="0" t="s">
        <v>942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942</v>
      </c>
      <c r="K730" s="0" t="s">
        <v>942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942</v>
      </c>
      <c r="K731" s="0" t="s">
        <v>942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942</v>
      </c>
      <c r="K732" s="0" t="s">
        <v>942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942</v>
      </c>
      <c r="K733" s="0" t="s">
        <v>942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942</v>
      </c>
      <c r="K734" s="0" t="s">
        <v>942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942</v>
      </c>
      <c r="K735" s="0" t="s">
        <v>942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942</v>
      </c>
      <c r="K736" s="0" t="s">
        <v>942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942</v>
      </c>
      <c r="K737" s="0" t="s">
        <v>942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942</v>
      </c>
      <c r="K738" s="0" t="s">
        <v>942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942</v>
      </c>
      <c r="K739" s="0" t="s">
        <v>942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942</v>
      </c>
      <c r="K740" s="0" t="s">
        <v>942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942</v>
      </c>
      <c r="K741" s="0" t="s">
        <v>942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942</v>
      </c>
      <c r="K742" s="0" t="s">
        <v>942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942</v>
      </c>
      <c r="K743" s="0" t="s">
        <v>942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942</v>
      </c>
      <c r="K744" s="0" t="s">
        <v>942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942</v>
      </c>
      <c r="K745" s="0" t="s">
        <v>942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942</v>
      </c>
      <c r="K746" s="0" t="s">
        <v>942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942</v>
      </c>
      <c r="K747" s="0" t="s">
        <v>942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942</v>
      </c>
      <c r="K748" s="0" t="s">
        <v>942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942</v>
      </c>
      <c r="K749" s="0" t="s">
        <v>942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942</v>
      </c>
      <c r="K750" s="0" t="s">
        <v>942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942</v>
      </c>
      <c r="K751" s="0" t="s">
        <v>942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942</v>
      </c>
      <c r="K752" s="0" t="s">
        <v>942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942</v>
      </c>
      <c r="K753" s="0" t="s">
        <v>942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942</v>
      </c>
      <c r="K754" s="0" t="s">
        <v>942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942</v>
      </c>
      <c r="K755" s="0" t="s">
        <v>942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942</v>
      </c>
      <c r="K756" s="0" t="s">
        <v>942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942</v>
      </c>
      <c r="K757" s="0" t="s">
        <v>942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942</v>
      </c>
      <c r="K758" s="0" t="s">
        <v>942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942</v>
      </c>
      <c r="K759" s="0" t="s">
        <v>942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942</v>
      </c>
      <c r="K760" s="0" t="s">
        <v>942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942</v>
      </c>
      <c r="K761" s="0" t="s">
        <v>942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942</v>
      </c>
      <c r="K762" s="0" t="s">
        <v>942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942</v>
      </c>
      <c r="K763" s="0" t="s">
        <v>942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942</v>
      </c>
      <c r="K764" s="0" t="s">
        <v>942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942</v>
      </c>
      <c r="K765" s="0" t="s">
        <v>942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942</v>
      </c>
      <c r="K766" s="0" t="s">
        <v>942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942</v>
      </c>
      <c r="K767" s="0" t="s">
        <v>942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942</v>
      </c>
      <c r="K768" s="0" t="s">
        <v>942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942</v>
      </c>
      <c r="K769" s="0" t="s">
        <v>942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942</v>
      </c>
      <c r="K770" s="0" t="s">
        <v>942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942</v>
      </c>
      <c r="K771" s="0" t="s">
        <v>942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942</v>
      </c>
      <c r="K772" s="0" t="s">
        <v>942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942</v>
      </c>
      <c r="K773" s="0" t="s">
        <v>942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942</v>
      </c>
      <c r="K774" s="0" t="s">
        <v>942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942</v>
      </c>
      <c r="K775" s="0" t="s">
        <v>942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942</v>
      </c>
      <c r="K776" s="0" t="s">
        <v>942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942</v>
      </c>
      <c r="K777" s="0" t="s">
        <v>942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942</v>
      </c>
      <c r="K778" s="0" t="s">
        <v>942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942</v>
      </c>
      <c r="K779" s="0" t="s">
        <v>942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942</v>
      </c>
      <c r="K780" s="0" t="s">
        <v>942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942</v>
      </c>
      <c r="K781" s="0" t="s">
        <v>942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942</v>
      </c>
      <c r="K782" s="0" t="s">
        <v>942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942</v>
      </c>
      <c r="K783" s="0" t="s">
        <v>942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942</v>
      </c>
      <c r="K784" s="0" t="s">
        <v>942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942</v>
      </c>
      <c r="K785" s="0" t="s">
        <v>942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942</v>
      </c>
      <c r="K786" s="0" t="s">
        <v>942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942</v>
      </c>
      <c r="K787" s="0" t="s">
        <v>942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942</v>
      </c>
      <c r="K788" s="0" t="s">
        <v>942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942</v>
      </c>
      <c r="K789" s="0" t="s">
        <v>942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942</v>
      </c>
      <c r="K790" s="0" t="s">
        <v>942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942</v>
      </c>
      <c r="K791" s="0" t="s">
        <v>942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942</v>
      </c>
      <c r="K792" s="0" t="s">
        <v>942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942</v>
      </c>
      <c r="K793" s="0" t="s">
        <v>942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942</v>
      </c>
      <c r="K794" s="0" t="s">
        <v>942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2026-10-12T23:29:26Z</dcterms:created>
  <dc:creator>openpyxl</dc:creator>
  <dc:description/>
  <dc:language>en-US</dc:language>
  <cp:lastModifiedBy/>
  <dcterms:modified xsi:type="dcterms:W3CDTF">2026-10-12T23:29:27Z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